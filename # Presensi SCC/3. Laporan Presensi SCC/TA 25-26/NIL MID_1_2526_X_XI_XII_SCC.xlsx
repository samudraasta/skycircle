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X 1" sheetId="1" r:id="rId4"/>
    <sheet state="hidden" name="X 2" sheetId="2" r:id="rId5"/>
    <sheet state="hidden" name="X 3" sheetId="3" r:id="rId6"/>
    <sheet state="hidden" name="X 4" sheetId="4" r:id="rId7"/>
    <sheet state="hidden" name="X 5" sheetId="5" r:id="rId8"/>
    <sheet state="hidden" name="X 6" sheetId="6" r:id="rId9"/>
    <sheet state="hidden" name="X 7" sheetId="7" r:id="rId10"/>
    <sheet state="hidden" name="X 8" sheetId="8" r:id="rId11"/>
    <sheet state="hidden" name="X 9" sheetId="9" r:id="rId12"/>
    <sheet state="hidden" name="X 10" sheetId="10" r:id="rId13"/>
    <sheet state="hidden" name="X 11" sheetId="11" r:id="rId14"/>
    <sheet state="hidden" name="X 12" sheetId="12" r:id="rId15"/>
    <sheet state="visible" name="Kelas X" sheetId="13" r:id="rId16"/>
    <sheet state="hidden" name="Cerdig" sheetId="14" r:id="rId17"/>
  </sheets>
  <definedNames>
    <definedName name="RentangBernama1">'Kelas X'!$A:$C</definedName>
    <definedName hidden="1" localSheetId="12" name="_xlnm._FilterDatabase">'Kelas X'!$A$5:$H$655</definedName>
  </definedNames>
  <calcPr/>
  <extLst>
    <ext uri="GoogleSheetsCustomDataVersion2">
      <go:sheetsCustomData xmlns:go="http://customooxmlschemas.google.com/" r:id="rId18" roundtripDataChecksum="O9geXDp6axKMW7LZ/zQKyeD4XJFJO3RmWOinge1kSD8="/>
    </ext>
  </extLst>
</workbook>
</file>

<file path=xl/sharedStrings.xml><?xml version="1.0" encoding="utf-8"?>
<sst xmlns="http://schemas.openxmlformats.org/spreadsheetml/2006/main" count="5549" uniqueCount="2630">
  <si>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</si>
  <si>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DAFTAR CAPAIAN PEMBELAJARAN SEMESTER 1</t>
  </si>
  <si>
    <t>TAHUN PELAJARAN 2025 - 2026</t>
  </si>
  <si>
    <t>Mata Pelajaran</t>
  </si>
  <si>
    <t xml:space="preserve">: </t>
  </si>
  <si>
    <t>Kelas</t>
  </si>
  <si>
    <t>: X-1</t>
  </si>
  <si>
    <t>Pengajar</t>
  </si>
  <si>
    <t>:</t>
  </si>
  <si>
    <t>NO</t>
  </si>
  <si>
    <t>NISN / NIS</t>
  </si>
  <si>
    <t>NAMA PESERTA DIDIK</t>
  </si>
  <si>
    <t>Total
Hdr</t>
  </si>
  <si>
    <t>Hdr</t>
  </si>
  <si>
    <t>Rapor</t>
  </si>
  <si>
    <t>0092626116 / 252610008</t>
  </si>
  <si>
    <t>Adhie Bramantyo Faqih</t>
  </si>
  <si>
    <t>3103201253 / 252610048</t>
  </si>
  <si>
    <t>Almira Dwi Safira</t>
  </si>
  <si>
    <t>0102149444 / 252610053</t>
  </si>
  <si>
    <t>Alzena Juneeta Talisha Theo</t>
  </si>
  <si>
    <t>0095992391 / 252610082</t>
  </si>
  <si>
    <t>Arya Aditya Gunawan</t>
  </si>
  <si>
    <t>0106142601 / 252610083</t>
  </si>
  <si>
    <t>Aryasatia Pradipta</t>
  </si>
  <si>
    <t>0108104548 / 252610087</t>
  </si>
  <si>
    <t>Asyifa Diandra Bayu</t>
  </si>
  <si>
    <t>0103045473 / 252610088</t>
  </si>
  <si>
    <t>Asyifa Maulidia Salsabila</t>
  </si>
  <si>
    <t>0109105725 / 252610100</t>
  </si>
  <si>
    <t>Aurelia Langit Callysta</t>
  </si>
  <si>
    <t>0096394871 / 252610101</t>
  </si>
  <si>
    <t>Aurelia Septiani Putri</t>
  </si>
  <si>
    <t>0099038184 / 252610109</t>
  </si>
  <si>
    <t>Azalia Maheswari Christabel</t>
  </si>
  <si>
    <t>0096477713 / 252610122</t>
  </si>
  <si>
    <t>Bilqis Anwar Thebe</t>
  </si>
  <si>
    <t>0106995291 / 252610126</t>
  </si>
  <si>
    <t>Bimo Armani Aulia Putra</t>
  </si>
  <si>
    <t>0094126705 / 252610130</t>
  </si>
  <si>
    <t>Callysta Tuchi Solin</t>
  </si>
  <si>
    <t>0105914504 / 252610171</t>
  </si>
  <si>
    <t>Diwangkara Rizki Rabbani</t>
  </si>
  <si>
    <t>0092097491 / 252610175</t>
  </si>
  <si>
    <t>Dzahra Miftahuljanah</t>
  </si>
  <si>
    <t>0102644442 / 252610193</t>
  </si>
  <si>
    <t>Fakhri Haikal Alvito Rachmat</t>
  </si>
  <si>
    <t>0107657965 / 252610202</t>
  </si>
  <si>
    <t>Fathi Azzam Hawwari</t>
  </si>
  <si>
    <t>0095023834 / 252610206</t>
  </si>
  <si>
    <t>Fatimah Aszahra</t>
  </si>
  <si>
    <t>0094631117 / 252610224</t>
  </si>
  <si>
    <t>Gwenna Irene Winata</t>
  </si>
  <si>
    <t>0092679798 / 252610239</t>
  </si>
  <si>
    <t>Jasmine Zahira Ramadhani</t>
  </si>
  <si>
    <t>0109256207 / 252610244</t>
  </si>
  <si>
    <t>Jesslyn Quinn Gabrielle Sitorus</t>
  </si>
  <si>
    <t>0103648473 / 252610246</t>
  </si>
  <si>
    <t>Jihan Al Hasya</t>
  </si>
  <si>
    <t>0108537666 / 252610250</t>
  </si>
  <si>
    <t>Johanes Satria Yudha</t>
  </si>
  <si>
    <t>0098409943 / 252610304</t>
  </si>
  <si>
    <t>Maria Rica Stefany Demu</t>
  </si>
  <si>
    <t>0092985486 / 252610311</t>
  </si>
  <si>
    <t>Melani Putri Triana</t>
  </si>
  <si>
    <t>0094677765 / 252610313</t>
  </si>
  <si>
    <t>Michael Mazmur Hatorangan Hutabarat</t>
  </si>
  <si>
    <t>0107959828 / 252610316</t>
  </si>
  <si>
    <t>Mochamad Nayaka Tuharea</t>
  </si>
  <si>
    <t>0092600602 / 252610330</t>
  </si>
  <si>
    <t>Muhamad Septian Romadhon</t>
  </si>
  <si>
    <t>0108695912 / 252610334</t>
  </si>
  <si>
    <t>Muhammad Adrian Gianni Adam</t>
  </si>
  <si>
    <t>0093126257 / 252610343</t>
  </si>
  <si>
    <t>Muhammad Chaerudin Ramdhani</t>
  </si>
  <si>
    <t>3104497802 / 252610351</t>
  </si>
  <si>
    <t>Muhammad Fathan Assidiq</t>
  </si>
  <si>
    <t>0108107461 / 252610369</t>
  </si>
  <si>
    <t>Muhammad Rizky Aditya Putra Sukmawijayaguna</t>
  </si>
  <si>
    <t>0092807405 / 252610371</t>
  </si>
  <si>
    <t>Muhammad Rodzul Amrullah</t>
  </si>
  <si>
    <t>0102300207 / 252610390</t>
  </si>
  <si>
    <t>Nadya Salwa Altiara</t>
  </si>
  <si>
    <t>0097892166 / 252610393</t>
  </si>
  <si>
    <t>Nailah Khoirunisa Arsanti</t>
  </si>
  <si>
    <t>0097858274 / 252610423</t>
  </si>
  <si>
    <t>Novyola Safitri</t>
  </si>
  <si>
    <t>0093105045 / 252610424</t>
  </si>
  <si>
    <t>Nur Alifah Silvia</t>
  </si>
  <si>
    <t>0095438030 / 252610436</t>
  </si>
  <si>
    <t>Pungki Yustisia Pertiwi</t>
  </si>
  <si>
    <t>0107914534 / 252610452</t>
  </si>
  <si>
    <t>Raden Gathan Azaki Soesilo</t>
  </si>
  <si>
    <t>0097963483 / 252610454</t>
  </si>
  <si>
    <t>Raden Muhammad Rafi Wiranata</t>
  </si>
  <si>
    <t>0092135851 / 252610476</t>
  </si>
  <si>
    <t>Rayhan Ashabi</t>
  </si>
  <si>
    <t>0092605198 / 252610477</t>
  </si>
  <si>
    <t>Rayhana Rizkya Al-Multazam</t>
  </si>
  <si>
    <t>0103151970 / 252610489</t>
  </si>
  <si>
    <t>Riffa Nugraha</t>
  </si>
  <si>
    <t>0097644165 / 252610508</t>
  </si>
  <si>
    <t>Salsabila Zahwa Mulana</t>
  </si>
  <si>
    <t>0102657659 / 252610513</t>
  </si>
  <si>
    <t>Shabira Ayatul Husna</t>
  </si>
  <si>
    <t>0111428850 / 252610564</t>
  </si>
  <si>
    <t>Zavier Lamya Arkanowinatha</t>
  </si>
  <si>
    <t>0108505453 / 252610566</t>
  </si>
  <si>
    <t>Zhafirah Dwi Fauziah</t>
  </si>
  <si>
    <t>max</t>
  </si>
  <si>
    <t>min</t>
  </si>
  <si>
    <t>avg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</si>
  <si>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</si>
  <si>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: X-2</t>
  </si>
  <si>
    <t>ASESMEN / PENILAIAN</t>
  </si>
  <si>
    <t>Rata - Rata</t>
  </si>
  <si>
    <t>PAS</t>
  </si>
  <si>
    <t>RT</t>
  </si>
  <si>
    <t>NR</t>
  </si>
  <si>
    <t>Skp</t>
  </si>
  <si>
    <t>CP1</t>
  </si>
  <si>
    <t>CP2</t>
  </si>
  <si>
    <t>CP3</t>
  </si>
  <si>
    <t>0094216870 / 252610011</t>
  </si>
  <si>
    <t>Adinda Syahira Hariyadi</t>
  </si>
  <si>
    <t>0107760733 / 252610023</t>
  </si>
  <si>
    <t>Aira Aulia Putri</t>
  </si>
  <si>
    <t>0105130233 / 252610026</t>
  </si>
  <si>
    <t>Aisha Faiha Dzakiyah</t>
  </si>
  <si>
    <t>0104550133 / 252610039</t>
  </si>
  <si>
    <t>Alifa Safa Salsabila</t>
  </si>
  <si>
    <t>0095372504 / 252610050</t>
  </si>
  <si>
    <t>Alviana Dwie Putery</t>
  </si>
  <si>
    <t>0105813396 / 252610052</t>
  </si>
  <si>
    <t>Alyya Zahra Kusumadewi</t>
  </si>
  <si>
    <t>0109006152 / 252610058</t>
  </si>
  <si>
    <t>Ammar Raziq Mahdiya</t>
  </si>
  <si>
    <t>0097211030 / 252610062</t>
  </si>
  <si>
    <t>Andini Qoriyati Khaerani</t>
  </si>
  <si>
    <t>3108667209 / 252610070</t>
  </si>
  <si>
    <t>Aqeela Az Zahra</t>
  </si>
  <si>
    <t>0109904498 / 252610075</t>
  </si>
  <si>
    <t>Arfan Kristian Perlindungan Harefa</t>
  </si>
  <si>
    <t>0098513542 / 252610084</t>
  </si>
  <si>
    <t>Ashiila Rindu Dwi Laufli</t>
  </si>
  <si>
    <t>0106376916 / 252610090</t>
  </si>
  <si>
    <t>Atharrayhan Abimanyu Pratama</t>
  </si>
  <si>
    <t>0105797314 / 252610102</t>
  </si>
  <si>
    <t>Aurelly Diana Zulkarnaen</t>
  </si>
  <si>
    <t>0102731314 / 252610124</t>
  </si>
  <si>
    <t>Bima Adyatma Ilmiawan</t>
  </si>
  <si>
    <t>0092794157 / 252610139</t>
  </si>
  <si>
    <t>Cinta Cludia Putri</t>
  </si>
  <si>
    <t>0106384221 / 252610145</t>
  </si>
  <si>
    <t>Dafsyah Arifa Putra</t>
  </si>
  <si>
    <t>3104617391 / 252610153</t>
  </si>
  <si>
    <t>Denisa Azka Putri</t>
  </si>
  <si>
    <t>0098157268 / 252610154</t>
  </si>
  <si>
    <t>Devani Keyla Noris</t>
  </si>
  <si>
    <t>0099675945 / 252610164</t>
  </si>
  <si>
    <t>Dimas Putra Pribadi</t>
  </si>
  <si>
    <t>0104532267 / 252610180</t>
  </si>
  <si>
    <t>Elvio Dyahyu Yusanto</t>
  </si>
  <si>
    <t>0097593921 / 252610181</t>
  </si>
  <si>
    <t>Enisye Putri Zeliawati Limpong</t>
  </si>
  <si>
    <t>0106157075 / 252610185</t>
  </si>
  <si>
    <t>Fabian Ahza Hidayat</t>
  </si>
  <si>
    <t>0104141415 / 252610186</t>
  </si>
  <si>
    <t>Fadhilah Raisa Kamilati</t>
  </si>
  <si>
    <t>0105606050 / 252610238</t>
  </si>
  <si>
    <t>Jasmine Makayla Putri Arvani</t>
  </si>
  <si>
    <t>0094564578 / 252610277</t>
  </si>
  <si>
    <t>Khalid Ahmad Ghazali</t>
  </si>
  <si>
    <t>0103261879 / 252610280</t>
  </si>
  <si>
    <t>Khansa Aulia Damtsa Hylmi</t>
  </si>
  <si>
    <t>0109361118 / 252610290</t>
  </si>
  <si>
    <t>Lionel Boanerges Raffles Simangunsong</t>
  </si>
  <si>
    <t>0092576905 / 252610302</t>
  </si>
  <si>
    <t>Mardiansyah Isman</t>
  </si>
  <si>
    <t>0099605205 / 252610319</t>
  </si>
  <si>
    <t>Mohammad Haikal</t>
  </si>
  <si>
    <t>0108384400 / 252610320</t>
  </si>
  <si>
    <t>Mohammad Irshad Faizanshah</t>
  </si>
  <si>
    <t>0098087445 / 252610332</t>
  </si>
  <si>
    <t>Muhamad Thoriq Al Rasyad</t>
  </si>
  <si>
    <t>0108518402 / 252610336</t>
  </si>
  <si>
    <t>Muhammad Akmaluddin</t>
  </si>
  <si>
    <t>0098345742 / 252610338</t>
  </si>
  <si>
    <t>Muhammad Ariza Rizkya Irvan</t>
  </si>
  <si>
    <t>0104535464 / 252610362</t>
  </si>
  <si>
    <t>Muhammad Nazam Rizal</t>
  </si>
  <si>
    <t>3107410887 / 252610365</t>
  </si>
  <si>
    <t>Muhammad Rasyad Mahdawi</t>
  </si>
  <si>
    <t>0093768427 / 252610416</t>
  </si>
  <si>
    <t>Neng Rahmi Novianti</t>
  </si>
  <si>
    <t>0103404970 / 252610419</t>
  </si>
  <si>
    <t>Niesha Anindya Firstsaly</t>
  </si>
  <si>
    <t>0102495325 / 252610431</t>
  </si>
  <si>
    <t>Oryza Angelina Sitohang</t>
  </si>
  <si>
    <t>0106276801 / 252610434</t>
  </si>
  <si>
    <t>Priscillia Putri Viona</t>
  </si>
  <si>
    <t>0098833541 / 252610440</t>
  </si>
  <si>
    <t>Qaniah Mardiyah Salsabila</t>
  </si>
  <si>
    <t>0095492963 / 252610467</t>
  </si>
  <si>
    <t>Raisha Puri Lianti</t>
  </si>
  <si>
    <t>0091964566 / 252610474</t>
  </si>
  <si>
    <t>Rasya Arkananta Mulya</t>
  </si>
  <si>
    <t>0092731928 / 252610497</t>
  </si>
  <si>
    <t>Rusvi Putri Ingguan</t>
  </si>
  <si>
    <t>0105816582 / 252610498</t>
  </si>
  <si>
    <t>Ruth Rafanela Syeby Siregar</t>
  </si>
  <si>
    <t>0102751293 / 252610546</t>
  </si>
  <si>
    <t>Titania Dwizita Shahla</t>
  </si>
  <si>
    <t>0104292767 / 252610560</t>
  </si>
  <si>
    <t>Zaidan Riziq Sakha</t>
  </si>
  <si>
    <t>0096087965 / 252610563</t>
  </si>
  <si>
    <t>Zalikhah Rasikhah Putri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</si>
  <si>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</si>
  <si>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: X-3</t>
  </si>
  <si>
    <t>0094703204 / 252610002</t>
  </si>
  <si>
    <t>Abhinaya Zaidan Akbar</t>
  </si>
  <si>
    <t>0106941990 / 252610063</t>
  </si>
  <si>
    <t>Andra Rakadityono</t>
  </si>
  <si>
    <t>0109964803 / 252610065</t>
  </si>
  <si>
    <t>Anjani Safira Salma</t>
  </si>
  <si>
    <t>0104084075 / 252610076</t>
  </si>
  <si>
    <t>Ario Bimo Wicaksono</t>
  </si>
  <si>
    <t>0098221239 / 252610079</t>
  </si>
  <si>
    <t>Arman Firmansyah</t>
  </si>
  <si>
    <t>0104751597 / 252610093</t>
  </si>
  <si>
    <t>Attaya Putri Faslahi</t>
  </si>
  <si>
    <t>0104406841 / 252610094</t>
  </si>
  <si>
    <t>Attiyah Naila Adza Alifah</t>
  </si>
  <si>
    <t>0102122161 / 252610096</t>
  </si>
  <si>
    <t>Aulia Azahra</t>
  </si>
  <si>
    <t>0108329102 / 252610121</t>
  </si>
  <si>
    <t>Bianca Aurelia Putri Asari</t>
  </si>
  <si>
    <t>0103047499 / 252610129</t>
  </si>
  <si>
    <t>Bumi Byakta Alfian</t>
  </si>
  <si>
    <t>0102794623 / 252610136</t>
  </si>
  <si>
    <t>Cheryl Faiha Al-Tair</t>
  </si>
  <si>
    <t>0096103714 / 252610138</t>
  </si>
  <si>
    <t>Cindy Ramadhani Sinulingga</t>
  </si>
  <si>
    <t>0103966590 / 252610148</t>
  </si>
  <si>
    <t>Danesh Arrayan Syahreen</t>
  </si>
  <si>
    <t>0097493642 / 252610158</t>
  </si>
  <si>
    <t>Dhyra Putra Pratama</t>
  </si>
  <si>
    <t>0096662016 / 252610187</t>
  </si>
  <si>
    <t>Fadya Malikha</t>
  </si>
  <si>
    <t>0096892367 / 252610190</t>
  </si>
  <si>
    <t>Fajri Pardomuan Pohan</t>
  </si>
  <si>
    <t>0094686377 / 252610201</t>
  </si>
  <si>
    <t>Farras Putra Zema</t>
  </si>
  <si>
    <t>0109768822 / 252610204</t>
  </si>
  <si>
    <t>Fathia Amia Rizqi</t>
  </si>
  <si>
    <t>0109156472 / 252610213</t>
  </si>
  <si>
    <t>Florencia Ivana</t>
  </si>
  <si>
    <t>0098064041 / 252610215</t>
  </si>
  <si>
    <t>Fricilia Aprilyani Cardoso</t>
  </si>
  <si>
    <t>0113691116 / 252610219</t>
  </si>
  <si>
    <t>Gerald Samuel Sitanggang</t>
  </si>
  <si>
    <t>0104767807 / 252610237</t>
  </si>
  <si>
    <t>Jaenal Ikhwan</t>
  </si>
  <si>
    <t>0106443881 / 252610247</t>
  </si>
  <si>
    <t>Jihan Fauziyyah Latifah</t>
  </si>
  <si>
    <t>0104211640 / 252610259</t>
  </si>
  <si>
    <t>Kartika Larasati</t>
  </si>
  <si>
    <t>0098772505 / 252610274</t>
  </si>
  <si>
    <t>Keynia Louis Cristin Harianja</t>
  </si>
  <si>
    <t>0107095977 / 252610276</t>
  </si>
  <si>
    <t>Khairani Asri Utami</t>
  </si>
  <si>
    <t>0092150853 / 252610278</t>
  </si>
  <si>
    <t>Khalifi Ramadhan Darmawan Anda</t>
  </si>
  <si>
    <t>0091769169 / 252610287</t>
  </si>
  <si>
    <t>Lathika Aulia Althafunnisa</t>
  </si>
  <si>
    <t>0103272603 / 252610288</t>
  </si>
  <si>
    <t>Laura Aubrey Gracia Lubis</t>
  </si>
  <si>
    <t>0103190164 / 252610301</t>
  </si>
  <si>
    <t>Mandariza Arya Pranata Wijaya</t>
  </si>
  <si>
    <t>0092154795 / 252610370</t>
  </si>
  <si>
    <t>Muhammad Rizzieq Yusuf Natakusumah</t>
  </si>
  <si>
    <t>3096846304 / 252610381</t>
  </si>
  <si>
    <t>Muhammad Zuhear Alfan</t>
  </si>
  <si>
    <t>0104716348 / 252610386</t>
  </si>
  <si>
    <t>Nadhifa Farah Falihah</t>
  </si>
  <si>
    <t>0102174126 / 252610415</t>
  </si>
  <si>
    <t>Nazwa Savira</t>
  </si>
  <si>
    <t>0097540821 / 252610422</t>
  </si>
  <si>
    <t>Nourman Raditia Putra</t>
  </si>
  <si>
    <t>0102114748 / 252610426</t>
  </si>
  <si>
    <t>Nursifa Maulidah</t>
  </si>
  <si>
    <t>0097603092 / 252610432</t>
  </si>
  <si>
    <t>Pramudhio Sawerigading Ihsan</t>
  </si>
  <si>
    <t>0106292164 / 252610438</t>
  </si>
  <si>
    <t>Putri Eisya</t>
  </si>
  <si>
    <t>3104085681 / 252610439</t>
  </si>
  <si>
    <t>Putri Zaqiyah</t>
  </si>
  <si>
    <t>0105055522 / 252610461</t>
  </si>
  <si>
    <t>Rahma Marissa</t>
  </si>
  <si>
    <t>0092263541 / 252610485</t>
  </si>
  <si>
    <t>Revan</t>
  </si>
  <si>
    <t>0091178036 / 252610501</t>
  </si>
  <si>
    <t>Safa Naya Adristi</t>
  </si>
  <si>
    <t>0106930882 / 252610520</t>
  </si>
  <si>
    <t>Shirane Ghaniyya Ramadhani</t>
  </si>
  <si>
    <t>0109721617 / 252610555</t>
  </si>
  <si>
    <t>Yasmin Kirani Affifah</t>
  </si>
  <si>
    <t>0101188685 / 252610556</t>
  </si>
  <si>
    <t>Yasmine Almira Queen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</si>
  <si>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</si>
  <si>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: X-4</t>
  </si>
  <si>
    <t>0106136353 / 252610016</t>
  </si>
  <si>
    <t>Ahmad Azmi Mutaarrofi</t>
  </si>
  <si>
    <t>0095491750 / 252610018</t>
  </si>
  <si>
    <t>Ahmad Farely Azriel</t>
  </si>
  <si>
    <t>0087811342 / 252610038</t>
  </si>
  <si>
    <t>Alfian Chaniago</t>
  </si>
  <si>
    <t>0094160993 / 252610045</t>
  </si>
  <si>
    <t>Alleandra Kaif Finandita</t>
  </si>
  <si>
    <t>0103659705 / 252610049</t>
  </si>
  <si>
    <t>Altaira Aqila Myesha Ario</t>
  </si>
  <si>
    <t>0107838813 / 252610056</t>
  </si>
  <si>
    <t>Amira Najwa Fauziyah</t>
  </si>
  <si>
    <t>0108144208 / 252610069</t>
  </si>
  <si>
    <t>Aphrodyta Aurelia Avrilla</t>
  </si>
  <si>
    <t>0096853688 / 252610074</t>
  </si>
  <si>
    <t>Aqueena Putri Salimah</t>
  </si>
  <si>
    <t>0092637367 / 252610132</t>
  </si>
  <si>
    <t>Chairani Kanza Wulandaputri</t>
  </si>
  <si>
    <t>0095522157 / 252610155</t>
  </si>
  <si>
    <t>Dhefa Raditya Putra</t>
  </si>
  <si>
    <t>0098223677 / 252610162</t>
  </si>
  <si>
    <t>Diaz Syeza Zivanna</t>
  </si>
  <si>
    <t>0106545857 / 252610173</t>
  </si>
  <si>
    <t>Dwi Nailah Azhara</t>
  </si>
  <si>
    <t>0108696681 / 252610183</t>
  </si>
  <si>
    <t>Erlangga Ardiyanto</t>
  </si>
  <si>
    <t>0102866245 / 252610188</t>
  </si>
  <si>
    <t>Fahmi Adilla Pasha</t>
  </si>
  <si>
    <t>0107425879 / 252610191</t>
  </si>
  <si>
    <t>Fakhi Zulfia Bilqis Nasyifa</t>
  </si>
  <si>
    <t>0104987304 / 252610216</t>
  </si>
  <si>
    <t>Friska Feby Aulia</t>
  </si>
  <si>
    <t>0104595564 / 252610233</t>
  </si>
  <si>
    <t>Inaya Janeeta</t>
  </si>
  <si>
    <t>0107286739 / 252610258</t>
  </si>
  <si>
    <t>Karnizara Ringga Rabbani</t>
  </si>
  <si>
    <t>0109267722 / 252610260</t>
  </si>
  <si>
    <t>Karunia Dwi Rahmawati</t>
  </si>
  <si>
    <t>0093634061 / 252610266</t>
  </si>
  <si>
    <t>Keisa Wanda Setiawan</t>
  </si>
  <si>
    <t>3091547533 / 252610275</t>
  </si>
  <si>
    <t>Keyno Nazmi Afham</t>
  </si>
  <si>
    <t>0097951249 / 252610282</t>
  </si>
  <si>
    <t>Khansa Vanya Laudya Putri</t>
  </si>
  <si>
    <t>0102015407 / 252610294</t>
  </si>
  <si>
    <t>Lutfi Dwi Melati</t>
  </si>
  <si>
    <t>0106908655 / 252610306</t>
  </si>
  <si>
    <t>Masayu Ganisha Pembayun Putri</t>
  </si>
  <si>
    <t>0092608342 / 252610309</t>
  </si>
  <si>
    <t>Mazaya Aqila Betha Diladena</t>
  </si>
  <si>
    <t>0098979111 / 252610329</t>
  </si>
  <si>
    <t>Muhamad Rizqi Darmawan</t>
  </si>
  <si>
    <t>0105497173 / 252610357</t>
  </si>
  <si>
    <t>Muhammad Ihsan Putra Pamungkas</t>
  </si>
  <si>
    <t>0092028941 / 252610363</t>
  </si>
  <si>
    <t>Muhammad Rafi Kurniawan</t>
  </si>
  <si>
    <t>0097410697 / 252610373</t>
  </si>
  <si>
    <t>Muhammad Sulthon Najib</t>
  </si>
  <si>
    <t>3105173369 / 252610378</t>
  </si>
  <si>
    <t>Muhammad Zaidan Aqil</t>
  </si>
  <si>
    <t>3107700954 / 252610382</t>
  </si>
  <si>
    <t>Mutiara Geisya Nuraini</t>
  </si>
  <si>
    <t>0103461516 / 252610433</t>
  </si>
  <si>
    <t>Priscilia Michelle Pasau</t>
  </si>
  <si>
    <t>0109782055 / 252610435</t>
  </si>
  <si>
    <t>Puffin Rohis Jusup Manurung</t>
  </si>
  <si>
    <t>0108699884 / 252610447</t>
  </si>
  <si>
    <t>Quizal Razky Ahmad</t>
  </si>
  <si>
    <t>0108390462 / 252610472</t>
  </si>
  <si>
    <t>Randy Adiya Pratama Kouw</t>
  </si>
  <si>
    <t>0107960365 / 252610475</t>
  </si>
  <si>
    <t>Ravino Abbas Subaga</t>
  </si>
  <si>
    <t>0104838010 / 252610480</t>
  </si>
  <si>
    <t>Rei Dillan Hartedi</t>
  </si>
  <si>
    <t>0108451246 / 252610483</t>
  </si>
  <si>
    <t>Reni Apriliani</t>
  </si>
  <si>
    <t>3104089400 / 252610492</t>
  </si>
  <si>
    <t>Rizky Putra Kunta Ajie</t>
  </si>
  <si>
    <t>0107731505 / 252610512</t>
  </si>
  <si>
    <t>Shabira Andiani</t>
  </si>
  <si>
    <t>0105775007 / 252610514</t>
  </si>
  <si>
    <t>Shafa Talitha Budiarto</t>
  </si>
  <si>
    <t>0106588309 / 252610515</t>
  </si>
  <si>
    <t>Shahira Hafiza Putri</t>
  </si>
  <si>
    <t>0106219079 / 252610519</t>
  </si>
  <si>
    <t>Sheika Rizki Ramadanti Aurelia</t>
  </si>
  <si>
    <t>0094714082 / 252610533</t>
  </si>
  <si>
    <t>Syahwa Fatmah</t>
  </si>
  <si>
    <t>0102630183 / 252610534</t>
  </si>
  <si>
    <t>Syakira Alma Annisa</t>
  </si>
  <si>
    <t>0106490661 / 252610544</t>
  </si>
  <si>
    <t>Tiara Winni Melia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</si>
  <si>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</si>
  <si>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: X-5</t>
  </si>
  <si>
    <t>0092194625 / 252610004</t>
  </si>
  <si>
    <t>Achmad Ardiansyah</t>
  </si>
  <si>
    <t>3108509756 / 252610013</t>
  </si>
  <si>
    <t>Adrian Muhammad Fadillah</t>
  </si>
  <si>
    <t>0099540724 / 252610022</t>
  </si>
  <si>
    <t>Aira Alessia Adha</t>
  </si>
  <si>
    <t>0107934430 / 252610024</t>
  </si>
  <si>
    <t>Aira Febria Sari</t>
  </si>
  <si>
    <t>0099668827 / 252610034</t>
  </si>
  <si>
    <t>Al Jadid Syafruddin Lubis</t>
  </si>
  <si>
    <t>0102993208 / 252610043</t>
  </si>
  <si>
    <t>Alisya Belva Dhio</t>
  </si>
  <si>
    <t>0104459637 / 252610055</t>
  </si>
  <si>
    <t>Amira Agni Kayla Raisya</t>
  </si>
  <si>
    <t>0104825356 / 252610057</t>
  </si>
  <si>
    <t>Amirah Khalishah Somoal</t>
  </si>
  <si>
    <t>0099339799 / 252610060</t>
  </si>
  <si>
    <t>Anas Legawa Riyadi</t>
  </si>
  <si>
    <t>0098197227 / 252610067</t>
  </si>
  <si>
    <t>Annisa Fitriyani</t>
  </si>
  <si>
    <t>0093274791 / 252610115</t>
  </si>
  <si>
    <t>Bagaskara Bisma Anoka</t>
  </si>
  <si>
    <t>0099900563 / 252610123</t>
  </si>
  <si>
    <t>Bilqis Nikita Aylani</t>
  </si>
  <si>
    <t>0092597384 / 252610163</t>
  </si>
  <si>
    <t>Dilla Novianti Putri</t>
  </si>
  <si>
    <t>3105062394 / 252610166</t>
  </si>
  <si>
    <t>Dinda Aulia</t>
  </si>
  <si>
    <t>0103139137 / 252610205</t>
  </si>
  <si>
    <t>Fathimah Septiani Azahra</t>
  </si>
  <si>
    <t>0091763745 / 252610229</t>
  </si>
  <si>
    <t>Hikmah Septiya</t>
  </si>
  <si>
    <t>0095064549 / 252610230</t>
  </si>
  <si>
    <t>Hilmi Ardhana Fuady</t>
  </si>
  <si>
    <t>3098845163 / 252610245</t>
  </si>
  <si>
    <t>Jevelin Ambarep Putri</t>
  </si>
  <si>
    <t>0104630358 / 252610281</t>
  </si>
  <si>
    <t>Khansa Tabita Aura Sakhi</t>
  </si>
  <si>
    <t>0097535113 / 252610286</t>
  </si>
  <si>
    <t>Lalitya Namu Wangundahina</t>
  </si>
  <si>
    <t>0094686372 / 252610299</t>
  </si>
  <si>
    <t>Mahira Aqila Azra</t>
  </si>
  <si>
    <t>0108578906 / 252610322</t>
  </si>
  <si>
    <t>Muhamad Adri Fachry</t>
  </si>
  <si>
    <t>3107979922 / 252610323</t>
  </si>
  <si>
    <t>Muhamad Gaza Al-Mahdi</t>
  </si>
  <si>
    <t>0105902624 / 252610361</t>
  </si>
  <si>
    <t>Muhammad Naufal Rhesa Fernando</t>
  </si>
  <si>
    <t>0095937017 / 252610366</t>
  </si>
  <si>
    <t>Muhammad Raya Al Maghfirah</t>
  </si>
  <si>
    <t>3094594523 / 252610374</t>
  </si>
  <si>
    <t>Muhammad Tristan Sanjaya</t>
  </si>
  <si>
    <t>0092479207 / 252610379</t>
  </si>
  <si>
    <t>Muhammad Zaidan Wibowo</t>
  </si>
  <si>
    <t>0092223990 / 252610384</t>
  </si>
  <si>
    <t>Nabilah Shakeela Kusuma</t>
  </si>
  <si>
    <t>0104434944 / 252610401</t>
  </si>
  <si>
    <t>Naufal Aditama</t>
  </si>
  <si>
    <t>0108770789 / 252610412</t>
  </si>
  <si>
    <t>Nayyira Ghania Mehnaz</t>
  </si>
  <si>
    <t>0101523916 / 252610414</t>
  </si>
  <si>
    <t>Nazwa Nur Rahmah</t>
  </si>
  <si>
    <t>3099045754 / 252610427</t>
  </si>
  <si>
    <t>Nurul Aulia Ramadhani</t>
  </si>
  <si>
    <t>0104883711 / 252610429</t>
  </si>
  <si>
    <t>Ohan Marhadi Haryono</t>
  </si>
  <si>
    <t>3099055467 / 252610437</t>
  </si>
  <si>
    <t>Puthik Ramadani</t>
  </si>
  <si>
    <t>0092103124 / 252610450</t>
  </si>
  <si>
    <t>Raden Chintya Dewi Maharani</t>
  </si>
  <si>
    <t>0102081772 / 252610451</t>
  </si>
  <si>
    <t>Raden Ciara Za Syahluna</t>
  </si>
  <si>
    <t>0097864614 / 252610471</t>
  </si>
  <si>
    <t>Rama Andhika</t>
  </si>
  <si>
    <t>0093090773 / 252610481</t>
  </si>
  <si>
    <t>Reisha Azzahra Pramesti</t>
  </si>
  <si>
    <t>0095160472 / 252610488</t>
  </si>
  <si>
    <t>Rheiska Amelia</t>
  </si>
  <si>
    <t>0092402487 / 252610507</t>
  </si>
  <si>
    <t>Salsabila Kinaya</t>
  </si>
  <si>
    <t>0092706472 / 252610535</t>
  </si>
  <si>
    <t>Syarafina Nur Alifatuzahro</t>
  </si>
  <si>
    <t>0105183684 / 252610540</t>
  </si>
  <si>
    <t>Tanty Amelia Al Rasyid</t>
  </si>
  <si>
    <t>0098052333 / 252610543</t>
  </si>
  <si>
    <t>Teduh Mutiara Hapsari</t>
  </si>
  <si>
    <t>3094664028 / 252610549</t>
  </si>
  <si>
    <t>Tubagus Mochamad Rizki Fauzan Al Faris</t>
  </si>
  <si>
    <t>0099429653 / 252610554</t>
  </si>
  <si>
    <t>Yanza Rizkia Salsabillah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</si>
  <si>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</si>
  <si>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: X-6</t>
  </si>
  <si>
    <t>0096316890 / 252610005</t>
  </si>
  <si>
    <t>Achmad Firza Ghibran</t>
  </si>
  <si>
    <t>0091825991 / 252610009</t>
  </si>
  <si>
    <t>Adi Pati Jaya Prana</t>
  </si>
  <si>
    <t>0094216872 / 252610036</t>
  </si>
  <si>
    <t>Alfany Himma Roudina</t>
  </si>
  <si>
    <t>3093210071 / 252610042</t>
  </si>
  <si>
    <t>Alisa Putri</t>
  </si>
  <si>
    <t>0099344894 / 252610072</t>
  </si>
  <si>
    <t>Aqila Noya Faiza</t>
  </si>
  <si>
    <t>0109520546 / 252610120</t>
  </si>
  <si>
    <t>Bernala Baratama Sirait</t>
  </si>
  <si>
    <t>0104799326 / 252610134</t>
  </si>
  <si>
    <t>Chempaka Balqist Zavira Mentary Misman</t>
  </si>
  <si>
    <t>0081552525 / 252610150</t>
  </si>
  <si>
    <t>Defrino Viernadi Laitnis Yusfa</t>
  </si>
  <si>
    <t>0099286083 / 252610157</t>
  </si>
  <si>
    <t>Dhia Salsabila</t>
  </si>
  <si>
    <t>0093451857 / 252610167</t>
  </si>
  <si>
    <t>Dinda Dyah Pitaloka</t>
  </si>
  <si>
    <t>0074430959 / 252610172</t>
  </si>
  <si>
    <t>Dwi Irmawati</t>
  </si>
  <si>
    <t>0096744611 / 252610176</t>
  </si>
  <si>
    <t>Egi Surjana</t>
  </si>
  <si>
    <t>0091620147 / 252610189</t>
  </si>
  <si>
    <t>Faiha Raqilla Darmawan</t>
  </si>
  <si>
    <t>0093286261 / 252610194</t>
  </si>
  <si>
    <t>Fanesya Agfrisfidia</t>
  </si>
  <si>
    <t>0092383688 / 252610195</t>
  </si>
  <si>
    <t>Fanisa Nurkamila Hamdani</t>
  </si>
  <si>
    <t>0096185979 / 252610198</t>
  </si>
  <si>
    <t>Farhan Benzema</t>
  </si>
  <si>
    <t>0094160236 / 252610209</t>
  </si>
  <si>
    <t>Fauzi Castle Satara</t>
  </si>
  <si>
    <t>0101705316 / 252610210</t>
  </si>
  <si>
    <t>Febri Afriani</t>
  </si>
  <si>
    <t>3090346201 / 252610214</t>
  </si>
  <si>
    <t>Freja Aira Anindhita</t>
  </si>
  <si>
    <t>0107948623 / 252610227</t>
  </si>
  <si>
    <t>Hasfa Zulfana Nahdah</t>
  </si>
  <si>
    <t>0105199862 / 252610249</t>
  </si>
  <si>
    <t>Joceline Sisca Lumongga Manurung</t>
  </si>
  <si>
    <t>0099375007 / 252610273</t>
  </si>
  <si>
    <t>Keyla Putri Saksono</t>
  </si>
  <si>
    <t>0109221606 / 252610279</t>
  </si>
  <si>
    <t>Khalisa Silmi Jovita Warsito</t>
  </si>
  <si>
    <t>0094583694 / 252610285</t>
  </si>
  <si>
    <t>Kharisma Zahra Tiara Putri</t>
  </si>
  <si>
    <t>0109522386 / 252610308</t>
  </si>
  <si>
    <t>Mawar Aprilliana</t>
  </si>
  <si>
    <t>0095079380 / 252610312</t>
  </si>
  <si>
    <t>Mentari Dwi Anggraini</t>
  </si>
  <si>
    <t>0098849299 / 252610342</t>
  </si>
  <si>
    <t>Muhammad Azzam Ananda Fatahilah</t>
  </si>
  <si>
    <t>0108710844 / 252610355</t>
  </si>
  <si>
    <t>Muhammad Hafizh Arrantisi</t>
  </si>
  <si>
    <t>0103242050 / 252610360</t>
  </si>
  <si>
    <t>Muhammad Musyaffa Latief</t>
  </si>
  <si>
    <t>0095549480 / 252610394</t>
  </si>
  <si>
    <t>Najwa Citra Lestari</t>
  </si>
  <si>
    <t>0108065698 / 252610410</t>
  </si>
  <si>
    <t>Nayra Putri Sagita</t>
  </si>
  <si>
    <t>0106380486 / 252610442</t>
  </si>
  <si>
    <t>Queensha Amiradana Putri Hamka</t>
  </si>
  <si>
    <t>0101582567 / 252610446</t>
  </si>
  <si>
    <t>Quinsha Rizkya Irawan</t>
  </si>
  <si>
    <t>0092020564 / 252610449</t>
  </si>
  <si>
    <t>Raasyid Zhariif Santoso</t>
  </si>
  <si>
    <t>0107445789 / 252610456</t>
  </si>
  <si>
    <t>Raditya Rafa Abdillah</t>
  </si>
  <si>
    <t>0094690365 / 252610478</t>
  </si>
  <si>
    <t>Raynar Abiyu Diera</t>
  </si>
  <si>
    <t>0093623051 / 252610479</t>
  </si>
  <si>
    <t>Rayyan Wahyu Ramadhan</t>
  </si>
  <si>
    <t>0108406931 / 252610484</t>
  </si>
  <si>
    <t>Reva Aulia Putri</t>
  </si>
  <si>
    <t>0104171202 / 252610486</t>
  </si>
  <si>
    <t>Revina Apriza</t>
  </si>
  <si>
    <t>3096816288 / 252610495</t>
  </si>
  <si>
    <t>Rossy Indriyati</t>
  </si>
  <si>
    <t>0102698949 / 252610505</t>
  </si>
  <si>
    <t>Salsa Kirana Putri</t>
  </si>
  <si>
    <t>3096600612 / 252610517</t>
  </si>
  <si>
    <t>Shalomieta Aira Kinaya</t>
  </si>
  <si>
    <t>0106462308 / 252610528</t>
  </si>
  <si>
    <t>Syahdan Akbar Mara Putra</t>
  </si>
  <si>
    <t>0101383149 / 252610529</t>
  </si>
  <si>
    <t>Syahla Adzkannisa Vuzela</t>
  </si>
  <si>
    <t>0107096617 / 252610541</t>
  </si>
  <si>
    <t>Taufik Hidayah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</si>
  <si>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</si>
  <si>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: X-7</t>
  </si>
  <si>
    <t>0101303057 / 252610006</t>
  </si>
  <si>
    <t>Adara Luthfia Putri</t>
  </si>
  <si>
    <t>0109597144 / 252610017</t>
  </si>
  <si>
    <t>Ahmad Fahri Hidayat</t>
  </si>
  <si>
    <t>3096764634 / 252610025</t>
  </si>
  <si>
    <t>Aira Kirana</t>
  </si>
  <si>
    <t>0094347087 / 252610044</t>
  </si>
  <si>
    <t>Aliya Trianzani Putri</t>
  </si>
  <si>
    <t>0101401010 / 252610051</t>
  </si>
  <si>
    <t>Alya Silvana Sarifah</t>
  </si>
  <si>
    <t>0106758481 / 252610064</t>
  </si>
  <si>
    <t>Anindya Estyana Damayanti</t>
  </si>
  <si>
    <t>0092241333 / 252610113</t>
  </si>
  <si>
    <t>Azri Aditya Amada</t>
  </si>
  <si>
    <t>0102239764 / 252610140</t>
  </si>
  <si>
    <t>Clara Dwi Cahya</t>
  </si>
  <si>
    <t>0108763766 / 252610141</t>
  </si>
  <si>
    <t>Clarisa Meidiana</t>
  </si>
  <si>
    <t>0103120702 / 252610144</t>
  </si>
  <si>
    <t>Daffa Khoirul Fajri</t>
  </si>
  <si>
    <t>0099164493 / 252610156</t>
  </si>
  <si>
    <t>Dhia Devita Ramadhani</t>
  </si>
  <si>
    <t>0093281671 / 252610159</t>
  </si>
  <si>
    <t>Diajeng Inggil Lintang Aulia</t>
  </si>
  <si>
    <t>0091524155 / 252610179</t>
  </si>
  <si>
    <t>Elgiva Damara Sanchia</t>
  </si>
  <si>
    <t>0094004131 / 252610182</t>
  </si>
  <si>
    <t>Enzo Asido Rama Raditya</t>
  </si>
  <si>
    <t>0107042804 / 252610197</t>
  </si>
  <si>
    <t>Farhan Abdurrahman Yusuf</t>
  </si>
  <si>
    <t>0094782869 / 252610200</t>
  </si>
  <si>
    <t>Faris Razwa Sambega</t>
  </si>
  <si>
    <t>0107335774 / 252610221</t>
  </si>
  <si>
    <t>Ghaniyah Adelia</t>
  </si>
  <si>
    <t>3103220251 / 252610225</t>
  </si>
  <si>
    <t>Hafizh Mumtaz</t>
  </si>
  <si>
    <t>0093078917 / 252610252</t>
  </si>
  <si>
    <t>Juan Pirlo Benzema</t>
  </si>
  <si>
    <t>0106222604 / 252610254</t>
  </si>
  <si>
    <t>Kania Putriana Yaswin</t>
  </si>
  <si>
    <t>0105055119 / 252610264</t>
  </si>
  <si>
    <t>Kaysa Maharani Sofyan</t>
  </si>
  <si>
    <t>0096544983 / 252610268</t>
  </si>
  <si>
    <t>Keisya Andhita Kirana Putri</t>
  </si>
  <si>
    <t>3093288409 / 252610291</t>
  </si>
  <si>
    <t>Livia Vidyadhara</t>
  </si>
  <si>
    <t>0103468589 / 252610300</t>
  </si>
  <si>
    <t>Manar Abbas Bawazir</t>
  </si>
  <si>
    <t>0104328116 / 252610318</t>
  </si>
  <si>
    <t>Mohammad Arsa Dafansyah</t>
  </si>
  <si>
    <t>0093678218 / 252610333</t>
  </si>
  <si>
    <t>Muhamad Yusuf Zarkasi</t>
  </si>
  <si>
    <t>0093828028 / 252610340</t>
  </si>
  <si>
    <t>Muhammad Arsyal Divo Firmansyah</t>
  </si>
  <si>
    <t>0109769349 / 252610345</t>
  </si>
  <si>
    <t>Muhammad Danish Fathul Ulum</t>
  </si>
  <si>
    <t>0093629282 / 252610352</t>
  </si>
  <si>
    <t>Muhammad Fathandra Rizki</t>
  </si>
  <si>
    <t>0095243962 / 252610354</t>
  </si>
  <si>
    <t>Muhammad Gabriel</t>
  </si>
  <si>
    <t>0105755550 / 252610383</t>
  </si>
  <si>
    <t>Myiesha Lunar Wisesa Putri</t>
  </si>
  <si>
    <t>0106828126 / 252610389</t>
  </si>
  <si>
    <t>Nadila Safira</t>
  </si>
  <si>
    <t>0097673142 / 252610404</t>
  </si>
  <si>
    <t>Naurah Afifah Amaliyah</t>
  </si>
  <si>
    <t>0107698921 / 252610409</t>
  </si>
  <si>
    <t>Nayla Widya Cakraprawartana</t>
  </si>
  <si>
    <t>0098514088 / 252610428</t>
  </si>
  <si>
    <t>Nydia Aisyah Allifia</t>
  </si>
  <si>
    <t>0108129059 / 252610464</t>
  </si>
  <si>
    <t>Raihana Humairah Budianto</t>
  </si>
  <si>
    <t>0109551129 / 252610466</t>
  </si>
  <si>
    <t>Raisa Putri Rahima</t>
  </si>
  <si>
    <t>0096444734 / 252610491</t>
  </si>
  <si>
    <t>Rindu Gatari Asmiladi</t>
  </si>
  <si>
    <t>0107487290 / 252610504</t>
  </si>
  <si>
    <t>Salman Latif Anshari</t>
  </si>
  <si>
    <t>3102286552 / 252610523</t>
  </si>
  <si>
    <t>Siti Iklima Sakurani</t>
  </si>
  <si>
    <t>0107936085 / 252610525</t>
  </si>
  <si>
    <t>Sultan Reynard Sabdadika</t>
  </si>
  <si>
    <t>0106701592 / 252610527</t>
  </si>
  <si>
    <t>Syafiqa Bariq Mahya</t>
  </si>
  <si>
    <t>0104155224 / 252610532</t>
  </si>
  <si>
    <t>Syahluna Ananta Putri</t>
  </si>
  <si>
    <t>0097446281 / 252610539</t>
  </si>
  <si>
    <t>Tabah Rafie Abdillah</t>
  </si>
  <si>
    <t>0105614197 / 252610547</t>
  </si>
  <si>
    <t>Tristan Lovriano Aryasatya</t>
  </si>
  <si>
    <t>0109499801 / 252610559</t>
  </si>
  <si>
    <t>Zafira Salsa Haniah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</si>
  <si>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</si>
  <si>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: X-8</t>
  </si>
  <si>
    <t>0093560012 / 252610007</t>
  </si>
  <si>
    <t>Adelia Niken</t>
  </si>
  <si>
    <t>0092017710 / 252610028</t>
  </si>
  <si>
    <t>Aisyah Agustiani</t>
  </si>
  <si>
    <t>0098009248 / 252610035</t>
  </si>
  <si>
    <t>Alenka Meisyarofa</t>
  </si>
  <si>
    <t>3105167232 / 252610040</t>
  </si>
  <si>
    <t>Alifa Taqqiya Zahwa</t>
  </si>
  <si>
    <t>0107122505 / 252610041</t>
  </si>
  <si>
    <t>Alifah Hasannah</t>
  </si>
  <si>
    <t>0104668456 / 252610061</t>
  </si>
  <si>
    <t>Andagita Vilnaira Atha</t>
  </si>
  <si>
    <t>0102036572 / 252610077</t>
  </si>
  <si>
    <t>Ariqah Putri Nasution</t>
  </si>
  <si>
    <t>0102307654 / 252610097</t>
  </si>
  <si>
    <t>Aulia Cinta Divia</t>
  </si>
  <si>
    <t>0105089607 / 252610108</t>
  </si>
  <si>
    <t>Aysha Mahira Dewi Tryana</t>
  </si>
  <si>
    <t>0096174502 / 252610118</t>
  </si>
  <si>
    <t>Belinda Angelica</t>
  </si>
  <si>
    <t>0092180086 / 252610125</t>
  </si>
  <si>
    <t>Bima Anggareksa Yusiansyah</t>
  </si>
  <si>
    <t>3094942931 / 252610151</t>
  </si>
  <si>
    <t>Dela Ananda Putri</t>
  </si>
  <si>
    <t>0103091510 / 252610160</t>
  </si>
  <si>
    <t>Dian Noer Savitri</t>
  </si>
  <si>
    <t>0093558313 / 252610161</t>
  </si>
  <si>
    <t>Diandra Mentari Fazri</t>
  </si>
  <si>
    <t>0093242338 / 252610170</t>
  </si>
  <si>
    <t>Divania Kayla Windu Sabrina</t>
  </si>
  <si>
    <t>0095632017 / 252610174</t>
  </si>
  <si>
    <t>Dyshan Attaya Haq Triatno</t>
  </si>
  <si>
    <t>0099446424 / 252610199</t>
  </si>
  <si>
    <t>Farid Pradana</t>
  </si>
  <si>
    <t>0103174946 / 252610203</t>
  </si>
  <si>
    <t>Fathia Adilla Ramsha</t>
  </si>
  <si>
    <t>0101801767 / 252610223</t>
  </si>
  <si>
    <t>Gracia Valen Manik</t>
  </si>
  <si>
    <t>0107691976 / 252610255</t>
  </si>
  <si>
    <t>Kania Wismar Adnyana</t>
  </si>
  <si>
    <t>0101976221 / 252610265</t>
  </si>
  <si>
    <t>Kaysan Umar Azka Setiawan</t>
  </si>
  <si>
    <t>0092212305 / 252610293</t>
  </si>
  <si>
    <t>Luqman Aziz Saputro</t>
  </si>
  <si>
    <t>0102160006 / 252610314</t>
  </si>
  <si>
    <t>Mirza Maulana Altamis</t>
  </si>
  <si>
    <t>0105918833 / 252610321</t>
  </si>
  <si>
    <t>Mouris Marcha Adisty</t>
  </si>
  <si>
    <t>0099772945 / 252610324</t>
  </si>
  <si>
    <t>Muhamad Ilham Akbar</t>
  </si>
  <si>
    <t>0094259451 / 252610326</t>
  </si>
  <si>
    <t>Muhamad Mustakim</t>
  </si>
  <si>
    <t>0107525738 / 252610349</t>
  </si>
  <si>
    <t>Muhammad Faiz Fathian</t>
  </si>
  <si>
    <t>3107499493 / 252610350</t>
  </si>
  <si>
    <t>Muhammad Fariz Nuh</t>
  </si>
  <si>
    <t>3108018555 / 252610353</t>
  </si>
  <si>
    <t>Muhammad Fawaz Ali</t>
  </si>
  <si>
    <t>0091031385 / 252610364</t>
  </si>
  <si>
    <t>Muhammad Rafli Ramsha</t>
  </si>
  <si>
    <t>0111220217 / 252610376</t>
  </si>
  <si>
    <t>Muhammad Yafiargi Simbangando</t>
  </si>
  <si>
    <t>0098938532 / 252610392</t>
  </si>
  <si>
    <t>Naila Khansa Rahmawati</t>
  </si>
  <si>
    <t>3109348901 / 252610395</t>
  </si>
  <si>
    <t>Namira Nur Azkia</t>
  </si>
  <si>
    <t>0091281050 / 252610399</t>
  </si>
  <si>
    <t>Naswa Ramadhani</t>
  </si>
  <si>
    <t>0107347265 / 252610408</t>
  </si>
  <si>
    <t>Nayla Ulya Taqiyya</t>
  </si>
  <si>
    <t>0105961239 / 252610413</t>
  </si>
  <si>
    <t>Nazwa Malika Asral</t>
  </si>
  <si>
    <t>0095193509 / 252610421</t>
  </si>
  <si>
    <t>Ni'Matul Aulia Ningtias</t>
  </si>
  <si>
    <t>0105803552 / 252610420</t>
  </si>
  <si>
    <t>Nikesha Nashwa Damara</t>
  </si>
  <si>
    <t>0109599363 / 252610444</t>
  </si>
  <si>
    <t>Quensha Rahayu Kusuma Agora</t>
  </si>
  <si>
    <t>0105462734 / 252610445</t>
  </si>
  <si>
    <t>Quincha Aura Brilliani</t>
  </si>
  <si>
    <t>0097882314 / 252610463</t>
  </si>
  <si>
    <t>Raihan Farras Sutisna</t>
  </si>
  <si>
    <t>0099739465 / 252610470</t>
  </si>
  <si>
    <t>Raka Syabany Amsyah</t>
  </si>
  <si>
    <t>0102838068 / 252610500</t>
  </si>
  <si>
    <t>Ryzen Gevandra Wirapratama</t>
  </si>
  <si>
    <t>0107357472 / 252610522</t>
  </si>
  <si>
    <t>Sinta Dwi Nuri Widodo</t>
  </si>
  <si>
    <t>0093433461 / 252610536</t>
  </si>
  <si>
    <t>Syarifah Nur Salsabila</t>
  </si>
  <si>
    <t>0108340159 / 252610548</t>
  </si>
  <si>
    <t>Tsamara Privita Sya'Ban Syahdu</t>
  </si>
  <si>
    <t>0094438921 / 252610558</t>
  </si>
  <si>
    <t>Yuzusie Aida Nenat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</si>
  <si>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</si>
  <si>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: X-9</t>
  </si>
  <si>
    <t>0106681838 / 252610003</t>
  </si>
  <si>
    <t>Abyan Zuka Ibrahim Nasution</t>
  </si>
  <si>
    <t>0108974704 / 252610019</t>
  </si>
  <si>
    <t>Ahmad Hafidz Anwar</t>
  </si>
  <si>
    <t>0105339420 / 252610027</t>
  </si>
  <si>
    <t>Aishanna Latifa Harjono</t>
  </si>
  <si>
    <t>0093799489 / 252610071</t>
  </si>
  <si>
    <t>Aqila Elmohri</t>
  </si>
  <si>
    <t>3111697965 / 252610073</t>
  </si>
  <si>
    <t>Aqilla Al-Farabi</t>
  </si>
  <si>
    <t>0102592413 / 252610078</t>
  </si>
  <si>
    <t>Ariyo Raditya Putra</t>
  </si>
  <si>
    <t>0099452000 / 252610086</t>
  </si>
  <si>
    <t>Asshafa Nur Intan</t>
  </si>
  <si>
    <t>0093343311 / 252610092</t>
  </si>
  <si>
    <t>Attar Palestine Taha</t>
  </si>
  <si>
    <t>0102924778 / 252610095</t>
  </si>
  <si>
    <t>Aufa Khairunnisa</t>
  </si>
  <si>
    <t>0108974038 / 252610117</t>
  </si>
  <si>
    <t>Balqis Luthfiyah Zahra</t>
  </si>
  <si>
    <t>0104378571 / 252610133</t>
  </si>
  <si>
    <t>Chayra Putri Dwinata</t>
  </si>
  <si>
    <t>0107900663 / 252610135</t>
  </si>
  <si>
    <t>Cheryl Anandiora</t>
  </si>
  <si>
    <t>0091254694 / 252610146</t>
  </si>
  <si>
    <t>Dahayu Nadhilah Syafa</t>
  </si>
  <si>
    <t>0108673369 / 252610178</t>
  </si>
  <si>
    <t>Elen Vanesyah Wahyudi</t>
  </si>
  <si>
    <t>0097946386 / 252610211</t>
  </si>
  <si>
    <t>Fitrah Thirafi</t>
  </si>
  <si>
    <t>0099535255 / 252610212</t>
  </si>
  <si>
    <t>Fitri Rahmawati</t>
  </si>
  <si>
    <t>0094573200 / 252610220</t>
  </si>
  <si>
    <t>Ghaniah Aqilah</t>
  </si>
  <si>
    <t>0114593936 / 252610231</t>
  </si>
  <si>
    <t>Hizam Kynan Putra Purwanto</t>
  </si>
  <si>
    <t>0109669821 / 252610232</t>
  </si>
  <si>
    <t>Ilham Rizki Pratama</t>
  </si>
  <si>
    <t>0103695549 / 252610236</t>
  </si>
  <si>
    <t>Izaz Izzatul Islam</t>
  </si>
  <si>
    <t>0095770160 / 252610240</t>
  </si>
  <si>
    <t>Jazila Abid Niyaz Chan Lase</t>
  </si>
  <si>
    <t>0106852675 / 252610248</t>
  </si>
  <si>
    <t>Jihan Nailatusy Syarafah</t>
  </si>
  <si>
    <t>0094047198 / 252610256</t>
  </si>
  <si>
    <t>Kanza Olivia Ramadhani</t>
  </si>
  <si>
    <t>0102372511 / 252610263</t>
  </si>
  <si>
    <t>Kayla Tria Fatarani</t>
  </si>
  <si>
    <t>0098113225 / 252610297</t>
  </si>
  <si>
    <t>Mahera Raisha Davanita Faizal</t>
  </si>
  <si>
    <t>0103979225 / 252610325</t>
  </si>
  <si>
    <t>Muhamad Juan Arkhan</t>
  </si>
  <si>
    <t>0095022365 / 252610337</t>
  </si>
  <si>
    <t>Muhammad Ariel Setiawan</t>
  </si>
  <si>
    <t>0104557332 / 252610341</t>
  </si>
  <si>
    <t>Muhammad Azka Shahizinda</t>
  </si>
  <si>
    <t>0092772943 / 252610344</t>
  </si>
  <si>
    <t>Muhammad Daffa Alfarizki</t>
  </si>
  <si>
    <t>0098897790 / 252610347</t>
  </si>
  <si>
    <t>Muhammad Fadil Ranoval</t>
  </si>
  <si>
    <t>0101059940 / 252610358</t>
  </si>
  <si>
    <t>Muhammad In'Amul Aufa</t>
  </si>
  <si>
    <t>0094119764 / 252610368</t>
  </si>
  <si>
    <t>Muhammad Reyhan Alfariky</t>
  </si>
  <si>
    <t>0096882416 / 252610372</t>
  </si>
  <si>
    <t>Muhammad Sayyid Amjad</t>
  </si>
  <si>
    <t>0093640113 / 252610397</t>
  </si>
  <si>
    <t>Nararya Hylmi Kenzie</t>
  </si>
  <si>
    <t>0097910400 / 252610425</t>
  </si>
  <si>
    <t>Nur Azizah</t>
  </si>
  <si>
    <t>0091134035 / 252610441</t>
  </si>
  <si>
    <t>Qitrie Anisa Khaeri</t>
  </si>
  <si>
    <t>0106245820 / 252610457</t>
  </si>
  <si>
    <t>Radya Camilla Arinda</t>
  </si>
  <si>
    <t>0101902217 / 252610460</t>
  </si>
  <si>
    <t>Rahardian Muhamad Abisiena Koeswara</t>
  </si>
  <si>
    <t>0094238472 / 252610465</t>
  </si>
  <si>
    <t>Raihana Syafiqah Andyni</t>
  </si>
  <si>
    <t>3096149866 / 252610473</t>
  </si>
  <si>
    <t>Rassya Faiq Hibatullah</t>
  </si>
  <si>
    <t>0106183087 / 252610487</t>
  </si>
  <si>
    <t>Reynaldi</t>
  </si>
  <si>
    <t>0107182326 / 252610511</t>
  </si>
  <si>
    <t>Sekar Raynaningrum</t>
  </si>
  <si>
    <t>0099107315 / 252610530</t>
  </si>
  <si>
    <t>Syahla Nurul Arisma</t>
  </si>
  <si>
    <t>0094680852 / 252610537</t>
  </si>
  <si>
    <t>Syauqi Anandya Putri</t>
  </si>
  <si>
    <t>0098348385 / 252610542</t>
  </si>
  <si>
    <t>Tayya Dzulhijjah Mokodompit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</si>
  <si>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</si>
  <si>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: X-10</t>
  </si>
  <si>
    <t>0096033014 / 252610001</t>
  </si>
  <si>
    <t>Abdul Ghofar</t>
  </si>
  <si>
    <t>0104072965 / 252610012</t>
  </si>
  <si>
    <t>Aditya Bayu Sutanto</t>
  </si>
  <si>
    <t>2107246447 / 252610014</t>
  </si>
  <si>
    <t>Affy Kaew Ni'Mitr Alhanafi</t>
  </si>
  <si>
    <t>0096128036 / 252610020</t>
  </si>
  <si>
    <t>Ahmad Husein Al Latief</t>
  </si>
  <si>
    <t>0107055406 / 252610032</t>
  </si>
  <si>
    <t>Akram Mubarak</t>
  </si>
  <si>
    <t>0108389311 / 252610037</t>
  </si>
  <si>
    <t>Alfi Amalia</t>
  </si>
  <si>
    <t>0097357764 / 252610054</t>
  </si>
  <si>
    <t>Amelia Nur Zahra</t>
  </si>
  <si>
    <t>0102387971 / 252610059</t>
  </si>
  <si>
    <t>Ananda Bari Al Kausar</t>
  </si>
  <si>
    <t>0092171774 / 252610089</t>
  </si>
  <si>
    <t>Ataya Arkan Ramadhan</t>
  </si>
  <si>
    <t>0103134538 / 252610091</t>
  </si>
  <si>
    <t>Athaya Muhammad Daffa</t>
  </si>
  <si>
    <t>0104895570 / 252610099</t>
  </si>
  <si>
    <t>Aura Nabilah Zahirah</t>
  </si>
  <si>
    <t>0099138854 / 252610103</t>
  </si>
  <si>
    <t>Aurora Putri Samudra Dwiko</t>
  </si>
  <si>
    <t>0105133490 / 252610119</t>
  </si>
  <si>
    <t>Belva Thalita Ramadhena</t>
  </si>
  <si>
    <t>0099153455 / 252610128</t>
  </si>
  <si>
    <t>Bintang Mahardika Abhyoso Ardy</t>
  </si>
  <si>
    <t>0094286208 / 252610142</t>
  </si>
  <si>
    <t>Claudia Dominique Gabriella Torus</t>
  </si>
  <si>
    <t>0103526904 / 252610165</t>
  </si>
  <si>
    <t>Dinara Savina</t>
  </si>
  <si>
    <t>0098248691 / 252610168</t>
  </si>
  <si>
    <t>Dinda Syifa Rahmayanti</t>
  </si>
  <si>
    <t>0105616025 / 252610169</t>
  </si>
  <si>
    <t>Dindin Andini Suryaman</t>
  </si>
  <si>
    <t>0102329313 / 252610222</t>
  </si>
  <si>
    <t>Gita Tazkiyatunnisa</t>
  </si>
  <si>
    <t>0094626978 / 252610226</t>
  </si>
  <si>
    <t>Haifa Aysha Zahira</t>
  </si>
  <si>
    <t>0093849649 / 252610234</t>
  </si>
  <si>
    <t>Intan Dwi Novianingrum</t>
  </si>
  <si>
    <t>0102890859 / 252610235</t>
  </si>
  <si>
    <t>Isnaini Fauziyah Utomo</t>
  </si>
  <si>
    <t>0107943430 / 252610242</t>
  </si>
  <si>
    <t>Jeremia Geraldo Siregar</t>
  </si>
  <si>
    <t>0102210036 / 252610243</t>
  </si>
  <si>
    <t>Jerry Dwi Cahyono Putro</t>
  </si>
  <si>
    <t>3099544859 / 252610251</t>
  </si>
  <si>
    <t>Jovan Khayru Affandi</t>
  </si>
  <si>
    <t>0104574006 / 252610262</t>
  </si>
  <si>
    <t>Kayla Althafunnisa Arrasyid</t>
  </si>
  <si>
    <t>0094966956 / 252610272</t>
  </si>
  <si>
    <t>Keyla Ananda Safitri</t>
  </si>
  <si>
    <t>0102208567 / 252610283</t>
  </si>
  <si>
    <t>Khanza Aprillia Risyadi</t>
  </si>
  <si>
    <t>3101402781 / 252610305</t>
  </si>
  <si>
    <t>Maroen Al-Fatih Ibrahimessi</t>
  </si>
  <si>
    <t>0098516941 / 252610327</t>
  </si>
  <si>
    <t>Muhamad Raihan Rizqullah</t>
  </si>
  <si>
    <t>0113735828 / 252610335</t>
  </si>
  <si>
    <t>Muhammad Akhtar Arkana Ramadhan</t>
  </si>
  <si>
    <t>0109589144 / 252610375</t>
  </si>
  <si>
    <t>Muhammad Tsafiq Ihsan</t>
  </si>
  <si>
    <t>0108105659 / 252610396</t>
  </si>
  <si>
    <t>Naqeesyaa Dhanova Al Adzra</t>
  </si>
  <si>
    <t>0091758520 / 252610402</t>
  </si>
  <si>
    <t>Naufal Arzharel Ibrahimovic</t>
  </si>
  <si>
    <t>0093643944 / 252610403</t>
  </si>
  <si>
    <t>Naura Luvenavita Krisdianto</t>
  </si>
  <si>
    <t>0106941532 / 252610406</t>
  </si>
  <si>
    <t>Nava Marietta Siahaan</t>
  </si>
  <si>
    <t>0109464483 / 252610443</t>
  </si>
  <si>
    <t>Queensha Anindya Azka</t>
  </si>
  <si>
    <t>3103591489 / 252610459</t>
  </si>
  <si>
    <t>Rafael Anhar Armando</t>
  </si>
  <si>
    <t>0097831413 / 252610462</t>
  </si>
  <si>
    <t>Rahmania Azahra</t>
  </si>
  <si>
    <t>0094313180 / 252610469</t>
  </si>
  <si>
    <t>Raivan Elang Pramono</t>
  </si>
  <si>
    <t>0093204066 / 252610493</t>
  </si>
  <si>
    <t>Rizqiyanah Qaysarania Herawan</t>
  </si>
  <si>
    <t>0108540094 / 252610509</t>
  </si>
  <si>
    <t>Salsha Aulia Akbar</t>
  </si>
  <si>
    <t>0108413702 / 252610510</t>
  </si>
  <si>
    <t>Sashikirana Luvena Maheswari</t>
  </si>
  <si>
    <t>0108718382 / 252610521</t>
  </si>
  <si>
    <t>Silvya Sri Aprilianti</t>
  </si>
  <si>
    <t>0099775444 / 252610526</t>
  </si>
  <si>
    <t>Syaakhira Fauziah</t>
  </si>
  <si>
    <t>0093324313 / 252610552</t>
  </si>
  <si>
    <t>Vincentius Daniel Ornando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</si>
  <si>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</si>
  <si>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: X-11</t>
  </si>
  <si>
    <t>0109542213 / 252610010</t>
  </si>
  <si>
    <t>Adinda Garnetha Prasistha</t>
  </si>
  <si>
    <t>0108324867 / 252610031</t>
  </si>
  <si>
    <t>Ajeng Adisty Fahira</t>
  </si>
  <si>
    <t>0109013664 / 252610033</t>
  </si>
  <si>
    <t>Al Fathdry Rizky Wibowo</t>
  </si>
  <si>
    <t>0108561560 / 252610047</t>
  </si>
  <si>
    <t>Almira Aprilia Putri</t>
  </si>
  <si>
    <t>0096963702 / 252610066</t>
  </si>
  <si>
    <t>Anndita</t>
  </si>
  <si>
    <t>0091952413 / 252610085</t>
  </si>
  <si>
    <t>Askana Nailazahran Hermansyah</t>
  </si>
  <si>
    <t>0099678017 / 252610098</t>
  </si>
  <si>
    <t>Aulia Intan Rhamadhani</t>
  </si>
  <si>
    <t>0104439014 / 252610105</t>
  </si>
  <si>
    <t>Avrillino Herza Pratama</t>
  </si>
  <si>
    <t>0097138954 / 252610110</t>
  </si>
  <si>
    <t>Aziz Sakhi Zaidan</t>
  </si>
  <si>
    <t>0101964014 / 252610111</t>
  </si>
  <si>
    <t>Azka Ivano Ananda Hidayat</t>
  </si>
  <si>
    <t>3105650741 / 252610112</t>
  </si>
  <si>
    <t>Azkiara Andhita</t>
  </si>
  <si>
    <t>0091891047 / 252610114</t>
  </si>
  <si>
    <t>Azzalea Sakinah Ayura Putri</t>
  </si>
  <si>
    <t>0103193565 / 252610116</t>
  </si>
  <si>
    <t>Balqis Jauza Sabreenijka</t>
  </si>
  <si>
    <t>0096506746 / 252610131</t>
  </si>
  <si>
    <t>Carissa Alia Andinaputri</t>
  </si>
  <si>
    <t>0109934428 / 252610137</t>
  </si>
  <si>
    <t>Chintya Serlin Armedta Hia</t>
  </si>
  <si>
    <t>0095529275 / 252610184</t>
  </si>
  <si>
    <t>Evan Diaz</t>
  </si>
  <si>
    <t>0108527903 / 252610196</t>
  </si>
  <si>
    <t>Fannan Hoseki Fayyaz</t>
  </si>
  <si>
    <t>0108365392 / 252610217</t>
  </si>
  <si>
    <t>Galuh Pria Esa</t>
  </si>
  <si>
    <t>0107182013 / 252610228</t>
  </si>
  <si>
    <t>Henokh Prada Dhanendra Prasada</t>
  </si>
  <si>
    <t>0092709548 / 252610241</t>
  </si>
  <si>
    <t>Jazirah Rahmah</t>
  </si>
  <si>
    <t>0118415302 / 252610253</t>
  </si>
  <si>
    <t>Kaira Fatiya Nurfan</t>
  </si>
  <si>
    <t>0097372379 / 252610289</t>
  </si>
  <si>
    <t>Linggara Anugrah</t>
  </si>
  <si>
    <t>0093335479 / 252610292</t>
  </si>
  <si>
    <t>Luna Majidah Zafira</t>
  </si>
  <si>
    <t>0106465537 / 252610295</t>
  </si>
  <si>
    <t>Lutfiana Silva</t>
  </si>
  <si>
    <t>0103732986 / 252610310</t>
  </si>
  <si>
    <t>Mazaya Marva Mardyanti</t>
  </si>
  <si>
    <t>0105348604 / 252610315</t>
  </si>
  <si>
    <t>Misykah Adzra Maulida</t>
  </si>
  <si>
    <t>0108812130 / 252610328</t>
  </si>
  <si>
    <t>Muhamad Reyhan Nurhakim</t>
  </si>
  <si>
    <t>0094912922 / 252610346</t>
  </si>
  <si>
    <t>Muhammad Evan Fadillah</t>
  </si>
  <si>
    <t>0101578446 / 252610348</t>
  </si>
  <si>
    <t>Muhammad Fahry Tyandra</t>
  </si>
  <si>
    <t>0092179308 / 252610356</t>
  </si>
  <si>
    <t>Muhammad Ieddzar Haradiya</t>
  </si>
  <si>
    <t>0098186648 / 252610367</t>
  </si>
  <si>
    <t>Muhammad Revan Adi Saputra</t>
  </si>
  <si>
    <t>0092349928 / 252610380</t>
  </si>
  <si>
    <t>Muhammad Zaky Winata</t>
  </si>
  <si>
    <t>0096753454 / 252610385</t>
  </si>
  <si>
    <t>Nadhifa Amelia Garjita</t>
  </si>
  <si>
    <t>0102000943 / 252610388</t>
  </si>
  <si>
    <t>Nadia Delisa Saefani</t>
  </si>
  <si>
    <t>0105612000 / 252610417</t>
  </si>
  <si>
    <t>Neysha Aurelya Azzahra</t>
  </si>
  <si>
    <t>0109258787 / 252610458</t>
  </si>
  <si>
    <t>Rafa Farand Pratama</t>
  </si>
  <si>
    <t>0093712588 / 252610482</t>
  </si>
  <si>
    <t>Rendy Gilang Novianto</t>
  </si>
  <si>
    <t>0102414768 / 252610499</t>
  </si>
  <si>
    <t>Ruvita Rinjani</t>
  </si>
  <si>
    <t>0106760506 / 252610503</t>
  </si>
  <si>
    <t>Salmaa Saalimah Wibowo</t>
  </si>
  <si>
    <t>0095542022 / 252610506</t>
  </si>
  <si>
    <t>Salsabil Mulki</t>
  </si>
  <si>
    <t>0091610224 / 252610518</t>
  </si>
  <si>
    <t>Shaquille Putra Yudira</t>
  </si>
  <si>
    <t>0105010681 / 252610524</t>
  </si>
  <si>
    <t>Siva Muliyanti</t>
  </si>
  <si>
    <t>0105717177 / 252610545</t>
  </si>
  <si>
    <t>Tiara Zenobia Nafisa</t>
  </si>
  <si>
    <t>0107258754 / 252610551</t>
  </si>
  <si>
    <t>Vilvizeeya Hazira Kurnia</t>
  </si>
  <si>
    <t>0106044416 / 252610553</t>
  </si>
  <si>
    <t>Weny Meylieneke Sianipar</t>
  </si>
  <si>
    <t>0108569165 / 252610557</t>
  </si>
  <si>
    <t>Yoanne Mulin Averina</t>
  </si>
  <si>
    <t>0093632849 / 252610561</t>
  </si>
  <si>
    <t>Zaki Arya Wicaksono</t>
  </si>
  <si>
    <t>0105748224 / 252610565</t>
  </si>
  <si>
    <t>Zelda Hanifah Zaneta</t>
  </si>
  <si>
    <r>
      <rPr>
        <rFont val="Times New Roman"/>
        <color theme="1"/>
        <sz val="12.0"/>
      </rPr>
      <t>PEMERINTAH DAERAH PROVINSI JAWA BARAT</t>
    </r>
    <r>
      <rPr>
        <rFont val="Arial Narrow"/>
        <color theme="1"/>
        <sz val="10.0"/>
      </rPr>
      <t xml:space="preserve">
</t>
    </r>
    <r>
      <rPr>
        <rFont val="Times New Roman"/>
        <color theme="1"/>
        <sz val="12.0"/>
      </rPr>
      <t xml:space="preserve">DINAS PENDIDIKAN 
</t>
    </r>
    <r>
      <rPr>
        <rFont val="Times New Roman"/>
        <b/>
        <color theme="1"/>
        <sz val="14.0"/>
      </rPr>
      <t xml:space="preserve">SMA  NEGERI 2 CIBINONG
</t>
    </r>
    <r>
      <rPr>
        <rFont val="Times New Roman"/>
        <color theme="1"/>
        <sz val="10.0"/>
      </rPr>
      <t>Jln. Karadenan No. 5 Cibinong Telp/Fax. ( 0251 ) 8654347 Bogor 16913
http://www.sman2cibinong.sch.id    email: info@sman2cibinong.sch.id</t>
    </r>
  </si>
  <si>
    <t>: X-12</t>
  </si>
  <si>
    <t>proses berpikir efektif dan efisien untuk menyelesaikan persoalan secara algoritmik</t>
  </si>
  <si>
    <t>0097950619 / 252610015</t>
  </si>
  <si>
    <t>Afgan Prima Rizkia Iskandar</t>
  </si>
  <si>
    <t>0105770130 / 252610021</t>
  </si>
  <si>
    <t>Aik Novitasari</t>
  </si>
  <si>
    <t>0093866965 / 252610029</t>
  </si>
  <si>
    <t>Aisyah Aqilah Agni</t>
  </si>
  <si>
    <t>3097129671 / 252610030</t>
  </si>
  <si>
    <t>Aisyah Hanifa Redana</t>
  </si>
  <si>
    <t>0093002808 / 252610046</t>
  </si>
  <si>
    <t>Allya Luthfiah Putri</t>
  </si>
  <si>
    <t>0107831985 / 252610068</t>
  </si>
  <si>
    <t>Annisa Salsabilla</t>
  </si>
  <si>
    <t>0101396555 / 252610080</t>
  </si>
  <si>
    <t>Arsyad Khaerul Izzan</t>
  </si>
  <si>
    <t>0108675973 / 252610081</t>
  </si>
  <si>
    <t>Aruni Khalila Ayu</t>
  </si>
  <si>
    <t>0096011114 / 252610104</t>
  </si>
  <si>
    <t>Avemarianne Ninetrie Septiane</t>
  </si>
  <si>
    <t>2099366441 / 252610106</t>
  </si>
  <si>
    <t>Ayi Artadinata</t>
  </si>
  <si>
    <t>0109010502 / 252610107</t>
  </si>
  <si>
    <t>Ayra Jauzaa Viranda</t>
  </si>
  <si>
    <t>0109682985 / 252610127</t>
  </si>
  <si>
    <t>Bintang Jati Pratama</t>
  </si>
  <si>
    <t>0092725675 / 252610143</t>
  </si>
  <si>
    <t>Daffa Hafizh Firdausi</t>
  </si>
  <si>
    <t>3106961615 / 252610147</t>
  </si>
  <si>
    <t>Damara Dasha Bahi Utomo</t>
  </si>
  <si>
    <t>0102221985 / 252610149</t>
  </si>
  <si>
    <t>Deana Azalea Belva</t>
  </si>
  <si>
    <t>0096201622 / 252610152</t>
  </si>
  <si>
    <t>Delfa Maharani</t>
  </si>
  <si>
    <t>0104985283 / 252610208</t>
  </si>
  <si>
    <t>Fauza Nur Aziema</t>
  </si>
  <si>
    <t>3086279831 / 252610218</t>
  </si>
  <si>
    <t>Gefira Azizatul Hasanah</t>
  </si>
  <si>
    <t>3091107524 / 252610267</t>
  </si>
  <si>
    <t>Keisha Nurazizah</t>
  </si>
  <si>
    <t>0103652262 / 252610269</t>
  </si>
  <si>
    <t>Kenzie Dzakwan Ibrahim</t>
  </si>
  <si>
    <t>0097732804 / 252610270</t>
  </si>
  <si>
    <t>Kesyha Ramadhani</t>
  </si>
  <si>
    <t>3093490279 / 252610271</t>
  </si>
  <si>
    <t>Kevin Septian Ramadhan</t>
  </si>
  <si>
    <t>0094431854 / 252610296</t>
  </si>
  <si>
    <t>Madina Zulfa Aini</t>
  </si>
  <si>
    <t>0103035193 / 252610298</t>
  </si>
  <si>
    <t>Maheswara Pekik Hanuraga</t>
  </si>
  <si>
    <t>0106434110 / 252610303</t>
  </si>
  <si>
    <t>Maria Agatha Cherlin Christiani</t>
  </si>
  <si>
    <t>0095778047 / 252610307</t>
  </si>
  <si>
    <t>Maulida Ainnurahma</t>
  </si>
  <si>
    <t>0103777854 / 252610331</t>
  </si>
  <si>
    <t>Muhamad Subkhi</t>
  </si>
  <si>
    <t>3109116422 / 252610339</t>
  </si>
  <si>
    <t>Muhammad Armanugie Saputra</t>
  </si>
  <si>
    <t>0103887571 / 252610359</t>
  </si>
  <si>
    <t>Muhammad Javier</t>
  </si>
  <si>
    <t>0102148224 / 252610377</t>
  </si>
  <si>
    <t>Muhammad Zahran Rifai</t>
  </si>
  <si>
    <t>0096368920 / 252610387</t>
  </si>
  <si>
    <t>Nadhifa Qeysa Auliani Soehardi</t>
  </si>
  <si>
    <t>0094328074 / 252610391</t>
  </si>
  <si>
    <t>Naila</t>
  </si>
  <si>
    <t>0098429745 / 252610400</t>
  </si>
  <si>
    <t>Natiq Tawqir Muniruzzaman Anandamaya</t>
  </si>
  <si>
    <t>3102974181 / 252610405</t>
  </si>
  <si>
    <t>Naureen Shabiha Zahira</t>
  </si>
  <si>
    <t>0099622136 / 252610407</t>
  </si>
  <si>
    <t>Nayla Lyra Sagita</t>
  </si>
  <si>
    <t>0102898760 / 252610411</t>
  </si>
  <si>
    <t>Naywa Dinda Kansana Lubis</t>
  </si>
  <si>
    <t>0108592067 / 252610418</t>
  </si>
  <si>
    <t>Ni Putu Anjani Dewi Diningrat</t>
  </si>
  <si>
    <t>0095623487 / 252610430</t>
  </si>
  <si>
    <t>Olivia Desvita Sari</t>
  </si>
  <si>
    <t>0106961567 / 252610448</t>
  </si>
  <si>
    <t>R.A.M. Fakhri Izzuddin Mashur</t>
  </si>
  <si>
    <t>0105994913 / 252610455</t>
  </si>
  <si>
    <t>Radinka Alano Hamizan Abqari</t>
  </si>
  <si>
    <t>0093563834 / 252610490</t>
  </si>
  <si>
    <t>Rifqah Ramadhani</t>
  </si>
  <si>
    <t>0097303991 / 252610494</t>
  </si>
  <si>
    <t>Roshan Aidan Juro Aprianto</t>
  </si>
  <si>
    <t>0098050747 / 252610496</t>
  </si>
  <si>
    <t>Ruba Aqeela Hafizha Mecca</t>
  </si>
  <si>
    <t>0092524998 / 252610502</t>
  </si>
  <si>
    <t>Sajna Jerrusalem Kharima Sugeng Putri</t>
  </si>
  <si>
    <t>0109344308 / 252610516</t>
  </si>
  <si>
    <t>Shahrazad Aulia Handyanto</t>
  </si>
  <si>
    <t>0101659072 / 252610531</t>
  </si>
  <si>
    <t>Syahla Salsabila Ramdani</t>
  </si>
  <si>
    <t>0095899359 / 252610550</t>
  </si>
  <si>
    <t>Velicya Arnelita Zahra Suryana</t>
  </si>
  <si>
    <t>0095810986 / 252610562</t>
  </si>
  <si>
    <t>Zalfa Rizqia Nur Nadhifa</t>
  </si>
  <si>
    <r>
      <rPr>
        <rFont val="Calibri"/>
        <color theme="1"/>
        <sz val="12.0"/>
      </rPr>
      <t>PEMERINTAH DAERAH PROVINSI JAWA BARAT</t>
    </r>
    <r>
      <rPr>
        <rFont val="Calibri"/>
        <color theme="1"/>
        <sz val="10.0"/>
      </rPr>
      <t xml:space="preserve">
</t>
    </r>
    <r>
      <rPr>
        <rFont val="Calibri"/>
        <color theme="1"/>
        <sz val="12.0"/>
      </rPr>
      <t xml:space="preserve">DINAS PENDIDIKAN 
</t>
    </r>
    <r>
      <rPr>
        <rFont val="Calibri"/>
        <b/>
        <color theme="1"/>
        <sz val="14.0"/>
      </rPr>
      <t xml:space="preserve">SMA  NEGERI 2 CIBINONG
</t>
    </r>
    <r>
      <rPr>
        <rFont val="Calibri"/>
        <color theme="1"/>
        <sz val="10.0"/>
      </rPr>
      <t>Jln. Karadenan No. 5 Cibinong Telp/Fax. ( 0251 ) 8654347 Bogor 16913
http://www.sman2cibinong.sch.id    email: info@sman2cibinong.sch.id</t>
    </r>
  </si>
  <si>
    <t>Nama Mentor</t>
  </si>
  <si>
    <t>Total Pertemuan</t>
  </si>
  <si>
    <t>Adhie Bramantyo Faqih - L</t>
  </si>
  <si>
    <t>Almira Dwi Safira - P</t>
  </si>
  <si>
    <t>Alzena Juneeta Talisha Theo - P</t>
  </si>
  <si>
    <t>Arya Aditya Gunawan - L</t>
  </si>
  <si>
    <t>Aryasatia Pradipta - P</t>
  </si>
  <si>
    <t>Asyifa Diandra Bayu - P</t>
  </si>
  <si>
    <t>Asyifa Maulidia Salsabila - P</t>
  </si>
  <si>
    <t>Aurelia Langit Callysta - P</t>
  </si>
  <si>
    <t>Aurelia Septiani Putri - P</t>
  </si>
  <si>
    <t>Azalia Maheswari Christabel - P</t>
  </si>
  <si>
    <t>Bilqis Anwar Thebe - P</t>
  </si>
  <si>
    <t>Bimo Armani Aulia Putra - L</t>
  </si>
  <si>
    <t>Callysta Tuchi Solin - P</t>
  </si>
  <si>
    <t>Diwangkara Rizki Rabbani - L</t>
  </si>
  <si>
    <t>Dzahra Miftahuljanah - P</t>
  </si>
  <si>
    <t>Fakhri Haikal Alvito Rachmat - L</t>
  </si>
  <si>
    <t>Fathi Azzam Hawwari - L</t>
  </si>
  <si>
    <t>Fatimah Aszahra - P</t>
  </si>
  <si>
    <t>Gwenna Irene Winata - P</t>
  </si>
  <si>
    <t>Jasmine Zahira Ramadhani - P</t>
  </si>
  <si>
    <t>Jesslyn Quinn Gabrielle Sitorus - P</t>
  </si>
  <si>
    <t>Jihan Al Hasya - P</t>
  </si>
  <si>
    <t>Johanes Satria Yudha - L</t>
  </si>
  <si>
    <t>Kariswan Wahyudi - L</t>
  </si>
  <si>
    <t>Maria Rica Stefany Demu - P</t>
  </si>
  <si>
    <t>Melani Putri Triana - P</t>
  </si>
  <si>
    <t>Michael Mazmur Hatorangan Hutabarat - L</t>
  </si>
  <si>
    <t>Mochamad Nayaka Tuharea - L</t>
  </si>
  <si>
    <t>Muhamad Septian Romadhon - L</t>
  </si>
  <si>
    <t>Muhammad Adrian Gianni Adam - L</t>
  </si>
  <si>
    <t>Muhammad Chaerudin Ramdhani - L</t>
  </si>
  <si>
    <t>Muhammad Fathan Assidiq - L</t>
  </si>
  <si>
    <t>Muhammad Rodzul Amrullah - L</t>
  </si>
  <si>
    <t>Nadya Salwa Altiara - P</t>
  </si>
  <si>
    <t>Nailah Khoirunisa Arsanti - P</t>
  </si>
  <si>
    <t>Novyola Safitri - P</t>
  </si>
  <si>
    <t>Nur Alifah Silvia - P</t>
  </si>
  <si>
    <t>Pungki Yustisia Pertiwi - L</t>
  </si>
  <si>
    <t>Raden Gathan Azaki Soesilo - L</t>
  </si>
  <si>
    <t>Raden Muhammad Rafi Wiranata - L</t>
  </si>
  <si>
    <t>Rayhan Ashabi - L</t>
  </si>
  <si>
    <t>Rayhana Rizkya Al-Multazam - P</t>
  </si>
  <si>
    <t>Riffa Nugraha - P</t>
  </si>
  <si>
    <t>Salsabila Zahwa Mulana - P</t>
  </si>
  <si>
    <t>Shabira Ayatul Husna - P</t>
  </si>
  <si>
    <t>Zavier Lamya Arkanominatha - L</t>
  </si>
  <si>
    <t>Zhafirah Dwi Fauziah - P</t>
  </si>
  <si>
    <t>Adinda Syahira Hariyadi - P</t>
  </si>
  <si>
    <t>Aira Aulia Putri - P</t>
  </si>
  <si>
    <t>Aisha Faiha Dzakiyah - P</t>
  </si>
  <si>
    <t>Alifa Safa Salsabila - P</t>
  </si>
  <si>
    <t>Alviana Dwie Putery - P</t>
  </si>
  <si>
    <t>Alyya Zahra Kusumadewi - P</t>
  </si>
  <si>
    <t>Ammar Raziq Mahdiya - L</t>
  </si>
  <si>
    <t>Andini Qoriyati Khaerani - P</t>
  </si>
  <si>
    <t>Aqeela Az Zahra - P</t>
  </si>
  <si>
    <t>Arfan Kristian Perlindungan Harefa - L</t>
  </si>
  <si>
    <t>Ashiila Rindu Dwi Laufli - P</t>
  </si>
  <si>
    <t>Atharrayhan Abimanyu Pratama - P</t>
  </si>
  <si>
    <t>Aurelly Diana Zulkarnaen - P</t>
  </si>
  <si>
    <t>Bima Adyatma Ilmiawan - L</t>
  </si>
  <si>
    <t>Cinta Cludia Putri - P</t>
  </si>
  <si>
    <t>Dafsyah Arifa Putra - L</t>
  </si>
  <si>
    <t>Denisa Azka Putri - P</t>
  </si>
  <si>
    <t>Devani Keyla Noris - P</t>
  </si>
  <si>
    <t>Dimas Putra Pribadi - L</t>
  </si>
  <si>
    <t>Elvio Dyahyu Yusanto - L</t>
  </si>
  <si>
    <t>Enisye Putri Zeliawati Limpong - P</t>
  </si>
  <si>
    <t>Fabian Ahza Hidayat - L</t>
  </si>
  <si>
    <t>Fadhilah Raisa Kamilati - P</t>
  </si>
  <si>
    <t>Jasmine Makayla Putri Arvani - P</t>
  </si>
  <si>
    <t>Khalid Ahmad Ghazali - L</t>
  </si>
  <si>
    <t>Khansa Aulia Damtsa Hylmi - P</t>
  </si>
  <si>
    <t>Lionel Boanerges Raffles Simangunsong - L</t>
  </si>
  <si>
    <t>Mardiansyah Isman - L</t>
  </si>
  <si>
    <t>Mohammad Haikal - L</t>
  </si>
  <si>
    <t>Mohammad Irshad Faizanshah - L</t>
  </si>
  <si>
    <t>Muhamad Thoriq Al Rasyad - L</t>
  </si>
  <si>
    <t>Muhammad Akmaluddin - L</t>
  </si>
  <si>
    <t>Muhammad Ariza Rizkya Irvan - L</t>
  </si>
  <si>
    <t>Muhammad Nazam Rizal - L</t>
  </si>
  <si>
    <t>Muhammad Rasyad Mahdawi - L</t>
  </si>
  <si>
    <t>Neng Rahmi Novianti - P</t>
  </si>
  <si>
    <t>Niesha Anindya Firstsaly - P</t>
  </si>
  <si>
    <t>Oryza Angelina Sitohang - P</t>
  </si>
  <si>
    <t>Priscillia Putri Viona - P</t>
  </si>
  <si>
    <t>Qaniah Mardiyah Salsabila - P</t>
  </si>
  <si>
    <t>Raisha Puri Lianti - P</t>
  </si>
  <si>
    <t>Rasya Arkananta Mulya - P</t>
  </si>
  <si>
    <t>Rusvi Putri Ingguan - P</t>
  </si>
  <si>
    <t>Ruth Rafanela Syeby Siregar - P</t>
  </si>
  <si>
    <t>Titania Dwizita Shahla - P</t>
  </si>
  <si>
    <t>Zaidan Riziq Sakha - L</t>
  </si>
  <si>
    <t>Zalikhah Rasikhah Putri - P</t>
  </si>
  <si>
    <t>Abhinaya Zaidan Akbar - L</t>
  </si>
  <si>
    <t>Andra Rakadityono - L</t>
  </si>
  <si>
    <t>Anjani Safira Salma - P</t>
  </si>
  <si>
    <t>Ario Bimo Wicaksono - L</t>
  </si>
  <si>
    <t>Arman Firmansyah - L</t>
  </si>
  <si>
    <t>Attaya Putri Faslahi - P</t>
  </si>
  <si>
    <t>Attiyah Naila Adza Alifah - P</t>
  </si>
  <si>
    <t>Aulia Azahra - P</t>
  </si>
  <si>
    <t>Bianca Aurelia Putri Asari - P</t>
  </si>
  <si>
    <t>Bumi Byakta Alfian - L</t>
  </si>
  <si>
    <t>Cheryl Faiha Al-Tair - P</t>
  </si>
  <si>
    <t>Cindy Ramadhani Sinulingga - P</t>
  </si>
  <si>
    <t>Danesh Arrayan Syahreen - P</t>
  </si>
  <si>
    <t>Dhyra Putra Pratama - P</t>
  </si>
  <si>
    <t>Fadya Malikha - P</t>
  </si>
  <si>
    <t>Fajri Pardomuan Pohan - L</t>
  </si>
  <si>
    <t>Farras Putra Zema - L</t>
  </si>
  <si>
    <t>Fathia Amia Rizqi - P</t>
  </si>
  <si>
    <t>Florencia Ivana - P</t>
  </si>
  <si>
    <t>Fricilia Aprilyani Cardoso - P</t>
  </si>
  <si>
    <t>Gerald Samuel Sitanggang - L</t>
  </si>
  <si>
    <t>Jaenal Ikhwan - L</t>
  </si>
  <si>
    <t>Jihan Fauziyyah Latifah - P</t>
  </si>
  <si>
    <t>Kartika Larasati - P</t>
  </si>
  <si>
    <t>Keynia Louis Cristin Harianja - P</t>
  </si>
  <si>
    <t>Khairani Asri Utami - P</t>
  </si>
  <si>
    <t>Khalifi Ramadhan Darmawan Anda - L</t>
  </si>
  <si>
    <t>Lathika Aulia Althafunnisa - P</t>
  </si>
  <si>
    <t>Laura Aubrey Gracia Lubis - P</t>
  </si>
  <si>
    <t>Mandariza Arya Pranata Wijaya - P</t>
  </si>
  <si>
    <t>Muhammad Rizzieq Yusuf Natakusumah - L</t>
  </si>
  <si>
    <t>Muhammad Zuhear Alfan - L</t>
  </si>
  <si>
    <t>Nadhifa Farah Falihah - P</t>
  </si>
  <si>
    <t>Nazwa Savira - P</t>
  </si>
  <si>
    <t>Nourman Raditia Putra - L</t>
  </si>
  <si>
    <t>Nursifa Maulidah - P</t>
  </si>
  <si>
    <t>Pramudhio Sawerigading Ihsan - L</t>
  </si>
  <si>
    <t>Putri Eisya - P</t>
  </si>
  <si>
    <t>Putri Zaqiyah - P</t>
  </si>
  <si>
    <t>Rahma Marissa - P</t>
  </si>
  <si>
    <t>Revan - L</t>
  </si>
  <si>
    <t>Safa Naya Adristi - P</t>
  </si>
  <si>
    <t>Shirane Ghaniyya Ramadhani - P</t>
  </si>
  <si>
    <t>Yasmin Kirani Affifah - P</t>
  </si>
  <si>
    <t>Yasmine Almira Queen - P</t>
  </si>
  <si>
    <t>Ahmad Azmi Mutaarrofi - L</t>
  </si>
  <si>
    <t>Ahmad Farely Azriel - L</t>
  </si>
  <si>
    <t>Alfian Chaniago - L</t>
  </si>
  <si>
    <t>Alleandra Kaif Finandita - P</t>
  </si>
  <si>
    <t>Altaira Aqila Myesha Ario - P</t>
  </si>
  <si>
    <t>Amira Najwa Fauziyah - P</t>
  </si>
  <si>
    <t>Aphrodyta Aurelia Avrilla - P</t>
  </si>
  <si>
    <t>Aqueena Putri Salimah - P</t>
  </si>
  <si>
    <t>Chairani Kanza Wulandaputri - P</t>
  </si>
  <si>
    <t>Dhefa Raditya Putra - P</t>
  </si>
  <si>
    <t>Diaz Syeza Zivanna - L</t>
  </si>
  <si>
    <t>Dwi Nailah Azhara - P</t>
  </si>
  <si>
    <t>Erlangga Ardiyanto - L</t>
  </si>
  <si>
    <t>Fahmi Adilla Pasha - L</t>
  </si>
  <si>
    <t>Fakhi Zulfia Bilqis Nasyifa - L</t>
  </si>
  <si>
    <t>Friska Feby Aulia - P</t>
  </si>
  <si>
    <t>Inaya Janeeta - P</t>
  </si>
  <si>
    <t>Karnizara Ringga Rabbani - P</t>
  </si>
  <si>
    <t>Karunia Dwi Rahmawati - P</t>
  </si>
  <si>
    <t>Keisa Wanda Setiawan - P</t>
  </si>
  <si>
    <t>Keyno Nazmi Afham - L</t>
  </si>
  <si>
    <t>Khansa Vanya Laudya Putri - P</t>
  </si>
  <si>
    <t>Lutfi Dwi Melati - P</t>
  </si>
  <si>
    <t>Masayu Ganisha Pembayun Putri - P</t>
  </si>
  <si>
    <t>Mazaya Aqila Betha Diladena - P</t>
  </si>
  <si>
    <t>Muhamad Rizqi Darmawan - L</t>
  </si>
  <si>
    <t>Muhammad Ihsan Putra Pamungkas - L</t>
  </si>
  <si>
    <t>Muhammad Rafi Kurniawan - L</t>
  </si>
  <si>
    <t>Muhammad Sulthon Najib - L</t>
  </si>
  <si>
    <t>Muhammad Zaidan Aqil - L</t>
  </si>
  <si>
    <t>Mutiara Geisya Nuraini - P</t>
  </si>
  <si>
    <t>Priscilia Michelle Pasau - P</t>
  </si>
  <si>
    <t>Puffin Rohis Jusup Manurung - L</t>
  </si>
  <si>
    <t>Quizal Razky Ahmad - L</t>
  </si>
  <si>
    <t>Randy Adiya Pratama Kouw - L</t>
  </si>
  <si>
    <t>Ravino Abbas Subaga - L</t>
  </si>
  <si>
    <t>Rei Dillan Hartedi - L</t>
  </si>
  <si>
    <t>Reni Apriliani - P</t>
  </si>
  <si>
    <t>Rizky Putra Kunta Ajie - L</t>
  </si>
  <si>
    <t>Shabira Andiani - P</t>
  </si>
  <si>
    <t>Shafa Talitha Budiarto - P</t>
  </si>
  <si>
    <t>Shahira Hafiza Putri - P</t>
  </si>
  <si>
    <t>Sheika Rizki Ramadanti Aurelia - P</t>
  </si>
  <si>
    <t>Syahwa Fatmah - P</t>
  </si>
  <si>
    <t>Syakira Alma Annisa - P</t>
  </si>
  <si>
    <t>Tiara Winni Melia - P</t>
  </si>
  <si>
    <t>Achmad Ardiansyah - L</t>
  </si>
  <si>
    <t>Adrian Muhammad Fadillah - L</t>
  </si>
  <si>
    <t>Aira Alessia Adha - P</t>
  </si>
  <si>
    <t>Aira Febria Sari - P</t>
  </si>
  <si>
    <t>Al Jadid Syafruddin Lubis - L</t>
  </si>
  <si>
    <t>Alisya Belva Dhio - P</t>
  </si>
  <si>
    <t>Amira Agni Kayla Raisya - P</t>
  </si>
  <si>
    <t>Amirah Khalishah Somoal - P</t>
  </si>
  <si>
    <t>Anas Legawa Riyadi - L</t>
  </si>
  <si>
    <t>Annisa Fitriyani - P</t>
  </si>
  <si>
    <t>Bagaskara Bisma Anoka - L</t>
  </si>
  <si>
    <t>Bilqis Nikita Aylani - P</t>
  </si>
  <si>
    <t>Dilla Novianti Putri - P</t>
  </si>
  <si>
    <t>Dinda Aulia - P</t>
  </si>
  <si>
    <t>Fathimah Septiani Azahra - P</t>
  </si>
  <si>
    <t>Hikmah Septiya - P</t>
  </si>
  <si>
    <t>Hilmi Ardhana Fuady - L</t>
  </si>
  <si>
    <t>Jevelin Ambarep Putri - P</t>
  </si>
  <si>
    <t>Khansa Tabita Aura Sakhi - P</t>
  </si>
  <si>
    <t>Lalitya Namu Wangundahina - P</t>
  </si>
  <si>
    <t>Mahira Aqila Azra - P</t>
  </si>
  <si>
    <t>Muhamad Adri Fachry - L</t>
  </si>
  <si>
    <t>Muhamad Gaza Al-Mahdi - L</t>
  </si>
  <si>
    <t xml:space="preserve">Muhammad Naufal Rhesa Fernando - L </t>
  </si>
  <si>
    <t>Muhammad Raya Al Maghfirah - L</t>
  </si>
  <si>
    <t>Muhammad Tristan Sanjaya - L</t>
  </si>
  <si>
    <t>Muhammad Zaidan Wibowo - L</t>
  </si>
  <si>
    <t>Nabilah Shakeela Kusuma - P</t>
  </si>
  <si>
    <t>Naufal Aditama - L</t>
  </si>
  <si>
    <t>Nayyira Ghania Mehnaz - P</t>
  </si>
  <si>
    <t>Nazwa Nur Rahmah - P</t>
  </si>
  <si>
    <t>Nurul Aulia Ramadhani - P</t>
  </si>
  <si>
    <t>Ohan Marhadi Haryono - L</t>
  </si>
  <si>
    <t>Puthik Ramadani - P</t>
  </si>
  <si>
    <t>Raden Chintya Dewi Maharani - P</t>
  </si>
  <si>
    <t>Raden Ciara Za Syahluna - P</t>
  </si>
  <si>
    <t>Rama Andhika - L</t>
  </si>
  <si>
    <t>Reisha Azzahra Pramesti - P</t>
  </si>
  <si>
    <t>Rheiska Amelia - P</t>
  </si>
  <si>
    <t>Salsabila Kinaya - P</t>
  </si>
  <si>
    <t>Syarafina Nur Alifatuzahro - P</t>
  </si>
  <si>
    <t>Tanty Amelia Al Rasyid - P</t>
  </si>
  <si>
    <t>Teduh Mutiara Hapsari - P</t>
  </si>
  <si>
    <t>Tubagus Mochamad Rizki Fauzan Faris - L</t>
  </si>
  <si>
    <t>Yanza Rizkia Salsabillah - P</t>
  </si>
  <si>
    <t>Achmad Firza Ghibran - L</t>
  </si>
  <si>
    <t>Adi Pati Jaya Prana - L</t>
  </si>
  <si>
    <t>Alfany Himma Roudina - P</t>
  </si>
  <si>
    <t>Alisa Putri - P</t>
  </si>
  <si>
    <t>Aqila Noya Faiza - P</t>
  </si>
  <si>
    <t>Bernala Baratama Sirait - P</t>
  </si>
  <si>
    <t>Chempaka Balqist Zavira Mentary Misman - P</t>
  </si>
  <si>
    <t>Defrino Viernadi Laitnis Yusfa - L</t>
  </si>
  <si>
    <t>Dhia Salsabila - P</t>
  </si>
  <si>
    <t>Dinda Dyah Pitaloka - P</t>
  </si>
  <si>
    <t>Dwi Irmawati - L</t>
  </si>
  <si>
    <t>Egi Surjana - L</t>
  </si>
  <si>
    <t>Faiha Raqilla Darmawan - P</t>
  </si>
  <si>
    <t>Fanesya Agfrisfidia - P</t>
  </si>
  <si>
    <t>Fanisa Nurkamila Hamdani - P</t>
  </si>
  <si>
    <t>Farhan Benzema - L</t>
  </si>
  <si>
    <t>Fauzi Castle Satara - P</t>
  </si>
  <si>
    <t>Febri Afriani - P</t>
  </si>
  <si>
    <t>Freja Aira Anindhita - P</t>
  </si>
  <si>
    <t>Hasfa Zulfana Nahdah - P</t>
  </si>
  <si>
    <t>Joceline Sisca Lumongga Manurung - P</t>
  </si>
  <si>
    <t>Keyla Putri Saksono - P</t>
  </si>
  <si>
    <t>Khalisa Silmi Jovita Warsito - P</t>
  </si>
  <si>
    <t>Kharisma Zahra Tiara Putri - P</t>
  </si>
  <si>
    <t>Mawar Aprilliana - P</t>
  </si>
  <si>
    <t>Mentari Dwi Anggraeni - P</t>
  </si>
  <si>
    <t>Muhammad Azzam Ananda Fatahilah - L</t>
  </si>
  <si>
    <t>Muhammad Hafizh Arrantisi - L</t>
  </si>
  <si>
    <t>Muhammad Musyaffa Latief - L</t>
  </si>
  <si>
    <t>Najwa Citra Lestari - P</t>
  </si>
  <si>
    <t>Nayra Putri Sagita - P</t>
  </si>
  <si>
    <t>Queensha Amiradana Putri Hamka - P</t>
  </si>
  <si>
    <t>Quinsha Rizkya Irawan - P</t>
  </si>
  <si>
    <t>Raasyid Zhariif Santoso - L</t>
  </si>
  <si>
    <t>Raditya Rafa Abdillah - L</t>
  </si>
  <si>
    <t>Raynar Abiyu Diera - L</t>
  </si>
  <si>
    <t>Rayyan Wahyu Ramadhan - L</t>
  </si>
  <si>
    <t>Reva Aulia Putri - P</t>
  </si>
  <si>
    <t>Revina Apriza - P</t>
  </si>
  <si>
    <t>Rossy Indriyati - P</t>
  </si>
  <si>
    <t>Salsa Kirana Putri - P</t>
  </si>
  <si>
    <t>Shalomieta Aira Kinaya - P</t>
  </si>
  <si>
    <t>Syahdan Akbar Mara Putra - L</t>
  </si>
  <si>
    <t>Syahla Adzkannisa Vuzela - P</t>
  </si>
  <si>
    <t>Taufik Hidayah - L</t>
  </si>
  <si>
    <t>Adara Luthfia Putri - P</t>
  </si>
  <si>
    <t>Ahmad Fahri Hidayat - L</t>
  </si>
  <si>
    <t>Aira Kirana - P</t>
  </si>
  <si>
    <t>Aliya Trianzani Putri - P</t>
  </si>
  <si>
    <t>Alya Silvana Sarifah - P</t>
  </si>
  <si>
    <t>Anindya Estyana Damayanti - P</t>
  </si>
  <si>
    <t>Azri Aditya Amada - L</t>
  </si>
  <si>
    <t>Clara Dwi Cahya - P</t>
  </si>
  <si>
    <t>Clarisa Meidiana - P</t>
  </si>
  <si>
    <t>Daffa Khoirul Fajri - L</t>
  </si>
  <si>
    <t>Dhia Devita Ramadhani - P</t>
  </si>
  <si>
    <t>Diajeng Inggil Lintang Aulia - P</t>
  </si>
  <si>
    <t>Elgiva Damara Sanchia - P</t>
  </si>
  <si>
    <t>Enzo Asido Rama Raditya - L</t>
  </si>
  <si>
    <t>Farhan Abdurrahman Yusuf - L</t>
  </si>
  <si>
    <t>Faris Razwa Sambega - L</t>
  </si>
  <si>
    <t>Ghaniyah Adelia - P</t>
  </si>
  <si>
    <t>Hafizh Mumtaz - L</t>
  </si>
  <si>
    <t>Juan Pirlo Benzema - L</t>
  </si>
  <si>
    <t>Kania Putriana Yaswin - P</t>
  </si>
  <si>
    <t>Kaysa Maharani Sofyan - P</t>
  </si>
  <si>
    <t>Keisya Andhita Kirana Putri - P</t>
  </si>
  <si>
    <t>Livia Vidyadhara - P</t>
  </si>
  <si>
    <t>Manar Abbas Bawazir - P</t>
  </si>
  <si>
    <t>Mohammad Arsa Dafansyah - L</t>
  </si>
  <si>
    <t>Muhamad Yusuf Zarkasi - L</t>
  </si>
  <si>
    <t>Muhammad Arsyal Divo Firmansyah - L</t>
  </si>
  <si>
    <t>Muhammad Danish Fathul Ulum - L</t>
  </si>
  <si>
    <t>Muhammad Fathandra Rizki - L</t>
  </si>
  <si>
    <t>Muhammad Gabriel - L</t>
  </si>
  <si>
    <t>Myiesha Lunar Wisesa Putri - P</t>
  </si>
  <si>
    <t>Nadila Safira - P</t>
  </si>
  <si>
    <t>Naurah Afifah Amaliyah - P</t>
  </si>
  <si>
    <t>Nayla Widya Cakraprawartana - P</t>
  </si>
  <si>
    <t>Nydia Aisyah Allifia - P</t>
  </si>
  <si>
    <t>Raihana Humairah Budianto - P</t>
  </si>
  <si>
    <t>Raisa Putri Rahima - P</t>
  </si>
  <si>
    <t>Rindu Gatari Asmiladi - P</t>
  </si>
  <si>
    <t>Salman Latif Anshari - L</t>
  </si>
  <si>
    <t>Siti Iklima Sakurani - P</t>
  </si>
  <si>
    <t>Sultan Reynard Sabdadika - L</t>
  </si>
  <si>
    <t>Syafiqa Bariq Mahya - P</t>
  </si>
  <si>
    <t>Syahluna Ananta Putri - P</t>
  </si>
  <si>
    <t>Tabah Rafie Abdillah - L</t>
  </si>
  <si>
    <t>Tristan Lovriano Aryasatya - L</t>
  </si>
  <si>
    <t>Zafira Salsa Haniah - P</t>
  </si>
  <si>
    <t>Adelia Niken - P</t>
  </si>
  <si>
    <t>Aisyah Agustiani - P</t>
  </si>
  <si>
    <t>Alenka Meisyarofa - P</t>
  </si>
  <si>
    <t>Alifa Taqqiya Zahwa - P</t>
  </si>
  <si>
    <t>Alifah Hasannah - P</t>
  </si>
  <si>
    <t>Andagita Vilnaria Atha - P</t>
  </si>
  <si>
    <t>Ariqah Putri Nasution - P</t>
  </si>
  <si>
    <t>Aulia Cinta Divia - P</t>
  </si>
  <si>
    <t>Aysha Mahira Dewi Tryana - P</t>
  </si>
  <si>
    <t>Belinda Angelica  - P</t>
  </si>
  <si>
    <t>Bima Anggareksa Yusiansyah - L</t>
  </si>
  <si>
    <t>Dela Ananda Putri  - P</t>
  </si>
  <si>
    <t>Dian Noer Savitri  - P</t>
  </si>
  <si>
    <t>Diandra Mentari Fazri  - P</t>
  </si>
  <si>
    <t>Divania Kayla Windu Sabrina - P</t>
  </si>
  <si>
    <t>Dyshan Attaya Haq Triatno - P</t>
  </si>
  <si>
    <t>Farid Pradana - L</t>
  </si>
  <si>
    <t>Fathia Adilla Ramsha - P</t>
  </si>
  <si>
    <t>Gracia Valen Manik - P</t>
  </si>
  <si>
    <t>Kania Wismar Adnyana  - P</t>
  </si>
  <si>
    <t>Kaysan Umar Azka Setiawan - L</t>
  </si>
  <si>
    <t>Luqman Aziz Saputro - L</t>
  </si>
  <si>
    <t>Mirza Maulana Altamis - L</t>
  </si>
  <si>
    <t>Mouris Marcha Adisty - P</t>
  </si>
  <si>
    <t>Muhamad Ilham Akbar - L</t>
  </si>
  <si>
    <t>Muhamad Mustakim - L</t>
  </si>
  <si>
    <t>Muhammad Faiz Fathian - L</t>
  </si>
  <si>
    <t>Muhammad Fariz Nuh - L</t>
  </si>
  <si>
    <t>Muhammad Fawaz Ali - L</t>
  </si>
  <si>
    <t>Muhammad Rafli Ramsha - L</t>
  </si>
  <si>
    <t>Muhammad Yafiargi Simbangando - L</t>
  </si>
  <si>
    <t>Naila Khansa Rahmawati - P</t>
  </si>
  <si>
    <t>Namira Nur Azkia - P</t>
  </si>
  <si>
    <t>Naswa Ramadhani - P</t>
  </si>
  <si>
    <t>Nayla Ulya Taqiyya - P</t>
  </si>
  <si>
    <t>Nazwa Malika Asral - P</t>
  </si>
  <si>
    <t>Ni'Matul Aulia Ningtias - P</t>
  </si>
  <si>
    <t>Nikesha Nashwa Damara - P</t>
  </si>
  <si>
    <t>Quensha Rahayu Kusuma Agora - P</t>
  </si>
  <si>
    <t>Quincha Aura Brilliani - P</t>
  </si>
  <si>
    <t>Raihan Farras Sutisna - L</t>
  </si>
  <si>
    <t>Raka Syabany Amsyah - L</t>
  </si>
  <si>
    <t>Ryzen Gevandra Wirapratama - L</t>
  </si>
  <si>
    <t>Sinta Dwi Nuri Widodo - P</t>
  </si>
  <si>
    <t>Syarifah Nur Salsabila - P</t>
  </si>
  <si>
    <t>Tsamara Privita Sya'Ban Syahdu - P</t>
  </si>
  <si>
    <t>Yuzusie Aida Nenat - L</t>
  </si>
  <si>
    <t>Abyan Zuka Ibrahim Nasution - L</t>
  </si>
  <si>
    <t>Ahmad Hafidz Anwar - L</t>
  </si>
  <si>
    <t>Aishanna Latifa Harjono - P</t>
  </si>
  <si>
    <t>Aqila Elmohri - P</t>
  </si>
  <si>
    <t>Aqilla Al-Farabi - P</t>
  </si>
  <si>
    <t>Ariyo Raditya Putra - L</t>
  </si>
  <si>
    <t>Asshafa Nur Intan - P</t>
  </si>
  <si>
    <t>Attar Palestine Taha - P</t>
  </si>
  <si>
    <t>Aufa Khairunnisa - P</t>
  </si>
  <si>
    <t>Balqis Luthfiyah Zahra - P</t>
  </si>
  <si>
    <t>Chayra Putri Dwinata - P</t>
  </si>
  <si>
    <t>Cheryl Anandiora - L</t>
  </si>
  <si>
    <t>Dahayu Nadhilah Syafa - P</t>
  </si>
  <si>
    <t>Elen Vanesyah Wahyudi - P</t>
  </si>
  <si>
    <t>Fitrah Thirafi - L</t>
  </si>
  <si>
    <t>Fitri Rahmawati - P</t>
  </si>
  <si>
    <t>Ghaniah Aqilah - P</t>
  </si>
  <si>
    <t>Hizam Kynan Putra Purwanto - L</t>
  </si>
  <si>
    <t>Ilham Rizki Pratama - L</t>
  </si>
  <si>
    <t>Izaz Izzatul Islam - P</t>
  </si>
  <si>
    <t>Jazila Abid Niyaz Chan Lase - L</t>
  </si>
  <si>
    <t>Jihan Nailatusy Syarafah - P</t>
  </si>
  <si>
    <t>Kanza Olivia Ramadhani - P</t>
  </si>
  <si>
    <t>Kayla Tria Fatarani - P</t>
  </si>
  <si>
    <t>Mahera Raisha Davanita Faizal - P</t>
  </si>
  <si>
    <t>Muhamad Juan Arkhan - L</t>
  </si>
  <si>
    <t>Muhammad Ariel Setiawan - L</t>
  </si>
  <si>
    <t>Muhammad Azka Shahizinda - L</t>
  </si>
  <si>
    <t>Muhammad Daffa Alfarizki - L</t>
  </si>
  <si>
    <t>Muhammad Fadil Ranoval - L</t>
  </si>
  <si>
    <t>Muhammad In'Amul Aufa - L</t>
  </si>
  <si>
    <t>Muhammad Reyhan Alfariky - L</t>
  </si>
  <si>
    <t>Muhammad Sayyid Amjad - L</t>
  </si>
  <si>
    <t>Nararya Hylmi Kenzie - P</t>
  </si>
  <si>
    <t>Nur Azizah - P</t>
  </si>
  <si>
    <t>Qitrie Anisa Khaeri - P</t>
  </si>
  <si>
    <t>Radya Camilla Arinda - P</t>
  </si>
  <si>
    <t>Rahardian Muhamad Abisiena Koeswara - L</t>
  </si>
  <si>
    <t>Raihana Syafiqah Andyni - P</t>
  </si>
  <si>
    <t>Rassya Faiq Hibatullah - P</t>
  </si>
  <si>
    <t>Reynaldi - L</t>
  </si>
  <si>
    <t>Sekar Raynaningrum - P</t>
  </si>
  <si>
    <t>Syahla Nurul Arisma - P</t>
  </si>
  <si>
    <t>Syauqi Anandya Putri - L</t>
  </si>
  <si>
    <t>Tayya Dzulhijjah Mokodompit - P</t>
  </si>
  <si>
    <t>Abdul Ghofar - L</t>
  </si>
  <si>
    <t>Aditya Bayu Sutanto - L</t>
  </si>
  <si>
    <t>Affy Kaew Ni'Mitr Alhanafi - P</t>
  </si>
  <si>
    <t>Ahmad Husein Al Latief - L</t>
  </si>
  <si>
    <t>Akram Mubarak - L</t>
  </si>
  <si>
    <t>Alfi Amalia - P</t>
  </si>
  <si>
    <t>Amelia Nur Zahra - P</t>
  </si>
  <si>
    <t>Ananda Bari Al Kausar - L</t>
  </si>
  <si>
    <t>Ataya Arkan Ramadhan - P</t>
  </si>
  <si>
    <t>Athaya Muhammad Daffa - P</t>
  </si>
  <si>
    <t>Aura Nabilah Zahirah - P</t>
  </si>
  <si>
    <t>Aurora Putri Samudra Dwiko - P</t>
  </si>
  <si>
    <t>Belva Thalita Ramadhena - P</t>
  </si>
  <si>
    <t>Bintang Mahardika Abhyoso Ardy - L</t>
  </si>
  <si>
    <t>Claudia Dominique Gabriella Torus - P</t>
  </si>
  <si>
    <t>Dinara Savina - P</t>
  </si>
  <si>
    <t>Dinda Syifa Rahmayanti - P</t>
  </si>
  <si>
    <t>Dindin Andini Suryaman - L</t>
  </si>
  <si>
    <t>Gita Tazkiyatunnisa - P</t>
  </si>
  <si>
    <t>Haifa Aysha Zahira - P</t>
  </si>
  <si>
    <t>Intan Dwi Novianingrum - P</t>
  </si>
  <si>
    <t>Isnaini Fauziyah Utomo - P</t>
  </si>
  <si>
    <t>Jeremia Geraldo Siregar - L</t>
  </si>
  <si>
    <t>Jerry Dwi Cahyono Putro - L</t>
  </si>
  <si>
    <t>Jovan Khayru Affandi - L</t>
  </si>
  <si>
    <t>Kayla Althafunnisa Arrasyid - P</t>
  </si>
  <si>
    <t>Keyla Ananda Safitri - P</t>
  </si>
  <si>
    <t>Khanza Aprillia Risyadi - P</t>
  </si>
  <si>
    <t>Maroen Al-Fatih Ibrahimessi - L</t>
  </si>
  <si>
    <t>Muhamad Raihan Rizqullah - L</t>
  </si>
  <si>
    <t>Muhammad Akhtar Arkana Ramadhan - L</t>
  </si>
  <si>
    <t>Muhammad Tsafiq Ihsan - L</t>
  </si>
  <si>
    <t>Naqeesyaa Dhanova Al Adzra - P</t>
  </si>
  <si>
    <t>Naufal Arzharel Ibrahimovic - L</t>
  </si>
  <si>
    <t>Naura Luvenavita Krisdianto - P</t>
  </si>
  <si>
    <t>Nava Marietta Siahaan - P</t>
  </si>
  <si>
    <t>Queensha Anindya Azka - P</t>
  </si>
  <si>
    <t>Rafael Anhar Armando - L</t>
  </si>
  <si>
    <t>Rahmania Azahra - P</t>
  </si>
  <si>
    <t>Raivan Elang Pramono - L</t>
  </si>
  <si>
    <t>Rizqiyanah Qaysarania Herawan - P</t>
  </si>
  <si>
    <t>Salsha Aulia Akbar - P</t>
  </si>
  <si>
    <t>Sashikirana Luvena Maheswari - P</t>
  </si>
  <si>
    <t>Silvya Sri Aprilianti - P</t>
  </si>
  <si>
    <t>Syaakhira Fauziah - P</t>
  </si>
  <si>
    <t>Vincentius Daniel Ornando - L</t>
  </si>
  <si>
    <t>Adinda Garnetha Prasistha - P</t>
  </si>
  <si>
    <t>Ajeng Adisty Fahira - P</t>
  </si>
  <si>
    <t>Al Fathdry Rizky Wibowo - L</t>
  </si>
  <si>
    <t>Almira Aprilia Putri - P</t>
  </si>
  <si>
    <t>Anndita - P</t>
  </si>
  <si>
    <t>Askana Nailazahran Hermansyah - P</t>
  </si>
  <si>
    <t>Aulia Intan Rhamadhani - P</t>
  </si>
  <si>
    <t>Avrillino Herza Pratama - L</t>
  </si>
  <si>
    <t>Aziz Sakhi Zaidan - L</t>
  </si>
  <si>
    <t>Azka Ivano Ananda Hidayat - L</t>
  </si>
  <si>
    <t>Azkiara Andhita - P</t>
  </si>
  <si>
    <t>Azzalea Sakinah Ayura Putri - P</t>
  </si>
  <si>
    <t>Balqis Jauza Sabreenijka - P</t>
  </si>
  <si>
    <t>Carissa Alia Andinaputri - P</t>
  </si>
  <si>
    <t>Chntya Serlin Armedta Hia - P</t>
  </si>
  <si>
    <t>Evan Diaz - L</t>
  </si>
  <si>
    <t>Fannan Hoseki Fayyaz - P</t>
  </si>
  <si>
    <t>Galuh Pria Esa - P</t>
  </si>
  <si>
    <t>Henokh Prada Dhanendra Prasada - P</t>
  </si>
  <si>
    <t>Jazirah Rahmah - P</t>
  </si>
  <si>
    <t>Kaira Fatiya Nurfan - P</t>
  </si>
  <si>
    <t>Linggara Anugrah - L</t>
  </si>
  <si>
    <t>Luna Majidah Zafira - P</t>
  </si>
  <si>
    <t>Lutfiana Silva - P</t>
  </si>
  <si>
    <t>Mazaya Marva Mardyanti - L</t>
  </si>
  <si>
    <t>Misykah Adzra Maulida - L</t>
  </si>
  <si>
    <t>Muhamad Reyhan Nurhakim - L</t>
  </si>
  <si>
    <t>Muhammad Evan Fadillah - L</t>
  </si>
  <si>
    <t>Muhammad Fahry Tyandra - L</t>
  </si>
  <si>
    <t>Muhammad Ieddzar Haradiya - L</t>
  </si>
  <si>
    <t>Muhammad Revan Adi Saputra - L</t>
  </si>
  <si>
    <t>Muhammad Zaky Winata - L</t>
  </si>
  <si>
    <t>Nadhifa Amelia Garjita - P</t>
  </si>
  <si>
    <t>Nadia Delisa Saefani - P</t>
  </si>
  <si>
    <t>Neysha Aurelya Azzahra - P</t>
  </si>
  <si>
    <t>Rafa Farand Pratama - L</t>
  </si>
  <si>
    <t>Rendy Gilang Novianto - L</t>
  </si>
  <si>
    <t>Ruvita Rinjani - P</t>
  </si>
  <si>
    <t>Salmaa Saalimah Wibowo - P</t>
  </si>
  <si>
    <t>Salsabil Mulki - P</t>
  </si>
  <si>
    <t>Shaquille Putra Yudira - P</t>
  </si>
  <si>
    <t>Siva Muliyanti - P</t>
  </si>
  <si>
    <t>Tiara Zenobia Nafisa - P</t>
  </si>
  <si>
    <t>Vilvizeeya Hazira Kurnia - P</t>
  </si>
  <si>
    <t>Weny Meylieneke Sianipar - P</t>
  </si>
  <si>
    <t>Yoanne Mulin Averina - P</t>
  </si>
  <si>
    <t>Zaki Arya Wicaksono - L</t>
  </si>
  <si>
    <t>Zelda Hanifah Zaneta - P</t>
  </si>
  <si>
    <t>Afgan Prima Rizkia Iskandar - L</t>
  </si>
  <si>
    <t>Aik Novitasari - P</t>
  </si>
  <si>
    <t>Aisyah Aqilah Agni - P</t>
  </si>
  <si>
    <t>Aisyah Hanifa Redana - P</t>
  </si>
  <si>
    <t>Allya Luthfiah Putri - P</t>
  </si>
  <si>
    <t>Annisa Salsabilla - P</t>
  </si>
  <si>
    <t>Arsyad Khaerul Izzan - L</t>
  </si>
  <si>
    <t>Aruni Khalila Ayu - P</t>
  </si>
  <si>
    <t>Avemarianne Ninetrie Septiane - P</t>
  </si>
  <si>
    <t>Ayi Artadinata - P</t>
  </si>
  <si>
    <t>Ayra Jauzaa Viranda - P</t>
  </si>
  <si>
    <t>Bintang Jati Pratama - L</t>
  </si>
  <si>
    <t>Daffa Hafizh Firdausi - L</t>
  </si>
  <si>
    <t>Damara Dasha Bahi Utomo - L</t>
  </si>
  <si>
    <t>Deana Azalea Belva - P</t>
  </si>
  <si>
    <t>Delfa Maharani - P</t>
  </si>
  <si>
    <t>Fauza Nur Aziema - P</t>
  </si>
  <si>
    <t>Gefira Azizatul Hasanah - L</t>
  </si>
  <si>
    <t>Keisha Nurazizah - P</t>
  </si>
  <si>
    <t>Kenzie Dzakwan Ibrahim - L</t>
  </si>
  <si>
    <t>Kesyha Ramadhani - P</t>
  </si>
  <si>
    <t>Kevin Septian Ramadhan - L</t>
  </si>
  <si>
    <t>Madina Zulfa Aini - P</t>
  </si>
  <si>
    <t>Maheswara Pekik Hanuraga - L</t>
  </si>
  <si>
    <t>Maria Agatha Cherlin Christiani - P</t>
  </si>
  <si>
    <t>Maulida Ainnurahma - P</t>
  </si>
  <si>
    <t>Muhamad Subkhi - L</t>
  </si>
  <si>
    <t>Muhammad Armanugie Saputra - L</t>
  </si>
  <si>
    <t>Muhammad Javier - L</t>
  </si>
  <si>
    <t>Muhammad Zahran Rifai - L</t>
  </si>
  <si>
    <t>Nadhifa Qeysa Auliani Soehardi - P</t>
  </si>
  <si>
    <t>Naila - P</t>
  </si>
  <si>
    <t>Natiq Tawqir Muniruzzaman Anandamaya - L</t>
  </si>
  <si>
    <t>Naureen Shabiha Zahira - P</t>
  </si>
  <si>
    <t>Nayla Lyra Sagita - P</t>
  </si>
  <si>
    <t>Naywa Dinda Kansana Lubis - P</t>
  </si>
  <si>
    <t>Ni Putu Anjani Dewi Diningrat - P</t>
  </si>
  <si>
    <t>Olivia Desvita Sari - P</t>
  </si>
  <si>
    <t>R.A.M. Fakhri Izzuddin Mashur - L</t>
  </si>
  <si>
    <t>Radinka Alano Hamizan Abqari - L</t>
  </si>
  <si>
    <t>Rifqah Ramadhani - P</t>
  </si>
  <si>
    <t>Roshan Aidan Juro Aprianto - L</t>
  </si>
  <si>
    <t>Ruba Aqeela Hafizha Mecca - P</t>
  </si>
  <si>
    <t>Sajna Jerrusalem Kharima Sugeng Putri - P</t>
  </si>
  <si>
    <t>Shahrazad Aulia Handyanto - P</t>
  </si>
  <si>
    <t>Syahla Salsabila Ramdani - P</t>
  </si>
  <si>
    <t>Velicya Arnelita Zahra Suryana - P</t>
  </si>
  <si>
    <t>Zalfa Rizqia Nur Nadhifa - P</t>
  </si>
  <si>
    <t>Cerdig | Laporan Absensi Kehadiran Siswa</t>
  </si>
  <si>
    <t>No</t>
  </si>
  <si>
    <t>Nama Lengkap</t>
  </si>
  <si>
    <t>Hadir Tepat Waktu</t>
  </si>
  <si>
    <t>Hadir Terlambat</t>
  </si>
  <si>
    <t>Izin</t>
  </si>
  <si>
    <t>Alfa</t>
  </si>
  <si>
    <t>Sakit</t>
  </si>
  <si>
    <t>X-1</t>
  </si>
  <si>
    <t>X-11</t>
  </si>
  <si>
    <t>X-12</t>
  </si>
  <si>
    <t>X-5</t>
  </si>
  <si>
    <t>Elang Bramasta - L</t>
  </si>
  <si>
    <t>Fakhri Ahza Setiawan - L</t>
  </si>
  <si>
    <t>Muhammad Naufal Rhesa - L Fernando</t>
  </si>
  <si>
    <t>X-6</t>
  </si>
  <si>
    <t>Kasih Yuliana Putri - P</t>
  </si>
  <si>
    <t>Raden Muhamad Zaki - L</t>
  </si>
  <si>
    <t>X-7</t>
  </si>
  <si>
    <t>Kharira P. Pradea - P</t>
  </si>
  <si>
    <t>Raissya Aurellyona Carollyta Putri - P</t>
  </si>
  <si>
    <t>X-2</t>
  </si>
  <si>
    <t>Fatimah Ayu Sekarsari - P</t>
  </si>
  <si>
    <t>X-3</t>
  </si>
  <si>
    <t>Muhammad Rizky Aditya Putra Sukmawijayaguna - L</t>
  </si>
  <si>
    <t>X-4</t>
  </si>
  <si>
    <t>X-8</t>
  </si>
  <si>
    <t>Mochammad Hafizh Fadlurahman - L</t>
  </si>
  <si>
    <t>X-9</t>
  </si>
  <si>
    <t>Nariyahingtyas Wientarya - P</t>
  </si>
  <si>
    <t>X-10</t>
  </si>
  <si>
    <t>Rekhsa Angkasawan</t>
  </si>
  <si>
    <t>Agil Umar - L</t>
  </si>
  <si>
    <t>XI A1</t>
  </si>
  <si>
    <t>Ahmad Riyad Sugiarto - L</t>
  </si>
  <si>
    <t>Alifah Khairani Sawaludin - P</t>
  </si>
  <si>
    <t>Almira Tungga Dewi - P</t>
  </si>
  <si>
    <t>Aulya Mawal Juniar - P</t>
  </si>
  <si>
    <t>Bagaskara Arya Perkasa - L</t>
  </si>
  <si>
    <t>Chiara Nanda Setiyo Fazria - P</t>
  </si>
  <si>
    <t>Devin Anandya Syuja - L</t>
  </si>
  <si>
    <t>Diaz Pradana Putra - L</t>
  </si>
  <si>
    <t>Disha Ramanda Putra - L</t>
  </si>
  <si>
    <t>Donita Aulia Ramadhani - P</t>
  </si>
  <si>
    <t>Evania Sarah Ilmira - P</t>
  </si>
  <si>
    <t>Hanan Dzul Hilmi - L</t>
  </si>
  <si>
    <t>Irsyad Abrian Al-Warid - L</t>
  </si>
  <si>
    <t>Kamiila Putri Khairunnisa - P</t>
  </si>
  <si>
    <t>Keisha Edsel Darmawan - P</t>
  </si>
  <si>
    <t>Keisha Juan - P</t>
  </si>
  <si>
    <t>Khansa Makaila Kayyasah - P</t>
  </si>
  <si>
    <t>Kirana Aura Azzahra Permana - P</t>
  </si>
  <si>
    <t>Kirani Aira Salsabila Permana - P</t>
  </si>
  <si>
    <t>Kireina Zahra Yasmaini - P</t>
  </si>
  <si>
    <t>Muhammad Dzaky - L</t>
  </si>
  <si>
    <t>Muhammad Zaki Arrahman - L</t>
  </si>
  <si>
    <t>Nailatul Ullya - P</t>
  </si>
  <si>
    <t>Qatrun Nada Tannaqi - P</t>
  </si>
  <si>
    <t>Queensha Anjani Sudrajat - P</t>
  </si>
  <si>
    <t>Raihanna Zahra Aqilah - P</t>
  </si>
  <si>
    <t>Rania Salsabila - P</t>
  </si>
  <si>
    <t>Syahrena Pita Pinasih - P</t>
  </si>
  <si>
    <t>Tristan Muhammad Jibril - L</t>
  </si>
  <si>
    <t>Winda Maharani - P</t>
  </si>
  <si>
    <t>Wintang Hikmah Kusuma Dewi - P</t>
  </si>
  <si>
    <t>Zaskia Aulia Putri - P</t>
  </si>
  <si>
    <t>Zhalida Daumixy Mora Siregar - P</t>
  </si>
  <si>
    <t>Zulfa Laila Mashurah - P</t>
  </si>
  <si>
    <t>Adinda Khayla - P</t>
  </si>
  <si>
    <t>XI A2</t>
  </si>
  <si>
    <t>Aditya Narayan - L</t>
  </si>
  <si>
    <t>Aisyah Syuja Larasati Sigit - P</t>
  </si>
  <si>
    <t>Alma Destianti - P</t>
  </si>
  <si>
    <t>Alya Mukhbita Hendriana - P</t>
  </si>
  <si>
    <t>Anindita Naranisa Jati - P</t>
  </si>
  <si>
    <t>Annisa Nur Fajriya - P</t>
  </si>
  <si>
    <t>Atma Pertiwi - P</t>
  </si>
  <si>
    <t>Deivar Brimantara - L</t>
  </si>
  <si>
    <t>Dzakia Fitri - P</t>
  </si>
  <si>
    <t>Fadhilah Dwi Sabrina Nugrahaning Putri - P</t>
  </si>
  <si>
    <t>Fellysia Oktafia Fernanda - P</t>
  </si>
  <si>
    <t>Fiquita Napu - P</t>
  </si>
  <si>
    <t>Glenn Hubert Jonathan Haholongan Simanungkalit - L</t>
  </si>
  <si>
    <t>Hanif Aulia Rifqy - L</t>
  </si>
  <si>
    <t>Haykal Wisnu Bayu Wiemanji - L</t>
  </si>
  <si>
    <t>Maulida Az Zahra Nurrayani - P</t>
  </si>
  <si>
    <t>Moehamad Putra Aulia - L</t>
  </si>
  <si>
    <t>Muhammad Fariz Duta Ehsan - L</t>
  </si>
  <si>
    <t>Muhammad Rizki Salim - L</t>
  </si>
  <si>
    <t>Muthia Jasmine Muthma Innah - P</t>
  </si>
  <si>
    <t>Ni Made Nazela - P</t>
  </si>
  <si>
    <t>Niken Zahrothul Sita - P</t>
  </si>
  <si>
    <t>Nurafni Maisa - P</t>
  </si>
  <si>
    <t>Nurisya Aulia Shabiira - P</t>
  </si>
  <si>
    <t>Rachmat Saidi Koes Mulyana - L</t>
  </si>
  <si>
    <t>Raissa Zahra Hidayat - P</t>
  </si>
  <si>
    <t>Rizieq Zidan Rizal - L</t>
  </si>
  <si>
    <t>Rizka Rana Naila - P</t>
  </si>
  <si>
    <t>Salsabila Maulani - P</t>
  </si>
  <si>
    <t>Santika Febyanti - P</t>
  </si>
  <si>
    <t>Savira Oktavia Prasetyo - P</t>
  </si>
  <si>
    <t>Syadien Kamillia Agustin - P</t>
  </si>
  <si>
    <t>Syaikhah Anbar - P</t>
  </si>
  <si>
    <t>Tumpal David Hotbonardo Napitupulu - L</t>
  </si>
  <si>
    <t>Wanda Zhafirah - P</t>
  </si>
  <si>
    <t>Ahmad Humam Rifqi - L</t>
  </si>
  <si>
    <t>XI B1</t>
  </si>
  <si>
    <t>Allayda Cindy Addrian - P</t>
  </si>
  <si>
    <t>Anandio Alfathir Suherman - L</t>
  </si>
  <si>
    <t>Aura Humaira Putri Gunawan - P</t>
  </si>
  <si>
    <t>Dinda Syafana Alfatiha .N .R .K - P</t>
  </si>
  <si>
    <t>Elizabeth Fransiska Siregar - P</t>
  </si>
  <si>
    <t>Fariha Tiara Jinaani - P</t>
  </si>
  <si>
    <t>Juan Tri Alexandro Immanuel - L</t>
  </si>
  <si>
    <t>Karimah Bassam Faris Sawaftah - P</t>
  </si>
  <si>
    <t>Kayla Rahmah Mumtazah - P</t>
  </si>
  <si>
    <t>Kesya Rashan Syilbiyy Firdaus - P</t>
  </si>
  <si>
    <t>Kezia Feodora Simarnala Ciberro - P</t>
  </si>
  <si>
    <t>Lina Amelia Dwi Anjani - P</t>
  </si>
  <si>
    <t>Luviyani - P</t>
  </si>
  <si>
    <t>Malika Nurzahira - P</t>
  </si>
  <si>
    <t>Maysa Khumaira - P</t>
  </si>
  <si>
    <t>Mazaya Kamilah Manik - P</t>
  </si>
  <si>
    <t>Meydina Khaliilah Bramantya - P</t>
  </si>
  <si>
    <t>Meysa Yosi Salsabila - P</t>
  </si>
  <si>
    <t>Muhamad Riski Aditiya - L</t>
  </si>
  <si>
    <t>Muhammad Shafa - L</t>
  </si>
  <si>
    <t>Nadian Putri Syafina - P</t>
  </si>
  <si>
    <t>Nayshila Dhiya Adzkia - P</t>
  </si>
  <si>
    <t>Nazhera Irba Iwel - P</t>
  </si>
  <si>
    <t>Piona Abigail Zamar Sinaga - P</t>
  </si>
  <si>
    <t>Quintania Aura Putri - P</t>
  </si>
  <si>
    <t>Rania Salsabilla - P</t>
  </si>
  <si>
    <t>Rhaditia Fajar Kasyahvani - L</t>
  </si>
  <si>
    <t>Samy Abdurrahman Romdhony - L</t>
  </si>
  <si>
    <t>Sanlia Moranda Br Silaban - P</t>
  </si>
  <si>
    <t>Syifa Aprilia - P</t>
  </si>
  <si>
    <t>Valentino Azka Febrian Putra - L</t>
  </si>
  <si>
    <t>Vinny Vionita - P</t>
  </si>
  <si>
    <t>Viola Anindita Kurniawan - P</t>
  </si>
  <si>
    <t>Yasmin Diva Nurfiqra - P</t>
  </si>
  <si>
    <t>Zahisa Raudhatul Jannah - P</t>
  </si>
  <si>
    <t>Aisyah Nur Izzah - P</t>
  </si>
  <si>
    <t>XI B2</t>
  </si>
  <si>
    <t>Alexandria Prameswari Prawira - P</t>
  </si>
  <si>
    <t>Alexia Luigi Lian - P</t>
  </si>
  <si>
    <t>Andi Almaghfira Shabila Sawerigading - L</t>
  </si>
  <si>
    <t>Bintang Alif Putra Satriya - P</t>
  </si>
  <si>
    <t>Chaerani Yulianti - P</t>
  </si>
  <si>
    <t>Davina Mutiara Arfi - P</t>
  </si>
  <si>
    <t>Faiza Zalfa Nadifa - P</t>
  </si>
  <si>
    <t>Fajra Aniq Khalisha - P</t>
  </si>
  <si>
    <t>Faliqa Haq Hasanah - P</t>
  </si>
  <si>
    <t>Feyza Alya Mukhbita - P</t>
  </si>
  <si>
    <t>Hilma Sandria - P</t>
  </si>
  <si>
    <t>Hinezta Nailah Sanmaghfirah - P</t>
  </si>
  <si>
    <t>Ilma Nur Agnia - P</t>
  </si>
  <si>
    <t>Intan Tania - L</t>
  </si>
  <si>
    <t>Januar Obed Holand Sitopu - P</t>
  </si>
  <si>
    <t>Kayla Dhea Nurma Fauziah - P</t>
  </si>
  <si>
    <t>Kesya Ardelia Kusuma - P</t>
  </si>
  <si>
    <t>Khairunnisa Rahadatul Aisy - P</t>
  </si>
  <si>
    <t>Kirana Nur'Aini - L</t>
  </si>
  <si>
    <t>Mohammed Alvaro Fauzan Purnomo - L</t>
  </si>
  <si>
    <t>Muhamad Daffa Sugianto - L</t>
  </si>
  <si>
    <t>Muhammad Daffa Khairy Mufid - L</t>
  </si>
  <si>
    <t>Musyaffa Nureshan Pahlevi - P</t>
  </si>
  <si>
    <t>Nazwa Mufida - P</t>
  </si>
  <si>
    <t>Oshe Bilqis Nadhifah - P</t>
  </si>
  <si>
    <t>Putri Khaila Azzahra - P</t>
  </si>
  <si>
    <t>Queen Aqila Althafunnisa - L</t>
  </si>
  <si>
    <t>Ramaditya Tangguh Alfian - P</t>
  </si>
  <si>
    <t>Raya Fitri Anjaini - P</t>
  </si>
  <si>
    <t>Revalia Sabrina Safa - L</t>
  </si>
  <si>
    <t>Reyhan Saputra - P</t>
  </si>
  <si>
    <t>Safa Adalia - P</t>
  </si>
  <si>
    <t>Sheryn Valentia - P</t>
  </si>
  <si>
    <t>Syakira - P</t>
  </si>
  <si>
    <t>Zahara Romadhona - P</t>
  </si>
  <si>
    <t>Abdurrahman Syauqi - L</t>
  </si>
  <si>
    <t>XI C</t>
  </si>
  <si>
    <t>Aira Eva Fajarina - P</t>
  </si>
  <si>
    <t>Akram Dika Setiawan - L</t>
  </si>
  <si>
    <t>Al-Habi Syehar Irawan - L</t>
  </si>
  <si>
    <t>Alya Atifa Edfiyanti - P</t>
  </si>
  <si>
    <t>Andrea Kaira Nezza - P</t>
  </si>
  <si>
    <t>Ardhito Himawan Dwantara - L</t>
  </si>
  <si>
    <t>Aureli Valency Achiles - P</t>
  </si>
  <si>
    <t>Caesy Aprilia Bausir - P</t>
  </si>
  <si>
    <t>Hasna Azmalea Radhina Santosa - P</t>
  </si>
  <si>
    <t>Khalista Bisi Elmyra - P</t>
  </si>
  <si>
    <t>Khansa Nadya Rahman - P</t>
  </si>
  <si>
    <t>Lexa El Sohbia - P</t>
  </si>
  <si>
    <t>Madina Silvana Dewi - P</t>
  </si>
  <si>
    <t>Mala Nirmala - P</t>
  </si>
  <si>
    <t>Muhammad Aqila Zhafran Khair - L</t>
  </si>
  <si>
    <t>Muhammad Noval Irfandi - L</t>
  </si>
  <si>
    <t>Muhammad Rayza Ijudin - L</t>
  </si>
  <si>
    <t>Nabilah Khoirunnisaa - P</t>
  </si>
  <si>
    <t>Nadya Putri - P</t>
  </si>
  <si>
    <t>Nasywa Neno Fauziah - P</t>
  </si>
  <si>
    <t>Nazira Meisa - P</t>
  </si>
  <si>
    <t>Ni Kadek Masayu Savitar Handayani - P</t>
  </si>
  <si>
    <t>Prita Seliana - P</t>
  </si>
  <si>
    <t>Putri Allysia Yusup - P</t>
  </si>
  <si>
    <t>Putri Dita Apriliya - P</t>
  </si>
  <si>
    <t>Putri Keysha M. C - P</t>
  </si>
  <si>
    <t>Ray Anita Natasya - P</t>
  </si>
  <si>
    <t>Rizki Maulana Fadillah - L</t>
  </si>
  <si>
    <t>Sakila Nasution - P</t>
  </si>
  <si>
    <t>Salsabila Putri - P</t>
  </si>
  <si>
    <t>Sandria Salsalina Sembiring Kembaren - P</t>
  </si>
  <si>
    <t>Shanaz Mufida - P</t>
  </si>
  <si>
    <t>Syaira Fakhrudina Putri - P</t>
  </si>
  <si>
    <t>Tegar Hermawan Anggoro - L</t>
  </si>
  <si>
    <t>Vira Aprilia Putri - P</t>
  </si>
  <si>
    <t>Anindya Zhafira Sani - P</t>
  </si>
  <si>
    <t>XI D1</t>
  </si>
  <si>
    <t>Ariij Arriyad - P</t>
  </si>
  <si>
    <t>Arinda Khalisha Pambudi - P</t>
  </si>
  <si>
    <t>Arya Muhammad Raihan - L</t>
  </si>
  <si>
    <t>Aulia Erlin Mummaizah - P</t>
  </si>
  <si>
    <t>Aurelia Syifa Fiandra - P</t>
  </si>
  <si>
    <t>Bilqist Ayu Wulandari - P</t>
  </si>
  <si>
    <t>Cintia Zahfirah Asyiah Siregar - P</t>
  </si>
  <si>
    <t>Dania Anindita Tunggadewi - P</t>
  </si>
  <si>
    <t>Danisy Nahdhan Pratama - L</t>
  </si>
  <si>
    <t>Dicky Maulana - L</t>
  </si>
  <si>
    <t>Faida Annaila Zahra - P</t>
  </si>
  <si>
    <t>Gan Muhammad Rizky - L</t>
  </si>
  <si>
    <t>Haidar Al Fathin - L</t>
  </si>
  <si>
    <t>Intan Zahira Aulia - P</t>
  </si>
  <si>
    <t>Kahla Mulia - P</t>
  </si>
  <si>
    <t>Kayla Pelangi Harupi - P</t>
  </si>
  <si>
    <t>Khomairah - P</t>
  </si>
  <si>
    <t>Lingga Argan Zinggara - L</t>
  </si>
  <si>
    <t>Maulana Yusuf Purnama - L</t>
  </si>
  <si>
    <t>Muhammad Abidzar - L</t>
  </si>
  <si>
    <t>Muhammad Irgi Avicenna Fachridho Putra - L</t>
  </si>
  <si>
    <t>Nadine Kirana Saraswati - P</t>
  </si>
  <si>
    <t>Naura Praprincess Ananda Anbiya - P</t>
  </si>
  <si>
    <t>Puti Pelangi Maharani - P</t>
  </si>
  <si>
    <t>Quenna Valencia - P</t>
  </si>
  <si>
    <t>Rama Ar Rifatul Anbiya - L</t>
  </si>
  <si>
    <t>Rifky Akbar Maulana - L</t>
  </si>
  <si>
    <t>Rizky Baihaqi - L</t>
  </si>
  <si>
    <t>Rosliani Sarrah - P</t>
  </si>
  <si>
    <t>Salwa Aisya Putri - P</t>
  </si>
  <si>
    <t>Salwa Amanda Putri - P</t>
  </si>
  <si>
    <t>Shinta Aulia - P</t>
  </si>
  <si>
    <t>Troy Rhezky Lembong - L</t>
  </si>
  <si>
    <t>Zalfa Anaya Putri - P</t>
  </si>
  <si>
    <t>Zhafira Fathin Ilmira - P</t>
  </si>
  <si>
    <t>Abhipraya Fahim Ghazal Adhiatma - L</t>
  </si>
  <si>
    <t>XI D2</t>
  </si>
  <si>
    <t>Abimanyu Cakraningrat - L</t>
  </si>
  <si>
    <t>Aini Nur Fauziah Gunawan - P</t>
  </si>
  <si>
    <t>Almira Dian Pratiwi - P</t>
  </si>
  <si>
    <t>Anjar Rauf Fahrizal - L</t>
  </si>
  <si>
    <t>Arsyila Kayyisah Biyanto - P</t>
  </si>
  <si>
    <t>Aufa Syafiq Disastra - P</t>
  </si>
  <si>
    <t>Aurellia Syifa Hafianti - P</t>
  </si>
  <si>
    <t>Ayuki Nirwasita Saputro - P</t>
  </si>
  <si>
    <t>Chelsy Ashyla Nafiza - P</t>
  </si>
  <si>
    <t>Echa Putri Ramadhani - P</t>
  </si>
  <si>
    <t>Ello Sasmitha Jati - P</t>
  </si>
  <si>
    <t>Eskisan Oktri Femista - L</t>
  </si>
  <si>
    <t>Fathan Mubina - L</t>
  </si>
  <si>
    <t>Fiona Wahidah Salsabila - P</t>
  </si>
  <si>
    <t>Gian Fabrizio - L</t>
  </si>
  <si>
    <t>Khansa Nabilah Fatin - P</t>
  </si>
  <si>
    <t>Khofifah Asrining Pangastuti - P</t>
  </si>
  <si>
    <t>Lukman Harun Aditya - L</t>
  </si>
  <si>
    <t>M. Bintang Aliansyah Tukuboya - L</t>
  </si>
  <si>
    <t>Muhammad Dalfin Syawaldi Putra Setiawan - L</t>
  </si>
  <si>
    <t>Muhammad Naufal Suryadi - L</t>
  </si>
  <si>
    <t>Muhammad Salman Iriansar - L</t>
  </si>
  <si>
    <t>Nabilla Alya Rohhadi - P</t>
  </si>
  <si>
    <t>Ni Putu Nayaka Prakasayati Pasek - P</t>
  </si>
  <si>
    <t>Quinsha Naura Adity - P</t>
  </si>
  <si>
    <t>Rahel Esra Ratua Manurung - P</t>
  </si>
  <si>
    <t>Salsabila Alfeeansyah Putri - P</t>
  </si>
  <si>
    <t>Samuel Sahat Vito Siregar - L</t>
  </si>
  <si>
    <t>Satria Andhika Raissa - L</t>
  </si>
  <si>
    <t>Talita Putria Cahyani - P</t>
  </si>
  <si>
    <t>Yasmin Sakura Armawan - P</t>
  </si>
  <si>
    <t>Zafarani Amalia Putri - P</t>
  </si>
  <si>
    <t>Zahra Talita Dzakira - P</t>
  </si>
  <si>
    <t>Zaskya Risqita Andriani - P</t>
  </si>
  <si>
    <t>Zikra Arib Rozaan - L</t>
  </si>
  <si>
    <t>Abhista Anggoro Purnomo - L</t>
  </si>
  <si>
    <t>XI D3</t>
  </si>
  <si>
    <t>Aina Nisa Asyifa - P</t>
  </si>
  <si>
    <t>Aloysius Arthur Sinurat - L</t>
  </si>
  <si>
    <t>Aluna Kalila Fauzan - P</t>
  </si>
  <si>
    <t>Anida Dewi Anjani - P</t>
  </si>
  <si>
    <t>Aqila Khairunnisa Putri - P</t>
  </si>
  <si>
    <t>Athalia Mayrossa Kenzie - P</t>
  </si>
  <si>
    <t>Aulia Putri Syafira - P</t>
  </si>
  <si>
    <t>Aulia Rahmaditia Danang - P</t>
  </si>
  <si>
    <t>Aurellia Odelina Askanah Han - P</t>
  </si>
  <si>
    <t>Banuwarman - L</t>
  </si>
  <si>
    <t>Bilqis Khumairah Putri - P</t>
  </si>
  <si>
    <t>Bumi Raffah Al Islahi - P</t>
  </si>
  <si>
    <t>Cemara Anggraeny - P</t>
  </si>
  <si>
    <t>Chiara Anggun Dameyanti Sirait - P</t>
  </si>
  <si>
    <t>Disya Cahaya Carrisa - P</t>
  </si>
  <si>
    <t>Farrel Luthfi Arviansyah - L</t>
  </si>
  <si>
    <t>Ghina Yumna - P</t>
  </si>
  <si>
    <t>Grasela Riyanti - P</t>
  </si>
  <si>
    <t>Keisya Nurmaulida - P</t>
  </si>
  <si>
    <t>Kezia Aulia Hattalaibessij - P</t>
  </si>
  <si>
    <t>Muhamad Ikmal - L</t>
  </si>
  <si>
    <t>Muhamad Zahran Ramadhan - L</t>
  </si>
  <si>
    <t>Muhammad Bagus Haryo Pratama - L</t>
  </si>
  <si>
    <t>Muhammad Daffa Rifai - L</t>
  </si>
  <si>
    <t>Muhammad Rifqi Hadzami - L</t>
  </si>
  <si>
    <t>Muhammad Yusril Ihza Bustomi - L</t>
  </si>
  <si>
    <t>Nadya Fayza Aulia - P</t>
  </si>
  <si>
    <t>Naurah Khansa Wibawa - P</t>
  </si>
  <si>
    <t>Nuri Sabilatul Aspiya - P</t>
  </si>
  <si>
    <t>Raffa Meyzaidan - L</t>
  </si>
  <si>
    <t>Rifzki Yusrin - L</t>
  </si>
  <si>
    <t>Shafira Ghassani - P</t>
  </si>
  <si>
    <t>Sulaim Apenino Abdulhaq - L</t>
  </si>
  <si>
    <t>Talita Shaki Aulia - P</t>
  </si>
  <si>
    <t>Vindy Aprilia Khanaya - P</t>
  </si>
  <si>
    <t>Adinda Queena Maheswari - P</t>
  </si>
  <si>
    <t>XI E1</t>
  </si>
  <si>
    <t>Alex Saputra Suranta Tarigan - L</t>
  </si>
  <si>
    <t>Alwinsa Sugiharto - P</t>
  </si>
  <si>
    <t>Anindito Pandu Fahrinugroho - L</t>
  </si>
  <si>
    <t>Annida Khairunnisa - P</t>
  </si>
  <si>
    <t>Aryasatya Tridaya Alam - L</t>
  </si>
  <si>
    <t>Bilal Kaka Pratama Hartoyo - L</t>
  </si>
  <si>
    <t>Daffa Iqram Al Fachreza - L</t>
  </si>
  <si>
    <t>Deandra Nashwan Danish - L</t>
  </si>
  <si>
    <t>Erzan Fauzy Zulkarnaen - L</t>
  </si>
  <si>
    <t>Fadel Maliq Fathani - L</t>
  </si>
  <si>
    <t>Islamian Ikhsa Firmawan - L</t>
  </si>
  <si>
    <t>Juwinsyah Dwi Arga - P</t>
  </si>
  <si>
    <t>Langlang Syahadat Pulung Jati - L</t>
  </si>
  <si>
    <t>Maritza Alisha Fathi - P</t>
  </si>
  <si>
    <t>Mirza Faiz Al Razak - L</t>
  </si>
  <si>
    <t>Mirza Muhammad Rafi Hanifaldin - L</t>
  </si>
  <si>
    <t>Muhamad Akbar - L</t>
  </si>
  <si>
    <t>Muhamad Gatfan Suryabakti - L</t>
  </si>
  <si>
    <t>Muhammad Atha Fauzansyah - L</t>
  </si>
  <si>
    <t>Muhammad Fairuz Pratama - L</t>
  </si>
  <si>
    <t>Muhammad Faisal Ghani - L</t>
  </si>
  <si>
    <t>Muhammad Fatih Rayyan Niago - L</t>
  </si>
  <si>
    <t>Muhammad Ghifaraidosata Suwondo - L</t>
  </si>
  <si>
    <t>Muhammad Habil Mulyana - L</t>
  </si>
  <si>
    <t>Muhammad Rizqullah Salim Wibowo - L</t>
  </si>
  <si>
    <t>Nazua Ristiyana Viragupti - P</t>
  </si>
  <si>
    <t>Neisha Arinta Putri Sarjana - P</t>
  </si>
  <si>
    <t>Rafa Ibnu Kanaka - L</t>
  </si>
  <si>
    <t>Rais Aliyan - L</t>
  </si>
  <si>
    <t>Razan Muhammad Ihsan Solihin - L</t>
  </si>
  <si>
    <t>Rifqi Anindya Putra - L</t>
  </si>
  <si>
    <t>Sabika Zaura Khumairo - P</t>
  </si>
  <si>
    <t>Savrya Alwi Amani - L</t>
  </si>
  <si>
    <t>Zaina Husniyati Hamdani - P</t>
  </si>
  <si>
    <t>Zhafran Ramadhan Drajat Sukma - L</t>
  </si>
  <si>
    <t>Almira Chairunnisa Imawan - P</t>
  </si>
  <si>
    <t>XI E2</t>
  </si>
  <si>
    <t>Althafunisa Radisty Samiadji - P</t>
  </si>
  <si>
    <t>Amora Romadearni Sinaga - P</t>
  </si>
  <si>
    <t>Andika Artha Kusuma - L</t>
  </si>
  <si>
    <t>Atha Rezky Riyansyah - L</t>
  </si>
  <si>
    <t>Ayu Widyaningsih - P</t>
  </si>
  <si>
    <t>Ayudias Raina Zara - P</t>
  </si>
  <si>
    <t>Barep Agha Rioyo - L</t>
  </si>
  <si>
    <t>Daffa Diaz Arsya Bashari - L</t>
  </si>
  <si>
    <t>Danish Alghifari - L</t>
  </si>
  <si>
    <t>Faiz Alfariz - L</t>
  </si>
  <si>
    <t>Heru Kurnia - L</t>
  </si>
  <si>
    <t>Hibban Abdurrahman - L</t>
  </si>
  <si>
    <t>Imam Al Ashfia Prastomo - L</t>
  </si>
  <si>
    <t>Irsyad Nabihan - L</t>
  </si>
  <si>
    <t>Javasanda Putra Perdana - L</t>
  </si>
  <si>
    <t>Lais Yusuf Ghazali - L</t>
  </si>
  <si>
    <t>Marcel Tri Hermawan - L</t>
  </si>
  <si>
    <t>Muhammad Ammar Firdaus Putra - L</t>
  </si>
  <si>
    <t>Muhammad Fikra Burhamzah - L</t>
  </si>
  <si>
    <t>Muhammad Ghaizyan Athar - L</t>
  </si>
  <si>
    <t>Muhammad Syawal - L</t>
  </si>
  <si>
    <t>Natanael Nadapdap - L</t>
  </si>
  <si>
    <t>Naufal Alghifary Zulya - L</t>
  </si>
  <si>
    <t>Putri Wida Az-Zahra - P</t>
  </si>
  <si>
    <t>Raden Devan Alanzulfian - L</t>
  </si>
  <si>
    <t>Raufan Nabih Firmansyah - L</t>
  </si>
  <si>
    <t>Rizky Abdul Bashir Tuharea - L</t>
  </si>
  <si>
    <t>Sabrina Firdaus Zahratus Zakaria - P</t>
  </si>
  <si>
    <t>Shayang Camila Ahsanie - P</t>
  </si>
  <si>
    <t>Sila Nur Fauziah - P</t>
  </si>
  <si>
    <t>Surya Rangga Wisuta - L</t>
  </si>
  <si>
    <t>Tri Andika - L</t>
  </si>
  <si>
    <t>Win Mahara Kuswanto - L</t>
  </si>
  <si>
    <t>Zaidan Alifahridho Koeswanto - L</t>
  </si>
  <si>
    <t>Zihni Falih Safaras - P</t>
  </si>
  <si>
    <t>Aldy Pratama - L</t>
  </si>
  <si>
    <t>XI F1</t>
  </si>
  <si>
    <t>Alifia Radya Pramesti - P</t>
  </si>
  <si>
    <t>Anneira Hendryto - P</t>
  </si>
  <si>
    <t>Asri Fatima Azzahra - P</t>
  </si>
  <si>
    <t>Audi Nur Chantika Putri - P</t>
  </si>
  <si>
    <t>Bagus Sugiharto - L</t>
  </si>
  <si>
    <t>Della Widya Wati - P</t>
  </si>
  <si>
    <t>Dzakira Aftani Herdianto - P</t>
  </si>
  <si>
    <t>Elsamonic - P</t>
  </si>
  <si>
    <t>Faiza Ramadhani - P</t>
  </si>
  <si>
    <t>Fauzan Nur Haidar - L</t>
  </si>
  <si>
    <t>Faza Azima Waalidaen - P</t>
  </si>
  <si>
    <t>Firas Rizqy Wicaksono - L</t>
  </si>
  <si>
    <t>Gede Aira Sagita Putri Ksy - P</t>
  </si>
  <si>
    <t>Gizella Anggrietta - P</t>
  </si>
  <si>
    <t>Hafizhoh Maryam Az-Zuhaely - P</t>
  </si>
  <si>
    <t>Husnaila Kamil - P</t>
  </si>
  <si>
    <t>Jesika Nain Cahaya Siringo Ringo - P</t>
  </si>
  <si>
    <t>Keizya Zahra Permana - P</t>
  </si>
  <si>
    <t>Kesya Larasati - P</t>
  </si>
  <si>
    <t>Kevin Sitanggang - L</t>
  </si>
  <si>
    <t>Khaira Rabbani Tsalasa - P</t>
  </si>
  <si>
    <t>Mochamad Lewis Batmomolin - L</t>
  </si>
  <si>
    <t>MUHAMAD FADLY FADILLAH - L</t>
  </si>
  <si>
    <t>Muhammad Faiq Abdurrahman - L</t>
  </si>
  <si>
    <t>Nafis Syahri Ramadhan - L</t>
  </si>
  <si>
    <t>Nurry Qurata'Ayun Mastiar - P</t>
  </si>
  <si>
    <t>Pratamayoga Danishwara Lestiyo - L</t>
  </si>
  <si>
    <t>Radhwa Kadzia Salsabila - P</t>
  </si>
  <si>
    <t>Radif Ziyan Maryono - L</t>
  </si>
  <si>
    <t>Raisya Maulidhina - P</t>
  </si>
  <si>
    <t>Syahrul Ramadhan - L</t>
  </si>
  <si>
    <t>Syavira Dinar Handayani - P</t>
  </si>
  <si>
    <t>Syifa Septia Putri - P</t>
  </si>
  <si>
    <t>Waddia Fazila Permana - P</t>
  </si>
  <si>
    <t>Windy Kenez Ayu Pramesty - P</t>
  </si>
  <si>
    <t>Agisha Melandri - P</t>
  </si>
  <si>
    <t>XI F2</t>
  </si>
  <si>
    <t>Aisha Syakira Putri - P</t>
  </si>
  <si>
    <t>Aisyah Nara Purusa Ningsa - P</t>
  </si>
  <si>
    <t>Al Gofi Patra - L</t>
  </si>
  <si>
    <t>Ashya Navisha - P</t>
  </si>
  <si>
    <t>Azka  Abidah Sukma Cahyani - P</t>
  </si>
  <si>
    <t>Callysta Sadira Rizqullah Khaniza - P</t>
  </si>
  <si>
    <t>Cheysa Dara Maharani - P</t>
  </si>
  <si>
    <t>Desya Maulida - P</t>
  </si>
  <si>
    <t>Devi Nuraini - P</t>
  </si>
  <si>
    <t>Dhiyaul Aqlan Abqory - L</t>
  </si>
  <si>
    <t>Evandika Juliandi - L</t>
  </si>
  <si>
    <t>Excellita Mayda Nurussyfa - P</t>
  </si>
  <si>
    <t>Fx Arya Bima Saputra - L</t>
  </si>
  <si>
    <t>Graceya Felisya Sinurat - P</t>
  </si>
  <si>
    <t>Hadaya Bassam Faris Sawaftah - P</t>
  </si>
  <si>
    <t>Hilwa Zakiyyah - P</t>
  </si>
  <si>
    <t>Akhmad Kevin Ahdiansyah Lesmanu - L</t>
  </si>
  <si>
    <t>Keysa Novasari - P</t>
  </si>
  <si>
    <t>Khansaa Dhiyaa Aqiilaa - P</t>
  </si>
  <si>
    <t>M. Fauzan Aifa Hafizh - L</t>
  </si>
  <si>
    <t>Malikah Putri Rafan - P</t>
  </si>
  <si>
    <t>Maulida Maftuhah - P</t>
  </si>
  <si>
    <t>Maykaila Aini Suryaningtyas Tamin - P</t>
  </si>
  <si>
    <t>Mochamad Farid Reza - L</t>
  </si>
  <si>
    <t>Muhamad Rizki Saputra - L</t>
  </si>
  <si>
    <t>Muhamad Zidan - L</t>
  </si>
  <si>
    <t>Muhammad Alfiansyah - L</t>
  </si>
  <si>
    <t>Muhammad Hiroshi Ali Muzaffar - L</t>
  </si>
  <si>
    <t>Muhammad Royyan - L</t>
  </si>
  <si>
    <t>Nur Syifa Az Zahra - P</t>
  </si>
  <si>
    <t>Puteri Kinnayya Saepudin - P</t>
  </si>
  <si>
    <t>Raja Gilang Faizin - L</t>
  </si>
  <si>
    <t>Randacaya Hada Sangadji - P</t>
  </si>
  <si>
    <t>Sakinah Nasution - P</t>
  </si>
  <si>
    <t>Tiara Thalita Dzaky - P</t>
  </si>
  <si>
    <t>ALYSSA MUTIARA SAPTIA - P</t>
  </si>
  <si>
    <t>XII A-1</t>
  </si>
  <si>
    <t>ARKANULIYA AKRAMINA - P</t>
  </si>
  <si>
    <t>ASYKAR HANDA AL MUNAWWAR - L</t>
  </si>
  <si>
    <t>ATHIYYA MUMTAZA - P</t>
  </si>
  <si>
    <t>AYU WIDYA NINGSIH - P</t>
  </si>
  <si>
    <t>ESSI ESTER ANJUANI MANIK - P</t>
  </si>
  <si>
    <t>FADILA KURNIA CAHYA - P</t>
  </si>
  <si>
    <t>GHAISANI SYIFA INDRIANI - P</t>
  </si>
  <si>
    <t>IZRA ELIZA - P</t>
  </si>
  <si>
    <t>JIHAN BALQISHA PUTRIANA - P</t>
  </si>
  <si>
    <t>LOVITA EMERY SAMUDRO - P</t>
  </si>
  <si>
    <t>MIRANDA PUTRI - P</t>
  </si>
  <si>
    <t>MONA PUTRI ARYATI - P</t>
  </si>
  <si>
    <t>MUHAMMAD AFIF ZARRAR P - L</t>
  </si>
  <si>
    <t>MUHAMMAD DAFA - L</t>
  </si>
  <si>
    <t>MUHAMMAD DZIKRI SETIAWAN - L</t>
  </si>
  <si>
    <t>MUHAMMAD FACHRI ADRIANSYAH - L</t>
  </si>
  <si>
    <t>NAILA AULIA SUPRIADI - P</t>
  </si>
  <si>
    <t>NAJLA HANIFAH ZULTANI - P</t>
  </si>
  <si>
    <t>NIKEISHA VIVIA INDRANI - P</t>
  </si>
  <si>
    <t>OKTAVIANI PUTRI SILALAHI - P</t>
  </si>
  <si>
    <t>PANNY CHANTIKA PASRA - P</t>
  </si>
  <si>
    <t>PUTRI INAYA KHAERANY - P</t>
  </si>
  <si>
    <t>RAFEYFA ASYLA - P</t>
  </si>
  <si>
    <t>RAIHAN GUSTI RAMADHAN - L</t>
  </si>
  <si>
    <t>RAVINA AMALYNA KYUMI - P</t>
  </si>
  <si>
    <t>RULA SALSABILAH LUBIS - P</t>
  </si>
  <si>
    <t>SALMA LATIEFAH NOER - P</t>
  </si>
  <si>
    <t>SHENDY AZIZAH ISNENLY - P</t>
  </si>
  <si>
    <t>SHYABILLA NISHRINA S.M - P</t>
  </si>
  <si>
    <t>SITI ZASKIYAH - P</t>
  </si>
  <si>
    <t>SUCI KAMILA - P</t>
  </si>
  <si>
    <t>SYAHRUL FIRDANI SUGANDA - L</t>
  </si>
  <si>
    <t>TAMARIN DARITRI NAYLA - P</t>
  </si>
  <si>
    <t>THEO RISQI MARLEY - L</t>
  </si>
  <si>
    <t>VERIL SATRIA MULYA - L</t>
  </si>
  <si>
    <t>AZMIRULA SYAHDA WAHADA G. - P</t>
  </si>
  <si>
    <t>XII A-2</t>
  </si>
  <si>
    <t>CINTYA RAMADHANI S. - P</t>
  </si>
  <si>
    <t>CYRILLA ELVARETTA N. - P</t>
  </si>
  <si>
    <t>DAFFA RIZKY DARMAWAN - L</t>
  </si>
  <si>
    <t>DIMAS RIZKY SATRIAWAN - L</t>
  </si>
  <si>
    <t>DINAR ADILLA MUFIDASARI - P</t>
  </si>
  <si>
    <t>EMERALD TSABBITA ADRISTI - P</t>
  </si>
  <si>
    <t>XII D-2</t>
  </si>
  <si>
    <t>FARIS FAIZANNAJMY BASYIR - L</t>
  </si>
  <si>
    <t>FIRLY MAHESA HARDIANSYAH - P</t>
  </si>
  <si>
    <t>GEDE WIRA YUDISTIRA - L</t>
  </si>
  <si>
    <t>GRACE GLORYA MIRACLE ZILIWU - P</t>
  </si>
  <si>
    <t>HASANI ZAHWAN A. - L</t>
  </si>
  <si>
    <t>KANAKA ABHINAYA ZAHRAN S. - L</t>
  </si>
  <si>
    <t>KAYLA SALSABIL MAJID - P</t>
  </si>
  <si>
    <t>MUHAMMMAD IBNI HADYAN N. - L</t>
  </si>
  <si>
    <t>MELANI PUTRI ANGRAINI - P</t>
  </si>
  <si>
    <t>NABILA ANGGRAINI - P</t>
  </si>
  <si>
    <t>NATASIYA SIHOMBING - P</t>
  </si>
  <si>
    <t>NATASYA PUTRI ERWINA - P</t>
  </si>
  <si>
    <t>NAUFAL AKHDAN ATHAFARHANI - L</t>
  </si>
  <si>
    <t>NAZWA AULIA - P</t>
  </si>
  <si>
    <t>NIKEN DWI INTAN SEPTI RAMADHANI - P</t>
  </si>
  <si>
    <t>NURUL SYIFA NAYLA - P</t>
  </si>
  <si>
    <t>ODILIA SEKAR AYU PRASISTA - P</t>
  </si>
  <si>
    <t>QISSYA ALICKA SYAKILA - P</t>
  </si>
  <si>
    <t>RAFA AQILA FARIHA - P</t>
  </si>
  <si>
    <t>RAISA NUR RIZKY RAMADHANI - P</t>
  </si>
  <si>
    <t>RESKYA PUTRI MUTIA - P</t>
  </si>
  <si>
    <t>RISKA YULIANTI - P</t>
  </si>
  <si>
    <t>SALMA ANJANI MARISSA - P</t>
  </si>
  <si>
    <t>SYARIFAH NOOR MAULIDA - P</t>
  </si>
  <si>
    <t>TALITA ADISTI PARAMITHA - P</t>
  </si>
  <si>
    <t>TIARA AZIZAH WIBOWO - P</t>
  </si>
  <si>
    <t>ZESICA KRISTI ANGGRAINY - P</t>
  </si>
  <si>
    <t>ZHERHA MAHARANI DJAINUN L. - P</t>
  </si>
  <si>
    <t>ADITYA FIRDAUS - L</t>
  </si>
  <si>
    <t>XII B-1</t>
  </si>
  <si>
    <t>ADRIAN RIZKY ALGHIFARI - L</t>
  </si>
  <si>
    <t>ALISYA PUTRI KHAIRUNNISA - P</t>
  </si>
  <si>
    <t>AZIZ ADITYA PRATAMA - L</t>
  </si>
  <si>
    <t>CINDY NURKHALIFAH - P</t>
  </si>
  <si>
    <t>FAUZAN HIBATULLAH SUTISNA - L</t>
  </si>
  <si>
    <t>HABIBURRAHMAN RYU H. A. - L</t>
  </si>
  <si>
    <t>HASYIR FAUZAN NUGRAHA - L</t>
  </si>
  <si>
    <t>IFTITA ARRASY KIANANTAN - P</t>
  </si>
  <si>
    <t>IRGIE APRILIANO GOTTARDI - L</t>
  </si>
  <si>
    <t>KANIA ARKHANINTHA PUTRI - P</t>
  </si>
  <si>
    <t>KARTIKA DJAJA NEGARA - P</t>
  </si>
  <si>
    <t>MALIA ARIFA YUMNA - P</t>
  </si>
  <si>
    <t>MAYZIED ALI LAZUARDI - L</t>
  </si>
  <si>
    <t>MEGANVA DIAN PUTRI H. - P</t>
  </si>
  <si>
    <t>MOHAMMAD ASYQAR RISQ - L</t>
  </si>
  <si>
    <t>MUHAMMAD FADHLAN DHAFIN - L</t>
  </si>
  <si>
    <t>MUTIARA PURNAMASARI - P</t>
  </si>
  <si>
    <t>NADIRA ADZRA AS SHOFA - P</t>
  </si>
  <si>
    <t>NAFILAH FAIRUZ HUMAIRA - P</t>
  </si>
  <si>
    <t>NAJLA HUMAIRA PUTRI HIDAYAT - P</t>
  </si>
  <si>
    <t>NAOMI AYUDIAH - P</t>
  </si>
  <si>
    <t>PEBRYAN ABDAL BAIS - L</t>
  </si>
  <si>
    <t>PUTRA GABE MARTOGI LUMBANBATU - L</t>
  </si>
  <si>
    <t>RAIHANA CITRA NUR RAMADHANTI - P</t>
  </si>
  <si>
    <t>RAKA SEPTIYAN HARJA KHAN - L</t>
  </si>
  <si>
    <t>RESTU HIDAYAT - L</t>
  </si>
  <si>
    <t>ROYYAN PRADITA - L</t>
  </si>
  <si>
    <t>SAFITRI ALI SUKARNO - P</t>
  </si>
  <si>
    <t>SEVIOLLA LUNA G.P. - P</t>
  </si>
  <si>
    <t>SHAZIA MELIKA - P</t>
  </si>
  <si>
    <t>VALEN FANANDA NAY - L</t>
  </si>
  <si>
    <t>VARISSA ALMAHAIRA AZRAKAYLA - P</t>
  </si>
  <si>
    <t>YURISKA ALYANDRA HUTOMO - P</t>
  </si>
  <si>
    <t>YUSSAFIRA - P</t>
  </si>
  <si>
    <t>ADAM RISTIAJI MACHFUDZ - L</t>
  </si>
  <si>
    <t>XII B-2</t>
  </si>
  <si>
    <t>AHMAD ABDURRAHMAN A. - L</t>
  </si>
  <si>
    <t>ANDREA SALMA AISYA - P</t>
  </si>
  <si>
    <t>ARETHA ASYIFA NUR - P</t>
  </si>
  <si>
    <t>ARGISKA MARDIYANA - P</t>
  </si>
  <si>
    <t>ASFARO MUZAKKI - L</t>
  </si>
  <si>
    <t>AURELIA QUABYLA RAMADHANI - P</t>
  </si>
  <si>
    <t>DARYS DZAKIR - L</t>
  </si>
  <si>
    <t>DINI - P</t>
  </si>
  <si>
    <t>ERICH RADITYA - L</t>
  </si>
  <si>
    <t>FAKHRI ARKANANTA - L</t>
  </si>
  <si>
    <t>FATHIYYA AZZAHRA - P</t>
  </si>
  <si>
    <t>FATIH M. ADIWANGSA - L</t>
  </si>
  <si>
    <t>FINA NAYLATUL IZZAH - P</t>
  </si>
  <si>
    <t>GAMALIEL GLORYAN CHICO C. - L</t>
  </si>
  <si>
    <t>INSANADILLA SALAFINA H. - P</t>
  </si>
  <si>
    <t>KEISYA AMANDA MEICA - P</t>
  </si>
  <si>
    <t>KEYLA WIDYADHANA RAISSA - P</t>
  </si>
  <si>
    <t>MAHESH ANDREAS SIAGIAN - L</t>
  </si>
  <si>
    <t>MARETTA MANDA MANGUNING P' - P</t>
  </si>
  <si>
    <t>MUHAMAD KHADAFI - L</t>
  </si>
  <si>
    <t>NABHILLA PUTRI ISNANDAR - P</t>
  </si>
  <si>
    <t>NABIL FATIH FIRJATULLAH A. - L</t>
  </si>
  <si>
    <t>NABILA DYAH PUSPITA - P</t>
  </si>
  <si>
    <t>NADIA CHERRYL AZKIYA - P</t>
  </si>
  <si>
    <t>NADYA SAFIRA SETYAWAN - P</t>
  </si>
  <si>
    <t>NARENDRA AGRU PRASETYO - L</t>
  </si>
  <si>
    <t>RAFA HAFIZH WARADANA - L</t>
  </si>
  <si>
    <t>RASHEESA FITRIA NURAINI - P</t>
  </si>
  <si>
    <t>SALSABILA FIRLI - P</t>
  </si>
  <si>
    <t>SYAFIRA AKHILA NAZIFA - P</t>
  </si>
  <si>
    <t>SYIFA AZ ZAHRA - P</t>
  </si>
  <si>
    <t>WENDYEA AKTAVIONA - P</t>
  </si>
  <si>
    <t>ZUHAIRY - L</t>
  </si>
  <si>
    <t>ZYEIRA SHAQUILLA FATIHATU R. - P</t>
  </si>
  <si>
    <t>ABIYU AHMAD ZAHRAN - L</t>
  </si>
  <si>
    <t>XII C-1</t>
  </si>
  <si>
    <t>AISYAH SAUSAN AMANI - P</t>
  </si>
  <si>
    <t>ALISHA VENITA RAPHELLE ADHITYA - P</t>
  </si>
  <si>
    <t>ARYA INDRAWIJAYA - L</t>
  </si>
  <si>
    <t>AULIA EKA PUTRI BAKTI - P</t>
  </si>
  <si>
    <t>AURELLIO DEAN KEEFA - L</t>
  </si>
  <si>
    <t>AYU PUSPITA RAHMAN - P</t>
  </si>
  <si>
    <t>AYYASH ARDHANA SHIDDIEQY - L</t>
  </si>
  <si>
    <t>AZKA FAIZ ATAULLAH - L</t>
  </si>
  <si>
    <t>AZZAM FATHUR RAIHAN - L</t>
  </si>
  <si>
    <t>BINTANG PAMUNGKAS S.A. - L</t>
  </si>
  <si>
    <t>CALVIN JIREH PARASIAN PASARIBU - L</t>
  </si>
  <si>
    <t>CITRA NAYLA - P</t>
  </si>
  <si>
    <t>FARIS RIDHA KURNIAWAN - L</t>
  </si>
  <si>
    <t>FEBI IHSANUL AZMI - L</t>
  </si>
  <si>
    <t>GUNTUR ADIGUNA - L</t>
  </si>
  <si>
    <t>HUMAIRA PUTRI SETIAWAN - P</t>
  </si>
  <si>
    <t>KAYLA MAHESA PUTRI PRABINDARI - P</t>
  </si>
  <si>
    <t>KHANSA - P</t>
  </si>
  <si>
    <t>KHEYSHA NAZWA ADINDA - P</t>
  </si>
  <si>
    <t>LAVINDRA ANINDITO BUDI PRAMUDYA - L</t>
  </si>
  <si>
    <t>M. FAHMY PUTRA RAMADHAN - L</t>
  </si>
  <si>
    <t>MUHAMAD FEBRIZIO ALGHIFAHRI - L</t>
  </si>
  <si>
    <t>MUHAMAD FIRDAUS - L</t>
  </si>
  <si>
    <t>MUHAMMAD ARDIANSYAH - L</t>
  </si>
  <si>
    <t>MUHAMMAD IRFAN AHZANI - L</t>
  </si>
  <si>
    <t>MUHAMMAD SYAIHAN PRAMONO - L</t>
  </si>
  <si>
    <t>NASYWA LILYAN ELVARETTA - P</t>
  </si>
  <si>
    <t>RADEN ANTASENA KARTASASMITA - L</t>
  </si>
  <si>
    <t>RADIT GILBRAN VILLAREAL LUTVI - L</t>
  </si>
  <si>
    <t>RAIHANA SYAHLA YUSTIAJI - P</t>
  </si>
  <si>
    <t>REFAH SYAHIDAH - P</t>
  </si>
  <si>
    <t>RIFQI SAYUDHA - L</t>
  </si>
  <si>
    <t>VENEZIA GILDA SIHOMBING - P</t>
  </si>
  <si>
    <t>ZAHIRA AQILA RABBANI - P</t>
  </si>
  <si>
    <t>ZYBA JARSIA BADELWAIR - L</t>
  </si>
  <si>
    <t>ADYATMA HUDA RAMDANI - L</t>
  </si>
  <si>
    <t>XII C-2</t>
  </si>
  <si>
    <t>ALMAQHVIRA HAYDAR SISWOYO - P</t>
  </si>
  <si>
    <t>AQILA NAFISA - P</t>
  </si>
  <si>
    <t>ARFI ABDAN MUQIMASHAIM - L</t>
  </si>
  <si>
    <t>ARIEF DARMAWAN - L</t>
  </si>
  <si>
    <t>CALISTA DIANTI HUWAIDAH - P</t>
  </si>
  <si>
    <t>CALLYSTA ASTI ARBIA - P</t>
  </si>
  <si>
    <t>CESILIA D. ICHWANUDDIN - P</t>
  </si>
  <si>
    <t>DENIA ZEVIRA GENARA - P</t>
  </si>
  <si>
    <t>ELMA NURSARI - P</t>
  </si>
  <si>
    <t>FABIAN SYAFA RIZQULLAH - L</t>
  </si>
  <si>
    <t>GHINA AFIAH UYARA - P</t>
  </si>
  <si>
    <t>HEINE KLAMMER  HASONANGAN SITORUS - L</t>
  </si>
  <si>
    <t>IRFAN BUDI SATRIO - L</t>
  </si>
  <si>
    <t>KAYLA FARRAH GINA - P</t>
  </si>
  <si>
    <t>KEISHA NABILA ANINDYA - P</t>
  </si>
  <si>
    <t>KEYSHA CAHAYA SETIAWAN - P</t>
  </si>
  <si>
    <t>LOUISE GARCIA LUMBAN GAOL - L</t>
  </si>
  <si>
    <t>MEDINTA PUTRI WIBOWO - P</t>
  </si>
  <si>
    <t>MIFTAHUL DAFFA KHOERUL BAHRI - L</t>
  </si>
  <si>
    <t>Mirza Mochtadi - L</t>
  </si>
  <si>
    <t>MUHAMAD FAHRI NURIHSAN - L</t>
  </si>
  <si>
    <t>MUHAMMAD ADITYA FAIRUZZAHRAN - L</t>
  </si>
  <si>
    <t>MUHAMMAD IRGHI - L</t>
  </si>
  <si>
    <t>MUHAMMAD RAVA ALI - L</t>
  </si>
  <si>
    <t>MUHAMMAD REVAN FADILLAH - L</t>
  </si>
  <si>
    <t>MUHAMMAD YUSUF HABIBIE - L</t>
  </si>
  <si>
    <t>NABIL KHAUFA ZAHRA - P</t>
  </si>
  <si>
    <t>RAFLY RESTU ADAM - L</t>
  </si>
  <si>
    <t>RANIA ADILA ERYAZTI - P</t>
  </si>
  <si>
    <t>RAZAN ZUFAR AHMAD - L</t>
  </si>
  <si>
    <t>RHEYNODY EZEKIELANO LOEKMAN - L</t>
  </si>
  <si>
    <t>RIMAIRA SANAURAIRBA MARGONO - P</t>
  </si>
  <si>
    <t>WIDIA PUTRI - P</t>
  </si>
  <si>
    <t>ZIYANDRA KHAIZURAN ALTAF - L</t>
  </si>
  <si>
    <t>ZAID MUHAMMAD NAASHIF - L</t>
  </si>
  <si>
    <t>ADNAN JULIANDYRA - L</t>
  </si>
  <si>
    <t>XII D-1</t>
  </si>
  <si>
    <t>AISHA MADYSKA PUTRI - P</t>
  </si>
  <si>
    <t>ALEYNA NAJMIA SALMA EL HASSAN - P</t>
  </si>
  <si>
    <t>ANGGRAINI DISTI MEITASYAH - P</t>
  </si>
  <si>
    <t>ANNISA PEBRIANITA - P</t>
  </si>
  <si>
    <t>ARDYANTI PRATIWI GUSTI RACHMAN - P</t>
  </si>
  <si>
    <t>ARTANTI TALITHA DWIANA - P</t>
  </si>
  <si>
    <t>AULIA ASFARINA DHANY - P</t>
  </si>
  <si>
    <t>AZIZU ACHMAD FAUZAN - L</t>
  </si>
  <si>
    <t>BELELIA CINDIKIA DERA - P</t>
  </si>
  <si>
    <t>DEVI AMELIA - P</t>
  </si>
  <si>
    <t>DYO EL RIZQI KAMIL - L</t>
  </si>
  <si>
    <t>FADLAN RAMADHAN TUASIKAL - L</t>
  </si>
  <si>
    <t>FAJAR PRAYOGA WINATA - L</t>
  </si>
  <si>
    <t>FARISA TRIANDITA - P</t>
  </si>
  <si>
    <t>FIRDAUS WIRAKUSUMA ASY'ARI - L</t>
  </si>
  <si>
    <t>FITRI WULANDARI - P</t>
  </si>
  <si>
    <t>GABRIEL PERNANDO - L</t>
  </si>
  <si>
    <t>GENNEVA PUTRI SAMINGGAR - P</t>
  </si>
  <si>
    <t>HANIFAH NIZRINA RANIAH - P</t>
  </si>
  <si>
    <t>JEANETHA ROSMALA PUTERI - P</t>
  </si>
  <si>
    <t>JUNEETA MAHYA ATHARI - P</t>
  </si>
  <si>
    <t>KAYLLA CHANDRIKA - P</t>
  </si>
  <si>
    <t>LUTHFIA AZZAHRA - P</t>
  </si>
  <si>
    <t>MUHAMAD RAFLI RAMADHAN - L</t>
  </si>
  <si>
    <t>MUZAKY KHAIRULLOH - L</t>
  </si>
  <si>
    <t>NANDA FIRDAUS - L</t>
  </si>
  <si>
    <t>NUR NAJMI NUHA CHAMSYAH SUTANDI - P</t>
  </si>
  <si>
    <t>RAFAEL MARIO JUSAG PRASETYO - L</t>
  </si>
  <si>
    <t>RASYA NAZIRA RADITIYA PUTRA - L</t>
  </si>
  <si>
    <t>RAYA THALITA HASNA ANJANI - P</t>
  </si>
  <si>
    <t>RAYYAN ALIFA RIVENA - P</t>
  </si>
  <si>
    <t>REFI DWI ZULIANTO - L</t>
  </si>
  <si>
    <t>SALSABILA AZIMA MAHMUDDIN - P</t>
  </si>
  <si>
    <t>SHASKIA ROVIQOH AZIZAH - P</t>
  </si>
  <si>
    <t>YONATHAN ZIRMI PUTRADI - L</t>
  </si>
  <si>
    <t>AHMAD MAULANA JIBAN - L</t>
  </si>
  <si>
    <t>ALLYSIA NURFAUZIYAH - P</t>
  </si>
  <si>
    <t>ANISA RIHHADATUL AISY - P</t>
  </si>
  <si>
    <t>ANNISA PUTRI SANDI - P</t>
  </si>
  <si>
    <t>ARDITA SEPTYANINGRUM - P</t>
  </si>
  <si>
    <t>ATHIFALUNA MUTIA DARMAWAN - P</t>
  </si>
  <si>
    <t>AUDYAH PUTRI MURNI N. - P</t>
  </si>
  <si>
    <t>DAFFA MUHAZZIB IBNI - L</t>
  </si>
  <si>
    <t>DEVINA KEYSA MAHARANI - P</t>
  </si>
  <si>
    <t>ELVIRA ECA MAHARANI - P</t>
  </si>
  <si>
    <t>FAIZAH HAFIYYAN - P</t>
  </si>
  <si>
    <t>FAZRURRAHMAN TIJANI - L</t>
  </si>
  <si>
    <t>INDAH MUSTABAH - P</t>
  </si>
  <si>
    <t>KESYA YEMIMA - P</t>
  </si>
  <si>
    <t>KHAIRUNNISA AZZAHRA - P</t>
  </si>
  <si>
    <t>LUTHFI BINTANG BAYUAJI - L</t>
  </si>
  <si>
    <t>MUHAMMAD FARIS - L</t>
  </si>
  <si>
    <t>MUHAMMAD NIZAR AL GHIFARI - L</t>
  </si>
  <si>
    <t>NAJLA AZIZAH - P</t>
  </si>
  <si>
    <t>NAYLA WARNI RAHAYU - P</t>
  </si>
  <si>
    <t>NAZWA BALQIS ARLYA - P</t>
  </si>
  <si>
    <t>RAFIEL CAHAYA YUSUP - P</t>
  </si>
  <si>
    <t>RAJUWAA AMMARTAYUDA - L</t>
  </si>
  <si>
    <t>RAKHA ARIYANTO PRAWIRA - L</t>
  </si>
  <si>
    <t>RAKHA SURYANA - L</t>
  </si>
  <si>
    <t>REZKI BANYU MILLIE - L</t>
  </si>
  <si>
    <t>SALIKA NADINA - P</t>
  </si>
  <si>
    <t>SALSABILA NASUTION - P</t>
  </si>
  <si>
    <t>SHEILA NAMIRA ZHEIN - P</t>
  </si>
  <si>
    <t>SYIFA AULIA GUMELAR - P</t>
  </si>
  <si>
    <t>SYIFA HANDAYANI - P</t>
  </si>
  <si>
    <t>WIANDRA ADYA PRADANA - L</t>
  </si>
  <si>
    <t>ZAHRA AULIA PUTRI - P</t>
  </si>
  <si>
    <t>ZASKYA NILAM EFASA - P</t>
  </si>
  <si>
    <t>ADITYA NUFAIL RIZQULLAH - L</t>
  </si>
  <si>
    <t>XII E</t>
  </si>
  <si>
    <t>AHMAD HAIDAR ROSYIIQ - L</t>
  </si>
  <si>
    <t>ANDI NASYA KAMILA AZZAHRA - P</t>
  </si>
  <si>
    <t>CAHAYA EDINA JATMIKO - P</t>
  </si>
  <si>
    <t>DANIAL RIZKY JONSA - L</t>
  </si>
  <si>
    <t>DANIEL IHSAN - L</t>
  </si>
  <si>
    <t>EGALITA ADLIYAH - P</t>
  </si>
  <si>
    <t>FADRI - L</t>
  </si>
  <si>
    <t>FARDHAN ALIF RAYYANDI - L</t>
  </si>
  <si>
    <t>FERDINAN FEBRIANO - L</t>
  </si>
  <si>
    <t>HAFIZ ABDUL RASYID - L</t>
  </si>
  <si>
    <t>HANA SITI NAZWA - P</t>
  </si>
  <si>
    <t>HYPATIA ACHMAD - P</t>
  </si>
  <si>
    <t>JESSICA PRISCILIA SIAGIAN - P</t>
  </si>
  <si>
    <t>JONATHAN STEFANUS MANURUNG - L</t>
  </si>
  <si>
    <t>JUNIKA NUR RIZQI - P</t>
  </si>
  <si>
    <t>MARCELL DAMIAN SETIAWAN - L</t>
  </si>
  <si>
    <t>MAULA SAFITA NAPITUPULU - P</t>
  </si>
  <si>
    <t>MAYA QUMAYIROH - P</t>
  </si>
  <si>
    <t>MUHAMMAD ZAKI NURHADI AHSYAR - L</t>
  </si>
  <si>
    <t>NADIA AYU PRAMESTI - P</t>
  </si>
  <si>
    <t>NAHLATU BILQIS - P</t>
  </si>
  <si>
    <t>NANDA PUTRI TANIA - P</t>
  </si>
  <si>
    <t>ODE IRVA KHUMAIRA - P</t>
  </si>
  <si>
    <t>RADEN DIRGHAM HANIFAN AL-BASYAM - L</t>
  </si>
  <si>
    <t>RADITYA DWI FAUZI - L</t>
  </si>
  <si>
    <t>RAHIL ALFAQIH - L</t>
  </si>
  <si>
    <t>RASHEED PUTRA KEYSHADI - L</t>
  </si>
  <si>
    <t>RATU NINDA TABINA - P</t>
  </si>
  <si>
    <t>REISYA AULIA RIZKY - P</t>
  </si>
  <si>
    <t>RIA HANDAYANI - P</t>
  </si>
  <si>
    <t>SHAKILANOVVA AL KANZ SAVVANA - P</t>
  </si>
  <si>
    <t>SYAFIQ AUNUR RAFI - L</t>
  </si>
  <si>
    <t>VERA INDRIANI SITORUS - P</t>
  </si>
  <si>
    <t>YOAS DHEO SANDIVO - L</t>
  </si>
  <si>
    <t>AGATRIE SELLA SIREGAR - P</t>
  </si>
  <si>
    <t>XII F</t>
  </si>
  <si>
    <t>AISHAURA PUTRI DEA - P</t>
  </si>
  <si>
    <t>ALFATHAN RADITYA GUNARA - L</t>
  </si>
  <si>
    <t>ALICIA MARCELLA GULO - P</t>
  </si>
  <si>
    <t>ALIF NUR RIZKI - L</t>
  </si>
  <si>
    <t>ALLBIE AVICENNA - L</t>
  </si>
  <si>
    <t>ALMIRA MAULIDA PUTRI APSARI - P</t>
  </si>
  <si>
    <t>ANITA TRI ANGGRAINI - P</t>
  </si>
  <si>
    <t>ANNISA ALYA MAHARANI - P</t>
  </si>
  <si>
    <t>AYU ARYANI - P</t>
  </si>
  <si>
    <t>AYUDYA RACHMAWATI - P</t>
  </si>
  <si>
    <t>AZUAN PUTRA SATIA - L</t>
  </si>
  <si>
    <t>BIANCA INDHIRA HANUUN - P</t>
  </si>
  <si>
    <t>BILQIS AFRILIA NAZWA RANI - P</t>
  </si>
  <si>
    <t>CALLISTA DOMINIC LAURA GINTA - P</t>
  </si>
  <si>
    <t>CHECHILLIA AZZAHRA PUTRI KURNIADI - P</t>
  </si>
  <si>
    <t>DAFFA KHAIRU RAMADHAN - L</t>
  </si>
  <si>
    <t>DARY DZAKWAN PUTRA CAHYADI - L</t>
  </si>
  <si>
    <t>DIANDRA ZAHRA ADANI - P</t>
  </si>
  <si>
    <t>DIMAS ARIANSYAH SIAGIAN - L</t>
  </si>
  <si>
    <t>FIRDA AULIA RAMADHANI - P</t>
  </si>
  <si>
    <t>HERDICSON F. H. SIREGAR - L</t>
  </si>
  <si>
    <t>KAMILIA KEYSHA RAMADHANI - P</t>
  </si>
  <si>
    <t>LANA SHAFIRA - P</t>
  </si>
  <si>
    <t>MAYSARI HIDAYAH - P</t>
  </si>
  <si>
    <t>MUHAMMAD ALIF FAIZ ASSYAROF - L</t>
  </si>
  <si>
    <t>MUHAMMAD UMMUL LUHUR WISESA - L</t>
  </si>
  <si>
    <t>NAZWA NURUL ABIDA - P</t>
  </si>
  <si>
    <t>PERDI SYAFAR WAHYUDI - L</t>
  </si>
  <si>
    <t>RADEN DIFA AQILLAH LUKMAN - P</t>
  </si>
  <si>
    <t>RANDY MAIDYKA - L</t>
  </si>
  <si>
    <t>SITI KEYSHIA AZZAHRA - P</t>
  </si>
  <si>
    <t>SITI LATESA - P</t>
  </si>
  <si>
    <t>TEUNGKU MUHAMMAD AL-FACHRI SYAH JEUMPA - L</t>
  </si>
  <si>
    <t>ULLY ARTHA RAMADHANI SIMANJUNTAK - P</t>
  </si>
  <si>
    <t>WAFAA' SALSABILAH HARDIN - P</t>
  </si>
  <si>
    <t>ALMER ATHALLAH KHAIRY - L</t>
  </si>
  <si>
    <t>XII G-1</t>
  </si>
  <si>
    <t>ALVIRA RACHMAT LESTARI - P</t>
  </si>
  <si>
    <t>ANDIKA PUTRA PRANATA - L</t>
  </si>
  <si>
    <t>AQILA SYADID - L</t>
  </si>
  <si>
    <t>AURA SCARLETTA JAYA - P</t>
  </si>
  <si>
    <t>BENAYA AMARASTI WIDIATMA - P</t>
  </si>
  <si>
    <t>BUNGA CLARESTA TUMANUNG - P</t>
  </si>
  <si>
    <t>FAKHIRA FIRLIZA AL KAF SAIFUDDIN - P</t>
  </si>
  <si>
    <t>FATHIA KHAIRAYA HASAN - P</t>
  </si>
  <si>
    <t>FATIHAH MORGIANA - P</t>
  </si>
  <si>
    <t>FIRYAL RAMADHANI - P</t>
  </si>
  <si>
    <t>GRACIA NATALIA NAPITUPULU - P</t>
  </si>
  <si>
    <t>HUMAM AHMAD MUSYAFFA - L</t>
  </si>
  <si>
    <t>KHAIRUNNISA NUR IBTIHAL - P</t>
  </si>
  <si>
    <t>MUHAMMAD FIKRI ADYA AULIA - L</t>
  </si>
  <si>
    <t>MUHAMMAD HISYAM SAURI RIFADI - L</t>
  </si>
  <si>
    <t>MUHAMMAD KSATRIA AL FARISI - L</t>
  </si>
  <si>
    <t>MUHAMMAD NAVIS AFIF ALKINDY - L</t>
  </si>
  <si>
    <t>NAJUWA KHAIRUNNISA - P</t>
  </si>
  <si>
    <t>NAYLA GHINA PRAMESTI - P</t>
  </si>
  <si>
    <t>NEYSA CALLUELA DHIYA ACHMAD - P</t>
  </si>
  <si>
    <t>ORCHIDA ADHIYA HANIN - P</t>
  </si>
  <si>
    <t>QIRRENT OCTAVIANT WARDHANI SADIMAN PUTRI - P</t>
  </si>
  <si>
    <t>RADEN AMANULLAH DHAIFULLAH - L</t>
  </si>
  <si>
    <t>RIVALDI FAATHIR - L</t>
  </si>
  <si>
    <t>SAFIRA KHAIRUNNISA - P</t>
  </si>
  <si>
    <t>SALMA NUR KAMILA - P</t>
  </si>
  <si>
    <t>SANIA JULIANA ENSAN - P</t>
  </si>
  <si>
    <t>SATRYA RANGGABARANI - L</t>
  </si>
  <si>
    <t>SEKAR KANAYA AZZAHRA - P</t>
  </si>
  <si>
    <t>STEPHEN HADY GUNAWAN - L</t>
  </si>
  <si>
    <t>SYAKIRA AMALIA ZULFA - P</t>
  </si>
  <si>
    <t>SYEIRAN ARESTIA PUTERI - P</t>
  </si>
  <si>
    <t>SYIFA SAKHIA SAFIRA - P</t>
  </si>
  <si>
    <t>WISNU FEBRIANSYAH - L</t>
  </si>
  <si>
    <t>ZASKYA NAURA KESUMAH PUTRI - L</t>
  </si>
  <si>
    <t>Adinda Haifa Syahidah - P</t>
  </si>
  <si>
    <t>XII G-2</t>
  </si>
  <si>
    <t>Adzkia Alma Muyassar - P</t>
  </si>
  <si>
    <t>Armanita Dhiva Trisnaningtyas - P</t>
  </si>
  <si>
    <t>Arven Fadelto Wirda Muhandava - L</t>
  </si>
  <si>
    <t>Aurel Amanda Sari - P</t>
  </si>
  <si>
    <t>Avesenna Vivaldi Zahri - L</t>
  </si>
  <si>
    <t>Azkia Rayzanaya Puteri - P</t>
  </si>
  <si>
    <t>Fina Wulandari - P</t>
  </si>
  <si>
    <t>Gita Anjani Santoso - P</t>
  </si>
  <si>
    <t>Hanif Mumtaazah - L</t>
  </si>
  <si>
    <t>Iffa - P</t>
  </si>
  <si>
    <t>Jihan Dzakiyyah Azhaar - P</t>
  </si>
  <si>
    <t>Jihan Fajri - P</t>
  </si>
  <si>
    <t>Kemal Rizky Ramadhan - L</t>
  </si>
  <si>
    <t>Minanda Rizki Zakiyah - P</t>
  </si>
  <si>
    <t>Muhammad Dytra Afif - L</t>
  </si>
  <si>
    <t>Muhammad Fadly Syahdan Risyadi - L</t>
  </si>
  <si>
    <t>Nabila Nurshyfa - P</t>
  </si>
  <si>
    <t>Naflah Diva Nabilah - P</t>
  </si>
  <si>
    <t>Nakamura Ramadhan Sanmoon - L</t>
  </si>
  <si>
    <t>Nasywa Adinda Putri Romli - P</t>
  </si>
  <si>
    <t>Nazwa Aulia Fitrah - P</t>
  </si>
  <si>
    <t>Nurifa Putri Imansyah - P</t>
  </si>
  <si>
    <t>Olympias Viola Artha Natally - P</t>
  </si>
  <si>
    <t>Radhika Eshan Susantya - L</t>
  </si>
  <si>
    <t>Raisya Maurizka Kurniawan - P</t>
  </si>
  <si>
    <t>Rasya Jihan - P</t>
  </si>
  <si>
    <t>Rifelia Alib Putri Kurniawan - P</t>
  </si>
  <si>
    <t>Rizky Nurina Azzahra - P</t>
  </si>
  <si>
    <t>Sasikirana Abhinaya Suhara - P</t>
  </si>
  <si>
    <t>Shaquil Fattah Alchair - L</t>
  </si>
  <si>
    <t>Tegar Wibowo - L</t>
  </si>
  <si>
    <t>Wa Ode Ayu Silfia Pinara - P</t>
  </si>
  <si>
    <t>Zaharani Eriska Damayanti - P</t>
  </si>
  <si>
    <t>Zahrina Ghassani Isna -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</si>
</sst>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0.0"/>
      <color theme="1"/>
      <name val="Arial Narrow"/>
    </font>
    <font/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sz val="9.0"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sz val="8.0"/>
      <color theme="1"/>
      <name val="Calibri"/>
    </font>
    <font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</fills>
  <borders count="26">
    <border/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2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7" numFmtId="0" xfId="0" applyAlignment="1" applyBorder="1" applyFill="1" applyFont="1">
      <alignment horizontal="center" readingOrder="0" vertical="center"/>
    </xf>
    <xf borderId="7" fillId="3" fontId="7" numFmtId="0" xfId="0" applyAlignment="1" applyBorder="1" applyFill="1" applyFont="1">
      <alignment horizontal="center" vertical="center"/>
    </xf>
    <xf borderId="8" fillId="4" fontId="7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7" numFmtId="0" xfId="0" applyAlignment="1" applyBorder="1" applyFont="1">
      <alignment horizontal="center" vertical="center"/>
    </xf>
    <xf quotePrefix="1" borderId="12" fillId="0" fontId="8" numFmtId="1" xfId="0" applyAlignment="1" applyBorder="1" applyFont="1" applyNumberFormat="1">
      <alignment horizontal="left"/>
    </xf>
    <xf borderId="12" fillId="0" fontId="9" numFmtId="0" xfId="0" applyAlignment="1" applyBorder="1" applyFont="1">
      <alignment horizontal="left" vertical="top"/>
    </xf>
    <xf borderId="12" fillId="0" fontId="7" numFmtId="0" xfId="0" applyAlignment="1" applyBorder="1" applyFont="1">
      <alignment horizontal="center" readingOrder="0"/>
    </xf>
    <xf borderId="12" fillId="0" fontId="7" numFmtId="9" xfId="0" applyAlignment="1" applyBorder="1" applyFont="1" applyNumberFormat="1">
      <alignment horizontal="center"/>
    </xf>
    <xf borderId="12" fillId="4" fontId="7" numFmtId="0" xfId="0" applyAlignment="1" applyBorder="1" applyFont="1">
      <alignment horizontal="center"/>
    </xf>
    <xf borderId="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3" fillId="4" fontId="7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center" vertical="center"/>
    </xf>
    <xf borderId="2" fillId="5" fontId="7" numFmtId="0" xfId="0" applyAlignment="1" applyBorder="1" applyFill="1" applyFont="1">
      <alignment horizontal="center" vertical="center"/>
    </xf>
    <xf borderId="13" fillId="5" fontId="7" numFmtId="0" xfId="0" applyAlignment="1" applyBorder="1" applyFont="1">
      <alignment horizontal="center" vertical="center"/>
    </xf>
    <xf borderId="7" fillId="6" fontId="7" numFmtId="0" xfId="0" applyAlignment="1" applyBorder="1" applyFill="1" applyFont="1">
      <alignment horizontal="center" vertical="center"/>
    </xf>
    <xf borderId="7" fillId="2" fontId="7" numFmtId="0" xfId="0" applyAlignment="1" applyBorder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4" fillId="7" fontId="7" numFmtId="0" xfId="0" applyAlignment="1" applyBorder="1" applyFill="1" applyFont="1">
      <alignment horizontal="center" vertical="center"/>
    </xf>
    <xf borderId="14" fillId="8" fontId="7" numFmtId="0" xfId="0" applyAlignment="1" applyBorder="1" applyFill="1" applyFont="1">
      <alignment horizontal="center" vertical="center"/>
    </xf>
    <xf borderId="14" fillId="9" fontId="7" numFmtId="0" xfId="0" applyAlignment="1" applyBorder="1" applyFill="1" applyFont="1">
      <alignment horizontal="center" vertical="center"/>
    </xf>
    <xf borderId="15" fillId="0" fontId="2" numFmtId="0" xfId="0" applyBorder="1" applyFont="1"/>
    <xf borderId="12" fillId="0" fontId="5" numFmtId="0" xfId="0" applyAlignment="1" applyBorder="1" applyFont="1">
      <alignment horizontal="center"/>
    </xf>
    <xf borderId="12" fillId="0" fontId="5" numFmtId="0" xfId="0" applyAlignment="1" applyBorder="1" applyFont="1">
      <alignment horizontal="left"/>
    </xf>
    <xf borderId="12" fillId="7" fontId="7" numFmtId="0" xfId="0" applyAlignment="1" applyBorder="1" applyFont="1">
      <alignment horizontal="center" vertical="center"/>
    </xf>
    <xf borderId="12" fillId="8" fontId="7" numFmtId="0" xfId="0" applyAlignment="1" applyBorder="1" applyFont="1">
      <alignment horizontal="center" vertical="center"/>
    </xf>
    <xf borderId="12" fillId="9" fontId="7" numFmtId="0" xfId="0" applyAlignment="1" applyBorder="1" applyFont="1">
      <alignment horizontal="center" vertical="center"/>
    </xf>
    <xf borderId="12" fillId="5" fontId="7" numFmtId="0" xfId="0" applyAlignment="1" applyBorder="1" applyFont="1">
      <alignment horizontal="center" vertical="center"/>
    </xf>
    <xf borderId="12" fillId="6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16" fillId="7" fontId="7" numFmtId="0" xfId="0" applyAlignment="1" applyBorder="1" applyFont="1">
      <alignment horizontal="center" vertical="center"/>
    </xf>
    <xf borderId="16" fillId="8" fontId="7" numFmtId="0" xfId="0" applyAlignment="1" applyBorder="1" applyFont="1">
      <alignment horizontal="center" vertical="center"/>
    </xf>
    <xf borderId="16" fillId="9" fontId="7" numFmtId="0" xfId="0" applyAlignment="1" applyBorder="1" applyFont="1">
      <alignment horizontal="center" vertical="center"/>
    </xf>
    <xf borderId="16" fillId="5" fontId="7" numFmtId="0" xfId="0" applyAlignment="1" applyBorder="1" applyFont="1">
      <alignment horizontal="center" vertical="center"/>
    </xf>
    <xf borderId="16" fillId="6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/>
    </xf>
    <xf borderId="2" fillId="0" fontId="7" numFmtId="9" xfId="0" applyAlignment="1" applyBorder="1" applyFont="1" applyNumberFormat="1">
      <alignment horizontal="center"/>
    </xf>
    <xf borderId="16" fillId="4" fontId="7" numFmtId="0" xfId="0" applyAlignment="1" applyBorder="1" applyFont="1">
      <alignment horizontal="center"/>
    </xf>
    <xf borderId="12" fillId="0" fontId="5" numFmtId="0" xfId="0" applyBorder="1" applyFont="1"/>
    <xf borderId="17" fillId="4" fontId="7" numFmtId="0" xfId="0" applyAlignment="1" applyBorder="1" applyFont="1">
      <alignment horizontal="center"/>
    </xf>
    <xf borderId="0" fillId="0" fontId="11" numFmtId="0" xfId="0" applyFont="1"/>
    <xf borderId="0" fillId="0" fontId="7" numFmtId="0" xfId="0" applyFont="1"/>
    <xf borderId="3" fillId="4" fontId="7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3" fillId="0" fontId="5" numFmtId="0" xfId="0" applyAlignment="1" applyBorder="1" applyFont="1">
      <alignment vertical="center"/>
    </xf>
    <xf borderId="4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7" fillId="2" fontId="9" numFmtId="0" xfId="0" applyAlignment="1" applyBorder="1" applyFont="1">
      <alignment horizontal="center" readingOrder="0" vertical="center"/>
    </xf>
    <xf borderId="7" fillId="3" fontId="7" numFmtId="0" xfId="0" applyAlignment="1" applyBorder="1" applyFont="1">
      <alignment horizontal="center" readingOrder="0" vertical="center"/>
    </xf>
    <xf borderId="7" fillId="2" fontId="9" numFmtId="0" xfId="0" applyAlignment="1" applyBorder="1" applyFont="1">
      <alignment horizontal="center" vertical="center"/>
    </xf>
    <xf quotePrefix="1" borderId="12" fillId="0" fontId="8" numFmtId="1" xfId="0" applyAlignment="1" applyBorder="1" applyFont="1" applyNumberFormat="1">
      <alignment horizontal="left" vertical="center"/>
    </xf>
    <xf borderId="12" fillId="0" fontId="9" numFmtId="0" xfId="0" applyAlignment="1" applyBorder="1" applyFont="1">
      <alignment horizontal="left" vertical="center"/>
    </xf>
    <xf borderId="12" fillId="0" fontId="11" numFmtId="0" xfId="0" applyAlignment="1" applyBorder="1" applyFont="1">
      <alignment horizontal="center" vertical="center"/>
    </xf>
    <xf borderId="12" fillId="0" fontId="7" numFmtId="9" xfId="0" applyAlignment="1" applyBorder="1" applyFont="1" applyNumberFormat="1">
      <alignment horizontal="center" vertical="center"/>
    </xf>
    <xf borderId="12" fillId="4" fontId="7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7" fillId="2" fontId="11" numFmtId="0" xfId="0" applyAlignment="1" applyBorder="1" applyFont="1">
      <alignment horizontal="center" readingOrder="0" vertical="center"/>
    </xf>
    <xf borderId="7" fillId="2" fontId="11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left" readingOrder="0" vertical="center"/>
    </xf>
    <xf borderId="12" fillId="0" fontId="9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center" vertical="center"/>
    </xf>
    <xf borderId="0" fillId="0" fontId="11" numFmtId="0" xfId="0" applyAlignment="1" applyFont="1">
      <alignment horizontal="right" vertical="center"/>
    </xf>
    <xf borderId="18" fillId="0" fontId="6" numFmtId="0" xfId="0" applyAlignment="1" applyBorder="1" applyFont="1">
      <alignment horizontal="center" vertical="center"/>
    </xf>
    <xf borderId="18" fillId="0" fontId="5" numFmtId="0" xfId="0" applyAlignment="1" applyBorder="1" applyFont="1">
      <alignment vertical="center"/>
    </xf>
    <xf borderId="19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21" fillId="0" fontId="2" numFmtId="0" xfId="0" applyBorder="1" applyFont="1"/>
    <xf borderId="20" fillId="2" fontId="11" numFmtId="0" xfId="0" applyAlignment="1" applyBorder="1" applyFont="1">
      <alignment horizontal="center" vertical="center"/>
    </xf>
    <xf borderId="22" fillId="3" fontId="7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9" fillId="0" fontId="11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readingOrder="0" vertical="center"/>
    </xf>
    <xf borderId="0" fillId="0" fontId="5" numFmtId="1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10" fontId="4" numFmtId="0" xfId="0" applyAlignment="1" applyFill="1" applyFont="1">
      <alignment vertical="bottom"/>
    </xf>
    <xf borderId="0" fillId="11" fontId="5" numFmtId="1" xfId="0" applyAlignment="1" applyFill="1" applyFont="1" applyNumberFormat="1">
      <alignment horizontal="right" vertical="bottom"/>
    </xf>
    <xf borderId="0" fillId="11" fontId="5" numFmtId="0" xfId="0" applyAlignment="1" applyFont="1">
      <alignment vertical="bottom"/>
    </xf>
    <xf borderId="0" fillId="12" fontId="5" numFmtId="1" xfId="0" applyAlignment="1" applyFill="1" applyFont="1" applyNumberFormat="1">
      <alignment horizontal="right" vertical="bottom"/>
    </xf>
    <xf borderId="0" fillId="12" fontId="5" numFmtId="0" xfId="0" applyAlignment="1" applyFont="1">
      <alignment vertical="bottom"/>
    </xf>
    <xf borderId="0" fillId="0" fontId="5" numFmtId="1" xfId="0" applyAlignment="1" applyFont="1" applyNumberFormat="1">
      <alignment vertical="bottom"/>
    </xf>
    <xf borderId="0" fillId="9" fontId="5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123825</xdr:rowOff>
    </xdr:from>
    <xdr:ext cx="6762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123825</xdr:rowOff>
    </xdr:from>
    <xdr:ext cx="6762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123825</xdr:rowOff>
    </xdr:from>
    <xdr:ext cx="6762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123825</xdr:rowOff>
    </xdr:from>
    <xdr:ext cx="6762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123825</xdr:rowOff>
    </xdr:from>
    <xdr:ext cx="6762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123825</xdr:rowOff>
    </xdr:from>
    <xdr:ext cx="6762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123825</xdr:rowOff>
    </xdr:from>
    <xdr:ext cx="6762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123825</xdr:rowOff>
    </xdr:from>
    <xdr:ext cx="6762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123825</xdr:rowOff>
    </xdr:from>
    <xdr:ext cx="6762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123825</xdr:rowOff>
    </xdr:from>
    <xdr:ext cx="6762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123825</xdr:rowOff>
    </xdr:from>
    <xdr:ext cx="6762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123825</xdr:rowOff>
    </xdr:from>
    <xdr:ext cx="6762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1.71"/>
    <col customWidth="1" min="3" max="3" width="38.71"/>
    <col customWidth="1" min="4" max="4" width="4.86"/>
    <col customWidth="1" min="5" max="5" width="5.43"/>
    <col customWidth="1" min="6" max="6" width="5.14"/>
  </cols>
  <sheetData>
    <row r="1" ht="78.0" customHeight="1">
      <c r="A1" s="1" t="s">
        <v>0</v>
      </c>
      <c r="B1" s="2"/>
      <c r="C1" s="2"/>
      <c r="D1" s="2"/>
      <c r="E1" s="2"/>
      <c r="F1" s="2"/>
    </row>
    <row r="2" ht="9.0" customHeight="1"/>
    <row r="3" ht="14.25" customHeight="1">
      <c r="A3" s="3" t="s">
        <v>1</v>
      </c>
    </row>
    <row r="4" ht="14.25" customHeight="1">
      <c r="A4" s="3" t="s">
        <v>2</v>
      </c>
    </row>
    <row r="5" ht="3.75" customHeight="1">
      <c r="B5" s="4"/>
    </row>
    <row r="6" ht="14.25" customHeight="1">
      <c r="A6" s="4" t="s">
        <v>3</v>
      </c>
      <c r="C6" s="5" t="s">
        <v>4</v>
      </c>
    </row>
    <row r="7" ht="14.25" customHeight="1">
      <c r="A7" s="4" t="s">
        <v>5</v>
      </c>
      <c r="C7" s="5" t="s">
        <v>6</v>
      </c>
    </row>
    <row r="8" ht="14.25" customHeight="1">
      <c r="A8" s="4" t="s">
        <v>7</v>
      </c>
      <c r="C8" s="5" t="s">
        <v>8</v>
      </c>
    </row>
    <row r="9" ht="14.25" customHeight="1"/>
    <row r="10" ht="14.25" customHeight="1">
      <c r="A10" s="6" t="s">
        <v>9</v>
      </c>
      <c r="B10" s="6" t="s">
        <v>10</v>
      </c>
      <c r="C10" s="7" t="s">
        <v>11</v>
      </c>
      <c r="D10" s="8"/>
      <c r="E10" s="9"/>
      <c r="F10" s="10"/>
    </row>
    <row r="11" ht="32.25" customHeight="1">
      <c r="A11" s="11"/>
      <c r="B11" s="11"/>
      <c r="C11" s="11"/>
      <c r="D11" s="12" t="s">
        <v>12</v>
      </c>
      <c r="E11" s="13" t="s">
        <v>13</v>
      </c>
      <c r="F11" s="14" t="s">
        <v>14</v>
      </c>
    </row>
    <row r="12" ht="15.75" customHeight="1">
      <c r="A12" s="15"/>
      <c r="B12" s="15"/>
      <c r="C12" s="15"/>
      <c r="D12" s="16"/>
      <c r="E12" s="16"/>
      <c r="F12" s="17"/>
    </row>
    <row r="13" ht="14.25" customHeight="1">
      <c r="A13" s="18">
        <v>1.0</v>
      </c>
      <c r="B13" s="19" t="s">
        <v>15</v>
      </c>
      <c r="C13" s="20" t="s">
        <v>16</v>
      </c>
      <c r="D13" s="21">
        <v>3.0</v>
      </c>
      <c r="E13" s="22">
        <f t="shared" ref="E13:E59" si="1">D13/5</f>
        <v>0.6</v>
      </c>
      <c r="F13" s="23" t="str">
        <f t="shared" ref="F13:F59" si="2">if(E13&gt;=50%,"A","B")</f>
        <v>A</v>
      </c>
    </row>
    <row r="14" ht="14.25" customHeight="1">
      <c r="A14" s="18">
        <v>2.0</v>
      </c>
      <c r="B14" s="19" t="s">
        <v>17</v>
      </c>
      <c r="C14" s="20" t="s">
        <v>18</v>
      </c>
      <c r="D14" s="21">
        <v>2.0</v>
      </c>
      <c r="E14" s="22">
        <f t="shared" si="1"/>
        <v>0.4</v>
      </c>
      <c r="F14" s="23" t="str">
        <f t="shared" si="2"/>
        <v>B</v>
      </c>
    </row>
    <row r="15" ht="14.25" customHeight="1">
      <c r="A15" s="18">
        <v>3.0</v>
      </c>
      <c r="B15" s="19" t="s">
        <v>19</v>
      </c>
      <c r="C15" s="20" t="s">
        <v>20</v>
      </c>
      <c r="D15" s="21">
        <v>1.0</v>
      </c>
      <c r="E15" s="22">
        <f t="shared" si="1"/>
        <v>0.2</v>
      </c>
      <c r="F15" s="23" t="str">
        <f t="shared" si="2"/>
        <v>B</v>
      </c>
    </row>
    <row r="16" ht="14.25" customHeight="1">
      <c r="A16" s="18">
        <v>4.0</v>
      </c>
      <c r="B16" s="19" t="s">
        <v>21</v>
      </c>
      <c r="C16" s="20" t="s">
        <v>22</v>
      </c>
      <c r="D16" s="21">
        <v>3.0</v>
      </c>
      <c r="E16" s="22">
        <f t="shared" si="1"/>
        <v>0.6</v>
      </c>
      <c r="F16" s="23" t="str">
        <f t="shared" si="2"/>
        <v>A</v>
      </c>
    </row>
    <row r="17" ht="14.25" customHeight="1">
      <c r="A17" s="18">
        <v>5.0</v>
      </c>
      <c r="B17" s="19" t="s">
        <v>23</v>
      </c>
      <c r="C17" s="20" t="s">
        <v>24</v>
      </c>
      <c r="D17" s="21">
        <v>1.0</v>
      </c>
      <c r="E17" s="22">
        <f t="shared" si="1"/>
        <v>0.2</v>
      </c>
      <c r="F17" s="23" t="str">
        <f t="shared" si="2"/>
        <v>B</v>
      </c>
    </row>
    <row r="18" ht="14.25" customHeight="1">
      <c r="A18" s="18">
        <v>6.0</v>
      </c>
      <c r="B18" s="19" t="s">
        <v>25</v>
      </c>
      <c r="C18" s="20" t="s">
        <v>26</v>
      </c>
      <c r="D18" s="21">
        <v>2.0</v>
      </c>
      <c r="E18" s="22">
        <f t="shared" si="1"/>
        <v>0.4</v>
      </c>
      <c r="F18" s="23" t="str">
        <f t="shared" si="2"/>
        <v>B</v>
      </c>
    </row>
    <row r="19" ht="14.25" customHeight="1">
      <c r="A19" s="18">
        <v>7.0</v>
      </c>
      <c r="B19" s="19" t="s">
        <v>27</v>
      </c>
      <c r="C19" s="20" t="s">
        <v>28</v>
      </c>
      <c r="D19" s="21">
        <v>1.0</v>
      </c>
      <c r="E19" s="22">
        <f t="shared" si="1"/>
        <v>0.2</v>
      </c>
      <c r="F19" s="23" t="str">
        <f t="shared" si="2"/>
        <v>B</v>
      </c>
    </row>
    <row r="20" ht="14.25" customHeight="1">
      <c r="A20" s="18">
        <v>8.0</v>
      </c>
      <c r="B20" s="19" t="s">
        <v>29</v>
      </c>
      <c r="C20" s="20" t="s">
        <v>30</v>
      </c>
      <c r="D20" s="21">
        <v>2.0</v>
      </c>
      <c r="E20" s="22">
        <f t="shared" si="1"/>
        <v>0.4</v>
      </c>
      <c r="F20" s="23" t="str">
        <f t="shared" si="2"/>
        <v>B</v>
      </c>
    </row>
    <row r="21" ht="14.25" customHeight="1">
      <c r="A21" s="18">
        <v>9.0</v>
      </c>
      <c r="B21" s="19" t="s">
        <v>31</v>
      </c>
      <c r="C21" s="20" t="s">
        <v>32</v>
      </c>
      <c r="D21" s="21">
        <v>2.0</v>
      </c>
      <c r="E21" s="22">
        <f t="shared" si="1"/>
        <v>0.4</v>
      </c>
      <c r="F21" s="23" t="str">
        <f t="shared" si="2"/>
        <v>B</v>
      </c>
    </row>
    <row r="22" ht="14.25" customHeight="1">
      <c r="A22" s="18">
        <v>10.0</v>
      </c>
      <c r="B22" s="19" t="s">
        <v>33</v>
      </c>
      <c r="C22" s="20" t="s">
        <v>34</v>
      </c>
      <c r="D22" s="21">
        <v>0.0</v>
      </c>
      <c r="E22" s="22">
        <f t="shared" si="1"/>
        <v>0</v>
      </c>
      <c r="F22" s="23" t="str">
        <f t="shared" si="2"/>
        <v>B</v>
      </c>
    </row>
    <row r="23" ht="14.25" customHeight="1">
      <c r="A23" s="18">
        <v>11.0</v>
      </c>
      <c r="B23" s="19" t="s">
        <v>35</v>
      </c>
      <c r="C23" s="20" t="s">
        <v>36</v>
      </c>
      <c r="D23" s="21">
        <v>2.0</v>
      </c>
      <c r="E23" s="22">
        <f t="shared" si="1"/>
        <v>0.4</v>
      </c>
      <c r="F23" s="23" t="str">
        <f t="shared" si="2"/>
        <v>B</v>
      </c>
    </row>
    <row r="24" ht="14.25" customHeight="1">
      <c r="A24" s="18">
        <v>12.0</v>
      </c>
      <c r="B24" s="19" t="s">
        <v>37</v>
      </c>
      <c r="C24" s="20" t="s">
        <v>38</v>
      </c>
      <c r="D24" s="21">
        <v>3.0</v>
      </c>
      <c r="E24" s="22">
        <f t="shared" si="1"/>
        <v>0.6</v>
      </c>
      <c r="F24" s="23" t="str">
        <f t="shared" si="2"/>
        <v>A</v>
      </c>
    </row>
    <row r="25" ht="14.25" customHeight="1">
      <c r="A25" s="18">
        <v>13.0</v>
      </c>
      <c r="B25" s="19" t="s">
        <v>39</v>
      </c>
      <c r="C25" s="20" t="s">
        <v>40</v>
      </c>
      <c r="D25" s="21">
        <v>1.0</v>
      </c>
      <c r="E25" s="22">
        <f t="shared" si="1"/>
        <v>0.2</v>
      </c>
      <c r="F25" s="23" t="str">
        <f t="shared" si="2"/>
        <v>B</v>
      </c>
    </row>
    <row r="26" ht="14.25" customHeight="1">
      <c r="A26" s="18">
        <v>14.0</v>
      </c>
      <c r="B26" s="19" t="s">
        <v>41</v>
      </c>
      <c r="C26" s="20" t="s">
        <v>42</v>
      </c>
      <c r="D26" s="21">
        <v>3.0</v>
      </c>
      <c r="E26" s="22">
        <f t="shared" si="1"/>
        <v>0.6</v>
      </c>
      <c r="F26" s="23" t="str">
        <f t="shared" si="2"/>
        <v>A</v>
      </c>
    </row>
    <row r="27" ht="14.25" customHeight="1">
      <c r="A27" s="18">
        <v>15.0</v>
      </c>
      <c r="B27" s="19" t="s">
        <v>43</v>
      </c>
      <c r="C27" s="20" t="s">
        <v>44</v>
      </c>
      <c r="D27" s="21">
        <v>1.0</v>
      </c>
      <c r="E27" s="22">
        <f t="shared" si="1"/>
        <v>0.2</v>
      </c>
      <c r="F27" s="23" t="str">
        <f t="shared" si="2"/>
        <v>B</v>
      </c>
    </row>
    <row r="28" ht="14.25" customHeight="1">
      <c r="A28" s="18">
        <v>16.0</v>
      </c>
      <c r="B28" s="19" t="s">
        <v>45</v>
      </c>
      <c r="C28" s="20" t="s">
        <v>46</v>
      </c>
      <c r="D28" s="21">
        <v>3.0</v>
      </c>
      <c r="E28" s="22">
        <f t="shared" si="1"/>
        <v>0.6</v>
      </c>
      <c r="F28" s="23" t="str">
        <f t="shared" si="2"/>
        <v>A</v>
      </c>
    </row>
    <row r="29" ht="14.25" customHeight="1">
      <c r="A29" s="18">
        <v>17.0</v>
      </c>
      <c r="B29" s="19" t="s">
        <v>47</v>
      </c>
      <c r="C29" s="20" t="s">
        <v>48</v>
      </c>
      <c r="D29" s="21">
        <v>1.0</v>
      </c>
      <c r="E29" s="22">
        <f t="shared" si="1"/>
        <v>0.2</v>
      </c>
      <c r="F29" s="23" t="str">
        <f t="shared" si="2"/>
        <v>B</v>
      </c>
    </row>
    <row r="30" ht="14.25" customHeight="1">
      <c r="A30" s="18">
        <v>18.0</v>
      </c>
      <c r="B30" s="19" t="s">
        <v>49</v>
      </c>
      <c r="C30" s="20" t="s">
        <v>50</v>
      </c>
      <c r="D30" s="21">
        <v>2.0</v>
      </c>
      <c r="E30" s="22">
        <f t="shared" si="1"/>
        <v>0.4</v>
      </c>
      <c r="F30" s="23" t="str">
        <f t="shared" si="2"/>
        <v>B</v>
      </c>
    </row>
    <row r="31" ht="14.25" customHeight="1">
      <c r="A31" s="18">
        <v>19.0</v>
      </c>
      <c r="B31" s="19" t="s">
        <v>51</v>
      </c>
      <c r="C31" s="20" t="s">
        <v>52</v>
      </c>
      <c r="D31" s="21">
        <v>2.0</v>
      </c>
      <c r="E31" s="22">
        <f t="shared" si="1"/>
        <v>0.4</v>
      </c>
      <c r="F31" s="23" t="str">
        <f t="shared" si="2"/>
        <v>B</v>
      </c>
    </row>
    <row r="32" ht="14.25" customHeight="1">
      <c r="A32" s="18">
        <v>20.0</v>
      </c>
      <c r="B32" s="19" t="s">
        <v>53</v>
      </c>
      <c r="C32" s="20" t="s">
        <v>54</v>
      </c>
      <c r="D32" s="21">
        <v>0.0</v>
      </c>
      <c r="E32" s="22">
        <f t="shared" si="1"/>
        <v>0</v>
      </c>
      <c r="F32" s="23" t="str">
        <f t="shared" si="2"/>
        <v>B</v>
      </c>
    </row>
    <row r="33" ht="14.25" customHeight="1">
      <c r="A33" s="18">
        <v>21.0</v>
      </c>
      <c r="B33" s="19" t="s">
        <v>55</v>
      </c>
      <c r="C33" s="20" t="s">
        <v>56</v>
      </c>
      <c r="D33" s="21">
        <v>0.0</v>
      </c>
      <c r="E33" s="22">
        <f t="shared" si="1"/>
        <v>0</v>
      </c>
      <c r="F33" s="23" t="str">
        <f t="shared" si="2"/>
        <v>B</v>
      </c>
    </row>
    <row r="34" ht="14.25" customHeight="1">
      <c r="A34" s="18">
        <v>22.0</v>
      </c>
      <c r="B34" s="19" t="s">
        <v>57</v>
      </c>
      <c r="C34" s="20" t="s">
        <v>58</v>
      </c>
      <c r="D34" s="21">
        <v>0.0</v>
      </c>
      <c r="E34" s="22">
        <f t="shared" si="1"/>
        <v>0</v>
      </c>
      <c r="F34" s="23" t="str">
        <f t="shared" si="2"/>
        <v>B</v>
      </c>
    </row>
    <row r="35" ht="14.25" customHeight="1">
      <c r="A35" s="18">
        <v>23.0</v>
      </c>
      <c r="B35" s="19" t="s">
        <v>59</v>
      </c>
      <c r="C35" s="20" t="s">
        <v>60</v>
      </c>
      <c r="D35" s="21">
        <v>0.0</v>
      </c>
      <c r="E35" s="22">
        <f t="shared" si="1"/>
        <v>0</v>
      </c>
      <c r="F35" s="23" t="str">
        <f t="shared" si="2"/>
        <v>B</v>
      </c>
    </row>
    <row r="36" ht="14.25" customHeight="1">
      <c r="A36" s="18">
        <v>24.0</v>
      </c>
      <c r="B36" s="19" t="s">
        <v>61</v>
      </c>
      <c r="C36" s="20" t="s">
        <v>62</v>
      </c>
      <c r="D36" s="21">
        <v>0.0</v>
      </c>
      <c r="E36" s="22">
        <f t="shared" si="1"/>
        <v>0</v>
      </c>
      <c r="F36" s="23" t="str">
        <f t="shared" si="2"/>
        <v>B</v>
      </c>
    </row>
    <row r="37" ht="14.25" customHeight="1">
      <c r="A37" s="18">
        <v>25.0</v>
      </c>
      <c r="B37" s="19" t="s">
        <v>63</v>
      </c>
      <c r="C37" s="20" t="s">
        <v>64</v>
      </c>
      <c r="D37" s="21">
        <v>0.0</v>
      </c>
      <c r="E37" s="22">
        <f t="shared" si="1"/>
        <v>0</v>
      </c>
      <c r="F37" s="23" t="str">
        <f t="shared" si="2"/>
        <v>B</v>
      </c>
    </row>
    <row r="38" ht="14.25" customHeight="1">
      <c r="A38" s="18">
        <v>26.0</v>
      </c>
      <c r="B38" s="19" t="s">
        <v>65</v>
      </c>
      <c r="C38" s="20" t="s">
        <v>66</v>
      </c>
      <c r="D38" s="21">
        <v>0.0</v>
      </c>
      <c r="E38" s="22">
        <f t="shared" si="1"/>
        <v>0</v>
      </c>
      <c r="F38" s="23" t="str">
        <f t="shared" si="2"/>
        <v>B</v>
      </c>
    </row>
    <row r="39" ht="14.25" customHeight="1">
      <c r="A39" s="18">
        <v>27.0</v>
      </c>
      <c r="B39" s="19" t="s">
        <v>67</v>
      </c>
      <c r="C39" s="20" t="s">
        <v>68</v>
      </c>
      <c r="D39" s="21">
        <v>0.0</v>
      </c>
      <c r="E39" s="22">
        <f t="shared" si="1"/>
        <v>0</v>
      </c>
      <c r="F39" s="23" t="str">
        <f t="shared" si="2"/>
        <v>B</v>
      </c>
    </row>
    <row r="40" ht="14.25" customHeight="1">
      <c r="A40" s="18">
        <v>28.0</v>
      </c>
      <c r="B40" s="19" t="s">
        <v>69</v>
      </c>
      <c r="C40" s="20" t="s">
        <v>70</v>
      </c>
      <c r="D40" s="21">
        <v>1.0</v>
      </c>
      <c r="E40" s="22">
        <f t="shared" si="1"/>
        <v>0.2</v>
      </c>
      <c r="F40" s="23" t="str">
        <f t="shared" si="2"/>
        <v>B</v>
      </c>
    </row>
    <row r="41" ht="14.25" customHeight="1">
      <c r="A41" s="18">
        <v>29.0</v>
      </c>
      <c r="B41" s="19" t="s">
        <v>71</v>
      </c>
      <c r="C41" s="20" t="s">
        <v>72</v>
      </c>
      <c r="D41" s="21">
        <v>2.0</v>
      </c>
      <c r="E41" s="22">
        <f t="shared" si="1"/>
        <v>0.4</v>
      </c>
      <c r="F41" s="23" t="str">
        <f t="shared" si="2"/>
        <v>B</v>
      </c>
    </row>
    <row r="42" ht="14.25" customHeight="1">
      <c r="A42" s="18">
        <v>30.0</v>
      </c>
      <c r="B42" s="19" t="s">
        <v>73</v>
      </c>
      <c r="C42" s="20" t="s">
        <v>74</v>
      </c>
      <c r="D42" s="21">
        <v>3.0</v>
      </c>
      <c r="E42" s="22">
        <f t="shared" si="1"/>
        <v>0.6</v>
      </c>
      <c r="F42" s="23" t="str">
        <f t="shared" si="2"/>
        <v>A</v>
      </c>
    </row>
    <row r="43" ht="14.25" customHeight="1">
      <c r="A43" s="18">
        <v>31.0</v>
      </c>
      <c r="B43" s="19" t="s">
        <v>75</v>
      </c>
      <c r="C43" s="20" t="s">
        <v>76</v>
      </c>
      <c r="D43" s="21">
        <v>1.0</v>
      </c>
      <c r="E43" s="22">
        <f t="shared" si="1"/>
        <v>0.2</v>
      </c>
      <c r="F43" s="23" t="str">
        <f t="shared" si="2"/>
        <v>B</v>
      </c>
    </row>
    <row r="44" ht="14.25" customHeight="1">
      <c r="A44" s="18">
        <v>32.0</v>
      </c>
      <c r="B44" s="19" t="s">
        <v>77</v>
      </c>
      <c r="C44" s="20" t="s">
        <v>78</v>
      </c>
      <c r="D44" s="21">
        <v>3.0</v>
      </c>
      <c r="E44" s="22">
        <f t="shared" si="1"/>
        <v>0.6</v>
      </c>
      <c r="F44" s="23" t="str">
        <f t="shared" si="2"/>
        <v>A</v>
      </c>
    </row>
    <row r="45" ht="14.25" customHeight="1">
      <c r="A45" s="18">
        <v>33.0</v>
      </c>
      <c r="B45" s="19" t="s">
        <v>79</v>
      </c>
      <c r="C45" s="20" t="s">
        <v>80</v>
      </c>
      <c r="D45" s="21">
        <v>1.0</v>
      </c>
      <c r="E45" s="22">
        <f t="shared" si="1"/>
        <v>0.2</v>
      </c>
      <c r="F45" s="23" t="str">
        <f t="shared" si="2"/>
        <v>B</v>
      </c>
    </row>
    <row r="46" ht="14.25" customHeight="1">
      <c r="A46" s="24">
        <v>34.0</v>
      </c>
      <c r="B46" s="19" t="s">
        <v>81</v>
      </c>
      <c r="C46" s="20" t="s">
        <v>82</v>
      </c>
      <c r="D46" s="25">
        <v>1.0</v>
      </c>
      <c r="E46" s="22">
        <f t="shared" si="1"/>
        <v>0.2</v>
      </c>
      <c r="F46" s="23" t="str">
        <f t="shared" si="2"/>
        <v>B</v>
      </c>
    </row>
    <row r="47" ht="14.25" customHeight="1">
      <c r="A47" s="18">
        <v>35.0</v>
      </c>
      <c r="B47" s="19" t="s">
        <v>83</v>
      </c>
      <c r="C47" s="20" t="s">
        <v>84</v>
      </c>
      <c r="D47" s="21">
        <v>1.0</v>
      </c>
      <c r="E47" s="22">
        <f t="shared" si="1"/>
        <v>0.2</v>
      </c>
      <c r="F47" s="23" t="str">
        <f t="shared" si="2"/>
        <v>B</v>
      </c>
    </row>
    <row r="48" ht="14.25" customHeight="1">
      <c r="A48" s="18">
        <v>36.0</v>
      </c>
      <c r="B48" s="19" t="s">
        <v>85</v>
      </c>
      <c r="C48" s="20" t="s">
        <v>86</v>
      </c>
      <c r="D48" s="21">
        <v>2.0</v>
      </c>
      <c r="E48" s="22">
        <f t="shared" si="1"/>
        <v>0.4</v>
      </c>
      <c r="F48" s="23" t="str">
        <f t="shared" si="2"/>
        <v>B</v>
      </c>
    </row>
    <row r="49" ht="14.25" customHeight="1">
      <c r="A49" s="18">
        <v>37.0</v>
      </c>
      <c r="B49" s="19" t="s">
        <v>87</v>
      </c>
      <c r="C49" s="20" t="s">
        <v>88</v>
      </c>
      <c r="D49" s="21">
        <v>0.0</v>
      </c>
      <c r="E49" s="22">
        <f t="shared" si="1"/>
        <v>0</v>
      </c>
      <c r="F49" s="23" t="str">
        <f t="shared" si="2"/>
        <v>B</v>
      </c>
    </row>
    <row r="50" ht="14.25" customHeight="1">
      <c r="A50" s="18">
        <v>38.0</v>
      </c>
      <c r="B50" s="19" t="s">
        <v>89</v>
      </c>
      <c r="C50" s="20" t="s">
        <v>90</v>
      </c>
      <c r="D50" s="21">
        <v>0.0</v>
      </c>
      <c r="E50" s="22">
        <f t="shared" si="1"/>
        <v>0</v>
      </c>
      <c r="F50" s="23" t="str">
        <f t="shared" si="2"/>
        <v>B</v>
      </c>
    </row>
    <row r="51" ht="14.25" customHeight="1">
      <c r="A51" s="18">
        <v>39.0</v>
      </c>
      <c r="B51" s="19" t="s">
        <v>91</v>
      </c>
      <c r="C51" s="20" t="s">
        <v>92</v>
      </c>
      <c r="D51" s="21">
        <v>2.0</v>
      </c>
      <c r="E51" s="22">
        <f t="shared" si="1"/>
        <v>0.4</v>
      </c>
      <c r="F51" s="23" t="str">
        <f t="shared" si="2"/>
        <v>B</v>
      </c>
    </row>
    <row r="52" ht="14.25" customHeight="1">
      <c r="A52" s="18">
        <v>40.0</v>
      </c>
      <c r="B52" s="19" t="s">
        <v>93</v>
      </c>
      <c r="C52" s="20" t="s">
        <v>94</v>
      </c>
      <c r="D52" s="21">
        <v>2.0</v>
      </c>
      <c r="E52" s="22">
        <f t="shared" si="1"/>
        <v>0.4</v>
      </c>
      <c r="F52" s="23" t="str">
        <f t="shared" si="2"/>
        <v>B</v>
      </c>
    </row>
    <row r="53" ht="14.25" customHeight="1">
      <c r="A53" s="18">
        <v>41.0</v>
      </c>
      <c r="B53" s="19" t="s">
        <v>95</v>
      </c>
      <c r="C53" s="20" t="s">
        <v>96</v>
      </c>
      <c r="D53" s="21">
        <v>2.0</v>
      </c>
      <c r="E53" s="22">
        <f t="shared" si="1"/>
        <v>0.4</v>
      </c>
      <c r="F53" s="23" t="str">
        <f t="shared" si="2"/>
        <v>B</v>
      </c>
    </row>
    <row r="54" ht="14.25" customHeight="1">
      <c r="A54" s="18">
        <v>42.0</v>
      </c>
      <c r="B54" s="19" t="s">
        <v>97</v>
      </c>
      <c r="C54" s="20" t="s">
        <v>98</v>
      </c>
      <c r="D54" s="21">
        <v>3.0</v>
      </c>
      <c r="E54" s="22">
        <f t="shared" si="1"/>
        <v>0.6</v>
      </c>
      <c r="F54" s="23" t="str">
        <f t="shared" si="2"/>
        <v>A</v>
      </c>
    </row>
    <row r="55" ht="14.25" customHeight="1">
      <c r="A55" s="18">
        <v>43.0</v>
      </c>
      <c r="B55" s="19" t="s">
        <v>99</v>
      </c>
      <c r="C55" s="20" t="s">
        <v>100</v>
      </c>
      <c r="D55" s="21">
        <v>3.0</v>
      </c>
      <c r="E55" s="22">
        <f t="shared" si="1"/>
        <v>0.6</v>
      </c>
      <c r="F55" s="23" t="str">
        <f t="shared" si="2"/>
        <v>A</v>
      </c>
    </row>
    <row r="56" ht="14.25" customHeight="1">
      <c r="A56" s="18">
        <v>44.0</v>
      </c>
      <c r="B56" s="19" t="s">
        <v>101</v>
      </c>
      <c r="C56" s="20" t="s">
        <v>102</v>
      </c>
      <c r="D56" s="21">
        <v>0.0</v>
      </c>
      <c r="E56" s="22">
        <f t="shared" si="1"/>
        <v>0</v>
      </c>
      <c r="F56" s="23" t="str">
        <f t="shared" si="2"/>
        <v>B</v>
      </c>
    </row>
    <row r="57" ht="14.25" customHeight="1">
      <c r="A57" s="18">
        <v>45.0</v>
      </c>
      <c r="B57" s="19" t="s">
        <v>103</v>
      </c>
      <c r="C57" s="20" t="s">
        <v>104</v>
      </c>
      <c r="D57" s="21">
        <v>1.0</v>
      </c>
      <c r="E57" s="22">
        <f t="shared" si="1"/>
        <v>0.2</v>
      </c>
      <c r="F57" s="23" t="str">
        <f t="shared" si="2"/>
        <v>B</v>
      </c>
    </row>
    <row r="58" ht="14.25" customHeight="1">
      <c r="A58" s="18">
        <v>46.0</v>
      </c>
      <c r="B58" s="19" t="s">
        <v>105</v>
      </c>
      <c r="C58" s="20" t="s">
        <v>106</v>
      </c>
      <c r="D58" s="21">
        <v>3.0</v>
      </c>
      <c r="E58" s="22">
        <f t="shared" si="1"/>
        <v>0.6</v>
      </c>
      <c r="F58" s="23" t="str">
        <f t="shared" si="2"/>
        <v>A</v>
      </c>
    </row>
    <row r="59" ht="14.25" customHeight="1">
      <c r="A59" s="18">
        <v>47.0</v>
      </c>
      <c r="B59" s="19" t="s">
        <v>107</v>
      </c>
      <c r="C59" s="20" t="s">
        <v>108</v>
      </c>
      <c r="D59" s="21">
        <v>0.0</v>
      </c>
      <c r="E59" s="22">
        <f t="shared" si="1"/>
        <v>0</v>
      </c>
      <c r="F59" s="23" t="str">
        <f t="shared" si="2"/>
        <v>B</v>
      </c>
    </row>
    <row r="60" ht="14.25" customHeight="1"/>
    <row r="61" ht="14.25" customHeight="1">
      <c r="D61" s="26" t="s">
        <v>109</v>
      </c>
      <c r="F61" s="26"/>
    </row>
    <row r="62" ht="14.25" customHeight="1">
      <c r="D62" s="26" t="s">
        <v>110</v>
      </c>
    </row>
    <row r="63" ht="14.25" customHeight="1">
      <c r="D63" s="26" t="s">
        <v>111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D11:D12"/>
    <mergeCell ref="E11:E12"/>
    <mergeCell ref="A1:F1"/>
    <mergeCell ref="A3:F3"/>
    <mergeCell ref="A4:F4"/>
    <mergeCell ref="A10:A12"/>
    <mergeCell ref="B10:B12"/>
    <mergeCell ref="C10:C12"/>
    <mergeCell ref="D10:F10"/>
    <mergeCell ref="F11:F1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9.86"/>
    <col customWidth="1" min="3" max="3" width="31.14"/>
    <col customWidth="1" min="4" max="18" width="3.57"/>
    <col customWidth="1" min="19" max="19" width="4.71"/>
    <col customWidth="1" min="20" max="21" width="4.57"/>
    <col customWidth="1" min="22" max="22" width="5.14"/>
    <col customWidth="1" min="23" max="23" width="5.29"/>
    <col customWidth="1" min="24" max="24" width="5.14"/>
    <col customWidth="1" min="25" max="25" width="4.86"/>
    <col customWidth="1" min="26" max="26" width="5.43"/>
    <col customWidth="1" min="27" max="27" width="5.14"/>
  </cols>
  <sheetData>
    <row r="1" ht="78.0" customHeight="1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0" customHeight="1"/>
    <row r="3" ht="14.25" customHeight="1">
      <c r="A3" s="3" t="s">
        <v>1</v>
      </c>
    </row>
    <row r="4" ht="14.25" customHeight="1">
      <c r="A4" s="3" t="s">
        <v>2</v>
      </c>
    </row>
    <row r="5" ht="3.75" customHeight="1">
      <c r="B5" s="4"/>
      <c r="D5" s="4"/>
      <c r="E5" s="4"/>
    </row>
    <row r="6" ht="14.25" customHeight="1">
      <c r="A6" s="4" t="s">
        <v>3</v>
      </c>
      <c r="C6" s="5" t="s">
        <v>4</v>
      </c>
      <c r="E6" s="5"/>
    </row>
    <row r="7" ht="14.25" customHeight="1">
      <c r="A7" s="4" t="s">
        <v>5</v>
      </c>
      <c r="C7" s="5" t="s">
        <v>113</v>
      </c>
      <c r="E7" s="5"/>
    </row>
    <row r="8" ht="14.25" customHeight="1">
      <c r="A8" s="4" t="s">
        <v>7</v>
      </c>
      <c r="C8" s="5" t="s">
        <v>8</v>
      </c>
      <c r="E8" s="5"/>
    </row>
    <row r="9" ht="14.25" customHeight="1">
      <c r="E9" s="5"/>
    </row>
    <row r="10" ht="14.25" customHeight="1">
      <c r="A10" s="6" t="s">
        <v>9</v>
      </c>
      <c r="B10" s="6" t="s">
        <v>10</v>
      </c>
      <c r="C10" s="7" t="s">
        <v>11</v>
      </c>
      <c r="D10" s="8" t="s">
        <v>114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ht="36.0" customHeight="1">
      <c r="A11" s="11"/>
      <c r="B11" s="11"/>
      <c r="C11" s="11"/>
      <c r="D11" s="27"/>
      <c r="E11" s="9"/>
      <c r="F11" s="9"/>
      <c r="G11" s="9"/>
      <c r="H11" s="10"/>
      <c r="I11" s="27"/>
      <c r="J11" s="9"/>
      <c r="K11" s="9"/>
      <c r="L11" s="9"/>
      <c r="M11" s="10"/>
      <c r="N11" s="27"/>
      <c r="O11" s="9"/>
      <c r="P11" s="9"/>
      <c r="Q11" s="9"/>
      <c r="R11" s="10"/>
      <c r="S11" s="28" t="s">
        <v>115</v>
      </c>
      <c r="T11" s="9"/>
      <c r="U11" s="10"/>
      <c r="V11" s="29" t="s">
        <v>116</v>
      </c>
      <c r="W11" s="30" t="s">
        <v>117</v>
      </c>
      <c r="X11" s="31" t="s">
        <v>118</v>
      </c>
      <c r="Y11" s="32" t="s">
        <v>119</v>
      </c>
      <c r="Z11" s="13" t="s">
        <v>13</v>
      </c>
      <c r="AA11" s="14" t="s">
        <v>14</v>
      </c>
    </row>
    <row r="12" ht="15.75" customHeight="1">
      <c r="A12" s="15"/>
      <c r="B12" s="15"/>
      <c r="C12" s="15"/>
      <c r="D12" s="33">
        <v>1.0</v>
      </c>
      <c r="E12" s="34">
        <v>2.0</v>
      </c>
      <c r="F12" s="34">
        <v>3.0</v>
      </c>
      <c r="G12" s="35">
        <v>4.0</v>
      </c>
      <c r="H12" s="35">
        <v>5.0</v>
      </c>
      <c r="I12" s="35">
        <v>1.0</v>
      </c>
      <c r="J12" s="35">
        <v>2.0</v>
      </c>
      <c r="K12" s="35">
        <v>3.0</v>
      </c>
      <c r="L12" s="35">
        <v>4.0</v>
      </c>
      <c r="M12" s="35">
        <v>5.0</v>
      </c>
      <c r="N12" s="35">
        <v>1.0</v>
      </c>
      <c r="O12" s="35">
        <v>2.0</v>
      </c>
      <c r="P12" s="35">
        <v>3.0</v>
      </c>
      <c r="Q12" s="35">
        <v>4.0</v>
      </c>
      <c r="R12" s="35">
        <v>5.0</v>
      </c>
      <c r="S12" s="36" t="s">
        <v>120</v>
      </c>
      <c r="T12" s="37" t="s">
        <v>121</v>
      </c>
      <c r="U12" s="38" t="s">
        <v>122</v>
      </c>
      <c r="V12" s="15"/>
      <c r="W12" s="39"/>
      <c r="X12" s="16"/>
      <c r="Y12" s="16"/>
      <c r="Z12" s="16"/>
      <c r="AA12" s="17"/>
    </row>
    <row r="13" ht="14.25" customHeight="1">
      <c r="A13" s="18">
        <v>1.0</v>
      </c>
      <c r="B13" s="19" t="s">
        <v>123</v>
      </c>
      <c r="C13" s="20" t="s">
        <v>124</v>
      </c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2" t="str">
        <f t="shared" ref="S13:S59" si="1">AVERAGE(D13:H13)</f>
        <v>#DIV/0!</v>
      </c>
      <c r="T13" s="43" t="str">
        <f t="shared" ref="T13:T59" si="2">AVERAGE(I13:M13)</f>
        <v>#DIV/0!</v>
      </c>
      <c r="U13" s="44" t="str">
        <f t="shared" ref="U13:U59" si="3">AVERAGE(N13:R13)</f>
        <v>#DIV/0!</v>
      </c>
      <c r="V13" s="45"/>
      <c r="W13" s="45" t="str">
        <f t="shared" ref="W13:W59" si="4">AVERAGE(S13:U13)</f>
        <v>#DIV/0!</v>
      </c>
      <c r="X13" s="46" t="str">
        <f t="shared" ref="X13:X59" si="5">ROUND(AVERAGE(V13:W13),0)</f>
        <v>#DIV/0!</v>
      </c>
      <c r="Y13" s="47"/>
      <c r="Z13" s="22">
        <v>1.0</v>
      </c>
      <c r="AA13" s="23" t="str">
        <f t="shared" ref="AA13:AA59" si="6">ROUND(IF((X13*(IF(Y13="A",105%,IF(Y13="B",102%,IF(Y13="C",75%,50%))))*Z13)&gt;100,100,(X13*(IF(Y13="A",105%,IF(Y13="B",102%,IF(Y13="C",75%,50%))))*Z13)),0)</f>
        <v>#DIV/0!</v>
      </c>
    </row>
    <row r="14" ht="14.25" customHeight="1">
      <c r="A14" s="18">
        <v>2.0</v>
      </c>
      <c r="B14" s="19" t="s">
        <v>125</v>
      </c>
      <c r="C14" s="20" t="s">
        <v>126</v>
      </c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 t="str">
        <f t="shared" si="1"/>
        <v>#DIV/0!</v>
      </c>
      <c r="T14" s="43" t="str">
        <f t="shared" si="2"/>
        <v>#DIV/0!</v>
      </c>
      <c r="U14" s="44" t="str">
        <f t="shared" si="3"/>
        <v>#DIV/0!</v>
      </c>
      <c r="V14" s="45"/>
      <c r="W14" s="45" t="str">
        <f t="shared" si="4"/>
        <v>#DIV/0!</v>
      </c>
      <c r="X14" s="46" t="str">
        <f t="shared" si="5"/>
        <v>#DIV/0!</v>
      </c>
      <c r="Y14" s="47"/>
      <c r="Z14" s="22">
        <v>1.0</v>
      </c>
      <c r="AA14" s="23" t="str">
        <f t="shared" si="6"/>
        <v>#DIV/0!</v>
      </c>
    </row>
    <row r="15" ht="14.25" customHeight="1">
      <c r="A15" s="18">
        <v>3.0</v>
      </c>
      <c r="B15" s="19" t="s">
        <v>127</v>
      </c>
      <c r="C15" s="20" t="s">
        <v>128</v>
      </c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2" t="str">
        <f t="shared" si="1"/>
        <v>#DIV/0!</v>
      </c>
      <c r="T15" s="43" t="str">
        <f t="shared" si="2"/>
        <v>#DIV/0!</v>
      </c>
      <c r="U15" s="44" t="str">
        <f t="shared" si="3"/>
        <v>#DIV/0!</v>
      </c>
      <c r="V15" s="45"/>
      <c r="W15" s="45" t="str">
        <f t="shared" si="4"/>
        <v>#DIV/0!</v>
      </c>
      <c r="X15" s="46" t="str">
        <f t="shared" si="5"/>
        <v>#DIV/0!</v>
      </c>
      <c r="Y15" s="47"/>
      <c r="Z15" s="22">
        <v>1.0</v>
      </c>
      <c r="AA15" s="23" t="str">
        <f t="shared" si="6"/>
        <v>#DIV/0!</v>
      </c>
    </row>
    <row r="16" ht="14.25" customHeight="1">
      <c r="A16" s="18">
        <v>4.0</v>
      </c>
      <c r="B16" s="19" t="s">
        <v>129</v>
      </c>
      <c r="C16" s="20" t="s">
        <v>130</v>
      </c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 t="str">
        <f t="shared" si="1"/>
        <v>#DIV/0!</v>
      </c>
      <c r="T16" s="43" t="str">
        <f t="shared" si="2"/>
        <v>#DIV/0!</v>
      </c>
      <c r="U16" s="44" t="str">
        <f t="shared" si="3"/>
        <v>#DIV/0!</v>
      </c>
      <c r="V16" s="45"/>
      <c r="W16" s="45" t="str">
        <f t="shared" si="4"/>
        <v>#DIV/0!</v>
      </c>
      <c r="X16" s="46" t="str">
        <f t="shared" si="5"/>
        <v>#DIV/0!</v>
      </c>
      <c r="Y16" s="47"/>
      <c r="Z16" s="22">
        <v>1.0</v>
      </c>
      <c r="AA16" s="23" t="str">
        <f t="shared" si="6"/>
        <v>#DIV/0!</v>
      </c>
    </row>
    <row r="17" ht="14.25" customHeight="1">
      <c r="A17" s="18">
        <v>5.0</v>
      </c>
      <c r="B17" s="19" t="s">
        <v>131</v>
      </c>
      <c r="C17" s="20" t="s">
        <v>132</v>
      </c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 t="str">
        <f t="shared" si="1"/>
        <v>#DIV/0!</v>
      </c>
      <c r="T17" s="43" t="str">
        <f t="shared" si="2"/>
        <v>#DIV/0!</v>
      </c>
      <c r="U17" s="44" t="str">
        <f t="shared" si="3"/>
        <v>#DIV/0!</v>
      </c>
      <c r="V17" s="45"/>
      <c r="W17" s="45" t="str">
        <f t="shared" si="4"/>
        <v>#DIV/0!</v>
      </c>
      <c r="X17" s="46" t="str">
        <f t="shared" si="5"/>
        <v>#DIV/0!</v>
      </c>
      <c r="Y17" s="47"/>
      <c r="Z17" s="22">
        <v>1.0</v>
      </c>
      <c r="AA17" s="23" t="str">
        <f t="shared" si="6"/>
        <v>#DIV/0!</v>
      </c>
    </row>
    <row r="18" ht="14.25" customHeight="1">
      <c r="A18" s="18">
        <v>6.0</v>
      </c>
      <c r="B18" s="19" t="s">
        <v>133</v>
      </c>
      <c r="C18" s="20" t="s">
        <v>134</v>
      </c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2" t="str">
        <f t="shared" si="1"/>
        <v>#DIV/0!</v>
      </c>
      <c r="T18" s="43" t="str">
        <f t="shared" si="2"/>
        <v>#DIV/0!</v>
      </c>
      <c r="U18" s="44" t="str">
        <f t="shared" si="3"/>
        <v>#DIV/0!</v>
      </c>
      <c r="V18" s="45"/>
      <c r="W18" s="45" t="str">
        <f t="shared" si="4"/>
        <v>#DIV/0!</v>
      </c>
      <c r="X18" s="46" t="str">
        <f t="shared" si="5"/>
        <v>#DIV/0!</v>
      </c>
      <c r="Y18" s="47"/>
      <c r="Z18" s="22">
        <v>1.0</v>
      </c>
      <c r="AA18" s="23" t="str">
        <f t="shared" si="6"/>
        <v>#DIV/0!</v>
      </c>
    </row>
    <row r="19" ht="14.25" customHeight="1">
      <c r="A19" s="18">
        <v>7.0</v>
      </c>
      <c r="B19" s="19" t="s">
        <v>135</v>
      </c>
      <c r="C19" s="20" t="s">
        <v>136</v>
      </c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2" t="str">
        <f t="shared" si="1"/>
        <v>#DIV/0!</v>
      </c>
      <c r="T19" s="43" t="str">
        <f t="shared" si="2"/>
        <v>#DIV/0!</v>
      </c>
      <c r="U19" s="44" t="str">
        <f t="shared" si="3"/>
        <v>#DIV/0!</v>
      </c>
      <c r="V19" s="45"/>
      <c r="W19" s="45" t="str">
        <f t="shared" si="4"/>
        <v>#DIV/0!</v>
      </c>
      <c r="X19" s="46" t="str">
        <f t="shared" si="5"/>
        <v>#DIV/0!</v>
      </c>
      <c r="Y19" s="47"/>
      <c r="Z19" s="22">
        <v>1.0</v>
      </c>
      <c r="AA19" s="23" t="str">
        <f t="shared" si="6"/>
        <v>#DIV/0!</v>
      </c>
    </row>
    <row r="20" ht="14.25" customHeight="1">
      <c r="A20" s="18">
        <v>8.0</v>
      </c>
      <c r="B20" s="19" t="s">
        <v>137</v>
      </c>
      <c r="C20" s="20" t="s">
        <v>138</v>
      </c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2" t="str">
        <f t="shared" si="1"/>
        <v>#DIV/0!</v>
      </c>
      <c r="T20" s="43" t="str">
        <f t="shared" si="2"/>
        <v>#DIV/0!</v>
      </c>
      <c r="U20" s="44" t="str">
        <f t="shared" si="3"/>
        <v>#DIV/0!</v>
      </c>
      <c r="V20" s="45"/>
      <c r="W20" s="45" t="str">
        <f t="shared" si="4"/>
        <v>#DIV/0!</v>
      </c>
      <c r="X20" s="46" t="str">
        <f t="shared" si="5"/>
        <v>#DIV/0!</v>
      </c>
      <c r="Y20" s="47"/>
      <c r="Z20" s="22">
        <v>1.0</v>
      </c>
      <c r="AA20" s="23" t="str">
        <f t="shared" si="6"/>
        <v>#DIV/0!</v>
      </c>
    </row>
    <row r="21" ht="14.25" customHeight="1">
      <c r="A21" s="18">
        <v>9.0</v>
      </c>
      <c r="B21" s="19" t="s">
        <v>139</v>
      </c>
      <c r="C21" s="20" t="s">
        <v>140</v>
      </c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2" t="str">
        <f t="shared" si="1"/>
        <v>#DIV/0!</v>
      </c>
      <c r="T21" s="43" t="str">
        <f t="shared" si="2"/>
        <v>#DIV/0!</v>
      </c>
      <c r="U21" s="44" t="str">
        <f t="shared" si="3"/>
        <v>#DIV/0!</v>
      </c>
      <c r="V21" s="45"/>
      <c r="W21" s="45" t="str">
        <f t="shared" si="4"/>
        <v>#DIV/0!</v>
      </c>
      <c r="X21" s="46" t="str">
        <f t="shared" si="5"/>
        <v>#DIV/0!</v>
      </c>
      <c r="Y21" s="47"/>
      <c r="Z21" s="22">
        <v>1.0</v>
      </c>
      <c r="AA21" s="23" t="str">
        <f t="shared" si="6"/>
        <v>#DIV/0!</v>
      </c>
    </row>
    <row r="22" ht="14.25" customHeight="1">
      <c r="A22" s="18">
        <v>10.0</v>
      </c>
      <c r="B22" s="19" t="s">
        <v>141</v>
      </c>
      <c r="C22" s="20" t="s">
        <v>142</v>
      </c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2" t="str">
        <f t="shared" si="1"/>
        <v>#DIV/0!</v>
      </c>
      <c r="T22" s="43" t="str">
        <f t="shared" si="2"/>
        <v>#DIV/0!</v>
      </c>
      <c r="U22" s="44" t="str">
        <f t="shared" si="3"/>
        <v>#DIV/0!</v>
      </c>
      <c r="V22" s="45"/>
      <c r="W22" s="45" t="str">
        <f t="shared" si="4"/>
        <v>#DIV/0!</v>
      </c>
      <c r="X22" s="46" t="str">
        <f t="shared" si="5"/>
        <v>#DIV/0!</v>
      </c>
      <c r="Y22" s="47"/>
      <c r="Z22" s="22">
        <v>1.0</v>
      </c>
      <c r="AA22" s="23" t="str">
        <f t="shared" si="6"/>
        <v>#DIV/0!</v>
      </c>
    </row>
    <row r="23" ht="14.25" customHeight="1">
      <c r="A23" s="18">
        <v>11.0</v>
      </c>
      <c r="B23" s="19" t="s">
        <v>143</v>
      </c>
      <c r="C23" s="20" t="s">
        <v>144</v>
      </c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 t="str">
        <f t="shared" si="1"/>
        <v>#DIV/0!</v>
      </c>
      <c r="T23" s="43" t="str">
        <f t="shared" si="2"/>
        <v>#DIV/0!</v>
      </c>
      <c r="U23" s="44" t="str">
        <f t="shared" si="3"/>
        <v>#DIV/0!</v>
      </c>
      <c r="V23" s="45"/>
      <c r="W23" s="45" t="str">
        <f t="shared" si="4"/>
        <v>#DIV/0!</v>
      </c>
      <c r="X23" s="46" t="str">
        <f t="shared" si="5"/>
        <v>#DIV/0!</v>
      </c>
      <c r="Y23" s="47"/>
      <c r="Z23" s="22">
        <v>1.0</v>
      </c>
      <c r="AA23" s="23" t="str">
        <f t="shared" si="6"/>
        <v>#DIV/0!</v>
      </c>
    </row>
    <row r="24" ht="14.25" customHeight="1">
      <c r="A24" s="18">
        <v>12.0</v>
      </c>
      <c r="B24" s="19" t="s">
        <v>145</v>
      </c>
      <c r="C24" s="20" t="s">
        <v>146</v>
      </c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 t="str">
        <f t="shared" si="1"/>
        <v>#DIV/0!</v>
      </c>
      <c r="T24" s="43" t="str">
        <f t="shared" si="2"/>
        <v>#DIV/0!</v>
      </c>
      <c r="U24" s="44" t="str">
        <f t="shared" si="3"/>
        <v>#DIV/0!</v>
      </c>
      <c r="V24" s="45"/>
      <c r="W24" s="45" t="str">
        <f t="shared" si="4"/>
        <v>#DIV/0!</v>
      </c>
      <c r="X24" s="46" t="str">
        <f t="shared" si="5"/>
        <v>#DIV/0!</v>
      </c>
      <c r="Y24" s="47"/>
      <c r="Z24" s="22">
        <v>1.0</v>
      </c>
      <c r="AA24" s="23" t="str">
        <f t="shared" si="6"/>
        <v>#DIV/0!</v>
      </c>
    </row>
    <row r="25" ht="14.25" customHeight="1">
      <c r="A25" s="18">
        <v>13.0</v>
      </c>
      <c r="B25" s="19" t="s">
        <v>147</v>
      </c>
      <c r="C25" s="20" t="s">
        <v>148</v>
      </c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 t="str">
        <f t="shared" si="1"/>
        <v>#DIV/0!</v>
      </c>
      <c r="T25" s="43" t="str">
        <f t="shared" si="2"/>
        <v>#DIV/0!</v>
      </c>
      <c r="U25" s="44" t="str">
        <f t="shared" si="3"/>
        <v>#DIV/0!</v>
      </c>
      <c r="V25" s="45"/>
      <c r="W25" s="45" t="str">
        <f t="shared" si="4"/>
        <v>#DIV/0!</v>
      </c>
      <c r="X25" s="46" t="str">
        <f t="shared" si="5"/>
        <v>#DIV/0!</v>
      </c>
      <c r="Y25" s="47"/>
      <c r="Z25" s="22">
        <v>1.0</v>
      </c>
      <c r="AA25" s="23" t="str">
        <f t="shared" si="6"/>
        <v>#DIV/0!</v>
      </c>
    </row>
    <row r="26" ht="14.25" customHeight="1">
      <c r="A26" s="18">
        <v>14.0</v>
      </c>
      <c r="B26" s="19" t="s">
        <v>149</v>
      </c>
      <c r="C26" s="20" t="s">
        <v>150</v>
      </c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 t="str">
        <f t="shared" si="1"/>
        <v>#DIV/0!</v>
      </c>
      <c r="T26" s="43" t="str">
        <f t="shared" si="2"/>
        <v>#DIV/0!</v>
      </c>
      <c r="U26" s="44" t="str">
        <f t="shared" si="3"/>
        <v>#DIV/0!</v>
      </c>
      <c r="V26" s="45"/>
      <c r="W26" s="45" t="str">
        <f t="shared" si="4"/>
        <v>#DIV/0!</v>
      </c>
      <c r="X26" s="46" t="str">
        <f t="shared" si="5"/>
        <v>#DIV/0!</v>
      </c>
      <c r="Y26" s="47"/>
      <c r="Z26" s="22">
        <v>1.0</v>
      </c>
      <c r="AA26" s="23" t="str">
        <f t="shared" si="6"/>
        <v>#DIV/0!</v>
      </c>
    </row>
    <row r="27" ht="14.25" customHeight="1">
      <c r="A27" s="18">
        <v>15.0</v>
      </c>
      <c r="B27" s="19" t="s">
        <v>151</v>
      </c>
      <c r="C27" s="20" t="s">
        <v>152</v>
      </c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 t="str">
        <f t="shared" si="1"/>
        <v>#DIV/0!</v>
      </c>
      <c r="T27" s="43" t="str">
        <f t="shared" si="2"/>
        <v>#DIV/0!</v>
      </c>
      <c r="U27" s="44" t="str">
        <f t="shared" si="3"/>
        <v>#DIV/0!</v>
      </c>
      <c r="V27" s="45"/>
      <c r="W27" s="45" t="str">
        <f t="shared" si="4"/>
        <v>#DIV/0!</v>
      </c>
      <c r="X27" s="46" t="str">
        <f t="shared" si="5"/>
        <v>#DIV/0!</v>
      </c>
      <c r="Y27" s="47"/>
      <c r="Z27" s="22">
        <v>1.0</v>
      </c>
      <c r="AA27" s="23" t="str">
        <f t="shared" si="6"/>
        <v>#DIV/0!</v>
      </c>
    </row>
    <row r="28" ht="14.25" customHeight="1">
      <c r="A28" s="18">
        <v>16.0</v>
      </c>
      <c r="B28" s="19" t="s">
        <v>153</v>
      </c>
      <c r="C28" s="20" t="s">
        <v>154</v>
      </c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2" t="str">
        <f t="shared" si="1"/>
        <v>#DIV/0!</v>
      </c>
      <c r="T28" s="43" t="str">
        <f t="shared" si="2"/>
        <v>#DIV/0!</v>
      </c>
      <c r="U28" s="44" t="str">
        <f t="shared" si="3"/>
        <v>#DIV/0!</v>
      </c>
      <c r="V28" s="45"/>
      <c r="W28" s="45" t="str">
        <f t="shared" si="4"/>
        <v>#DIV/0!</v>
      </c>
      <c r="X28" s="46" t="str">
        <f t="shared" si="5"/>
        <v>#DIV/0!</v>
      </c>
      <c r="Y28" s="47"/>
      <c r="Z28" s="22">
        <v>1.0</v>
      </c>
      <c r="AA28" s="23" t="str">
        <f t="shared" si="6"/>
        <v>#DIV/0!</v>
      </c>
    </row>
    <row r="29" ht="14.25" customHeight="1">
      <c r="A29" s="18">
        <v>17.0</v>
      </c>
      <c r="B29" s="19" t="s">
        <v>155</v>
      </c>
      <c r="C29" s="20" t="s">
        <v>156</v>
      </c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2" t="str">
        <f t="shared" si="1"/>
        <v>#DIV/0!</v>
      </c>
      <c r="T29" s="43" t="str">
        <f t="shared" si="2"/>
        <v>#DIV/0!</v>
      </c>
      <c r="U29" s="44" t="str">
        <f t="shared" si="3"/>
        <v>#DIV/0!</v>
      </c>
      <c r="V29" s="45"/>
      <c r="W29" s="45" t="str">
        <f t="shared" si="4"/>
        <v>#DIV/0!</v>
      </c>
      <c r="X29" s="46" t="str">
        <f t="shared" si="5"/>
        <v>#DIV/0!</v>
      </c>
      <c r="Y29" s="47"/>
      <c r="Z29" s="22">
        <v>1.0</v>
      </c>
      <c r="AA29" s="23" t="str">
        <f t="shared" si="6"/>
        <v>#DIV/0!</v>
      </c>
    </row>
    <row r="30" ht="14.25" customHeight="1">
      <c r="A30" s="18">
        <v>18.0</v>
      </c>
      <c r="B30" s="19" t="s">
        <v>157</v>
      </c>
      <c r="C30" s="20" t="s">
        <v>158</v>
      </c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2" t="str">
        <f t="shared" si="1"/>
        <v>#DIV/0!</v>
      </c>
      <c r="T30" s="43" t="str">
        <f t="shared" si="2"/>
        <v>#DIV/0!</v>
      </c>
      <c r="U30" s="44" t="str">
        <f t="shared" si="3"/>
        <v>#DIV/0!</v>
      </c>
      <c r="V30" s="45"/>
      <c r="W30" s="45" t="str">
        <f t="shared" si="4"/>
        <v>#DIV/0!</v>
      </c>
      <c r="X30" s="46" t="str">
        <f t="shared" si="5"/>
        <v>#DIV/0!</v>
      </c>
      <c r="Y30" s="47"/>
      <c r="Z30" s="22">
        <v>1.0</v>
      </c>
      <c r="AA30" s="23" t="str">
        <f t="shared" si="6"/>
        <v>#DIV/0!</v>
      </c>
    </row>
    <row r="31" ht="14.25" customHeight="1">
      <c r="A31" s="18">
        <v>19.0</v>
      </c>
      <c r="B31" s="19" t="s">
        <v>159</v>
      </c>
      <c r="C31" s="20" t="s">
        <v>160</v>
      </c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2" t="str">
        <f t="shared" si="1"/>
        <v>#DIV/0!</v>
      </c>
      <c r="T31" s="43" t="str">
        <f t="shared" si="2"/>
        <v>#DIV/0!</v>
      </c>
      <c r="U31" s="44" t="str">
        <f t="shared" si="3"/>
        <v>#DIV/0!</v>
      </c>
      <c r="V31" s="45"/>
      <c r="W31" s="45" t="str">
        <f t="shared" si="4"/>
        <v>#DIV/0!</v>
      </c>
      <c r="X31" s="46" t="str">
        <f t="shared" si="5"/>
        <v>#DIV/0!</v>
      </c>
      <c r="Y31" s="47"/>
      <c r="Z31" s="22">
        <v>1.0</v>
      </c>
      <c r="AA31" s="23" t="str">
        <f t="shared" si="6"/>
        <v>#DIV/0!</v>
      </c>
    </row>
    <row r="32" ht="14.25" customHeight="1">
      <c r="A32" s="18">
        <v>20.0</v>
      </c>
      <c r="B32" s="19" t="s">
        <v>161</v>
      </c>
      <c r="C32" s="20" t="s">
        <v>162</v>
      </c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2" t="str">
        <f t="shared" si="1"/>
        <v>#DIV/0!</v>
      </c>
      <c r="T32" s="43" t="str">
        <f t="shared" si="2"/>
        <v>#DIV/0!</v>
      </c>
      <c r="U32" s="44" t="str">
        <f t="shared" si="3"/>
        <v>#DIV/0!</v>
      </c>
      <c r="V32" s="45"/>
      <c r="W32" s="45" t="str">
        <f t="shared" si="4"/>
        <v>#DIV/0!</v>
      </c>
      <c r="X32" s="46" t="str">
        <f t="shared" si="5"/>
        <v>#DIV/0!</v>
      </c>
      <c r="Y32" s="47"/>
      <c r="Z32" s="22">
        <v>1.0</v>
      </c>
      <c r="AA32" s="23" t="str">
        <f t="shared" si="6"/>
        <v>#DIV/0!</v>
      </c>
    </row>
    <row r="33" ht="14.25" customHeight="1">
      <c r="A33" s="18">
        <v>21.0</v>
      </c>
      <c r="B33" s="19" t="s">
        <v>163</v>
      </c>
      <c r="C33" s="20" t="s">
        <v>164</v>
      </c>
      <c r="D33" s="40"/>
      <c r="E33" s="41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2" t="str">
        <f t="shared" si="1"/>
        <v>#DIV/0!</v>
      </c>
      <c r="T33" s="43" t="str">
        <f t="shared" si="2"/>
        <v>#DIV/0!</v>
      </c>
      <c r="U33" s="44" t="str">
        <f t="shared" si="3"/>
        <v>#DIV/0!</v>
      </c>
      <c r="V33" s="45"/>
      <c r="W33" s="45" t="str">
        <f t="shared" si="4"/>
        <v>#DIV/0!</v>
      </c>
      <c r="X33" s="46" t="str">
        <f t="shared" si="5"/>
        <v>#DIV/0!</v>
      </c>
      <c r="Y33" s="47"/>
      <c r="Z33" s="22">
        <v>1.0</v>
      </c>
      <c r="AA33" s="23" t="str">
        <f t="shared" si="6"/>
        <v>#DIV/0!</v>
      </c>
    </row>
    <row r="34" ht="14.25" customHeight="1">
      <c r="A34" s="18">
        <v>22.0</v>
      </c>
      <c r="B34" s="19" t="s">
        <v>165</v>
      </c>
      <c r="C34" s="20" t="s">
        <v>166</v>
      </c>
      <c r="D34" s="40"/>
      <c r="E34" s="41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2" t="str">
        <f t="shared" si="1"/>
        <v>#DIV/0!</v>
      </c>
      <c r="T34" s="43" t="str">
        <f t="shared" si="2"/>
        <v>#DIV/0!</v>
      </c>
      <c r="U34" s="44" t="str">
        <f t="shared" si="3"/>
        <v>#DIV/0!</v>
      </c>
      <c r="V34" s="45"/>
      <c r="W34" s="45" t="str">
        <f t="shared" si="4"/>
        <v>#DIV/0!</v>
      </c>
      <c r="X34" s="46" t="str">
        <f t="shared" si="5"/>
        <v>#DIV/0!</v>
      </c>
      <c r="Y34" s="47"/>
      <c r="Z34" s="22">
        <v>1.0</v>
      </c>
      <c r="AA34" s="23" t="str">
        <f t="shared" si="6"/>
        <v>#DIV/0!</v>
      </c>
    </row>
    <row r="35" ht="14.25" customHeight="1">
      <c r="A35" s="18">
        <v>23.0</v>
      </c>
      <c r="B35" s="19" t="s">
        <v>167</v>
      </c>
      <c r="C35" s="20" t="s">
        <v>168</v>
      </c>
      <c r="D35" s="40"/>
      <c r="E35" s="41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2" t="str">
        <f t="shared" si="1"/>
        <v>#DIV/0!</v>
      </c>
      <c r="T35" s="43" t="str">
        <f t="shared" si="2"/>
        <v>#DIV/0!</v>
      </c>
      <c r="U35" s="44" t="str">
        <f t="shared" si="3"/>
        <v>#DIV/0!</v>
      </c>
      <c r="V35" s="45"/>
      <c r="W35" s="45" t="str">
        <f t="shared" si="4"/>
        <v>#DIV/0!</v>
      </c>
      <c r="X35" s="46" t="str">
        <f t="shared" si="5"/>
        <v>#DIV/0!</v>
      </c>
      <c r="Y35" s="47"/>
      <c r="Z35" s="22">
        <v>1.0</v>
      </c>
      <c r="AA35" s="23" t="str">
        <f t="shared" si="6"/>
        <v>#DIV/0!</v>
      </c>
    </row>
    <row r="36" ht="14.25" customHeight="1">
      <c r="A36" s="18">
        <v>24.0</v>
      </c>
      <c r="B36" s="19" t="s">
        <v>169</v>
      </c>
      <c r="C36" s="20" t="s">
        <v>170</v>
      </c>
      <c r="D36" s="40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2" t="str">
        <f t="shared" si="1"/>
        <v>#DIV/0!</v>
      </c>
      <c r="T36" s="43" t="str">
        <f t="shared" si="2"/>
        <v>#DIV/0!</v>
      </c>
      <c r="U36" s="44" t="str">
        <f t="shared" si="3"/>
        <v>#DIV/0!</v>
      </c>
      <c r="V36" s="45"/>
      <c r="W36" s="45" t="str">
        <f t="shared" si="4"/>
        <v>#DIV/0!</v>
      </c>
      <c r="X36" s="46" t="str">
        <f t="shared" si="5"/>
        <v>#DIV/0!</v>
      </c>
      <c r="Y36" s="47"/>
      <c r="Z36" s="22">
        <v>1.0</v>
      </c>
      <c r="AA36" s="23" t="str">
        <f t="shared" si="6"/>
        <v>#DIV/0!</v>
      </c>
    </row>
    <row r="37" ht="14.25" customHeight="1">
      <c r="A37" s="18">
        <v>25.0</v>
      </c>
      <c r="B37" s="19" t="s">
        <v>171</v>
      </c>
      <c r="C37" s="20" t="s">
        <v>172</v>
      </c>
      <c r="D37" s="40"/>
      <c r="E37" s="41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2" t="str">
        <f t="shared" si="1"/>
        <v>#DIV/0!</v>
      </c>
      <c r="T37" s="43" t="str">
        <f t="shared" si="2"/>
        <v>#DIV/0!</v>
      </c>
      <c r="U37" s="44" t="str">
        <f t="shared" si="3"/>
        <v>#DIV/0!</v>
      </c>
      <c r="V37" s="45"/>
      <c r="W37" s="45" t="str">
        <f t="shared" si="4"/>
        <v>#DIV/0!</v>
      </c>
      <c r="X37" s="46" t="str">
        <f t="shared" si="5"/>
        <v>#DIV/0!</v>
      </c>
      <c r="Y37" s="47"/>
      <c r="Z37" s="22">
        <v>1.0</v>
      </c>
      <c r="AA37" s="23" t="str">
        <f t="shared" si="6"/>
        <v>#DIV/0!</v>
      </c>
    </row>
    <row r="38" ht="14.25" customHeight="1">
      <c r="A38" s="18">
        <v>26.0</v>
      </c>
      <c r="B38" s="19" t="s">
        <v>173</v>
      </c>
      <c r="C38" s="20" t="s">
        <v>174</v>
      </c>
      <c r="D38" s="40"/>
      <c r="E38" s="41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2" t="str">
        <f t="shared" si="1"/>
        <v>#DIV/0!</v>
      </c>
      <c r="T38" s="43" t="str">
        <f t="shared" si="2"/>
        <v>#DIV/0!</v>
      </c>
      <c r="U38" s="44" t="str">
        <f t="shared" si="3"/>
        <v>#DIV/0!</v>
      </c>
      <c r="V38" s="45"/>
      <c r="W38" s="45" t="str">
        <f t="shared" si="4"/>
        <v>#DIV/0!</v>
      </c>
      <c r="X38" s="46" t="str">
        <f t="shared" si="5"/>
        <v>#DIV/0!</v>
      </c>
      <c r="Y38" s="47"/>
      <c r="Z38" s="22">
        <v>1.0</v>
      </c>
      <c r="AA38" s="23" t="str">
        <f t="shared" si="6"/>
        <v>#DIV/0!</v>
      </c>
    </row>
    <row r="39" ht="14.25" customHeight="1">
      <c r="A39" s="18">
        <v>27.0</v>
      </c>
      <c r="B39" s="19" t="s">
        <v>175</v>
      </c>
      <c r="C39" s="20" t="s">
        <v>176</v>
      </c>
      <c r="D39" s="40"/>
      <c r="E39" s="41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2" t="str">
        <f t="shared" si="1"/>
        <v>#DIV/0!</v>
      </c>
      <c r="T39" s="43" t="str">
        <f t="shared" si="2"/>
        <v>#DIV/0!</v>
      </c>
      <c r="U39" s="44" t="str">
        <f t="shared" si="3"/>
        <v>#DIV/0!</v>
      </c>
      <c r="V39" s="45"/>
      <c r="W39" s="45" t="str">
        <f t="shared" si="4"/>
        <v>#DIV/0!</v>
      </c>
      <c r="X39" s="46" t="str">
        <f t="shared" si="5"/>
        <v>#DIV/0!</v>
      </c>
      <c r="Y39" s="47"/>
      <c r="Z39" s="22">
        <v>1.0</v>
      </c>
      <c r="AA39" s="23" t="str">
        <f t="shared" si="6"/>
        <v>#DIV/0!</v>
      </c>
    </row>
    <row r="40" ht="14.25" customHeight="1">
      <c r="A40" s="18">
        <v>28.0</v>
      </c>
      <c r="B40" s="19" t="s">
        <v>177</v>
      </c>
      <c r="C40" s="20" t="s">
        <v>178</v>
      </c>
      <c r="D40" s="40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2" t="str">
        <f t="shared" si="1"/>
        <v>#DIV/0!</v>
      </c>
      <c r="T40" s="43" t="str">
        <f t="shared" si="2"/>
        <v>#DIV/0!</v>
      </c>
      <c r="U40" s="44" t="str">
        <f t="shared" si="3"/>
        <v>#DIV/0!</v>
      </c>
      <c r="V40" s="45"/>
      <c r="W40" s="45" t="str">
        <f t="shared" si="4"/>
        <v>#DIV/0!</v>
      </c>
      <c r="X40" s="46" t="str">
        <f t="shared" si="5"/>
        <v>#DIV/0!</v>
      </c>
      <c r="Y40" s="47"/>
      <c r="Z40" s="22">
        <v>1.0</v>
      </c>
      <c r="AA40" s="23" t="str">
        <f t="shared" si="6"/>
        <v>#DIV/0!</v>
      </c>
    </row>
    <row r="41" ht="14.25" customHeight="1">
      <c r="A41" s="18">
        <v>29.0</v>
      </c>
      <c r="B41" s="19" t="s">
        <v>179</v>
      </c>
      <c r="C41" s="20" t="s">
        <v>180</v>
      </c>
      <c r="D41" s="40"/>
      <c r="E41" s="4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2" t="str">
        <f t="shared" si="1"/>
        <v>#DIV/0!</v>
      </c>
      <c r="T41" s="43" t="str">
        <f t="shared" si="2"/>
        <v>#DIV/0!</v>
      </c>
      <c r="U41" s="44" t="str">
        <f t="shared" si="3"/>
        <v>#DIV/0!</v>
      </c>
      <c r="V41" s="45"/>
      <c r="W41" s="45" t="str">
        <f t="shared" si="4"/>
        <v>#DIV/0!</v>
      </c>
      <c r="X41" s="46" t="str">
        <f t="shared" si="5"/>
        <v>#DIV/0!</v>
      </c>
      <c r="Y41" s="47"/>
      <c r="Z41" s="22">
        <v>1.0</v>
      </c>
      <c r="AA41" s="23" t="str">
        <f t="shared" si="6"/>
        <v>#DIV/0!</v>
      </c>
    </row>
    <row r="42" ht="14.25" customHeight="1">
      <c r="A42" s="18">
        <v>30.0</v>
      </c>
      <c r="B42" s="19" t="s">
        <v>181</v>
      </c>
      <c r="C42" s="20" t="s">
        <v>182</v>
      </c>
      <c r="D42" s="40"/>
      <c r="E42" s="41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2" t="str">
        <f t="shared" si="1"/>
        <v>#DIV/0!</v>
      </c>
      <c r="T42" s="43" t="str">
        <f t="shared" si="2"/>
        <v>#DIV/0!</v>
      </c>
      <c r="U42" s="44" t="str">
        <f t="shared" si="3"/>
        <v>#DIV/0!</v>
      </c>
      <c r="V42" s="45"/>
      <c r="W42" s="45" t="str">
        <f t="shared" si="4"/>
        <v>#DIV/0!</v>
      </c>
      <c r="X42" s="46" t="str">
        <f t="shared" si="5"/>
        <v>#DIV/0!</v>
      </c>
      <c r="Y42" s="47"/>
      <c r="Z42" s="22">
        <v>1.0</v>
      </c>
      <c r="AA42" s="23" t="str">
        <f t="shared" si="6"/>
        <v>#DIV/0!</v>
      </c>
    </row>
    <row r="43" ht="14.25" customHeight="1">
      <c r="A43" s="18">
        <v>31.0</v>
      </c>
      <c r="B43" s="19" t="s">
        <v>183</v>
      </c>
      <c r="C43" s="20" t="s">
        <v>184</v>
      </c>
      <c r="D43" s="40"/>
      <c r="E43" s="41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2" t="str">
        <f t="shared" si="1"/>
        <v>#DIV/0!</v>
      </c>
      <c r="T43" s="43" t="str">
        <f t="shared" si="2"/>
        <v>#DIV/0!</v>
      </c>
      <c r="U43" s="44" t="str">
        <f t="shared" si="3"/>
        <v>#DIV/0!</v>
      </c>
      <c r="V43" s="45"/>
      <c r="W43" s="45" t="str">
        <f t="shared" si="4"/>
        <v>#DIV/0!</v>
      </c>
      <c r="X43" s="46" t="str">
        <f t="shared" si="5"/>
        <v>#DIV/0!</v>
      </c>
      <c r="Y43" s="47"/>
      <c r="Z43" s="22">
        <v>1.0</v>
      </c>
      <c r="AA43" s="23" t="str">
        <f t="shared" si="6"/>
        <v>#DIV/0!</v>
      </c>
    </row>
    <row r="44" ht="14.25" customHeight="1">
      <c r="A44" s="18">
        <v>32.0</v>
      </c>
      <c r="B44" s="19" t="s">
        <v>185</v>
      </c>
      <c r="C44" s="20" t="s">
        <v>186</v>
      </c>
      <c r="D44" s="40"/>
      <c r="E44" s="41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2" t="str">
        <f t="shared" si="1"/>
        <v>#DIV/0!</v>
      </c>
      <c r="T44" s="43" t="str">
        <f t="shared" si="2"/>
        <v>#DIV/0!</v>
      </c>
      <c r="U44" s="44" t="str">
        <f t="shared" si="3"/>
        <v>#DIV/0!</v>
      </c>
      <c r="V44" s="45"/>
      <c r="W44" s="45" t="str">
        <f t="shared" si="4"/>
        <v>#DIV/0!</v>
      </c>
      <c r="X44" s="46" t="str">
        <f t="shared" si="5"/>
        <v>#DIV/0!</v>
      </c>
      <c r="Y44" s="47"/>
      <c r="Z44" s="22">
        <v>1.0</v>
      </c>
      <c r="AA44" s="23" t="str">
        <f t="shared" si="6"/>
        <v>#DIV/0!</v>
      </c>
    </row>
    <row r="45" ht="14.25" customHeight="1">
      <c r="A45" s="18">
        <v>33.0</v>
      </c>
      <c r="B45" s="19" t="s">
        <v>187</v>
      </c>
      <c r="C45" s="20" t="s">
        <v>188</v>
      </c>
      <c r="D45" s="40"/>
      <c r="E45" s="41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2" t="str">
        <f t="shared" si="1"/>
        <v>#DIV/0!</v>
      </c>
      <c r="T45" s="43" t="str">
        <f t="shared" si="2"/>
        <v>#DIV/0!</v>
      </c>
      <c r="U45" s="44" t="str">
        <f t="shared" si="3"/>
        <v>#DIV/0!</v>
      </c>
      <c r="V45" s="45"/>
      <c r="W45" s="45" t="str">
        <f t="shared" si="4"/>
        <v>#DIV/0!</v>
      </c>
      <c r="X45" s="46" t="str">
        <f t="shared" si="5"/>
        <v>#DIV/0!</v>
      </c>
      <c r="Y45" s="47"/>
      <c r="Z45" s="22">
        <v>1.0</v>
      </c>
      <c r="AA45" s="23" t="str">
        <f t="shared" si="6"/>
        <v>#DIV/0!</v>
      </c>
    </row>
    <row r="46" ht="14.25" customHeight="1">
      <c r="A46" s="24">
        <v>34.0</v>
      </c>
      <c r="B46" s="19" t="s">
        <v>189</v>
      </c>
      <c r="C46" s="20" t="s">
        <v>190</v>
      </c>
      <c r="D46" s="48"/>
      <c r="E46" s="41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 t="str">
        <f t="shared" si="1"/>
        <v>#DIV/0!</v>
      </c>
      <c r="T46" s="50" t="str">
        <f t="shared" si="2"/>
        <v>#DIV/0!</v>
      </c>
      <c r="U46" s="51" t="str">
        <f t="shared" si="3"/>
        <v>#DIV/0!</v>
      </c>
      <c r="V46" s="52"/>
      <c r="W46" s="52" t="str">
        <f t="shared" si="4"/>
        <v>#DIV/0!</v>
      </c>
      <c r="X46" s="53" t="str">
        <f t="shared" si="5"/>
        <v>#DIV/0!</v>
      </c>
      <c r="Y46" s="54"/>
      <c r="Z46" s="55">
        <v>1.0</v>
      </c>
      <c r="AA46" s="56" t="str">
        <f t="shared" si="6"/>
        <v>#DIV/0!</v>
      </c>
    </row>
    <row r="47" ht="14.25" customHeight="1">
      <c r="A47" s="18">
        <v>35.0</v>
      </c>
      <c r="B47" s="19" t="s">
        <v>191</v>
      </c>
      <c r="C47" s="20" t="s">
        <v>192</v>
      </c>
      <c r="D47" s="40"/>
      <c r="E47" s="41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2" t="str">
        <f t="shared" si="1"/>
        <v>#DIV/0!</v>
      </c>
      <c r="T47" s="43" t="str">
        <f t="shared" si="2"/>
        <v>#DIV/0!</v>
      </c>
      <c r="U47" s="44" t="str">
        <f t="shared" si="3"/>
        <v>#DIV/0!</v>
      </c>
      <c r="V47" s="45"/>
      <c r="W47" s="45" t="str">
        <f t="shared" si="4"/>
        <v>#DIV/0!</v>
      </c>
      <c r="X47" s="46" t="str">
        <f t="shared" si="5"/>
        <v>#DIV/0!</v>
      </c>
      <c r="Y47" s="47"/>
      <c r="Z47" s="22">
        <v>1.0</v>
      </c>
      <c r="AA47" s="23" t="str">
        <f t="shared" si="6"/>
        <v>#DIV/0!</v>
      </c>
    </row>
    <row r="48" ht="14.25" customHeight="1">
      <c r="A48" s="18">
        <v>36.0</v>
      </c>
      <c r="B48" s="19" t="s">
        <v>193</v>
      </c>
      <c r="C48" s="20" t="s">
        <v>194</v>
      </c>
      <c r="D48" s="40"/>
      <c r="E48" s="4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2" t="str">
        <f t="shared" si="1"/>
        <v>#DIV/0!</v>
      </c>
      <c r="T48" s="43" t="str">
        <f t="shared" si="2"/>
        <v>#DIV/0!</v>
      </c>
      <c r="U48" s="44" t="str">
        <f t="shared" si="3"/>
        <v>#DIV/0!</v>
      </c>
      <c r="V48" s="45"/>
      <c r="W48" s="45" t="str">
        <f t="shared" si="4"/>
        <v>#DIV/0!</v>
      </c>
      <c r="X48" s="46" t="str">
        <f t="shared" si="5"/>
        <v>#DIV/0!</v>
      </c>
      <c r="Y48" s="47"/>
      <c r="Z48" s="22">
        <v>1.0</v>
      </c>
      <c r="AA48" s="23" t="str">
        <f t="shared" si="6"/>
        <v>#DIV/0!</v>
      </c>
    </row>
    <row r="49" ht="14.25" customHeight="1">
      <c r="A49" s="18">
        <v>37.0</v>
      </c>
      <c r="B49" s="19" t="s">
        <v>195</v>
      </c>
      <c r="C49" s="20" t="s">
        <v>196</v>
      </c>
      <c r="D49" s="57"/>
      <c r="E49" s="41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42" t="str">
        <f t="shared" si="1"/>
        <v>#DIV/0!</v>
      </c>
      <c r="T49" s="43" t="str">
        <f t="shared" si="2"/>
        <v>#DIV/0!</v>
      </c>
      <c r="U49" s="44" t="str">
        <f t="shared" si="3"/>
        <v>#DIV/0!</v>
      </c>
      <c r="V49" s="45"/>
      <c r="W49" s="45" t="str">
        <f t="shared" si="4"/>
        <v>#DIV/0!</v>
      </c>
      <c r="X49" s="46" t="str">
        <f t="shared" si="5"/>
        <v>#DIV/0!</v>
      </c>
      <c r="Y49" s="47"/>
      <c r="Z49" s="22"/>
      <c r="AA49" s="23" t="str">
        <f t="shared" si="6"/>
        <v>#DIV/0!</v>
      </c>
    </row>
    <row r="50" ht="14.25" customHeight="1">
      <c r="A50" s="18">
        <v>38.0</v>
      </c>
      <c r="B50" s="19" t="s">
        <v>197</v>
      </c>
      <c r="C50" s="20" t="s">
        <v>198</v>
      </c>
      <c r="D50" s="57"/>
      <c r="E50" s="41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42" t="str">
        <f t="shared" si="1"/>
        <v>#DIV/0!</v>
      </c>
      <c r="T50" s="43" t="str">
        <f t="shared" si="2"/>
        <v>#DIV/0!</v>
      </c>
      <c r="U50" s="44" t="str">
        <f t="shared" si="3"/>
        <v>#DIV/0!</v>
      </c>
      <c r="V50" s="45"/>
      <c r="W50" s="45" t="str">
        <f t="shared" si="4"/>
        <v>#DIV/0!</v>
      </c>
      <c r="X50" s="46" t="str">
        <f t="shared" si="5"/>
        <v>#DIV/0!</v>
      </c>
      <c r="Y50" s="47"/>
      <c r="Z50" s="22"/>
      <c r="AA50" s="23" t="str">
        <f t="shared" si="6"/>
        <v>#DIV/0!</v>
      </c>
    </row>
    <row r="51" ht="14.25" customHeight="1">
      <c r="A51" s="18">
        <v>39.0</v>
      </c>
      <c r="B51" s="19" t="s">
        <v>199</v>
      </c>
      <c r="C51" s="20" t="s">
        <v>200</v>
      </c>
      <c r="D51" s="57"/>
      <c r="E51" s="41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42" t="str">
        <f t="shared" si="1"/>
        <v>#DIV/0!</v>
      </c>
      <c r="T51" s="43" t="str">
        <f t="shared" si="2"/>
        <v>#DIV/0!</v>
      </c>
      <c r="U51" s="44" t="str">
        <f t="shared" si="3"/>
        <v>#DIV/0!</v>
      </c>
      <c r="V51" s="45"/>
      <c r="W51" s="45" t="str">
        <f t="shared" si="4"/>
        <v>#DIV/0!</v>
      </c>
      <c r="X51" s="46" t="str">
        <f t="shared" si="5"/>
        <v>#DIV/0!</v>
      </c>
      <c r="Y51" s="47"/>
      <c r="Z51" s="22"/>
      <c r="AA51" s="23" t="str">
        <f t="shared" si="6"/>
        <v>#DIV/0!</v>
      </c>
    </row>
    <row r="52" ht="14.25" customHeight="1">
      <c r="A52" s="18">
        <v>40.0</v>
      </c>
      <c r="B52" s="19" t="s">
        <v>201</v>
      </c>
      <c r="C52" s="20" t="s">
        <v>202</v>
      </c>
      <c r="D52" s="57"/>
      <c r="E52" s="41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42" t="str">
        <f t="shared" si="1"/>
        <v>#DIV/0!</v>
      </c>
      <c r="T52" s="43" t="str">
        <f t="shared" si="2"/>
        <v>#DIV/0!</v>
      </c>
      <c r="U52" s="44" t="str">
        <f t="shared" si="3"/>
        <v>#DIV/0!</v>
      </c>
      <c r="V52" s="45"/>
      <c r="W52" s="45" t="str">
        <f t="shared" si="4"/>
        <v>#DIV/0!</v>
      </c>
      <c r="X52" s="46" t="str">
        <f t="shared" si="5"/>
        <v>#DIV/0!</v>
      </c>
      <c r="Y52" s="47"/>
      <c r="Z52" s="22"/>
      <c r="AA52" s="23" t="str">
        <f t="shared" si="6"/>
        <v>#DIV/0!</v>
      </c>
    </row>
    <row r="53" ht="14.25" customHeight="1">
      <c r="A53" s="18">
        <v>41.0</v>
      </c>
      <c r="B53" s="19" t="s">
        <v>203</v>
      </c>
      <c r="C53" s="20" t="s">
        <v>204</v>
      </c>
      <c r="D53" s="57"/>
      <c r="E53" s="41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42" t="str">
        <f t="shared" si="1"/>
        <v>#DIV/0!</v>
      </c>
      <c r="T53" s="43" t="str">
        <f t="shared" si="2"/>
        <v>#DIV/0!</v>
      </c>
      <c r="U53" s="44" t="str">
        <f t="shared" si="3"/>
        <v>#DIV/0!</v>
      </c>
      <c r="V53" s="45"/>
      <c r="W53" s="45" t="str">
        <f t="shared" si="4"/>
        <v>#DIV/0!</v>
      </c>
      <c r="X53" s="46" t="str">
        <f t="shared" si="5"/>
        <v>#DIV/0!</v>
      </c>
      <c r="Y53" s="47"/>
      <c r="Z53" s="22"/>
      <c r="AA53" s="23" t="str">
        <f t="shared" si="6"/>
        <v>#DIV/0!</v>
      </c>
    </row>
    <row r="54" ht="14.25" customHeight="1">
      <c r="A54" s="18">
        <v>42.0</v>
      </c>
      <c r="B54" s="19" t="s">
        <v>205</v>
      </c>
      <c r="C54" s="20" t="s">
        <v>206</v>
      </c>
      <c r="D54" s="57"/>
      <c r="E54" s="41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42" t="str">
        <f t="shared" si="1"/>
        <v>#DIV/0!</v>
      </c>
      <c r="T54" s="43" t="str">
        <f t="shared" si="2"/>
        <v>#DIV/0!</v>
      </c>
      <c r="U54" s="44" t="str">
        <f t="shared" si="3"/>
        <v>#DIV/0!</v>
      </c>
      <c r="V54" s="45"/>
      <c r="W54" s="45" t="str">
        <f t="shared" si="4"/>
        <v>#DIV/0!</v>
      </c>
      <c r="X54" s="46" t="str">
        <f t="shared" si="5"/>
        <v>#DIV/0!</v>
      </c>
      <c r="Y54" s="47"/>
      <c r="Z54" s="22"/>
      <c r="AA54" s="23" t="str">
        <f t="shared" si="6"/>
        <v>#DIV/0!</v>
      </c>
    </row>
    <row r="55" ht="14.25" customHeight="1">
      <c r="A55" s="18">
        <v>43.0</v>
      </c>
      <c r="B55" s="19" t="s">
        <v>207</v>
      </c>
      <c r="C55" s="20" t="s">
        <v>208</v>
      </c>
      <c r="D55" s="57"/>
      <c r="E55" s="41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42" t="str">
        <f t="shared" si="1"/>
        <v>#DIV/0!</v>
      </c>
      <c r="T55" s="43" t="str">
        <f t="shared" si="2"/>
        <v>#DIV/0!</v>
      </c>
      <c r="U55" s="44" t="str">
        <f t="shared" si="3"/>
        <v>#DIV/0!</v>
      </c>
      <c r="V55" s="45"/>
      <c r="W55" s="45" t="str">
        <f t="shared" si="4"/>
        <v>#DIV/0!</v>
      </c>
      <c r="X55" s="46" t="str">
        <f t="shared" si="5"/>
        <v>#DIV/0!</v>
      </c>
      <c r="Y55" s="47"/>
      <c r="Z55" s="22"/>
      <c r="AA55" s="23" t="str">
        <f t="shared" si="6"/>
        <v>#DIV/0!</v>
      </c>
    </row>
    <row r="56" ht="14.25" customHeight="1">
      <c r="A56" s="18">
        <v>44.0</v>
      </c>
      <c r="B56" s="19" t="s">
        <v>209</v>
      </c>
      <c r="C56" s="20" t="s">
        <v>210</v>
      </c>
      <c r="D56" s="57"/>
      <c r="E56" s="41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42" t="str">
        <f t="shared" si="1"/>
        <v>#DIV/0!</v>
      </c>
      <c r="T56" s="43" t="str">
        <f t="shared" si="2"/>
        <v>#DIV/0!</v>
      </c>
      <c r="U56" s="44" t="str">
        <f t="shared" si="3"/>
        <v>#DIV/0!</v>
      </c>
      <c r="V56" s="45"/>
      <c r="W56" s="45" t="str">
        <f t="shared" si="4"/>
        <v>#DIV/0!</v>
      </c>
      <c r="X56" s="46" t="str">
        <f t="shared" si="5"/>
        <v>#DIV/0!</v>
      </c>
      <c r="Y56" s="47"/>
      <c r="Z56" s="22"/>
      <c r="AA56" s="23" t="str">
        <f t="shared" si="6"/>
        <v>#DIV/0!</v>
      </c>
    </row>
    <row r="57" ht="14.25" customHeight="1">
      <c r="A57" s="18">
        <v>45.0</v>
      </c>
      <c r="B57" s="19" t="s">
        <v>211</v>
      </c>
      <c r="C57" s="20" t="s">
        <v>212</v>
      </c>
      <c r="D57" s="57"/>
      <c r="E57" s="41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42" t="str">
        <f t="shared" si="1"/>
        <v>#DIV/0!</v>
      </c>
      <c r="T57" s="43" t="str">
        <f t="shared" si="2"/>
        <v>#DIV/0!</v>
      </c>
      <c r="U57" s="44" t="str">
        <f t="shared" si="3"/>
        <v>#DIV/0!</v>
      </c>
      <c r="V57" s="45"/>
      <c r="W57" s="45" t="str">
        <f t="shared" si="4"/>
        <v>#DIV/0!</v>
      </c>
      <c r="X57" s="46" t="str">
        <f t="shared" si="5"/>
        <v>#DIV/0!</v>
      </c>
      <c r="Y57" s="47"/>
      <c r="Z57" s="22"/>
      <c r="AA57" s="23" t="str">
        <f t="shared" si="6"/>
        <v>#DIV/0!</v>
      </c>
    </row>
    <row r="58" ht="14.25" customHeight="1">
      <c r="A58" s="18">
        <v>46.0</v>
      </c>
      <c r="B58" s="19" t="s">
        <v>213</v>
      </c>
      <c r="C58" s="20" t="s">
        <v>214</v>
      </c>
      <c r="D58" s="57"/>
      <c r="E58" s="41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42" t="str">
        <f t="shared" si="1"/>
        <v>#DIV/0!</v>
      </c>
      <c r="T58" s="43" t="str">
        <f t="shared" si="2"/>
        <v>#DIV/0!</v>
      </c>
      <c r="U58" s="44" t="str">
        <f t="shared" si="3"/>
        <v>#DIV/0!</v>
      </c>
      <c r="V58" s="45"/>
      <c r="W58" s="45" t="str">
        <f t="shared" si="4"/>
        <v>#DIV/0!</v>
      </c>
      <c r="X58" s="46" t="str">
        <f t="shared" si="5"/>
        <v>#DIV/0!</v>
      </c>
      <c r="Y58" s="47"/>
      <c r="Z58" s="22"/>
      <c r="AA58" s="23" t="str">
        <f t="shared" si="6"/>
        <v>#DIV/0!</v>
      </c>
    </row>
    <row r="59" ht="14.25" customHeight="1">
      <c r="A59" s="18">
        <v>47.0</v>
      </c>
      <c r="B59" s="19" t="s">
        <v>215</v>
      </c>
      <c r="C59" s="20" t="s">
        <v>216</v>
      </c>
      <c r="D59" s="57"/>
      <c r="E59" s="41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42" t="str">
        <f t="shared" si="1"/>
        <v>#DIV/0!</v>
      </c>
      <c r="T59" s="43" t="str">
        <f t="shared" si="2"/>
        <v>#DIV/0!</v>
      </c>
      <c r="U59" s="44" t="str">
        <f t="shared" si="3"/>
        <v>#DIV/0!</v>
      </c>
      <c r="V59" s="45"/>
      <c r="W59" s="45" t="str">
        <f t="shared" si="4"/>
        <v>#DIV/0!</v>
      </c>
      <c r="X59" s="46" t="str">
        <f t="shared" si="5"/>
        <v>#DIV/0!</v>
      </c>
      <c r="Y59" s="47"/>
      <c r="Z59" s="22"/>
      <c r="AA59" s="23" t="str">
        <f t="shared" si="6"/>
        <v>#DIV/0!</v>
      </c>
    </row>
    <row r="60" ht="14.25" customHeight="1"/>
    <row r="61" ht="14.25" customHeight="1">
      <c r="Y61" s="26" t="s">
        <v>109</v>
      </c>
      <c r="AA61" s="26"/>
    </row>
    <row r="62" ht="14.25" customHeight="1">
      <c r="Y62" s="26" t="s">
        <v>110</v>
      </c>
    </row>
    <row r="63" ht="14.25" customHeight="1">
      <c r="Y63" s="26" t="s">
        <v>111</v>
      </c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D11:H11"/>
    <mergeCell ref="I11:M11"/>
    <mergeCell ref="N11:R11"/>
    <mergeCell ref="S11:U11"/>
    <mergeCell ref="V11:V12"/>
    <mergeCell ref="W11:W12"/>
    <mergeCell ref="X11:X12"/>
    <mergeCell ref="Y11:Y12"/>
    <mergeCell ref="Z11:Z12"/>
    <mergeCell ref="AA11:AA12"/>
    <mergeCell ref="A1:AA1"/>
    <mergeCell ref="A3:AA3"/>
    <mergeCell ref="A4:AA4"/>
    <mergeCell ref="A10:A12"/>
    <mergeCell ref="B10:B12"/>
    <mergeCell ref="C10:C12"/>
    <mergeCell ref="D10:AA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9.86"/>
    <col customWidth="1" min="3" max="3" width="32.86"/>
    <col customWidth="1" min="4" max="18" width="3.57"/>
    <col customWidth="1" min="19" max="19" width="4.71"/>
    <col customWidth="1" min="20" max="21" width="4.57"/>
    <col customWidth="1" min="22" max="22" width="5.14"/>
    <col customWidth="1" min="23" max="23" width="5.29"/>
    <col customWidth="1" min="24" max="24" width="5.14"/>
    <col customWidth="1" min="25" max="25" width="4.86"/>
    <col customWidth="1" min="26" max="26" width="5.43"/>
    <col customWidth="1" min="27" max="27" width="5.14"/>
  </cols>
  <sheetData>
    <row r="1" ht="78.0" customHeight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0" customHeight="1"/>
    <row r="3" ht="14.25" customHeight="1">
      <c r="A3" s="3" t="s">
        <v>1</v>
      </c>
    </row>
    <row r="4" ht="14.25" customHeight="1">
      <c r="A4" s="3" t="s">
        <v>2</v>
      </c>
    </row>
    <row r="5" ht="3.75" customHeight="1">
      <c r="B5" s="4"/>
      <c r="D5" s="4"/>
      <c r="E5" s="4"/>
    </row>
    <row r="6" ht="14.25" customHeight="1">
      <c r="A6" s="4" t="s">
        <v>3</v>
      </c>
      <c r="C6" s="5" t="s">
        <v>4</v>
      </c>
      <c r="E6" s="5"/>
    </row>
    <row r="7" ht="14.25" customHeight="1">
      <c r="A7" s="4" t="s">
        <v>5</v>
      </c>
      <c r="C7" s="5" t="s">
        <v>218</v>
      </c>
      <c r="E7" s="5"/>
    </row>
    <row r="8" ht="14.25" customHeight="1">
      <c r="A8" s="4" t="s">
        <v>7</v>
      </c>
      <c r="C8" s="5" t="s">
        <v>8</v>
      </c>
      <c r="E8" s="5"/>
    </row>
    <row r="9" ht="14.25" customHeight="1">
      <c r="E9" s="5"/>
    </row>
    <row r="10" ht="14.25" customHeight="1">
      <c r="A10" s="6" t="s">
        <v>9</v>
      </c>
      <c r="B10" s="6" t="s">
        <v>10</v>
      </c>
      <c r="C10" s="7" t="s">
        <v>11</v>
      </c>
      <c r="D10" s="8" t="s">
        <v>114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ht="36.75" customHeight="1">
      <c r="A11" s="11"/>
      <c r="B11" s="11"/>
      <c r="C11" s="11"/>
      <c r="D11" s="27"/>
      <c r="E11" s="9"/>
      <c r="F11" s="9"/>
      <c r="G11" s="9"/>
      <c r="H11" s="10"/>
      <c r="I11" s="27"/>
      <c r="J11" s="9"/>
      <c r="K11" s="9"/>
      <c r="L11" s="9"/>
      <c r="M11" s="10"/>
      <c r="N11" s="27"/>
      <c r="O11" s="9"/>
      <c r="P11" s="9"/>
      <c r="Q11" s="9"/>
      <c r="R11" s="10"/>
      <c r="S11" s="28" t="s">
        <v>115</v>
      </c>
      <c r="T11" s="9"/>
      <c r="U11" s="10"/>
      <c r="V11" s="29" t="s">
        <v>116</v>
      </c>
      <c r="W11" s="30" t="s">
        <v>117</v>
      </c>
      <c r="X11" s="31" t="s">
        <v>118</v>
      </c>
      <c r="Y11" s="32" t="s">
        <v>119</v>
      </c>
      <c r="Z11" s="13" t="s">
        <v>13</v>
      </c>
      <c r="AA11" s="14" t="s">
        <v>14</v>
      </c>
    </row>
    <row r="12" ht="15.75" customHeight="1">
      <c r="A12" s="15"/>
      <c r="B12" s="15"/>
      <c r="C12" s="15"/>
      <c r="D12" s="33">
        <v>1.0</v>
      </c>
      <c r="E12" s="34">
        <v>2.0</v>
      </c>
      <c r="F12" s="34">
        <v>3.0</v>
      </c>
      <c r="G12" s="35">
        <v>4.0</v>
      </c>
      <c r="H12" s="35">
        <v>5.0</v>
      </c>
      <c r="I12" s="35">
        <v>1.0</v>
      </c>
      <c r="J12" s="35">
        <v>2.0</v>
      </c>
      <c r="K12" s="35">
        <v>3.0</v>
      </c>
      <c r="L12" s="35">
        <v>4.0</v>
      </c>
      <c r="M12" s="35">
        <v>5.0</v>
      </c>
      <c r="N12" s="35">
        <v>1.0</v>
      </c>
      <c r="O12" s="35">
        <v>2.0</v>
      </c>
      <c r="P12" s="35">
        <v>3.0</v>
      </c>
      <c r="Q12" s="35">
        <v>4.0</v>
      </c>
      <c r="R12" s="35">
        <v>5.0</v>
      </c>
      <c r="S12" s="36" t="s">
        <v>120</v>
      </c>
      <c r="T12" s="37" t="s">
        <v>121</v>
      </c>
      <c r="U12" s="38" t="s">
        <v>122</v>
      </c>
      <c r="V12" s="15"/>
      <c r="W12" s="39"/>
      <c r="X12" s="16"/>
      <c r="Y12" s="16"/>
      <c r="Z12" s="16"/>
      <c r="AA12" s="17"/>
    </row>
    <row r="13" ht="14.25" customHeight="1">
      <c r="A13" s="18">
        <v>1.0</v>
      </c>
      <c r="B13" s="19" t="s">
        <v>219</v>
      </c>
      <c r="C13" s="20" t="s">
        <v>220</v>
      </c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2" t="str">
        <f t="shared" ref="S13:S57" si="1">AVERAGE(D13:H13)</f>
        <v>#DIV/0!</v>
      </c>
      <c r="T13" s="43" t="str">
        <f t="shared" ref="T13:T57" si="2">AVERAGE(I13:M13)</f>
        <v>#DIV/0!</v>
      </c>
      <c r="U13" s="44" t="str">
        <f t="shared" ref="U13:U57" si="3">AVERAGE(N13:R13)</f>
        <v>#DIV/0!</v>
      </c>
      <c r="V13" s="45"/>
      <c r="W13" s="45" t="str">
        <f t="shared" ref="W13:W57" si="4">AVERAGE(S13:U13)</f>
        <v>#DIV/0!</v>
      </c>
      <c r="X13" s="46" t="str">
        <f t="shared" ref="X13:X57" si="5">ROUND(AVERAGE(V13:W13),0)</f>
        <v>#DIV/0!</v>
      </c>
      <c r="Y13" s="47"/>
      <c r="Z13" s="22">
        <v>1.0</v>
      </c>
      <c r="AA13" s="23" t="str">
        <f t="shared" ref="AA13:AA57" si="6">ROUND(IF((X13*(IF(Y13="A",105%,IF(Y13="B",102%,IF(Y13="C",75%,50%))))*Z13)&gt;100,100,(X13*(IF(Y13="A",105%,IF(Y13="B",102%,IF(Y13="C",75%,50%))))*Z13)),0)</f>
        <v>#DIV/0!</v>
      </c>
    </row>
    <row r="14" ht="14.25" customHeight="1">
      <c r="A14" s="18">
        <v>2.0</v>
      </c>
      <c r="B14" s="19" t="s">
        <v>221</v>
      </c>
      <c r="C14" s="20" t="s">
        <v>222</v>
      </c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 t="str">
        <f t="shared" si="1"/>
        <v>#DIV/0!</v>
      </c>
      <c r="T14" s="43" t="str">
        <f t="shared" si="2"/>
        <v>#DIV/0!</v>
      </c>
      <c r="U14" s="44" t="str">
        <f t="shared" si="3"/>
        <v>#DIV/0!</v>
      </c>
      <c r="V14" s="45"/>
      <c r="W14" s="45" t="str">
        <f t="shared" si="4"/>
        <v>#DIV/0!</v>
      </c>
      <c r="X14" s="46" t="str">
        <f t="shared" si="5"/>
        <v>#DIV/0!</v>
      </c>
      <c r="Y14" s="47"/>
      <c r="Z14" s="22">
        <v>1.0</v>
      </c>
      <c r="AA14" s="23" t="str">
        <f t="shared" si="6"/>
        <v>#DIV/0!</v>
      </c>
    </row>
    <row r="15" ht="14.25" customHeight="1">
      <c r="A15" s="18">
        <v>3.0</v>
      </c>
      <c r="B15" s="19" t="s">
        <v>223</v>
      </c>
      <c r="C15" s="20" t="s">
        <v>224</v>
      </c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2" t="str">
        <f t="shared" si="1"/>
        <v>#DIV/0!</v>
      </c>
      <c r="T15" s="43" t="str">
        <f t="shared" si="2"/>
        <v>#DIV/0!</v>
      </c>
      <c r="U15" s="44" t="str">
        <f t="shared" si="3"/>
        <v>#DIV/0!</v>
      </c>
      <c r="V15" s="45"/>
      <c r="W15" s="45" t="str">
        <f t="shared" si="4"/>
        <v>#DIV/0!</v>
      </c>
      <c r="X15" s="46" t="str">
        <f t="shared" si="5"/>
        <v>#DIV/0!</v>
      </c>
      <c r="Y15" s="47"/>
      <c r="Z15" s="22">
        <v>1.0</v>
      </c>
      <c r="AA15" s="23" t="str">
        <f t="shared" si="6"/>
        <v>#DIV/0!</v>
      </c>
    </row>
    <row r="16" ht="14.25" customHeight="1">
      <c r="A16" s="18">
        <v>4.0</v>
      </c>
      <c r="B16" s="19" t="s">
        <v>225</v>
      </c>
      <c r="C16" s="20" t="s">
        <v>226</v>
      </c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 t="str">
        <f t="shared" si="1"/>
        <v>#DIV/0!</v>
      </c>
      <c r="T16" s="43" t="str">
        <f t="shared" si="2"/>
        <v>#DIV/0!</v>
      </c>
      <c r="U16" s="44" t="str">
        <f t="shared" si="3"/>
        <v>#DIV/0!</v>
      </c>
      <c r="V16" s="45"/>
      <c r="W16" s="45" t="str">
        <f t="shared" si="4"/>
        <v>#DIV/0!</v>
      </c>
      <c r="X16" s="46" t="str">
        <f t="shared" si="5"/>
        <v>#DIV/0!</v>
      </c>
      <c r="Y16" s="47"/>
      <c r="Z16" s="22">
        <v>1.0</v>
      </c>
      <c r="AA16" s="23" t="str">
        <f t="shared" si="6"/>
        <v>#DIV/0!</v>
      </c>
    </row>
    <row r="17" ht="14.25" customHeight="1">
      <c r="A17" s="18">
        <v>5.0</v>
      </c>
      <c r="B17" s="19" t="s">
        <v>227</v>
      </c>
      <c r="C17" s="20" t="s">
        <v>228</v>
      </c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 t="str">
        <f t="shared" si="1"/>
        <v>#DIV/0!</v>
      </c>
      <c r="T17" s="43" t="str">
        <f t="shared" si="2"/>
        <v>#DIV/0!</v>
      </c>
      <c r="U17" s="44" t="str">
        <f t="shared" si="3"/>
        <v>#DIV/0!</v>
      </c>
      <c r="V17" s="45"/>
      <c r="W17" s="45" t="str">
        <f t="shared" si="4"/>
        <v>#DIV/0!</v>
      </c>
      <c r="X17" s="46" t="str">
        <f t="shared" si="5"/>
        <v>#DIV/0!</v>
      </c>
      <c r="Y17" s="47"/>
      <c r="Z17" s="22">
        <v>1.0</v>
      </c>
      <c r="AA17" s="23" t="str">
        <f t="shared" si="6"/>
        <v>#DIV/0!</v>
      </c>
    </row>
    <row r="18" ht="14.25" customHeight="1">
      <c r="A18" s="18">
        <v>6.0</v>
      </c>
      <c r="B18" s="19" t="s">
        <v>229</v>
      </c>
      <c r="C18" s="20" t="s">
        <v>230</v>
      </c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2" t="str">
        <f t="shared" si="1"/>
        <v>#DIV/0!</v>
      </c>
      <c r="T18" s="43" t="str">
        <f t="shared" si="2"/>
        <v>#DIV/0!</v>
      </c>
      <c r="U18" s="44" t="str">
        <f t="shared" si="3"/>
        <v>#DIV/0!</v>
      </c>
      <c r="V18" s="45"/>
      <c r="W18" s="45" t="str">
        <f t="shared" si="4"/>
        <v>#DIV/0!</v>
      </c>
      <c r="X18" s="46" t="str">
        <f t="shared" si="5"/>
        <v>#DIV/0!</v>
      </c>
      <c r="Y18" s="47"/>
      <c r="Z18" s="22">
        <v>1.0</v>
      </c>
      <c r="AA18" s="23" t="str">
        <f t="shared" si="6"/>
        <v>#DIV/0!</v>
      </c>
    </row>
    <row r="19" ht="14.25" customHeight="1">
      <c r="A19" s="18">
        <v>7.0</v>
      </c>
      <c r="B19" s="19" t="s">
        <v>231</v>
      </c>
      <c r="C19" s="20" t="s">
        <v>232</v>
      </c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2" t="str">
        <f t="shared" si="1"/>
        <v>#DIV/0!</v>
      </c>
      <c r="T19" s="43" t="str">
        <f t="shared" si="2"/>
        <v>#DIV/0!</v>
      </c>
      <c r="U19" s="44" t="str">
        <f t="shared" si="3"/>
        <v>#DIV/0!</v>
      </c>
      <c r="V19" s="45"/>
      <c r="W19" s="45" t="str">
        <f t="shared" si="4"/>
        <v>#DIV/0!</v>
      </c>
      <c r="X19" s="46" t="str">
        <f t="shared" si="5"/>
        <v>#DIV/0!</v>
      </c>
      <c r="Y19" s="47"/>
      <c r="Z19" s="22">
        <v>1.0</v>
      </c>
      <c r="AA19" s="23" t="str">
        <f t="shared" si="6"/>
        <v>#DIV/0!</v>
      </c>
    </row>
    <row r="20" ht="14.25" customHeight="1">
      <c r="A20" s="18">
        <v>8.0</v>
      </c>
      <c r="B20" s="19" t="s">
        <v>233</v>
      </c>
      <c r="C20" s="20" t="s">
        <v>234</v>
      </c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2" t="str">
        <f t="shared" si="1"/>
        <v>#DIV/0!</v>
      </c>
      <c r="T20" s="43" t="str">
        <f t="shared" si="2"/>
        <v>#DIV/0!</v>
      </c>
      <c r="U20" s="44" t="str">
        <f t="shared" si="3"/>
        <v>#DIV/0!</v>
      </c>
      <c r="V20" s="45"/>
      <c r="W20" s="45" t="str">
        <f t="shared" si="4"/>
        <v>#DIV/0!</v>
      </c>
      <c r="X20" s="46" t="str">
        <f t="shared" si="5"/>
        <v>#DIV/0!</v>
      </c>
      <c r="Y20" s="47"/>
      <c r="Z20" s="22">
        <v>1.0</v>
      </c>
      <c r="AA20" s="23" t="str">
        <f t="shared" si="6"/>
        <v>#DIV/0!</v>
      </c>
    </row>
    <row r="21" ht="14.25" customHeight="1">
      <c r="A21" s="18">
        <v>9.0</v>
      </c>
      <c r="B21" s="19" t="s">
        <v>235</v>
      </c>
      <c r="C21" s="20" t="s">
        <v>236</v>
      </c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2" t="str">
        <f t="shared" si="1"/>
        <v>#DIV/0!</v>
      </c>
      <c r="T21" s="43" t="str">
        <f t="shared" si="2"/>
        <v>#DIV/0!</v>
      </c>
      <c r="U21" s="44" t="str">
        <f t="shared" si="3"/>
        <v>#DIV/0!</v>
      </c>
      <c r="V21" s="45"/>
      <c r="W21" s="45" t="str">
        <f t="shared" si="4"/>
        <v>#DIV/0!</v>
      </c>
      <c r="X21" s="46" t="str">
        <f t="shared" si="5"/>
        <v>#DIV/0!</v>
      </c>
      <c r="Y21" s="47"/>
      <c r="Z21" s="22">
        <v>1.0</v>
      </c>
      <c r="AA21" s="23" t="str">
        <f t="shared" si="6"/>
        <v>#DIV/0!</v>
      </c>
    </row>
    <row r="22" ht="14.25" customHeight="1">
      <c r="A22" s="18">
        <v>10.0</v>
      </c>
      <c r="B22" s="19" t="s">
        <v>237</v>
      </c>
      <c r="C22" s="20" t="s">
        <v>238</v>
      </c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2" t="str">
        <f t="shared" si="1"/>
        <v>#DIV/0!</v>
      </c>
      <c r="T22" s="43" t="str">
        <f t="shared" si="2"/>
        <v>#DIV/0!</v>
      </c>
      <c r="U22" s="44" t="str">
        <f t="shared" si="3"/>
        <v>#DIV/0!</v>
      </c>
      <c r="V22" s="45"/>
      <c r="W22" s="45" t="str">
        <f t="shared" si="4"/>
        <v>#DIV/0!</v>
      </c>
      <c r="X22" s="46" t="str">
        <f t="shared" si="5"/>
        <v>#DIV/0!</v>
      </c>
      <c r="Y22" s="47"/>
      <c r="Z22" s="22">
        <v>1.0</v>
      </c>
      <c r="AA22" s="23" t="str">
        <f t="shared" si="6"/>
        <v>#DIV/0!</v>
      </c>
    </row>
    <row r="23" ht="14.25" customHeight="1">
      <c r="A23" s="18">
        <v>11.0</v>
      </c>
      <c r="B23" s="19" t="s">
        <v>239</v>
      </c>
      <c r="C23" s="20" t="s">
        <v>240</v>
      </c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 t="str">
        <f t="shared" si="1"/>
        <v>#DIV/0!</v>
      </c>
      <c r="T23" s="43" t="str">
        <f t="shared" si="2"/>
        <v>#DIV/0!</v>
      </c>
      <c r="U23" s="44" t="str">
        <f t="shared" si="3"/>
        <v>#DIV/0!</v>
      </c>
      <c r="V23" s="45"/>
      <c r="W23" s="45" t="str">
        <f t="shared" si="4"/>
        <v>#DIV/0!</v>
      </c>
      <c r="X23" s="46" t="str">
        <f t="shared" si="5"/>
        <v>#DIV/0!</v>
      </c>
      <c r="Y23" s="47"/>
      <c r="Z23" s="22">
        <v>1.0</v>
      </c>
      <c r="AA23" s="23" t="str">
        <f t="shared" si="6"/>
        <v>#DIV/0!</v>
      </c>
    </row>
    <row r="24" ht="14.25" customHeight="1">
      <c r="A24" s="18">
        <v>12.0</v>
      </c>
      <c r="B24" s="19" t="s">
        <v>241</v>
      </c>
      <c r="C24" s="20" t="s">
        <v>242</v>
      </c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 t="str">
        <f t="shared" si="1"/>
        <v>#DIV/0!</v>
      </c>
      <c r="T24" s="43" t="str">
        <f t="shared" si="2"/>
        <v>#DIV/0!</v>
      </c>
      <c r="U24" s="44" t="str">
        <f t="shared" si="3"/>
        <v>#DIV/0!</v>
      </c>
      <c r="V24" s="45"/>
      <c r="W24" s="45" t="str">
        <f t="shared" si="4"/>
        <v>#DIV/0!</v>
      </c>
      <c r="X24" s="46" t="str">
        <f t="shared" si="5"/>
        <v>#DIV/0!</v>
      </c>
      <c r="Y24" s="47"/>
      <c r="Z24" s="22">
        <v>1.0</v>
      </c>
      <c r="AA24" s="23" t="str">
        <f t="shared" si="6"/>
        <v>#DIV/0!</v>
      </c>
    </row>
    <row r="25" ht="14.25" customHeight="1">
      <c r="A25" s="18">
        <v>13.0</v>
      </c>
      <c r="B25" s="19" t="s">
        <v>243</v>
      </c>
      <c r="C25" s="20" t="s">
        <v>244</v>
      </c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 t="str">
        <f t="shared" si="1"/>
        <v>#DIV/0!</v>
      </c>
      <c r="T25" s="43" t="str">
        <f t="shared" si="2"/>
        <v>#DIV/0!</v>
      </c>
      <c r="U25" s="44" t="str">
        <f t="shared" si="3"/>
        <v>#DIV/0!</v>
      </c>
      <c r="V25" s="45"/>
      <c r="W25" s="45" t="str">
        <f t="shared" si="4"/>
        <v>#DIV/0!</v>
      </c>
      <c r="X25" s="46" t="str">
        <f t="shared" si="5"/>
        <v>#DIV/0!</v>
      </c>
      <c r="Y25" s="47"/>
      <c r="Z25" s="22">
        <v>1.0</v>
      </c>
      <c r="AA25" s="23" t="str">
        <f t="shared" si="6"/>
        <v>#DIV/0!</v>
      </c>
    </row>
    <row r="26" ht="14.25" customHeight="1">
      <c r="A26" s="18">
        <v>14.0</v>
      </c>
      <c r="B26" s="19" t="s">
        <v>245</v>
      </c>
      <c r="C26" s="20" t="s">
        <v>246</v>
      </c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 t="str">
        <f t="shared" si="1"/>
        <v>#DIV/0!</v>
      </c>
      <c r="T26" s="43" t="str">
        <f t="shared" si="2"/>
        <v>#DIV/0!</v>
      </c>
      <c r="U26" s="44" t="str">
        <f t="shared" si="3"/>
        <v>#DIV/0!</v>
      </c>
      <c r="V26" s="45"/>
      <c r="W26" s="45" t="str">
        <f t="shared" si="4"/>
        <v>#DIV/0!</v>
      </c>
      <c r="X26" s="46" t="str">
        <f t="shared" si="5"/>
        <v>#DIV/0!</v>
      </c>
      <c r="Y26" s="47"/>
      <c r="Z26" s="22">
        <v>1.0</v>
      </c>
      <c r="AA26" s="23" t="str">
        <f t="shared" si="6"/>
        <v>#DIV/0!</v>
      </c>
    </row>
    <row r="27" ht="14.25" customHeight="1">
      <c r="A27" s="18">
        <v>15.0</v>
      </c>
      <c r="B27" s="19" t="s">
        <v>247</v>
      </c>
      <c r="C27" s="20" t="s">
        <v>248</v>
      </c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 t="str">
        <f t="shared" si="1"/>
        <v>#DIV/0!</v>
      </c>
      <c r="T27" s="43" t="str">
        <f t="shared" si="2"/>
        <v>#DIV/0!</v>
      </c>
      <c r="U27" s="44" t="str">
        <f t="shared" si="3"/>
        <v>#DIV/0!</v>
      </c>
      <c r="V27" s="45"/>
      <c r="W27" s="45" t="str">
        <f t="shared" si="4"/>
        <v>#DIV/0!</v>
      </c>
      <c r="X27" s="46" t="str">
        <f t="shared" si="5"/>
        <v>#DIV/0!</v>
      </c>
      <c r="Y27" s="47"/>
      <c r="Z27" s="22">
        <v>1.0</v>
      </c>
      <c r="AA27" s="23" t="str">
        <f t="shared" si="6"/>
        <v>#DIV/0!</v>
      </c>
    </row>
    <row r="28" ht="14.25" customHeight="1">
      <c r="A28" s="18">
        <v>16.0</v>
      </c>
      <c r="B28" s="19" t="s">
        <v>249</v>
      </c>
      <c r="C28" s="20" t="s">
        <v>250</v>
      </c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2" t="str">
        <f t="shared" si="1"/>
        <v>#DIV/0!</v>
      </c>
      <c r="T28" s="43" t="str">
        <f t="shared" si="2"/>
        <v>#DIV/0!</v>
      </c>
      <c r="U28" s="44" t="str">
        <f t="shared" si="3"/>
        <v>#DIV/0!</v>
      </c>
      <c r="V28" s="45"/>
      <c r="W28" s="45" t="str">
        <f t="shared" si="4"/>
        <v>#DIV/0!</v>
      </c>
      <c r="X28" s="46" t="str">
        <f t="shared" si="5"/>
        <v>#DIV/0!</v>
      </c>
      <c r="Y28" s="47"/>
      <c r="Z28" s="22">
        <v>1.0</v>
      </c>
      <c r="AA28" s="23" t="str">
        <f t="shared" si="6"/>
        <v>#DIV/0!</v>
      </c>
    </row>
    <row r="29" ht="14.25" customHeight="1">
      <c r="A29" s="18">
        <v>17.0</v>
      </c>
      <c r="B29" s="19" t="s">
        <v>251</v>
      </c>
      <c r="C29" s="20" t="s">
        <v>252</v>
      </c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2" t="str">
        <f t="shared" si="1"/>
        <v>#DIV/0!</v>
      </c>
      <c r="T29" s="43" t="str">
        <f t="shared" si="2"/>
        <v>#DIV/0!</v>
      </c>
      <c r="U29" s="44" t="str">
        <f t="shared" si="3"/>
        <v>#DIV/0!</v>
      </c>
      <c r="V29" s="45"/>
      <c r="W29" s="45" t="str">
        <f t="shared" si="4"/>
        <v>#DIV/0!</v>
      </c>
      <c r="X29" s="46" t="str">
        <f t="shared" si="5"/>
        <v>#DIV/0!</v>
      </c>
      <c r="Y29" s="47"/>
      <c r="Z29" s="22">
        <v>1.0</v>
      </c>
      <c r="AA29" s="23" t="str">
        <f t="shared" si="6"/>
        <v>#DIV/0!</v>
      </c>
    </row>
    <row r="30" ht="14.25" customHeight="1">
      <c r="A30" s="18">
        <v>18.0</v>
      </c>
      <c r="B30" s="19" t="s">
        <v>253</v>
      </c>
      <c r="C30" s="20" t="s">
        <v>254</v>
      </c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2" t="str">
        <f t="shared" si="1"/>
        <v>#DIV/0!</v>
      </c>
      <c r="T30" s="43" t="str">
        <f t="shared" si="2"/>
        <v>#DIV/0!</v>
      </c>
      <c r="U30" s="44" t="str">
        <f t="shared" si="3"/>
        <v>#DIV/0!</v>
      </c>
      <c r="V30" s="45"/>
      <c r="W30" s="45" t="str">
        <f t="shared" si="4"/>
        <v>#DIV/0!</v>
      </c>
      <c r="X30" s="46" t="str">
        <f t="shared" si="5"/>
        <v>#DIV/0!</v>
      </c>
      <c r="Y30" s="47"/>
      <c r="Z30" s="22">
        <v>1.0</v>
      </c>
      <c r="AA30" s="23" t="str">
        <f t="shared" si="6"/>
        <v>#DIV/0!</v>
      </c>
    </row>
    <row r="31" ht="14.25" customHeight="1">
      <c r="A31" s="18">
        <v>19.0</v>
      </c>
      <c r="B31" s="19" t="s">
        <v>255</v>
      </c>
      <c r="C31" s="20" t="s">
        <v>256</v>
      </c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2" t="str">
        <f t="shared" si="1"/>
        <v>#DIV/0!</v>
      </c>
      <c r="T31" s="43" t="str">
        <f t="shared" si="2"/>
        <v>#DIV/0!</v>
      </c>
      <c r="U31" s="44" t="str">
        <f t="shared" si="3"/>
        <v>#DIV/0!</v>
      </c>
      <c r="V31" s="45"/>
      <c r="W31" s="45" t="str">
        <f t="shared" si="4"/>
        <v>#DIV/0!</v>
      </c>
      <c r="X31" s="46" t="str">
        <f t="shared" si="5"/>
        <v>#DIV/0!</v>
      </c>
      <c r="Y31" s="47"/>
      <c r="Z31" s="22">
        <v>1.0</v>
      </c>
      <c r="AA31" s="23" t="str">
        <f t="shared" si="6"/>
        <v>#DIV/0!</v>
      </c>
    </row>
    <row r="32" ht="14.25" customHeight="1">
      <c r="A32" s="18">
        <v>20.0</v>
      </c>
      <c r="B32" s="19" t="s">
        <v>257</v>
      </c>
      <c r="C32" s="20" t="s">
        <v>258</v>
      </c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2" t="str">
        <f t="shared" si="1"/>
        <v>#DIV/0!</v>
      </c>
      <c r="T32" s="43" t="str">
        <f t="shared" si="2"/>
        <v>#DIV/0!</v>
      </c>
      <c r="U32" s="44" t="str">
        <f t="shared" si="3"/>
        <v>#DIV/0!</v>
      </c>
      <c r="V32" s="45"/>
      <c r="W32" s="45" t="str">
        <f t="shared" si="4"/>
        <v>#DIV/0!</v>
      </c>
      <c r="X32" s="46" t="str">
        <f t="shared" si="5"/>
        <v>#DIV/0!</v>
      </c>
      <c r="Y32" s="47"/>
      <c r="Z32" s="22">
        <v>1.0</v>
      </c>
      <c r="AA32" s="23" t="str">
        <f t="shared" si="6"/>
        <v>#DIV/0!</v>
      </c>
    </row>
    <row r="33" ht="14.25" customHeight="1">
      <c r="A33" s="18">
        <v>21.0</v>
      </c>
      <c r="B33" s="19" t="s">
        <v>259</v>
      </c>
      <c r="C33" s="20" t="s">
        <v>260</v>
      </c>
      <c r="D33" s="40"/>
      <c r="E33" s="41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2" t="str">
        <f t="shared" si="1"/>
        <v>#DIV/0!</v>
      </c>
      <c r="T33" s="43" t="str">
        <f t="shared" si="2"/>
        <v>#DIV/0!</v>
      </c>
      <c r="U33" s="44" t="str">
        <f t="shared" si="3"/>
        <v>#DIV/0!</v>
      </c>
      <c r="V33" s="45"/>
      <c r="W33" s="45" t="str">
        <f t="shared" si="4"/>
        <v>#DIV/0!</v>
      </c>
      <c r="X33" s="46" t="str">
        <f t="shared" si="5"/>
        <v>#DIV/0!</v>
      </c>
      <c r="Y33" s="47"/>
      <c r="Z33" s="22">
        <v>1.0</v>
      </c>
      <c r="AA33" s="23" t="str">
        <f t="shared" si="6"/>
        <v>#DIV/0!</v>
      </c>
    </row>
    <row r="34" ht="14.25" customHeight="1">
      <c r="A34" s="18">
        <v>22.0</v>
      </c>
      <c r="B34" s="19" t="s">
        <v>261</v>
      </c>
      <c r="C34" s="20" t="s">
        <v>262</v>
      </c>
      <c r="D34" s="40"/>
      <c r="E34" s="41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2" t="str">
        <f t="shared" si="1"/>
        <v>#DIV/0!</v>
      </c>
      <c r="T34" s="43" t="str">
        <f t="shared" si="2"/>
        <v>#DIV/0!</v>
      </c>
      <c r="U34" s="44" t="str">
        <f t="shared" si="3"/>
        <v>#DIV/0!</v>
      </c>
      <c r="V34" s="45"/>
      <c r="W34" s="45" t="str">
        <f t="shared" si="4"/>
        <v>#DIV/0!</v>
      </c>
      <c r="X34" s="46" t="str">
        <f t="shared" si="5"/>
        <v>#DIV/0!</v>
      </c>
      <c r="Y34" s="47"/>
      <c r="Z34" s="22">
        <v>1.0</v>
      </c>
      <c r="AA34" s="23" t="str">
        <f t="shared" si="6"/>
        <v>#DIV/0!</v>
      </c>
    </row>
    <row r="35" ht="14.25" customHeight="1">
      <c r="A35" s="18">
        <v>23.0</v>
      </c>
      <c r="B35" s="19" t="s">
        <v>263</v>
      </c>
      <c r="C35" s="20" t="s">
        <v>264</v>
      </c>
      <c r="D35" s="40"/>
      <c r="E35" s="41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2" t="str">
        <f t="shared" si="1"/>
        <v>#DIV/0!</v>
      </c>
      <c r="T35" s="43" t="str">
        <f t="shared" si="2"/>
        <v>#DIV/0!</v>
      </c>
      <c r="U35" s="44" t="str">
        <f t="shared" si="3"/>
        <v>#DIV/0!</v>
      </c>
      <c r="V35" s="45"/>
      <c r="W35" s="45" t="str">
        <f t="shared" si="4"/>
        <v>#DIV/0!</v>
      </c>
      <c r="X35" s="46" t="str">
        <f t="shared" si="5"/>
        <v>#DIV/0!</v>
      </c>
      <c r="Y35" s="47"/>
      <c r="Z35" s="22">
        <v>1.0</v>
      </c>
      <c r="AA35" s="23" t="str">
        <f t="shared" si="6"/>
        <v>#DIV/0!</v>
      </c>
    </row>
    <row r="36" ht="14.25" customHeight="1">
      <c r="A36" s="18">
        <v>24.0</v>
      </c>
      <c r="B36" s="19" t="s">
        <v>265</v>
      </c>
      <c r="C36" s="20" t="s">
        <v>266</v>
      </c>
      <c r="D36" s="40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2" t="str">
        <f t="shared" si="1"/>
        <v>#DIV/0!</v>
      </c>
      <c r="T36" s="43" t="str">
        <f t="shared" si="2"/>
        <v>#DIV/0!</v>
      </c>
      <c r="U36" s="44" t="str">
        <f t="shared" si="3"/>
        <v>#DIV/0!</v>
      </c>
      <c r="V36" s="45"/>
      <c r="W36" s="45" t="str">
        <f t="shared" si="4"/>
        <v>#DIV/0!</v>
      </c>
      <c r="X36" s="46" t="str">
        <f t="shared" si="5"/>
        <v>#DIV/0!</v>
      </c>
      <c r="Y36" s="47"/>
      <c r="Z36" s="22">
        <v>1.0</v>
      </c>
      <c r="AA36" s="23" t="str">
        <f t="shared" si="6"/>
        <v>#DIV/0!</v>
      </c>
    </row>
    <row r="37" ht="14.25" customHeight="1">
      <c r="A37" s="18">
        <v>25.0</v>
      </c>
      <c r="B37" s="19" t="s">
        <v>267</v>
      </c>
      <c r="C37" s="20" t="s">
        <v>268</v>
      </c>
      <c r="D37" s="40"/>
      <c r="E37" s="41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2" t="str">
        <f t="shared" si="1"/>
        <v>#DIV/0!</v>
      </c>
      <c r="T37" s="43" t="str">
        <f t="shared" si="2"/>
        <v>#DIV/0!</v>
      </c>
      <c r="U37" s="44" t="str">
        <f t="shared" si="3"/>
        <v>#DIV/0!</v>
      </c>
      <c r="V37" s="45"/>
      <c r="W37" s="45" t="str">
        <f t="shared" si="4"/>
        <v>#DIV/0!</v>
      </c>
      <c r="X37" s="46" t="str">
        <f t="shared" si="5"/>
        <v>#DIV/0!</v>
      </c>
      <c r="Y37" s="47"/>
      <c r="Z37" s="22">
        <v>1.0</v>
      </c>
      <c r="AA37" s="23" t="str">
        <f t="shared" si="6"/>
        <v>#DIV/0!</v>
      </c>
    </row>
    <row r="38" ht="14.25" customHeight="1">
      <c r="A38" s="18">
        <v>26.0</v>
      </c>
      <c r="B38" s="19" t="s">
        <v>269</v>
      </c>
      <c r="C38" s="20" t="s">
        <v>270</v>
      </c>
      <c r="D38" s="40"/>
      <c r="E38" s="41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2" t="str">
        <f t="shared" si="1"/>
        <v>#DIV/0!</v>
      </c>
      <c r="T38" s="43" t="str">
        <f t="shared" si="2"/>
        <v>#DIV/0!</v>
      </c>
      <c r="U38" s="44" t="str">
        <f t="shared" si="3"/>
        <v>#DIV/0!</v>
      </c>
      <c r="V38" s="45"/>
      <c r="W38" s="45" t="str">
        <f t="shared" si="4"/>
        <v>#DIV/0!</v>
      </c>
      <c r="X38" s="46" t="str">
        <f t="shared" si="5"/>
        <v>#DIV/0!</v>
      </c>
      <c r="Y38" s="47"/>
      <c r="Z38" s="22">
        <v>1.0</v>
      </c>
      <c r="AA38" s="23" t="str">
        <f t="shared" si="6"/>
        <v>#DIV/0!</v>
      </c>
    </row>
    <row r="39" ht="14.25" customHeight="1">
      <c r="A39" s="18">
        <v>27.0</v>
      </c>
      <c r="B39" s="19" t="s">
        <v>271</v>
      </c>
      <c r="C39" s="20" t="s">
        <v>272</v>
      </c>
      <c r="D39" s="40"/>
      <c r="E39" s="41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2" t="str">
        <f t="shared" si="1"/>
        <v>#DIV/0!</v>
      </c>
      <c r="T39" s="43" t="str">
        <f t="shared" si="2"/>
        <v>#DIV/0!</v>
      </c>
      <c r="U39" s="44" t="str">
        <f t="shared" si="3"/>
        <v>#DIV/0!</v>
      </c>
      <c r="V39" s="45"/>
      <c r="W39" s="45" t="str">
        <f t="shared" si="4"/>
        <v>#DIV/0!</v>
      </c>
      <c r="X39" s="46" t="str">
        <f t="shared" si="5"/>
        <v>#DIV/0!</v>
      </c>
      <c r="Y39" s="47"/>
      <c r="Z39" s="22">
        <v>1.0</v>
      </c>
      <c r="AA39" s="23" t="str">
        <f t="shared" si="6"/>
        <v>#DIV/0!</v>
      </c>
    </row>
    <row r="40" ht="14.25" customHeight="1">
      <c r="A40" s="18">
        <v>28.0</v>
      </c>
      <c r="B40" s="19" t="s">
        <v>273</v>
      </c>
      <c r="C40" s="20" t="s">
        <v>274</v>
      </c>
      <c r="D40" s="40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2" t="str">
        <f t="shared" si="1"/>
        <v>#DIV/0!</v>
      </c>
      <c r="T40" s="43" t="str">
        <f t="shared" si="2"/>
        <v>#DIV/0!</v>
      </c>
      <c r="U40" s="44" t="str">
        <f t="shared" si="3"/>
        <v>#DIV/0!</v>
      </c>
      <c r="V40" s="45"/>
      <c r="W40" s="45" t="str">
        <f t="shared" si="4"/>
        <v>#DIV/0!</v>
      </c>
      <c r="X40" s="46" t="str">
        <f t="shared" si="5"/>
        <v>#DIV/0!</v>
      </c>
      <c r="Y40" s="47"/>
      <c r="Z40" s="22">
        <v>1.0</v>
      </c>
      <c r="AA40" s="23" t="str">
        <f t="shared" si="6"/>
        <v>#DIV/0!</v>
      </c>
    </row>
    <row r="41" ht="14.25" customHeight="1">
      <c r="A41" s="18">
        <v>29.0</v>
      </c>
      <c r="B41" s="19" t="s">
        <v>275</v>
      </c>
      <c r="C41" s="20" t="s">
        <v>276</v>
      </c>
      <c r="D41" s="40"/>
      <c r="E41" s="4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2" t="str">
        <f t="shared" si="1"/>
        <v>#DIV/0!</v>
      </c>
      <c r="T41" s="43" t="str">
        <f t="shared" si="2"/>
        <v>#DIV/0!</v>
      </c>
      <c r="U41" s="44" t="str">
        <f t="shared" si="3"/>
        <v>#DIV/0!</v>
      </c>
      <c r="V41" s="45"/>
      <c r="W41" s="45" t="str">
        <f t="shared" si="4"/>
        <v>#DIV/0!</v>
      </c>
      <c r="X41" s="46" t="str">
        <f t="shared" si="5"/>
        <v>#DIV/0!</v>
      </c>
      <c r="Y41" s="47"/>
      <c r="Z41" s="22">
        <v>1.0</v>
      </c>
      <c r="AA41" s="23" t="str">
        <f t="shared" si="6"/>
        <v>#DIV/0!</v>
      </c>
    </row>
    <row r="42" ht="14.25" customHeight="1">
      <c r="A42" s="18">
        <v>30.0</v>
      </c>
      <c r="B42" s="19" t="s">
        <v>277</v>
      </c>
      <c r="C42" s="20" t="s">
        <v>278</v>
      </c>
      <c r="D42" s="40"/>
      <c r="E42" s="41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2" t="str">
        <f t="shared" si="1"/>
        <v>#DIV/0!</v>
      </c>
      <c r="T42" s="43" t="str">
        <f t="shared" si="2"/>
        <v>#DIV/0!</v>
      </c>
      <c r="U42" s="44" t="str">
        <f t="shared" si="3"/>
        <v>#DIV/0!</v>
      </c>
      <c r="V42" s="45"/>
      <c r="W42" s="45" t="str">
        <f t="shared" si="4"/>
        <v>#DIV/0!</v>
      </c>
      <c r="X42" s="46" t="str">
        <f t="shared" si="5"/>
        <v>#DIV/0!</v>
      </c>
      <c r="Y42" s="47"/>
      <c r="Z42" s="22">
        <v>1.0</v>
      </c>
      <c r="AA42" s="23" t="str">
        <f t="shared" si="6"/>
        <v>#DIV/0!</v>
      </c>
    </row>
    <row r="43" ht="14.25" customHeight="1">
      <c r="A43" s="18">
        <v>31.0</v>
      </c>
      <c r="B43" s="19" t="s">
        <v>279</v>
      </c>
      <c r="C43" s="20" t="s">
        <v>280</v>
      </c>
      <c r="D43" s="40"/>
      <c r="E43" s="41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2" t="str">
        <f t="shared" si="1"/>
        <v>#DIV/0!</v>
      </c>
      <c r="T43" s="43" t="str">
        <f t="shared" si="2"/>
        <v>#DIV/0!</v>
      </c>
      <c r="U43" s="44" t="str">
        <f t="shared" si="3"/>
        <v>#DIV/0!</v>
      </c>
      <c r="V43" s="45"/>
      <c r="W43" s="45" t="str">
        <f t="shared" si="4"/>
        <v>#DIV/0!</v>
      </c>
      <c r="X43" s="46" t="str">
        <f t="shared" si="5"/>
        <v>#DIV/0!</v>
      </c>
      <c r="Y43" s="47"/>
      <c r="Z43" s="22">
        <v>1.0</v>
      </c>
      <c r="AA43" s="23" t="str">
        <f t="shared" si="6"/>
        <v>#DIV/0!</v>
      </c>
    </row>
    <row r="44" ht="14.25" customHeight="1">
      <c r="A44" s="18">
        <v>32.0</v>
      </c>
      <c r="B44" s="19" t="s">
        <v>281</v>
      </c>
      <c r="C44" s="20" t="s">
        <v>282</v>
      </c>
      <c r="D44" s="40"/>
      <c r="E44" s="41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2" t="str">
        <f t="shared" si="1"/>
        <v>#DIV/0!</v>
      </c>
      <c r="T44" s="43" t="str">
        <f t="shared" si="2"/>
        <v>#DIV/0!</v>
      </c>
      <c r="U44" s="44" t="str">
        <f t="shared" si="3"/>
        <v>#DIV/0!</v>
      </c>
      <c r="V44" s="45"/>
      <c r="W44" s="45" t="str">
        <f t="shared" si="4"/>
        <v>#DIV/0!</v>
      </c>
      <c r="X44" s="46" t="str">
        <f t="shared" si="5"/>
        <v>#DIV/0!</v>
      </c>
      <c r="Y44" s="47"/>
      <c r="Z44" s="22">
        <v>1.0</v>
      </c>
      <c r="AA44" s="23" t="str">
        <f t="shared" si="6"/>
        <v>#DIV/0!</v>
      </c>
    </row>
    <row r="45" ht="14.25" customHeight="1">
      <c r="A45" s="18">
        <v>33.0</v>
      </c>
      <c r="B45" s="19" t="s">
        <v>283</v>
      </c>
      <c r="C45" s="20" t="s">
        <v>284</v>
      </c>
      <c r="D45" s="40"/>
      <c r="E45" s="41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2" t="str">
        <f t="shared" si="1"/>
        <v>#DIV/0!</v>
      </c>
      <c r="T45" s="43" t="str">
        <f t="shared" si="2"/>
        <v>#DIV/0!</v>
      </c>
      <c r="U45" s="44" t="str">
        <f t="shared" si="3"/>
        <v>#DIV/0!</v>
      </c>
      <c r="V45" s="45"/>
      <c r="W45" s="45" t="str">
        <f t="shared" si="4"/>
        <v>#DIV/0!</v>
      </c>
      <c r="X45" s="46" t="str">
        <f t="shared" si="5"/>
        <v>#DIV/0!</v>
      </c>
      <c r="Y45" s="47"/>
      <c r="Z45" s="22">
        <v>1.0</v>
      </c>
      <c r="AA45" s="23" t="str">
        <f t="shared" si="6"/>
        <v>#DIV/0!</v>
      </c>
    </row>
    <row r="46" ht="14.25" customHeight="1">
      <c r="A46" s="24">
        <v>34.0</v>
      </c>
      <c r="B46" s="19" t="s">
        <v>285</v>
      </c>
      <c r="C46" s="20" t="s">
        <v>286</v>
      </c>
      <c r="D46" s="48"/>
      <c r="E46" s="41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 t="str">
        <f t="shared" si="1"/>
        <v>#DIV/0!</v>
      </c>
      <c r="T46" s="50" t="str">
        <f t="shared" si="2"/>
        <v>#DIV/0!</v>
      </c>
      <c r="U46" s="51" t="str">
        <f t="shared" si="3"/>
        <v>#DIV/0!</v>
      </c>
      <c r="V46" s="52"/>
      <c r="W46" s="52" t="str">
        <f t="shared" si="4"/>
        <v>#DIV/0!</v>
      </c>
      <c r="X46" s="53" t="str">
        <f t="shared" si="5"/>
        <v>#DIV/0!</v>
      </c>
      <c r="Y46" s="54"/>
      <c r="Z46" s="55">
        <v>1.0</v>
      </c>
      <c r="AA46" s="56" t="str">
        <f t="shared" si="6"/>
        <v>#DIV/0!</v>
      </c>
    </row>
    <row r="47" ht="14.25" customHeight="1">
      <c r="A47" s="18">
        <v>35.0</v>
      </c>
      <c r="B47" s="19" t="s">
        <v>287</v>
      </c>
      <c r="C47" s="20" t="s">
        <v>288</v>
      </c>
      <c r="D47" s="40"/>
      <c r="E47" s="41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2" t="str">
        <f t="shared" si="1"/>
        <v>#DIV/0!</v>
      </c>
      <c r="T47" s="43" t="str">
        <f t="shared" si="2"/>
        <v>#DIV/0!</v>
      </c>
      <c r="U47" s="44" t="str">
        <f t="shared" si="3"/>
        <v>#DIV/0!</v>
      </c>
      <c r="V47" s="45"/>
      <c r="W47" s="45" t="str">
        <f t="shared" si="4"/>
        <v>#DIV/0!</v>
      </c>
      <c r="X47" s="46" t="str">
        <f t="shared" si="5"/>
        <v>#DIV/0!</v>
      </c>
      <c r="Y47" s="47"/>
      <c r="Z47" s="22">
        <v>1.0</v>
      </c>
      <c r="AA47" s="23" t="str">
        <f t="shared" si="6"/>
        <v>#DIV/0!</v>
      </c>
    </row>
    <row r="48" ht="14.25" customHeight="1">
      <c r="A48" s="18">
        <v>36.0</v>
      </c>
      <c r="B48" s="19" t="s">
        <v>289</v>
      </c>
      <c r="C48" s="20" t="s">
        <v>290</v>
      </c>
      <c r="D48" s="40"/>
      <c r="E48" s="4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2" t="str">
        <f t="shared" si="1"/>
        <v>#DIV/0!</v>
      </c>
      <c r="T48" s="43" t="str">
        <f t="shared" si="2"/>
        <v>#DIV/0!</v>
      </c>
      <c r="U48" s="44" t="str">
        <f t="shared" si="3"/>
        <v>#DIV/0!</v>
      </c>
      <c r="V48" s="45"/>
      <c r="W48" s="45" t="str">
        <f t="shared" si="4"/>
        <v>#DIV/0!</v>
      </c>
      <c r="X48" s="46" t="str">
        <f t="shared" si="5"/>
        <v>#DIV/0!</v>
      </c>
      <c r="Y48" s="47"/>
      <c r="Z48" s="22">
        <v>1.0</v>
      </c>
      <c r="AA48" s="23" t="str">
        <f t="shared" si="6"/>
        <v>#DIV/0!</v>
      </c>
    </row>
    <row r="49" ht="14.25" customHeight="1">
      <c r="A49" s="18">
        <v>37.0</v>
      </c>
      <c r="B49" s="19" t="s">
        <v>291</v>
      </c>
      <c r="C49" s="20" t="s">
        <v>292</v>
      </c>
      <c r="D49" s="57"/>
      <c r="E49" s="41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42" t="str">
        <f t="shared" si="1"/>
        <v>#DIV/0!</v>
      </c>
      <c r="T49" s="43" t="str">
        <f t="shared" si="2"/>
        <v>#DIV/0!</v>
      </c>
      <c r="U49" s="44" t="str">
        <f t="shared" si="3"/>
        <v>#DIV/0!</v>
      </c>
      <c r="V49" s="45"/>
      <c r="W49" s="45" t="str">
        <f t="shared" si="4"/>
        <v>#DIV/0!</v>
      </c>
      <c r="X49" s="46" t="str">
        <f t="shared" si="5"/>
        <v>#DIV/0!</v>
      </c>
      <c r="Y49" s="47"/>
      <c r="Z49" s="22"/>
      <c r="AA49" s="23" t="str">
        <f t="shared" si="6"/>
        <v>#DIV/0!</v>
      </c>
    </row>
    <row r="50" ht="14.25" customHeight="1">
      <c r="A50" s="18">
        <v>38.0</v>
      </c>
      <c r="B50" s="19" t="s">
        <v>293</v>
      </c>
      <c r="C50" s="20" t="s">
        <v>294</v>
      </c>
      <c r="D50" s="57"/>
      <c r="E50" s="41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42" t="str">
        <f t="shared" si="1"/>
        <v>#DIV/0!</v>
      </c>
      <c r="T50" s="43" t="str">
        <f t="shared" si="2"/>
        <v>#DIV/0!</v>
      </c>
      <c r="U50" s="44" t="str">
        <f t="shared" si="3"/>
        <v>#DIV/0!</v>
      </c>
      <c r="V50" s="45"/>
      <c r="W50" s="45" t="str">
        <f t="shared" si="4"/>
        <v>#DIV/0!</v>
      </c>
      <c r="X50" s="46" t="str">
        <f t="shared" si="5"/>
        <v>#DIV/0!</v>
      </c>
      <c r="Y50" s="47"/>
      <c r="Z50" s="22"/>
      <c r="AA50" s="23" t="str">
        <f t="shared" si="6"/>
        <v>#DIV/0!</v>
      </c>
    </row>
    <row r="51" ht="14.25" customHeight="1">
      <c r="A51" s="18">
        <v>39.0</v>
      </c>
      <c r="B51" s="19" t="s">
        <v>295</v>
      </c>
      <c r="C51" s="20" t="s">
        <v>296</v>
      </c>
      <c r="D51" s="57"/>
      <c r="E51" s="41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42" t="str">
        <f t="shared" si="1"/>
        <v>#DIV/0!</v>
      </c>
      <c r="T51" s="43" t="str">
        <f t="shared" si="2"/>
        <v>#DIV/0!</v>
      </c>
      <c r="U51" s="44" t="str">
        <f t="shared" si="3"/>
        <v>#DIV/0!</v>
      </c>
      <c r="V51" s="45"/>
      <c r="W51" s="45" t="str">
        <f t="shared" si="4"/>
        <v>#DIV/0!</v>
      </c>
      <c r="X51" s="46" t="str">
        <f t="shared" si="5"/>
        <v>#DIV/0!</v>
      </c>
      <c r="Y51" s="47"/>
      <c r="Z51" s="22"/>
      <c r="AA51" s="23" t="str">
        <f t="shared" si="6"/>
        <v>#DIV/0!</v>
      </c>
    </row>
    <row r="52" ht="14.25" customHeight="1">
      <c r="A52" s="18">
        <v>40.0</v>
      </c>
      <c r="B52" s="19" t="s">
        <v>297</v>
      </c>
      <c r="C52" s="20" t="s">
        <v>298</v>
      </c>
      <c r="D52" s="57"/>
      <c r="E52" s="41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42" t="str">
        <f t="shared" si="1"/>
        <v>#DIV/0!</v>
      </c>
      <c r="T52" s="43" t="str">
        <f t="shared" si="2"/>
        <v>#DIV/0!</v>
      </c>
      <c r="U52" s="44" t="str">
        <f t="shared" si="3"/>
        <v>#DIV/0!</v>
      </c>
      <c r="V52" s="45"/>
      <c r="W52" s="45" t="str">
        <f t="shared" si="4"/>
        <v>#DIV/0!</v>
      </c>
      <c r="X52" s="46" t="str">
        <f t="shared" si="5"/>
        <v>#DIV/0!</v>
      </c>
      <c r="Y52" s="47"/>
      <c r="Z52" s="22"/>
      <c r="AA52" s="23" t="str">
        <f t="shared" si="6"/>
        <v>#DIV/0!</v>
      </c>
    </row>
    <row r="53" ht="14.25" customHeight="1">
      <c r="A53" s="18">
        <v>41.0</v>
      </c>
      <c r="B53" s="19" t="s">
        <v>299</v>
      </c>
      <c r="C53" s="20" t="s">
        <v>300</v>
      </c>
      <c r="D53" s="57"/>
      <c r="E53" s="41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42" t="str">
        <f t="shared" si="1"/>
        <v>#DIV/0!</v>
      </c>
      <c r="T53" s="43" t="str">
        <f t="shared" si="2"/>
        <v>#DIV/0!</v>
      </c>
      <c r="U53" s="44" t="str">
        <f t="shared" si="3"/>
        <v>#DIV/0!</v>
      </c>
      <c r="V53" s="45"/>
      <c r="W53" s="45" t="str">
        <f t="shared" si="4"/>
        <v>#DIV/0!</v>
      </c>
      <c r="X53" s="46" t="str">
        <f t="shared" si="5"/>
        <v>#DIV/0!</v>
      </c>
      <c r="Y53" s="47"/>
      <c r="Z53" s="22"/>
      <c r="AA53" s="23" t="str">
        <f t="shared" si="6"/>
        <v>#DIV/0!</v>
      </c>
    </row>
    <row r="54" ht="14.25" customHeight="1">
      <c r="A54" s="18">
        <v>42.0</v>
      </c>
      <c r="B54" s="19" t="s">
        <v>301</v>
      </c>
      <c r="C54" s="20" t="s">
        <v>302</v>
      </c>
      <c r="D54" s="57"/>
      <c r="E54" s="41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42" t="str">
        <f t="shared" si="1"/>
        <v>#DIV/0!</v>
      </c>
      <c r="T54" s="43" t="str">
        <f t="shared" si="2"/>
        <v>#DIV/0!</v>
      </c>
      <c r="U54" s="44" t="str">
        <f t="shared" si="3"/>
        <v>#DIV/0!</v>
      </c>
      <c r="V54" s="45"/>
      <c r="W54" s="45" t="str">
        <f t="shared" si="4"/>
        <v>#DIV/0!</v>
      </c>
      <c r="X54" s="46" t="str">
        <f t="shared" si="5"/>
        <v>#DIV/0!</v>
      </c>
      <c r="Y54" s="47"/>
      <c r="Z54" s="22"/>
      <c r="AA54" s="23" t="str">
        <f t="shared" si="6"/>
        <v>#DIV/0!</v>
      </c>
    </row>
    <row r="55" ht="14.25" customHeight="1">
      <c r="A55" s="18">
        <v>43.0</v>
      </c>
      <c r="B55" s="19" t="s">
        <v>303</v>
      </c>
      <c r="C55" s="20" t="s">
        <v>304</v>
      </c>
      <c r="D55" s="57"/>
      <c r="E55" s="41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42" t="str">
        <f t="shared" si="1"/>
        <v>#DIV/0!</v>
      </c>
      <c r="T55" s="43" t="str">
        <f t="shared" si="2"/>
        <v>#DIV/0!</v>
      </c>
      <c r="U55" s="44" t="str">
        <f t="shared" si="3"/>
        <v>#DIV/0!</v>
      </c>
      <c r="V55" s="45"/>
      <c r="W55" s="45" t="str">
        <f t="shared" si="4"/>
        <v>#DIV/0!</v>
      </c>
      <c r="X55" s="46" t="str">
        <f t="shared" si="5"/>
        <v>#DIV/0!</v>
      </c>
      <c r="Y55" s="47"/>
      <c r="Z55" s="22"/>
      <c r="AA55" s="23" t="str">
        <f t="shared" si="6"/>
        <v>#DIV/0!</v>
      </c>
    </row>
    <row r="56" ht="14.25" customHeight="1">
      <c r="A56" s="18">
        <v>44.0</v>
      </c>
      <c r="B56" s="19" t="s">
        <v>305</v>
      </c>
      <c r="C56" s="20" t="s">
        <v>306</v>
      </c>
      <c r="D56" s="57"/>
      <c r="E56" s="41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42" t="str">
        <f t="shared" si="1"/>
        <v>#DIV/0!</v>
      </c>
      <c r="T56" s="43" t="str">
        <f t="shared" si="2"/>
        <v>#DIV/0!</v>
      </c>
      <c r="U56" s="44" t="str">
        <f t="shared" si="3"/>
        <v>#DIV/0!</v>
      </c>
      <c r="V56" s="45"/>
      <c r="W56" s="45" t="str">
        <f t="shared" si="4"/>
        <v>#DIV/0!</v>
      </c>
      <c r="X56" s="46" t="str">
        <f t="shared" si="5"/>
        <v>#DIV/0!</v>
      </c>
      <c r="Y56" s="47"/>
      <c r="Z56" s="22"/>
      <c r="AA56" s="23" t="str">
        <f t="shared" si="6"/>
        <v>#DIV/0!</v>
      </c>
    </row>
    <row r="57" ht="14.25" customHeight="1">
      <c r="A57" s="18">
        <v>45.0</v>
      </c>
      <c r="B57" s="19" t="s">
        <v>307</v>
      </c>
      <c r="C57" s="20" t="s">
        <v>308</v>
      </c>
      <c r="D57" s="57"/>
      <c r="E57" s="41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42" t="str">
        <f t="shared" si="1"/>
        <v>#DIV/0!</v>
      </c>
      <c r="T57" s="43" t="str">
        <f t="shared" si="2"/>
        <v>#DIV/0!</v>
      </c>
      <c r="U57" s="44" t="str">
        <f t="shared" si="3"/>
        <v>#DIV/0!</v>
      </c>
      <c r="V57" s="45"/>
      <c r="W57" s="45" t="str">
        <f t="shared" si="4"/>
        <v>#DIV/0!</v>
      </c>
      <c r="X57" s="46" t="str">
        <f t="shared" si="5"/>
        <v>#DIV/0!</v>
      </c>
      <c r="Y57" s="47"/>
      <c r="Z57" s="22"/>
      <c r="AA57" s="23" t="str">
        <f t="shared" si="6"/>
        <v>#DIV/0!</v>
      </c>
    </row>
    <row r="58" ht="14.25" customHeight="1"/>
    <row r="59" ht="14.25" customHeight="1">
      <c r="Y59" s="26" t="s">
        <v>109</v>
      </c>
      <c r="AA59" s="26"/>
    </row>
    <row r="60" ht="14.25" customHeight="1">
      <c r="Y60" s="26" t="s">
        <v>110</v>
      </c>
    </row>
    <row r="61" ht="14.25" customHeight="1">
      <c r="Y61" s="26" t="s">
        <v>111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D11:H11"/>
    <mergeCell ref="I11:M11"/>
    <mergeCell ref="N11:R11"/>
    <mergeCell ref="S11:U11"/>
    <mergeCell ref="V11:V12"/>
    <mergeCell ref="W11:W12"/>
    <mergeCell ref="X11:X12"/>
    <mergeCell ref="Y11:Y12"/>
    <mergeCell ref="Z11:Z12"/>
    <mergeCell ref="AA11:AA12"/>
    <mergeCell ref="A1:AA1"/>
    <mergeCell ref="A3:AA3"/>
    <mergeCell ref="A4:AA4"/>
    <mergeCell ref="A10:A12"/>
    <mergeCell ref="B10:B12"/>
    <mergeCell ref="C10:C12"/>
    <mergeCell ref="D10:AA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9.86"/>
    <col customWidth="1" min="3" max="3" width="28.86"/>
    <col customWidth="1" min="4" max="18" width="3.57"/>
    <col customWidth="1" min="19" max="19" width="4.71"/>
    <col customWidth="1" min="20" max="21" width="4.57"/>
    <col customWidth="1" min="22" max="22" width="5.14"/>
    <col customWidth="1" min="23" max="23" width="5.29"/>
    <col customWidth="1" min="24" max="24" width="5.14"/>
    <col customWidth="1" min="25" max="25" width="4.86"/>
    <col customWidth="1" min="26" max="26" width="5.43"/>
    <col customWidth="1" min="27" max="27" width="5.14"/>
  </cols>
  <sheetData>
    <row r="1" ht="78.0" customHeight="1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0" customHeight="1"/>
    <row r="3" ht="14.25" customHeight="1">
      <c r="A3" s="3" t="s">
        <v>1</v>
      </c>
    </row>
    <row r="4" ht="14.25" customHeight="1">
      <c r="A4" s="3" t="s">
        <v>2</v>
      </c>
    </row>
    <row r="5" ht="3.75" customHeight="1">
      <c r="B5" s="4"/>
      <c r="D5" s="4"/>
      <c r="E5" s="4"/>
    </row>
    <row r="6" ht="14.25" customHeight="1">
      <c r="A6" s="4" t="s">
        <v>3</v>
      </c>
      <c r="C6" s="5" t="s">
        <v>4</v>
      </c>
      <c r="E6" s="5"/>
    </row>
    <row r="7" ht="14.25" customHeight="1">
      <c r="A7" s="4" t="s">
        <v>5</v>
      </c>
      <c r="C7" s="5" t="s">
        <v>310</v>
      </c>
      <c r="E7" s="5"/>
    </row>
    <row r="8" ht="14.25" customHeight="1">
      <c r="A8" s="4" t="s">
        <v>7</v>
      </c>
      <c r="C8" s="5" t="s">
        <v>8</v>
      </c>
      <c r="E8" s="5"/>
    </row>
    <row r="9" ht="14.25" customHeight="1">
      <c r="E9" s="5"/>
    </row>
    <row r="10" ht="14.25" customHeight="1">
      <c r="A10" s="6" t="s">
        <v>9</v>
      </c>
      <c r="B10" s="6" t="s">
        <v>10</v>
      </c>
      <c r="C10" s="7" t="s">
        <v>11</v>
      </c>
      <c r="D10" s="8" t="s">
        <v>114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ht="35.25" customHeight="1">
      <c r="A11" s="11"/>
      <c r="B11" s="11"/>
      <c r="C11" s="11"/>
      <c r="D11" s="27"/>
      <c r="E11" s="9"/>
      <c r="F11" s="9"/>
      <c r="G11" s="9"/>
      <c r="H11" s="10"/>
      <c r="I11" s="27"/>
      <c r="J11" s="9"/>
      <c r="K11" s="9"/>
      <c r="L11" s="9"/>
      <c r="M11" s="10"/>
      <c r="N11" s="27"/>
      <c r="O11" s="9"/>
      <c r="P11" s="9"/>
      <c r="Q11" s="9"/>
      <c r="R11" s="10"/>
      <c r="S11" s="28" t="s">
        <v>115</v>
      </c>
      <c r="T11" s="9"/>
      <c r="U11" s="10"/>
      <c r="V11" s="29" t="s">
        <v>116</v>
      </c>
      <c r="W11" s="30" t="s">
        <v>117</v>
      </c>
      <c r="X11" s="31" t="s">
        <v>118</v>
      </c>
      <c r="Y11" s="32" t="s">
        <v>119</v>
      </c>
      <c r="Z11" s="13" t="s">
        <v>13</v>
      </c>
      <c r="AA11" s="14" t="s">
        <v>14</v>
      </c>
    </row>
    <row r="12" ht="15.75" customHeight="1">
      <c r="A12" s="15"/>
      <c r="B12" s="15"/>
      <c r="C12" s="15"/>
      <c r="D12" s="33">
        <v>1.0</v>
      </c>
      <c r="E12" s="34">
        <v>2.0</v>
      </c>
      <c r="F12" s="34">
        <v>3.0</v>
      </c>
      <c r="G12" s="35">
        <v>4.0</v>
      </c>
      <c r="H12" s="35">
        <v>5.0</v>
      </c>
      <c r="I12" s="35">
        <v>1.0</v>
      </c>
      <c r="J12" s="35">
        <v>2.0</v>
      </c>
      <c r="K12" s="35">
        <v>3.0</v>
      </c>
      <c r="L12" s="35">
        <v>4.0</v>
      </c>
      <c r="M12" s="35">
        <v>5.0</v>
      </c>
      <c r="N12" s="35">
        <v>1.0</v>
      </c>
      <c r="O12" s="35">
        <v>2.0</v>
      </c>
      <c r="P12" s="35">
        <v>3.0</v>
      </c>
      <c r="Q12" s="35">
        <v>4.0</v>
      </c>
      <c r="R12" s="35">
        <v>5.0</v>
      </c>
      <c r="S12" s="36" t="s">
        <v>120</v>
      </c>
      <c r="T12" s="37" t="s">
        <v>121</v>
      </c>
      <c r="U12" s="38" t="s">
        <v>122</v>
      </c>
      <c r="V12" s="15"/>
      <c r="W12" s="39"/>
      <c r="X12" s="16"/>
      <c r="Y12" s="16"/>
      <c r="Z12" s="16"/>
      <c r="AA12" s="17"/>
    </row>
    <row r="13" ht="14.25" customHeight="1">
      <c r="A13" s="18">
        <v>1.0</v>
      </c>
      <c r="B13" s="19" t="s">
        <v>311</v>
      </c>
      <c r="C13" s="20" t="s">
        <v>312</v>
      </c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2" t="str">
        <f t="shared" ref="S13:S58" si="1">AVERAGE(D13:H13)</f>
        <v>#DIV/0!</v>
      </c>
      <c r="T13" s="43" t="str">
        <f t="shared" ref="T13:T58" si="2">AVERAGE(I13:M13)</f>
        <v>#DIV/0!</v>
      </c>
      <c r="U13" s="44" t="str">
        <f t="shared" ref="U13:U58" si="3">AVERAGE(N13:R13)</f>
        <v>#DIV/0!</v>
      </c>
      <c r="V13" s="45"/>
      <c r="W13" s="45" t="str">
        <f t="shared" ref="W13:W58" si="4">AVERAGE(S13:U13)</f>
        <v>#DIV/0!</v>
      </c>
      <c r="X13" s="46" t="str">
        <f t="shared" ref="X13:X58" si="5">ROUND(AVERAGE(V13:W13),0)</f>
        <v>#DIV/0!</v>
      </c>
      <c r="Y13" s="47"/>
      <c r="Z13" s="22">
        <v>1.0</v>
      </c>
      <c r="AA13" s="23" t="str">
        <f t="shared" ref="AA13:AA58" si="6">ROUND(IF((X13*(IF(Y13="A",105%,IF(Y13="B",102%,IF(Y13="C",75%,50%))))*Z13)&gt;100,100,(X13*(IF(Y13="A",105%,IF(Y13="B",102%,IF(Y13="C",75%,50%))))*Z13)),0)</f>
        <v>#DIV/0!</v>
      </c>
    </row>
    <row r="14" ht="14.25" customHeight="1">
      <c r="A14" s="18">
        <v>2.0</v>
      </c>
      <c r="B14" s="19" t="s">
        <v>313</v>
      </c>
      <c r="C14" s="20" t="s">
        <v>314</v>
      </c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 t="str">
        <f t="shared" si="1"/>
        <v>#DIV/0!</v>
      </c>
      <c r="T14" s="43" t="str">
        <f t="shared" si="2"/>
        <v>#DIV/0!</v>
      </c>
      <c r="U14" s="44" t="str">
        <f t="shared" si="3"/>
        <v>#DIV/0!</v>
      </c>
      <c r="V14" s="45"/>
      <c r="W14" s="45" t="str">
        <f t="shared" si="4"/>
        <v>#DIV/0!</v>
      </c>
      <c r="X14" s="46" t="str">
        <f t="shared" si="5"/>
        <v>#DIV/0!</v>
      </c>
      <c r="Y14" s="47"/>
      <c r="Z14" s="22">
        <v>1.0</v>
      </c>
      <c r="AA14" s="23" t="str">
        <f t="shared" si="6"/>
        <v>#DIV/0!</v>
      </c>
    </row>
    <row r="15" ht="14.25" customHeight="1">
      <c r="A15" s="18">
        <v>3.0</v>
      </c>
      <c r="B15" s="19" t="s">
        <v>315</v>
      </c>
      <c r="C15" s="20" t="s">
        <v>316</v>
      </c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2" t="str">
        <f t="shared" si="1"/>
        <v>#DIV/0!</v>
      </c>
      <c r="T15" s="43" t="str">
        <f t="shared" si="2"/>
        <v>#DIV/0!</v>
      </c>
      <c r="U15" s="44" t="str">
        <f t="shared" si="3"/>
        <v>#DIV/0!</v>
      </c>
      <c r="V15" s="45"/>
      <c r="W15" s="45" t="str">
        <f t="shared" si="4"/>
        <v>#DIV/0!</v>
      </c>
      <c r="X15" s="46" t="str">
        <f t="shared" si="5"/>
        <v>#DIV/0!</v>
      </c>
      <c r="Y15" s="47"/>
      <c r="Z15" s="22">
        <v>1.0</v>
      </c>
      <c r="AA15" s="23" t="str">
        <f t="shared" si="6"/>
        <v>#DIV/0!</v>
      </c>
    </row>
    <row r="16" ht="14.25" customHeight="1">
      <c r="A16" s="18">
        <v>4.0</v>
      </c>
      <c r="B16" s="19" t="s">
        <v>317</v>
      </c>
      <c r="C16" s="20" t="s">
        <v>318</v>
      </c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 t="str">
        <f t="shared" si="1"/>
        <v>#DIV/0!</v>
      </c>
      <c r="T16" s="43" t="str">
        <f t="shared" si="2"/>
        <v>#DIV/0!</v>
      </c>
      <c r="U16" s="44" t="str">
        <f t="shared" si="3"/>
        <v>#DIV/0!</v>
      </c>
      <c r="V16" s="45"/>
      <c r="W16" s="45" t="str">
        <f t="shared" si="4"/>
        <v>#DIV/0!</v>
      </c>
      <c r="X16" s="46" t="str">
        <f t="shared" si="5"/>
        <v>#DIV/0!</v>
      </c>
      <c r="Y16" s="47"/>
      <c r="Z16" s="22">
        <v>1.0</v>
      </c>
      <c r="AA16" s="23" t="str">
        <f t="shared" si="6"/>
        <v>#DIV/0!</v>
      </c>
    </row>
    <row r="17" ht="14.25" customHeight="1">
      <c r="A17" s="18">
        <v>5.0</v>
      </c>
      <c r="B17" s="19" t="s">
        <v>319</v>
      </c>
      <c r="C17" s="20" t="s">
        <v>320</v>
      </c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 t="str">
        <f t="shared" si="1"/>
        <v>#DIV/0!</v>
      </c>
      <c r="T17" s="43" t="str">
        <f t="shared" si="2"/>
        <v>#DIV/0!</v>
      </c>
      <c r="U17" s="44" t="str">
        <f t="shared" si="3"/>
        <v>#DIV/0!</v>
      </c>
      <c r="V17" s="45"/>
      <c r="W17" s="45" t="str">
        <f t="shared" si="4"/>
        <v>#DIV/0!</v>
      </c>
      <c r="X17" s="46" t="str">
        <f t="shared" si="5"/>
        <v>#DIV/0!</v>
      </c>
      <c r="Y17" s="47"/>
      <c r="Z17" s="22">
        <v>1.0</v>
      </c>
      <c r="AA17" s="23" t="str">
        <f t="shared" si="6"/>
        <v>#DIV/0!</v>
      </c>
    </row>
    <row r="18" ht="14.25" customHeight="1">
      <c r="A18" s="18">
        <v>6.0</v>
      </c>
      <c r="B18" s="19" t="s">
        <v>321</v>
      </c>
      <c r="C18" s="20" t="s">
        <v>322</v>
      </c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2" t="str">
        <f t="shared" si="1"/>
        <v>#DIV/0!</v>
      </c>
      <c r="T18" s="43" t="str">
        <f t="shared" si="2"/>
        <v>#DIV/0!</v>
      </c>
      <c r="U18" s="44" t="str">
        <f t="shared" si="3"/>
        <v>#DIV/0!</v>
      </c>
      <c r="V18" s="45"/>
      <c r="W18" s="45" t="str">
        <f t="shared" si="4"/>
        <v>#DIV/0!</v>
      </c>
      <c r="X18" s="46" t="str">
        <f t="shared" si="5"/>
        <v>#DIV/0!</v>
      </c>
      <c r="Y18" s="47"/>
      <c r="Z18" s="22">
        <v>1.0</v>
      </c>
      <c r="AA18" s="23" t="str">
        <f t="shared" si="6"/>
        <v>#DIV/0!</v>
      </c>
    </row>
    <row r="19" ht="14.25" customHeight="1">
      <c r="A19" s="18">
        <v>7.0</v>
      </c>
      <c r="B19" s="19" t="s">
        <v>323</v>
      </c>
      <c r="C19" s="20" t="s">
        <v>324</v>
      </c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2" t="str">
        <f t="shared" si="1"/>
        <v>#DIV/0!</v>
      </c>
      <c r="T19" s="43" t="str">
        <f t="shared" si="2"/>
        <v>#DIV/0!</v>
      </c>
      <c r="U19" s="44" t="str">
        <f t="shared" si="3"/>
        <v>#DIV/0!</v>
      </c>
      <c r="V19" s="45"/>
      <c r="W19" s="45" t="str">
        <f t="shared" si="4"/>
        <v>#DIV/0!</v>
      </c>
      <c r="X19" s="46" t="str">
        <f t="shared" si="5"/>
        <v>#DIV/0!</v>
      </c>
      <c r="Y19" s="47"/>
      <c r="Z19" s="22">
        <v>1.0</v>
      </c>
      <c r="AA19" s="23" t="str">
        <f t="shared" si="6"/>
        <v>#DIV/0!</v>
      </c>
    </row>
    <row r="20" ht="14.25" customHeight="1">
      <c r="A20" s="18">
        <v>8.0</v>
      </c>
      <c r="B20" s="19" t="s">
        <v>325</v>
      </c>
      <c r="C20" s="20" t="s">
        <v>326</v>
      </c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2" t="str">
        <f t="shared" si="1"/>
        <v>#DIV/0!</v>
      </c>
      <c r="T20" s="43" t="str">
        <f t="shared" si="2"/>
        <v>#DIV/0!</v>
      </c>
      <c r="U20" s="44" t="str">
        <f t="shared" si="3"/>
        <v>#DIV/0!</v>
      </c>
      <c r="V20" s="45"/>
      <c r="W20" s="45" t="str">
        <f t="shared" si="4"/>
        <v>#DIV/0!</v>
      </c>
      <c r="X20" s="46" t="str">
        <f t="shared" si="5"/>
        <v>#DIV/0!</v>
      </c>
      <c r="Y20" s="47"/>
      <c r="Z20" s="22">
        <v>1.0</v>
      </c>
      <c r="AA20" s="23" t="str">
        <f t="shared" si="6"/>
        <v>#DIV/0!</v>
      </c>
    </row>
    <row r="21" ht="14.25" customHeight="1">
      <c r="A21" s="18">
        <v>9.0</v>
      </c>
      <c r="B21" s="19" t="s">
        <v>327</v>
      </c>
      <c r="C21" s="20" t="s">
        <v>328</v>
      </c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2" t="str">
        <f t="shared" si="1"/>
        <v>#DIV/0!</v>
      </c>
      <c r="T21" s="43" t="str">
        <f t="shared" si="2"/>
        <v>#DIV/0!</v>
      </c>
      <c r="U21" s="44" t="str">
        <f t="shared" si="3"/>
        <v>#DIV/0!</v>
      </c>
      <c r="V21" s="45"/>
      <c r="W21" s="45" t="str">
        <f t="shared" si="4"/>
        <v>#DIV/0!</v>
      </c>
      <c r="X21" s="46" t="str">
        <f t="shared" si="5"/>
        <v>#DIV/0!</v>
      </c>
      <c r="Y21" s="47"/>
      <c r="Z21" s="22">
        <v>1.0</v>
      </c>
      <c r="AA21" s="23" t="str">
        <f t="shared" si="6"/>
        <v>#DIV/0!</v>
      </c>
    </row>
    <row r="22" ht="14.25" customHeight="1">
      <c r="A22" s="18">
        <v>10.0</v>
      </c>
      <c r="B22" s="19" t="s">
        <v>329</v>
      </c>
      <c r="C22" s="20" t="s">
        <v>330</v>
      </c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2" t="str">
        <f t="shared" si="1"/>
        <v>#DIV/0!</v>
      </c>
      <c r="T22" s="43" t="str">
        <f t="shared" si="2"/>
        <v>#DIV/0!</v>
      </c>
      <c r="U22" s="44" t="str">
        <f t="shared" si="3"/>
        <v>#DIV/0!</v>
      </c>
      <c r="V22" s="45"/>
      <c r="W22" s="45" t="str">
        <f t="shared" si="4"/>
        <v>#DIV/0!</v>
      </c>
      <c r="X22" s="46" t="str">
        <f t="shared" si="5"/>
        <v>#DIV/0!</v>
      </c>
      <c r="Y22" s="47"/>
      <c r="Z22" s="22">
        <v>1.0</v>
      </c>
      <c r="AA22" s="23" t="str">
        <f t="shared" si="6"/>
        <v>#DIV/0!</v>
      </c>
    </row>
    <row r="23" ht="14.25" customHeight="1">
      <c r="A23" s="18">
        <v>11.0</v>
      </c>
      <c r="B23" s="19" t="s">
        <v>331</v>
      </c>
      <c r="C23" s="20" t="s">
        <v>332</v>
      </c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 t="str">
        <f t="shared" si="1"/>
        <v>#DIV/0!</v>
      </c>
      <c r="T23" s="43" t="str">
        <f t="shared" si="2"/>
        <v>#DIV/0!</v>
      </c>
      <c r="U23" s="44" t="str">
        <f t="shared" si="3"/>
        <v>#DIV/0!</v>
      </c>
      <c r="V23" s="45"/>
      <c r="W23" s="45" t="str">
        <f t="shared" si="4"/>
        <v>#DIV/0!</v>
      </c>
      <c r="X23" s="46" t="str">
        <f t="shared" si="5"/>
        <v>#DIV/0!</v>
      </c>
      <c r="Y23" s="47"/>
      <c r="Z23" s="22">
        <v>1.0</v>
      </c>
      <c r="AA23" s="23" t="str">
        <f t="shared" si="6"/>
        <v>#DIV/0!</v>
      </c>
    </row>
    <row r="24" ht="14.25" customHeight="1">
      <c r="A24" s="18">
        <v>12.0</v>
      </c>
      <c r="B24" s="19" t="s">
        <v>333</v>
      </c>
      <c r="C24" s="20" t="s">
        <v>334</v>
      </c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 t="str">
        <f t="shared" si="1"/>
        <v>#DIV/0!</v>
      </c>
      <c r="T24" s="43" t="str">
        <f t="shared" si="2"/>
        <v>#DIV/0!</v>
      </c>
      <c r="U24" s="44" t="str">
        <f t="shared" si="3"/>
        <v>#DIV/0!</v>
      </c>
      <c r="V24" s="45"/>
      <c r="W24" s="45" t="str">
        <f t="shared" si="4"/>
        <v>#DIV/0!</v>
      </c>
      <c r="X24" s="46" t="str">
        <f t="shared" si="5"/>
        <v>#DIV/0!</v>
      </c>
      <c r="Y24" s="47"/>
      <c r="Z24" s="22">
        <v>1.0</v>
      </c>
      <c r="AA24" s="23" t="str">
        <f t="shared" si="6"/>
        <v>#DIV/0!</v>
      </c>
    </row>
    <row r="25" ht="14.25" customHeight="1">
      <c r="A25" s="18">
        <v>13.0</v>
      </c>
      <c r="B25" s="19" t="s">
        <v>335</v>
      </c>
      <c r="C25" s="20" t="s">
        <v>336</v>
      </c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 t="str">
        <f t="shared" si="1"/>
        <v>#DIV/0!</v>
      </c>
      <c r="T25" s="43" t="str">
        <f t="shared" si="2"/>
        <v>#DIV/0!</v>
      </c>
      <c r="U25" s="44" t="str">
        <f t="shared" si="3"/>
        <v>#DIV/0!</v>
      </c>
      <c r="V25" s="45"/>
      <c r="W25" s="45" t="str">
        <f t="shared" si="4"/>
        <v>#DIV/0!</v>
      </c>
      <c r="X25" s="46" t="str">
        <f t="shared" si="5"/>
        <v>#DIV/0!</v>
      </c>
      <c r="Y25" s="47"/>
      <c r="Z25" s="22">
        <v>1.0</v>
      </c>
      <c r="AA25" s="23" t="str">
        <f t="shared" si="6"/>
        <v>#DIV/0!</v>
      </c>
    </row>
    <row r="26" ht="14.25" customHeight="1">
      <c r="A26" s="18">
        <v>14.0</v>
      </c>
      <c r="B26" s="19" t="s">
        <v>337</v>
      </c>
      <c r="C26" s="20" t="s">
        <v>338</v>
      </c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 t="str">
        <f t="shared" si="1"/>
        <v>#DIV/0!</v>
      </c>
      <c r="T26" s="43" t="str">
        <f t="shared" si="2"/>
        <v>#DIV/0!</v>
      </c>
      <c r="U26" s="44" t="str">
        <f t="shared" si="3"/>
        <v>#DIV/0!</v>
      </c>
      <c r="V26" s="45"/>
      <c r="W26" s="45" t="str">
        <f t="shared" si="4"/>
        <v>#DIV/0!</v>
      </c>
      <c r="X26" s="46" t="str">
        <f t="shared" si="5"/>
        <v>#DIV/0!</v>
      </c>
      <c r="Y26" s="47"/>
      <c r="Z26" s="22">
        <v>1.0</v>
      </c>
      <c r="AA26" s="23" t="str">
        <f t="shared" si="6"/>
        <v>#DIV/0!</v>
      </c>
    </row>
    <row r="27" ht="14.25" customHeight="1">
      <c r="A27" s="18">
        <v>15.0</v>
      </c>
      <c r="B27" s="19" t="s">
        <v>339</v>
      </c>
      <c r="C27" s="20" t="s">
        <v>340</v>
      </c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 t="str">
        <f t="shared" si="1"/>
        <v>#DIV/0!</v>
      </c>
      <c r="T27" s="43" t="str">
        <f t="shared" si="2"/>
        <v>#DIV/0!</v>
      </c>
      <c r="U27" s="44" t="str">
        <f t="shared" si="3"/>
        <v>#DIV/0!</v>
      </c>
      <c r="V27" s="45"/>
      <c r="W27" s="45" t="str">
        <f t="shared" si="4"/>
        <v>#DIV/0!</v>
      </c>
      <c r="X27" s="46" t="str">
        <f t="shared" si="5"/>
        <v>#DIV/0!</v>
      </c>
      <c r="Y27" s="47"/>
      <c r="Z27" s="22">
        <v>1.0</v>
      </c>
      <c r="AA27" s="23" t="str">
        <f t="shared" si="6"/>
        <v>#DIV/0!</v>
      </c>
    </row>
    <row r="28" ht="14.25" customHeight="1">
      <c r="A28" s="18">
        <v>16.0</v>
      </c>
      <c r="B28" s="19" t="s">
        <v>341</v>
      </c>
      <c r="C28" s="20" t="s">
        <v>342</v>
      </c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2" t="str">
        <f t="shared" si="1"/>
        <v>#DIV/0!</v>
      </c>
      <c r="T28" s="43" t="str">
        <f t="shared" si="2"/>
        <v>#DIV/0!</v>
      </c>
      <c r="U28" s="44" t="str">
        <f t="shared" si="3"/>
        <v>#DIV/0!</v>
      </c>
      <c r="V28" s="45"/>
      <c r="W28" s="45" t="str">
        <f t="shared" si="4"/>
        <v>#DIV/0!</v>
      </c>
      <c r="X28" s="46" t="str">
        <f t="shared" si="5"/>
        <v>#DIV/0!</v>
      </c>
      <c r="Y28" s="47"/>
      <c r="Z28" s="22">
        <v>1.0</v>
      </c>
      <c r="AA28" s="23" t="str">
        <f t="shared" si="6"/>
        <v>#DIV/0!</v>
      </c>
    </row>
    <row r="29" ht="14.25" customHeight="1">
      <c r="A29" s="18">
        <v>17.0</v>
      </c>
      <c r="B29" s="19" t="s">
        <v>343</v>
      </c>
      <c r="C29" s="20" t="s">
        <v>344</v>
      </c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2" t="str">
        <f t="shared" si="1"/>
        <v>#DIV/0!</v>
      </c>
      <c r="T29" s="43" t="str">
        <f t="shared" si="2"/>
        <v>#DIV/0!</v>
      </c>
      <c r="U29" s="44" t="str">
        <f t="shared" si="3"/>
        <v>#DIV/0!</v>
      </c>
      <c r="V29" s="45"/>
      <c r="W29" s="45" t="str">
        <f t="shared" si="4"/>
        <v>#DIV/0!</v>
      </c>
      <c r="X29" s="46" t="str">
        <f t="shared" si="5"/>
        <v>#DIV/0!</v>
      </c>
      <c r="Y29" s="47"/>
      <c r="Z29" s="22">
        <v>1.0</v>
      </c>
      <c r="AA29" s="23" t="str">
        <f t="shared" si="6"/>
        <v>#DIV/0!</v>
      </c>
    </row>
    <row r="30" ht="14.25" customHeight="1">
      <c r="A30" s="18">
        <v>18.0</v>
      </c>
      <c r="B30" s="19" t="s">
        <v>345</v>
      </c>
      <c r="C30" s="20" t="s">
        <v>346</v>
      </c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2" t="str">
        <f t="shared" si="1"/>
        <v>#DIV/0!</v>
      </c>
      <c r="T30" s="43" t="str">
        <f t="shared" si="2"/>
        <v>#DIV/0!</v>
      </c>
      <c r="U30" s="44" t="str">
        <f t="shared" si="3"/>
        <v>#DIV/0!</v>
      </c>
      <c r="V30" s="45"/>
      <c r="W30" s="45" t="str">
        <f t="shared" si="4"/>
        <v>#DIV/0!</v>
      </c>
      <c r="X30" s="46" t="str">
        <f t="shared" si="5"/>
        <v>#DIV/0!</v>
      </c>
      <c r="Y30" s="47"/>
      <c r="Z30" s="22">
        <v>1.0</v>
      </c>
      <c r="AA30" s="23" t="str">
        <f t="shared" si="6"/>
        <v>#DIV/0!</v>
      </c>
    </row>
    <row r="31" ht="14.25" customHeight="1">
      <c r="A31" s="18">
        <v>19.0</v>
      </c>
      <c r="B31" s="19" t="s">
        <v>347</v>
      </c>
      <c r="C31" s="20" t="s">
        <v>348</v>
      </c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2" t="str">
        <f t="shared" si="1"/>
        <v>#DIV/0!</v>
      </c>
      <c r="T31" s="43" t="str">
        <f t="shared" si="2"/>
        <v>#DIV/0!</v>
      </c>
      <c r="U31" s="44" t="str">
        <f t="shared" si="3"/>
        <v>#DIV/0!</v>
      </c>
      <c r="V31" s="45"/>
      <c r="W31" s="45" t="str">
        <f t="shared" si="4"/>
        <v>#DIV/0!</v>
      </c>
      <c r="X31" s="46" t="str">
        <f t="shared" si="5"/>
        <v>#DIV/0!</v>
      </c>
      <c r="Y31" s="47"/>
      <c r="Z31" s="22">
        <v>1.0</v>
      </c>
      <c r="AA31" s="23" t="str">
        <f t="shared" si="6"/>
        <v>#DIV/0!</v>
      </c>
    </row>
    <row r="32" ht="14.25" customHeight="1">
      <c r="A32" s="18">
        <v>20.0</v>
      </c>
      <c r="B32" s="19" t="s">
        <v>349</v>
      </c>
      <c r="C32" s="20" t="s">
        <v>350</v>
      </c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2" t="str">
        <f t="shared" si="1"/>
        <v>#DIV/0!</v>
      </c>
      <c r="T32" s="43" t="str">
        <f t="shared" si="2"/>
        <v>#DIV/0!</v>
      </c>
      <c r="U32" s="44" t="str">
        <f t="shared" si="3"/>
        <v>#DIV/0!</v>
      </c>
      <c r="V32" s="45"/>
      <c r="W32" s="45" t="str">
        <f t="shared" si="4"/>
        <v>#DIV/0!</v>
      </c>
      <c r="X32" s="46" t="str">
        <f t="shared" si="5"/>
        <v>#DIV/0!</v>
      </c>
      <c r="Y32" s="47"/>
      <c r="Z32" s="22">
        <v>1.0</v>
      </c>
      <c r="AA32" s="23" t="str">
        <f t="shared" si="6"/>
        <v>#DIV/0!</v>
      </c>
    </row>
    <row r="33" ht="14.25" customHeight="1">
      <c r="A33" s="18">
        <v>21.0</v>
      </c>
      <c r="B33" s="19" t="s">
        <v>351</v>
      </c>
      <c r="C33" s="20" t="s">
        <v>352</v>
      </c>
      <c r="D33" s="40"/>
      <c r="E33" s="41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2" t="str">
        <f t="shared" si="1"/>
        <v>#DIV/0!</v>
      </c>
      <c r="T33" s="43" t="str">
        <f t="shared" si="2"/>
        <v>#DIV/0!</v>
      </c>
      <c r="U33" s="44" t="str">
        <f t="shared" si="3"/>
        <v>#DIV/0!</v>
      </c>
      <c r="V33" s="45"/>
      <c r="W33" s="45" t="str">
        <f t="shared" si="4"/>
        <v>#DIV/0!</v>
      </c>
      <c r="X33" s="46" t="str">
        <f t="shared" si="5"/>
        <v>#DIV/0!</v>
      </c>
      <c r="Y33" s="47"/>
      <c r="Z33" s="22">
        <v>1.0</v>
      </c>
      <c r="AA33" s="23" t="str">
        <f t="shared" si="6"/>
        <v>#DIV/0!</v>
      </c>
    </row>
    <row r="34" ht="14.25" customHeight="1">
      <c r="A34" s="18">
        <v>22.0</v>
      </c>
      <c r="B34" s="19" t="s">
        <v>353</v>
      </c>
      <c r="C34" s="20" t="s">
        <v>354</v>
      </c>
      <c r="D34" s="40"/>
      <c r="E34" s="41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2" t="str">
        <f t="shared" si="1"/>
        <v>#DIV/0!</v>
      </c>
      <c r="T34" s="43" t="str">
        <f t="shared" si="2"/>
        <v>#DIV/0!</v>
      </c>
      <c r="U34" s="44" t="str">
        <f t="shared" si="3"/>
        <v>#DIV/0!</v>
      </c>
      <c r="V34" s="45"/>
      <c r="W34" s="45" t="str">
        <f t="shared" si="4"/>
        <v>#DIV/0!</v>
      </c>
      <c r="X34" s="46" t="str">
        <f t="shared" si="5"/>
        <v>#DIV/0!</v>
      </c>
      <c r="Y34" s="47"/>
      <c r="Z34" s="22">
        <v>1.0</v>
      </c>
      <c r="AA34" s="23" t="str">
        <f t="shared" si="6"/>
        <v>#DIV/0!</v>
      </c>
    </row>
    <row r="35" ht="14.25" customHeight="1">
      <c r="A35" s="18">
        <v>23.0</v>
      </c>
      <c r="B35" s="19" t="s">
        <v>355</v>
      </c>
      <c r="C35" s="20" t="s">
        <v>356</v>
      </c>
      <c r="D35" s="40"/>
      <c r="E35" s="41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2" t="str">
        <f t="shared" si="1"/>
        <v>#DIV/0!</v>
      </c>
      <c r="T35" s="43" t="str">
        <f t="shared" si="2"/>
        <v>#DIV/0!</v>
      </c>
      <c r="U35" s="44" t="str">
        <f t="shared" si="3"/>
        <v>#DIV/0!</v>
      </c>
      <c r="V35" s="45"/>
      <c r="W35" s="45" t="str">
        <f t="shared" si="4"/>
        <v>#DIV/0!</v>
      </c>
      <c r="X35" s="46" t="str">
        <f t="shared" si="5"/>
        <v>#DIV/0!</v>
      </c>
      <c r="Y35" s="47"/>
      <c r="Z35" s="22">
        <v>1.0</v>
      </c>
      <c r="AA35" s="23" t="str">
        <f t="shared" si="6"/>
        <v>#DIV/0!</v>
      </c>
    </row>
    <row r="36" ht="14.25" customHeight="1">
      <c r="A36" s="18">
        <v>24.0</v>
      </c>
      <c r="B36" s="19" t="s">
        <v>357</v>
      </c>
      <c r="C36" s="20" t="s">
        <v>358</v>
      </c>
      <c r="D36" s="40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2" t="str">
        <f t="shared" si="1"/>
        <v>#DIV/0!</v>
      </c>
      <c r="T36" s="43" t="str">
        <f t="shared" si="2"/>
        <v>#DIV/0!</v>
      </c>
      <c r="U36" s="44" t="str">
        <f t="shared" si="3"/>
        <v>#DIV/0!</v>
      </c>
      <c r="V36" s="45"/>
      <c r="W36" s="45" t="str">
        <f t="shared" si="4"/>
        <v>#DIV/0!</v>
      </c>
      <c r="X36" s="46" t="str">
        <f t="shared" si="5"/>
        <v>#DIV/0!</v>
      </c>
      <c r="Y36" s="47"/>
      <c r="Z36" s="22">
        <v>1.0</v>
      </c>
      <c r="AA36" s="23" t="str">
        <f t="shared" si="6"/>
        <v>#DIV/0!</v>
      </c>
    </row>
    <row r="37" ht="14.25" customHeight="1">
      <c r="A37" s="18">
        <v>25.0</v>
      </c>
      <c r="B37" s="19" t="s">
        <v>359</v>
      </c>
      <c r="C37" s="20" t="s">
        <v>360</v>
      </c>
      <c r="D37" s="40"/>
      <c r="E37" s="41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2" t="str">
        <f t="shared" si="1"/>
        <v>#DIV/0!</v>
      </c>
      <c r="T37" s="43" t="str">
        <f t="shared" si="2"/>
        <v>#DIV/0!</v>
      </c>
      <c r="U37" s="44" t="str">
        <f t="shared" si="3"/>
        <v>#DIV/0!</v>
      </c>
      <c r="V37" s="45"/>
      <c r="W37" s="45" t="str">
        <f t="shared" si="4"/>
        <v>#DIV/0!</v>
      </c>
      <c r="X37" s="46" t="str">
        <f t="shared" si="5"/>
        <v>#DIV/0!</v>
      </c>
      <c r="Y37" s="47"/>
      <c r="Z37" s="22">
        <v>1.0</v>
      </c>
      <c r="AA37" s="23" t="str">
        <f t="shared" si="6"/>
        <v>#DIV/0!</v>
      </c>
    </row>
    <row r="38" ht="14.25" customHeight="1">
      <c r="A38" s="18">
        <v>26.0</v>
      </c>
      <c r="B38" s="19" t="s">
        <v>361</v>
      </c>
      <c r="C38" s="20" t="s">
        <v>362</v>
      </c>
      <c r="D38" s="40"/>
      <c r="E38" s="41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2" t="str">
        <f t="shared" si="1"/>
        <v>#DIV/0!</v>
      </c>
      <c r="T38" s="43" t="str">
        <f t="shared" si="2"/>
        <v>#DIV/0!</v>
      </c>
      <c r="U38" s="44" t="str">
        <f t="shared" si="3"/>
        <v>#DIV/0!</v>
      </c>
      <c r="V38" s="45"/>
      <c r="W38" s="45" t="str">
        <f t="shared" si="4"/>
        <v>#DIV/0!</v>
      </c>
      <c r="X38" s="46" t="str">
        <f t="shared" si="5"/>
        <v>#DIV/0!</v>
      </c>
      <c r="Y38" s="47"/>
      <c r="Z38" s="22">
        <v>1.0</v>
      </c>
      <c r="AA38" s="23" t="str">
        <f t="shared" si="6"/>
        <v>#DIV/0!</v>
      </c>
    </row>
    <row r="39" ht="14.25" customHeight="1">
      <c r="A39" s="18">
        <v>27.0</v>
      </c>
      <c r="B39" s="19" t="s">
        <v>363</v>
      </c>
      <c r="C39" s="20" t="s">
        <v>364</v>
      </c>
      <c r="D39" s="40"/>
      <c r="E39" s="41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2" t="str">
        <f t="shared" si="1"/>
        <v>#DIV/0!</v>
      </c>
      <c r="T39" s="43" t="str">
        <f t="shared" si="2"/>
        <v>#DIV/0!</v>
      </c>
      <c r="U39" s="44" t="str">
        <f t="shared" si="3"/>
        <v>#DIV/0!</v>
      </c>
      <c r="V39" s="45"/>
      <c r="W39" s="45" t="str">
        <f t="shared" si="4"/>
        <v>#DIV/0!</v>
      </c>
      <c r="X39" s="46" t="str">
        <f t="shared" si="5"/>
        <v>#DIV/0!</v>
      </c>
      <c r="Y39" s="47"/>
      <c r="Z39" s="22">
        <v>1.0</v>
      </c>
      <c r="AA39" s="23" t="str">
        <f t="shared" si="6"/>
        <v>#DIV/0!</v>
      </c>
    </row>
    <row r="40" ht="14.25" customHeight="1">
      <c r="A40" s="18">
        <v>28.0</v>
      </c>
      <c r="B40" s="19" t="s">
        <v>365</v>
      </c>
      <c r="C40" s="20" t="s">
        <v>366</v>
      </c>
      <c r="D40" s="40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2" t="str">
        <f t="shared" si="1"/>
        <v>#DIV/0!</v>
      </c>
      <c r="T40" s="43" t="str">
        <f t="shared" si="2"/>
        <v>#DIV/0!</v>
      </c>
      <c r="U40" s="44" t="str">
        <f t="shared" si="3"/>
        <v>#DIV/0!</v>
      </c>
      <c r="V40" s="45"/>
      <c r="W40" s="45" t="str">
        <f t="shared" si="4"/>
        <v>#DIV/0!</v>
      </c>
      <c r="X40" s="46" t="str">
        <f t="shared" si="5"/>
        <v>#DIV/0!</v>
      </c>
      <c r="Y40" s="47"/>
      <c r="Z40" s="22">
        <v>1.0</v>
      </c>
      <c r="AA40" s="23" t="str">
        <f t="shared" si="6"/>
        <v>#DIV/0!</v>
      </c>
    </row>
    <row r="41" ht="14.25" customHeight="1">
      <c r="A41" s="18">
        <v>29.0</v>
      </c>
      <c r="B41" s="19" t="s">
        <v>367</v>
      </c>
      <c r="C41" s="20" t="s">
        <v>368</v>
      </c>
      <c r="D41" s="40"/>
      <c r="E41" s="4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2" t="str">
        <f t="shared" si="1"/>
        <v>#DIV/0!</v>
      </c>
      <c r="T41" s="43" t="str">
        <f t="shared" si="2"/>
        <v>#DIV/0!</v>
      </c>
      <c r="U41" s="44" t="str">
        <f t="shared" si="3"/>
        <v>#DIV/0!</v>
      </c>
      <c r="V41" s="45"/>
      <c r="W41" s="45" t="str">
        <f t="shared" si="4"/>
        <v>#DIV/0!</v>
      </c>
      <c r="X41" s="46" t="str">
        <f t="shared" si="5"/>
        <v>#DIV/0!</v>
      </c>
      <c r="Y41" s="47"/>
      <c r="Z41" s="22">
        <v>1.0</v>
      </c>
      <c r="AA41" s="23" t="str">
        <f t="shared" si="6"/>
        <v>#DIV/0!</v>
      </c>
    </row>
    <row r="42" ht="14.25" customHeight="1">
      <c r="A42" s="18">
        <v>30.0</v>
      </c>
      <c r="B42" s="19" t="s">
        <v>369</v>
      </c>
      <c r="C42" s="20" t="s">
        <v>370</v>
      </c>
      <c r="D42" s="40"/>
      <c r="E42" s="41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2" t="str">
        <f t="shared" si="1"/>
        <v>#DIV/0!</v>
      </c>
      <c r="T42" s="43" t="str">
        <f t="shared" si="2"/>
        <v>#DIV/0!</v>
      </c>
      <c r="U42" s="44" t="str">
        <f t="shared" si="3"/>
        <v>#DIV/0!</v>
      </c>
      <c r="V42" s="45"/>
      <c r="W42" s="45" t="str">
        <f t="shared" si="4"/>
        <v>#DIV/0!</v>
      </c>
      <c r="X42" s="46" t="str">
        <f t="shared" si="5"/>
        <v>#DIV/0!</v>
      </c>
      <c r="Y42" s="47"/>
      <c r="Z42" s="22">
        <v>1.0</v>
      </c>
      <c r="AA42" s="23" t="str">
        <f t="shared" si="6"/>
        <v>#DIV/0!</v>
      </c>
    </row>
    <row r="43" ht="14.25" customHeight="1">
      <c r="A43" s="18">
        <v>31.0</v>
      </c>
      <c r="B43" s="19" t="s">
        <v>371</v>
      </c>
      <c r="C43" s="20" t="s">
        <v>372</v>
      </c>
      <c r="D43" s="40"/>
      <c r="E43" s="41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2" t="str">
        <f t="shared" si="1"/>
        <v>#DIV/0!</v>
      </c>
      <c r="T43" s="43" t="str">
        <f t="shared" si="2"/>
        <v>#DIV/0!</v>
      </c>
      <c r="U43" s="44" t="str">
        <f t="shared" si="3"/>
        <v>#DIV/0!</v>
      </c>
      <c r="V43" s="45"/>
      <c r="W43" s="45" t="str">
        <f t="shared" si="4"/>
        <v>#DIV/0!</v>
      </c>
      <c r="X43" s="46" t="str">
        <f t="shared" si="5"/>
        <v>#DIV/0!</v>
      </c>
      <c r="Y43" s="47"/>
      <c r="Z43" s="22">
        <v>1.0</v>
      </c>
      <c r="AA43" s="23" t="str">
        <f t="shared" si="6"/>
        <v>#DIV/0!</v>
      </c>
    </row>
    <row r="44" ht="14.25" customHeight="1">
      <c r="A44" s="18">
        <v>32.0</v>
      </c>
      <c r="B44" s="19" t="s">
        <v>373</v>
      </c>
      <c r="C44" s="20" t="s">
        <v>374</v>
      </c>
      <c r="D44" s="40"/>
      <c r="E44" s="41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2" t="str">
        <f t="shared" si="1"/>
        <v>#DIV/0!</v>
      </c>
      <c r="T44" s="43" t="str">
        <f t="shared" si="2"/>
        <v>#DIV/0!</v>
      </c>
      <c r="U44" s="44" t="str">
        <f t="shared" si="3"/>
        <v>#DIV/0!</v>
      </c>
      <c r="V44" s="45"/>
      <c r="W44" s="45" t="str">
        <f t="shared" si="4"/>
        <v>#DIV/0!</v>
      </c>
      <c r="X44" s="46" t="str">
        <f t="shared" si="5"/>
        <v>#DIV/0!</v>
      </c>
      <c r="Y44" s="47"/>
      <c r="Z44" s="22">
        <v>1.0</v>
      </c>
      <c r="AA44" s="23" t="str">
        <f t="shared" si="6"/>
        <v>#DIV/0!</v>
      </c>
    </row>
    <row r="45" ht="14.25" customHeight="1">
      <c r="A45" s="18">
        <v>33.0</v>
      </c>
      <c r="B45" s="19" t="s">
        <v>375</v>
      </c>
      <c r="C45" s="20" t="s">
        <v>376</v>
      </c>
      <c r="D45" s="40"/>
      <c r="E45" s="41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2" t="str">
        <f t="shared" si="1"/>
        <v>#DIV/0!</v>
      </c>
      <c r="T45" s="43" t="str">
        <f t="shared" si="2"/>
        <v>#DIV/0!</v>
      </c>
      <c r="U45" s="44" t="str">
        <f t="shared" si="3"/>
        <v>#DIV/0!</v>
      </c>
      <c r="V45" s="45"/>
      <c r="W45" s="45" t="str">
        <f t="shared" si="4"/>
        <v>#DIV/0!</v>
      </c>
      <c r="X45" s="46" t="str">
        <f t="shared" si="5"/>
        <v>#DIV/0!</v>
      </c>
      <c r="Y45" s="47"/>
      <c r="Z45" s="22">
        <v>1.0</v>
      </c>
      <c r="AA45" s="23" t="str">
        <f t="shared" si="6"/>
        <v>#DIV/0!</v>
      </c>
    </row>
    <row r="46" ht="14.25" customHeight="1">
      <c r="A46" s="24">
        <v>34.0</v>
      </c>
      <c r="B46" s="19" t="s">
        <v>377</v>
      </c>
      <c r="C46" s="20" t="s">
        <v>378</v>
      </c>
      <c r="D46" s="48"/>
      <c r="E46" s="41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 t="str">
        <f t="shared" si="1"/>
        <v>#DIV/0!</v>
      </c>
      <c r="T46" s="50" t="str">
        <f t="shared" si="2"/>
        <v>#DIV/0!</v>
      </c>
      <c r="U46" s="51" t="str">
        <f t="shared" si="3"/>
        <v>#DIV/0!</v>
      </c>
      <c r="V46" s="52"/>
      <c r="W46" s="52" t="str">
        <f t="shared" si="4"/>
        <v>#DIV/0!</v>
      </c>
      <c r="X46" s="53" t="str">
        <f t="shared" si="5"/>
        <v>#DIV/0!</v>
      </c>
      <c r="Y46" s="54"/>
      <c r="Z46" s="55">
        <v>1.0</v>
      </c>
      <c r="AA46" s="56" t="str">
        <f t="shared" si="6"/>
        <v>#DIV/0!</v>
      </c>
    </row>
    <row r="47" ht="14.25" customHeight="1">
      <c r="A47" s="18">
        <v>35.0</v>
      </c>
      <c r="B47" s="19" t="s">
        <v>379</v>
      </c>
      <c r="C47" s="20" t="s">
        <v>380</v>
      </c>
      <c r="D47" s="40"/>
      <c r="E47" s="41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2" t="str">
        <f t="shared" si="1"/>
        <v>#DIV/0!</v>
      </c>
      <c r="T47" s="43" t="str">
        <f t="shared" si="2"/>
        <v>#DIV/0!</v>
      </c>
      <c r="U47" s="44" t="str">
        <f t="shared" si="3"/>
        <v>#DIV/0!</v>
      </c>
      <c r="V47" s="45"/>
      <c r="W47" s="45" t="str">
        <f t="shared" si="4"/>
        <v>#DIV/0!</v>
      </c>
      <c r="X47" s="46" t="str">
        <f t="shared" si="5"/>
        <v>#DIV/0!</v>
      </c>
      <c r="Y47" s="47"/>
      <c r="Z47" s="22">
        <v>1.0</v>
      </c>
      <c r="AA47" s="23" t="str">
        <f t="shared" si="6"/>
        <v>#DIV/0!</v>
      </c>
    </row>
    <row r="48" ht="14.25" customHeight="1">
      <c r="A48" s="18">
        <v>36.0</v>
      </c>
      <c r="B48" s="19" t="s">
        <v>381</v>
      </c>
      <c r="C48" s="20" t="s">
        <v>382</v>
      </c>
      <c r="D48" s="40"/>
      <c r="E48" s="4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2" t="str">
        <f t="shared" si="1"/>
        <v>#DIV/0!</v>
      </c>
      <c r="T48" s="43" t="str">
        <f t="shared" si="2"/>
        <v>#DIV/0!</v>
      </c>
      <c r="U48" s="44" t="str">
        <f t="shared" si="3"/>
        <v>#DIV/0!</v>
      </c>
      <c r="V48" s="45"/>
      <c r="W48" s="45" t="str">
        <f t="shared" si="4"/>
        <v>#DIV/0!</v>
      </c>
      <c r="X48" s="46" t="str">
        <f t="shared" si="5"/>
        <v>#DIV/0!</v>
      </c>
      <c r="Y48" s="47"/>
      <c r="Z48" s="22">
        <v>1.0</v>
      </c>
      <c r="AA48" s="23" t="str">
        <f t="shared" si="6"/>
        <v>#DIV/0!</v>
      </c>
    </row>
    <row r="49" ht="14.25" customHeight="1">
      <c r="A49" s="18">
        <v>37.0</v>
      </c>
      <c r="B49" s="19" t="s">
        <v>383</v>
      </c>
      <c r="C49" s="20" t="s">
        <v>384</v>
      </c>
      <c r="D49" s="57"/>
      <c r="E49" s="41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42" t="str">
        <f t="shared" si="1"/>
        <v>#DIV/0!</v>
      </c>
      <c r="T49" s="43" t="str">
        <f t="shared" si="2"/>
        <v>#DIV/0!</v>
      </c>
      <c r="U49" s="44" t="str">
        <f t="shared" si="3"/>
        <v>#DIV/0!</v>
      </c>
      <c r="V49" s="45"/>
      <c r="W49" s="45" t="str">
        <f t="shared" si="4"/>
        <v>#DIV/0!</v>
      </c>
      <c r="X49" s="46" t="str">
        <f t="shared" si="5"/>
        <v>#DIV/0!</v>
      </c>
      <c r="Y49" s="47"/>
      <c r="Z49" s="22"/>
      <c r="AA49" s="23" t="str">
        <f t="shared" si="6"/>
        <v>#DIV/0!</v>
      </c>
    </row>
    <row r="50" ht="14.25" customHeight="1">
      <c r="A50" s="18">
        <v>38.0</v>
      </c>
      <c r="B50" s="19" t="s">
        <v>385</v>
      </c>
      <c r="C50" s="20" t="s">
        <v>386</v>
      </c>
      <c r="D50" s="57"/>
      <c r="E50" s="41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42" t="str">
        <f t="shared" si="1"/>
        <v>#DIV/0!</v>
      </c>
      <c r="T50" s="43" t="str">
        <f t="shared" si="2"/>
        <v>#DIV/0!</v>
      </c>
      <c r="U50" s="44" t="str">
        <f t="shared" si="3"/>
        <v>#DIV/0!</v>
      </c>
      <c r="V50" s="45"/>
      <c r="W50" s="45" t="str">
        <f t="shared" si="4"/>
        <v>#DIV/0!</v>
      </c>
      <c r="X50" s="46" t="str">
        <f t="shared" si="5"/>
        <v>#DIV/0!</v>
      </c>
      <c r="Y50" s="47"/>
      <c r="Z50" s="22"/>
      <c r="AA50" s="23" t="str">
        <f t="shared" si="6"/>
        <v>#DIV/0!</v>
      </c>
    </row>
    <row r="51" ht="14.25" customHeight="1">
      <c r="A51" s="18">
        <v>39.0</v>
      </c>
      <c r="B51" s="19" t="s">
        <v>387</v>
      </c>
      <c r="C51" s="20" t="s">
        <v>388</v>
      </c>
      <c r="D51" s="57"/>
      <c r="E51" s="41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42" t="str">
        <f t="shared" si="1"/>
        <v>#DIV/0!</v>
      </c>
      <c r="T51" s="43" t="str">
        <f t="shared" si="2"/>
        <v>#DIV/0!</v>
      </c>
      <c r="U51" s="44" t="str">
        <f t="shared" si="3"/>
        <v>#DIV/0!</v>
      </c>
      <c r="V51" s="45"/>
      <c r="W51" s="45" t="str">
        <f t="shared" si="4"/>
        <v>#DIV/0!</v>
      </c>
      <c r="X51" s="46" t="str">
        <f t="shared" si="5"/>
        <v>#DIV/0!</v>
      </c>
      <c r="Y51" s="47"/>
      <c r="Z51" s="22"/>
      <c r="AA51" s="23" t="str">
        <f t="shared" si="6"/>
        <v>#DIV/0!</v>
      </c>
    </row>
    <row r="52" ht="14.25" customHeight="1">
      <c r="A52" s="18">
        <v>40.0</v>
      </c>
      <c r="B52" s="19" t="s">
        <v>389</v>
      </c>
      <c r="C52" s="20" t="s">
        <v>390</v>
      </c>
      <c r="D52" s="57"/>
      <c r="E52" s="41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42" t="str">
        <f t="shared" si="1"/>
        <v>#DIV/0!</v>
      </c>
      <c r="T52" s="43" t="str">
        <f t="shared" si="2"/>
        <v>#DIV/0!</v>
      </c>
      <c r="U52" s="44" t="str">
        <f t="shared" si="3"/>
        <v>#DIV/0!</v>
      </c>
      <c r="V52" s="45"/>
      <c r="W52" s="45" t="str">
        <f t="shared" si="4"/>
        <v>#DIV/0!</v>
      </c>
      <c r="X52" s="46" t="str">
        <f t="shared" si="5"/>
        <v>#DIV/0!</v>
      </c>
      <c r="Y52" s="47"/>
      <c r="Z52" s="22"/>
      <c r="AA52" s="23" t="str">
        <f t="shared" si="6"/>
        <v>#DIV/0!</v>
      </c>
    </row>
    <row r="53" ht="14.25" customHeight="1">
      <c r="A53" s="18">
        <v>41.0</v>
      </c>
      <c r="B53" s="19" t="s">
        <v>391</v>
      </c>
      <c r="C53" s="20" t="s">
        <v>392</v>
      </c>
      <c r="D53" s="57"/>
      <c r="E53" s="41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42" t="str">
        <f t="shared" si="1"/>
        <v>#DIV/0!</v>
      </c>
      <c r="T53" s="43" t="str">
        <f t="shared" si="2"/>
        <v>#DIV/0!</v>
      </c>
      <c r="U53" s="44" t="str">
        <f t="shared" si="3"/>
        <v>#DIV/0!</v>
      </c>
      <c r="V53" s="45"/>
      <c r="W53" s="45" t="str">
        <f t="shared" si="4"/>
        <v>#DIV/0!</v>
      </c>
      <c r="X53" s="46" t="str">
        <f t="shared" si="5"/>
        <v>#DIV/0!</v>
      </c>
      <c r="Y53" s="47"/>
      <c r="Z53" s="22"/>
      <c r="AA53" s="23" t="str">
        <f t="shared" si="6"/>
        <v>#DIV/0!</v>
      </c>
    </row>
    <row r="54" ht="14.25" customHeight="1">
      <c r="A54" s="18">
        <v>42.0</v>
      </c>
      <c r="B54" s="19" t="s">
        <v>393</v>
      </c>
      <c r="C54" s="20" t="s">
        <v>394</v>
      </c>
      <c r="D54" s="57"/>
      <c r="E54" s="41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42" t="str">
        <f t="shared" si="1"/>
        <v>#DIV/0!</v>
      </c>
      <c r="T54" s="43" t="str">
        <f t="shared" si="2"/>
        <v>#DIV/0!</v>
      </c>
      <c r="U54" s="44" t="str">
        <f t="shared" si="3"/>
        <v>#DIV/0!</v>
      </c>
      <c r="V54" s="45"/>
      <c r="W54" s="45" t="str">
        <f t="shared" si="4"/>
        <v>#DIV/0!</v>
      </c>
      <c r="X54" s="46" t="str">
        <f t="shared" si="5"/>
        <v>#DIV/0!</v>
      </c>
      <c r="Y54" s="47"/>
      <c r="Z54" s="22"/>
      <c r="AA54" s="23" t="str">
        <f t="shared" si="6"/>
        <v>#DIV/0!</v>
      </c>
    </row>
    <row r="55" ht="14.25" customHeight="1">
      <c r="A55" s="18">
        <v>43.0</v>
      </c>
      <c r="B55" s="19" t="s">
        <v>395</v>
      </c>
      <c r="C55" s="20" t="s">
        <v>396</v>
      </c>
      <c r="D55" s="57"/>
      <c r="E55" s="41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42" t="str">
        <f t="shared" si="1"/>
        <v>#DIV/0!</v>
      </c>
      <c r="T55" s="43" t="str">
        <f t="shared" si="2"/>
        <v>#DIV/0!</v>
      </c>
      <c r="U55" s="44" t="str">
        <f t="shared" si="3"/>
        <v>#DIV/0!</v>
      </c>
      <c r="V55" s="45"/>
      <c r="W55" s="45" t="str">
        <f t="shared" si="4"/>
        <v>#DIV/0!</v>
      </c>
      <c r="X55" s="46" t="str">
        <f t="shared" si="5"/>
        <v>#DIV/0!</v>
      </c>
      <c r="Y55" s="47"/>
      <c r="Z55" s="22"/>
      <c r="AA55" s="23" t="str">
        <f t="shared" si="6"/>
        <v>#DIV/0!</v>
      </c>
    </row>
    <row r="56" ht="14.25" customHeight="1">
      <c r="A56" s="18">
        <v>44.0</v>
      </c>
      <c r="B56" s="19" t="s">
        <v>397</v>
      </c>
      <c r="C56" s="20" t="s">
        <v>398</v>
      </c>
      <c r="D56" s="57"/>
      <c r="E56" s="41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42" t="str">
        <f t="shared" si="1"/>
        <v>#DIV/0!</v>
      </c>
      <c r="T56" s="43" t="str">
        <f t="shared" si="2"/>
        <v>#DIV/0!</v>
      </c>
      <c r="U56" s="44" t="str">
        <f t="shared" si="3"/>
        <v>#DIV/0!</v>
      </c>
      <c r="V56" s="45"/>
      <c r="W56" s="45" t="str">
        <f t="shared" si="4"/>
        <v>#DIV/0!</v>
      </c>
      <c r="X56" s="46" t="str">
        <f t="shared" si="5"/>
        <v>#DIV/0!</v>
      </c>
      <c r="Y56" s="47"/>
      <c r="Z56" s="22"/>
      <c r="AA56" s="23" t="str">
        <f t="shared" si="6"/>
        <v>#DIV/0!</v>
      </c>
    </row>
    <row r="57" ht="14.25" customHeight="1">
      <c r="A57" s="18">
        <v>45.0</v>
      </c>
      <c r="B57" s="19" t="s">
        <v>399</v>
      </c>
      <c r="C57" s="20" t="s">
        <v>400</v>
      </c>
      <c r="D57" s="57"/>
      <c r="E57" s="41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42" t="str">
        <f t="shared" si="1"/>
        <v>#DIV/0!</v>
      </c>
      <c r="T57" s="43" t="str">
        <f t="shared" si="2"/>
        <v>#DIV/0!</v>
      </c>
      <c r="U57" s="44" t="str">
        <f t="shared" si="3"/>
        <v>#DIV/0!</v>
      </c>
      <c r="V57" s="45"/>
      <c r="W57" s="45" t="str">
        <f t="shared" si="4"/>
        <v>#DIV/0!</v>
      </c>
      <c r="X57" s="46" t="str">
        <f t="shared" si="5"/>
        <v>#DIV/0!</v>
      </c>
      <c r="Y57" s="47"/>
      <c r="Z57" s="22"/>
      <c r="AA57" s="23" t="str">
        <f t="shared" si="6"/>
        <v>#DIV/0!</v>
      </c>
    </row>
    <row r="58" ht="14.25" customHeight="1">
      <c r="A58" s="18">
        <v>46.0</v>
      </c>
      <c r="B58" s="19" t="s">
        <v>401</v>
      </c>
      <c r="C58" s="20" t="s">
        <v>402</v>
      </c>
      <c r="D58" s="57"/>
      <c r="E58" s="41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42" t="str">
        <f t="shared" si="1"/>
        <v>#DIV/0!</v>
      </c>
      <c r="T58" s="43" t="str">
        <f t="shared" si="2"/>
        <v>#DIV/0!</v>
      </c>
      <c r="U58" s="44" t="str">
        <f t="shared" si="3"/>
        <v>#DIV/0!</v>
      </c>
      <c r="V58" s="45"/>
      <c r="W58" s="45" t="str">
        <f t="shared" si="4"/>
        <v>#DIV/0!</v>
      </c>
      <c r="X58" s="46" t="str">
        <f t="shared" si="5"/>
        <v>#DIV/0!</v>
      </c>
      <c r="Y58" s="47"/>
      <c r="Z58" s="22"/>
      <c r="AA58" s="23" t="str">
        <f t="shared" si="6"/>
        <v>#DIV/0!</v>
      </c>
    </row>
    <row r="59" ht="14.25" customHeight="1"/>
    <row r="60" ht="14.25" customHeight="1">
      <c r="Y60" s="26" t="s">
        <v>109</v>
      </c>
      <c r="AA60" s="26"/>
    </row>
    <row r="61" ht="14.25" customHeight="1">
      <c r="Y61" s="26" t="s">
        <v>110</v>
      </c>
    </row>
    <row r="62" ht="14.25" customHeight="1">
      <c r="Y62" s="26" t="s">
        <v>111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D11:H11"/>
    <mergeCell ref="I11:M11"/>
    <mergeCell ref="N11:R11"/>
    <mergeCell ref="S11:U11"/>
    <mergeCell ref="V11:V12"/>
    <mergeCell ref="W11:W12"/>
    <mergeCell ref="X11:X12"/>
    <mergeCell ref="Y11:Y12"/>
    <mergeCell ref="Z11:Z12"/>
    <mergeCell ref="AA11:AA12"/>
    <mergeCell ref="A1:AA1"/>
    <mergeCell ref="A3:AA3"/>
    <mergeCell ref="A4:AA4"/>
    <mergeCell ref="A10:A12"/>
    <mergeCell ref="B10:B12"/>
    <mergeCell ref="C10:C12"/>
    <mergeCell ref="D10:AA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9.86"/>
    <col customWidth="1" min="3" max="3" width="32.43"/>
    <col customWidth="1" min="4" max="18" width="3.57"/>
    <col customWidth="1" min="19" max="19" width="4.71"/>
    <col customWidth="1" min="20" max="21" width="4.57"/>
    <col customWidth="1" min="22" max="22" width="5.14"/>
    <col customWidth="1" min="23" max="23" width="5.29"/>
    <col customWidth="1" min="24" max="24" width="5.14"/>
    <col customWidth="1" min="25" max="25" width="4.86"/>
    <col customWidth="1" min="26" max="26" width="5.43"/>
    <col customWidth="1" min="27" max="27" width="5.14"/>
  </cols>
  <sheetData>
    <row r="1" ht="78.0" customHeight="1">
      <c r="A1" s="1" t="s">
        <v>403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0" customHeight="1"/>
    <row r="3" ht="14.25" customHeight="1">
      <c r="A3" s="3" t="s">
        <v>1</v>
      </c>
    </row>
    <row r="4" ht="14.25" customHeight="1">
      <c r="A4" s="3" t="s">
        <v>2</v>
      </c>
    </row>
    <row r="5" ht="3.75" customHeight="1">
      <c r="B5" s="4"/>
      <c r="D5" s="4"/>
      <c r="E5" s="4"/>
    </row>
    <row r="6" ht="14.25" customHeight="1">
      <c r="A6" s="4" t="s">
        <v>3</v>
      </c>
      <c r="C6" s="5" t="s">
        <v>4</v>
      </c>
      <c r="E6" s="5"/>
    </row>
    <row r="7" ht="14.25" customHeight="1">
      <c r="A7" s="4" t="s">
        <v>5</v>
      </c>
      <c r="C7" s="5" t="s">
        <v>404</v>
      </c>
      <c r="E7" s="5"/>
    </row>
    <row r="8" ht="14.25" customHeight="1">
      <c r="A8" s="4" t="s">
        <v>7</v>
      </c>
      <c r="C8" s="5" t="s">
        <v>8</v>
      </c>
      <c r="E8" s="5"/>
    </row>
    <row r="9" ht="14.25" customHeight="1">
      <c r="E9" s="5"/>
    </row>
    <row r="10" ht="14.25" customHeight="1">
      <c r="A10" s="6" t="s">
        <v>9</v>
      </c>
      <c r="B10" s="6" t="s">
        <v>10</v>
      </c>
      <c r="C10" s="7" t="s">
        <v>11</v>
      </c>
      <c r="D10" s="8" t="s">
        <v>114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ht="31.5" customHeight="1">
      <c r="A11" s="11"/>
      <c r="B11" s="11"/>
      <c r="C11" s="11"/>
      <c r="D11" s="27"/>
      <c r="E11" s="9"/>
      <c r="F11" s="9"/>
      <c r="G11" s="9"/>
      <c r="H11" s="10"/>
      <c r="I11" s="27"/>
      <c r="J11" s="9"/>
      <c r="K11" s="9"/>
      <c r="L11" s="9"/>
      <c r="M11" s="10"/>
      <c r="N11" s="27"/>
      <c r="O11" s="9"/>
      <c r="P11" s="9"/>
      <c r="Q11" s="9"/>
      <c r="R11" s="10"/>
      <c r="S11" s="28" t="s">
        <v>115</v>
      </c>
      <c r="T11" s="9"/>
      <c r="U11" s="10"/>
      <c r="V11" s="29" t="s">
        <v>116</v>
      </c>
      <c r="W11" s="30" t="s">
        <v>117</v>
      </c>
      <c r="X11" s="31" t="s">
        <v>118</v>
      </c>
      <c r="Y11" s="32" t="s">
        <v>119</v>
      </c>
      <c r="Z11" s="13" t="s">
        <v>13</v>
      </c>
      <c r="AA11" s="14" t="s">
        <v>14</v>
      </c>
    </row>
    <row r="12" ht="15.75" customHeight="1">
      <c r="A12" s="15"/>
      <c r="B12" s="15"/>
      <c r="C12" s="15"/>
      <c r="D12" s="33">
        <v>1.0</v>
      </c>
      <c r="E12" s="34">
        <v>2.0</v>
      </c>
      <c r="F12" s="34">
        <v>3.0</v>
      </c>
      <c r="G12" s="35">
        <v>4.0</v>
      </c>
      <c r="H12" s="35">
        <v>5.0</v>
      </c>
      <c r="I12" s="35">
        <v>1.0</v>
      </c>
      <c r="J12" s="35">
        <v>2.0</v>
      </c>
      <c r="K12" s="35">
        <v>3.0</v>
      </c>
      <c r="L12" s="35">
        <v>4.0</v>
      </c>
      <c r="M12" s="35">
        <v>5.0</v>
      </c>
      <c r="N12" s="35">
        <v>1.0</v>
      </c>
      <c r="O12" s="35">
        <v>2.0</v>
      </c>
      <c r="P12" s="35">
        <v>3.0</v>
      </c>
      <c r="Q12" s="35">
        <v>4.0</v>
      </c>
      <c r="R12" s="35">
        <v>5.0</v>
      </c>
      <c r="S12" s="36" t="s">
        <v>120</v>
      </c>
      <c r="T12" s="37" t="s">
        <v>121</v>
      </c>
      <c r="U12" s="38" t="s">
        <v>122</v>
      </c>
      <c r="V12" s="15"/>
      <c r="W12" s="39"/>
      <c r="X12" s="16"/>
      <c r="Y12" s="16"/>
      <c r="Z12" s="16"/>
      <c r="AA12" s="17"/>
    </row>
    <row r="13" ht="14.25" customHeight="1">
      <c r="A13" s="18">
        <v>1.0</v>
      </c>
      <c r="B13" s="19" t="s">
        <v>405</v>
      </c>
      <c r="C13" s="20" t="s">
        <v>406</v>
      </c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2" t="str">
        <f t="shared" ref="S13:S57" si="1">AVERAGE(D13:H13)</f>
        <v>#DIV/0!</v>
      </c>
      <c r="T13" s="43" t="str">
        <f t="shared" ref="T13:T57" si="2">AVERAGE(I13:M13)</f>
        <v>#DIV/0!</v>
      </c>
      <c r="U13" s="44" t="str">
        <f t="shared" ref="U13:U57" si="3">AVERAGE(N13:R13)</f>
        <v>#DIV/0!</v>
      </c>
      <c r="V13" s="45"/>
      <c r="W13" s="45" t="str">
        <f t="shared" ref="W13:W57" si="4">AVERAGE(S13:U13)</f>
        <v>#DIV/0!</v>
      </c>
      <c r="X13" s="46" t="str">
        <f t="shared" ref="X13:X57" si="5">ROUND(AVERAGE(V13:W13),0)</f>
        <v>#DIV/0!</v>
      </c>
      <c r="Y13" s="47"/>
      <c r="Z13" s="22">
        <v>1.0</v>
      </c>
      <c r="AA13" s="23" t="str">
        <f t="shared" ref="AA13:AA57" si="6">ROUND(IF((X13*(IF(Y13="A",105%,IF(Y13="B",102%,IF(Y13="C",75%,50%))))*Z13)&gt;100,100,(X13*(IF(Y13="A",105%,IF(Y13="B",102%,IF(Y13="C",75%,50%))))*Z13)),0)</f>
        <v>#DIV/0!</v>
      </c>
    </row>
    <row r="14" ht="14.25" customHeight="1">
      <c r="A14" s="18">
        <v>2.0</v>
      </c>
      <c r="B14" s="19" t="s">
        <v>407</v>
      </c>
      <c r="C14" s="20" t="s">
        <v>408</v>
      </c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 t="str">
        <f t="shared" si="1"/>
        <v>#DIV/0!</v>
      </c>
      <c r="T14" s="43" t="str">
        <f t="shared" si="2"/>
        <v>#DIV/0!</v>
      </c>
      <c r="U14" s="44" t="str">
        <f t="shared" si="3"/>
        <v>#DIV/0!</v>
      </c>
      <c r="V14" s="45"/>
      <c r="W14" s="45" t="str">
        <f t="shared" si="4"/>
        <v>#DIV/0!</v>
      </c>
      <c r="X14" s="46" t="str">
        <f t="shared" si="5"/>
        <v>#DIV/0!</v>
      </c>
      <c r="Y14" s="47"/>
      <c r="Z14" s="22">
        <v>1.0</v>
      </c>
      <c r="AA14" s="23" t="str">
        <f t="shared" si="6"/>
        <v>#DIV/0!</v>
      </c>
    </row>
    <row r="15" ht="14.25" customHeight="1">
      <c r="A15" s="18">
        <v>3.0</v>
      </c>
      <c r="B15" s="19" t="s">
        <v>409</v>
      </c>
      <c r="C15" s="20" t="s">
        <v>410</v>
      </c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2" t="str">
        <f t="shared" si="1"/>
        <v>#DIV/0!</v>
      </c>
      <c r="T15" s="43" t="str">
        <f t="shared" si="2"/>
        <v>#DIV/0!</v>
      </c>
      <c r="U15" s="44" t="str">
        <f t="shared" si="3"/>
        <v>#DIV/0!</v>
      </c>
      <c r="V15" s="45"/>
      <c r="W15" s="45" t="str">
        <f t="shared" si="4"/>
        <v>#DIV/0!</v>
      </c>
      <c r="X15" s="46" t="str">
        <f t="shared" si="5"/>
        <v>#DIV/0!</v>
      </c>
      <c r="Y15" s="47"/>
      <c r="Z15" s="22">
        <v>1.0</v>
      </c>
      <c r="AA15" s="23" t="str">
        <f t="shared" si="6"/>
        <v>#DIV/0!</v>
      </c>
    </row>
    <row r="16" ht="14.25" customHeight="1">
      <c r="A16" s="18">
        <v>4.0</v>
      </c>
      <c r="B16" s="19" t="s">
        <v>411</v>
      </c>
      <c r="C16" s="20" t="s">
        <v>412</v>
      </c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 t="str">
        <f t="shared" si="1"/>
        <v>#DIV/0!</v>
      </c>
      <c r="T16" s="43" t="str">
        <f t="shared" si="2"/>
        <v>#DIV/0!</v>
      </c>
      <c r="U16" s="44" t="str">
        <f t="shared" si="3"/>
        <v>#DIV/0!</v>
      </c>
      <c r="V16" s="45"/>
      <c r="W16" s="45" t="str">
        <f t="shared" si="4"/>
        <v>#DIV/0!</v>
      </c>
      <c r="X16" s="46" t="str">
        <f t="shared" si="5"/>
        <v>#DIV/0!</v>
      </c>
      <c r="Y16" s="47"/>
      <c r="Z16" s="22">
        <v>1.0</v>
      </c>
      <c r="AA16" s="23" t="str">
        <f t="shared" si="6"/>
        <v>#DIV/0!</v>
      </c>
    </row>
    <row r="17" ht="14.25" customHeight="1">
      <c r="A17" s="18">
        <v>5.0</v>
      </c>
      <c r="B17" s="19" t="s">
        <v>413</v>
      </c>
      <c r="C17" s="20" t="s">
        <v>414</v>
      </c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 t="str">
        <f t="shared" si="1"/>
        <v>#DIV/0!</v>
      </c>
      <c r="T17" s="43" t="str">
        <f t="shared" si="2"/>
        <v>#DIV/0!</v>
      </c>
      <c r="U17" s="44" t="str">
        <f t="shared" si="3"/>
        <v>#DIV/0!</v>
      </c>
      <c r="V17" s="45"/>
      <c r="W17" s="45" t="str">
        <f t="shared" si="4"/>
        <v>#DIV/0!</v>
      </c>
      <c r="X17" s="46" t="str">
        <f t="shared" si="5"/>
        <v>#DIV/0!</v>
      </c>
      <c r="Y17" s="47"/>
      <c r="Z17" s="22">
        <v>1.0</v>
      </c>
      <c r="AA17" s="23" t="str">
        <f t="shared" si="6"/>
        <v>#DIV/0!</v>
      </c>
    </row>
    <row r="18" ht="14.25" customHeight="1">
      <c r="A18" s="18">
        <v>6.0</v>
      </c>
      <c r="B18" s="19" t="s">
        <v>415</v>
      </c>
      <c r="C18" s="20" t="s">
        <v>416</v>
      </c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2" t="str">
        <f t="shared" si="1"/>
        <v>#DIV/0!</v>
      </c>
      <c r="T18" s="43" t="str">
        <f t="shared" si="2"/>
        <v>#DIV/0!</v>
      </c>
      <c r="U18" s="44" t="str">
        <f t="shared" si="3"/>
        <v>#DIV/0!</v>
      </c>
      <c r="V18" s="45"/>
      <c r="W18" s="45" t="str">
        <f t="shared" si="4"/>
        <v>#DIV/0!</v>
      </c>
      <c r="X18" s="46" t="str">
        <f t="shared" si="5"/>
        <v>#DIV/0!</v>
      </c>
      <c r="Y18" s="47"/>
      <c r="Z18" s="22">
        <v>1.0</v>
      </c>
      <c r="AA18" s="23" t="str">
        <f t="shared" si="6"/>
        <v>#DIV/0!</v>
      </c>
    </row>
    <row r="19" ht="14.25" customHeight="1">
      <c r="A19" s="18">
        <v>7.0</v>
      </c>
      <c r="B19" s="19" t="s">
        <v>417</v>
      </c>
      <c r="C19" s="20" t="s">
        <v>418</v>
      </c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2" t="str">
        <f t="shared" si="1"/>
        <v>#DIV/0!</v>
      </c>
      <c r="T19" s="43" t="str">
        <f t="shared" si="2"/>
        <v>#DIV/0!</v>
      </c>
      <c r="U19" s="44" t="str">
        <f t="shared" si="3"/>
        <v>#DIV/0!</v>
      </c>
      <c r="V19" s="45"/>
      <c r="W19" s="45" t="str">
        <f t="shared" si="4"/>
        <v>#DIV/0!</v>
      </c>
      <c r="X19" s="46" t="str">
        <f t="shared" si="5"/>
        <v>#DIV/0!</v>
      </c>
      <c r="Y19" s="47"/>
      <c r="Z19" s="22">
        <v>1.0</v>
      </c>
      <c r="AA19" s="23" t="str">
        <f t="shared" si="6"/>
        <v>#DIV/0!</v>
      </c>
    </row>
    <row r="20" ht="14.25" customHeight="1">
      <c r="A20" s="18">
        <v>8.0</v>
      </c>
      <c r="B20" s="19" t="s">
        <v>419</v>
      </c>
      <c r="C20" s="20" t="s">
        <v>420</v>
      </c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2" t="str">
        <f t="shared" si="1"/>
        <v>#DIV/0!</v>
      </c>
      <c r="T20" s="43" t="str">
        <f t="shared" si="2"/>
        <v>#DIV/0!</v>
      </c>
      <c r="U20" s="44" t="str">
        <f t="shared" si="3"/>
        <v>#DIV/0!</v>
      </c>
      <c r="V20" s="45"/>
      <c r="W20" s="45" t="str">
        <f t="shared" si="4"/>
        <v>#DIV/0!</v>
      </c>
      <c r="X20" s="46" t="str">
        <f t="shared" si="5"/>
        <v>#DIV/0!</v>
      </c>
      <c r="Y20" s="47"/>
      <c r="Z20" s="22">
        <v>1.0</v>
      </c>
      <c r="AA20" s="23" t="str">
        <f t="shared" si="6"/>
        <v>#DIV/0!</v>
      </c>
    </row>
    <row r="21" ht="14.25" customHeight="1">
      <c r="A21" s="18">
        <v>9.0</v>
      </c>
      <c r="B21" s="19" t="s">
        <v>421</v>
      </c>
      <c r="C21" s="20" t="s">
        <v>422</v>
      </c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2" t="str">
        <f t="shared" si="1"/>
        <v>#DIV/0!</v>
      </c>
      <c r="T21" s="43" t="str">
        <f t="shared" si="2"/>
        <v>#DIV/0!</v>
      </c>
      <c r="U21" s="44" t="str">
        <f t="shared" si="3"/>
        <v>#DIV/0!</v>
      </c>
      <c r="V21" s="45"/>
      <c r="W21" s="45" t="str">
        <f t="shared" si="4"/>
        <v>#DIV/0!</v>
      </c>
      <c r="X21" s="46" t="str">
        <f t="shared" si="5"/>
        <v>#DIV/0!</v>
      </c>
      <c r="Y21" s="47"/>
      <c r="Z21" s="22">
        <v>1.0</v>
      </c>
      <c r="AA21" s="23" t="str">
        <f t="shared" si="6"/>
        <v>#DIV/0!</v>
      </c>
    </row>
    <row r="22" ht="14.25" customHeight="1">
      <c r="A22" s="18">
        <v>10.0</v>
      </c>
      <c r="B22" s="19" t="s">
        <v>423</v>
      </c>
      <c r="C22" s="20" t="s">
        <v>424</v>
      </c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2" t="str">
        <f t="shared" si="1"/>
        <v>#DIV/0!</v>
      </c>
      <c r="T22" s="43" t="str">
        <f t="shared" si="2"/>
        <v>#DIV/0!</v>
      </c>
      <c r="U22" s="44" t="str">
        <f t="shared" si="3"/>
        <v>#DIV/0!</v>
      </c>
      <c r="V22" s="45"/>
      <c r="W22" s="45" t="str">
        <f t="shared" si="4"/>
        <v>#DIV/0!</v>
      </c>
      <c r="X22" s="46" t="str">
        <f t="shared" si="5"/>
        <v>#DIV/0!</v>
      </c>
      <c r="Y22" s="47"/>
      <c r="Z22" s="22">
        <v>1.0</v>
      </c>
      <c r="AA22" s="23" t="str">
        <f t="shared" si="6"/>
        <v>#DIV/0!</v>
      </c>
    </row>
    <row r="23" ht="14.25" customHeight="1">
      <c r="A23" s="18">
        <v>11.0</v>
      </c>
      <c r="B23" s="19" t="s">
        <v>425</v>
      </c>
      <c r="C23" s="20" t="s">
        <v>426</v>
      </c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 t="str">
        <f t="shared" si="1"/>
        <v>#DIV/0!</v>
      </c>
      <c r="T23" s="43" t="str">
        <f t="shared" si="2"/>
        <v>#DIV/0!</v>
      </c>
      <c r="U23" s="44" t="str">
        <f t="shared" si="3"/>
        <v>#DIV/0!</v>
      </c>
      <c r="V23" s="45"/>
      <c r="W23" s="45" t="str">
        <f t="shared" si="4"/>
        <v>#DIV/0!</v>
      </c>
      <c r="X23" s="46" t="str">
        <f t="shared" si="5"/>
        <v>#DIV/0!</v>
      </c>
      <c r="Y23" s="47"/>
      <c r="Z23" s="22">
        <v>1.0</v>
      </c>
      <c r="AA23" s="23" t="str">
        <f t="shared" si="6"/>
        <v>#DIV/0!</v>
      </c>
    </row>
    <row r="24" ht="14.25" customHeight="1">
      <c r="A24" s="18">
        <v>12.0</v>
      </c>
      <c r="B24" s="19" t="s">
        <v>427</v>
      </c>
      <c r="C24" s="20" t="s">
        <v>428</v>
      </c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 t="str">
        <f t="shared" si="1"/>
        <v>#DIV/0!</v>
      </c>
      <c r="T24" s="43" t="str">
        <f t="shared" si="2"/>
        <v>#DIV/0!</v>
      </c>
      <c r="U24" s="44" t="str">
        <f t="shared" si="3"/>
        <v>#DIV/0!</v>
      </c>
      <c r="V24" s="45"/>
      <c r="W24" s="45" t="str">
        <f t="shared" si="4"/>
        <v>#DIV/0!</v>
      </c>
      <c r="X24" s="46" t="str">
        <f t="shared" si="5"/>
        <v>#DIV/0!</v>
      </c>
      <c r="Y24" s="47"/>
      <c r="Z24" s="22">
        <v>1.0</v>
      </c>
      <c r="AA24" s="23" t="str">
        <f t="shared" si="6"/>
        <v>#DIV/0!</v>
      </c>
    </row>
    <row r="25" ht="14.25" customHeight="1">
      <c r="A25" s="18">
        <v>13.0</v>
      </c>
      <c r="B25" s="19" t="s">
        <v>429</v>
      </c>
      <c r="C25" s="20" t="s">
        <v>430</v>
      </c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 t="str">
        <f t="shared" si="1"/>
        <v>#DIV/0!</v>
      </c>
      <c r="T25" s="43" t="str">
        <f t="shared" si="2"/>
        <v>#DIV/0!</v>
      </c>
      <c r="U25" s="44" t="str">
        <f t="shared" si="3"/>
        <v>#DIV/0!</v>
      </c>
      <c r="V25" s="45"/>
      <c r="W25" s="45" t="str">
        <f t="shared" si="4"/>
        <v>#DIV/0!</v>
      </c>
      <c r="X25" s="46" t="str">
        <f t="shared" si="5"/>
        <v>#DIV/0!</v>
      </c>
      <c r="Y25" s="47"/>
      <c r="Z25" s="22">
        <v>1.0</v>
      </c>
      <c r="AA25" s="23" t="str">
        <f t="shared" si="6"/>
        <v>#DIV/0!</v>
      </c>
    </row>
    <row r="26" ht="14.25" customHeight="1">
      <c r="A26" s="18">
        <v>14.0</v>
      </c>
      <c r="B26" s="19" t="s">
        <v>431</v>
      </c>
      <c r="C26" s="20" t="s">
        <v>432</v>
      </c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 t="str">
        <f t="shared" si="1"/>
        <v>#DIV/0!</v>
      </c>
      <c r="T26" s="43" t="str">
        <f t="shared" si="2"/>
        <v>#DIV/0!</v>
      </c>
      <c r="U26" s="44" t="str">
        <f t="shared" si="3"/>
        <v>#DIV/0!</v>
      </c>
      <c r="V26" s="45"/>
      <c r="W26" s="45" t="str">
        <f t="shared" si="4"/>
        <v>#DIV/0!</v>
      </c>
      <c r="X26" s="46" t="str">
        <f t="shared" si="5"/>
        <v>#DIV/0!</v>
      </c>
      <c r="Y26" s="47"/>
      <c r="Z26" s="22">
        <v>1.0</v>
      </c>
      <c r="AA26" s="23" t="str">
        <f t="shared" si="6"/>
        <v>#DIV/0!</v>
      </c>
    </row>
    <row r="27" ht="14.25" customHeight="1">
      <c r="A27" s="18">
        <v>15.0</v>
      </c>
      <c r="B27" s="19" t="s">
        <v>433</v>
      </c>
      <c r="C27" s="20" t="s">
        <v>434</v>
      </c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 t="str">
        <f t="shared" si="1"/>
        <v>#DIV/0!</v>
      </c>
      <c r="T27" s="43" t="str">
        <f t="shared" si="2"/>
        <v>#DIV/0!</v>
      </c>
      <c r="U27" s="44" t="str">
        <f t="shared" si="3"/>
        <v>#DIV/0!</v>
      </c>
      <c r="V27" s="45"/>
      <c r="W27" s="45" t="str">
        <f t="shared" si="4"/>
        <v>#DIV/0!</v>
      </c>
      <c r="X27" s="46" t="str">
        <f t="shared" si="5"/>
        <v>#DIV/0!</v>
      </c>
      <c r="Y27" s="47"/>
      <c r="Z27" s="22">
        <v>1.0</v>
      </c>
      <c r="AA27" s="23" t="str">
        <f t="shared" si="6"/>
        <v>#DIV/0!</v>
      </c>
    </row>
    <row r="28" ht="14.25" customHeight="1">
      <c r="A28" s="18">
        <v>16.0</v>
      </c>
      <c r="B28" s="19" t="s">
        <v>435</v>
      </c>
      <c r="C28" s="20" t="s">
        <v>436</v>
      </c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2" t="str">
        <f t="shared" si="1"/>
        <v>#DIV/0!</v>
      </c>
      <c r="T28" s="43" t="str">
        <f t="shared" si="2"/>
        <v>#DIV/0!</v>
      </c>
      <c r="U28" s="44" t="str">
        <f t="shared" si="3"/>
        <v>#DIV/0!</v>
      </c>
      <c r="V28" s="45"/>
      <c r="W28" s="45" t="str">
        <f t="shared" si="4"/>
        <v>#DIV/0!</v>
      </c>
      <c r="X28" s="46" t="str">
        <f t="shared" si="5"/>
        <v>#DIV/0!</v>
      </c>
      <c r="Y28" s="47"/>
      <c r="Z28" s="22">
        <v>1.0</v>
      </c>
      <c r="AA28" s="23" t="str">
        <f t="shared" si="6"/>
        <v>#DIV/0!</v>
      </c>
    </row>
    <row r="29" ht="14.25" customHeight="1">
      <c r="A29" s="18">
        <v>17.0</v>
      </c>
      <c r="B29" s="19" t="s">
        <v>437</v>
      </c>
      <c r="C29" s="20" t="s">
        <v>438</v>
      </c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2" t="str">
        <f t="shared" si="1"/>
        <v>#DIV/0!</v>
      </c>
      <c r="T29" s="43" t="str">
        <f t="shared" si="2"/>
        <v>#DIV/0!</v>
      </c>
      <c r="U29" s="44" t="str">
        <f t="shared" si="3"/>
        <v>#DIV/0!</v>
      </c>
      <c r="V29" s="45"/>
      <c r="W29" s="45" t="str">
        <f t="shared" si="4"/>
        <v>#DIV/0!</v>
      </c>
      <c r="X29" s="46" t="str">
        <f t="shared" si="5"/>
        <v>#DIV/0!</v>
      </c>
      <c r="Y29" s="47"/>
      <c r="Z29" s="22">
        <v>1.0</v>
      </c>
      <c r="AA29" s="23" t="str">
        <f t="shared" si="6"/>
        <v>#DIV/0!</v>
      </c>
    </row>
    <row r="30" ht="14.25" customHeight="1">
      <c r="A30" s="18">
        <v>18.0</v>
      </c>
      <c r="B30" s="19" t="s">
        <v>439</v>
      </c>
      <c r="C30" s="20" t="s">
        <v>440</v>
      </c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2" t="str">
        <f t="shared" si="1"/>
        <v>#DIV/0!</v>
      </c>
      <c r="T30" s="43" t="str">
        <f t="shared" si="2"/>
        <v>#DIV/0!</v>
      </c>
      <c r="U30" s="44" t="str">
        <f t="shared" si="3"/>
        <v>#DIV/0!</v>
      </c>
      <c r="V30" s="45"/>
      <c r="W30" s="45" t="str">
        <f t="shared" si="4"/>
        <v>#DIV/0!</v>
      </c>
      <c r="X30" s="46" t="str">
        <f t="shared" si="5"/>
        <v>#DIV/0!</v>
      </c>
      <c r="Y30" s="47"/>
      <c r="Z30" s="22">
        <v>1.0</v>
      </c>
      <c r="AA30" s="23" t="str">
        <f t="shared" si="6"/>
        <v>#DIV/0!</v>
      </c>
    </row>
    <row r="31" ht="14.25" customHeight="1">
      <c r="A31" s="18">
        <v>19.0</v>
      </c>
      <c r="B31" s="19" t="s">
        <v>441</v>
      </c>
      <c r="C31" s="20" t="s">
        <v>442</v>
      </c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2" t="str">
        <f t="shared" si="1"/>
        <v>#DIV/0!</v>
      </c>
      <c r="T31" s="43" t="str">
        <f t="shared" si="2"/>
        <v>#DIV/0!</v>
      </c>
      <c r="U31" s="44" t="str">
        <f t="shared" si="3"/>
        <v>#DIV/0!</v>
      </c>
      <c r="V31" s="45"/>
      <c r="W31" s="45" t="str">
        <f t="shared" si="4"/>
        <v>#DIV/0!</v>
      </c>
      <c r="X31" s="46" t="str">
        <f t="shared" si="5"/>
        <v>#DIV/0!</v>
      </c>
      <c r="Y31" s="47"/>
      <c r="Z31" s="22">
        <v>1.0</v>
      </c>
      <c r="AA31" s="23" t="str">
        <f t="shared" si="6"/>
        <v>#DIV/0!</v>
      </c>
    </row>
    <row r="32" ht="14.25" customHeight="1">
      <c r="A32" s="18">
        <v>20.0</v>
      </c>
      <c r="B32" s="19" t="s">
        <v>443</v>
      </c>
      <c r="C32" s="20" t="s">
        <v>444</v>
      </c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2" t="str">
        <f t="shared" si="1"/>
        <v>#DIV/0!</v>
      </c>
      <c r="T32" s="43" t="str">
        <f t="shared" si="2"/>
        <v>#DIV/0!</v>
      </c>
      <c r="U32" s="44" t="str">
        <f t="shared" si="3"/>
        <v>#DIV/0!</v>
      </c>
      <c r="V32" s="45"/>
      <c r="W32" s="45" t="str">
        <f t="shared" si="4"/>
        <v>#DIV/0!</v>
      </c>
      <c r="X32" s="46" t="str">
        <f t="shared" si="5"/>
        <v>#DIV/0!</v>
      </c>
      <c r="Y32" s="47"/>
      <c r="Z32" s="22">
        <v>1.0</v>
      </c>
      <c r="AA32" s="23" t="str">
        <f t="shared" si="6"/>
        <v>#DIV/0!</v>
      </c>
    </row>
    <row r="33" ht="14.25" customHeight="1">
      <c r="A33" s="18">
        <v>21.0</v>
      </c>
      <c r="B33" s="19" t="s">
        <v>445</v>
      </c>
      <c r="C33" s="20" t="s">
        <v>446</v>
      </c>
      <c r="D33" s="40"/>
      <c r="E33" s="41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2" t="str">
        <f t="shared" si="1"/>
        <v>#DIV/0!</v>
      </c>
      <c r="T33" s="43" t="str">
        <f t="shared" si="2"/>
        <v>#DIV/0!</v>
      </c>
      <c r="U33" s="44" t="str">
        <f t="shared" si="3"/>
        <v>#DIV/0!</v>
      </c>
      <c r="V33" s="45"/>
      <c r="W33" s="45" t="str">
        <f t="shared" si="4"/>
        <v>#DIV/0!</v>
      </c>
      <c r="X33" s="46" t="str">
        <f t="shared" si="5"/>
        <v>#DIV/0!</v>
      </c>
      <c r="Y33" s="47"/>
      <c r="Z33" s="22">
        <v>1.0</v>
      </c>
      <c r="AA33" s="23" t="str">
        <f t="shared" si="6"/>
        <v>#DIV/0!</v>
      </c>
    </row>
    <row r="34" ht="14.25" customHeight="1">
      <c r="A34" s="18">
        <v>22.0</v>
      </c>
      <c r="B34" s="19" t="s">
        <v>447</v>
      </c>
      <c r="C34" s="20" t="s">
        <v>448</v>
      </c>
      <c r="D34" s="40"/>
      <c r="E34" s="41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2" t="str">
        <f t="shared" si="1"/>
        <v>#DIV/0!</v>
      </c>
      <c r="T34" s="43" t="str">
        <f t="shared" si="2"/>
        <v>#DIV/0!</v>
      </c>
      <c r="U34" s="44" t="str">
        <f t="shared" si="3"/>
        <v>#DIV/0!</v>
      </c>
      <c r="V34" s="45"/>
      <c r="W34" s="45" t="str">
        <f t="shared" si="4"/>
        <v>#DIV/0!</v>
      </c>
      <c r="X34" s="46" t="str">
        <f t="shared" si="5"/>
        <v>#DIV/0!</v>
      </c>
      <c r="Y34" s="47"/>
      <c r="Z34" s="22">
        <v>1.0</v>
      </c>
      <c r="AA34" s="23" t="str">
        <f t="shared" si="6"/>
        <v>#DIV/0!</v>
      </c>
    </row>
    <row r="35" ht="14.25" customHeight="1">
      <c r="A35" s="18">
        <v>23.0</v>
      </c>
      <c r="B35" s="19" t="s">
        <v>449</v>
      </c>
      <c r="C35" s="20" t="s">
        <v>450</v>
      </c>
      <c r="D35" s="40"/>
      <c r="E35" s="41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2" t="str">
        <f t="shared" si="1"/>
        <v>#DIV/0!</v>
      </c>
      <c r="T35" s="43" t="str">
        <f t="shared" si="2"/>
        <v>#DIV/0!</v>
      </c>
      <c r="U35" s="44" t="str">
        <f t="shared" si="3"/>
        <v>#DIV/0!</v>
      </c>
      <c r="V35" s="45"/>
      <c r="W35" s="45" t="str">
        <f t="shared" si="4"/>
        <v>#DIV/0!</v>
      </c>
      <c r="X35" s="46" t="str">
        <f t="shared" si="5"/>
        <v>#DIV/0!</v>
      </c>
      <c r="Y35" s="47"/>
      <c r="Z35" s="22">
        <v>1.0</v>
      </c>
      <c r="AA35" s="23" t="str">
        <f t="shared" si="6"/>
        <v>#DIV/0!</v>
      </c>
    </row>
    <row r="36" ht="14.25" customHeight="1">
      <c r="A36" s="18">
        <v>24.0</v>
      </c>
      <c r="B36" s="19" t="s">
        <v>451</v>
      </c>
      <c r="C36" s="20" t="s">
        <v>452</v>
      </c>
      <c r="D36" s="40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2" t="str">
        <f t="shared" si="1"/>
        <v>#DIV/0!</v>
      </c>
      <c r="T36" s="43" t="str">
        <f t="shared" si="2"/>
        <v>#DIV/0!</v>
      </c>
      <c r="U36" s="44" t="str">
        <f t="shared" si="3"/>
        <v>#DIV/0!</v>
      </c>
      <c r="V36" s="45"/>
      <c r="W36" s="45" t="str">
        <f t="shared" si="4"/>
        <v>#DIV/0!</v>
      </c>
      <c r="X36" s="46" t="str">
        <f t="shared" si="5"/>
        <v>#DIV/0!</v>
      </c>
      <c r="Y36" s="47"/>
      <c r="Z36" s="22">
        <v>1.0</v>
      </c>
      <c r="AA36" s="23" t="str">
        <f t="shared" si="6"/>
        <v>#DIV/0!</v>
      </c>
    </row>
    <row r="37" ht="14.25" customHeight="1">
      <c r="A37" s="18">
        <v>25.0</v>
      </c>
      <c r="B37" s="19" t="s">
        <v>453</v>
      </c>
      <c r="C37" s="20" t="s">
        <v>454</v>
      </c>
      <c r="D37" s="40"/>
      <c r="E37" s="41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2" t="str">
        <f t="shared" si="1"/>
        <v>#DIV/0!</v>
      </c>
      <c r="T37" s="43" t="str">
        <f t="shared" si="2"/>
        <v>#DIV/0!</v>
      </c>
      <c r="U37" s="44" t="str">
        <f t="shared" si="3"/>
        <v>#DIV/0!</v>
      </c>
      <c r="V37" s="45"/>
      <c r="W37" s="45" t="str">
        <f t="shared" si="4"/>
        <v>#DIV/0!</v>
      </c>
      <c r="X37" s="46" t="str">
        <f t="shared" si="5"/>
        <v>#DIV/0!</v>
      </c>
      <c r="Y37" s="47"/>
      <c r="Z37" s="22">
        <v>1.0</v>
      </c>
      <c r="AA37" s="23" t="str">
        <f t="shared" si="6"/>
        <v>#DIV/0!</v>
      </c>
    </row>
    <row r="38" ht="14.25" customHeight="1">
      <c r="A38" s="18">
        <v>26.0</v>
      </c>
      <c r="B38" s="19" t="s">
        <v>455</v>
      </c>
      <c r="C38" s="20" t="s">
        <v>456</v>
      </c>
      <c r="D38" s="40"/>
      <c r="E38" s="41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2" t="str">
        <f t="shared" si="1"/>
        <v>#DIV/0!</v>
      </c>
      <c r="T38" s="43" t="str">
        <f t="shared" si="2"/>
        <v>#DIV/0!</v>
      </c>
      <c r="U38" s="44" t="str">
        <f t="shared" si="3"/>
        <v>#DIV/0!</v>
      </c>
      <c r="V38" s="45"/>
      <c r="W38" s="45" t="str">
        <f t="shared" si="4"/>
        <v>#DIV/0!</v>
      </c>
      <c r="X38" s="46" t="str">
        <f t="shared" si="5"/>
        <v>#DIV/0!</v>
      </c>
      <c r="Y38" s="47"/>
      <c r="Z38" s="22">
        <v>1.0</v>
      </c>
      <c r="AA38" s="23" t="str">
        <f t="shared" si="6"/>
        <v>#DIV/0!</v>
      </c>
    </row>
    <row r="39" ht="14.25" customHeight="1">
      <c r="A39" s="18">
        <v>27.0</v>
      </c>
      <c r="B39" s="19" t="s">
        <v>457</v>
      </c>
      <c r="C39" s="20" t="s">
        <v>458</v>
      </c>
      <c r="D39" s="40"/>
      <c r="E39" s="41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2" t="str">
        <f t="shared" si="1"/>
        <v>#DIV/0!</v>
      </c>
      <c r="T39" s="43" t="str">
        <f t="shared" si="2"/>
        <v>#DIV/0!</v>
      </c>
      <c r="U39" s="44" t="str">
        <f t="shared" si="3"/>
        <v>#DIV/0!</v>
      </c>
      <c r="V39" s="45"/>
      <c r="W39" s="45" t="str">
        <f t="shared" si="4"/>
        <v>#DIV/0!</v>
      </c>
      <c r="X39" s="46" t="str">
        <f t="shared" si="5"/>
        <v>#DIV/0!</v>
      </c>
      <c r="Y39" s="47"/>
      <c r="Z39" s="22">
        <v>1.0</v>
      </c>
      <c r="AA39" s="23" t="str">
        <f t="shared" si="6"/>
        <v>#DIV/0!</v>
      </c>
    </row>
    <row r="40" ht="14.25" customHeight="1">
      <c r="A40" s="18">
        <v>28.0</v>
      </c>
      <c r="B40" s="19" t="s">
        <v>459</v>
      </c>
      <c r="C40" s="20" t="s">
        <v>460</v>
      </c>
      <c r="D40" s="40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2" t="str">
        <f t="shared" si="1"/>
        <v>#DIV/0!</v>
      </c>
      <c r="T40" s="43" t="str">
        <f t="shared" si="2"/>
        <v>#DIV/0!</v>
      </c>
      <c r="U40" s="44" t="str">
        <f t="shared" si="3"/>
        <v>#DIV/0!</v>
      </c>
      <c r="V40" s="45"/>
      <c r="W40" s="45" t="str">
        <f t="shared" si="4"/>
        <v>#DIV/0!</v>
      </c>
      <c r="X40" s="46" t="str">
        <f t="shared" si="5"/>
        <v>#DIV/0!</v>
      </c>
      <c r="Y40" s="47"/>
      <c r="Z40" s="22">
        <v>1.0</v>
      </c>
      <c r="AA40" s="23" t="str">
        <f t="shared" si="6"/>
        <v>#DIV/0!</v>
      </c>
    </row>
    <row r="41" ht="14.25" customHeight="1">
      <c r="A41" s="18">
        <v>29.0</v>
      </c>
      <c r="B41" s="19" t="s">
        <v>461</v>
      </c>
      <c r="C41" s="20" t="s">
        <v>462</v>
      </c>
      <c r="D41" s="40"/>
      <c r="E41" s="4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2" t="str">
        <f t="shared" si="1"/>
        <v>#DIV/0!</v>
      </c>
      <c r="T41" s="43" t="str">
        <f t="shared" si="2"/>
        <v>#DIV/0!</v>
      </c>
      <c r="U41" s="44" t="str">
        <f t="shared" si="3"/>
        <v>#DIV/0!</v>
      </c>
      <c r="V41" s="45"/>
      <c r="W41" s="45" t="str">
        <f t="shared" si="4"/>
        <v>#DIV/0!</v>
      </c>
      <c r="X41" s="46" t="str">
        <f t="shared" si="5"/>
        <v>#DIV/0!</v>
      </c>
      <c r="Y41" s="47"/>
      <c r="Z41" s="22">
        <v>1.0</v>
      </c>
      <c r="AA41" s="23" t="str">
        <f t="shared" si="6"/>
        <v>#DIV/0!</v>
      </c>
    </row>
    <row r="42" ht="14.25" customHeight="1">
      <c r="A42" s="18">
        <v>30.0</v>
      </c>
      <c r="B42" s="19" t="s">
        <v>463</v>
      </c>
      <c r="C42" s="20" t="s">
        <v>464</v>
      </c>
      <c r="D42" s="40"/>
      <c r="E42" s="41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2" t="str">
        <f t="shared" si="1"/>
        <v>#DIV/0!</v>
      </c>
      <c r="T42" s="43" t="str">
        <f t="shared" si="2"/>
        <v>#DIV/0!</v>
      </c>
      <c r="U42" s="44" t="str">
        <f t="shared" si="3"/>
        <v>#DIV/0!</v>
      </c>
      <c r="V42" s="45"/>
      <c r="W42" s="45" t="str">
        <f t="shared" si="4"/>
        <v>#DIV/0!</v>
      </c>
      <c r="X42" s="46" t="str">
        <f t="shared" si="5"/>
        <v>#DIV/0!</v>
      </c>
      <c r="Y42" s="47"/>
      <c r="Z42" s="22">
        <v>1.0</v>
      </c>
      <c r="AA42" s="23" t="str">
        <f t="shared" si="6"/>
        <v>#DIV/0!</v>
      </c>
    </row>
    <row r="43" ht="14.25" customHeight="1">
      <c r="A43" s="18">
        <v>31.0</v>
      </c>
      <c r="B43" s="19" t="s">
        <v>465</v>
      </c>
      <c r="C43" s="20" t="s">
        <v>466</v>
      </c>
      <c r="D43" s="40"/>
      <c r="E43" s="41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2" t="str">
        <f t="shared" si="1"/>
        <v>#DIV/0!</v>
      </c>
      <c r="T43" s="43" t="str">
        <f t="shared" si="2"/>
        <v>#DIV/0!</v>
      </c>
      <c r="U43" s="44" t="str">
        <f t="shared" si="3"/>
        <v>#DIV/0!</v>
      </c>
      <c r="V43" s="45"/>
      <c r="W43" s="45" t="str">
        <f t="shared" si="4"/>
        <v>#DIV/0!</v>
      </c>
      <c r="X43" s="46" t="str">
        <f t="shared" si="5"/>
        <v>#DIV/0!</v>
      </c>
      <c r="Y43" s="47"/>
      <c r="Z43" s="22">
        <v>1.0</v>
      </c>
      <c r="AA43" s="23" t="str">
        <f t="shared" si="6"/>
        <v>#DIV/0!</v>
      </c>
    </row>
    <row r="44" ht="14.25" customHeight="1">
      <c r="A44" s="18">
        <v>32.0</v>
      </c>
      <c r="B44" s="19" t="s">
        <v>467</v>
      </c>
      <c r="C44" s="20" t="s">
        <v>468</v>
      </c>
      <c r="D44" s="40"/>
      <c r="E44" s="41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2" t="str">
        <f t="shared" si="1"/>
        <v>#DIV/0!</v>
      </c>
      <c r="T44" s="43" t="str">
        <f t="shared" si="2"/>
        <v>#DIV/0!</v>
      </c>
      <c r="U44" s="44" t="str">
        <f t="shared" si="3"/>
        <v>#DIV/0!</v>
      </c>
      <c r="V44" s="45"/>
      <c r="W44" s="45" t="str">
        <f t="shared" si="4"/>
        <v>#DIV/0!</v>
      </c>
      <c r="X44" s="46" t="str">
        <f t="shared" si="5"/>
        <v>#DIV/0!</v>
      </c>
      <c r="Y44" s="47"/>
      <c r="Z44" s="22">
        <v>1.0</v>
      </c>
      <c r="AA44" s="23" t="str">
        <f t="shared" si="6"/>
        <v>#DIV/0!</v>
      </c>
    </row>
    <row r="45" ht="14.25" customHeight="1">
      <c r="A45" s="18">
        <v>33.0</v>
      </c>
      <c r="B45" s="19" t="s">
        <v>469</v>
      </c>
      <c r="C45" s="20" t="s">
        <v>470</v>
      </c>
      <c r="D45" s="40"/>
      <c r="E45" s="41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2" t="str">
        <f t="shared" si="1"/>
        <v>#DIV/0!</v>
      </c>
      <c r="T45" s="43" t="str">
        <f t="shared" si="2"/>
        <v>#DIV/0!</v>
      </c>
      <c r="U45" s="44" t="str">
        <f t="shared" si="3"/>
        <v>#DIV/0!</v>
      </c>
      <c r="V45" s="45"/>
      <c r="W45" s="45" t="str">
        <f t="shared" si="4"/>
        <v>#DIV/0!</v>
      </c>
      <c r="X45" s="46" t="str">
        <f t="shared" si="5"/>
        <v>#DIV/0!</v>
      </c>
      <c r="Y45" s="47"/>
      <c r="Z45" s="22">
        <v>1.0</v>
      </c>
      <c r="AA45" s="23" t="str">
        <f t="shared" si="6"/>
        <v>#DIV/0!</v>
      </c>
    </row>
    <row r="46" ht="14.25" customHeight="1">
      <c r="A46" s="24">
        <v>34.0</v>
      </c>
      <c r="B46" s="19" t="s">
        <v>471</v>
      </c>
      <c r="C46" s="20" t="s">
        <v>472</v>
      </c>
      <c r="D46" s="48"/>
      <c r="E46" s="41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 t="str">
        <f t="shared" si="1"/>
        <v>#DIV/0!</v>
      </c>
      <c r="T46" s="50" t="str">
        <f t="shared" si="2"/>
        <v>#DIV/0!</v>
      </c>
      <c r="U46" s="51" t="str">
        <f t="shared" si="3"/>
        <v>#DIV/0!</v>
      </c>
      <c r="V46" s="52"/>
      <c r="W46" s="52" t="str">
        <f t="shared" si="4"/>
        <v>#DIV/0!</v>
      </c>
      <c r="X46" s="53" t="str">
        <f t="shared" si="5"/>
        <v>#DIV/0!</v>
      </c>
      <c r="Y46" s="54"/>
      <c r="Z46" s="55">
        <v>1.0</v>
      </c>
      <c r="AA46" s="56" t="str">
        <f t="shared" si="6"/>
        <v>#DIV/0!</v>
      </c>
    </row>
    <row r="47" ht="14.25" customHeight="1">
      <c r="A47" s="18">
        <v>35.0</v>
      </c>
      <c r="B47" s="19" t="s">
        <v>473</v>
      </c>
      <c r="C47" s="20" t="s">
        <v>474</v>
      </c>
      <c r="D47" s="40"/>
      <c r="E47" s="41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2" t="str">
        <f t="shared" si="1"/>
        <v>#DIV/0!</v>
      </c>
      <c r="T47" s="43" t="str">
        <f t="shared" si="2"/>
        <v>#DIV/0!</v>
      </c>
      <c r="U47" s="44" t="str">
        <f t="shared" si="3"/>
        <v>#DIV/0!</v>
      </c>
      <c r="V47" s="45"/>
      <c r="W47" s="45" t="str">
        <f t="shared" si="4"/>
        <v>#DIV/0!</v>
      </c>
      <c r="X47" s="46" t="str">
        <f t="shared" si="5"/>
        <v>#DIV/0!</v>
      </c>
      <c r="Y47" s="47"/>
      <c r="Z47" s="22">
        <v>1.0</v>
      </c>
      <c r="AA47" s="23" t="str">
        <f t="shared" si="6"/>
        <v>#DIV/0!</v>
      </c>
    </row>
    <row r="48" ht="14.25" customHeight="1">
      <c r="A48" s="18">
        <v>36.0</v>
      </c>
      <c r="B48" s="19" t="s">
        <v>475</v>
      </c>
      <c r="C48" s="20" t="s">
        <v>476</v>
      </c>
      <c r="D48" s="40"/>
      <c r="E48" s="4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2" t="str">
        <f t="shared" si="1"/>
        <v>#DIV/0!</v>
      </c>
      <c r="T48" s="43" t="str">
        <f t="shared" si="2"/>
        <v>#DIV/0!</v>
      </c>
      <c r="U48" s="44" t="str">
        <f t="shared" si="3"/>
        <v>#DIV/0!</v>
      </c>
      <c r="V48" s="45"/>
      <c r="W48" s="45" t="str">
        <f t="shared" si="4"/>
        <v>#DIV/0!</v>
      </c>
      <c r="X48" s="46" t="str">
        <f t="shared" si="5"/>
        <v>#DIV/0!</v>
      </c>
      <c r="Y48" s="47"/>
      <c r="Z48" s="22">
        <v>1.0</v>
      </c>
      <c r="AA48" s="23" t="str">
        <f t="shared" si="6"/>
        <v>#DIV/0!</v>
      </c>
    </row>
    <row r="49" ht="14.25" customHeight="1">
      <c r="A49" s="18">
        <v>37.0</v>
      </c>
      <c r="B49" s="19" t="s">
        <v>477</v>
      </c>
      <c r="C49" s="20" t="s">
        <v>478</v>
      </c>
      <c r="D49" s="57"/>
      <c r="E49" s="41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42" t="str">
        <f t="shared" si="1"/>
        <v>#DIV/0!</v>
      </c>
      <c r="T49" s="43" t="str">
        <f t="shared" si="2"/>
        <v>#DIV/0!</v>
      </c>
      <c r="U49" s="44" t="str">
        <f t="shared" si="3"/>
        <v>#DIV/0!</v>
      </c>
      <c r="V49" s="45"/>
      <c r="W49" s="45" t="str">
        <f t="shared" si="4"/>
        <v>#DIV/0!</v>
      </c>
      <c r="X49" s="46" t="str">
        <f t="shared" si="5"/>
        <v>#DIV/0!</v>
      </c>
      <c r="Y49" s="47"/>
      <c r="Z49" s="22"/>
      <c r="AA49" s="23" t="str">
        <f t="shared" si="6"/>
        <v>#DIV/0!</v>
      </c>
    </row>
    <row r="50" ht="14.25" customHeight="1">
      <c r="A50" s="18">
        <v>38.0</v>
      </c>
      <c r="B50" s="19" t="s">
        <v>479</v>
      </c>
      <c r="C50" s="20" t="s">
        <v>480</v>
      </c>
      <c r="D50" s="57"/>
      <c r="E50" s="41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42" t="str">
        <f t="shared" si="1"/>
        <v>#DIV/0!</v>
      </c>
      <c r="T50" s="43" t="str">
        <f t="shared" si="2"/>
        <v>#DIV/0!</v>
      </c>
      <c r="U50" s="44" t="str">
        <f t="shared" si="3"/>
        <v>#DIV/0!</v>
      </c>
      <c r="V50" s="45"/>
      <c r="W50" s="45" t="str">
        <f t="shared" si="4"/>
        <v>#DIV/0!</v>
      </c>
      <c r="X50" s="46" t="str">
        <f t="shared" si="5"/>
        <v>#DIV/0!</v>
      </c>
      <c r="Y50" s="47"/>
      <c r="Z50" s="22"/>
      <c r="AA50" s="23" t="str">
        <f t="shared" si="6"/>
        <v>#DIV/0!</v>
      </c>
    </row>
    <row r="51" ht="14.25" customHeight="1">
      <c r="A51" s="18">
        <v>39.0</v>
      </c>
      <c r="B51" s="19" t="s">
        <v>481</v>
      </c>
      <c r="C51" s="20" t="s">
        <v>482</v>
      </c>
      <c r="D51" s="57"/>
      <c r="E51" s="41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42" t="str">
        <f t="shared" si="1"/>
        <v>#DIV/0!</v>
      </c>
      <c r="T51" s="43" t="str">
        <f t="shared" si="2"/>
        <v>#DIV/0!</v>
      </c>
      <c r="U51" s="44" t="str">
        <f t="shared" si="3"/>
        <v>#DIV/0!</v>
      </c>
      <c r="V51" s="45"/>
      <c r="W51" s="45" t="str">
        <f t="shared" si="4"/>
        <v>#DIV/0!</v>
      </c>
      <c r="X51" s="46" t="str">
        <f t="shared" si="5"/>
        <v>#DIV/0!</v>
      </c>
      <c r="Y51" s="47"/>
      <c r="Z51" s="22"/>
      <c r="AA51" s="23" t="str">
        <f t="shared" si="6"/>
        <v>#DIV/0!</v>
      </c>
    </row>
    <row r="52" ht="14.25" customHeight="1">
      <c r="A52" s="18">
        <v>40.0</v>
      </c>
      <c r="B52" s="19" t="s">
        <v>483</v>
      </c>
      <c r="C52" s="20" t="s">
        <v>484</v>
      </c>
      <c r="D52" s="57"/>
      <c r="E52" s="41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42" t="str">
        <f t="shared" si="1"/>
        <v>#DIV/0!</v>
      </c>
      <c r="T52" s="43" t="str">
        <f t="shared" si="2"/>
        <v>#DIV/0!</v>
      </c>
      <c r="U52" s="44" t="str">
        <f t="shared" si="3"/>
        <v>#DIV/0!</v>
      </c>
      <c r="V52" s="45"/>
      <c r="W52" s="45" t="str">
        <f t="shared" si="4"/>
        <v>#DIV/0!</v>
      </c>
      <c r="X52" s="46" t="str">
        <f t="shared" si="5"/>
        <v>#DIV/0!</v>
      </c>
      <c r="Y52" s="47"/>
      <c r="Z52" s="22"/>
      <c r="AA52" s="23" t="str">
        <f t="shared" si="6"/>
        <v>#DIV/0!</v>
      </c>
    </row>
    <row r="53" ht="14.25" customHeight="1">
      <c r="A53" s="18">
        <v>41.0</v>
      </c>
      <c r="B53" s="19" t="s">
        <v>485</v>
      </c>
      <c r="C53" s="20" t="s">
        <v>486</v>
      </c>
      <c r="D53" s="57"/>
      <c r="E53" s="41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42" t="str">
        <f t="shared" si="1"/>
        <v>#DIV/0!</v>
      </c>
      <c r="T53" s="43" t="str">
        <f t="shared" si="2"/>
        <v>#DIV/0!</v>
      </c>
      <c r="U53" s="44" t="str">
        <f t="shared" si="3"/>
        <v>#DIV/0!</v>
      </c>
      <c r="V53" s="45"/>
      <c r="W53" s="45" t="str">
        <f t="shared" si="4"/>
        <v>#DIV/0!</v>
      </c>
      <c r="X53" s="46" t="str">
        <f t="shared" si="5"/>
        <v>#DIV/0!</v>
      </c>
      <c r="Y53" s="47"/>
      <c r="Z53" s="22"/>
      <c r="AA53" s="23" t="str">
        <f t="shared" si="6"/>
        <v>#DIV/0!</v>
      </c>
    </row>
    <row r="54" ht="14.25" customHeight="1">
      <c r="A54" s="18">
        <v>42.0</v>
      </c>
      <c r="B54" s="19" t="s">
        <v>487</v>
      </c>
      <c r="C54" s="20" t="s">
        <v>488</v>
      </c>
      <c r="D54" s="57"/>
      <c r="E54" s="41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42" t="str">
        <f t="shared" si="1"/>
        <v>#DIV/0!</v>
      </c>
      <c r="T54" s="43" t="str">
        <f t="shared" si="2"/>
        <v>#DIV/0!</v>
      </c>
      <c r="U54" s="44" t="str">
        <f t="shared" si="3"/>
        <v>#DIV/0!</v>
      </c>
      <c r="V54" s="45"/>
      <c r="W54" s="45" t="str">
        <f t="shared" si="4"/>
        <v>#DIV/0!</v>
      </c>
      <c r="X54" s="46" t="str">
        <f t="shared" si="5"/>
        <v>#DIV/0!</v>
      </c>
      <c r="Y54" s="47"/>
      <c r="Z54" s="22"/>
      <c r="AA54" s="23" t="str">
        <f t="shared" si="6"/>
        <v>#DIV/0!</v>
      </c>
    </row>
    <row r="55" ht="14.25" customHeight="1">
      <c r="A55" s="18">
        <v>43.0</v>
      </c>
      <c r="B55" s="19" t="s">
        <v>489</v>
      </c>
      <c r="C55" s="20" t="s">
        <v>490</v>
      </c>
      <c r="D55" s="57"/>
      <c r="E55" s="41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42" t="str">
        <f t="shared" si="1"/>
        <v>#DIV/0!</v>
      </c>
      <c r="T55" s="43" t="str">
        <f t="shared" si="2"/>
        <v>#DIV/0!</v>
      </c>
      <c r="U55" s="44" t="str">
        <f t="shared" si="3"/>
        <v>#DIV/0!</v>
      </c>
      <c r="V55" s="45"/>
      <c r="W55" s="45" t="str">
        <f t="shared" si="4"/>
        <v>#DIV/0!</v>
      </c>
      <c r="X55" s="46" t="str">
        <f t="shared" si="5"/>
        <v>#DIV/0!</v>
      </c>
      <c r="Y55" s="47"/>
      <c r="Z55" s="22"/>
      <c r="AA55" s="23" t="str">
        <f t="shared" si="6"/>
        <v>#DIV/0!</v>
      </c>
    </row>
    <row r="56" ht="14.25" customHeight="1">
      <c r="A56" s="18">
        <v>44.0</v>
      </c>
      <c r="B56" s="19" t="s">
        <v>491</v>
      </c>
      <c r="C56" s="20" t="s">
        <v>492</v>
      </c>
      <c r="D56" s="57"/>
      <c r="E56" s="41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42" t="str">
        <f t="shared" si="1"/>
        <v>#DIV/0!</v>
      </c>
      <c r="T56" s="43" t="str">
        <f t="shared" si="2"/>
        <v>#DIV/0!</v>
      </c>
      <c r="U56" s="44" t="str">
        <f t="shared" si="3"/>
        <v>#DIV/0!</v>
      </c>
      <c r="V56" s="45"/>
      <c r="W56" s="45" t="str">
        <f t="shared" si="4"/>
        <v>#DIV/0!</v>
      </c>
      <c r="X56" s="46" t="str">
        <f t="shared" si="5"/>
        <v>#DIV/0!</v>
      </c>
      <c r="Y56" s="47"/>
      <c r="Z56" s="22"/>
      <c r="AA56" s="23" t="str">
        <f t="shared" si="6"/>
        <v>#DIV/0!</v>
      </c>
    </row>
    <row r="57" ht="14.25" customHeight="1">
      <c r="A57" s="18">
        <v>45.0</v>
      </c>
      <c r="B57" s="19" t="s">
        <v>493</v>
      </c>
      <c r="C57" s="20" t="s">
        <v>494</v>
      </c>
      <c r="D57" s="57"/>
      <c r="E57" s="41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42" t="str">
        <f t="shared" si="1"/>
        <v>#DIV/0!</v>
      </c>
      <c r="T57" s="43" t="str">
        <f t="shared" si="2"/>
        <v>#DIV/0!</v>
      </c>
      <c r="U57" s="44" t="str">
        <f t="shared" si="3"/>
        <v>#DIV/0!</v>
      </c>
      <c r="V57" s="45"/>
      <c r="W57" s="45" t="str">
        <f t="shared" si="4"/>
        <v>#DIV/0!</v>
      </c>
      <c r="X57" s="46" t="str">
        <f t="shared" si="5"/>
        <v>#DIV/0!</v>
      </c>
      <c r="Y57" s="47"/>
      <c r="Z57" s="22"/>
      <c r="AA57" s="23" t="str">
        <f t="shared" si="6"/>
        <v>#DIV/0!</v>
      </c>
    </row>
    <row r="58" ht="14.25" customHeight="1"/>
    <row r="59" ht="14.25" customHeight="1">
      <c r="Y59" s="26" t="s">
        <v>109</v>
      </c>
      <c r="AA59" s="26"/>
    </row>
    <row r="60" ht="14.25" customHeight="1">
      <c r="Y60" s="26" t="s">
        <v>110</v>
      </c>
    </row>
    <row r="61" ht="14.25" customHeight="1">
      <c r="Y61" s="26" t="s">
        <v>111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D11:H11"/>
    <mergeCell ref="I11:M11"/>
    <mergeCell ref="N11:R11"/>
    <mergeCell ref="S11:U11"/>
    <mergeCell ref="V11:V12"/>
    <mergeCell ref="W11:W12"/>
    <mergeCell ref="X11:X12"/>
    <mergeCell ref="Y11:Y12"/>
    <mergeCell ref="Z11:Z12"/>
    <mergeCell ref="AA11:AA12"/>
    <mergeCell ref="A1:AA1"/>
    <mergeCell ref="A3:AA3"/>
    <mergeCell ref="A4:AA4"/>
    <mergeCell ref="A10:A12"/>
    <mergeCell ref="B10:B12"/>
    <mergeCell ref="C10:C12"/>
    <mergeCell ref="D10:AA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9.86"/>
    <col customWidth="1" min="3" max="3" width="32.86"/>
    <col customWidth="1" min="4" max="18" width="3.57"/>
    <col customWidth="1" min="19" max="19" width="4.71"/>
    <col customWidth="1" min="20" max="21" width="4.57"/>
    <col customWidth="1" min="22" max="22" width="5.14"/>
    <col customWidth="1" min="23" max="23" width="5.29"/>
    <col customWidth="1" min="24" max="24" width="5.14"/>
    <col customWidth="1" min="25" max="25" width="4.86"/>
    <col customWidth="1" min="26" max="26" width="5.43"/>
    <col customWidth="1" min="27" max="27" width="5.14"/>
  </cols>
  <sheetData>
    <row r="1" ht="78.0" customHeight="1">
      <c r="A1" s="1" t="s">
        <v>495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0" customHeight="1"/>
    <row r="3" ht="14.25" customHeight="1">
      <c r="A3" s="3" t="s">
        <v>1</v>
      </c>
    </row>
    <row r="4" ht="14.25" customHeight="1">
      <c r="A4" s="3" t="s">
        <v>2</v>
      </c>
    </row>
    <row r="5" ht="3.75" customHeight="1">
      <c r="B5" s="4"/>
      <c r="D5" s="4"/>
      <c r="E5" s="4"/>
    </row>
    <row r="6" ht="14.25" customHeight="1">
      <c r="A6" s="4" t="s">
        <v>3</v>
      </c>
      <c r="C6" s="5" t="s">
        <v>4</v>
      </c>
      <c r="E6" s="5"/>
    </row>
    <row r="7" ht="14.25" customHeight="1">
      <c r="A7" s="4" t="s">
        <v>5</v>
      </c>
      <c r="C7" s="5" t="s">
        <v>496</v>
      </c>
      <c r="E7" s="5"/>
    </row>
    <row r="8" ht="14.25" customHeight="1">
      <c r="A8" s="4" t="s">
        <v>7</v>
      </c>
      <c r="C8" s="5" t="s">
        <v>8</v>
      </c>
      <c r="E8" s="5"/>
    </row>
    <row r="9" ht="14.25" customHeight="1">
      <c r="E9" s="5"/>
    </row>
    <row r="10" ht="14.25" customHeight="1">
      <c r="A10" s="6" t="s">
        <v>9</v>
      </c>
      <c r="B10" s="6" t="s">
        <v>10</v>
      </c>
      <c r="C10" s="7" t="s">
        <v>11</v>
      </c>
      <c r="D10" s="8" t="s">
        <v>114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ht="33.75" customHeight="1">
      <c r="A11" s="11"/>
      <c r="B11" s="11"/>
      <c r="C11" s="11"/>
      <c r="D11" s="27"/>
      <c r="E11" s="9"/>
      <c r="F11" s="9"/>
      <c r="G11" s="9"/>
      <c r="H11" s="10"/>
      <c r="I11" s="27"/>
      <c r="J11" s="9"/>
      <c r="K11" s="9"/>
      <c r="L11" s="9"/>
      <c r="M11" s="10"/>
      <c r="N11" s="27"/>
      <c r="O11" s="9"/>
      <c r="P11" s="9"/>
      <c r="Q11" s="9"/>
      <c r="R11" s="10"/>
      <c r="S11" s="28" t="s">
        <v>115</v>
      </c>
      <c r="T11" s="9"/>
      <c r="U11" s="10"/>
      <c r="V11" s="29" t="s">
        <v>116</v>
      </c>
      <c r="W11" s="30" t="s">
        <v>117</v>
      </c>
      <c r="X11" s="31" t="s">
        <v>118</v>
      </c>
      <c r="Y11" s="32" t="s">
        <v>119</v>
      </c>
      <c r="Z11" s="13" t="s">
        <v>13</v>
      </c>
      <c r="AA11" s="14" t="s">
        <v>14</v>
      </c>
    </row>
    <row r="12" ht="15.75" customHeight="1">
      <c r="A12" s="15"/>
      <c r="B12" s="15"/>
      <c r="C12" s="15"/>
      <c r="D12" s="33">
        <v>1.0</v>
      </c>
      <c r="E12" s="34">
        <v>2.0</v>
      </c>
      <c r="F12" s="34">
        <v>3.0</v>
      </c>
      <c r="G12" s="35">
        <v>4.0</v>
      </c>
      <c r="H12" s="35">
        <v>5.0</v>
      </c>
      <c r="I12" s="35">
        <v>1.0</v>
      </c>
      <c r="J12" s="35">
        <v>2.0</v>
      </c>
      <c r="K12" s="35">
        <v>3.0</v>
      </c>
      <c r="L12" s="35">
        <v>4.0</v>
      </c>
      <c r="M12" s="35">
        <v>5.0</v>
      </c>
      <c r="N12" s="35">
        <v>1.0</v>
      </c>
      <c r="O12" s="35">
        <v>2.0</v>
      </c>
      <c r="P12" s="35">
        <v>3.0</v>
      </c>
      <c r="Q12" s="35">
        <v>4.0</v>
      </c>
      <c r="R12" s="35">
        <v>5.0</v>
      </c>
      <c r="S12" s="36" t="s">
        <v>120</v>
      </c>
      <c r="T12" s="37" t="s">
        <v>121</v>
      </c>
      <c r="U12" s="38" t="s">
        <v>122</v>
      </c>
      <c r="V12" s="15"/>
      <c r="W12" s="39"/>
      <c r="X12" s="16"/>
      <c r="Y12" s="16"/>
      <c r="Z12" s="16"/>
      <c r="AA12" s="17"/>
    </row>
    <row r="13" ht="14.25" customHeight="1">
      <c r="A13" s="18">
        <v>1.0</v>
      </c>
      <c r="B13" s="19" t="s">
        <v>497</v>
      </c>
      <c r="C13" s="20" t="s">
        <v>498</v>
      </c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2" t="str">
        <f t="shared" ref="S13:S57" si="1">AVERAGE(D13:H13)</f>
        <v>#DIV/0!</v>
      </c>
      <c r="T13" s="43" t="str">
        <f t="shared" ref="T13:T57" si="2">AVERAGE(I13:M13)</f>
        <v>#DIV/0!</v>
      </c>
      <c r="U13" s="44" t="str">
        <f t="shared" ref="U13:U57" si="3">AVERAGE(N13:R13)</f>
        <v>#DIV/0!</v>
      </c>
      <c r="V13" s="45"/>
      <c r="W13" s="45" t="str">
        <f t="shared" ref="W13:W57" si="4">AVERAGE(S13:U13)</f>
        <v>#DIV/0!</v>
      </c>
      <c r="X13" s="46" t="str">
        <f t="shared" ref="X13:X57" si="5">ROUND(AVERAGE(V13:W13),0)</f>
        <v>#DIV/0!</v>
      </c>
      <c r="Y13" s="47"/>
      <c r="Z13" s="22">
        <v>1.0</v>
      </c>
      <c r="AA13" s="23" t="str">
        <f t="shared" ref="AA13:AA57" si="6">ROUND(IF((X13*(IF(Y13="A",105%,IF(Y13="B",102%,IF(Y13="C",75%,50%))))*Z13)&gt;100,100,(X13*(IF(Y13="A",105%,IF(Y13="B",102%,IF(Y13="C",75%,50%))))*Z13)),0)</f>
        <v>#DIV/0!</v>
      </c>
    </row>
    <row r="14" ht="14.25" customHeight="1">
      <c r="A14" s="18">
        <v>2.0</v>
      </c>
      <c r="B14" s="19" t="s">
        <v>499</v>
      </c>
      <c r="C14" s="20" t="s">
        <v>500</v>
      </c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 t="str">
        <f t="shared" si="1"/>
        <v>#DIV/0!</v>
      </c>
      <c r="T14" s="43" t="str">
        <f t="shared" si="2"/>
        <v>#DIV/0!</v>
      </c>
      <c r="U14" s="44" t="str">
        <f t="shared" si="3"/>
        <v>#DIV/0!</v>
      </c>
      <c r="V14" s="45"/>
      <c r="W14" s="45" t="str">
        <f t="shared" si="4"/>
        <v>#DIV/0!</v>
      </c>
      <c r="X14" s="46" t="str">
        <f t="shared" si="5"/>
        <v>#DIV/0!</v>
      </c>
      <c r="Y14" s="47"/>
      <c r="Z14" s="22">
        <v>1.0</v>
      </c>
      <c r="AA14" s="23" t="str">
        <f t="shared" si="6"/>
        <v>#DIV/0!</v>
      </c>
    </row>
    <row r="15" ht="14.25" customHeight="1">
      <c r="A15" s="18">
        <v>3.0</v>
      </c>
      <c r="B15" s="19" t="s">
        <v>501</v>
      </c>
      <c r="C15" s="20" t="s">
        <v>502</v>
      </c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2" t="str">
        <f t="shared" si="1"/>
        <v>#DIV/0!</v>
      </c>
      <c r="T15" s="43" t="str">
        <f t="shared" si="2"/>
        <v>#DIV/0!</v>
      </c>
      <c r="U15" s="44" t="str">
        <f t="shared" si="3"/>
        <v>#DIV/0!</v>
      </c>
      <c r="V15" s="45"/>
      <c r="W15" s="45" t="str">
        <f t="shared" si="4"/>
        <v>#DIV/0!</v>
      </c>
      <c r="X15" s="46" t="str">
        <f t="shared" si="5"/>
        <v>#DIV/0!</v>
      </c>
      <c r="Y15" s="47"/>
      <c r="Z15" s="22">
        <v>1.0</v>
      </c>
      <c r="AA15" s="23" t="str">
        <f t="shared" si="6"/>
        <v>#DIV/0!</v>
      </c>
    </row>
    <row r="16" ht="14.25" customHeight="1">
      <c r="A16" s="18">
        <v>4.0</v>
      </c>
      <c r="B16" s="19" t="s">
        <v>503</v>
      </c>
      <c r="C16" s="20" t="s">
        <v>504</v>
      </c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 t="str">
        <f t="shared" si="1"/>
        <v>#DIV/0!</v>
      </c>
      <c r="T16" s="43" t="str">
        <f t="shared" si="2"/>
        <v>#DIV/0!</v>
      </c>
      <c r="U16" s="44" t="str">
        <f t="shared" si="3"/>
        <v>#DIV/0!</v>
      </c>
      <c r="V16" s="45"/>
      <c r="W16" s="45" t="str">
        <f t="shared" si="4"/>
        <v>#DIV/0!</v>
      </c>
      <c r="X16" s="46" t="str">
        <f t="shared" si="5"/>
        <v>#DIV/0!</v>
      </c>
      <c r="Y16" s="47"/>
      <c r="Z16" s="22">
        <v>1.0</v>
      </c>
      <c r="AA16" s="23" t="str">
        <f t="shared" si="6"/>
        <v>#DIV/0!</v>
      </c>
    </row>
    <row r="17" ht="14.25" customHeight="1">
      <c r="A17" s="18">
        <v>5.0</v>
      </c>
      <c r="B17" s="19" t="s">
        <v>505</v>
      </c>
      <c r="C17" s="20" t="s">
        <v>506</v>
      </c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 t="str">
        <f t="shared" si="1"/>
        <v>#DIV/0!</v>
      </c>
      <c r="T17" s="43" t="str">
        <f t="shared" si="2"/>
        <v>#DIV/0!</v>
      </c>
      <c r="U17" s="44" t="str">
        <f t="shared" si="3"/>
        <v>#DIV/0!</v>
      </c>
      <c r="V17" s="45"/>
      <c r="W17" s="45" t="str">
        <f t="shared" si="4"/>
        <v>#DIV/0!</v>
      </c>
      <c r="X17" s="46" t="str">
        <f t="shared" si="5"/>
        <v>#DIV/0!</v>
      </c>
      <c r="Y17" s="47"/>
      <c r="Z17" s="22">
        <v>1.0</v>
      </c>
      <c r="AA17" s="23" t="str">
        <f t="shared" si="6"/>
        <v>#DIV/0!</v>
      </c>
    </row>
    <row r="18" ht="14.25" customHeight="1">
      <c r="A18" s="18">
        <v>6.0</v>
      </c>
      <c r="B18" s="19" t="s">
        <v>507</v>
      </c>
      <c r="C18" s="20" t="s">
        <v>508</v>
      </c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2" t="str">
        <f t="shared" si="1"/>
        <v>#DIV/0!</v>
      </c>
      <c r="T18" s="43" t="str">
        <f t="shared" si="2"/>
        <v>#DIV/0!</v>
      </c>
      <c r="U18" s="44" t="str">
        <f t="shared" si="3"/>
        <v>#DIV/0!</v>
      </c>
      <c r="V18" s="45"/>
      <c r="W18" s="45" t="str">
        <f t="shared" si="4"/>
        <v>#DIV/0!</v>
      </c>
      <c r="X18" s="46" t="str">
        <f t="shared" si="5"/>
        <v>#DIV/0!</v>
      </c>
      <c r="Y18" s="47"/>
      <c r="Z18" s="22">
        <v>1.0</v>
      </c>
      <c r="AA18" s="23" t="str">
        <f t="shared" si="6"/>
        <v>#DIV/0!</v>
      </c>
    </row>
    <row r="19" ht="14.25" customHeight="1">
      <c r="A19" s="18">
        <v>7.0</v>
      </c>
      <c r="B19" s="19" t="s">
        <v>509</v>
      </c>
      <c r="C19" s="20" t="s">
        <v>510</v>
      </c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2" t="str">
        <f t="shared" si="1"/>
        <v>#DIV/0!</v>
      </c>
      <c r="T19" s="43" t="str">
        <f t="shared" si="2"/>
        <v>#DIV/0!</v>
      </c>
      <c r="U19" s="44" t="str">
        <f t="shared" si="3"/>
        <v>#DIV/0!</v>
      </c>
      <c r="V19" s="45"/>
      <c r="W19" s="45" t="str">
        <f t="shared" si="4"/>
        <v>#DIV/0!</v>
      </c>
      <c r="X19" s="46" t="str">
        <f t="shared" si="5"/>
        <v>#DIV/0!</v>
      </c>
      <c r="Y19" s="47"/>
      <c r="Z19" s="22">
        <v>1.0</v>
      </c>
      <c r="AA19" s="23" t="str">
        <f t="shared" si="6"/>
        <v>#DIV/0!</v>
      </c>
    </row>
    <row r="20" ht="14.25" customHeight="1">
      <c r="A20" s="18">
        <v>8.0</v>
      </c>
      <c r="B20" s="19" t="s">
        <v>511</v>
      </c>
      <c r="C20" s="20" t="s">
        <v>512</v>
      </c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2" t="str">
        <f t="shared" si="1"/>
        <v>#DIV/0!</v>
      </c>
      <c r="T20" s="43" t="str">
        <f t="shared" si="2"/>
        <v>#DIV/0!</v>
      </c>
      <c r="U20" s="44" t="str">
        <f t="shared" si="3"/>
        <v>#DIV/0!</v>
      </c>
      <c r="V20" s="45"/>
      <c r="W20" s="45" t="str">
        <f t="shared" si="4"/>
        <v>#DIV/0!</v>
      </c>
      <c r="X20" s="46" t="str">
        <f t="shared" si="5"/>
        <v>#DIV/0!</v>
      </c>
      <c r="Y20" s="47"/>
      <c r="Z20" s="22">
        <v>1.0</v>
      </c>
      <c r="AA20" s="23" t="str">
        <f t="shared" si="6"/>
        <v>#DIV/0!</v>
      </c>
    </row>
    <row r="21" ht="14.25" customHeight="1">
      <c r="A21" s="18">
        <v>9.0</v>
      </c>
      <c r="B21" s="19" t="s">
        <v>513</v>
      </c>
      <c r="C21" s="20" t="s">
        <v>514</v>
      </c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2" t="str">
        <f t="shared" si="1"/>
        <v>#DIV/0!</v>
      </c>
      <c r="T21" s="43" t="str">
        <f t="shared" si="2"/>
        <v>#DIV/0!</v>
      </c>
      <c r="U21" s="44" t="str">
        <f t="shared" si="3"/>
        <v>#DIV/0!</v>
      </c>
      <c r="V21" s="45"/>
      <c r="W21" s="45" t="str">
        <f t="shared" si="4"/>
        <v>#DIV/0!</v>
      </c>
      <c r="X21" s="46" t="str">
        <f t="shared" si="5"/>
        <v>#DIV/0!</v>
      </c>
      <c r="Y21" s="47"/>
      <c r="Z21" s="22">
        <v>1.0</v>
      </c>
      <c r="AA21" s="23" t="str">
        <f t="shared" si="6"/>
        <v>#DIV/0!</v>
      </c>
    </row>
    <row r="22" ht="14.25" customHeight="1">
      <c r="A22" s="18">
        <v>10.0</v>
      </c>
      <c r="B22" s="19" t="s">
        <v>515</v>
      </c>
      <c r="C22" s="20" t="s">
        <v>516</v>
      </c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2" t="str">
        <f t="shared" si="1"/>
        <v>#DIV/0!</v>
      </c>
      <c r="T22" s="43" t="str">
        <f t="shared" si="2"/>
        <v>#DIV/0!</v>
      </c>
      <c r="U22" s="44" t="str">
        <f t="shared" si="3"/>
        <v>#DIV/0!</v>
      </c>
      <c r="V22" s="45"/>
      <c r="W22" s="45" t="str">
        <f t="shared" si="4"/>
        <v>#DIV/0!</v>
      </c>
      <c r="X22" s="46" t="str">
        <f t="shared" si="5"/>
        <v>#DIV/0!</v>
      </c>
      <c r="Y22" s="47"/>
      <c r="Z22" s="22">
        <v>1.0</v>
      </c>
      <c r="AA22" s="23" t="str">
        <f t="shared" si="6"/>
        <v>#DIV/0!</v>
      </c>
    </row>
    <row r="23" ht="14.25" customHeight="1">
      <c r="A23" s="18">
        <v>11.0</v>
      </c>
      <c r="B23" s="19" t="s">
        <v>517</v>
      </c>
      <c r="C23" s="20" t="s">
        <v>518</v>
      </c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 t="str">
        <f t="shared" si="1"/>
        <v>#DIV/0!</v>
      </c>
      <c r="T23" s="43" t="str">
        <f t="shared" si="2"/>
        <v>#DIV/0!</v>
      </c>
      <c r="U23" s="44" t="str">
        <f t="shared" si="3"/>
        <v>#DIV/0!</v>
      </c>
      <c r="V23" s="45"/>
      <c r="W23" s="45" t="str">
        <f t="shared" si="4"/>
        <v>#DIV/0!</v>
      </c>
      <c r="X23" s="46" t="str">
        <f t="shared" si="5"/>
        <v>#DIV/0!</v>
      </c>
      <c r="Y23" s="47"/>
      <c r="Z23" s="22">
        <v>1.0</v>
      </c>
      <c r="AA23" s="23" t="str">
        <f t="shared" si="6"/>
        <v>#DIV/0!</v>
      </c>
    </row>
    <row r="24" ht="14.25" customHeight="1">
      <c r="A24" s="18">
        <v>12.0</v>
      </c>
      <c r="B24" s="19" t="s">
        <v>519</v>
      </c>
      <c r="C24" s="20" t="s">
        <v>520</v>
      </c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 t="str">
        <f t="shared" si="1"/>
        <v>#DIV/0!</v>
      </c>
      <c r="T24" s="43" t="str">
        <f t="shared" si="2"/>
        <v>#DIV/0!</v>
      </c>
      <c r="U24" s="44" t="str">
        <f t="shared" si="3"/>
        <v>#DIV/0!</v>
      </c>
      <c r="V24" s="45"/>
      <c r="W24" s="45" t="str">
        <f t="shared" si="4"/>
        <v>#DIV/0!</v>
      </c>
      <c r="X24" s="46" t="str">
        <f t="shared" si="5"/>
        <v>#DIV/0!</v>
      </c>
      <c r="Y24" s="47"/>
      <c r="Z24" s="22">
        <v>1.0</v>
      </c>
      <c r="AA24" s="23" t="str">
        <f t="shared" si="6"/>
        <v>#DIV/0!</v>
      </c>
    </row>
    <row r="25" ht="14.25" customHeight="1">
      <c r="A25" s="18">
        <v>13.0</v>
      </c>
      <c r="B25" s="19" t="s">
        <v>521</v>
      </c>
      <c r="C25" s="20" t="s">
        <v>522</v>
      </c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 t="str">
        <f t="shared" si="1"/>
        <v>#DIV/0!</v>
      </c>
      <c r="T25" s="43" t="str">
        <f t="shared" si="2"/>
        <v>#DIV/0!</v>
      </c>
      <c r="U25" s="44" t="str">
        <f t="shared" si="3"/>
        <v>#DIV/0!</v>
      </c>
      <c r="V25" s="45"/>
      <c r="W25" s="45" t="str">
        <f t="shared" si="4"/>
        <v>#DIV/0!</v>
      </c>
      <c r="X25" s="46" t="str">
        <f t="shared" si="5"/>
        <v>#DIV/0!</v>
      </c>
      <c r="Y25" s="47"/>
      <c r="Z25" s="22">
        <v>1.0</v>
      </c>
      <c r="AA25" s="23" t="str">
        <f t="shared" si="6"/>
        <v>#DIV/0!</v>
      </c>
    </row>
    <row r="26" ht="14.25" customHeight="1">
      <c r="A26" s="18">
        <v>14.0</v>
      </c>
      <c r="B26" s="19" t="s">
        <v>523</v>
      </c>
      <c r="C26" s="20" t="s">
        <v>524</v>
      </c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 t="str">
        <f t="shared" si="1"/>
        <v>#DIV/0!</v>
      </c>
      <c r="T26" s="43" t="str">
        <f t="shared" si="2"/>
        <v>#DIV/0!</v>
      </c>
      <c r="U26" s="44" t="str">
        <f t="shared" si="3"/>
        <v>#DIV/0!</v>
      </c>
      <c r="V26" s="45"/>
      <c r="W26" s="45" t="str">
        <f t="shared" si="4"/>
        <v>#DIV/0!</v>
      </c>
      <c r="X26" s="46" t="str">
        <f t="shared" si="5"/>
        <v>#DIV/0!</v>
      </c>
      <c r="Y26" s="47"/>
      <c r="Z26" s="22">
        <v>1.0</v>
      </c>
      <c r="AA26" s="23" t="str">
        <f t="shared" si="6"/>
        <v>#DIV/0!</v>
      </c>
    </row>
    <row r="27" ht="14.25" customHeight="1">
      <c r="A27" s="18">
        <v>15.0</v>
      </c>
      <c r="B27" s="19" t="s">
        <v>525</v>
      </c>
      <c r="C27" s="20" t="s">
        <v>526</v>
      </c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 t="str">
        <f t="shared" si="1"/>
        <v>#DIV/0!</v>
      </c>
      <c r="T27" s="43" t="str">
        <f t="shared" si="2"/>
        <v>#DIV/0!</v>
      </c>
      <c r="U27" s="44" t="str">
        <f t="shared" si="3"/>
        <v>#DIV/0!</v>
      </c>
      <c r="V27" s="45"/>
      <c r="W27" s="45" t="str">
        <f t="shared" si="4"/>
        <v>#DIV/0!</v>
      </c>
      <c r="X27" s="46" t="str">
        <f t="shared" si="5"/>
        <v>#DIV/0!</v>
      </c>
      <c r="Y27" s="47"/>
      <c r="Z27" s="22">
        <v>1.0</v>
      </c>
      <c r="AA27" s="23" t="str">
        <f t="shared" si="6"/>
        <v>#DIV/0!</v>
      </c>
    </row>
    <row r="28" ht="14.25" customHeight="1">
      <c r="A28" s="18">
        <v>16.0</v>
      </c>
      <c r="B28" s="19" t="s">
        <v>527</v>
      </c>
      <c r="C28" s="20" t="s">
        <v>528</v>
      </c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2" t="str">
        <f t="shared" si="1"/>
        <v>#DIV/0!</v>
      </c>
      <c r="T28" s="43" t="str">
        <f t="shared" si="2"/>
        <v>#DIV/0!</v>
      </c>
      <c r="U28" s="44" t="str">
        <f t="shared" si="3"/>
        <v>#DIV/0!</v>
      </c>
      <c r="V28" s="45"/>
      <c r="W28" s="45" t="str">
        <f t="shared" si="4"/>
        <v>#DIV/0!</v>
      </c>
      <c r="X28" s="46" t="str">
        <f t="shared" si="5"/>
        <v>#DIV/0!</v>
      </c>
      <c r="Y28" s="47"/>
      <c r="Z28" s="22">
        <v>1.0</v>
      </c>
      <c r="AA28" s="23" t="str">
        <f t="shared" si="6"/>
        <v>#DIV/0!</v>
      </c>
    </row>
    <row r="29" ht="14.25" customHeight="1">
      <c r="A29" s="18">
        <v>17.0</v>
      </c>
      <c r="B29" s="19" t="s">
        <v>529</v>
      </c>
      <c r="C29" s="20" t="s">
        <v>530</v>
      </c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2" t="str">
        <f t="shared" si="1"/>
        <v>#DIV/0!</v>
      </c>
      <c r="T29" s="43" t="str">
        <f t="shared" si="2"/>
        <v>#DIV/0!</v>
      </c>
      <c r="U29" s="44" t="str">
        <f t="shared" si="3"/>
        <v>#DIV/0!</v>
      </c>
      <c r="V29" s="45"/>
      <c r="W29" s="45" t="str">
        <f t="shared" si="4"/>
        <v>#DIV/0!</v>
      </c>
      <c r="X29" s="46" t="str">
        <f t="shared" si="5"/>
        <v>#DIV/0!</v>
      </c>
      <c r="Y29" s="47"/>
      <c r="Z29" s="22">
        <v>1.0</v>
      </c>
      <c r="AA29" s="23" t="str">
        <f t="shared" si="6"/>
        <v>#DIV/0!</v>
      </c>
    </row>
    <row r="30" ht="14.25" customHeight="1">
      <c r="A30" s="18">
        <v>18.0</v>
      </c>
      <c r="B30" s="19" t="s">
        <v>531</v>
      </c>
      <c r="C30" s="20" t="s">
        <v>532</v>
      </c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2" t="str">
        <f t="shared" si="1"/>
        <v>#DIV/0!</v>
      </c>
      <c r="T30" s="43" t="str">
        <f t="shared" si="2"/>
        <v>#DIV/0!</v>
      </c>
      <c r="U30" s="44" t="str">
        <f t="shared" si="3"/>
        <v>#DIV/0!</v>
      </c>
      <c r="V30" s="45"/>
      <c r="W30" s="45" t="str">
        <f t="shared" si="4"/>
        <v>#DIV/0!</v>
      </c>
      <c r="X30" s="46" t="str">
        <f t="shared" si="5"/>
        <v>#DIV/0!</v>
      </c>
      <c r="Y30" s="47"/>
      <c r="Z30" s="22">
        <v>1.0</v>
      </c>
      <c r="AA30" s="23" t="str">
        <f t="shared" si="6"/>
        <v>#DIV/0!</v>
      </c>
    </row>
    <row r="31" ht="14.25" customHeight="1">
      <c r="A31" s="18">
        <v>19.0</v>
      </c>
      <c r="B31" s="19" t="s">
        <v>533</v>
      </c>
      <c r="C31" s="20" t="s">
        <v>534</v>
      </c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2" t="str">
        <f t="shared" si="1"/>
        <v>#DIV/0!</v>
      </c>
      <c r="T31" s="43" t="str">
        <f t="shared" si="2"/>
        <v>#DIV/0!</v>
      </c>
      <c r="U31" s="44" t="str">
        <f t="shared" si="3"/>
        <v>#DIV/0!</v>
      </c>
      <c r="V31" s="45"/>
      <c r="W31" s="45" t="str">
        <f t="shared" si="4"/>
        <v>#DIV/0!</v>
      </c>
      <c r="X31" s="46" t="str">
        <f t="shared" si="5"/>
        <v>#DIV/0!</v>
      </c>
      <c r="Y31" s="47"/>
      <c r="Z31" s="22">
        <v>1.0</v>
      </c>
      <c r="AA31" s="23" t="str">
        <f t="shared" si="6"/>
        <v>#DIV/0!</v>
      </c>
    </row>
    <row r="32" ht="14.25" customHeight="1">
      <c r="A32" s="18">
        <v>20.0</v>
      </c>
      <c r="B32" s="19" t="s">
        <v>535</v>
      </c>
      <c r="C32" s="20" t="s">
        <v>536</v>
      </c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2" t="str">
        <f t="shared" si="1"/>
        <v>#DIV/0!</v>
      </c>
      <c r="T32" s="43" t="str">
        <f t="shared" si="2"/>
        <v>#DIV/0!</v>
      </c>
      <c r="U32" s="44" t="str">
        <f t="shared" si="3"/>
        <v>#DIV/0!</v>
      </c>
      <c r="V32" s="45"/>
      <c r="W32" s="45" t="str">
        <f t="shared" si="4"/>
        <v>#DIV/0!</v>
      </c>
      <c r="X32" s="46" t="str">
        <f t="shared" si="5"/>
        <v>#DIV/0!</v>
      </c>
      <c r="Y32" s="47"/>
      <c r="Z32" s="22">
        <v>1.0</v>
      </c>
      <c r="AA32" s="23" t="str">
        <f t="shared" si="6"/>
        <v>#DIV/0!</v>
      </c>
    </row>
    <row r="33" ht="14.25" customHeight="1">
      <c r="A33" s="18">
        <v>21.0</v>
      </c>
      <c r="B33" s="19" t="s">
        <v>537</v>
      </c>
      <c r="C33" s="20" t="s">
        <v>538</v>
      </c>
      <c r="D33" s="40"/>
      <c r="E33" s="41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2" t="str">
        <f t="shared" si="1"/>
        <v>#DIV/0!</v>
      </c>
      <c r="T33" s="43" t="str">
        <f t="shared" si="2"/>
        <v>#DIV/0!</v>
      </c>
      <c r="U33" s="44" t="str">
        <f t="shared" si="3"/>
        <v>#DIV/0!</v>
      </c>
      <c r="V33" s="45"/>
      <c r="W33" s="45" t="str">
        <f t="shared" si="4"/>
        <v>#DIV/0!</v>
      </c>
      <c r="X33" s="46" t="str">
        <f t="shared" si="5"/>
        <v>#DIV/0!</v>
      </c>
      <c r="Y33" s="47"/>
      <c r="Z33" s="22">
        <v>1.0</v>
      </c>
      <c r="AA33" s="23" t="str">
        <f t="shared" si="6"/>
        <v>#DIV/0!</v>
      </c>
    </row>
    <row r="34" ht="14.25" customHeight="1">
      <c r="A34" s="18">
        <v>22.0</v>
      </c>
      <c r="B34" s="19" t="s">
        <v>539</v>
      </c>
      <c r="C34" s="20" t="s">
        <v>540</v>
      </c>
      <c r="D34" s="40"/>
      <c r="E34" s="41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2" t="str">
        <f t="shared" si="1"/>
        <v>#DIV/0!</v>
      </c>
      <c r="T34" s="43" t="str">
        <f t="shared" si="2"/>
        <v>#DIV/0!</v>
      </c>
      <c r="U34" s="44" t="str">
        <f t="shared" si="3"/>
        <v>#DIV/0!</v>
      </c>
      <c r="V34" s="45"/>
      <c r="W34" s="45" t="str">
        <f t="shared" si="4"/>
        <v>#DIV/0!</v>
      </c>
      <c r="X34" s="46" t="str">
        <f t="shared" si="5"/>
        <v>#DIV/0!</v>
      </c>
      <c r="Y34" s="47"/>
      <c r="Z34" s="22">
        <v>1.0</v>
      </c>
      <c r="AA34" s="23" t="str">
        <f t="shared" si="6"/>
        <v>#DIV/0!</v>
      </c>
    </row>
    <row r="35" ht="14.25" customHeight="1">
      <c r="A35" s="18">
        <v>23.0</v>
      </c>
      <c r="B35" s="19" t="s">
        <v>541</v>
      </c>
      <c r="C35" s="20" t="s">
        <v>542</v>
      </c>
      <c r="D35" s="40"/>
      <c r="E35" s="41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2" t="str">
        <f t="shared" si="1"/>
        <v>#DIV/0!</v>
      </c>
      <c r="T35" s="43" t="str">
        <f t="shared" si="2"/>
        <v>#DIV/0!</v>
      </c>
      <c r="U35" s="44" t="str">
        <f t="shared" si="3"/>
        <v>#DIV/0!</v>
      </c>
      <c r="V35" s="45"/>
      <c r="W35" s="45" t="str">
        <f t="shared" si="4"/>
        <v>#DIV/0!</v>
      </c>
      <c r="X35" s="46" t="str">
        <f t="shared" si="5"/>
        <v>#DIV/0!</v>
      </c>
      <c r="Y35" s="47"/>
      <c r="Z35" s="22">
        <v>1.0</v>
      </c>
      <c r="AA35" s="23" t="str">
        <f t="shared" si="6"/>
        <v>#DIV/0!</v>
      </c>
    </row>
    <row r="36" ht="14.25" customHeight="1">
      <c r="A36" s="18">
        <v>24.0</v>
      </c>
      <c r="B36" s="19" t="s">
        <v>543</v>
      </c>
      <c r="C36" s="20" t="s">
        <v>544</v>
      </c>
      <c r="D36" s="40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2" t="str">
        <f t="shared" si="1"/>
        <v>#DIV/0!</v>
      </c>
      <c r="T36" s="43" t="str">
        <f t="shared" si="2"/>
        <v>#DIV/0!</v>
      </c>
      <c r="U36" s="44" t="str">
        <f t="shared" si="3"/>
        <v>#DIV/0!</v>
      </c>
      <c r="V36" s="45"/>
      <c r="W36" s="45" t="str">
        <f t="shared" si="4"/>
        <v>#DIV/0!</v>
      </c>
      <c r="X36" s="46" t="str">
        <f t="shared" si="5"/>
        <v>#DIV/0!</v>
      </c>
      <c r="Y36" s="47"/>
      <c r="Z36" s="22">
        <v>1.0</v>
      </c>
      <c r="AA36" s="23" t="str">
        <f t="shared" si="6"/>
        <v>#DIV/0!</v>
      </c>
    </row>
    <row r="37" ht="14.25" customHeight="1">
      <c r="A37" s="18">
        <v>25.0</v>
      </c>
      <c r="B37" s="19" t="s">
        <v>545</v>
      </c>
      <c r="C37" s="20" t="s">
        <v>546</v>
      </c>
      <c r="D37" s="40"/>
      <c r="E37" s="41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2" t="str">
        <f t="shared" si="1"/>
        <v>#DIV/0!</v>
      </c>
      <c r="T37" s="43" t="str">
        <f t="shared" si="2"/>
        <v>#DIV/0!</v>
      </c>
      <c r="U37" s="44" t="str">
        <f t="shared" si="3"/>
        <v>#DIV/0!</v>
      </c>
      <c r="V37" s="45"/>
      <c r="W37" s="45" t="str">
        <f t="shared" si="4"/>
        <v>#DIV/0!</v>
      </c>
      <c r="X37" s="46" t="str">
        <f t="shared" si="5"/>
        <v>#DIV/0!</v>
      </c>
      <c r="Y37" s="47"/>
      <c r="Z37" s="22">
        <v>1.0</v>
      </c>
      <c r="AA37" s="23" t="str">
        <f t="shared" si="6"/>
        <v>#DIV/0!</v>
      </c>
    </row>
    <row r="38" ht="14.25" customHeight="1">
      <c r="A38" s="18">
        <v>26.0</v>
      </c>
      <c r="B38" s="19" t="s">
        <v>547</v>
      </c>
      <c r="C38" s="20" t="s">
        <v>548</v>
      </c>
      <c r="D38" s="40"/>
      <c r="E38" s="41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2" t="str">
        <f t="shared" si="1"/>
        <v>#DIV/0!</v>
      </c>
      <c r="T38" s="43" t="str">
        <f t="shared" si="2"/>
        <v>#DIV/0!</v>
      </c>
      <c r="U38" s="44" t="str">
        <f t="shared" si="3"/>
        <v>#DIV/0!</v>
      </c>
      <c r="V38" s="45"/>
      <c r="W38" s="45" t="str">
        <f t="shared" si="4"/>
        <v>#DIV/0!</v>
      </c>
      <c r="X38" s="46" t="str">
        <f t="shared" si="5"/>
        <v>#DIV/0!</v>
      </c>
      <c r="Y38" s="47"/>
      <c r="Z38" s="22">
        <v>1.0</v>
      </c>
      <c r="AA38" s="23" t="str">
        <f t="shared" si="6"/>
        <v>#DIV/0!</v>
      </c>
    </row>
    <row r="39" ht="14.25" customHeight="1">
      <c r="A39" s="18">
        <v>27.0</v>
      </c>
      <c r="B39" s="19" t="s">
        <v>549</v>
      </c>
      <c r="C39" s="20" t="s">
        <v>550</v>
      </c>
      <c r="D39" s="40"/>
      <c r="E39" s="41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2" t="str">
        <f t="shared" si="1"/>
        <v>#DIV/0!</v>
      </c>
      <c r="T39" s="43" t="str">
        <f t="shared" si="2"/>
        <v>#DIV/0!</v>
      </c>
      <c r="U39" s="44" t="str">
        <f t="shared" si="3"/>
        <v>#DIV/0!</v>
      </c>
      <c r="V39" s="45"/>
      <c r="W39" s="45" t="str">
        <f t="shared" si="4"/>
        <v>#DIV/0!</v>
      </c>
      <c r="X39" s="46" t="str">
        <f t="shared" si="5"/>
        <v>#DIV/0!</v>
      </c>
      <c r="Y39" s="47"/>
      <c r="Z39" s="22">
        <v>1.0</v>
      </c>
      <c r="AA39" s="23" t="str">
        <f t="shared" si="6"/>
        <v>#DIV/0!</v>
      </c>
    </row>
    <row r="40" ht="14.25" customHeight="1">
      <c r="A40" s="18">
        <v>28.0</v>
      </c>
      <c r="B40" s="19" t="s">
        <v>551</v>
      </c>
      <c r="C40" s="20" t="s">
        <v>552</v>
      </c>
      <c r="D40" s="40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2" t="str">
        <f t="shared" si="1"/>
        <v>#DIV/0!</v>
      </c>
      <c r="T40" s="43" t="str">
        <f t="shared" si="2"/>
        <v>#DIV/0!</v>
      </c>
      <c r="U40" s="44" t="str">
        <f t="shared" si="3"/>
        <v>#DIV/0!</v>
      </c>
      <c r="V40" s="45"/>
      <c r="W40" s="45" t="str">
        <f t="shared" si="4"/>
        <v>#DIV/0!</v>
      </c>
      <c r="X40" s="46" t="str">
        <f t="shared" si="5"/>
        <v>#DIV/0!</v>
      </c>
      <c r="Y40" s="47"/>
      <c r="Z40" s="22">
        <v>1.0</v>
      </c>
      <c r="AA40" s="23" t="str">
        <f t="shared" si="6"/>
        <v>#DIV/0!</v>
      </c>
    </row>
    <row r="41" ht="14.25" customHeight="1">
      <c r="A41" s="18">
        <v>29.0</v>
      </c>
      <c r="B41" s="19" t="s">
        <v>553</v>
      </c>
      <c r="C41" s="20" t="s">
        <v>554</v>
      </c>
      <c r="D41" s="40"/>
      <c r="E41" s="4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2" t="str">
        <f t="shared" si="1"/>
        <v>#DIV/0!</v>
      </c>
      <c r="T41" s="43" t="str">
        <f t="shared" si="2"/>
        <v>#DIV/0!</v>
      </c>
      <c r="U41" s="44" t="str">
        <f t="shared" si="3"/>
        <v>#DIV/0!</v>
      </c>
      <c r="V41" s="45"/>
      <c r="W41" s="45" t="str">
        <f t="shared" si="4"/>
        <v>#DIV/0!</v>
      </c>
      <c r="X41" s="46" t="str">
        <f t="shared" si="5"/>
        <v>#DIV/0!</v>
      </c>
      <c r="Y41" s="47"/>
      <c r="Z41" s="22">
        <v>1.0</v>
      </c>
      <c r="AA41" s="23" t="str">
        <f t="shared" si="6"/>
        <v>#DIV/0!</v>
      </c>
    </row>
    <row r="42" ht="14.25" customHeight="1">
      <c r="A42" s="18">
        <v>30.0</v>
      </c>
      <c r="B42" s="19" t="s">
        <v>555</v>
      </c>
      <c r="C42" s="20" t="s">
        <v>556</v>
      </c>
      <c r="D42" s="40"/>
      <c r="E42" s="41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2" t="str">
        <f t="shared" si="1"/>
        <v>#DIV/0!</v>
      </c>
      <c r="T42" s="43" t="str">
        <f t="shared" si="2"/>
        <v>#DIV/0!</v>
      </c>
      <c r="U42" s="44" t="str">
        <f t="shared" si="3"/>
        <v>#DIV/0!</v>
      </c>
      <c r="V42" s="45"/>
      <c r="W42" s="45" t="str">
        <f t="shared" si="4"/>
        <v>#DIV/0!</v>
      </c>
      <c r="X42" s="46" t="str">
        <f t="shared" si="5"/>
        <v>#DIV/0!</v>
      </c>
      <c r="Y42" s="47"/>
      <c r="Z42" s="22">
        <v>1.0</v>
      </c>
      <c r="AA42" s="23" t="str">
        <f t="shared" si="6"/>
        <v>#DIV/0!</v>
      </c>
    </row>
    <row r="43" ht="14.25" customHeight="1">
      <c r="A43" s="18">
        <v>31.0</v>
      </c>
      <c r="B43" s="19" t="s">
        <v>557</v>
      </c>
      <c r="C43" s="20" t="s">
        <v>558</v>
      </c>
      <c r="D43" s="40"/>
      <c r="E43" s="41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2" t="str">
        <f t="shared" si="1"/>
        <v>#DIV/0!</v>
      </c>
      <c r="T43" s="43" t="str">
        <f t="shared" si="2"/>
        <v>#DIV/0!</v>
      </c>
      <c r="U43" s="44" t="str">
        <f t="shared" si="3"/>
        <v>#DIV/0!</v>
      </c>
      <c r="V43" s="45"/>
      <c r="W43" s="45" t="str">
        <f t="shared" si="4"/>
        <v>#DIV/0!</v>
      </c>
      <c r="X43" s="46" t="str">
        <f t="shared" si="5"/>
        <v>#DIV/0!</v>
      </c>
      <c r="Y43" s="47"/>
      <c r="Z43" s="22">
        <v>1.0</v>
      </c>
      <c r="AA43" s="23" t="str">
        <f t="shared" si="6"/>
        <v>#DIV/0!</v>
      </c>
    </row>
    <row r="44" ht="14.25" customHeight="1">
      <c r="A44" s="18">
        <v>32.0</v>
      </c>
      <c r="B44" s="19" t="s">
        <v>559</v>
      </c>
      <c r="C44" s="20" t="s">
        <v>560</v>
      </c>
      <c r="D44" s="40"/>
      <c r="E44" s="41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2" t="str">
        <f t="shared" si="1"/>
        <v>#DIV/0!</v>
      </c>
      <c r="T44" s="43" t="str">
        <f t="shared" si="2"/>
        <v>#DIV/0!</v>
      </c>
      <c r="U44" s="44" t="str">
        <f t="shared" si="3"/>
        <v>#DIV/0!</v>
      </c>
      <c r="V44" s="45"/>
      <c r="W44" s="45" t="str">
        <f t="shared" si="4"/>
        <v>#DIV/0!</v>
      </c>
      <c r="X44" s="46" t="str">
        <f t="shared" si="5"/>
        <v>#DIV/0!</v>
      </c>
      <c r="Y44" s="47"/>
      <c r="Z44" s="22">
        <v>1.0</v>
      </c>
      <c r="AA44" s="23" t="str">
        <f t="shared" si="6"/>
        <v>#DIV/0!</v>
      </c>
    </row>
    <row r="45" ht="14.25" customHeight="1">
      <c r="A45" s="18">
        <v>33.0</v>
      </c>
      <c r="B45" s="19" t="s">
        <v>561</v>
      </c>
      <c r="C45" s="20" t="s">
        <v>562</v>
      </c>
      <c r="D45" s="40"/>
      <c r="E45" s="41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2" t="str">
        <f t="shared" si="1"/>
        <v>#DIV/0!</v>
      </c>
      <c r="T45" s="43" t="str">
        <f t="shared" si="2"/>
        <v>#DIV/0!</v>
      </c>
      <c r="U45" s="44" t="str">
        <f t="shared" si="3"/>
        <v>#DIV/0!</v>
      </c>
      <c r="V45" s="45"/>
      <c r="W45" s="45" t="str">
        <f t="shared" si="4"/>
        <v>#DIV/0!</v>
      </c>
      <c r="X45" s="46" t="str">
        <f t="shared" si="5"/>
        <v>#DIV/0!</v>
      </c>
      <c r="Y45" s="47"/>
      <c r="Z45" s="22">
        <v>1.0</v>
      </c>
      <c r="AA45" s="23" t="str">
        <f t="shared" si="6"/>
        <v>#DIV/0!</v>
      </c>
    </row>
    <row r="46" ht="14.25" customHeight="1">
      <c r="A46" s="24">
        <v>34.0</v>
      </c>
      <c r="B46" s="19" t="s">
        <v>563</v>
      </c>
      <c r="C46" s="20" t="s">
        <v>564</v>
      </c>
      <c r="D46" s="48"/>
      <c r="E46" s="41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 t="str">
        <f t="shared" si="1"/>
        <v>#DIV/0!</v>
      </c>
      <c r="T46" s="50" t="str">
        <f t="shared" si="2"/>
        <v>#DIV/0!</v>
      </c>
      <c r="U46" s="51" t="str">
        <f t="shared" si="3"/>
        <v>#DIV/0!</v>
      </c>
      <c r="V46" s="52"/>
      <c r="W46" s="52" t="str">
        <f t="shared" si="4"/>
        <v>#DIV/0!</v>
      </c>
      <c r="X46" s="53" t="str">
        <f t="shared" si="5"/>
        <v>#DIV/0!</v>
      </c>
      <c r="Y46" s="54"/>
      <c r="Z46" s="55">
        <v>1.0</v>
      </c>
      <c r="AA46" s="56" t="str">
        <f t="shared" si="6"/>
        <v>#DIV/0!</v>
      </c>
    </row>
    <row r="47" ht="14.25" customHeight="1">
      <c r="A47" s="18">
        <v>35.0</v>
      </c>
      <c r="B47" s="19" t="s">
        <v>565</v>
      </c>
      <c r="C47" s="20" t="s">
        <v>566</v>
      </c>
      <c r="D47" s="40"/>
      <c r="E47" s="41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2" t="str">
        <f t="shared" si="1"/>
        <v>#DIV/0!</v>
      </c>
      <c r="T47" s="43" t="str">
        <f t="shared" si="2"/>
        <v>#DIV/0!</v>
      </c>
      <c r="U47" s="44" t="str">
        <f t="shared" si="3"/>
        <v>#DIV/0!</v>
      </c>
      <c r="V47" s="45"/>
      <c r="W47" s="45" t="str">
        <f t="shared" si="4"/>
        <v>#DIV/0!</v>
      </c>
      <c r="X47" s="46" t="str">
        <f t="shared" si="5"/>
        <v>#DIV/0!</v>
      </c>
      <c r="Y47" s="47"/>
      <c r="Z47" s="22">
        <v>1.0</v>
      </c>
      <c r="AA47" s="23" t="str">
        <f t="shared" si="6"/>
        <v>#DIV/0!</v>
      </c>
    </row>
    <row r="48" ht="14.25" customHeight="1">
      <c r="A48" s="18">
        <v>36.0</v>
      </c>
      <c r="B48" s="19" t="s">
        <v>567</v>
      </c>
      <c r="C48" s="20" t="s">
        <v>568</v>
      </c>
      <c r="D48" s="40"/>
      <c r="E48" s="4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2" t="str">
        <f t="shared" si="1"/>
        <v>#DIV/0!</v>
      </c>
      <c r="T48" s="43" t="str">
        <f t="shared" si="2"/>
        <v>#DIV/0!</v>
      </c>
      <c r="U48" s="44" t="str">
        <f t="shared" si="3"/>
        <v>#DIV/0!</v>
      </c>
      <c r="V48" s="45"/>
      <c r="W48" s="45" t="str">
        <f t="shared" si="4"/>
        <v>#DIV/0!</v>
      </c>
      <c r="X48" s="46" t="str">
        <f t="shared" si="5"/>
        <v>#DIV/0!</v>
      </c>
      <c r="Y48" s="47"/>
      <c r="Z48" s="22">
        <v>1.0</v>
      </c>
      <c r="AA48" s="23" t="str">
        <f t="shared" si="6"/>
        <v>#DIV/0!</v>
      </c>
    </row>
    <row r="49" ht="14.25" customHeight="1">
      <c r="A49" s="18">
        <v>37.0</v>
      </c>
      <c r="B49" s="19" t="s">
        <v>569</v>
      </c>
      <c r="C49" s="20" t="s">
        <v>570</v>
      </c>
      <c r="D49" s="57"/>
      <c r="E49" s="41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42" t="str">
        <f t="shared" si="1"/>
        <v>#DIV/0!</v>
      </c>
      <c r="T49" s="43" t="str">
        <f t="shared" si="2"/>
        <v>#DIV/0!</v>
      </c>
      <c r="U49" s="44" t="str">
        <f t="shared" si="3"/>
        <v>#DIV/0!</v>
      </c>
      <c r="V49" s="45"/>
      <c r="W49" s="45" t="str">
        <f t="shared" si="4"/>
        <v>#DIV/0!</v>
      </c>
      <c r="X49" s="46" t="str">
        <f t="shared" si="5"/>
        <v>#DIV/0!</v>
      </c>
      <c r="Y49" s="47"/>
      <c r="Z49" s="22"/>
      <c r="AA49" s="23" t="str">
        <f t="shared" si="6"/>
        <v>#DIV/0!</v>
      </c>
    </row>
    <row r="50" ht="14.25" customHeight="1">
      <c r="A50" s="18">
        <v>38.0</v>
      </c>
      <c r="B50" s="19" t="s">
        <v>571</v>
      </c>
      <c r="C50" s="20" t="s">
        <v>572</v>
      </c>
      <c r="D50" s="57"/>
      <c r="E50" s="41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42" t="str">
        <f t="shared" si="1"/>
        <v>#DIV/0!</v>
      </c>
      <c r="T50" s="43" t="str">
        <f t="shared" si="2"/>
        <v>#DIV/0!</v>
      </c>
      <c r="U50" s="44" t="str">
        <f t="shared" si="3"/>
        <v>#DIV/0!</v>
      </c>
      <c r="V50" s="45"/>
      <c r="W50" s="45" t="str">
        <f t="shared" si="4"/>
        <v>#DIV/0!</v>
      </c>
      <c r="X50" s="46" t="str">
        <f t="shared" si="5"/>
        <v>#DIV/0!</v>
      </c>
      <c r="Y50" s="47"/>
      <c r="Z50" s="22"/>
      <c r="AA50" s="23" t="str">
        <f t="shared" si="6"/>
        <v>#DIV/0!</v>
      </c>
    </row>
    <row r="51" ht="14.25" customHeight="1">
      <c r="A51" s="18">
        <v>39.0</v>
      </c>
      <c r="B51" s="19" t="s">
        <v>573</v>
      </c>
      <c r="C51" s="20" t="s">
        <v>574</v>
      </c>
      <c r="D51" s="57"/>
      <c r="E51" s="41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42" t="str">
        <f t="shared" si="1"/>
        <v>#DIV/0!</v>
      </c>
      <c r="T51" s="43" t="str">
        <f t="shared" si="2"/>
        <v>#DIV/0!</v>
      </c>
      <c r="U51" s="44" t="str">
        <f t="shared" si="3"/>
        <v>#DIV/0!</v>
      </c>
      <c r="V51" s="45"/>
      <c r="W51" s="45" t="str">
        <f t="shared" si="4"/>
        <v>#DIV/0!</v>
      </c>
      <c r="X51" s="46" t="str">
        <f t="shared" si="5"/>
        <v>#DIV/0!</v>
      </c>
      <c r="Y51" s="47"/>
      <c r="Z51" s="22"/>
      <c r="AA51" s="23" t="str">
        <f t="shared" si="6"/>
        <v>#DIV/0!</v>
      </c>
    </row>
    <row r="52" ht="14.25" customHeight="1">
      <c r="A52" s="18">
        <v>40.0</v>
      </c>
      <c r="B52" s="19" t="s">
        <v>575</v>
      </c>
      <c r="C52" s="20" t="s">
        <v>576</v>
      </c>
      <c r="D52" s="57"/>
      <c r="E52" s="41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42" t="str">
        <f t="shared" si="1"/>
        <v>#DIV/0!</v>
      </c>
      <c r="T52" s="43" t="str">
        <f t="shared" si="2"/>
        <v>#DIV/0!</v>
      </c>
      <c r="U52" s="44" t="str">
        <f t="shared" si="3"/>
        <v>#DIV/0!</v>
      </c>
      <c r="V52" s="45"/>
      <c r="W52" s="45" t="str">
        <f t="shared" si="4"/>
        <v>#DIV/0!</v>
      </c>
      <c r="X52" s="46" t="str">
        <f t="shared" si="5"/>
        <v>#DIV/0!</v>
      </c>
      <c r="Y52" s="47"/>
      <c r="Z52" s="22"/>
      <c r="AA52" s="23" t="str">
        <f t="shared" si="6"/>
        <v>#DIV/0!</v>
      </c>
    </row>
    <row r="53" ht="14.25" customHeight="1">
      <c r="A53" s="18">
        <v>41.0</v>
      </c>
      <c r="B53" s="19" t="s">
        <v>577</v>
      </c>
      <c r="C53" s="20" t="s">
        <v>578</v>
      </c>
      <c r="D53" s="57"/>
      <c r="E53" s="41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42" t="str">
        <f t="shared" si="1"/>
        <v>#DIV/0!</v>
      </c>
      <c r="T53" s="43" t="str">
        <f t="shared" si="2"/>
        <v>#DIV/0!</v>
      </c>
      <c r="U53" s="44" t="str">
        <f t="shared" si="3"/>
        <v>#DIV/0!</v>
      </c>
      <c r="V53" s="45"/>
      <c r="W53" s="45" t="str">
        <f t="shared" si="4"/>
        <v>#DIV/0!</v>
      </c>
      <c r="X53" s="46" t="str">
        <f t="shared" si="5"/>
        <v>#DIV/0!</v>
      </c>
      <c r="Y53" s="47"/>
      <c r="Z53" s="22"/>
      <c r="AA53" s="23" t="str">
        <f t="shared" si="6"/>
        <v>#DIV/0!</v>
      </c>
    </row>
    <row r="54" ht="14.25" customHeight="1">
      <c r="A54" s="18">
        <v>42.0</v>
      </c>
      <c r="B54" s="19" t="s">
        <v>579</v>
      </c>
      <c r="C54" s="20" t="s">
        <v>580</v>
      </c>
      <c r="D54" s="57"/>
      <c r="E54" s="41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42" t="str">
        <f t="shared" si="1"/>
        <v>#DIV/0!</v>
      </c>
      <c r="T54" s="43" t="str">
        <f t="shared" si="2"/>
        <v>#DIV/0!</v>
      </c>
      <c r="U54" s="44" t="str">
        <f t="shared" si="3"/>
        <v>#DIV/0!</v>
      </c>
      <c r="V54" s="45"/>
      <c r="W54" s="45" t="str">
        <f t="shared" si="4"/>
        <v>#DIV/0!</v>
      </c>
      <c r="X54" s="46" t="str">
        <f t="shared" si="5"/>
        <v>#DIV/0!</v>
      </c>
      <c r="Y54" s="47"/>
      <c r="Z54" s="22"/>
      <c r="AA54" s="23" t="str">
        <f t="shared" si="6"/>
        <v>#DIV/0!</v>
      </c>
    </row>
    <row r="55" ht="14.25" customHeight="1">
      <c r="A55" s="18">
        <v>43.0</v>
      </c>
      <c r="B55" s="19" t="s">
        <v>581</v>
      </c>
      <c r="C55" s="20" t="s">
        <v>582</v>
      </c>
      <c r="D55" s="57"/>
      <c r="E55" s="41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42" t="str">
        <f t="shared" si="1"/>
        <v>#DIV/0!</v>
      </c>
      <c r="T55" s="43" t="str">
        <f t="shared" si="2"/>
        <v>#DIV/0!</v>
      </c>
      <c r="U55" s="44" t="str">
        <f t="shared" si="3"/>
        <v>#DIV/0!</v>
      </c>
      <c r="V55" s="45"/>
      <c r="W55" s="45" t="str">
        <f t="shared" si="4"/>
        <v>#DIV/0!</v>
      </c>
      <c r="X55" s="46" t="str">
        <f t="shared" si="5"/>
        <v>#DIV/0!</v>
      </c>
      <c r="Y55" s="47"/>
      <c r="Z55" s="22"/>
      <c r="AA55" s="23" t="str">
        <f t="shared" si="6"/>
        <v>#DIV/0!</v>
      </c>
    </row>
    <row r="56" ht="14.25" customHeight="1">
      <c r="A56" s="18">
        <v>44.0</v>
      </c>
      <c r="B56" s="19" t="s">
        <v>583</v>
      </c>
      <c r="C56" s="20" t="s">
        <v>584</v>
      </c>
      <c r="D56" s="57"/>
      <c r="E56" s="41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42" t="str">
        <f t="shared" si="1"/>
        <v>#DIV/0!</v>
      </c>
      <c r="T56" s="43" t="str">
        <f t="shared" si="2"/>
        <v>#DIV/0!</v>
      </c>
      <c r="U56" s="44" t="str">
        <f t="shared" si="3"/>
        <v>#DIV/0!</v>
      </c>
      <c r="V56" s="45"/>
      <c r="W56" s="45" t="str">
        <f t="shared" si="4"/>
        <v>#DIV/0!</v>
      </c>
      <c r="X56" s="46" t="str">
        <f t="shared" si="5"/>
        <v>#DIV/0!</v>
      </c>
      <c r="Y56" s="47"/>
      <c r="Z56" s="22"/>
      <c r="AA56" s="23" t="str">
        <f t="shared" si="6"/>
        <v>#DIV/0!</v>
      </c>
    </row>
    <row r="57" ht="14.25" customHeight="1">
      <c r="A57" s="18">
        <v>45.0</v>
      </c>
      <c r="B57" s="19" t="s">
        <v>585</v>
      </c>
      <c r="C57" s="20" t="s">
        <v>586</v>
      </c>
      <c r="D57" s="57"/>
      <c r="E57" s="41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42" t="str">
        <f t="shared" si="1"/>
        <v>#DIV/0!</v>
      </c>
      <c r="T57" s="43" t="str">
        <f t="shared" si="2"/>
        <v>#DIV/0!</v>
      </c>
      <c r="U57" s="44" t="str">
        <f t="shared" si="3"/>
        <v>#DIV/0!</v>
      </c>
      <c r="V57" s="45"/>
      <c r="W57" s="45" t="str">
        <f t="shared" si="4"/>
        <v>#DIV/0!</v>
      </c>
      <c r="X57" s="46" t="str">
        <f t="shared" si="5"/>
        <v>#DIV/0!</v>
      </c>
      <c r="Y57" s="47"/>
      <c r="Z57" s="22"/>
      <c r="AA57" s="23" t="str">
        <f t="shared" si="6"/>
        <v>#DIV/0!</v>
      </c>
    </row>
    <row r="58" ht="14.25" customHeight="1"/>
    <row r="59" ht="14.25" customHeight="1">
      <c r="Y59" s="26" t="s">
        <v>109</v>
      </c>
      <c r="AA59" s="26"/>
    </row>
    <row r="60" ht="14.25" customHeight="1">
      <c r="Y60" s="26" t="s">
        <v>110</v>
      </c>
    </row>
    <row r="61" ht="14.25" customHeight="1">
      <c r="Y61" s="26" t="s">
        <v>111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D11:H11"/>
    <mergeCell ref="I11:M11"/>
    <mergeCell ref="N11:R11"/>
    <mergeCell ref="S11:U11"/>
    <mergeCell ref="V11:V12"/>
    <mergeCell ref="W11:W12"/>
    <mergeCell ref="X11:X12"/>
    <mergeCell ref="Y11:Y12"/>
    <mergeCell ref="Z11:Z12"/>
    <mergeCell ref="AA11:AA12"/>
    <mergeCell ref="A1:AA1"/>
    <mergeCell ref="A3:AA3"/>
    <mergeCell ref="A4:AA4"/>
    <mergeCell ref="A10:A12"/>
    <mergeCell ref="B10:B12"/>
    <mergeCell ref="C10:C12"/>
    <mergeCell ref="D10:AA1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1.71"/>
    <col customWidth="1" min="3" max="3" width="28.57"/>
    <col customWidth="1" min="4" max="18" width="3.57"/>
    <col customWidth="1" min="19" max="19" width="4.71"/>
    <col customWidth="1" min="20" max="21" width="4.57"/>
    <col customWidth="1" min="22" max="22" width="5.14"/>
    <col customWidth="1" min="23" max="23" width="5.29"/>
    <col customWidth="1" min="24" max="24" width="5.14"/>
    <col customWidth="1" min="25" max="25" width="4.86"/>
    <col customWidth="1" min="26" max="26" width="5.43"/>
    <col customWidth="1" min="27" max="27" width="5.14"/>
  </cols>
  <sheetData>
    <row r="1" ht="78.0" customHeight="1">
      <c r="A1" s="1" t="s">
        <v>587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0" customHeight="1"/>
    <row r="3" ht="14.25" customHeight="1">
      <c r="A3" s="3" t="s">
        <v>1</v>
      </c>
    </row>
    <row r="4" ht="14.25" customHeight="1">
      <c r="A4" s="3" t="s">
        <v>2</v>
      </c>
    </row>
    <row r="5" ht="3.75" customHeight="1">
      <c r="B5" s="4"/>
      <c r="D5" s="4"/>
      <c r="E5" s="4"/>
    </row>
    <row r="6" ht="14.25" customHeight="1">
      <c r="A6" s="4" t="s">
        <v>3</v>
      </c>
      <c r="C6" s="5" t="s">
        <v>4</v>
      </c>
      <c r="E6" s="5"/>
    </row>
    <row r="7" ht="14.25" customHeight="1">
      <c r="A7" s="4" t="s">
        <v>5</v>
      </c>
      <c r="C7" s="5" t="s">
        <v>588</v>
      </c>
      <c r="E7" s="5"/>
    </row>
    <row r="8" ht="14.25" customHeight="1">
      <c r="A8" s="4" t="s">
        <v>7</v>
      </c>
      <c r="C8" s="5" t="s">
        <v>8</v>
      </c>
      <c r="E8" s="5"/>
    </row>
    <row r="9" ht="14.25" customHeight="1">
      <c r="E9" s="5"/>
    </row>
    <row r="10" ht="14.25" customHeight="1">
      <c r="A10" s="6" t="s">
        <v>9</v>
      </c>
      <c r="B10" s="6" t="s">
        <v>10</v>
      </c>
      <c r="C10" s="7" t="s">
        <v>11</v>
      </c>
      <c r="D10" s="8" t="s">
        <v>114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ht="34.5" customHeight="1">
      <c r="A11" s="11"/>
      <c r="B11" s="11"/>
      <c r="C11" s="11"/>
      <c r="D11" s="27"/>
      <c r="E11" s="9"/>
      <c r="F11" s="9"/>
      <c r="G11" s="9"/>
      <c r="H11" s="10"/>
      <c r="I11" s="27"/>
      <c r="J11" s="9"/>
      <c r="K11" s="9"/>
      <c r="L11" s="9"/>
      <c r="M11" s="10"/>
      <c r="N11" s="27"/>
      <c r="O11" s="9"/>
      <c r="P11" s="9"/>
      <c r="Q11" s="9"/>
      <c r="R11" s="10"/>
      <c r="S11" s="28" t="s">
        <v>115</v>
      </c>
      <c r="T11" s="9"/>
      <c r="U11" s="10"/>
      <c r="V11" s="29" t="s">
        <v>116</v>
      </c>
      <c r="W11" s="30" t="s">
        <v>117</v>
      </c>
      <c r="X11" s="31" t="s">
        <v>118</v>
      </c>
      <c r="Y11" s="32" t="s">
        <v>119</v>
      </c>
      <c r="Z11" s="13" t="s">
        <v>13</v>
      </c>
      <c r="AA11" s="14" t="s">
        <v>14</v>
      </c>
    </row>
    <row r="12" ht="15.75" customHeight="1">
      <c r="A12" s="15"/>
      <c r="B12" s="15"/>
      <c r="C12" s="15"/>
      <c r="D12" s="33">
        <v>1.0</v>
      </c>
      <c r="E12" s="34">
        <v>2.0</v>
      </c>
      <c r="F12" s="34">
        <v>3.0</v>
      </c>
      <c r="G12" s="35">
        <v>4.0</v>
      </c>
      <c r="H12" s="35">
        <v>5.0</v>
      </c>
      <c r="I12" s="35">
        <v>1.0</v>
      </c>
      <c r="J12" s="35">
        <v>2.0</v>
      </c>
      <c r="K12" s="35">
        <v>3.0</v>
      </c>
      <c r="L12" s="35">
        <v>4.0</v>
      </c>
      <c r="M12" s="35">
        <v>5.0</v>
      </c>
      <c r="N12" s="35">
        <v>1.0</v>
      </c>
      <c r="O12" s="35">
        <v>2.0</v>
      </c>
      <c r="P12" s="35">
        <v>3.0</v>
      </c>
      <c r="Q12" s="35">
        <v>4.0</v>
      </c>
      <c r="R12" s="35">
        <v>5.0</v>
      </c>
      <c r="S12" s="36" t="s">
        <v>120</v>
      </c>
      <c r="T12" s="37" t="s">
        <v>121</v>
      </c>
      <c r="U12" s="38" t="s">
        <v>122</v>
      </c>
      <c r="V12" s="15"/>
      <c r="W12" s="39"/>
      <c r="X12" s="16"/>
      <c r="Y12" s="16"/>
      <c r="Z12" s="16"/>
      <c r="AA12" s="17"/>
    </row>
    <row r="13" ht="14.25" customHeight="1">
      <c r="A13" s="18">
        <v>1.0</v>
      </c>
      <c r="B13" s="19" t="s">
        <v>589</v>
      </c>
      <c r="C13" s="20" t="s">
        <v>590</v>
      </c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2" t="str">
        <f t="shared" ref="S13:S58" si="1">AVERAGE(D13:H13)</f>
        <v>#DIV/0!</v>
      </c>
      <c r="T13" s="43" t="str">
        <f t="shared" ref="T13:T58" si="2">AVERAGE(I13:M13)</f>
        <v>#DIV/0!</v>
      </c>
      <c r="U13" s="44" t="str">
        <f t="shared" ref="U13:U58" si="3">AVERAGE(N13:R13)</f>
        <v>#DIV/0!</v>
      </c>
      <c r="V13" s="45"/>
      <c r="W13" s="45" t="str">
        <f t="shared" ref="W13:W58" si="4">AVERAGE(S13:U13)</f>
        <v>#DIV/0!</v>
      </c>
      <c r="X13" s="46" t="str">
        <f t="shared" ref="X13:X58" si="5">ROUND(AVERAGE(V13:W13),0)</f>
        <v>#DIV/0!</v>
      </c>
      <c r="Y13" s="47"/>
      <c r="Z13" s="22">
        <v>1.0</v>
      </c>
      <c r="AA13" s="23" t="str">
        <f t="shared" ref="AA13:AA58" si="6">ROUND(IF((X13*(IF(Y13="A",105%,IF(Y13="B",102%,IF(Y13="C",75%,50%))))*Z13)&gt;100,100,(X13*(IF(Y13="A",105%,IF(Y13="B",102%,IF(Y13="C",75%,50%))))*Z13)),0)</f>
        <v>#DIV/0!</v>
      </c>
    </row>
    <row r="14" ht="14.25" customHeight="1">
      <c r="A14" s="18">
        <v>2.0</v>
      </c>
      <c r="B14" s="19" t="s">
        <v>591</v>
      </c>
      <c r="C14" s="20" t="s">
        <v>592</v>
      </c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 t="str">
        <f t="shared" si="1"/>
        <v>#DIV/0!</v>
      </c>
      <c r="T14" s="43" t="str">
        <f t="shared" si="2"/>
        <v>#DIV/0!</v>
      </c>
      <c r="U14" s="44" t="str">
        <f t="shared" si="3"/>
        <v>#DIV/0!</v>
      </c>
      <c r="V14" s="45"/>
      <c r="W14" s="45" t="str">
        <f t="shared" si="4"/>
        <v>#DIV/0!</v>
      </c>
      <c r="X14" s="46" t="str">
        <f t="shared" si="5"/>
        <v>#DIV/0!</v>
      </c>
      <c r="Y14" s="47"/>
      <c r="Z14" s="22">
        <v>1.0</v>
      </c>
      <c r="AA14" s="23" t="str">
        <f t="shared" si="6"/>
        <v>#DIV/0!</v>
      </c>
    </row>
    <row r="15" ht="14.25" customHeight="1">
      <c r="A15" s="18">
        <v>3.0</v>
      </c>
      <c r="B15" s="19" t="s">
        <v>593</v>
      </c>
      <c r="C15" s="20" t="s">
        <v>594</v>
      </c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2" t="str">
        <f t="shared" si="1"/>
        <v>#DIV/0!</v>
      </c>
      <c r="T15" s="43" t="str">
        <f t="shared" si="2"/>
        <v>#DIV/0!</v>
      </c>
      <c r="U15" s="44" t="str">
        <f t="shared" si="3"/>
        <v>#DIV/0!</v>
      </c>
      <c r="V15" s="45"/>
      <c r="W15" s="45" t="str">
        <f t="shared" si="4"/>
        <v>#DIV/0!</v>
      </c>
      <c r="X15" s="46" t="str">
        <f t="shared" si="5"/>
        <v>#DIV/0!</v>
      </c>
      <c r="Y15" s="47"/>
      <c r="Z15" s="22">
        <v>1.0</v>
      </c>
      <c r="AA15" s="23" t="str">
        <f t="shared" si="6"/>
        <v>#DIV/0!</v>
      </c>
    </row>
    <row r="16" ht="14.25" customHeight="1">
      <c r="A16" s="18">
        <v>4.0</v>
      </c>
      <c r="B16" s="19" t="s">
        <v>595</v>
      </c>
      <c r="C16" s="20" t="s">
        <v>596</v>
      </c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 t="str">
        <f t="shared" si="1"/>
        <v>#DIV/0!</v>
      </c>
      <c r="T16" s="43" t="str">
        <f t="shared" si="2"/>
        <v>#DIV/0!</v>
      </c>
      <c r="U16" s="44" t="str">
        <f t="shared" si="3"/>
        <v>#DIV/0!</v>
      </c>
      <c r="V16" s="45"/>
      <c r="W16" s="45" t="str">
        <f t="shared" si="4"/>
        <v>#DIV/0!</v>
      </c>
      <c r="X16" s="46" t="str">
        <f t="shared" si="5"/>
        <v>#DIV/0!</v>
      </c>
      <c r="Y16" s="47"/>
      <c r="Z16" s="22">
        <v>1.0</v>
      </c>
      <c r="AA16" s="23" t="str">
        <f t="shared" si="6"/>
        <v>#DIV/0!</v>
      </c>
    </row>
    <row r="17" ht="14.25" customHeight="1">
      <c r="A17" s="18">
        <v>5.0</v>
      </c>
      <c r="B17" s="19" t="s">
        <v>597</v>
      </c>
      <c r="C17" s="20" t="s">
        <v>598</v>
      </c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 t="str">
        <f t="shared" si="1"/>
        <v>#DIV/0!</v>
      </c>
      <c r="T17" s="43" t="str">
        <f t="shared" si="2"/>
        <v>#DIV/0!</v>
      </c>
      <c r="U17" s="44" t="str">
        <f t="shared" si="3"/>
        <v>#DIV/0!</v>
      </c>
      <c r="V17" s="45"/>
      <c r="W17" s="45" t="str">
        <f t="shared" si="4"/>
        <v>#DIV/0!</v>
      </c>
      <c r="X17" s="46" t="str">
        <f t="shared" si="5"/>
        <v>#DIV/0!</v>
      </c>
      <c r="Y17" s="47"/>
      <c r="Z17" s="22">
        <v>1.0</v>
      </c>
      <c r="AA17" s="23" t="str">
        <f t="shared" si="6"/>
        <v>#DIV/0!</v>
      </c>
    </row>
    <row r="18" ht="14.25" customHeight="1">
      <c r="A18" s="18">
        <v>6.0</v>
      </c>
      <c r="B18" s="19" t="s">
        <v>599</v>
      </c>
      <c r="C18" s="20" t="s">
        <v>600</v>
      </c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2" t="str">
        <f t="shared" si="1"/>
        <v>#DIV/0!</v>
      </c>
      <c r="T18" s="43" t="str">
        <f t="shared" si="2"/>
        <v>#DIV/0!</v>
      </c>
      <c r="U18" s="44" t="str">
        <f t="shared" si="3"/>
        <v>#DIV/0!</v>
      </c>
      <c r="V18" s="45"/>
      <c r="W18" s="45" t="str">
        <f t="shared" si="4"/>
        <v>#DIV/0!</v>
      </c>
      <c r="X18" s="46" t="str">
        <f t="shared" si="5"/>
        <v>#DIV/0!</v>
      </c>
      <c r="Y18" s="47"/>
      <c r="Z18" s="22">
        <v>1.0</v>
      </c>
      <c r="AA18" s="23" t="str">
        <f t="shared" si="6"/>
        <v>#DIV/0!</v>
      </c>
    </row>
    <row r="19" ht="14.25" customHeight="1">
      <c r="A19" s="18">
        <v>7.0</v>
      </c>
      <c r="B19" s="19" t="s">
        <v>601</v>
      </c>
      <c r="C19" s="20" t="s">
        <v>602</v>
      </c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2" t="str">
        <f t="shared" si="1"/>
        <v>#DIV/0!</v>
      </c>
      <c r="T19" s="43" t="str">
        <f t="shared" si="2"/>
        <v>#DIV/0!</v>
      </c>
      <c r="U19" s="44" t="str">
        <f t="shared" si="3"/>
        <v>#DIV/0!</v>
      </c>
      <c r="V19" s="45"/>
      <c r="W19" s="45" t="str">
        <f t="shared" si="4"/>
        <v>#DIV/0!</v>
      </c>
      <c r="X19" s="46" t="str">
        <f t="shared" si="5"/>
        <v>#DIV/0!</v>
      </c>
      <c r="Y19" s="47"/>
      <c r="Z19" s="22">
        <v>1.0</v>
      </c>
      <c r="AA19" s="23" t="str">
        <f t="shared" si="6"/>
        <v>#DIV/0!</v>
      </c>
    </row>
    <row r="20" ht="14.25" customHeight="1">
      <c r="A20" s="18">
        <v>8.0</v>
      </c>
      <c r="B20" s="19" t="s">
        <v>603</v>
      </c>
      <c r="C20" s="20" t="s">
        <v>604</v>
      </c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2" t="str">
        <f t="shared" si="1"/>
        <v>#DIV/0!</v>
      </c>
      <c r="T20" s="43" t="str">
        <f t="shared" si="2"/>
        <v>#DIV/0!</v>
      </c>
      <c r="U20" s="44" t="str">
        <f t="shared" si="3"/>
        <v>#DIV/0!</v>
      </c>
      <c r="V20" s="45"/>
      <c r="W20" s="45" t="str">
        <f t="shared" si="4"/>
        <v>#DIV/0!</v>
      </c>
      <c r="X20" s="46" t="str">
        <f t="shared" si="5"/>
        <v>#DIV/0!</v>
      </c>
      <c r="Y20" s="47"/>
      <c r="Z20" s="22">
        <v>1.0</v>
      </c>
      <c r="AA20" s="23" t="str">
        <f t="shared" si="6"/>
        <v>#DIV/0!</v>
      </c>
    </row>
    <row r="21" ht="14.25" customHeight="1">
      <c r="A21" s="18">
        <v>9.0</v>
      </c>
      <c r="B21" s="19" t="s">
        <v>605</v>
      </c>
      <c r="C21" s="20" t="s">
        <v>606</v>
      </c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2" t="str">
        <f t="shared" si="1"/>
        <v>#DIV/0!</v>
      </c>
      <c r="T21" s="43" t="str">
        <f t="shared" si="2"/>
        <v>#DIV/0!</v>
      </c>
      <c r="U21" s="44" t="str">
        <f t="shared" si="3"/>
        <v>#DIV/0!</v>
      </c>
      <c r="V21" s="45"/>
      <c r="W21" s="45" t="str">
        <f t="shared" si="4"/>
        <v>#DIV/0!</v>
      </c>
      <c r="X21" s="46" t="str">
        <f t="shared" si="5"/>
        <v>#DIV/0!</v>
      </c>
      <c r="Y21" s="47"/>
      <c r="Z21" s="22">
        <v>1.0</v>
      </c>
      <c r="AA21" s="23" t="str">
        <f t="shared" si="6"/>
        <v>#DIV/0!</v>
      </c>
    </row>
    <row r="22" ht="14.25" customHeight="1">
      <c r="A22" s="18">
        <v>10.0</v>
      </c>
      <c r="B22" s="19" t="s">
        <v>607</v>
      </c>
      <c r="C22" s="20" t="s">
        <v>608</v>
      </c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2" t="str">
        <f t="shared" si="1"/>
        <v>#DIV/0!</v>
      </c>
      <c r="T22" s="43" t="str">
        <f t="shared" si="2"/>
        <v>#DIV/0!</v>
      </c>
      <c r="U22" s="44" t="str">
        <f t="shared" si="3"/>
        <v>#DIV/0!</v>
      </c>
      <c r="V22" s="45"/>
      <c r="W22" s="45" t="str">
        <f t="shared" si="4"/>
        <v>#DIV/0!</v>
      </c>
      <c r="X22" s="46" t="str">
        <f t="shared" si="5"/>
        <v>#DIV/0!</v>
      </c>
      <c r="Y22" s="47"/>
      <c r="Z22" s="22">
        <v>1.0</v>
      </c>
      <c r="AA22" s="23" t="str">
        <f t="shared" si="6"/>
        <v>#DIV/0!</v>
      </c>
    </row>
    <row r="23" ht="14.25" customHeight="1">
      <c r="A23" s="18">
        <v>11.0</v>
      </c>
      <c r="B23" s="19" t="s">
        <v>609</v>
      </c>
      <c r="C23" s="20" t="s">
        <v>610</v>
      </c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 t="str">
        <f t="shared" si="1"/>
        <v>#DIV/0!</v>
      </c>
      <c r="T23" s="43" t="str">
        <f t="shared" si="2"/>
        <v>#DIV/0!</v>
      </c>
      <c r="U23" s="44" t="str">
        <f t="shared" si="3"/>
        <v>#DIV/0!</v>
      </c>
      <c r="V23" s="45"/>
      <c r="W23" s="45" t="str">
        <f t="shared" si="4"/>
        <v>#DIV/0!</v>
      </c>
      <c r="X23" s="46" t="str">
        <f t="shared" si="5"/>
        <v>#DIV/0!</v>
      </c>
      <c r="Y23" s="47"/>
      <c r="Z23" s="22">
        <v>1.0</v>
      </c>
      <c r="AA23" s="23" t="str">
        <f t="shared" si="6"/>
        <v>#DIV/0!</v>
      </c>
    </row>
    <row r="24" ht="14.25" customHeight="1">
      <c r="A24" s="18">
        <v>12.0</v>
      </c>
      <c r="B24" s="19" t="s">
        <v>611</v>
      </c>
      <c r="C24" s="20" t="s">
        <v>612</v>
      </c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 t="str">
        <f t="shared" si="1"/>
        <v>#DIV/0!</v>
      </c>
      <c r="T24" s="43" t="str">
        <f t="shared" si="2"/>
        <v>#DIV/0!</v>
      </c>
      <c r="U24" s="44" t="str">
        <f t="shared" si="3"/>
        <v>#DIV/0!</v>
      </c>
      <c r="V24" s="45"/>
      <c r="W24" s="45" t="str">
        <f t="shared" si="4"/>
        <v>#DIV/0!</v>
      </c>
      <c r="X24" s="46" t="str">
        <f t="shared" si="5"/>
        <v>#DIV/0!</v>
      </c>
      <c r="Y24" s="47"/>
      <c r="Z24" s="22">
        <v>1.0</v>
      </c>
      <c r="AA24" s="23" t="str">
        <f t="shared" si="6"/>
        <v>#DIV/0!</v>
      </c>
    </row>
    <row r="25" ht="14.25" customHeight="1">
      <c r="A25" s="18">
        <v>13.0</v>
      </c>
      <c r="B25" s="19" t="s">
        <v>613</v>
      </c>
      <c r="C25" s="20" t="s">
        <v>614</v>
      </c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 t="str">
        <f t="shared" si="1"/>
        <v>#DIV/0!</v>
      </c>
      <c r="T25" s="43" t="str">
        <f t="shared" si="2"/>
        <v>#DIV/0!</v>
      </c>
      <c r="U25" s="44" t="str">
        <f t="shared" si="3"/>
        <v>#DIV/0!</v>
      </c>
      <c r="V25" s="45"/>
      <c r="W25" s="45" t="str">
        <f t="shared" si="4"/>
        <v>#DIV/0!</v>
      </c>
      <c r="X25" s="46" t="str">
        <f t="shared" si="5"/>
        <v>#DIV/0!</v>
      </c>
      <c r="Y25" s="47"/>
      <c r="Z25" s="22">
        <v>1.0</v>
      </c>
      <c r="AA25" s="23" t="str">
        <f t="shared" si="6"/>
        <v>#DIV/0!</v>
      </c>
    </row>
    <row r="26" ht="14.25" customHeight="1">
      <c r="A26" s="18">
        <v>14.0</v>
      </c>
      <c r="B26" s="19" t="s">
        <v>615</v>
      </c>
      <c r="C26" s="20" t="s">
        <v>616</v>
      </c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 t="str">
        <f t="shared" si="1"/>
        <v>#DIV/0!</v>
      </c>
      <c r="T26" s="43" t="str">
        <f t="shared" si="2"/>
        <v>#DIV/0!</v>
      </c>
      <c r="U26" s="44" t="str">
        <f t="shared" si="3"/>
        <v>#DIV/0!</v>
      </c>
      <c r="V26" s="45"/>
      <c r="W26" s="45" t="str">
        <f t="shared" si="4"/>
        <v>#DIV/0!</v>
      </c>
      <c r="X26" s="46" t="str">
        <f t="shared" si="5"/>
        <v>#DIV/0!</v>
      </c>
      <c r="Y26" s="47"/>
      <c r="Z26" s="22">
        <v>1.0</v>
      </c>
      <c r="AA26" s="23" t="str">
        <f t="shared" si="6"/>
        <v>#DIV/0!</v>
      </c>
    </row>
    <row r="27" ht="14.25" customHeight="1">
      <c r="A27" s="18">
        <v>15.0</v>
      </c>
      <c r="B27" s="19" t="s">
        <v>617</v>
      </c>
      <c r="C27" s="20" t="s">
        <v>618</v>
      </c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 t="str">
        <f t="shared" si="1"/>
        <v>#DIV/0!</v>
      </c>
      <c r="T27" s="43" t="str">
        <f t="shared" si="2"/>
        <v>#DIV/0!</v>
      </c>
      <c r="U27" s="44" t="str">
        <f t="shared" si="3"/>
        <v>#DIV/0!</v>
      </c>
      <c r="V27" s="45"/>
      <c r="W27" s="45" t="str">
        <f t="shared" si="4"/>
        <v>#DIV/0!</v>
      </c>
      <c r="X27" s="46" t="str">
        <f t="shared" si="5"/>
        <v>#DIV/0!</v>
      </c>
      <c r="Y27" s="47"/>
      <c r="Z27" s="22">
        <v>1.0</v>
      </c>
      <c r="AA27" s="23" t="str">
        <f t="shared" si="6"/>
        <v>#DIV/0!</v>
      </c>
    </row>
    <row r="28" ht="14.25" customHeight="1">
      <c r="A28" s="18">
        <v>16.0</v>
      </c>
      <c r="B28" s="19" t="s">
        <v>619</v>
      </c>
      <c r="C28" s="20" t="s">
        <v>620</v>
      </c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2" t="str">
        <f t="shared" si="1"/>
        <v>#DIV/0!</v>
      </c>
      <c r="T28" s="43" t="str">
        <f t="shared" si="2"/>
        <v>#DIV/0!</v>
      </c>
      <c r="U28" s="44" t="str">
        <f t="shared" si="3"/>
        <v>#DIV/0!</v>
      </c>
      <c r="V28" s="45"/>
      <c r="W28" s="45" t="str">
        <f t="shared" si="4"/>
        <v>#DIV/0!</v>
      </c>
      <c r="X28" s="46" t="str">
        <f t="shared" si="5"/>
        <v>#DIV/0!</v>
      </c>
      <c r="Y28" s="47"/>
      <c r="Z28" s="22">
        <v>1.0</v>
      </c>
      <c r="AA28" s="23" t="str">
        <f t="shared" si="6"/>
        <v>#DIV/0!</v>
      </c>
    </row>
    <row r="29" ht="14.25" customHeight="1">
      <c r="A29" s="18">
        <v>17.0</v>
      </c>
      <c r="B29" s="19" t="s">
        <v>621</v>
      </c>
      <c r="C29" s="20" t="s">
        <v>622</v>
      </c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2" t="str">
        <f t="shared" si="1"/>
        <v>#DIV/0!</v>
      </c>
      <c r="T29" s="43" t="str">
        <f t="shared" si="2"/>
        <v>#DIV/0!</v>
      </c>
      <c r="U29" s="44" t="str">
        <f t="shared" si="3"/>
        <v>#DIV/0!</v>
      </c>
      <c r="V29" s="45"/>
      <c r="W29" s="45" t="str">
        <f t="shared" si="4"/>
        <v>#DIV/0!</v>
      </c>
      <c r="X29" s="46" t="str">
        <f t="shared" si="5"/>
        <v>#DIV/0!</v>
      </c>
      <c r="Y29" s="47"/>
      <c r="Z29" s="22">
        <v>1.0</v>
      </c>
      <c r="AA29" s="23" t="str">
        <f t="shared" si="6"/>
        <v>#DIV/0!</v>
      </c>
    </row>
    <row r="30" ht="14.25" customHeight="1">
      <c r="A30" s="18">
        <v>18.0</v>
      </c>
      <c r="B30" s="19" t="s">
        <v>623</v>
      </c>
      <c r="C30" s="20" t="s">
        <v>624</v>
      </c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2" t="str">
        <f t="shared" si="1"/>
        <v>#DIV/0!</v>
      </c>
      <c r="T30" s="43" t="str">
        <f t="shared" si="2"/>
        <v>#DIV/0!</v>
      </c>
      <c r="U30" s="44" t="str">
        <f t="shared" si="3"/>
        <v>#DIV/0!</v>
      </c>
      <c r="V30" s="45"/>
      <c r="W30" s="45" t="str">
        <f t="shared" si="4"/>
        <v>#DIV/0!</v>
      </c>
      <c r="X30" s="46" t="str">
        <f t="shared" si="5"/>
        <v>#DIV/0!</v>
      </c>
      <c r="Y30" s="47"/>
      <c r="Z30" s="22">
        <v>1.0</v>
      </c>
      <c r="AA30" s="23" t="str">
        <f t="shared" si="6"/>
        <v>#DIV/0!</v>
      </c>
    </row>
    <row r="31" ht="14.25" customHeight="1">
      <c r="A31" s="18">
        <v>19.0</v>
      </c>
      <c r="B31" s="19" t="s">
        <v>625</v>
      </c>
      <c r="C31" s="20" t="s">
        <v>626</v>
      </c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2" t="str">
        <f t="shared" si="1"/>
        <v>#DIV/0!</v>
      </c>
      <c r="T31" s="43" t="str">
        <f t="shared" si="2"/>
        <v>#DIV/0!</v>
      </c>
      <c r="U31" s="44" t="str">
        <f t="shared" si="3"/>
        <v>#DIV/0!</v>
      </c>
      <c r="V31" s="45"/>
      <c r="W31" s="45" t="str">
        <f t="shared" si="4"/>
        <v>#DIV/0!</v>
      </c>
      <c r="X31" s="46" t="str">
        <f t="shared" si="5"/>
        <v>#DIV/0!</v>
      </c>
      <c r="Y31" s="47"/>
      <c r="Z31" s="22">
        <v>1.0</v>
      </c>
      <c r="AA31" s="23" t="str">
        <f t="shared" si="6"/>
        <v>#DIV/0!</v>
      </c>
    </row>
    <row r="32" ht="14.25" customHeight="1">
      <c r="A32" s="18">
        <v>20.0</v>
      </c>
      <c r="B32" s="19" t="s">
        <v>627</v>
      </c>
      <c r="C32" s="20" t="s">
        <v>628</v>
      </c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2" t="str">
        <f t="shared" si="1"/>
        <v>#DIV/0!</v>
      </c>
      <c r="T32" s="43" t="str">
        <f t="shared" si="2"/>
        <v>#DIV/0!</v>
      </c>
      <c r="U32" s="44" t="str">
        <f t="shared" si="3"/>
        <v>#DIV/0!</v>
      </c>
      <c r="V32" s="45"/>
      <c r="W32" s="45" t="str">
        <f t="shared" si="4"/>
        <v>#DIV/0!</v>
      </c>
      <c r="X32" s="46" t="str">
        <f t="shared" si="5"/>
        <v>#DIV/0!</v>
      </c>
      <c r="Y32" s="47"/>
      <c r="Z32" s="22">
        <v>1.0</v>
      </c>
      <c r="AA32" s="23" t="str">
        <f t="shared" si="6"/>
        <v>#DIV/0!</v>
      </c>
    </row>
    <row r="33" ht="14.25" customHeight="1">
      <c r="A33" s="18">
        <v>21.0</v>
      </c>
      <c r="B33" s="19" t="s">
        <v>629</v>
      </c>
      <c r="C33" s="20" t="s">
        <v>630</v>
      </c>
      <c r="D33" s="40"/>
      <c r="E33" s="41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2" t="str">
        <f t="shared" si="1"/>
        <v>#DIV/0!</v>
      </c>
      <c r="T33" s="43" t="str">
        <f t="shared" si="2"/>
        <v>#DIV/0!</v>
      </c>
      <c r="U33" s="44" t="str">
        <f t="shared" si="3"/>
        <v>#DIV/0!</v>
      </c>
      <c r="V33" s="45"/>
      <c r="W33" s="45" t="str">
        <f t="shared" si="4"/>
        <v>#DIV/0!</v>
      </c>
      <c r="X33" s="46" t="str">
        <f t="shared" si="5"/>
        <v>#DIV/0!</v>
      </c>
      <c r="Y33" s="47"/>
      <c r="Z33" s="22">
        <v>1.0</v>
      </c>
      <c r="AA33" s="23" t="str">
        <f t="shared" si="6"/>
        <v>#DIV/0!</v>
      </c>
    </row>
    <row r="34" ht="14.25" customHeight="1">
      <c r="A34" s="18">
        <v>22.0</v>
      </c>
      <c r="B34" s="19" t="s">
        <v>631</v>
      </c>
      <c r="C34" s="20" t="s">
        <v>632</v>
      </c>
      <c r="D34" s="40"/>
      <c r="E34" s="41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2" t="str">
        <f t="shared" si="1"/>
        <v>#DIV/0!</v>
      </c>
      <c r="T34" s="43" t="str">
        <f t="shared" si="2"/>
        <v>#DIV/0!</v>
      </c>
      <c r="U34" s="44" t="str">
        <f t="shared" si="3"/>
        <v>#DIV/0!</v>
      </c>
      <c r="V34" s="45"/>
      <c r="W34" s="45" t="str">
        <f t="shared" si="4"/>
        <v>#DIV/0!</v>
      </c>
      <c r="X34" s="46" t="str">
        <f t="shared" si="5"/>
        <v>#DIV/0!</v>
      </c>
      <c r="Y34" s="47"/>
      <c r="Z34" s="22">
        <v>1.0</v>
      </c>
      <c r="AA34" s="23" t="str">
        <f t="shared" si="6"/>
        <v>#DIV/0!</v>
      </c>
    </row>
    <row r="35" ht="14.25" customHeight="1">
      <c r="A35" s="18">
        <v>23.0</v>
      </c>
      <c r="B35" s="19" t="s">
        <v>633</v>
      </c>
      <c r="C35" s="20" t="s">
        <v>634</v>
      </c>
      <c r="D35" s="40"/>
      <c r="E35" s="41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2" t="str">
        <f t="shared" si="1"/>
        <v>#DIV/0!</v>
      </c>
      <c r="T35" s="43" t="str">
        <f t="shared" si="2"/>
        <v>#DIV/0!</v>
      </c>
      <c r="U35" s="44" t="str">
        <f t="shared" si="3"/>
        <v>#DIV/0!</v>
      </c>
      <c r="V35" s="45"/>
      <c r="W35" s="45" t="str">
        <f t="shared" si="4"/>
        <v>#DIV/0!</v>
      </c>
      <c r="X35" s="46" t="str">
        <f t="shared" si="5"/>
        <v>#DIV/0!</v>
      </c>
      <c r="Y35" s="47"/>
      <c r="Z35" s="22">
        <v>1.0</v>
      </c>
      <c r="AA35" s="23" t="str">
        <f t="shared" si="6"/>
        <v>#DIV/0!</v>
      </c>
    </row>
    <row r="36" ht="14.25" customHeight="1">
      <c r="A36" s="18">
        <v>24.0</v>
      </c>
      <c r="B36" s="19" t="s">
        <v>635</v>
      </c>
      <c r="C36" s="20" t="s">
        <v>636</v>
      </c>
      <c r="D36" s="40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2" t="str">
        <f t="shared" si="1"/>
        <v>#DIV/0!</v>
      </c>
      <c r="T36" s="43" t="str">
        <f t="shared" si="2"/>
        <v>#DIV/0!</v>
      </c>
      <c r="U36" s="44" t="str">
        <f t="shared" si="3"/>
        <v>#DIV/0!</v>
      </c>
      <c r="V36" s="45"/>
      <c r="W36" s="45" t="str">
        <f t="shared" si="4"/>
        <v>#DIV/0!</v>
      </c>
      <c r="X36" s="46" t="str">
        <f t="shared" si="5"/>
        <v>#DIV/0!</v>
      </c>
      <c r="Y36" s="47"/>
      <c r="Z36" s="22">
        <v>1.0</v>
      </c>
      <c r="AA36" s="23" t="str">
        <f t="shared" si="6"/>
        <v>#DIV/0!</v>
      </c>
    </row>
    <row r="37" ht="14.25" customHeight="1">
      <c r="A37" s="18">
        <v>25.0</v>
      </c>
      <c r="B37" s="19" t="s">
        <v>637</v>
      </c>
      <c r="C37" s="20" t="s">
        <v>638</v>
      </c>
      <c r="D37" s="40"/>
      <c r="E37" s="41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2" t="str">
        <f t="shared" si="1"/>
        <v>#DIV/0!</v>
      </c>
      <c r="T37" s="43" t="str">
        <f t="shared" si="2"/>
        <v>#DIV/0!</v>
      </c>
      <c r="U37" s="44" t="str">
        <f t="shared" si="3"/>
        <v>#DIV/0!</v>
      </c>
      <c r="V37" s="45"/>
      <c r="W37" s="45" t="str">
        <f t="shared" si="4"/>
        <v>#DIV/0!</v>
      </c>
      <c r="X37" s="46" t="str">
        <f t="shared" si="5"/>
        <v>#DIV/0!</v>
      </c>
      <c r="Y37" s="47"/>
      <c r="Z37" s="22">
        <v>1.0</v>
      </c>
      <c r="AA37" s="23" t="str">
        <f t="shared" si="6"/>
        <v>#DIV/0!</v>
      </c>
    </row>
    <row r="38" ht="14.25" customHeight="1">
      <c r="A38" s="18">
        <v>26.0</v>
      </c>
      <c r="B38" s="19" t="s">
        <v>639</v>
      </c>
      <c r="C38" s="20" t="s">
        <v>640</v>
      </c>
      <c r="D38" s="40"/>
      <c r="E38" s="41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2" t="str">
        <f t="shared" si="1"/>
        <v>#DIV/0!</v>
      </c>
      <c r="T38" s="43" t="str">
        <f t="shared" si="2"/>
        <v>#DIV/0!</v>
      </c>
      <c r="U38" s="44" t="str">
        <f t="shared" si="3"/>
        <v>#DIV/0!</v>
      </c>
      <c r="V38" s="45"/>
      <c r="W38" s="45" t="str">
        <f t="shared" si="4"/>
        <v>#DIV/0!</v>
      </c>
      <c r="X38" s="46" t="str">
        <f t="shared" si="5"/>
        <v>#DIV/0!</v>
      </c>
      <c r="Y38" s="47"/>
      <c r="Z38" s="22">
        <v>1.0</v>
      </c>
      <c r="AA38" s="23" t="str">
        <f t="shared" si="6"/>
        <v>#DIV/0!</v>
      </c>
    </row>
    <row r="39" ht="14.25" customHeight="1">
      <c r="A39" s="18">
        <v>27.0</v>
      </c>
      <c r="B39" s="19" t="s">
        <v>641</v>
      </c>
      <c r="C39" s="20" t="s">
        <v>642</v>
      </c>
      <c r="D39" s="40"/>
      <c r="E39" s="41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2" t="str">
        <f t="shared" si="1"/>
        <v>#DIV/0!</v>
      </c>
      <c r="T39" s="43" t="str">
        <f t="shared" si="2"/>
        <v>#DIV/0!</v>
      </c>
      <c r="U39" s="44" t="str">
        <f t="shared" si="3"/>
        <v>#DIV/0!</v>
      </c>
      <c r="V39" s="45"/>
      <c r="W39" s="45" t="str">
        <f t="shared" si="4"/>
        <v>#DIV/0!</v>
      </c>
      <c r="X39" s="46" t="str">
        <f t="shared" si="5"/>
        <v>#DIV/0!</v>
      </c>
      <c r="Y39" s="47"/>
      <c r="Z39" s="22">
        <v>1.0</v>
      </c>
      <c r="AA39" s="23" t="str">
        <f t="shared" si="6"/>
        <v>#DIV/0!</v>
      </c>
    </row>
    <row r="40" ht="14.25" customHeight="1">
      <c r="A40" s="18">
        <v>28.0</v>
      </c>
      <c r="B40" s="19" t="s">
        <v>643</v>
      </c>
      <c r="C40" s="20" t="s">
        <v>644</v>
      </c>
      <c r="D40" s="40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2" t="str">
        <f t="shared" si="1"/>
        <v>#DIV/0!</v>
      </c>
      <c r="T40" s="43" t="str">
        <f t="shared" si="2"/>
        <v>#DIV/0!</v>
      </c>
      <c r="U40" s="44" t="str">
        <f t="shared" si="3"/>
        <v>#DIV/0!</v>
      </c>
      <c r="V40" s="45"/>
      <c r="W40" s="45" t="str">
        <f t="shared" si="4"/>
        <v>#DIV/0!</v>
      </c>
      <c r="X40" s="46" t="str">
        <f t="shared" si="5"/>
        <v>#DIV/0!</v>
      </c>
      <c r="Y40" s="47"/>
      <c r="Z40" s="22">
        <v>1.0</v>
      </c>
      <c r="AA40" s="23" t="str">
        <f t="shared" si="6"/>
        <v>#DIV/0!</v>
      </c>
    </row>
    <row r="41" ht="14.25" customHeight="1">
      <c r="A41" s="18">
        <v>29.0</v>
      </c>
      <c r="B41" s="19" t="s">
        <v>645</v>
      </c>
      <c r="C41" s="20" t="s">
        <v>646</v>
      </c>
      <c r="D41" s="40"/>
      <c r="E41" s="4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2" t="str">
        <f t="shared" si="1"/>
        <v>#DIV/0!</v>
      </c>
      <c r="T41" s="43" t="str">
        <f t="shared" si="2"/>
        <v>#DIV/0!</v>
      </c>
      <c r="U41" s="44" t="str">
        <f t="shared" si="3"/>
        <v>#DIV/0!</v>
      </c>
      <c r="V41" s="45"/>
      <c r="W41" s="45" t="str">
        <f t="shared" si="4"/>
        <v>#DIV/0!</v>
      </c>
      <c r="X41" s="46" t="str">
        <f t="shared" si="5"/>
        <v>#DIV/0!</v>
      </c>
      <c r="Y41" s="47"/>
      <c r="Z41" s="22">
        <v>1.0</v>
      </c>
      <c r="AA41" s="23" t="str">
        <f t="shared" si="6"/>
        <v>#DIV/0!</v>
      </c>
    </row>
    <row r="42" ht="14.25" customHeight="1">
      <c r="A42" s="18">
        <v>30.0</v>
      </c>
      <c r="B42" s="19" t="s">
        <v>647</v>
      </c>
      <c r="C42" s="20" t="s">
        <v>648</v>
      </c>
      <c r="D42" s="40"/>
      <c r="E42" s="41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2" t="str">
        <f t="shared" si="1"/>
        <v>#DIV/0!</v>
      </c>
      <c r="T42" s="43" t="str">
        <f t="shared" si="2"/>
        <v>#DIV/0!</v>
      </c>
      <c r="U42" s="44" t="str">
        <f t="shared" si="3"/>
        <v>#DIV/0!</v>
      </c>
      <c r="V42" s="45"/>
      <c r="W42" s="45" t="str">
        <f t="shared" si="4"/>
        <v>#DIV/0!</v>
      </c>
      <c r="X42" s="46" t="str">
        <f t="shared" si="5"/>
        <v>#DIV/0!</v>
      </c>
      <c r="Y42" s="47"/>
      <c r="Z42" s="22">
        <v>1.0</v>
      </c>
      <c r="AA42" s="23" t="str">
        <f t="shared" si="6"/>
        <v>#DIV/0!</v>
      </c>
    </row>
    <row r="43" ht="14.25" customHeight="1">
      <c r="A43" s="18">
        <v>31.0</v>
      </c>
      <c r="B43" s="19" t="s">
        <v>649</v>
      </c>
      <c r="C43" s="20" t="s">
        <v>650</v>
      </c>
      <c r="D43" s="40"/>
      <c r="E43" s="41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2" t="str">
        <f t="shared" si="1"/>
        <v>#DIV/0!</v>
      </c>
      <c r="T43" s="43" t="str">
        <f t="shared" si="2"/>
        <v>#DIV/0!</v>
      </c>
      <c r="U43" s="44" t="str">
        <f t="shared" si="3"/>
        <v>#DIV/0!</v>
      </c>
      <c r="V43" s="45"/>
      <c r="W43" s="45" t="str">
        <f t="shared" si="4"/>
        <v>#DIV/0!</v>
      </c>
      <c r="X43" s="46" t="str">
        <f t="shared" si="5"/>
        <v>#DIV/0!</v>
      </c>
      <c r="Y43" s="47"/>
      <c r="Z43" s="22">
        <v>1.0</v>
      </c>
      <c r="AA43" s="23" t="str">
        <f t="shared" si="6"/>
        <v>#DIV/0!</v>
      </c>
    </row>
    <row r="44" ht="14.25" customHeight="1">
      <c r="A44" s="18">
        <v>32.0</v>
      </c>
      <c r="B44" s="19" t="s">
        <v>651</v>
      </c>
      <c r="C44" s="20" t="s">
        <v>652</v>
      </c>
      <c r="D44" s="40"/>
      <c r="E44" s="41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2" t="str">
        <f t="shared" si="1"/>
        <v>#DIV/0!</v>
      </c>
      <c r="T44" s="43" t="str">
        <f t="shared" si="2"/>
        <v>#DIV/0!</v>
      </c>
      <c r="U44" s="44" t="str">
        <f t="shared" si="3"/>
        <v>#DIV/0!</v>
      </c>
      <c r="V44" s="45"/>
      <c r="W44" s="45" t="str">
        <f t="shared" si="4"/>
        <v>#DIV/0!</v>
      </c>
      <c r="X44" s="46" t="str">
        <f t="shared" si="5"/>
        <v>#DIV/0!</v>
      </c>
      <c r="Y44" s="47"/>
      <c r="Z44" s="22">
        <v>1.0</v>
      </c>
      <c r="AA44" s="23" t="str">
        <f t="shared" si="6"/>
        <v>#DIV/0!</v>
      </c>
    </row>
    <row r="45" ht="14.25" customHeight="1">
      <c r="A45" s="18">
        <v>33.0</v>
      </c>
      <c r="B45" s="19" t="s">
        <v>653</v>
      </c>
      <c r="C45" s="20" t="s">
        <v>654</v>
      </c>
      <c r="D45" s="40"/>
      <c r="E45" s="41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2" t="str">
        <f t="shared" si="1"/>
        <v>#DIV/0!</v>
      </c>
      <c r="T45" s="43" t="str">
        <f t="shared" si="2"/>
        <v>#DIV/0!</v>
      </c>
      <c r="U45" s="44" t="str">
        <f t="shared" si="3"/>
        <v>#DIV/0!</v>
      </c>
      <c r="V45" s="45"/>
      <c r="W45" s="45" t="str">
        <f t="shared" si="4"/>
        <v>#DIV/0!</v>
      </c>
      <c r="X45" s="46" t="str">
        <f t="shared" si="5"/>
        <v>#DIV/0!</v>
      </c>
      <c r="Y45" s="47"/>
      <c r="Z45" s="22">
        <v>1.0</v>
      </c>
      <c r="AA45" s="23" t="str">
        <f t="shared" si="6"/>
        <v>#DIV/0!</v>
      </c>
    </row>
    <row r="46" ht="14.25" customHeight="1">
      <c r="A46" s="24">
        <v>34.0</v>
      </c>
      <c r="B46" s="19" t="s">
        <v>655</v>
      </c>
      <c r="C46" s="20" t="s">
        <v>656</v>
      </c>
      <c r="D46" s="48"/>
      <c r="E46" s="41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 t="str">
        <f t="shared" si="1"/>
        <v>#DIV/0!</v>
      </c>
      <c r="T46" s="50" t="str">
        <f t="shared" si="2"/>
        <v>#DIV/0!</v>
      </c>
      <c r="U46" s="51" t="str">
        <f t="shared" si="3"/>
        <v>#DIV/0!</v>
      </c>
      <c r="V46" s="52"/>
      <c r="W46" s="52" t="str">
        <f t="shared" si="4"/>
        <v>#DIV/0!</v>
      </c>
      <c r="X46" s="53" t="str">
        <f t="shared" si="5"/>
        <v>#DIV/0!</v>
      </c>
      <c r="Y46" s="54"/>
      <c r="Z46" s="55">
        <v>1.0</v>
      </c>
      <c r="AA46" s="56" t="str">
        <f t="shared" si="6"/>
        <v>#DIV/0!</v>
      </c>
    </row>
    <row r="47" ht="14.25" customHeight="1">
      <c r="A47" s="18">
        <v>35.0</v>
      </c>
      <c r="B47" s="19" t="s">
        <v>657</v>
      </c>
      <c r="C47" s="20" t="s">
        <v>658</v>
      </c>
      <c r="D47" s="40"/>
      <c r="E47" s="41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2" t="str">
        <f t="shared" si="1"/>
        <v>#DIV/0!</v>
      </c>
      <c r="T47" s="43" t="str">
        <f t="shared" si="2"/>
        <v>#DIV/0!</v>
      </c>
      <c r="U47" s="44" t="str">
        <f t="shared" si="3"/>
        <v>#DIV/0!</v>
      </c>
      <c r="V47" s="45"/>
      <c r="W47" s="45" t="str">
        <f t="shared" si="4"/>
        <v>#DIV/0!</v>
      </c>
      <c r="X47" s="46" t="str">
        <f t="shared" si="5"/>
        <v>#DIV/0!</v>
      </c>
      <c r="Y47" s="47"/>
      <c r="Z47" s="22">
        <v>1.0</v>
      </c>
      <c r="AA47" s="23" t="str">
        <f t="shared" si="6"/>
        <v>#DIV/0!</v>
      </c>
    </row>
    <row r="48" ht="14.25" customHeight="1">
      <c r="A48" s="18">
        <v>36.0</v>
      </c>
      <c r="B48" s="19" t="s">
        <v>659</v>
      </c>
      <c r="C48" s="20" t="s">
        <v>660</v>
      </c>
      <c r="D48" s="40"/>
      <c r="E48" s="4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2" t="str">
        <f t="shared" si="1"/>
        <v>#DIV/0!</v>
      </c>
      <c r="T48" s="43" t="str">
        <f t="shared" si="2"/>
        <v>#DIV/0!</v>
      </c>
      <c r="U48" s="44" t="str">
        <f t="shared" si="3"/>
        <v>#DIV/0!</v>
      </c>
      <c r="V48" s="45"/>
      <c r="W48" s="45" t="str">
        <f t="shared" si="4"/>
        <v>#DIV/0!</v>
      </c>
      <c r="X48" s="46" t="str">
        <f t="shared" si="5"/>
        <v>#DIV/0!</v>
      </c>
      <c r="Y48" s="47"/>
      <c r="Z48" s="22">
        <v>1.0</v>
      </c>
      <c r="AA48" s="23" t="str">
        <f t="shared" si="6"/>
        <v>#DIV/0!</v>
      </c>
    </row>
    <row r="49" ht="14.25" customHeight="1">
      <c r="A49" s="18">
        <v>37.0</v>
      </c>
      <c r="B49" s="19" t="s">
        <v>661</v>
      </c>
      <c r="C49" s="20" t="s">
        <v>662</v>
      </c>
      <c r="D49" s="57"/>
      <c r="E49" s="41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42" t="str">
        <f t="shared" si="1"/>
        <v>#DIV/0!</v>
      </c>
      <c r="T49" s="43" t="str">
        <f t="shared" si="2"/>
        <v>#DIV/0!</v>
      </c>
      <c r="U49" s="44" t="str">
        <f t="shared" si="3"/>
        <v>#DIV/0!</v>
      </c>
      <c r="V49" s="45"/>
      <c r="W49" s="45" t="str">
        <f t="shared" si="4"/>
        <v>#DIV/0!</v>
      </c>
      <c r="X49" s="46" t="str">
        <f t="shared" si="5"/>
        <v>#DIV/0!</v>
      </c>
      <c r="Y49" s="47"/>
      <c r="Z49" s="22"/>
      <c r="AA49" s="23" t="str">
        <f t="shared" si="6"/>
        <v>#DIV/0!</v>
      </c>
    </row>
    <row r="50" ht="14.25" customHeight="1">
      <c r="A50" s="18">
        <v>38.0</v>
      </c>
      <c r="B50" s="19" t="s">
        <v>663</v>
      </c>
      <c r="C50" s="20" t="s">
        <v>664</v>
      </c>
      <c r="D50" s="57"/>
      <c r="E50" s="41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42" t="str">
        <f t="shared" si="1"/>
        <v>#DIV/0!</v>
      </c>
      <c r="T50" s="43" t="str">
        <f t="shared" si="2"/>
        <v>#DIV/0!</v>
      </c>
      <c r="U50" s="44" t="str">
        <f t="shared" si="3"/>
        <v>#DIV/0!</v>
      </c>
      <c r="V50" s="45"/>
      <c r="W50" s="45" t="str">
        <f t="shared" si="4"/>
        <v>#DIV/0!</v>
      </c>
      <c r="X50" s="46" t="str">
        <f t="shared" si="5"/>
        <v>#DIV/0!</v>
      </c>
      <c r="Y50" s="47"/>
      <c r="Z50" s="22"/>
      <c r="AA50" s="23" t="str">
        <f t="shared" si="6"/>
        <v>#DIV/0!</v>
      </c>
    </row>
    <row r="51" ht="14.25" customHeight="1">
      <c r="A51" s="18">
        <v>39.0</v>
      </c>
      <c r="B51" s="19" t="s">
        <v>665</v>
      </c>
      <c r="C51" s="20" t="s">
        <v>666</v>
      </c>
      <c r="D51" s="57"/>
      <c r="E51" s="41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42" t="str">
        <f t="shared" si="1"/>
        <v>#DIV/0!</v>
      </c>
      <c r="T51" s="43" t="str">
        <f t="shared" si="2"/>
        <v>#DIV/0!</v>
      </c>
      <c r="U51" s="44" t="str">
        <f t="shared" si="3"/>
        <v>#DIV/0!</v>
      </c>
      <c r="V51" s="45"/>
      <c r="W51" s="45" t="str">
        <f t="shared" si="4"/>
        <v>#DIV/0!</v>
      </c>
      <c r="X51" s="46" t="str">
        <f t="shared" si="5"/>
        <v>#DIV/0!</v>
      </c>
      <c r="Y51" s="47"/>
      <c r="Z51" s="22"/>
      <c r="AA51" s="23" t="str">
        <f t="shared" si="6"/>
        <v>#DIV/0!</v>
      </c>
    </row>
    <row r="52" ht="14.25" customHeight="1">
      <c r="A52" s="18">
        <v>40.0</v>
      </c>
      <c r="B52" s="19" t="s">
        <v>667</v>
      </c>
      <c r="C52" s="20" t="s">
        <v>668</v>
      </c>
      <c r="D52" s="57"/>
      <c r="E52" s="41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42" t="str">
        <f t="shared" si="1"/>
        <v>#DIV/0!</v>
      </c>
      <c r="T52" s="43" t="str">
        <f t="shared" si="2"/>
        <v>#DIV/0!</v>
      </c>
      <c r="U52" s="44" t="str">
        <f t="shared" si="3"/>
        <v>#DIV/0!</v>
      </c>
      <c r="V52" s="45"/>
      <c r="W52" s="45" t="str">
        <f t="shared" si="4"/>
        <v>#DIV/0!</v>
      </c>
      <c r="X52" s="46" t="str">
        <f t="shared" si="5"/>
        <v>#DIV/0!</v>
      </c>
      <c r="Y52" s="47"/>
      <c r="Z52" s="22"/>
      <c r="AA52" s="23" t="str">
        <f t="shared" si="6"/>
        <v>#DIV/0!</v>
      </c>
    </row>
    <row r="53" ht="14.25" customHeight="1">
      <c r="A53" s="18">
        <v>41.0</v>
      </c>
      <c r="B53" s="19" t="s">
        <v>669</v>
      </c>
      <c r="C53" s="20" t="s">
        <v>670</v>
      </c>
      <c r="D53" s="57"/>
      <c r="E53" s="41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42" t="str">
        <f t="shared" si="1"/>
        <v>#DIV/0!</v>
      </c>
      <c r="T53" s="43" t="str">
        <f t="shared" si="2"/>
        <v>#DIV/0!</v>
      </c>
      <c r="U53" s="44" t="str">
        <f t="shared" si="3"/>
        <v>#DIV/0!</v>
      </c>
      <c r="V53" s="45"/>
      <c r="W53" s="45" t="str">
        <f t="shared" si="4"/>
        <v>#DIV/0!</v>
      </c>
      <c r="X53" s="46" t="str">
        <f t="shared" si="5"/>
        <v>#DIV/0!</v>
      </c>
      <c r="Y53" s="47"/>
      <c r="Z53" s="22"/>
      <c r="AA53" s="23" t="str">
        <f t="shared" si="6"/>
        <v>#DIV/0!</v>
      </c>
    </row>
    <row r="54" ht="14.25" customHeight="1">
      <c r="A54" s="18">
        <v>42.0</v>
      </c>
      <c r="B54" s="19" t="s">
        <v>671</v>
      </c>
      <c r="C54" s="20" t="s">
        <v>672</v>
      </c>
      <c r="D54" s="57"/>
      <c r="E54" s="41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42" t="str">
        <f t="shared" si="1"/>
        <v>#DIV/0!</v>
      </c>
      <c r="T54" s="43" t="str">
        <f t="shared" si="2"/>
        <v>#DIV/0!</v>
      </c>
      <c r="U54" s="44" t="str">
        <f t="shared" si="3"/>
        <v>#DIV/0!</v>
      </c>
      <c r="V54" s="45"/>
      <c r="W54" s="45" t="str">
        <f t="shared" si="4"/>
        <v>#DIV/0!</v>
      </c>
      <c r="X54" s="46" t="str">
        <f t="shared" si="5"/>
        <v>#DIV/0!</v>
      </c>
      <c r="Y54" s="47"/>
      <c r="Z54" s="22"/>
      <c r="AA54" s="23" t="str">
        <f t="shared" si="6"/>
        <v>#DIV/0!</v>
      </c>
    </row>
    <row r="55" ht="14.25" customHeight="1">
      <c r="A55" s="18">
        <v>43.0</v>
      </c>
      <c r="B55" s="19" t="s">
        <v>673</v>
      </c>
      <c r="C55" s="20" t="s">
        <v>674</v>
      </c>
      <c r="D55" s="57"/>
      <c r="E55" s="41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42" t="str">
        <f t="shared" si="1"/>
        <v>#DIV/0!</v>
      </c>
      <c r="T55" s="43" t="str">
        <f t="shared" si="2"/>
        <v>#DIV/0!</v>
      </c>
      <c r="U55" s="44" t="str">
        <f t="shared" si="3"/>
        <v>#DIV/0!</v>
      </c>
      <c r="V55" s="45"/>
      <c r="W55" s="45" t="str">
        <f t="shared" si="4"/>
        <v>#DIV/0!</v>
      </c>
      <c r="X55" s="46" t="str">
        <f t="shared" si="5"/>
        <v>#DIV/0!</v>
      </c>
      <c r="Y55" s="47"/>
      <c r="Z55" s="22"/>
      <c r="AA55" s="23" t="str">
        <f t="shared" si="6"/>
        <v>#DIV/0!</v>
      </c>
    </row>
    <row r="56" ht="14.25" customHeight="1">
      <c r="A56" s="18">
        <v>44.0</v>
      </c>
      <c r="B56" s="19" t="s">
        <v>675</v>
      </c>
      <c r="C56" s="20" t="s">
        <v>676</v>
      </c>
      <c r="D56" s="57"/>
      <c r="E56" s="41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42" t="str">
        <f t="shared" si="1"/>
        <v>#DIV/0!</v>
      </c>
      <c r="T56" s="43" t="str">
        <f t="shared" si="2"/>
        <v>#DIV/0!</v>
      </c>
      <c r="U56" s="44" t="str">
        <f t="shared" si="3"/>
        <v>#DIV/0!</v>
      </c>
      <c r="V56" s="45"/>
      <c r="W56" s="45" t="str">
        <f t="shared" si="4"/>
        <v>#DIV/0!</v>
      </c>
      <c r="X56" s="46" t="str">
        <f t="shared" si="5"/>
        <v>#DIV/0!</v>
      </c>
      <c r="Y56" s="47"/>
      <c r="Z56" s="22"/>
      <c r="AA56" s="23" t="str">
        <f t="shared" si="6"/>
        <v>#DIV/0!</v>
      </c>
    </row>
    <row r="57" ht="14.25" customHeight="1">
      <c r="A57" s="18">
        <v>45.0</v>
      </c>
      <c r="B57" s="19" t="s">
        <v>677</v>
      </c>
      <c r="C57" s="20" t="s">
        <v>678</v>
      </c>
      <c r="D57" s="57"/>
      <c r="E57" s="41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42" t="str">
        <f t="shared" si="1"/>
        <v>#DIV/0!</v>
      </c>
      <c r="T57" s="43" t="str">
        <f t="shared" si="2"/>
        <v>#DIV/0!</v>
      </c>
      <c r="U57" s="44" t="str">
        <f t="shared" si="3"/>
        <v>#DIV/0!</v>
      </c>
      <c r="V57" s="45"/>
      <c r="W57" s="45" t="str">
        <f t="shared" si="4"/>
        <v>#DIV/0!</v>
      </c>
      <c r="X57" s="46" t="str">
        <f t="shared" si="5"/>
        <v>#DIV/0!</v>
      </c>
      <c r="Y57" s="47"/>
      <c r="Z57" s="22"/>
      <c r="AA57" s="23" t="str">
        <f t="shared" si="6"/>
        <v>#DIV/0!</v>
      </c>
    </row>
    <row r="58" ht="14.25" customHeight="1">
      <c r="A58" s="18">
        <v>46.0</v>
      </c>
      <c r="B58" s="19" t="s">
        <v>679</v>
      </c>
      <c r="C58" s="20" t="s">
        <v>680</v>
      </c>
      <c r="D58" s="57"/>
      <c r="E58" s="41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42" t="str">
        <f t="shared" si="1"/>
        <v>#DIV/0!</v>
      </c>
      <c r="T58" s="43" t="str">
        <f t="shared" si="2"/>
        <v>#DIV/0!</v>
      </c>
      <c r="U58" s="44" t="str">
        <f t="shared" si="3"/>
        <v>#DIV/0!</v>
      </c>
      <c r="V58" s="45"/>
      <c r="W58" s="45" t="str">
        <f t="shared" si="4"/>
        <v>#DIV/0!</v>
      </c>
      <c r="X58" s="46" t="str">
        <f t="shared" si="5"/>
        <v>#DIV/0!</v>
      </c>
      <c r="Y58" s="47"/>
      <c r="Z58" s="22"/>
      <c r="AA58" s="23" t="str">
        <f t="shared" si="6"/>
        <v>#DIV/0!</v>
      </c>
    </row>
    <row r="59" ht="14.25" customHeight="1"/>
    <row r="60" ht="14.25" customHeight="1">
      <c r="Y60" s="26" t="s">
        <v>109</v>
      </c>
      <c r="AA60" s="58" t="str">
        <f>MAX(AA13:AA48)</f>
        <v>#DIV/0!</v>
      </c>
    </row>
    <row r="61" ht="14.25" customHeight="1">
      <c r="Y61" s="26" t="s">
        <v>110</v>
      </c>
      <c r="AA61" s="59" t="str">
        <f>MIN(AA13:AA48)</f>
        <v>#DIV/0!</v>
      </c>
    </row>
    <row r="62" ht="14.25" customHeight="1">
      <c r="Y62" s="26" t="s">
        <v>111</v>
      </c>
      <c r="AA62" s="59" t="str">
        <f>AVERAGE(AA13:AA48)</f>
        <v>#DIV/0!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D11:H11"/>
    <mergeCell ref="I11:M11"/>
    <mergeCell ref="N11:R11"/>
    <mergeCell ref="S11:U11"/>
    <mergeCell ref="V11:V12"/>
    <mergeCell ref="W11:W12"/>
    <mergeCell ref="X11:X12"/>
    <mergeCell ref="Y11:Y12"/>
    <mergeCell ref="Z11:Z12"/>
    <mergeCell ref="AA11:AA12"/>
    <mergeCell ref="A1:AA1"/>
    <mergeCell ref="A3:AA3"/>
    <mergeCell ref="A4:AA4"/>
    <mergeCell ref="A10:A12"/>
    <mergeCell ref="B10:B12"/>
    <mergeCell ref="C10:C12"/>
    <mergeCell ref="D10:AA1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9.86"/>
    <col customWidth="1" min="3" max="3" width="27.86"/>
    <col customWidth="1" min="4" max="18" width="3.57"/>
    <col customWidth="1" min="19" max="19" width="4.71"/>
    <col customWidth="1" min="20" max="21" width="4.57"/>
    <col customWidth="1" min="22" max="22" width="5.14"/>
    <col customWidth="1" min="23" max="23" width="5.29"/>
    <col customWidth="1" min="24" max="24" width="5.14"/>
    <col customWidth="1" min="25" max="25" width="4.86"/>
    <col customWidth="1" min="26" max="26" width="5.43"/>
    <col customWidth="1" min="27" max="28" width="5.14"/>
    <col customWidth="1" min="29" max="29" width="7.0"/>
    <col customWidth="1" min="30" max="30" width="8.71"/>
    <col customWidth="1" min="31" max="31" width="6.0"/>
  </cols>
  <sheetData>
    <row r="1" ht="78.0" customHeight="1">
      <c r="A1" s="1" t="s">
        <v>681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0" customHeight="1"/>
    <row r="3" ht="14.25" customHeight="1">
      <c r="A3" s="3" t="s">
        <v>1</v>
      </c>
    </row>
    <row r="4" ht="14.25" customHeight="1">
      <c r="A4" s="3" t="s">
        <v>2</v>
      </c>
    </row>
    <row r="5" ht="3.75" customHeight="1">
      <c r="B5" s="4"/>
      <c r="D5" s="4"/>
      <c r="E5" s="4"/>
    </row>
    <row r="6" ht="14.25" customHeight="1">
      <c r="A6" s="4" t="s">
        <v>3</v>
      </c>
      <c r="C6" s="5" t="s">
        <v>4</v>
      </c>
      <c r="E6" s="5"/>
    </row>
    <row r="7" ht="14.25" customHeight="1">
      <c r="A7" s="4" t="s">
        <v>5</v>
      </c>
      <c r="C7" s="5" t="s">
        <v>682</v>
      </c>
      <c r="E7" s="5"/>
    </row>
    <row r="8" ht="14.25" customHeight="1">
      <c r="A8" s="4" t="s">
        <v>7</v>
      </c>
      <c r="C8" s="5" t="s">
        <v>8</v>
      </c>
      <c r="E8" s="5"/>
    </row>
    <row r="9" ht="14.25" customHeight="1">
      <c r="E9" s="5"/>
    </row>
    <row r="10" ht="14.25" customHeight="1">
      <c r="A10" s="6" t="s">
        <v>9</v>
      </c>
      <c r="B10" s="6" t="s">
        <v>10</v>
      </c>
      <c r="C10" s="7" t="s">
        <v>11</v>
      </c>
      <c r="D10" s="8" t="s">
        <v>114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ht="30.0" customHeight="1">
      <c r="A11" s="11"/>
      <c r="B11" s="11"/>
      <c r="C11" s="11"/>
      <c r="D11" s="27"/>
      <c r="E11" s="9"/>
      <c r="F11" s="9"/>
      <c r="G11" s="9"/>
      <c r="H11" s="10"/>
      <c r="I11" s="27"/>
      <c r="J11" s="9"/>
      <c r="K11" s="9"/>
      <c r="L11" s="9"/>
      <c r="M11" s="10"/>
      <c r="N11" s="27"/>
      <c r="O11" s="9"/>
      <c r="P11" s="9"/>
      <c r="Q11" s="9"/>
      <c r="R11" s="10"/>
      <c r="S11" s="28" t="s">
        <v>115</v>
      </c>
      <c r="T11" s="9"/>
      <c r="U11" s="10"/>
      <c r="V11" s="29" t="s">
        <v>116</v>
      </c>
      <c r="W11" s="30" t="s">
        <v>117</v>
      </c>
      <c r="X11" s="31" t="s">
        <v>118</v>
      </c>
      <c r="Y11" s="32" t="s">
        <v>119</v>
      </c>
      <c r="Z11" s="13" t="s">
        <v>13</v>
      </c>
      <c r="AA11" s="14" t="s">
        <v>14</v>
      </c>
    </row>
    <row r="12" ht="15.75" customHeight="1">
      <c r="A12" s="15"/>
      <c r="B12" s="15"/>
      <c r="C12" s="15"/>
      <c r="D12" s="33">
        <v>1.0</v>
      </c>
      <c r="E12" s="34">
        <v>2.0</v>
      </c>
      <c r="F12" s="34">
        <v>3.0</v>
      </c>
      <c r="G12" s="34">
        <v>4.0</v>
      </c>
      <c r="H12" s="35">
        <v>5.0</v>
      </c>
      <c r="I12" s="35">
        <v>1.0</v>
      </c>
      <c r="J12" s="35">
        <v>2.0</v>
      </c>
      <c r="K12" s="35">
        <v>3.0</v>
      </c>
      <c r="L12" s="35">
        <v>4.0</v>
      </c>
      <c r="M12" s="35">
        <v>5.0</v>
      </c>
      <c r="N12" s="35">
        <v>1.0</v>
      </c>
      <c r="O12" s="35">
        <v>2.0</v>
      </c>
      <c r="P12" s="35">
        <v>3.0</v>
      </c>
      <c r="Q12" s="35">
        <v>4.0</v>
      </c>
      <c r="R12" s="35">
        <v>5.0</v>
      </c>
      <c r="S12" s="36" t="s">
        <v>120</v>
      </c>
      <c r="T12" s="37" t="s">
        <v>121</v>
      </c>
      <c r="U12" s="38" t="s">
        <v>122</v>
      </c>
      <c r="V12" s="15"/>
      <c r="W12" s="39"/>
      <c r="X12" s="16"/>
      <c r="Y12" s="16"/>
      <c r="Z12" s="16"/>
      <c r="AA12" s="17"/>
    </row>
    <row r="13" ht="14.25" customHeight="1">
      <c r="A13" s="18">
        <v>1.0</v>
      </c>
      <c r="B13" s="19" t="s">
        <v>683</v>
      </c>
      <c r="C13" s="20" t="s">
        <v>684</v>
      </c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2" t="str">
        <f t="shared" ref="S13:S59" si="1">AVERAGE(D13:H13)</f>
        <v>#DIV/0!</v>
      </c>
      <c r="T13" s="43" t="str">
        <f t="shared" ref="T13:T59" si="2">AVERAGE(I13:M13)</f>
        <v>#DIV/0!</v>
      </c>
      <c r="U13" s="44" t="str">
        <f t="shared" ref="U13:U59" si="3">AVERAGE(N13:R13)</f>
        <v>#DIV/0!</v>
      </c>
      <c r="V13" s="45"/>
      <c r="W13" s="45" t="str">
        <f t="shared" ref="W13:W59" si="4">AVERAGE(S13:U13)</f>
        <v>#DIV/0!</v>
      </c>
      <c r="X13" s="46" t="str">
        <f t="shared" ref="X13:X59" si="5">ROUND(AVERAGE(V13:W13),0)</f>
        <v>#DIV/0!</v>
      </c>
      <c r="Y13" s="47"/>
      <c r="Z13" s="22">
        <v>1.0</v>
      </c>
      <c r="AA13" s="23" t="str">
        <f t="shared" ref="AA13:AA59" si="6">ROUND(IF((X13*(IF(Y13="A",105%,IF(Y13="B",102%,IF(Y13="C",75%,50%))))*Z13)&gt;100,100,(X13*(IF(Y13="A",105%,IF(Y13="B",102%,IF(Y13="C",75%,50%))))*Z13)),0)</f>
        <v>#DIV/0!</v>
      </c>
      <c r="AB13" s="60"/>
      <c r="AC13" s="60"/>
      <c r="AD13" s="60"/>
      <c r="AE13" s="60"/>
    </row>
    <row r="14" ht="14.25" customHeight="1">
      <c r="A14" s="18">
        <v>2.0</v>
      </c>
      <c r="B14" s="19" t="s">
        <v>685</v>
      </c>
      <c r="C14" s="20" t="s">
        <v>686</v>
      </c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 t="str">
        <f t="shared" si="1"/>
        <v>#DIV/0!</v>
      </c>
      <c r="T14" s="43" t="str">
        <f t="shared" si="2"/>
        <v>#DIV/0!</v>
      </c>
      <c r="U14" s="44" t="str">
        <f t="shared" si="3"/>
        <v>#DIV/0!</v>
      </c>
      <c r="V14" s="45"/>
      <c r="W14" s="45" t="str">
        <f t="shared" si="4"/>
        <v>#DIV/0!</v>
      </c>
      <c r="X14" s="46" t="str">
        <f t="shared" si="5"/>
        <v>#DIV/0!</v>
      </c>
      <c r="Y14" s="47"/>
      <c r="Z14" s="22">
        <v>1.0</v>
      </c>
      <c r="AA14" s="23" t="str">
        <f t="shared" si="6"/>
        <v>#DIV/0!</v>
      </c>
      <c r="AB14" s="60"/>
      <c r="AC14" s="60"/>
      <c r="AD14" s="60"/>
      <c r="AE14" s="60"/>
    </row>
    <row r="15" ht="14.25" customHeight="1">
      <c r="A15" s="18">
        <v>3.0</v>
      </c>
      <c r="B15" s="19" t="s">
        <v>687</v>
      </c>
      <c r="C15" s="20" t="s">
        <v>688</v>
      </c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2" t="str">
        <f t="shared" si="1"/>
        <v>#DIV/0!</v>
      </c>
      <c r="T15" s="43" t="str">
        <f t="shared" si="2"/>
        <v>#DIV/0!</v>
      </c>
      <c r="U15" s="44" t="str">
        <f t="shared" si="3"/>
        <v>#DIV/0!</v>
      </c>
      <c r="V15" s="45"/>
      <c r="W15" s="45" t="str">
        <f t="shared" si="4"/>
        <v>#DIV/0!</v>
      </c>
      <c r="X15" s="46" t="str">
        <f t="shared" si="5"/>
        <v>#DIV/0!</v>
      </c>
      <c r="Y15" s="47"/>
      <c r="Z15" s="22">
        <v>1.0</v>
      </c>
      <c r="AA15" s="23" t="str">
        <f t="shared" si="6"/>
        <v>#DIV/0!</v>
      </c>
      <c r="AB15" s="60"/>
      <c r="AC15" s="60"/>
      <c r="AD15" s="60"/>
      <c r="AE15" s="60"/>
    </row>
    <row r="16" ht="14.25" customHeight="1">
      <c r="A16" s="18">
        <v>4.0</v>
      </c>
      <c r="B16" s="19" t="s">
        <v>689</v>
      </c>
      <c r="C16" s="20" t="s">
        <v>690</v>
      </c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 t="str">
        <f t="shared" si="1"/>
        <v>#DIV/0!</v>
      </c>
      <c r="T16" s="43" t="str">
        <f t="shared" si="2"/>
        <v>#DIV/0!</v>
      </c>
      <c r="U16" s="44" t="str">
        <f t="shared" si="3"/>
        <v>#DIV/0!</v>
      </c>
      <c r="V16" s="45"/>
      <c r="W16" s="45" t="str">
        <f t="shared" si="4"/>
        <v>#DIV/0!</v>
      </c>
      <c r="X16" s="46" t="str">
        <f t="shared" si="5"/>
        <v>#DIV/0!</v>
      </c>
      <c r="Y16" s="47"/>
      <c r="Z16" s="22">
        <v>1.0</v>
      </c>
      <c r="AA16" s="23" t="str">
        <f t="shared" si="6"/>
        <v>#DIV/0!</v>
      </c>
      <c r="AB16" s="60"/>
      <c r="AC16" s="60"/>
      <c r="AD16" s="60"/>
      <c r="AE16" s="60"/>
    </row>
    <row r="17" ht="14.25" customHeight="1">
      <c r="A17" s="18">
        <v>5.0</v>
      </c>
      <c r="B17" s="19" t="s">
        <v>691</v>
      </c>
      <c r="C17" s="20" t="s">
        <v>692</v>
      </c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 t="str">
        <f t="shared" si="1"/>
        <v>#DIV/0!</v>
      </c>
      <c r="T17" s="43" t="str">
        <f t="shared" si="2"/>
        <v>#DIV/0!</v>
      </c>
      <c r="U17" s="44" t="str">
        <f t="shared" si="3"/>
        <v>#DIV/0!</v>
      </c>
      <c r="V17" s="45"/>
      <c r="W17" s="45" t="str">
        <f t="shared" si="4"/>
        <v>#DIV/0!</v>
      </c>
      <c r="X17" s="46" t="str">
        <f t="shared" si="5"/>
        <v>#DIV/0!</v>
      </c>
      <c r="Y17" s="47"/>
      <c r="Z17" s="22">
        <v>1.0</v>
      </c>
      <c r="AA17" s="23" t="str">
        <f t="shared" si="6"/>
        <v>#DIV/0!</v>
      </c>
      <c r="AB17" s="60"/>
      <c r="AC17" s="60"/>
      <c r="AD17" s="60"/>
      <c r="AE17" s="60"/>
    </row>
    <row r="18" ht="14.25" customHeight="1">
      <c r="A18" s="18">
        <v>6.0</v>
      </c>
      <c r="B18" s="19" t="s">
        <v>693</v>
      </c>
      <c r="C18" s="20" t="s">
        <v>694</v>
      </c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2" t="str">
        <f t="shared" si="1"/>
        <v>#DIV/0!</v>
      </c>
      <c r="T18" s="43" t="str">
        <f t="shared" si="2"/>
        <v>#DIV/0!</v>
      </c>
      <c r="U18" s="44" t="str">
        <f t="shared" si="3"/>
        <v>#DIV/0!</v>
      </c>
      <c r="V18" s="45"/>
      <c r="W18" s="45" t="str">
        <f t="shared" si="4"/>
        <v>#DIV/0!</v>
      </c>
      <c r="X18" s="46" t="str">
        <f t="shared" si="5"/>
        <v>#DIV/0!</v>
      </c>
      <c r="Y18" s="47"/>
      <c r="Z18" s="22">
        <v>1.0</v>
      </c>
      <c r="AA18" s="23" t="str">
        <f t="shared" si="6"/>
        <v>#DIV/0!</v>
      </c>
      <c r="AB18" s="60"/>
      <c r="AC18" s="60"/>
      <c r="AD18" s="60"/>
      <c r="AE18" s="60"/>
    </row>
    <row r="19" ht="14.25" customHeight="1">
      <c r="A19" s="18">
        <v>7.0</v>
      </c>
      <c r="B19" s="19" t="s">
        <v>695</v>
      </c>
      <c r="C19" s="20" t="s">
        <v>696</v>
      </c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2" t="str">
        <f t="shared" si="1"/>
        <v>#DIV/0!</v>
      </c>
      <c r="T19" s="43" t="str">
        <f t="shared" si="2"/>
        <v>#DIV/0!</v>
      </c>
      <c r="U19" s="44" t="str">
        <f t="shared" si="3"/>
        <v>#DIV/0!</v>
      </c>
      <c r="V19" s="45"/>
      <c r="W19" s="45" t="str">
        <f t="shared" si="4"/>
        <v>#DIV/0!</v>
      </c>
      <c r="X19" s="46" t="str">
        <f t="shared" si="5"/>
        <v>#DIV/0!</v>
      </c>
      <c r="Y19" s="47"/>
      <c r="Z19" s="22">
        <v>1.0</v>
      </c>
      <c r="AA19" s="23" t="str">
        <f t="shared" si="6"/>
        <v>#DIV/0!</v>
      </c>
      <c r="AB19" s="60"/>
      <c r="AC19" s="60"/>
      <c r="AD19" s="60"/>
      <c r="AE19" s="60"/>
    </row>
    <row r="20" ht="14.25" customHeight="1">
      <c r="A20" s="18">
        <v>8.0</v>
      </c>
      <c r="B20" s="19" t="s">
        <v>697</v>
      </c>
      <c r="C20" s="20" t="s">
        <v>698</v>
      </c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2" t="str">
        <f t="shared" si="1"/>
        <v>#DIV/0!</v>
      </c>
      <c r="T20" s="43" t="str">
        <f t="shared" si="2"/>
        <v>#DIV/0!</v>
      </c>
      <c r="U20" s="44" t="str">
        <f t="shared" si="3"/>
        <v>#DIV/0!</v>
      </c>
      <c r="V20" s="45"/>
      <c r="W20" s="45" t="str">
        <f t="shared" si="4"/>
        <v>#DIV/0!</v>
      </c>
      <c r="X20" s="46" t="str">
        <f t="shared" si="5"/>
        <v>#DIV/0!</v>
      </c>
      <c r="Y20" s="47"/>
      <c r="Z20" s="22">
        <v>1.0</v>
      </c>
      <c r="AA20" s="23" t="str">
        <f t="shared" si="6"/>
        <v>#DIV/0!</v>
      </c>
      <c r="AB20" s="60"/>
      <c r="AC20" s="60"/>
      <c r="AD20" s="60"/>
      <c r="AE20" s="60"/>
    </row>
    <row r="21" ht="14.25" customHeight="1">
      <c r="A21" s="18">
        <v>9.0</v>
      </c>
      <c r="B21" s="19" t="s">
        <v>699</v>
      </c>
      <c r="C21" s="20" t="s">
        <v>700</v>
      </c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2" t="str">
        <f t="shared" si="1"/>
        <v>#DIV/0!</v>
      </c>
      <c r="T21" s="43" t="str">
        <f t="shared" si="2"/>
        <v>#DIV/0!</v>
      </c>
      <c r="U21" s="44" t="str">
        <f t="shared" si="3"/>
        <v>#DIV/0!</v>
      </c>
      <c r="V21" s="45"/>
      <c r="W21" s="45" t="str">
        <f t="shared" si="4"/>
        <v>#DIV/0!</v>
      </c>
      <c r="X21" s="46" t="str">
        <f t="shared" si="5"/>
        <v>#DIV/0!</v>
      </c>
      <c r="Y21" s="47"/>
      <c r="Z21" s="22">
        <v>1.0</v>
      </c>
      <c r="AA21" s="23" t="str">
        <f t="shared" si="6"/>
        <v>#DIV/0!</v>
      </c>
      <c r="AB21" s="60"/>
      <c r="AC21" s="60"/>
      <c r="AD21" s="60"/>
      <c r="AE21" s="60"/>
    </row>
    <row r="22" ht="14.25" customHeight="1">
      <c r="A22" s="18">
        <v>10.0</v>
      </c>
      <c r="B22" s="19" t="s">
        <v>701</v>
      </c>
      <c r="C22" s="20" t="s">
        <v>702</v>
      </c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2" t="str">
        <f t="shared" si="1"/>
        <v>#DIV/0!</v>
      </c>
      <c r="T22" s="43" t="str">
        <f t="shared" si="2"/>
        <v>#DIV/0!</v>
      </c>
      <c r="U22" s="44" t="str">
        <f t="shared" si="3"/>
        <v>#DIV/0!</v>
      </c>
      <c r="V22" s="45"/>
      <c r="W22" s="45" t="str">
        <f t="shared" si="4"/>
        <v>#DIV/0!</v>
      </c>
      <c r="X22" s="46" t="str">
        <f t="shared" si="5"/>
        <v>#DIV/0!</v>
      </c>
      <c r="Y22" s="47"/>
      <c r="Z22" s="22">
        <v>1.0</v>
      </c>
      <c r="AA22" s="23" t="str">
        <f t="shared" si="6"/>
        <v>#DIV/0!</v>
      </c>
      <c r="AB22" s="60"/>
      <c r="AC22" s="60"/>
      <c r="AD22" s="60"/>
      <c r="AE22" s="60"/>
    </row>
    <row r="23" ht="14.25" customHeight="1">
      <c r="A23" s="18">
        <v>11.0</v>
      </c>
      <c r="B23" s="19" t="s">
        <v>703</v>
      </c>
      <c r="C23" s="20" t="s">
        <v>704</v>
      </c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 t="str">
        <f t="shared" si="1"/>
        <v>#DIV/0!</v>
      </c>
      <c r="T23" s="43" t="str">
        <f t="shared" si="2"/>
        <v>#DIV/0!</v>
      </c>
      <c r="U23" s="44" t="str">
        <f t="shared" si="3"/>
        <v>#DIV/0!</v>
      </c>
      <c r="V23" s="45"/>
      <c r="W23" s="45" t="str">
        <f t="shared" si="4"/>
        <v>#DIV/0!</v>
      </c>
      <c r="X23" s="46" t="str">
        <f t="shared" si="5"/>
        <v>#DIV/0!</v>
      </c>
      <c r="Y23" s="47"/>
      <c r="Z23" s="22">
        <v>1.0</v>
      </c>
      <c r="AA23" s="23" t="str">
        <f t="shared" si="6"/>
        <v>#DIV/0!</v>
      </c>
      <c r="AB23" s="60"/>
      <c r="AC23" s="60"/>
      <c r="AD23" s="60"/>
      <c r="AE23" s="60"/>
    </row>
    <row r="24" ht="14.25" customHeight="1">
      <c r="A24" s="18">
        <v>12.0</v>
      </c>
      <c r="B24" s="19" t="s">
        <v>705</v>
      </c>
      <c r="C24" s="20" t="s">
        <v>706</v>
      </c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 t="str">
        <f t="shared" si="1"/>
        <v>#DIV/0!</v>
      </c>
      <c r="T24" s="43" t="str">
        <f t="shared" si="2"/>
        <v>#DIV/0!</v>
      </c>
      <c r="U24" s="44" t="str">
        <f t="shared" si="3"/>
        <v>#DIV/0!</v>
      </c>
      <c r="V24" s="45"/>
      <c r="W24" s="45" t="str">
        <f t="shared" si="4"/>
        <v>#DIV/0!</v>
      </c>
      <c r="X24" s="46" t="str">
        <f t="shared" si="5"/>
        <v>#DIV/0!</v>
      </c>
      <c r="Y24" s="47"/>
      <c r="Z24" s="22">
        <v>1.0</v>
      </c>
      <c r="AA24" s="23" t="str">
        <f t="shared" si="6"/>
        <v>#DIV/0!</v>
      </c>
      <c r="AB24" s="60"/>
      <c r="AC24" s="60"/>
      <c r="AD24" s="60"/>
      <c r="AE24" s="60"/>
    </row>
    <row r="25" ht="14.25" customHeight="1">
      <c r="A25" s="18">
        <v>13.0</v>
      </c>
      <c r="B25" s="19" t="s">
        <v>707</v>
      </c>
      <c r="C25" s="20" t="s">
        <v>708</v>
      </c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 t="str">
        <f t="shared" si="1"/>
        <v>#DIV/0!</v>
      </c>
      <c r="T25" s="43" t="str">
        <f t="shared" si="2"/>
        <v>#DIV/0!</v>
      </c>
      <c r="U25" s="44" t="str">
        <f t="shared" si="3"/>
        <v>#DIV/0!</v>
      </c>
      <c r="V25" s="45"/>
      <c r="W25" s="45" t="str">
        <f t="shared" si="4"/>
        <v>#DIV/0!</v>
      </c>
      <c r="X25" s="46" t="str">
        <f t="shared" si="5"/>
        <v>#DIV/0!</v>
      </c>
      <c r="Y25" s="47"/>
      <c r="Z25" s="22">
        <v>1.0</v>
      </c>
      <c r="AA25" s="23" t="str">
        <f t="shared" si="6"/>
        <v>#DIV/0!</v>
      </c>
      <c r="AB25" s="60"/>
      <c r="AC25" s="60"/>
      <c r="AD25" s="60"/>
      <c r="AE25" s="60"/>
    </row>
    <row r="26" ht="14.25" customHeight="1">
      <c r="A26" s="18">
        <v>14.0</v>
      </c>
      <c r="B26" s="19" t="s">
        <v>709</v>
      </c>
      <c r="C26" s="20" t="s">
        <v>710</v>
      </c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 t="str">
        <f t="shared" si="1"/>
        <v>#DIV/0!</v>
      </c>
      <c r="T26" s="43" t="str">
        <f t="shared" si="2"/>
        <v>#DIV/0!</v>
      </c>
      <c r="U26" s="44" t="str">
        <f t="shared" si="3"/>
        <v>#DIV/0!</v>
      </c>
      <c r="V26" s="45"/>
      <c r="W26" s="45" t="str">
        <f t="shared" si="4"/>
        <v>#DIV/0!</v>
      </c>
      <c r="X26" s="46" t="str">
        <f t="shared" si="5"/>
        <v>#DIV/0!</v>
      </c>
      <c r="Y26" s="47"/>
      <c r="Z26" s="22">
        <v>1.0</v>
      </c>
      <c r="AA26" s="23" t="str">
        <f t="shared" si="6"/>
        <v>#DIV/0!</v>
      </c>
      <c r="AB26" s="60"/>
      <c r="AC26" s="60"/>
      <c r="AD26" s="60"/>
      <c r="AE26" s="60"/>
    </row>
    <row r="27" ht="14.25" customHeight="1">
      <c r="A27" s="18">
        <v>15.0</v>
      </c>
      <c r="B27" s="19" t="s">
        <v>711</v>
      </c>
      <c r="C27" s="20" t="s">
        <v>712</v>
      </c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 t="str">
        <f t="shared" si="1"/>
        <v>#DIV/0!</v>
      </c>
      <c r="T27" s="43" t="str">
        <f t="shared" si="2"/>
        <v>#DIV/0!</v>
      </c>
      <c r="U27" s="44" t="str">
        <f t="shared" si="3"/>
        <v>#DIV/0!</v>
      </c>
      <c r="V27" s="45"/>
      <c r="W27" s="45" t="str">
        <f t="shared" si="4"/>
        <v>#DIV/0!</v>
      </c>
      <c r="X27" s="46" t="str">
        <f t="shared" si="5"/>
        <v>#DIV/0!</v>
      </c>
      <c r="Y27" s="47"/>
      <c r="Z27" s="22">
        <v>1.0</v>
      </c>
      <c r="AA27" s="23" t="str">
        <f t="shared" si="6"/>
        <v>#DIV/0!</v>
      </c>
      <c r="AB27" s="60"/>
      <c r="AC27" s="60"/>
      <c r="AD27" s="60"/>
      <c r="AE27" s="60"/>
    </row>
    <row r="28" ht="14.25" customHeight="1">
      <c r="A28" s="18">
        <v>16.0</v>
      </c>
      <c r="B28" s="19" t="s">
        <v>713</v>
      </c>
      <c r="C28" s="20" t="s">
        <v>714</v>
      </c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2" t="str">
        <f t="shared" si="1"/>
        <v>#DIV/0!</v>
      </c>
      <c r="T28" s="43" t="str">
        <f t="shared" si="2"/>
        <v>#DIV/0!</v>
      </c>
      <c r="U28" s="44" t="str">
        <f t="shared" si="3"/>
        <v>#DIV/0!</v>
      </c>
      <c r="V28" s="45"/>
      <c r="W28" s="45" t="str">
        <f t="shared" si="4"/>
        <v>#DIV/0!</v>
      </c>
      <c r="X28" s="46" t="str">
        <f t="shared" si="5"/>
        <v>#DIV/0!</v>
      </c>
      <c r="Y28" s="47"/>
      <c r="Z28" s="22">
        <v>1.0</v>
      </c>
      <c r="AA28" s="23" t="str">
        <f t="shared" si="6"/>
        <v>#DIV/0!</v>
      </c>
      <c r="AB28" s="60"/>
      <c r="AC28" s="60"/>
      <c r="AD28" s="60"/>
      <c r="AE28" s="60"/>
    </row>
    <row r="29" ht="14.25" customHeight="1">
      <c r="A29" s="18">
        <v>17.0</v>
      </c>
      <c r="B29" s="19" t="s">
        <v>715</v>
      </c>
      <c r="C29" s="20" t="s">
        <v>716</v>
      </c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2" t="str">
        <f t="shared" si="1"/>
        <v>#DIV/0!</v>
      </c>
      <c r="T29" s="43" t="str">
        <f t="shared" si="2"/>
        <v>#DIV/0!</v>
      </c>
      <c r="U29" s="44" t="str">
        <f t="shared" si="3"/>
        <v>#DIV/0!</v>
      </c>
      <c r="V29" s="45"/>
      <c r="W29" s="45" t="str">
        <f t="shared" si="4"/>
        <v>#DIV/0!</v>
      </c>
      <c r="X29" s="46" t="str">
        <f t="shared" si="5"/>
        <v>#DIV/0!</v>
      </c>
      <c r="Y29" s="47"/>
      <c r="Z29" s="22">
        <v>1.0</v>
      </c>
      <c r="AA29" s="23" t="str">
        <f t="shared" si="6"/>
        <v>#DIV/0!</v>
      </c>
      <c r="AB29" s="60"/>
      <c r="AC29" s="60"/>
      <c r="AD29" s="60"/>
      <c r="AE29" s="60"/>
    </row>
    <row r="30" ht="14.25" customHeight="1">
      <c r="A30" s="18">
        <v>18.0</v>
      </c>
      <c r="B30" s="19" t="s">
        <v>717</v>
      </c>
      <c r="C30" s="20" t="s">
        <v>718</v>
      </c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2" t="str">
        <f t="shared" si="1"/>
        <v>#DIV/0!</v>
      </c>
      <c r="T30" s="43" t="str">
        <f t="shared" si="2"/>
        <v>#DIV/0!</v>
      </c>
      <c r="U30" s="44" t="str">
        <f t="shared" si="3"/>
        <v>#DIV/0!</v>
      </c>
      <c r="V30" s="45"/>
      <c r="W30" s="45" t="str">
        <f t="shared" si="4"/>
        <v>#DIV/0!</v>
      </c>
      <c r="X30" s="46" t="str">
        <f t="shared" si="5"/>
        <v>#DIV/0!</v>
      </c>
      <c r="Y30" s="47"/>
      <c r="Z30" s="22">
        <v>1.0</v>
      </c>
      <c r="AA30" s="23" t="str">
        <f t="shared" si="6"/>
        <v>#DIV/0!</v>
      </c>
      <c r="AB30" s="60"/>
      <c r="AC30" s="60"/>
      <c r="AD30" s="60"/>
      <c r="AE30" s="60"/>
    </row>
    <row r="31" ht="14.25" customHeight="1">
      <c r="A31" s="18">
        <v>19.0</v>
      </c>
      <c r="B31" s="19" t="s">
        <v>719</v>
      </c>
      <c r="C31" s="20" t="s">
        <v>720</v>
      </c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2" t="str">
        <f t="shared" si="1"/>
        <v>#DIV/0!</v>
      </c>
      <c r="T31" s="43" t="str">
        <f t="shared" si="2"/>
        <v>#DIV/0!</v>
      </c>
      <c r="U31" s="44" t="str">
        <f t="shared" si="3"/>
        <v>#DIV/0!</v>
      </c>
      <c r="V31" s="45"/>
      <c r="W31" s="45" t="str">
        <f t="shared" si="4"/>
        <v>#DIV/0!</v>
      </c>
      <c r="X31" s="46" t="str">
        <f t="shared" si="5"/>
        <v>#DIV/0!</v>
      </c>
      <c r="Y31" s="47"/>
      <c r="Z31" s="22">
        <v>1.0</v>
      </c>
      <c r="AA31" s="23" t="str">
        <f t="shared" si="6"/>
        <v>#DIV/0!</v>
      </c>
      <c r="AB31" s="60"/>
      <c r="AC31" s="60"/>
      <c r="AD31" s="60"/>
      <c r="AE31" s="60"/>
    </row>
    <row r="32" ht="14.25" customHeight="1">
      <c r="A32" s="18">
        <v>20.0</v>
      </c>
      <c r="B32" s="19" t="s">
        <v>721</v>
      </c>
      <c r="C32" s="20" t="s">
        <v>722</v>
      </c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2" t="str">
        <f t="shared" si="1"/>
        <v>#DIV/0!</v>
      </c>
      <c r="T32" s="43" t="str">
        <f t="shared" si="2"/>
        <v>#DIV/0!</v>
      </c>
      <c r="U32" s="44" t="str">
        <f t="shared" si="3"/>
        <v>#DIV/0!</v>
      </c>
      <c r="V32" s="45"/>
      <c r="W32" s="45" t="str">
        <f t="shared" si="4"/>
        <v>#DIV/0!</v>
      </c>
      <c r="X32" s="46" t="str">
        <f t="shared" si="5"/>
        <v>#DIV/0!</v>
      </c>
      <c r="Y32" s="47"/>
      <c r="Z32" s="22">
        <v>1.0</v>
      </c>
      <c r="AA32" s="23" t="str">
        <f t="shared" si="6"/>
        <v>#DIV/0!</v>
      </c>
      <c r="AB32" s="60"/>
      <c r="AC32" s="60"/>
      <c r="AD32" s="60"/>
      <c r="AE32" s="60"/>
    </row>
    <row r="33" ht="14.25" customHeight="1">
      <c r="A33" s="18">
        <v>21.0</v>
      </c>
      <c r="B33" s="19" t="s">
        <v>723</v>
      </c>
      <c r="C33" s="20" t="s">
        <v>724</v>
      </c>
      <c r="D33" s="40"/>
      <c r="E33" s="41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2" t="str">
        <f t="shared" si="1"/>
        <v>#DIV/0!</v>
      </c>
      <c r="T33" s="43" t="str">
        <f t="shared" si="2"/>
        <v>#DIV/0!</v>
      </c>
      <c r="U33" s="44" t="str">
        <f t="shared" si="3"/>
        <v>#DIV/0!</v>
      </c>
      <c r="V33" s="45"/>
      <c r="W33" s="45" t="str">
        <f t="shared" si="4"/>
        <v>#DIV/0!</v>
      </c>
      <c r="X33" s="46" t="str">
        <f t="shared" si="5"/>
        <v>#DIV/0!</v>
      </c>
      <c r="Y33" s="47"/>
      <c r="Z33" s="22">
        <v>1.0</v>
      </c>
      <c r="AA33" s="23" t="str">
        <f t="shared" si="6"/>
        <v>#DIV/0!</v>
      </c>
      <c r="AB33" s="60"/>
      <c r="AC33" s="60"/>
      <c r="AD33" s="60"/>
      <c r="AE33" s="60"/>
    </row>
    <row r="34" ht="14.25" customHeight="1">
      <c r="A34" s="18">
        <v>22.0</v>
      </c>
      <c r="B34" s="19" t="s">
        <v>725</v>
      </c>
      <c r="C34" s="20" t="s">
        <v>726</v>
      </c>
      <c r="D34" s="40"/>
      <c r="E34" s="41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2" t="str">
        <f t="shared" si="1"/>
        <v>#DIV/0!</v>
      </c>
      <c r="T34" s="43" t="str">
        <f t="shared" si="2"/>
        <v>#DIV/0!</v>
      </c>
      <c r="U34" s="44" t="str">
        <f t="shared" si="3"/>
        <v>#DIV/0!</v>
      </c>
      <c r="V34" s="45"/>
      <c r="W34" s="45" t="str">
        <f t="shared" si="4"/>
        <v>#DIV/0!</v>
      </c>
      <c r="X34" s="46" t="str">
        <f t="shared" si="5"/>
        <v>#DIV/0!</v>
      </c>
      <c r="Y34" s="47"/>
      <c r="Z34" s="22">
        <v>1.0</v>
      </c>
      <c r="AA34" s="23" t="str">
        <f t="shared" si="6"/>
        <v>#DIV/0!</v>
      </c>
      <c r="AB34" s="60"/>
      <c r="AC34" s="60"/>
      <c r="AD34" s="60"/>
      <c r="AE34" s="60"/>
    </row>
    <row r="35" ht="14.25" customHeight="1">
      <c r="A35" s="18">
        <v>23.0</v>
      </c>
      <c r="B35" s="19" t="s">
        <v>727</v>
      </c>
      <c r="C35" s="20" t="s">
        <v>728</v>
      </c>
      <c r="D35" s="40"/>
      <c r="E35" s="41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2" t="str">
        <f t="shared" si="1"/>
        <v>#DIV/0!</v>
      </c>
      <c r="T35" s="43" t="str">
        <f t="shared" si="2"/>
        <v>#DIV/0!</v>
      </c>
      <c r="U35" s="44" t="str">
        <f t="shared" si="3"/>
        <v>#DIV/0!</v>
      </c>
      <c r="V35" s="45"/>
      <c r="W35" s="45" t="str">
        <f t="shared" si="4"/>
        <v>#DIV/0!</v>
      </c>
      <c r="X35" s="46" t="str">
        <f t="shared" si="5"/>
        <v>#DIV/0!</v>
      </c>
      <c r="Y35" s="47"/>
      <c r="Z35" s="22">
        <v>1.0</v>
      </c>
      <c r="AA35" s="23" t="str">
        <f t="shared" si="6"/>
        <v>#DIV/0!</v>
      </c>
      <c r="AB35" s="60"/>
      <c r="AC35" s="60"/>
      <c r="AD35" s="60"/>
      <c r="AE35" s="60"/>
    </row>
    <row r="36" ht="14.25" customHeight="1">
      <c r="A36" s="18">
        <v>24.0</v>
      </c>
      <c r="B36" s="19" t="s">
        <v>729</v>
      </c>
      <c r="C36" s="20" t="s">
        <v>730</v>
      </c>
      <c r="D36" s="40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2" t="str">
        <f t="shared" si="1"/>
        <v>#DIV/0!</v>
      </c>
      <c r="T36" s="43" t="str">
        <f t="shared" si="2"/>
        <v>#DIV/0!</v>
      </c>
      <c r="U36" s="44" t="str">
        <f t="shared" si="3"/>
        <v>#DIV/0!</v>
      </c>
      <c r="V36" s="45"/>
      <c r="W36" s="45" t="str">
        <f t="shared" si="4"/>
        <v>#DIV/0!</v>
      </c>
      <c r="X36" s="46" t="str">
        <f t="shared" si="5"/>
        <v>#DIV/0!</v>
      </c>
      <c r="Y36" s="47"/>
      <c r="Z36" s="22">
        <v>1.0</v>
      </c>
      <c r="AA36" s="23" t="str">
        <f t="shared" si="6"/>
        <v>#DIV/0!</v>
      </c>
      <c r="AB36" s="60"/>
      <c r="AC36" s="60"/>
      <c r="AD36" s="60"/>
      <c r="AE36" s="60"/>
    </row>
    <row r="37" ht="14.25" customHeight="1">
      <c r="A37" s="18">
        <v>25.0</v>
      </c>
      <c r="B37" s="19" t="s">
        <v>731</v>
      </c>
      <c r="C37" s="20" t="s">
        <v>732</v>
      </c>
      <c r="D37" s="40"/>
      <c r="E37" s="41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2" t="str">
        <f t="shared" si="1"/>
        <v>#DIV/0!</v>
      </c>
      <c r="T37" s="43" t="str">
        <f t="shared" si="2"/>
        <v>#DIV/0!</v>
      </c>
      <c r="U37" s="44" t="str">
        <f t="shared" si="3"/>
        <v>#DIV/0!</v>
      </c>
      <c r="V37" s="45"/>
      <c r="W37" s="45" t="str">
        <f t="shared" si="4"/>
        <v>#DIV/0!</v>
      </c>
      <c r="X37" s="46" t="str">
        <f t="shared" si="5"/>
        <v>#DIV/0!</v>
      </c>
      <c r="Y37" s="47"/>
      <c r="Z37" s="22">
        <v>1.0</v>
      </c>
      <c r="AA37" s="23" t="str">
        <f t="shared" si="6"/>
        <v>#DIV/0!</v>
      </c>
      <c r="AB37" s="60"/>
      <c r="AC37" s="60"/>
      <c r="AD37" s="60"/>
      <c r="AE37" s="60"/>
    </row>
    <row r="38" ht="14.25" customHeight="1">
      <c r="A38" s="18">
        <v>26.0</v>
      </c>
      <c r="B38" s="19" t="s">
        <v>733</v>
      </c>
      <c r="C38" s="20" t="s">
        <v>734</v>
      </c>
      <c r="D38" s="40"/>
      <c r="E38" s="41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2" t="str">
        <f t="shared" si="1"/>
        <v>#DIV/0!</v>
      </c>
      <c r="T38" s="43" t="str">
        <f t="shared" si="2"/>
        <v>#DIV/0!</v>
      </c>
      <c r="U38" s="44" t="str">
        <f t="shared" si="3"/>
        <v>#DIV/0!</v>
      </c>
      <c r="V38" s="45"/>
      <c r="W38" s="45" t="str">
        <f t="shared" si="4"/>
        <v>#DIV/0!</v>
      </c>
      <c r="X38" s="46" t="str">
        <f t="shared" si="5"/>
        <v>#DIV/0!</v>
      </c>
      <c r="Y38" s="47"/>
      <c r="Z38" s="22">
        <v>1.0</v>
      </c>
      <c r="AA38" s="23" t="str">
        <f t="shared" si="6"/>
        <v>#DIV/0!</v>
      </c>
      <c r="AB38" s="60"/>
      <c r="AC38" s="60"/>
      <c r="AD38" s="60"/>
      <c r="AE38" s="60"/>
    </row>
    <row r="39" ht="14.25" customHeight="1">
      <c r="A39" s="18">
        <v>27.0</v>
      </c>
      <c r="B39" s="19" t="s">
        <v>735</v>
      </c>
      <c r="C39" s="20" t="s">
        <v>736</v>
      </c>
      <c r="D39" s="40"/>
      <c r="E39" s="41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2" t="str">
        <f t="shared" si="1"/>
        <v>#DIV/0!</v>
      </c>
      <c r="T39" s="43" t="str">
        <f t="shared" si="2"/>
        <v>#DIV/0!</v>
      </c>
      <c r="U39" s="44" t="str">
        <f t="shared" si="3"/>
        <v>#DIV/0!</v>
      </c>
      <c r="V39" s="45"/>
      <c r="W39" s="45" t="str">
        <f t="shared" si="4"/>
        <v>#DIV/0!</v>
      </c>
      <c r="X39" s="46" t="str">
        <f t="shared" si="5"/>
        <v>#DIV/0!</v>
      </c>
      <c r="Y39" s="47"/>
      <c r="Z39" s="22">
        <v>1.0</v>
      </c>
      <c r="AA39" s="23" t="str">
        <f t="shared" si="6"/>
        <v>#DIV/0!</v>
      </c>
      <c r="AB39" s="60"/>
      <c r="AC39" s="60"/>
      <c r="AD39" s="60"/>
      <c r="AE39" s="60"/>
    </row>
    <row r="40" ht="14.25" customHeight="1">
      <c r="A40" s="18">
        <v>28.0</v>
      </c>
      <c r="B40" s="19" t="s">
        <v>737</v>
      </c>
      <c r="C40" s="20" t="s">
        <v>738</v>
      </c>
      <c r="D40" s="40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2" t="str">
        <f t="shared" si="1"/>
        <v>#DIV/0!</v>
      </c>
      <c r="T40" s="43" t="str">
        <f t="shared" si="2"/>
        <v>#DIV/0!</v>
      </c>
      <c r="U40" s="44" t="str">
        <f t="shared" si="3"/>
        <v>#DIV/0!</v>
      </c>
      <c r="V40" s="45"/>
      <c r="W40" s="45" t="str">
        <f t="shared" si="4"/>
        <v>#DIV/0!</v>
      </c>
      <c r="X40" s="46" t="str">
        <f t="shared" si="5"/>
        <v>#DIV/0!</v>
      </c>
      <c r="Y40" s="47"/>
      <c r="Z40" s="22">
        <v>1.0</v>
      </c>
      <c r="AA40" s="23" t="str">
        <f t="shared" si="6"/>
        <v>#DIV/0!</v>
      </c>
      <c r="AB40" s="60"/>
      <c r="AC40" s="60"/>
      <c r="AD40" s="60"/>
      <c r="AE40" s="60"/>
    </row>
    <row r="41" ht="14.25" customHeight="1">
      <c r="A41" s="18">
        <v>29.0</v>
      </c>
      <c r="B41" s="19" t="s">
        <v>739</v>
      </c>
      <c r="C41" s="20" t="s">
        <v>740</v>
      </c>
      <c r="D41" s="40"/>
      <c r="E41" s="4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2" t="str">
        <f t="shared" si="1"/>
        <v>#DIV/0!</v>
      </c>
      <c r="T41" s="43" t="str">
        <f t="shared" si="2"/>
        <v>#DIV/0!</v>
      </c>
      <c r="U41" s="44" t="str">
        <f t="shared" si="3"/>
        <v>#DIV/0!</v>
      </c>
      <c r="V41" s="45"/>
      <c r="W41" s="45" t="str">
        <f t="shared" si="4"/>
        <v>#DIV/0!</v>
      </c>
      <c r="X41" s="46" t="str">
        <f t="shared" si="5"/>
        <v>#DIV/0!</v>
      </c>
      <c r="Y41" s="47"/>
      <c r="Z41" s="22">
        <v>1.0</v>
      </c>
      <c r="AA41" s="23" t="str">
        <f t="shared" si="6"/>
        <v>#DIV/0!</v>
      </c>
      <c r="AB41" s="60"/>
      <c r="AC41" s="60"/>
      <c r="AD41" s="60"/>
      <c r="AE41" s="60"/>
    </row>
    <row r="42" ht="14.25" customHeight="1">
      <c r="A42" s="18">
        <v>30.0</v>
      </c>
      <c r="B42" s="19" t="s">
        <v>741</v>
      </c>
      <c r="C42" s="20" t="s">
        <v>742</v>
      </c>
      <c r="D42" s="40"/>
      <c r="E42" s="41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2" t="str">
        <f t="shared" si="1"/>
        <v>#DIV/0!</v>
      </c>
      <c r="T42" s="43" t="str">
        <f t="shared" si="2"/>
        <v>#DIV/0!</v>
      </c>
      <c r="U42" s="44" t="str">
        <f t="shared" si="3"/>
        <v>#DIV/0!</v>
      </c>
      <c r="V42" s="45"/>
      <c r="W42" s="45" t="str">
        <f t="shared" si="4"/>
        <v>#DIV/0!</v>
      </c>
      <c r="X42" s="46" t="str">
        <f t="shared" si="5"/>
        <v>#DIV/0!</v>
      </c>
      <c r="Y42" s="47"/>
      <c r="Z42" s="22">
        <v>1.0</v>
      </c>
      <c r="AA42" s="23" t="str">
        <f t="shared" si="6"/>
        <v>#DIV/0!</v>
      </c>
      <c r="AB42" s="60"/>
      <c r="AC42" s="60"/>
      <c r="AD42" s="60"/>
      <c r="AE42" s="60"/>
    </row>
    <row r="43" ht="14.25" customHeight="1">
      <c r="A43" s="18">
        <v>31.0</v>
      </c>
      <c r="B43" s="19" t="s">
        <v>743</v>
      </c>
      <c r="C43" s="20" t="s">
        <v>744</v>
      </c>
      <c r="D43" s="40"/>
      <c r="E43" s="41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2" t="str">
        <f t="shared" si="1"/>
        <v>#DIV/0!</v>
      </c>
      <c r="T43" s="43" t="str">
        <f t="shared" si="2"/>
        <v>#DIV/0!</v>
      </c>
      <c r="U43" s="44" t="str">
        <f t="shared" si="3"/>
        <v>#DIV/0!</v>
      </c>
      <c r="V43" s="45"/>
      <c r="W43" s="45" t="str">
        <f t="shared" si="4"/>
        <v>#DIV/0!</v>
      </c>
      <c r="X43" s="46" t="str">
        <f t="shared" si="5"/>
        <v>#DIV/0!</v>
      </c>
      <c r="Y43" s="47"/>
      <c r="Z43" s="22">
        <v>1.0</v>
      </c>
      <c r="AA43" s="23" t="str">
        <f t="shared" si="6"/>
        <v>#DIV/0!</v>
      </c>
      <c r="AB43" s="60"/>
      <c r="AC43" s="60"/>
      <c r="AD43" s="60"/>
      <c r="AE43" s="60"/>
    </row>
    <row r="44" ht="14.25" customHeight="1">
      <c r="A44" s="18">
        <v>32.0</v>
      </c>
      <c r="B44" s="19" t="s">
        <v>745</v>
      </c>
      <c r="C44" s="20" t="s">
        <v>746</v>
      </c>
      <c r="D44" s="40"/>
      <c r="E44" s="41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2" t="str">
        <f t="shared" si="1"/>
        <v>#DIV/0!</v>
      </c>
      <c r="T44" s="43" t="str">
        <f t="shared" si="2"/>
        <v>#DIV/0!</v>
      </c>
      <c r="U44" s="44" t="str">
        <f t="shared" si="3"/>
        <v>#DIV/0!</v>
      </c>
      <c r="V44" s="45"/>
      <c r="W44" s="45" t="str">
        <f t="shared" si="4"/>
        <v>#DIV/0!</v>
      </c>
      <c r="X44" s="46" t="str">
        <f t="shared" si="5"/>
        <v>#DIV/0!</v>
      </c>
      <c r="Y44" s="47"/>
      <c r="Z44" s="22">
        <v>1.0</v>
      </c>
      <c r="AA44" s="23" t="str">
        <f t="shared" si="6"/>
        <v>#DIV/0!</v>
      </c>
      <c r="AB44" s="60"/>
      <c r="AC44" s="60"/>
      <c r="AD44" s="60"/>
      <c r="AE44" s="60"/>
    </row>
    <row r="45" ht="14.25" customHeight="1">
      <c r="A45" s="18">
        <v>33.0</v>
      </c>
      <c r="B45" s="19" t="s">
        <v>747</v>
      </c>
      <c r="C45" s="20" t="s">
        <v>748</v>
      </c>
      <c r="D45" s="40"/>
      <c r="E45" s="41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2" t="str">
        <f t="shared" si="1"/>
        <v>#DIV/0!</v>
      </c>
      <c r="T45" s="43" t="str">
        <f t="shared" si="2"/>
        <v>#DIV/0!</v>
      </c>
      <c r="U45" s="44" t="str">
        <f t="shared" si="3"/>
        <v>#DIV/0!</v>
      </c>
      <c r="V45" s="45"/>
      <c r="W45" s="45" t="str">
        <f t="shared" si="4"/>
        <v>#DIV/0!</v>
      </c>
      <c r="X45" s="46" t="str">
        <f t="shared" si="5"/>
        <v>#DIV/0!</v>
      </c>
      <c r="Y45" s="47"/>
      <c r="Z45" s="22">
        <v>1.0</v>
      </c>
      <c r="AA45" s="23" t="str">
        <f t="shared" si="6"/>
        <v>#DIV/0!</v>
      </c>
      <c r="AB45" s="60"/>
      <c r="AC45" s="60"/>
      <c r="AD45" s="60"/>
      <c r="AE45" s="60"/>
    </row>
    <row r="46" ht="14.25" customHeight="1">
      <c r="A46" s="18">
        <v>34.0</v>
      </c>
      <c r="B46" s="19" t="s">
        <v>749</v>
      </c>
      <c r="C46" s="20" t="s">
        <v>750</v>
      </c>
      <c r="D46" s="40"/>
      <c r="E46" s="41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2" t="str">
        <f t="shared" si="1"/>
        <v>#DIV/0!</v>
      </c>
      <c r="T46" s="43" t="str">
        <f t="shared" si="2"/>
        <v>#DIV/0!</v>
      </c>
      <c r="U46" s="44" t="str">
        <f t="shared" si="3"/>
        <v>#DIV/0!</v>
      </c>
      <c r="V46" s="45"/>
      <c r="W46" s="45" t="str">
        <f t="shared" si="4"/>
        <v>#DIV/0!</v>
      </c>
      <c r="X46" s="46" t="str">
        <f t="shared" si="5"/>
        <v>#DIV/0!</v>
      </c>
      <c r="Y46" s="47"/>
      <c r="Z46" s="22">
        <v>1.0</v>
      </c>
      <c r="AA46" s="23" t="str">
        <f t="shared" si="6"/>
        <v>#DIV/0!</v>
      </c>
      <c r="AB46" s="60"/>
      <c r="AC46" s="60"/>
      <c r="AD46" s="60"/>
      <c r="AE46" s="60"/>
    </row>
    <row r="47" ht="14.25" customHeight="1">
      <c r="A47" s="18">
        <v>35.0</v>
      </c>
      <c r="B47" s="19" t="s">
        <v>751</v>
      </c>
      <c r="C47" s="20" t="s">
        <v>752</v>
      </c>
      <c r="D47" s="40"/>
      <c r="E47" s="41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2" t="str">
        <f t="shared" si="1"/>
        <v>#DIV/0!</v>
      </c>
      <c r="T47" s="43" t="str">
        <f t="shared" si="2"/>
        <v>#DIV/0!</v>
      </c>
      <c r="U47" s="44" t="str">
        <f t="shared" si="3"/>
        <v>#DIV/0!</v>
      </c>
      <c r="V47" s="45"/>
      <c r="W47" s="45" t="str">
        <f t="shared" si="4"/>
        <v>#DIV/0!</v>
      </c>
      <c r="X47" s="46" t="str">
        <f t="shared" si="5"/>
        <v>#DIV/0!</v>
      </c>
      <c r="Y47" s="47"/>
      <c r="Z47" s="22">
        <v>1.0</v>
      </c>
      <c r="AA47" s="23" t="str">
        <f t="shared" si="6"/>
        <v>#DIV/0!</v>
      </c>
      <c r="AB47" s="60"/>
      <c r="AC47" s="60"/>
      <c r="AD47" s="60"/>
      <c r="AE47" s="60"/>
    </row>
    <row r="48" ht="14.25" customHeight="1">
      <c r="A48" s="18">
        <v>36.0</v>
      </c>
      <c r="B48" s="19" t="s">
        <v>753</v>
      </c>
      <c r="C48" s="20" t="s">
        <v>754</v>
      </c>
      <c r="D48" s="40"/>
      <c r="E48" s="4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2" t="str">
        <f t="shared" si="1"/>
        <v>#DIV/0!</v>
      </c>
      <c r="T48" s="43" t="str">
        <f t="shared" si="2"/>
        <v>#DIV/0!</v>
      </c>
      <c r="U48" s="44" t="str">
        <f t="shared" si="3"/>
        <v>#DIV/0!</v>
      </c>
      <c r="V48" s="45"/>
      <c r="W48" s="45" t="str">
        <f t="shared" si="4"/>
        <v>#DIV/0!</v>
      </c>
      <c r="X48" s="46" t="str">
        <f t="shared" si="5"/>
        <v>#DIV/0!</v>
      </c>
      <c r="Y48" s="47"/>
      <c r="Z48" s="22">
        <v>1.0</v>
      </c>
      <c r="AA48" s="23" t="str">
        <f t="shared" si="6"/>
        <v>#DIV/0!</v>
      </c>
      <c r="AB48" s="60"/>
      <c r="AC48" s="60"/>
      <c r="AD48" s="60"/>
      <c r="AE48" s="60"/>
    </row>
    <row r="49" ht="14.25" customHeight="1">
      <c r="A49" s="18">
        <v>37.0</v>
      </c>
      <c r="B49" s="19" t="s">
        <v>755</v>
      </c>
      <c r="C49" s="20" t="s">
        <v>756</v>
      </c>
      <c r="D49" s="40"/>
      <c r="E49" s="41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2" t="str">
        <f t="shared" si="1"/>
        <v>#DIV/0!</v>
      </c>
      <c r="T49" s="43" t="str">
        <f t="shared" si="2"/>
        <v>#DIV/0!</v>
      </c>
      <c r="U49" s="44" t="str">
        <f t="shared" si="3"/>
        <v>#DIV/0!</v>
      </c>
      <c r="V49" s="45"/>
      <c r="W49" s="45" t="str">
        <f t="shared" si="4"/>
        <v>#DIV/0!</v>
      </c>
      <c r="X49" s="46" t="str">
        <f t="shared" si="5"/>
        <v>#DIV/0!</v>
      </c>
      <c r="Y49" s="47"/>
      <c r="Z49" s="22">
        <v>1.0</v>
      </c>
      <c r="AA49" s="23" t="str">
        <f t="shared" si="6"/>
        <v>#DIV/0!</v>
      </c>
      <c r="AB49" s="60"/>
      <c r="AC49" s="60"/>
      <c r="AE49" s="60"/>
    </row>
    <row r="50" ht="14.25" customHeight="1">
      <c r="A50" s="18">
        <v>38.0</v>
      </c>
      <c r="B50" s="19" t="s">
        <v>757</v>
      </c>
      <c r="C50" s="20" t="s">
        <v>758</v>
      </c>
      <c r="D50" s="57"/>
      <c r="E50" s="41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42" t="str">
        <f t="shared" si="1"/>
        <v>#DIV/0!</v>
      </c>
      <c r="T50" s="43" t="str">
        <f t="shared" si="2"/>
        <v>#DIV/0!</v>
      </c>
      <c r="U50" s="44" t="str">
        <f t="shared" si="3"/>
        <v>#DIV/0!</v>
      </c>
      <c r="V50" s="45"/>
      <c r="W50" s="45" t="str">
        <f t="shared" si="4"/>
        <v>#DIV/0!</v>
      </c>
      <c r="X50" s="46" t="str">
        <f t="shared" si="5"/>
        <v>#DIV/0!</v>
      </c>
      <c r="Y50" s="47"/>
      <c r="Z50" s="22"/>
      <c r="AA50" s="23" t="str">
        <f t="shared" si="6"/>
        <v>#DIV/0!</v>
      </c>
    </row>
    <row r="51" ht="14.25" customHeight="1">
      <c r="A51" s="18">
        <v>39.0</v>
      </c>
      <c r="B51" s="19" t="s">
        <v>759</v>
      </c>
      <c r="C51" s="20" t="s">
        <v>760</v>
      </c>
      <c r="D51" s="57"/>
      <c r="E51" s="41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42" t="str">
        <f t="shared" si="1"/>
        <v>#DIV/0!</v>
      </c>
      <c r="T51" s="43" t="str">
        <f t="shared" si="2"/>
        <v>#DIV/0!</v>
      </c>
      <c r="U51" s="44" t="str">
        <f t="shared" si="3"/>
        <v>#DIV/0!</v>
      </c>
      <c r="V51" s="45"/>
      <c r="W51" s="45" t="str">
        <f t="shared" si="4"/>
        <v>#DIV/0!</v>
      </c>
      <c r="X51" s="46" t="str">
        <f t="shared" si="5"/>
        <v>#DIV/0!</v>
      </c>
      <c r="Y51" s="47"/>
      <c r="Z51" s="22"/>
      <c r="AA51" s="23" t="str">
        <f t="shared" si="6"/>
        <v>#DIV/0!</v>
      </c>
    </row>
    <row r="52" ht="14.25" customHeight="1">
      <c r="A52" s="18">
        <v>40.0</v>
      </c>
      <c r="B52" s="19" t="s">
        <v>761</v>
      </c>
      <c r="C52" s="20" t="s">
        <v>762</v>
      </c>
      <c r="D52" s="57"/>
      <c r="E52" s="41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42" t="str">
        <f t="shared" si="1"/>
        <v>#DIV/0!</v>
      </c>
      <c r="T52" s="43" t="str">
        <f t="shared" si="2"/>
        <v>#DIV/0!</v>
      </c>
      <c r="U52" s="44" t="str">
        <f t="shared" si="3"/>
        <v>#DIV/0!</v>
      </c>
      <c r="V52" s="45"/>
      <c r="W52" s="45" t="str">
        <f t="shared" si="4"/>
        <v>#DIV/0!</v>
      </c>
      <c r="X52" s="46" t="str">
        <f t="shared" si="5"/>
        <v>#DIV/0!</v>
      </c>
      <c r="Y52" s="47"/>
      <c r="Z52" s="22"/>
      <c r="AA52" s="23" t="str">
        <f t="shared" si="6"/>
        <v>#DIV/0!</v>
      </c>
    </row>
    <row r="53" ht="14.25" customHeight="1">
      <c r="A53" s="18">
        <v>41.0</v>
      </c>
      <c r="B53" s="19" t="s">
        <v>763</v>
      </c>
      <c r="C53" s="20" t="s">
        <v>764</v>
      </c>
      <c r="D53" s="57"/>
      <c r="E53" s="41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42" t="str">
        <f t="shared" si="1"/>
        <v>#DIV/0!</v>
      </c>
      <c r="T53" s="43" t="str">
        <f t="shared" si="2"/>
        <v>#DIV/0!</v>
      </c>
      <c r="U53" s="44" t="str">
        <f t="shared" si="3"/>
        <v>#DIV/0!</v>
      </c>
      <c r="V53" s="45"/>
      <c r="W53" s="45" t="str">
        <f t="shared" si="4"/>
        <v>#DIV/0!</v>
      </c>
      <c r="X53" s="46" t="str">
        <f t="shared" si="5"/>
        <v>#DIV/0!</v>
      </c>
      <c r="Y53" s="47"/>
      <c r="Z53" s="22"/>
      <c r="AA53" s="23" t="str">
        <f t="shared" si="6"/>
        <v>#DIV/0!</v>
      </c>
    </row>
    <row r="54" ht="14.25" customHeight="1">
      <c r="A54" s="18">
        <v>42.0</v>
      </c>
      <c r="B54" s="19" t="s">
        <v>765</v>
      </c>
      <c r="C54" s="20" t="s">
        <v>766</v>
      </c>
      <c r="D54" s="57"/>
      <c r="E54" s="41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42" t="str">
        <f t="shared" si="1"/>
        <v>#DIV/0!</v>
      </c>
      <c r="T54" s="43" t="str">
        <f t="shared" si="2"/>
        <v>#DIV/0!</v>
      </c>
      <c r="U54" s="44" t="str">
        <f t="shared" si="3"/>
        <v>#DIV/0!</v>
      </c>
      <c r="V54" s="45"/>
      <c r="W54" s="45" t="str">
        <f t="shared" si="4"/>
        <v>#DIV/0!</v>
      </c>
      <c r="X54" s="46" t="str">
        <f t="shared" si="5"/>
        <v>#DIV/0!</v>
      </c>
      <c r="Y54" s="47"/>
      <c r="Z54" s="22"/>
      <c r="AA54" s="23" t="str">
        <f t="shared" si="6"/>
        <v>#DIV/0!</v>
      </c>
    </row>
    <row r="55" ht="14.25" customHeight="1">
      <c r="A55" s="18">
        <v>43.0</v>
      </c>
      <c r="B55" s="19" t="s">
        <v>767</v>
      </c>
      <c r="C55" s="20" t="s">
        <v>768</v>
      </c>
      <c r="D55" s="57"/>
      <c r="E55" s="41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42" t="str">
        <f t="shared" si="1"/>
        <v>#DIV/0!</v>
      </c>
      <c r="T55" s="43" t="str">
        <f t="shared" si="2"/>
        <v>#DIV/0!</v>
      </c>
      <c r="U55" s="44" t="str">
        <f t="shared" si="3"/>
        <v>#DIV/0!</v>
      </c>
      <c r="V55" s="45"/>
      <c r="W55" s="45" t="str">
        <f t="shared" si="4"/>
        <v>#DIV/0!</v>
      </c>
      <c r="X55" s="46" t="str">
        <f t="shared" si="5"/>
        <v>#DIV/0!</v>
      </c>
      <c r="Y55" s="47"/>
      <c r="Z55" s="22"/>
      <c r="AA55" s="23" t="str">
        <f t="shared" si="6"/>
        <v>#DIV/0!</v>
      </c>
    </row>
    <row r="56" ht="14.25" customHeight="1">
      <c r="A56" s="18">
        <v>44.0</v>
      </c>
      <c r="B56" s="19" t="s">
        <v>769</v>
      </c>
      <c r="C56" s="20" t="s">
        <v>770</v>
      </c>
      <c r="D56" s="57"/>
      <c r="E56" s="41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42" t="str">
        <f t="shared" si="1"/>
        <v>#DIV/0!</v>
      </c>
      <c r="T56" s="43" t="str">
        <f t="shared" si="2"/>
        <v>#DIV/0!</v>
      </c>
      <c r="U56" s="44" t="str">
        <f t="shared" si="3"/>
        <v>#DIV/0!</v>
      </c>
      <c r="V56" s="45"/>
      <c r="W56" s="45" t="str">
        <f t="shared" si="4"/>
        <v>#DIV/0!</v>
      </c>
      <c r="X56" s="46" t="str">
        <f t="shared" si="5"/>
        <v>#DIV/0!</v>
      </c>
      <c r="Y56" s="47"/>
      <c r="Z56" s="22"/>
      <c r="AA56" s="23" t="str">
        <f t="shared" si="6"/>
        <v>#DIV/0!</v>
      </c>
    </row>
    <row r="57" ht="14.25" customHeight="1">
      <c r="A57" s="18">
        <v>45.0</v>
      </c>
      <c r="B57" s="19" t="s">
        <v>771</v>
      </c>
      <c r="C57" s="20" t="s">
        <v>772</v>
      </c>
      <c r="D57" s="57"/>
      <c r="E57" s="41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42" t="str">
        <f t="shared" si="1"/>
        <v>#DIV/0!</v>
      </c>
      <c r="T57" s="43" t="str">
        <f t="shared" si="2"/>
        <v>#DIV/0!</v>
      </c>
      <c r="U57" s="44" t="str">
        <f t="shared" si="3"/>
        <v>#DIV/0!</v>
      </c>
      <c r="V57" s="45"/>
      <c r="W57" s="45" t="str">
        <f t="shared" si="4"/>
        <v>#DIV/0!</v>
      </c>
      <c r="X57" s="46" t="str">
        <f t="shared" si="5"/>
        <v>#DIV/0!</v>
      </c>
      <c r="Y57" s="47"/>
      <c r="Z57" s="22"/>
      <c r="AA57" s="23" t="str">
        <f t="shared" si="6"/>
        <v>#DIV/0!</v>
      </c>
    </row>
    <row r="58" ht="14.25" customHeight="1">
      <c r="A58" s="18">
        <v>46.0</v>
      </c>
      <c r="B58" s="19" t="s">
        <v>773</v>
      </c>
      <c r="C58" s="20" t="s">
        <v>774</v>
      </c>
      <c r="D58" s="57"/>
      <c r="E58" s="41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42" t="str">
        <f t="shared" si="1"/>
        <v>#DIV/0!</v>
      </c>
      <c r="T58" s="43" t="str">
        <f t="shared" si="2"/>
        <v>#DIV/0!</v>
      </c>
      <c r="U58" s="44" t="str">
        <f t="shared" si="3"/>
        <v>#DIV/0!</v>
      </c>
      <c r="V58" s="45"/>
      <c r="W58" s="45" t="str">
        <f t="shared" si="4"/>
        <v>#DIV/0!</v>
      </c>
      <c r="X58" s="46" t="str">
        <f t="shared" si="5"/>
        <v>#DIV/0!</v>
      </c>
      <c r="Y58" s="47"/>
      <c r="Z58" s="22"/>
      <c r="AA58" s="23" t="str">
        <f t="shared" si="6"/>
        <v>#DIV/0!</v>
      </c>
    </row>
    <row r="59" ht="14.25" customHeight="1">
      <c r="A59" s="18">
        <v>47.0</v>
      </c>
      <c r="B59" s="19" t="s">
        <v>775</v>
      </c>
      <c r="C59" s="20" t="s">
        <v>776</v>
      </c>
      <c r="D59" s="57"/>
      <c r="E59" s="41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42" t="str">
        <f t="shared" si="1"/>
        <v>#DIV/0!</v>
      </c>
      <c r="T59" s="43" t="str">
        <f t="shared" si="2"/>
        <v>#DIV/0!</v>
      </c>
      <c r="U59" s="44" t="str">
        <f t="shared" si="3"/>
        <v>#DIV/0!</v>
      </c>
      <c r="V59" s="45"/>
      <c r="W59" s="45" t="str">
        <f t="shared" si="4"/>
        <v>#DIV/0!</v>
      </c>
      <c r="X59" s="46" t="str">
        <f t="shared" si="5"/>
        <v>#DIV/0!</v>
      </c>
      <c r="Y59" s="47"/>
      <c r="Z59" s="22"/>
      <c r="AA59" s="23" t="str">
        <f t="shared" si="6"/>
        <v>#DIV/0!</v>
      </c>
    </row>
    <row r="60" ht="14.25" customHeight="1"/>
    <row r="61" ht="14.25" customHeight="1"/>
    <row r="62" ht="14.25" customHeight="1">
      <c r="Y62" s="47" t="s">
        <v>109</v>
      </c>
      <c r="Z62" s="57"/>
      <c r="AA62" s="23" t="str">
        <f>MAX(AA25:AA60)</f>
        <v>#DIV/0!</v>
      </c>
    </row>
    <row r="63" ht="14.25" customHeight="1">
      <c r="Y63" s="47" t="s">
        <v>110</v>
      </c>
      <c r="Z63" s="57"/>
      <c r="AA63" s="57" t="str">
        <f>MIN(AA25:AA60)</f>
        <v>#DIV/0!</v>
      </c>
    </row>
    <row r="64" ht="14.25" customHeight="1">
      <c r="Y64" s="47" t="s">
        <v>111</v>
      </c>
      <c r="Z64" s="57"/>
      <c r="AA64" s="57" t="str">
        <f>AVERAGE(AA25:AA60)</f>
        <v>#DIV/0!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D11:H11"/>
    <mergeCell ref="I11:M11"/>
    <mergeCell ref="N11:R11"/>
    <mergeCell ref="S11:U11"/>
    <mergeCell ref="V11:V12"/>
    <mergeCell ref="W11:W12"/>
    <mergeCell ref="X11:X12"/>
    <mergeCell ref="Y11:Y12"/>
    <mergeCell ref="Z11:Z12"/>
    <mergeCell ref="AA11:AA12"/>
    <mergeCell ref="A1:AA1"/>
    <mergeCell ref="A3:AA3"/>
    <mergeCell ref="A4:AA4"/>
    <mergeCell ref="A10:A12"/>
    <mergeCell ref="B10:B12"/>
    <mergeCell ref="C10:C12"/>
    <mergeCell ref="D10:AA1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9.86"/>
    <col customWidth="1" min="3" max="3" width="32.86"/>
    <col customWidth="1" min="4" max="18" width="3.57"/>
    <col customWidth="1" min="19" max="19" width="4.71"/>
    <col customWidth="1" min="20" max="21" width="4.57"/>
    <col customWidth="1" min="22" max="22" width="5.14"/>
    <col customWidth="1" min="23" max="23" width="5.29"/>
    <col customWidth="1" min="24" max="24" width="5.14"/>
    <col customWidth="1" min="25" max="25" width="4.86"/>
    <col customWidth="1" min="26" max="26" width="5.43"/>
    <col customWidth="1" min="27" max="28" width="5.14"/>
    <col customWidth="1" min="29" max="29" width="7.0"/>
    <col customWidth="1" min="30" max="30" width="8.71"/>
    <col customWidth="1" min="31" max="31" width="6.0"/>
  </cols>
  <sheetData>
    <row r="1" ht="78.0" customHeight="1">
      <c r="A1" s="1" t="s">
        <v>777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0" customHeight="1"/>
    <row r="3" ht="14.25" customHeight="1">
      <c r="A3" s="3" t="s">
        <v>1</v>
      </c>
    </row>
    <row r="4" ht="14.25" customHeight="1">
      <c r="A4" s="3" t="s">
        <v>2</v>
      </c>
    </row>
    <row r="5" ht="3.75" customHeight="1">
      <c r="B5" s="4"/>
      <c r="D5" s="4"/>
      <c r="E5" s="4"/>
    </row>
    <row r="6" ht="14.25" customHeight="1">
      <c r="A6" s="4" t="s">
        <v>3</v>
      </c>
      <c r="C6" s="5" t="s">
        <v>4</v>
      </c>
      <c r="E6" s="5"/>
    </row>
    <row r="7" ht="14.25" customHeight="1">
      <c r="A7" s="4" t="s">
        <v>5</v>
      </c>
      <c r="C7" s="5" t="s">
        <v>778</v>
      </c>
      <c r="E7" s="5"/>
    </row>
    <row r="8" ht="14.25" customHeight="1">
      <c r="A8" s="4" t="s">
        <v>7</v>
      </c>
      <c r="C8" s="5" t="s">
        <v>8</v>
      </c>
      <c r="E8" s="5"/>
    </row>
    <row r="9" ht="14.25" customHeight="1">
      <c r="E9" s="5"/>
    </row>
    <row r="10" ht="14.25" customHeight="1">
      <c r="A10" s="6" t="s">
        <v>9</v>
      </c>
      <c r="B10" s="6" t="s">
        <v>10</v>
      </c>
      <c r="C10" s="7" t="s">
        <v>11</v>
      </c>
      <c r="D10" s="8" t="s">
        <v>114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ht="27.0" customHeight="1">
      <c r="A11" s="11"/>
      <c r="B11" s="11"/>
      <c r="C11" s="11"/>
      <c r="D11" s="27"/>
      <c r="E11" s="9"/>
      <c r="F11" s="9"/>
      <c r="G11" s="9"/>
      <c r="H11" s="10"/>
      <c r="I11" s="27"/>
      <c r="J11" s="9"/>
      <c r="K11" s="9"/>
      <c r="L11" s="9"/>
      <c r="M11" s="10"/>
      <c r="N11" s="27"/>
      <c r="O11" s="9"/>
      <c r="P11" s="9"/>
      <c r="Q11" s="9"/>
      <c r="R11" s="10"/>
      <c r="S11" s="28" t="s">
        <v>115</v>
      </c>
      <c r="T11" s="9"/>
      <c r="U11" s="10"/>
      <c r="V11" s="29" t="s">
        <v>116</v>
      </c>
      <c r="W11" s="30" t="s">
        <v>117</v>
      </c>
      <c r="X11" s="31" t="s">
        <v>118</v>
      </c>
      <c r="Y11" s="32" t="s">
        <v>119</v>
      </c>
      <c r="Z11" s="13" t="s">
        <v>13</v>
      </c>
      <c r="AA11" s="14" t="s">
        <v>14</v>
      </c>
    </row>
    <row r="12" ht="15.75" customHeight="1">
      <c r="A12" s="15"/>
      <c r="B12" s="15"/>
      <c r="C12" s="15"/>
      <c r="D12" s="33">
        <v>1.0</v>
      </c>
      <c r="E12" s="34">
        <v>2.0</v>
      </c>
      <c r="F12" s="34">
        <v>3.0</v>
      </c>
      <c r="G12" s="34">
        <v>4.0</v>
      </c>
      <c r="H12" s="35">
        <v>5.0</v>
      </c>
      <c r="I12" s="35">
        <v>1.0</v>
      </c>
      <c r="J12" s="35">
        <v>2.0</v>
      </c>
      <c r="K12" s="35">
        <v>3.0</v>
      </c>
      <c r="L12" s="35">
        <v>4.0</v>
      </c>
      <c r="M12" s="35">
        <v>5.0</v>
      </c>
      <c r="N12" s="35">
        <v>1.0</v>
      </c>
      <c r="O12" s="35">
        <v>2.0</v>
      </c>
      <c r="P12" s="35">
        <v>3.0</v>
      </c>
      <c r="Q12" s="35">
        <v>4.0</v>
      </c>
      <c r="R12" s="35">
        <v>5.0</v>
      </c>
      <c r="S12" s="36" t="s">
        <v>120</v>
      </c>
      <c r="T12" s="37" t="s">
        <v>121</v>
      </c>
      <c r="U12" s="38" t="s">
        <v>122</v>
      </c>
      <c r="V12" s="15"/>
      <c r="W12" s="39"/>
      <c r="X12" s="16"/>
      <c r="Y12" s="16"/>
      <c r="Z12" s="16"/>
      <c r="AA12" s="17"/>
    </row>
    <row r="13" ht="14.25" customHeight="1">
      <c r="A13" s="18">
        <v>1.0</v>
      </c>
      <c r="B13" s="19" t="s">
        <v>779</v>
      </c>
      <c r="C13" s="20" t="s">
        <v>780</v>
      </c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2" t="str">
        <f t="shared" ref="S13:S57" si="1">AVERAGE(D13:H13)</f>
        <v>#DIV/0!</v>
      </c>
      <c r="T13" s="43" t="str">
        <f t="shared" ref="T13:T57" si="2">AVERAGE(I13:M13)</f>
        <v>#DIV/0!</v>
      </c>
      <c r="U13" s="44" t="str">
        <f t="shared" ref="U13:U57" si="3">AVERAGE(N13:R13)</f>
        <v>#DIV/0!</v>
      </c>
      <c r="V13" s="45"/>
      <c r="W13" s="45" t="str">
        <f t="shared" ref="W13:W57" si="4">AVERAGE(S13:U13)</f>
        <v>#DIV/0!</v>
      </c>
      <c r="X13" s="46" t="str">
        <f t="shared" ref="X13:X57" si="5">ROUND(AVERAGE(V13:W13),0)</f>
        <v>#DIV/0!</v>
      </c>
      <c r="Y13" s="47"/>
      <c r="Z13" s="22">
        <v>1.0</v>
      </c>
      <c r="AA13" s="23" t="str">
        <f t="shared" ref="AA13:AA57" si="6">ROUND(IF((X13*(IF(Y13="A",105%,IF(Y13="B",102%,IF(Y13="C",75%,50%))))*Z13)&gt;100,100,(X13*(IF(Y13="A",105%,IF(Y13="B",102%,IF(Y13="C",75%,50%))))*Z13)),0)</f>
        <v>#DIV/0!</v>
      </c>
      <c r="AB13" s="60"/>
      <c r="AC13" s="60"/>
      <c r="AD13" s="60"/>
      <c r="AE13" s="60"/>
    </row>
    <row r="14" ht="14.25" customHeight="1">
      <c r="A14" s="18">
        <v>2.0</v>
      </c>
      <c r="B14" s="19" t="s">
        <v>781</v>
      </c>
      <c r="C14" s="20" t="s">
        <v>782</v>
      </c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 t="str">
        <f t="shared" si="1"/>
        <v>#DIV/0!</v>
      </c>
      <c r="T14" s="43" t="str">
        <f t="shared" si="2"/>
        <v>#DIV/0!</v>
      </c>
      <c r="U14" s="44" t="str">
        <f t="shared" si="3"/>
        <v>#DIV/0!</v>
      </c>
      <c r="V14" s="45"/>
      <c r="W14" s="45" t="str">
        <f t="shared" si="4"/>
        <v>#DIV/0!</v>
      </c>
      <c r="X14" s="46" t="str">
        <f t="shared" si="5"/>
        <v>#DIV/0!</v>
      </c>
      <c r="Y14" s="47"/>
      <c r="Z14" s="22">
        <v>1.0</v>
      </c>
      <c r="AA14" s="23" t="str">
        <f t="shared" si="6"/>
        <v>#DIV/0!</v>
      </c>
      <c r="AB14" s="60"/>
      <c r="AC14" s="60"/>
      <c r="AD14" s="60"/>
      <c r="AE14" s="60"/>
    </row>
    <row r="15" ht="14.25" customHeight="1">
      <c r="A15" s="18">
        <v>3.0</v>
      </c>
      <c r="B15" s="19" t="s">
        <v>783</v>
      </c>
      <c r="C15" s="20" t="s">
        <v>784</v>
      </c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2" t="str">
        <f t="shared" si="1"/>
        <v>#DIV/0!</v>
      </c>
      <c r="T15" s="43" t="str">
        <f t="shared" si="2"/>
        <v>#DIV/0!</v>
      </c>
      <c r="U15" s="44" t="str">
        <f t="shared" si="3"/>
        <v>#DIV/0!</v>
      </c>
      <c r="V15" s="45"/>
      <c r="W15" s="45" t="str">
        <f t="shared" si="4"/>
        <v>#DIV/0!</v>
      </c>
      <c r="X15" s="46" t="str">
        <f t="shared" si="5"/>
        <v>#DIV/0!</v>
      </c>
      <c r="Y15" s="47"/>
      <c r="Z15" s="22">
        <v>1.0</v>
      </c>
      <c r="AA15" s="23" t="str">
        <f t="shared" si="6"/>
        <v>#DIV/0!</v>
      </c>
      <c r="AB15" s="60"/>
      <c r="AC15" s="60"/>
      <c r="AD15" s="60"/>
      <c r="AE15" s="60"/>
    </row>
    <row r="16" ht="14.25" customHeight="1">
      <c r="A16" s="18">
        <v>4.0</v>
      </c>
      <c r="B16" s="19" t="s">
        <v>785</v>
      </c>
      <c r="C16" s="20" t="s">
        <v>786</v>
      </c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 t="str">
        <f t="shared" si="1"/>
        <v>#DIV/0!</v>
      </c>
      <c r="T16" s="43" t="str">
        <f t="shared" si="2"/>
        <v>#DIV/0!</v>
      </c>
      <c r="U16" s="44" t="str">
        <f t="shared" si="3"/>
        <v>#DIV/0!</v>
      </c>
      <c r="V16" s="45"/>
      <c r="W16" s="45" t="str">
        <f t="shared" si="4"/>
        <v>#DIV/0!</v>
      </c>
      <c r="X16" s="46" t="str">
        <f t="shared" si="5"/>
        <v>#DIV/0!</v>
      </c>
      <c r="Y16" s="47"/>
      <c r="Z16" s="22">
        <v>1.0</v>
      </c>
      <c r="AA16" s="23" t="str">
        <f t="shared" si="6"/>
        <v>#DIV/0!</v>
      </c>
      <c r="AB16" s="60"/>
      <c r="AC16" s="60"/>
      <c r="AD16" s="60"/>
      <c r="AE16" s="60"/>
    </row>
    <row r="17" ht="14.25" customHeight="1">
      <c r="A17" s="18">
        <v>5.0</v>
      </c>
      <c r="B17" s="19" t="s">
        <v>787</v>
      </c>
      <c r="C17" s="20" t="s">
        <v>788</v>
      </c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 t="str">
        <f t="shared" si="1"/>
        <v>#DIV/0!</v>
      </c>
      <c r="T17" s="43" t="str">
        <f t="shared" si="2"/>
        <v>#DIV/0!</v>
      </c>
      <c r="U17" s="44" t="str">
        <f t="shared" si="3"/>
        <v>#DIV/0!</v>
      </c>
      <c r="V17" s="45"/>
      <c r="W17" s="45" t="str">
        <f t="shared" si="4"/>
        <v>#DIV/0!</v>
      </c>
      <c r="X17" s="46" t="str">
        <f t="shared" si="5"/>
        <v>#DIV/0!</v>
      </c>
      <c r="Y17" s="47"/>
      <c r="Z17" s="22">
        <v>1.0</v>
      </c>
      <c r="AA17" s="23" t="str">
        <f t="shared" si="6"/>
        <v>#DIV/0!</v>
      </c>
      <c r="AB17" s="60"/>
      <c r="AC17" s="60"/>
      <c r="AD17" s="60"/>
      <c r="AE17" s="60"/>
    </row>
    <row r="18" ht="14.25" customHeight="1">
      <c r="A18" s="18">
        <v>6.0</v>
      </c>
      <c r="B18" s="19" t="s">
        <v>789</v>
      </c>
      <c r="C18" s="20" t="s">
        <v>790</v>
      </c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2" t="str">
        <f t="shared" si="1"/>
        <v>#DIV/0!</v>
      </c>
      <c r="T18" s="43" t="str">
        <f t="shared" si="2"/>
        <v>#DIV/0!</v>
      </c>
      <c r="U18" s="44" t="str">
        <f t="shared" si="3"/>
        <v>#DIV/0!</v>
      </c>
      <c r="V18" s="45"/>
      <c r="W18" s="45" t="str">
        <f t="shared" si="4"/>
        <v>#DIV/0!</v>
      </c>
      <c r="X18" s="46" t="str">
        <f t="shared" si="5"/>
        <v>#DIV/0!</v>
      </c>
      <c r="Y18" s="47"/>
      <c r="Z18" s="22">
        <v>1.0</v>
      </c>
      <c r="AA18" s="23" t="str">
        <f t="shared" si="6"/>
        <v>#DIV/0!</v>
      </c>
      <c r="AB18" s="60"/>
      <c r="AC18" s="60"/>
      <c r="AD18" s="60"/>
      <c r="AE18" s="60"/>
    </row>
    <row r="19" ht="14.25" customHeight="1">
      <c r="A19" s="18">
        <v>7.0</v>
      </c>
      <c r="B19" s="19" t="s">
        <v>791</v>
      </c>
      <c r="C19" s="20" t="s">
        <v>792</v>
      </c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2" t="str">
        <f t="shared" si="1"/>
        <v>#DIV/0!</v>
      </c>
      <c r="T19" s="43" t="str">
        <f t="shared" si="2"/>
        <v>#DIV/0!</v>
      </c>
      <c r="U19" s="44" t="str">
        <f t="shared" si="3"/>
        <v>#DIV/0!</v>
      </c>
      <c r="V19" s="45"/>
      <c r="W19" s="45" t="str">
        <f t="shared" si="4"/>
        <v>#DIV/0!</v>
      </c>
      <c r="X19" s="46" t="str">
        <f t="shared" si="5"/>
        <v>#DIV/0!</v>
      </c>
      <c r="Y19" s="47"/>
      <c r="Z19" s="22">
        <v>1.0</v>
      </c>
      <c r="AA19" s="23" t="str">
        <f t="shared" si="6"/>
        <v>#DIV/0!</v>
      </c>
      <c r="AB19" s="60"/>
      <c r="AC19" s="60"/>
      <c r="AD19" s="60"/>
      <c r="AE19" s="60"/>
    </row>
    <row r="20" ht="14.25" customHeight="1">
      <c r="A20" s="18">
        <v>8.0</v>
      </c>
      <c r="B20" s="19" t="s">
        <v>793</v>
      </c>
      <c r="C20" s="20" t="s">
        <v>794</v>
      </c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2" t="str">
        <f t="shared" si="1"/>
        <v>#DIV/0!</v>
      </c>
      <c r="T20" s="43" t="str">
        <f t="shared" si="2"/>
        <v>#DIV/0!</v>
      </c>
      <c r="U20" s="44" t="str">
        <f t="shared" si="3"/>
        <v>#DIV/0!</v>
      </c>
      <c r="V20" s="45"/>
      <c r="W20" s="45" t="str">
        <f t="shared" si="4"/>
        <v>#DIV/0!</v>
      </c>
      <c r="X20" s="46" t="str">
        <f t="shared" si="5"/>
        <v>#DIV/0!</v>
      </c>
      <c r="Y20" s="47"/>
      <c r="Z20" s="22">
        <v>1.0</v>
      </c>
      <c r="AA20" s="23" t="str">
        <f t="shared" si="6"/>
        <v>#DIV/0!</v>
      </c>
      <c r="AB20" s="60"/>
      <c r="AC20" s="60"/>
      <c r="AD20" s="60"/>
      <c r="AE20" s="60"/>
    </row>
    <row r="21" ht="14.25" customHeight="1">
      <c r="A21" s="18">
        <v>9.0</v>
      </c>
      <c r="B21" s="19" t="s">
        <v>795</v>
      </c>
      <c r="C21" s="20" t="s">
        <v>796</v>
      </c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2" t="str">
        <f t="shared" si="1"/>
        <v>#DIV/0!</v>
      </c>
      <c r="T21" s="43" t="str">
        <f t="shared" si="2"/>
        <v>#DIV/0!</v>
      </c>
      <c r="U21" s="44" t="str">
        <f t="shared" si="3"/>
        <v>#DIV/0!</v>
      </c>
      <c r="V21" s="45"/>
      <c r="W21" s="45" t="str">
        <f t="shared" si="4"/>
        <v>#DIV/0!</v>
      </c>
      <c r="X21" s="46" t="str">
        <f t="shared" si="5"/>
        <v>#DIV/0!</v>
      </c>
      <c r="Y21" s="47"/>
      <c r="Z21" s="22">
        <v>1.0</v>
      </c>
      <c r="AA21" s="23" t="str">
        <f t="shared" si="6"/>
        <v>#DIV/0!</v>
      </c>
      <c r="AB21" s="60"/>
      <c r="AC21" s="60"/>
      <c r="AD21" s="60"/>
      <c r="AE21" s="60"/>
    </row>
    <row r="22" ht="14.25" customHeight="1">
      <c r="A22" s="18">
        <v>10.0</v>
      </c>
      <c r="B22" s="19" t="s">
        <v>797</v>
      </c>
      <c r="C22" s="20" t="s">
        <v>798</v>
      </c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2" t="str">
        <f t="shared" si="1"/>
        <v>#DIV/0!</v>
      </c>
      <c r="T22" s="43" t="str">
        <f t="shared" si="2"/>
        <v>#DIV/0!</v>
      </c>
      <c r="U22" s="44" t="str">
        <f t="shared" si="3"/>
        <v>#DIV/0!</v>
      </c>
      <c r="V22" s="45"/>
      <c r="W22" s="45" t="str">
        <f t="shared" si="4"/>
        <v>#DIV/0!</v>
      </c>
      <c r="X22" s="46" t="str">
        <f t="shared" si="5"/>
        <v>#DIV/0!</v>
      </c>
      <c r="Y22" s="47"/>
      <c r="Z22" s="22">
        <v>1.0</v>
      </c>
      <c r="AA22" s="23" t="str">
        <f t="shared" si="6"/>
        <v>#DIV/0!</v>
      </c>
      <c r="AB22" s="60"/>
      <c r="AC22" s="60"/>
      <c r="AD22" s="60"/>
      <c r="AE22" s="60"/>
    </row>
    <row r="23" ht="14.25" customHeight="1">
      <c r="A23" s="18">
        <v>11.0</v>
      </c>
      <c r="B23" s="19" t="s">
        <v>799</v>
      </c>
      <c r="C23" s="20" t="s">
        <v>800</v>
      </c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 t="str">
        <f t="shared" si="1"/>
        <v>#DIV/0!</v>
      </c>
      <c r="T23" s="43" t="str">
        <f t="shared" si="2"/>
        <v>#DIV/0!</v>
      </c>
      <c r="U23" s="44" t="str">
        <f t="shared" si="3"/>
        <v>#DIV/0!</v>
      </c>
      <c r="V23" s="45"/>
      <c r="W23" s="45" t="str">
        <f t="shared" si="4"/>
        <v>#DIV/0!</v>
      </c>
      <c r="X23" s="46" t="str">
        <f t="shared" si="5"/>
        <v>#DIV/0!</v>
      </c>
      <c r="Y23" s="47"/>
      <c r="Z23" s="22">
        <v>1.0</v>
      </c>
      <c r="AA23" s="23" t="str">
        <f t="shared" si="6"/>
        <v>#DIV/0!</v>
      </c>
      <c r="AB23" s="60"/>
      <c r="AC23" s="60"/>
      <c r="AD23" s="60"/>
      <c r="AE23" s="60"/>
    </row>
    <row r="24" ht="14.25" customHeight="1">
      <c r="A24" s="18">
        <v>12.0</v>
      </c>
      <c r="B24" s="19" t="s">
        <v>801</v>
      </c>
      <c r="C24" s="20" t="s">
        <v>802</v>
      </c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 t="str">
        <f t="shared" si="1"/>
        <v>#DIV/0!</v>
      </c>
      <c r="T24" s="43" t="str">
        <f t="shared" si="2"/>
        <v>#DIV/0!</v>
      </c>
      <c r="U24" s="44" t="str">
        <f t="shared" si="3"/>
        <v>#DIV/0!</v>
      </c>
      <c r="V24" s="45"/>
      <c r="W24" s="45" t="str">
        <f t="shared" si="4"/>
        <v>#DIV/0!</v>
      </c>
      <c r="X24" s="46" t="str">
        <f t="shared" si="5"/>
        <v>#DIV/0!</v>
      </c>
      <c r="Y24" s="47"/>
      <c r="Z24" s="22">
        <v>1.0</v>
      </c>
      <c r="AA24" s="23" t="str">
        <f t="shared" si="6"/>
        <v>#DIV/0!</v>
      </c>
      <c r="AB24" s="60"/>
      <c r="AC24" s="60"/>
      <c r="AD24" s="60"/>
      <c r="AE24" s="60"/>
    </row>
    <row r="25" ht="14.25" customHeight="1">
      <c r="A25" s="18">
        <v>13.0</v>
      </c>
      <c r="B25" s="19" t="s">
        <v>803</v>
      </c>
      <c r="C25" s="20" t="s">
        <v>804</v>
      </c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 t="str">
        <f t="shared" si="1"/>
        <v>#DIV/0!</v>
      </c>
      <c r="T25" s="43" t="str">
        <f t="shared" si="2"/>
        <v>#DIV/0!</v>
      </c>
      <c r="U25" s="44" t="str">
        <f t="shared" si="3"/>
        <v>#DIV/0!</v>
      </c>
      <c r="V25" s="45"/>
      <c r="W25" s="45" t="str">
        <f t="shared" si="4"/>
        <v>#DIV/0!</v>
      </c>
      <c r="X25" s="46" t="str">
        <f t="shared" si="5"/>
        <v>#DIV/0!</v>
      </c>
      <c r="Y25" s="47"/>
      <c r="Z25" s="22">
        <v>1.0</v>
      </c>
      <c r="AA25" s="23" t="str">
        <f t="shared" si="6"/>
        <v>#DIV/0!</v>
      </c>
      <c r="AB25" s="60"/>
      <c r="AC25" s="60"/>
      <c r="AD25" s="60"/>
      <c r="AE25" s="60"/>
    </row>
    <row r="26" ht="14.25" customHeight="1">
      <c r="A26" s="18">
        <v>14.0</v>
      </c>
      <c r="B26" s="19" t="s">
        <v>805</v>
      </c>
      <c r="C26" s="20" t="s">
        <v>806</v>
      </c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 t="str">
        <f t="shared" si="1"/>
        <v>#DIV/0!</v>
      </c>
      <c r="T26" s="43" t="str">
        <f t="shared" si="2"/>
        <v>#DIV/0!</v>
      </c>
      <c r="U26" s="44" t="str">
        <f t="shared" si="3"/>
        <v>#DIV/0!</v>
      </c>
      <c r="V26" s="45"/>
      <c r="W26" s="45" t="str">
        <f t="shared" si="4"/>
        <v>#DIV/0!</v>
      </c>
      <c r="X26" s="46" t="str">
        <f t="shared" si="5"/>
        <v>#DIV/0!</v>
      </c>
      <c r="Y26" s="47"/>
      <c r="Z26" s="22">
        <v>1.0</v>
      </c>
      <c r="AA26" s="23" t="str">
        <f t="shared" si="6"/>
        <v>#DIV/0!</v>
      </c>
      <c r="AB26" s="60"/>
      <c r="AC26" s="60"/>
      <c r="AD26" s="60"/>
      <c r="AE26" s="60"/>
    </row>
    <row r="27" ht="14.25" customHeight="1">
      <c r="A27" s="18">
        <v>15.0</v>
      </c>
      <c r="B27" s="19" t="s">
        <v>807</v>
      </c>
      <c r="C27" s="20" t="s">
        <v>808</v>
      </c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 t="str">
        <f t="shared" si="1"/>
        <v>#DIV/0!</v>
      </c>
      <c r="T27" s="43" t="str">
        <f t="shared" si="2"/>
        <v>#DIV/0!</v>
      </c>
      <c r="U27" s="44" t="str">
        <f t="shared" si="3"/>
        <v>#DIV/0!</v>
      </c>
      <c r="V27" s="45"/>
      <c r="W27" s="45" t="str">
        <f t="shared" si="4"/>
        <v>#DIV/0!</v>
      </c>
      <c r="X27" s="46" t="str">
        <f t="shared" si="5"/>
        <v>#DIV/0!</v>
      </c>
      <c r="Y27" s="47"/>
      <c r="Z27" s="22">
        <v>1.0</v>
      </c>
      <c r="AA27" s="23" t="str">
        <f t="shared" si="6"/>
        <v>#DIV/0!</v>
      </c>
      <c r="AB27" s="60"/>
      <c r="AC27" s="60"/>
      <c r="AD27" s="60"/>
      <c r="AE27" s="60"/>
    </row>
    <row r="28" ht="14.25" customHeight="1">
      <c r="A28" s="18">
        <v>16.0</v>
      </c>
      <c r="B28" s="19" t="s">
        <v>809</v>
      </c>
      <c r="C28" s="20" t="s">
        <v>810</v>
      </c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2" t="str">
        <f t="shared" si="1"/>
        <v>#DIV/0!</v>
      </c>
      <c r="T28" s="43" t="str">
        <f t="shared" si="2"/>
        <v>#DIV/0!</v>
      </c>
      <c r="U28" s="44" t="str">
        <f t="shared" si="3"/>
        <v>#DIV/0!</v>
      </c>
      <c r="V28" s="45"/>
      <c r="W28" s="45" t="str">
        <f t="shared" si="4"/>
        <v>#DIV/0!</v>
      </c>
      <c r="X28" s="46" t="str">
        <f t="shared" si="5"/>
        <v>#DIV/0!</v>
      </c>
      <c r="Y28" s="47"/>
      <c r="Z28" s="22">
        <v>1.0</v>
      </c>
      <c r="AA28" s="23" t="str">
        <f t="shared" si="6"/>
        <v>#DIV/0!</v>
      </c>
      <c r="AB28" s="60"/>
      <c r="AC28" s="60"/>
      <c r="AD28" s="60"/>
      <c r="AE28" s="60"/>
    </row>
    <row r="29" ht="14.25" customHeight="1">
      <c r="A29" s="18">
        <v>17.0</v>
      </c>
      <c r="B29" s="19" t="s">
        <v>811</v>
      </c>
      <c r="C29" s="20" t="s">
        <v>812</v>
      </c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2" t="str">
        <f t="shared" si="1"/>
        <v>#DIV/0!</v>
      </c>
      <c r="T29" s="43" t="str">
        <f t="shared" si="2"/>
        <v>#DIV/0!</v>
      </c>
      <c r="U29" s="44" t="str">
        <f t="shared" si="3"/>
        <v>#DIV/0!</v>
      </c>
      <c r="V29" s="45"/>
      <c r="W29" s="45" t="str">
        <f t="shared" si="4"/>
        <v>#DIV/0!</v>
      </c>
      <c r="X29" s="46" t="str">
        <f t="shared" si="5"/>
        <v>#DIV/0!</v>
      </c>
      <c r="Y29" s="47"/>
      <c r="Z29" s="22">
        <v>1.0</v>
      </c>
      <c r="AA29" s="23" t="str">
        <f t="shared" si="6"/>
        <v>#DIV/0!</v>
      </c>
      <c r="AB29" s="60"/>
      <c r="AC29" s="60"/>
      <c r="AD29" s="60"/>
      <c r="AE29" s="60"/>
    </row>
    <row r="30" ht="14.25" customHeight="1">
      <c r="A30" s="18">
        <v>18.0</v>
      </c>
      <c r="B30" s="19" t="s">
        <v>813</v>
      </c>
      <c r="C30" s="20" t="s">
        <v>814</v>
      </c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2" t="str">
        <f t="shared" si="1"/>
        <v>#DIV/0!</v>
      </c>
      <c r="T30" s="43" t="str">
        <f t="shared" si="2"/>
        <v>#DIV/0!</v>
      </c>
      <c r="U30" s="44" t="str">
        <f t="shared" si="3"/>
        <v>#DIV/0!</v>
      </c>
      <c r="V30" s="45"/>
      <c r="W30" s="45" t="str">
        <f t="shared" si="4"/>
        <v>#DIV/0!</v>
      </c>
      <c r="X30" s="46" t="str">
        <f t="shared" si="5"/>
        <v>#DIV/0!</v>
      </c>
      <c r="Y30" s="47"/>
      <c r="Z30" s="22">
        <v>1.0</v>
      </c>
      <c r="AA30" s="23" t="str">
        <f t="shared" si="6"/>
        <v>#DIV/0!</v>
      </c>
      <c r="AB30" s="60"/>
      <c r="AC30" s="60"/>
      <c r="AD30" s="60"/>
      <c r="AE30" s="60"/>
    </row>
    <row r="31" ht="14.25" customHeight="1">
      <c r="A31" s="18">
        <v>19.0</v>
      </c>
      <c r="B31" s="19" t="s">
        <v>815</v>
      </c>
      <c r="C31" s="20" t="s">
        <v>816</v>
      </c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2" t="str">
        <f t="shared" si="1"/>
        <v>#DIV/0!</v>
      </c>
      <c r="T31" s="43" t="str">
        <f t="shared" si="2"/>
        <v>#DIV/0!</v>
      </c>
      <c r="U31" s="44" t="str">
        <f t="shared" si="3"/>
        <v>#DIV/0!</v>
      </c>
      <c r="V31" s="45"/>
      <c r="W31" s="45" t="str">
        <f t="shared" si="4"/>
        <v>#DIV/0!</v>
      </c>
      <c r="X31" s="46" t="str">
        <f t="shared" si="5"/>
        <v>#DIV/0!</v>
      </c>
      <c r="Y31" s="47"/>
      <c r="Z31" s="22">
        <v>1.0</v>
      </c>
      <c r="AA31" s="23" t="str">
        <f t="shared" si="6"/>
        <v>#DIV/0!</v>
      </c>
      <c r="AB31" s="60"/>
      <c r="AC31" s="60"/>
      <c r="AD31" s="60"/>
      <c r="AE31" s="60"/>
    </row>
    <row r="32" ht="14.25" customHeight="1">
      <c r="A32" s="18">
        <v>20.0</v>
      </c>
      <c r="B32" s="19" t="s">
        <v>817</v>
      </c>
      <c r="C32" s="20" t="s">
        <v>818</v>
      </c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2" t="str">
        <f t="shared" si="1"/>
        <v>#DIV/0!</v>
      </c>
      <c r="T32" s="43" t="str">
        <f t="shared" si="2"/>
        <v>#DIV/0!</v>
      </c>
      <c r="U32" s="44" t="str">
        <f t="shared" si="3"/>
        <v>#DIV/0!</v>
      </c>
      <c r="V32" s="45"/>
      <c r="W32" s="45" t="str">
        <f t="shared" si="4"/>
        <v>#DIV/0!</v>
      </c>
      <c r="X32" s="46" t="str">
        <f t="shared" si="5"/>
        <v>#DIV/0!</v>
      </c>
      <c r="Y32" s="47"/>
      <c r="Z32" s="22">
        <v>1.0</v>
      </c>
      <c r="AA32" s="23" t="str">
        <f t="shared" si="6"/>
        <v>#DIV/0!</v>
      </c>
      <c r="AB32" s="60"/>
      <c r="AC32" s="60"/>
      <c r="AD32" s="60"/>
      <c r="AE32" s="60"/>
    </row>
    <row r="33" ht="14.25" customHeight="1">
      <c r="A33" s="18">
        <v>21.0</v>
      </c>
      <c r="B33" s="19" t="s">
        <v>819</v>
      </c>
      <c r="C33" s="20" t="s">
        <v>820</v>
      </c>
      <c r="D33" s="40"/>
      <c r="E33" s="41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2" t="str">
        <f t="shared" si="1"/>
        <v>#DIV/0!</v>
      </c>
      <c r="T33" s="43" t="str">
        <f t="shared" si="2"/>
        <v>#DIV/0!</v>
      </c>
      <c r="U33" s="44" t="str">
        <f t="shared" si="3"/>
        <v>#DIV/0!</v>
      </c>
      <c r="V33" s="45"/>
      <c r="W33" s="45" t="str">
        <f t="shared" si="4"/>
        <v>#DIV/0!</v>
      </c>
      <c r="X33" s="46" t="str">
        <f t="shared" si="5"/>
        <v>#DIV/0!</v>
      </c>
      <c r="Y33" s="47"/>
      <c r="Z33" s="22">
        <v>1.0</v>
      </c>
      <c r="AA33" s="23" t="str">
        <f t="shared" si="6"/>
        <v>#DIV/0!</v>
      </c>
      <c r="AB33" s="60"/>
      <c r="AC33" s="60"/>
      <c r="AD33" s="60"/>
      <c r="AE33" s="60"/>
    </row>
    <row r="34" ht="14.25" customHeight="1">
      <c r="A34" s="18">
        <v>22.0</v>
      </c>
      <c r="B34" s="19" t="s">
        <v>821</v>
      </c>
      <c r="C34" s="20" t="s">
        <v>822</v>
      </c>
      <c r="D34" s="40"/>
      <c r="E34" s="41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2" t="str">
        <f t="shared" si="1"/>
        <v>#DIV/0!</v>
      </c>
      <c r="T34" s="43" t="str">
        <f t="shared" si="2"/>
        <v>#DIV/0!</v>
      </c>
      <c r="U34" s="44" t="str">
        <f t="shared" si="3"/>
        <v>#DIV/0!</v>
      </c>
      <c r="V34" s="45"/>
      <c r="W34" s="45" t="str">
        <f t="shared" si="4"/>
        <v>#DIV/0!</v>
      </c>
      <c r="X34" s="46" t="str">
        <f t="shared" si="5"/>
        <v>#DIV/0!</v>
      </c>
      <c r="Y34" s="47"/>
      <c r="Z34" s="22">
        <v>1.0</v>
      </c>
      <c r="AA34" s="23" t="str">
        <f t="shared" si="6"/>
        <v>#DIV/0!</v>
      </c>
      <c r="AB34" s="60"/>
      <c r="AC34" s="60"/>
      <c r="AD34" s="60"/>
      <c r="AE34" s="60"/>
    </row>
    <row r="35" ht="14.25" customHeight="1">
      <c r="A35" s="18">
        <v>23.0</v>
      </c>
      <c r="B35" s="19" t="s">
        <v>823</v>
      </c>
      <c r="C35" s="20" t="s">
        <v>824</v>
      </c>
      <c r="D35" s="40"/>
      <c r="E35" s="41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2" t="str">
        <f t="shared" si="1"/>
        <v>#DIV/0!</v>
      </c>
      <c r="T35" s="43" t="str">
        <f t="shared" si="2"/>
        <v>#DIV/0!</v>
      </c>
      <c r="U35" s="44" t="str">
        <f t="shared" si="3"/>
        <v>#DIV/0!</v>
      </c>
      <c r="V35" s="45"/>
      <c r="W35" s="45" t="str">
        <f t="shared" si="4"/>
        <v>#DIV/0!</v>
      </c>
      <c r="X35" s="46" t="str">
        <f t="shared" si="5"/>
        <v>#DIV/0!</v>
      </c>
      <c r="Y35" s="47"/>
      <c r="Z35" s="22">
        <v>1.0</v>
      </c>
      <c r="AA35" s="23" t="str">
        <f t="shared" si="6"/>
        <v>#DIV/0!</v>
      </c>
      <c r="AB35" s="60"/>
      <c r="AC35" s="60"/>
      <c r="AD35" s="60"/>
      <c r="AE35" s="60"/>
    </row>
    <row r="36" ht="14.25" customHeight="1">
      <c r="A36" s="18">
        <v>24.0</v>
      </c>
      <c r="B36" s="19" t="s">
        <v>825</v>
      </c>
      <c r="C36" s="20" t="s">
        <v>826</v>
      </c>
      <c r="D36" s="40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2" t="str">
        <f t="shared" si="1"/>
        <v>#DIV/0!</v>
      </c>
      <c r="T36" s="43" t="str">
        <f t="shared" si="2"/>
        <v>#DIV/0!</v>
      </c>
      <c r="U36" s="44" t="str">
        <f t="shared" si="3"/>
        <v>#DIV/0!</v>
      </c>
      <c r="V36" s="45"/>
      <c r="W36" s="45" t="str">
        <f t="shared" si="4"/>
        <v>#DIV/0!</v>
      </c>
      <c r="X36" s="46" t="str">
        <f t="shared" si="5"/>
        <v>#DIV/0!</v>
      </c>
      <c r="Y36" s="47"/>
      <c r="Z36" s="22">
        <v>1.0</v>
      </c>
      <c r="AA36" s="23" t="str">
        <f t="shared" si="6"/>
        <v>#DIV/0!</v>
      </c>
      <c r="AB36" s="60"/>
      <c r="AC36" s="60"/>
      <c r="AD36" s="60"/>
      <c r="AE36" s="60"/>
    </row>
    <row r="37" ht="14.25" customHeight="1">
      <c r="A37" s="18">
        <v>25.0</v>
      </c>
      <c r="B37" s="19" t="s">
        <v>827</v>
      </c>
      <c r="C37" s="20" t="s">
        <v>828</v>
      </c>
      <c r="D37" s="40"/>
      <c r="E37" s="41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2" t="str">
        <f t="shared" si="1"/>
        <v>#DIV/0!</v>
      </c>
      <c r="T37" s="43" t="str">
        <f t="shared" si="2"/>
        <v>#DIV/0!</v>
      </c>
      <c r="U37" s="44" t="str">
        <f t="shared" si="3"/>
        <v>#DIV/0!</v>
      </c>
      <c r="V37" s="45"/>
      <c r="W37" s="45" t="str">
        <f t="shared" si="4"/>
        <v>#DIV/0!</v>
      </c>
      <c r="X37" s="46" t="str">
        <f t="shared" si="5"/>
        <v>#DIV/0!</v>
      </c>
      <c r="Y37" s="47"/>
      <c r="Z37" s="22">
        <v>1.0</v>
      </c>
      <c r="AA37" s="23" t="str">
        <f t="shared" si="6"/>
        <v>#DIV/0!</v>
      </c>
      <c r="AB37" s="60"/>
      <c r="AC37" s="60"/>
      <c r="AD37" s="60"/>
      <c r="AE37" s="60"/>
    </row>
    <row r="38" ht="14.25" customHeight="1">
      <c r="A38" s="18">
        <v>26.0</v>
      </c>
      <c r="B38" s="19" t="s">
        <v>829</v>
      </c>
      <c r="C38" s="20" t="s">
        <v>830</v>
      </c>
      <c r="D38" s="40"/>
      <c r="E38" s="41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2" t="str">
        <f t="shared" si="1"/>
        <v>#DIV/0!</v>
      </c>
      <c r="T38" s="43" t="str">
        <f t="shared" si="2"/>
        <v>#DIV/0!</v>
      </c>
      <c r="U38" s="44" t="str">
        <f t="shared" si="3"/>
        <v>#DIV/0!</v>
      </c>
      <c r="V38" s="45"/>
      <c r="W38" s="45" t="str">
        <f t="shared" si="4"/>
        <v>#DIV/0!</v>
      </c>
      <c r="X38" s="46" t="str">
        <f t="shared" si="5"/>
        <v>#DIV/0!</v>
      </c>
      <c r="Y38" s="47"/>
      <c r="Z38" s="22">
        <v>1.0</v>
      </c>
      <c r="AA38" s="23" t="str">
        <f t="shared" si="6"/>
        <v>#DIV/0!</v>
      </c>
      <c r="AB38" s="60"/>
      <c r="AC38" s="60"/>
      <c r="AD38" s="60"/>
      <c r="AE38" s="60"/>
    </row>
    <row r="39" ht="14.25" customHeight="1">
      <c r="A39" s="18">
        <v>27.0</v>
      </c>
      <c r="B39" s="19" t="s">
        <v>831</v>
      </c>
      <c r="C39" s="20" t="s">
        <v>832</v>
      </c>
      <c r="D39" s="40"/>
      <c r="E39" s="41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2" t="str">
        <f t="shared" si="1"/>
        <v>#DIV/0!</v>
      </c>
      <c r="T39" s="43" t="str">
        <f t="shared" si="2"/>
        <v>#DIV/0!</v>
      </c>
      <c r="U39" s="44" t="str">
        <f t="shared" si="3"/>
        <v>#DIV/0!</v>
      </c>
      <c r="V39" s="45"/>
      <c r="W39" s="45" t="str">
        <f t="shared" si="4"/>
        <v>#DIV/0!</v>
      </c>
      <c r="X39" s="46" t="str">
        <f t="shared" si="5"/>
        <v>#DIV/0!</v>
      </c>
      <c r="Y39" s="47"/>
      <c r="Z39" s="22">
        <v>1.0</v>
      </c>
      <c r="AA39" s="23" t="str">
        <f t="shared" si="6"/>
        <v>#DIV/0!</v>
      </c>
      <c r="AB39" s="60"/>
      <c r="AC39" s="60"/>
      <c r="AD39" s="60"/>
      <c r="AE39" s="60"/>
    </row>
    <row r="40" ht="14.25" customHeight="1">
      <c r="A40" s="18">
        <v>28.0</v>
      </c>
      <c r="B40" s="19" t="s">
        <v>833</v>
      </c>
      <c r="C40" s="20" t="s">
        <v>834</v>
      </c>
      <c r="D40" s="40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2" t="str">
        <f t="shared" si="1"/>
        <v>#DIV/0!</v>
      </c>
      <c r="T40" s="43" t="str">
        <f t="shared" si="2"/>
        <v>#DIV/0!</v>
      </c>
      <c r="U40" s="44" t="str">
        <f t="shared" si="3"/>
        <v>#DIV/0!</v>
      </c>
      <c r="V40" s="45"/>
      <c r="W40" s="45" t="str">
        <f t="shared" si="4"/>
        <v>#DIV/0!</v>
      </c>
      <c r="X40" s="46" t="str">
        <f t="shared" si="5"/>
        <v>#DIV/0!</v>
      </c>
      <c r="Y40" s="47"/>
      <c r="Z40" s="22">
        <v>1.0</v>
      </c>
      <c r="AA40" s="23" t="str">
        <f t="shared" si="6"/>
        <v>#DIV/0!</v>
      </c>
      <c r="AB40" s="60"/>
      <c r="AC40" s="60"/>
      <c r="AD40" s="60"/>
      <c r="AE40" s="60"/>
    </row>
    <row r="41" ht="14.25" customHeight="1">
      <c r="A41" s="18">
        <v>29.0</v>
      </c>
      <c r="B41" s="19" t="s">
        <v>835</v>
      </c>
      <c r="C41" s="20" t="s">
        <v>836</v>
      </c>
      <c r="D41" s="40"/>
      <c r="E41" s="4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2" t="str">
        <f t="shared" si="1"/>
        <v>#DIV/0!</v>
      </c>
      <c r="T41" s="43" t="str">
        <f t="shared" si="2"/>
        <v>#DIV/0!</v>
      </c>
      <c r="U41" s="44" t="str">
        <f t="shared" si="3"/>
        <v>#DIV/0!</v>
      </c>
      <c r="V41" s="45"/>
      <c r="W41" s="45" t="str">
        <f t="shared" si="4"/>
        <v>#DIV/0!</v>
      </c>
      <c r="X41" s="46" t="str">
        <f t="shared" si="5"/>
        <v>#DIV/0!</v>
      </c>
      <c r="Y41" s="47"/>
      <c r="Z41" s="22">
        <v>1.0</v>
      </c>
      <c r="AA41" s="23" t="str">
        <f t="shared" si="6"/>
        <v>#DIV/0!</v>
      </c>
      <c r="AB41" s="60"/>
      <c r="AC41" s="60"/>
      <c r="AD41" s="60"/>
      <c r="AE41" s="60"/>
    </row>
    <row r="42" ht="14.25" customHeight="1">
      <c r="A42" s="18">
        <v>30.0</v>
      </c>
      <c r="B42" s="19" t="s">
        <v>837</v>
      </c>
      <c r="C42" s="20" t="s">
        <v>838</v>
      </c>
      <c r="D42" s="40"/>
      <c r="E42" s="41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2" t="str">
        <f t="shared" si="1"/>
        <v>#DIV/0!</v>
      </c>
      <c r="T42" s="43" t="str">
        <f t="shared" si="2"/>
        <v>#DIV/0!</v>
      </c>
      <c r="U42" s="44" t="str">
        <f t="shared" si="3"/>
        <v>#DIV/0!</v>
      </c>
      <c r="V42" s="45"/>
      <c r="W42" s="45" t="str">
        <f t="shared" si="4"/>
        <v>#DIV/0!</v>
      </c>
      <c r="X42" s="46" t="str">
        <f t="shared" si="5"/>
        <v>#DIV/0!</v>
      </c>
      <c r="Y42" s="47"/>
      <c r="Z42" s="22">
        <v>1.0</v>
      </c>
      <c r="AA42" s="23" t="str">
        <f t="shared" si="6"/>
        <v>#DIV/0!</v>
      </c>
      <c r="AB42" s="60"/>
      <c r="AC42" s="60"/>
      <c r="AD42" s="60"/>
      <c r="AE42" s="60"/>
    </row>
    <row r="43" ht="14.25" customHeight="1">
      <c r="A43" s="18">
        <v>31.0</v>
      </c>
      <c r="B43" s="19" t="s">
        <v>839</v>
      </c>
      <c r="C43" s="20" t="s">
        <v>840</v>
      </c>
      <c r="D43" s="40"/>
      <c r="E43" s="41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2" t="str">
        <f t="shared" si="1"/>
        <v>#DIV/0!</v>
      </c>
      <c r="T43" s="43" t="str">
        <f t="shared" si="2"/>
        <v>#DIV/0!</v>
      </c>
      <c r="U43" s="44" t="str">
        <f t="shared" si="3"/>
        <v>#DIV/0!</v>
      </c>
      <c r="V43" s="45"/>
      <c r="W43" s="45" t="str">
        <f t="shared" si="4"/>
        <v>#DIV/0!</v>
      </c>
      <c r="X43" s="46" t="str">
        <f t="shared" si="5"/>
        <v>#DIV/0!</v>
      </c>
      <c r="Y43" s="47"/>
      <c r="Z43" s="22">
        <v>1.0</v>
      </c>
      <c r="AA43" s="23" t="str">
        <f t="shared" si="6"/>
        <v>#DIV/0!</v>
      </c>
      <c r="AB43" s="60"/>
      <c r="AC43" s="60"/>
      <c r="AD43" s="60"/>
      <c r="AE43" s="60"/>
    </row>
    <row r="44" ht="14.25" customHeight="1">
      <c r="A44" s="18">
        <v>32.0</v>
      </c>
      <c r="B44" s="19" t="s">
        <v>841</v>
      </c>
      <c r="C44" s="20" t="s">
        <v>842</v>
      </c>
      <c r="D44" s="40"/>
      <c r="E44" s="41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2" t="str">
        <f t="shared" si="1"/>
        <v>#DIV/0!</v>
      </c>
      <c r="T44" s="43" t="str">
        <f t="shared" si="2"/>
        <v>#DIV/0!</v>
      </c>
      <c r="U44" s="44" t="str">
        <f t="shared" si="3"/>
        <v>#DIV/0!</v>
      </c>
      <c r="V44" s="45"/>
      <c r="W44" s="45" t="str">
        <f t="shared" si="4"/>
        <v>#DIV/0!</v>
      </c>
      <c r="X44" s="46" t="str">
        <f t="shared" si="5"/>
        <v>#DIV/0!</v>
      </c>
      <c r="Y44" s="47"/>
      <c r="Z44" s="22">
        <v>1.0</v>
      </c>
      <c r="AA44" s="23" t="str">
        <f t="shared" si="6"/>
        <v>#DIV/0!</v>
      </c>
      <c r="AB44" s="60"/>
      <c r="AC44" s="60"/>
      <c r="AD44" s="60"/>
      <c r="AE44" s="60"/>
    </row>
    <row r="45" ht="14.25" customHeight="1">
      <c r="A45" s="18">
        <v>33.0</v>
      </c>
      <c r="B45" s="19" t="s">
        <v>843</v>
      </c>
      <c r="C45" s="20" t="s">
        <v>844</v>
      </c>
      <c r="D45" s="40"/>
      <c r="E45" s="41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2" t="str">
        <f t="shared" si="1"/>
        <v>#DIV/0!</v>
      </c>
      <c r="T45" s="43" t="str">
        <f t="shared" si="2"/>
        <v>#DIV/0!</v>
      </c>
      <c r="U45" s="44" t="str">
        <f t="shared" si="3"/>
        <v>#DIV/0!</v>
      </c>
      <c r="V45" s="45"/>
      <c r="W45" s="45" t="str">
        <f t="shared" si="4"/>
        <v>#DIV/0!</v>
      </c>
      <c r="X45" s="46" t="str">
        <f t="shared" si="5"/>
        <v>#DIV/0!</v>
      </c>
      <c r="Y45" s="47"/>
      <c r="Z45" s="22">
        <v>1.0</v>
      </c>
      <c r="AA45" s="23" t="str">
        <f t="shared" si="6"/>
        <v>#DIV/0!</v>
      </c>
      <c r="AB45" s="60"/>
      <c r="AC45" s="60"/>
      <c r="AD45" s="60"/>
      <c r="AE45" s="60"/>
    </row>
    <row r="46" ht="14.25" customHeight="1">
      <c r="A46" s="18">
        <v>34.0</v>
      </c>
      <c r="B46" s="19" t="s">
        <v>845</v>
      </c>
      <c r="C46" s="20" t="s">
        <v>846</v>
      </c>
      <c r="D46" s="40"/>
      <c r="E46" s="41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2" t="str">
        <f t="shared" si="1"/>
        <v>#DIV/0!</v>
      </c>
      <c r="T46" s="43" t="str">
        <f t="shared" si="2"/>
        <v>#DIV/0!</v>
      </c>
      <c r="U46" s="44" t="str">
        <f t="shared" si="3"/>
        <v>#DIV/0!</v>
      </c>
      <c r="V46" s="45"/>
      <c r="W46" s="45" t="str">
        <f t="shared" si="4"/>
        <v>#DIV/0!</v>
      </c>
      <c r="X46" s="46" t="str">
        <f t="shared" si="5"/>
        <v>#DIV/0!</v>
      </c>
      <c r="Y46" s="47"/>
      <c r="Z46" s="22">
        <v>1.0</v>
      </c>
      <c r="AA46" s="23" t="str">
        <f t="shared" si="6"/>
        <v>#DIV/0!</v>
      </c>
      <c r="AB46" s="60"/>
      <c r="AC46" s="60"/>
      <c r="AD46" s="60"/>
      <c r="AE46" s="60"/>
    </row>
    <row r="47" ht="14.25" customHeight="1">
      <c r="A47" s="18">
        <v>35.0</v>
      </c>
      <c r="B47" s="19" t="s">
        <v>847</v>
      </c>
      <c r="C47" s="20" t="s">
        <v>848</v>
      </c>
      <c r="D47" s="40"/>
      <c r="E47" s="41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2" t="str">
        <f t="shared" si="1"/>
        <v>#DIV/0!</v>
      </c>
      <c r="T47" s="43" t="str">
        <f t="shared" si="2"/>
        <v>#DIV/0!</v>
      </c>
      <c r="U47" s="44" t="str">
        <f t="shared" si="3"/>
        <v>#DIV/0!</v>
      </c>
      <c r="V47" s="45"/>
      <c r="W47" s="45" t="str">
        <f t="shared" si="4"/>
        <v>#DIV/0!</v>
      </c>
      <c r="X47" s="46" t="str">
        <f t="shared" si="5"/>
        <v>#DIV/0!</v>
      </c>
      <c r="Y47" s="47"/>
      <c r="Z47" s="22">
        <v>1.0</v>
      </c>
      <c r="AA47" s="23" t="str">
        <f t="shared" si="6"/>
        <v>#DIV/0!</v>
      </c>
      <c r="AB47" s="60"/>
      <c r="AC47" s="60"/>
      <c r="AD47" s="60"/>
      <c r="AE47" s="60"/>
    </row>
    <row r="48" ht="14.25" customHeight="1">
      <c r="A48" s="18">
        <v>36.0</v>
      </c>
      <c r="B48" s="19" t="s">
        <v>849</v>
      </c>
      <c r="C48" s="20" t="s">
        <v>850</v>
      </c>
      <c r="D48" s="40"/>
      <c r="E48" s="4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2" t="str">
        <f t="shared" si="1"/>
        <v>#DIV/0!</v>
      </c>
      <c r="T48" s="43" t="str">
        <f t="shared" si="2"/>
        <v>#DIV/0!</v>
      </c>
      <c r="U48" s="44" t="str">
        <f t="shared" si="3"/>
        <v>#DIV/0!</v>
      </c>
      <c r="V48" s="45"/>
      <c r="W48" s="45" t="str">
        <f t="shared" si="4"/>
        <v>#DIV/0!</v>
      </c>
      <c r="X48" s="46" t="str">
        <f t="shared" si="5"/>
        <v>#DIV/0!</v>
      </c>
      <c r="Y48" s="47"/>
      <c r="Z48" s="22">
        <v>1.0</v>
      </c>
      <c r="AA48" s="23" t="str">
        <f t="shared" si="6"/>
        <v>#DIV/0!</v>
      </c>
      <c r="AB48" s="60"/>
      <c r="AC48" s="60"/>
      <c r="AD48" s="60"/>
      <c r="AE48" s="60"/>
    </row>
    <row r="49" ht="14.25" customHeight="1">
      <c r="A49" s="18">
        <v>37.0</v>
      </c>
      <c r="B49" s="19" t="s">
        <v>851</v>
      </c>
      <c r="C49" s="20" t="s">
        <v>852</v>
      </c>
      <c r="D49" s="40"/>
      <c r="E49" s="41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2" t="str">
        <f t="shared" si="1"/>
        <v>#DIV/0!</v>
      </c>
      <c r="T49" s="43" t="str">
        <f t="shared" si="2"/>
        <v>#DIV/0!</v>
      </c>
      <c r="U49" s="44" t="str">
        <f t="shared" si="3"/>
        <v>#DIV/0!</v>
      </c>
      <c r="V49" s="45"/>
      <c r="W49" s="45" t="str">
        <f t="shared" si="4"/>
        <v>#DIV/0!</v>
      </c>
      <c r="X49" s="46" t="str">
        <f t="shared" si="5"/>
        <v>#DIV/0!</v>
      </c>
      <c r="Y49" s="47"/>
      <c r="Z49" s="22">
        <v>1.0</v>
      </c>
      <c r="AA49" s="23" t="str">
        <f t="shared" si="6"/>
        <v>#DIV/0!</v>
      </c>
      <c r="AB49" s="60"/>
      <c r="AC49" s="60"/>
      <c r="AE49" s="60"/>
    </row>
    <row r="50" ht="14.25" customHeight="1">
      <c r="A50" s="18">
        <v>38.0</v>
      </c>
      <c r="B50" s="19" t="s">
        <v>853</v>
      </c>
      <c r="C50" s="20" t="s">
        <v>854</v>
      </c>
      <c r="D50" s="57"/>
      <c r="E50" s="41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42" t="str">
        <f t="shared" si="1"/>
        <v>#DIV/0!</v>
      </c>
      <c r="T50" s="43" t="str">
        <f t="shared" si="2"/>
        <v>#DIV/0!</v>
      </c>
      <c r="U50" s="44" t="str">
        <f t="shared" si="3"/>
        <v>#DIV/0!</v>
      </c>
      <c r="V50" s="45"/>
      <c r="W50" s="45" t="str">
        <f t="shared" si="4"/>
        <v>#DIV/0!</v>
      </c>
      <c r="X50" s="46" t="str">
        <f t="shared" si="5"/>
        <v>#DIV/0!</v>
      </c>
      <c r="Y50" s="47"/>
      <c r="Z50" s="22"/>
      <c r="AA50" s="23" t="str">
        <f t="shared" si="6"/>
        <v>#DIV/0!</v>
      </c>
    </row>
    <row r="51" ht="14.25" customHeight="1">
      <c r="A51" s="18">
        <v>39.0</v>
      </c>
      <c r="B51" s="19" t="s">
        <v>855</v>
      </c>
      <c r="C51" s="20" t="s">
        <v>856</v>
      </c>
      <c r="D51" s="57"/>
      <c r="E51" s="41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42" t="str">
        <f t="shared" si="1"/>
        <v>#DIV/0!</v>
      </c>
      <c r="T51" s="43" t="str">
        <f t="shared" si="2"/>
        <v>#DIV/0!</v>
      </c>
      <c r="U51" s="44" t="str">
        <f t="shared" si="3"/>
        <v>#DIV/0!</v>
      </c>
      <c r="V51" s="45"/>
      <c r="W51" s="45" t="str">
        <f t="shared" si="4"/>
        <v>#DIV/0!</v>
      </c>
      <c r="X51" s="46" t="str">
        <f t="shared" si="5"/>
        <v>#DIV/0!</v>
      </c>
      <c r="Y51" s="47"/>
      <c r="Z51" s="22"/>
      <c r="AA51" s="23" t="str">
        <f t="shared" si="6"/>
        <v>#DIV/0!</v>
      </c>
    </row>
    <row r="52" ht="14.25" customHeight="1">
      <c r="A52" s="18">
        <v>40.0</v>
      </c>
      <c r="B52" s="19" t="s">
        <v>857</v>
      </c>
      <c r="C52" s="20" t="s">
        <v>858</v>
      </c>
      <c r="D52" s="57"/>
      <c r="E52" s="41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42" t="str">
        <f t="shared" si="1"/>
        <v>#DIV/0!</v>
      </c>
      <c r="T52" s="43" t="str">
        <f t="shared" si="2"/>
        <v>#DIV/0!</v>
      </c>
      <c r="U52" s="44" t="str">
        <f t="shared" si="3"/>
        <v>#DIV/0!</v>
      </c>
      <c r="V52" s="45"/>
      <c r="W52" s="45" t="str">
        <f t="shared" si="4"/>
        <v>#DIV/0!</v>
      </c>
      <c r="X52" s="46" t="str">
        <f t="shared" si="5"/>
        <v>#DIV/0!</v>
      </c>
      <c r="Y52" s="47"/>
      <c r="Z52" s="22"/>
      <c r="AA52" s="23" t="str">
        <f t="shared" si="6"/>
        <v>#DIV/0!</v>
      </c>
    </row>
    <row r="53" ht="14.25" customHeight="1">
      <c r="A53" s="18">
        <v>41.0</v>
      </c>
      <c r="B53" s="19" t="s">
        <v>859</v>
      </c>
      <c r="C53" s="20" t="s">
        <v>860</v>
      </c>
      <c r="D53" s="57"/>
      <c r="E53" s="41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42" t="str">
        <f t="shared" si="1"/>
        <v>#DIV/0!</v>
      </c>
      <c r="T53" s="43" t="str">
        <f t="shared" si="2"/>
        <v>#DIV/0!</v>
      </c>
      <c r="U53" s="44" t="str">
        <f t="shared" si="3"/>
        <v>#DIV/0!</v>
      </c>
      <c r="V53" s="45"/>
      <c r="W53" s="45" t="str">
        <f t="shared" si="4"/>
        <v>#DIV/0!</v>
      </c>
      <c r="X53" s="46" t="str">
        <f t="shared" si="5"/>
        <v>#DIV/0!</v>
      </c>
      <c r="Y53" s="47"/>
      <c r="Z53" s="22"/>
      <c r="AA53" s="23" t="str">
        <f t="shared" si="6"/>
        <v>#DIV/0!</v>
      </c>
    </row>
    <row r="54" ht="14.25" customHeight="1">
      <c r="A54" s="18">
        <v>42.0</v>
      </c>
      <c r="B54" s="19" t="s">
        <v>861</v>
      </c>
      <c r="C54" s="20" t="s">
        <v>862</v>
      </c>
      <c r="D54" s="57"/>
      <c r="E54" s="41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42" t="str">
        <f t="shared" si="1"/>
        <v>#DIV/0!</v>
      </c>
      <c r="T54" s="43" t="str">
        <f t="shared" si="2"/>
        <v>#DIV/0!</v>
      </c>
      <c r="U54" s="44" t="str">
        <f t="shared" si="3"/>
        <v>#DIV/0!</v>
      </c>
      <c r="V54" s="45"/>
      <c r="W54" s="45" t="str">
        <f t="shared" si="4"/>
        <v>#DIV/0!</v>
      </c>
      <c r="X54" s="46" t="str">
        <f t="shared" si="5"/>
        <v>#DIV/0!</v>
      </c>
      <c r="Y54" s="47"/>
      <c r="Z54" s="22"/>
      <c r="AA54" s="23" t="str">
        <f t="shared" si="6"/>
        <v>#DIV/0!</v>
      </c>
    </row>
    <row r="55" ht="14.25" customHeight="1">
      <c r="A55" s="18">
        <v>43.0</v>
      </c>
      <c r="B55" s="19" t="s">
        <v>863</v>
      </c>
      <c r="C55" s="20" t="s">
        <v>864</v>
      </c>
      <c r="D55" s="57"/>
      <c r="E55" s="41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42" t="str">
        <f t="shared" si="1"/>
        <v>#DIV/0!</v>
      </c>
      <c r="T55" s="43" t="str">
        <f t="shared" si="2"/>
        <v>#DIV/0!</v>
      </c>
      <c r="U55" s="44" t="str">
        <f t="shared" si="3"/>
        <v>#DIV/0!</v>
      </c>
      <c r="V55" s="45"/>
      <c r="W55" s="45" t="str">
        <f t="shared" si="4"/>
        <v>#DIV/0!</v>
      </c>
      <c r="X55" s="46" t="str">
        <f t="shared" si="5"/>
        <v>#DIV/0!</v>
      </c>
      <c r="Y55" s="47"/>
      <c r="Z55" s="22"/>
      <c r="AA55" s="23" t="str">
        <f t="shared" si="6"/>
        <v>#DIV/0!</v>
      </c>
    </row>
    <row r="56" ht="14.25" customHeight="1">
      <c r="A56" s="18">
        <v>44.0</v>
      </c>
      <c r="B56" s="19" t="s">
        <v>865</v>
      </c>
      <c r="C56" s="20" t="s">
        <v>866</v>
      </c>
      <c r="D56" s="57"/>
      <c r="E56" s="41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42" t="str">
        <f t="shared" si="1"/>
        <v>#DIV/0!</v>
      </c>
      <c r="T56" s="43" t="str">
        <f t="shared" si="2"/>
        <v>#DIV/0!</v>
      </c>
      <c r="U56" s="44" t="str">
        <f t="shared" si="3"/>
        <v>#DIV/0!</v>
      </c>
      <c r="V56" s="45"/>
      <c r="W56" s="45" t="str">
        <f t="shared" si="4"/>
        <v>#DIV/0!</v>
      </c>
      <c r="X56" s="46" t="str">
        <f t="shared" si="5"/>
        <v>#DIV/0!</v>
      </c>
      <c r="Y56" s="47"/>
      <c r="Z56" s="22"/>
      <c r="AA56" s="23" t="str">
        <f t="shared" si="6"/>
        <v>#DIV/0!</v>
      </c>
    </row>
    <row r="57" ht="14.25" customHeight="1">
      <c r="A57" s="18">
        <v>45.0</v>
      </c>
      <c r="B57" s="19" t="s">
        <v>867</v>
      </c>
      <c r="C57" s="20" t="s">
        <v>868</v>
      </c>
      <c r="D57" s="57"/>
      <c r="E57" s="41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42" t="str">
        <f t="shared" si="1"/>
        <v>#DIV/0!</v>
      </c>
      <c r="T57" s="43" t="str">
        <f t="shared" si="2"/>
        <v>#DIV/0!</v>
      </c>
      <c r="U57" s="44" t="str">
        <f t="shared" si="3"/>
        <v>#DIV/0!</v>
      </c>
      <c r="V57" s="45"/>
      <c r="W57" s="45" t="str">
        <f t="shared" si="4"/>
        <v>#DIV/0!</v>
      </c>
      <c r="X57" s="46" t="str">
        <f t="shared" si="5"/>
        <v>#DIV/0!</v>
      </c>
      <c r="Y57" s="47"/>
      <c r="Z57" s="22"/>
      <c r="AA57" s="23" t="str">
        <f t="shared" si="6"/>
        <v>#DIV/0!</v>
      </c>
    </row>
    <row r="58" ht="14.25" customHeight="1"/>
    <row r="59" ht="14.25" customHeight="1"/>
    <row r="60" ht="14.25" customHeight="1">
      <c r="Y60" s="47" t="s">
        <v>109</v>
      </c>
      <c r="Z60" s="57"/>
      <c r="AA60" s="23" t="str">
        <f>MAX(AA13:AA49)</f>
        <v>#DIV/0!</v>
      </c>
    </row>
    <row r="61" ht="14.25" customHeight="1">
      <c r="Y61" s="47" t="s">
        <v>110</v>
      </c>
      <c r="Z61" s="57"/>
      <c r="AA61" s="57" t="str">
        <f>MIN(AA13:AA49)</f>
        <v>#DIV/0!</v>
      </c>
    </row>
    <row r="62" ht="14.25" customHeight="1">
      <c r="Y62" s="47" t="s">
        <v>111</v>
      </c>
      <c r="Z62" s="57"/>
      <c r="AA62" s="57" t="str">
        <f>AVERAGE(AA13:AA49)</f>
        <v>#DIV/0!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D11:H11"/>
    <mergeCell ref="I11:M11"/>
    <mergeCell ref="N11:R11"/>
    <mergeCell ref="S11:U11"/>
    <mergeCell ref="V11:V12"/>
    <mergeCell ref="W11:W12"/>
    <mergeCell ref="X11:X12"/>
    <mergeCell ref="Y11:Y12"/>
    <mergeCell ref="Z11:Z12"/>
    <mergeCell ref="AA11:AA12"/>
    <mergeCell ref="A1:AA1"/>
    <mergeCell ref="A3:AA3"/>
    <mergeCell ref="A4:AA4"/>
    <mergeCell ref="A10:A12"/>
    <mergeCell ref="B10:B12"/>
    <mergeCell ref="C10:C12"/>
    <mergeCell ref="D10:AA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9.86"/>
    <col customWidth="1" min="3" max="3" width="32.86"/>
    <col customWidth="1" min="4" max="18" width="3.57"/>
    <col customWidth="1" min="19" max="19" width="4.71"/>
    <col customWidth="1" min="20" max="21" width="4.57"/>
    <col customWidth="1" min="22" max="22" width="5.14"/>
    <col customWidth="1" min="23" max="23" width="5.29"/>
    <col customWidth="1" min="24" max="24" width="5.14"/>
    <col customWidth="1" min="25" max="25" width="4.86"/>
    <col customWidth="1" min="26" max="26" width="5.43"/>
    <col customWidth="1" min="27" max="28" width="5.14"/>
    <col customWidth="1" min="29" max="29" width="7.0"/>
    <col customWidth="1" min="30" max="30" width="8.71"/>
    <col customWidth="1" min="31" max="31" width="6.0"/>
  </cols>
  <sheetData>
    <row r="1" ht="78.0" customHeight="1">
      <c r="A1" s="1" t="s">
        <v>869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0" customHeight="1"/>
    <row r="3" ht="14.25" customHeight="1">
      <c r="A3" s="3" t="s">
        <v>1</v>
      </c>
    </row>
    <row r="4" ht="14.25" customHeight="1">
      <c r="A4" s="3" t="s">
        <v>2</v>
      </c>
    </row>
    <row r="5" ht="3.75" customHeight="1">
      <c r="B5" s="4"/>
      <c r="D5" s="4"/>
      <c r="E5" s="4"/>
    </row>
    <row r="6" ht="14.25" customHeight="1">
      <c r="A6" s="4" t="s">
        <v>3</v>
      </c>
      <c r="C6" s="5" t="s">
        <v>4</v>
      </c>
      <c r="E6" s="5"/>
    </row>
    <row r="7" ht="14.25" customHeight="1">
      <c r="A7" s="4" t="s">
        <v>5</v>
      </c>
      <c r="C7" s="5" t="s">
        <v>870</v>
      </c>
      <c r="E7" s="5"/>
    </row>
    <row r="8" ht="14.25" customHeight="1">
      <c r="A8" s="4" t="s">
        <v>7</v>
      </c>
      <c r="C8" s="5" t="s">
        <v>8</v>
      </c>
      <c r="E8" s="5"/>
    </row>
    <row r="9" ht="14.25" customHeight="1">
      <c r="E9" s="5"/>
    </row>
    <row r="10" ht="14.25" customHeight="1">
      <c r="A10" s="6" t="s">
        <v>9</v>
      </c>
      <c r="B10" s="6" t="s">
        <v>10</v>
      </c>
      <c r="C10" s="7" t="s">
        <v>11</v>
      </c>
      <c r="D10" s="8" t="s">
        <v>114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ht="29.25" customHeight="1">
      <c r="A11" s="11"/>
      <c r="B11" s="11"/>
      <c r="C11" s="11"/>
      <c r="D11" s="27"/>
      <c r="E11" s="9"/>
      <c r="F11" s="9"/>
      <c r="G11" s="9"/>
      <c r="H11" s="10"/>
      <c r="I11" s="27"/>
      <c r="J11" s="9"/>
      <c r="K11" s="9"/>
      <c r="L11" s="9"/>
      <c r="M11" s="10"/>
      <c r="N11" s="27"/>
      <c r="O11" s="9"/>
      <c r="P11" s="9"/>
      <c r="Q11" s="9"/>
      <c r="R11" s="10"/>
      <c r="S11" s="28" t="s">
        <v>115</v>
      </c>
      <c r="T11" s="9"/>
      <c r="U11" s="10"/>
      <c r="V11" s="29" t="s">
        <v>116</v>
      </c>
      <c r="W11" s="30" t="s">
        <v>117</v>
      </c>
      <c r="X11" s="31" t="s">
        <v>118</v>
      </c>
      <c r="Y11" s="32" t="s">
        <v>119</v>
      </c>
      <c r="Z11" s="13" t="s">
        <v>13</v>
      </c>
      <c r="AA11" s="14" t="s">
        <v>14</v>
      </c>
    </row>
    <row r="12" ht="15.75" customHeight="1">
      <c r="A12" s="15"/>
      <c r="B12" s="15"/>
      <c r="C12" s="15"/>
      <c r="D12" s="33">
        <v>1.0</v>
      </c>
      <c r="E12" s="34">
        <v>2.0</v>
      </c>
      <c r="F12" s="34">
        <v>3.0</v>
      </c>
      <c r="G12" s="34">
        <v>4.0</v>
      </c>
      <c r="H12" s="35">
        <v>5.0</v>
      </c>
      <c r="I12" s="35">
        <v>1.0</v>
      </c>
      <c r="J12" s="35">
        <v>2.0</v>
      </c>
      <c r="K12" s="35">
        <v>3.0</v>
      </c>
      <c r="L12" s="35">
        <v>4.0</v>
      </c>
      <c r="M12" s="35">
        <v>5.0</v>
      </c>
      <c r="N12" s="35">
        <v>1.0</v>
      </c>
      <c r="O12" s="35">
        <v>2.0</v>
      </c>
      <c r="P12" s="35">
        <v>3.0</v>
      </c>
      <c r="Q12" s="35">
        <v>4.0</v>
      </c>
      <c r="R12" s="35">
        <v>5.0</v>
      </c>
      <c r="S12" s="36" t="s">
        <v>120</v>
      </c>
      <c r="T12" s="37" t="s">
        <v>121</v>
      </c>
      <c r="U12" s="38" t="s">
        <v>122</v>
      </c>
      <c r="V12" s="15"/>
      <c r="W12" s="39"/>
      <c r="X12" s="16"/>
      <c r="Y12" s="16"/>
      <c r="Z12" s="16"/>
      <c r="AA12" s="17"/>
    </row>
    <row r="13" ht="14.25" customHeight="1">
      <c r="A13" s="18">
        <v>1.0</v>
      </c>
      <c r="B13" s="19" t="s">
        <v>871</v>
      </c>
      <c r="C13" s="20" t="s">
        <v>872</v>
      </c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2" t="str">
        <f t="shared" ref="S13:S58" si="1">AVERAGE(D13:H13)</f>
        <v>#DIV/0!</v>
      </c>
      <c r="T13" s="43" t="str">
        <f t="shared" ref="T13:T58" si="2">AVERAGE(I13:M13)</f>
        <v>#DIV/0!</v>
      </c>
      <c r="U13" s="44" t="str">
        <f t="shared" ref="U13:U58" si="3">AVERAGE(N13:R13)</f>
        <v>#DIV/0!</v>
      </c>
      <c r="V13" s="45"/>
      <c r="W13" s="45" t="str">
        <f t="shared" ref="W13:W58" si="4">AVERAGE(S13:U13)</f>
        <v>#DIV/0!</v>
      </c>
      <c r="X13" s="46" t="str">
        <f t="shared" ref="X13:X58" si="5">ROUND(AVERAGE(V13:W13),0)</f>
        <v>#DIV/0!</v>
      </c>
      <c r="Y13" s="47"/>
      <c r="Z13" s="22">
        <v>1.0</v>
      </c>
      <c r="AA13" s="23" t="str">
        <f t="shared" ref="AA13:AA58" si="6">ROUND(IF((X13*(IF(Y13="A",105%,IF(Y13="B",102%,IF(Y13="C",75%,50%))))*Z13)&gt;100,100,(X13*(IF(Y13="A",105%,IF(Y13="B",102%,IF(Y13="C",75%,50%))))*Z13)),0)</f>
        <v>#DIV/0!</v>
      </c>
      <c r="AB13" s="60"/>
      <c r="AC13" s="60"/>
      <c r="AD13" s="60"/>
      <c r="AE13" s="60"/>
    </row>
    <row r="14" ht="14.25" customHeight="1">
      <c r="A14" s="18">
        <v>2.0</v>
      </c>
      <c r="B14" s="19" t="s">
        <v>873</v>
      </c>
      <c r="C14" s="20" t="s">
        <v>874</v>
      </c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 t="str">
        <f t="shared" si="1"/>
        <v>#DIV/0!</v>
      </c>
      <c r="T14" s="43" t="str">
        <f t="shared" si="2"/>
        <v>#DIV/0!</v>
      </c>
      <c r="U14" s="44" t="str">
        <f t="shared" si="3"/>
        <v>#DIV/0!</v>
      </c>
      <c r="V14" s="45"/>
      <c r="W14" s="45" t="str">
        <f t="shared" si="4"/>
        <v>#DIV/0!</v>
      </c>
      <c r="X14" s="46" t="str">
        <f t="shared" si="5"/>
        <v>#DIV/0!</v>
      </c>
      <c r="Y14" s="47"/>
      <c r="Z14" s="22">
        <v>1.0</v>
      </c>
      <c r="AA14" s="23" t="str">
        <f t="shared" si="6"/>
        <v>#DIV/0!</v>
      </c>
      <c r="AB14" s="60"/>
      <c r="AC14" s="60"/>
      <c r="AD14" s="60"/>
      <c r="AE14" s="60"/>
    </row>
    <row r="15" ht="14.25" customHeight="1">
      <c r="A15" s="18">
        <v>3.0</v>
      </c>
      <c r="B15" s="19" t="s">
        <v>875</v>
      </c>
      <c r="C15" s="20" t="s">
        <v>876</v>
      </c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2" t="str">
        <f t="shared" si="1"/>
        <v>#DIV/0!</v>
      </c>
      <c r="T15" s="43" t="str">
        <f t="shared" si="2"/>
        <v>#DIV/0!</v>
      </c>
      <c r="U15" s="44" t="str">
        <f t="shared" si="3"/>
        <v>#DIV/0!</v>
      </c>
      <c r="V15" s="45"/>
      <c r="W15" s="45" t="str">
        <f t="shared" si="4"/>
        <v>#DIV/0!</v>
      </c>
      <c r="X15" s="46" t="str">
        <f t="shared" si="5"/>
        <v>#DIV/0!</v>
      </c>
      <c r="Y15" s="47"/>
      <c r="Z15" s="22">
        <v>1.0</v>
      </c>
      <c r="AA15" s="23" t="str">
        <f t="shared" si="6"/>
        <v>#DIV/0!</v>
      </c>
      <c r="AB15" s="60"/>
      <c r="AC15" s="60"/>
      <c r="AD15" s="60"/>
      <c r="AE15" s="60"/>
    </row>
    <row r="16" ht="14.25" customHeight="1">
      <c r="A16" s="18">
        <v>4.0</v>
      </c>
      <c r="B16" s="19" t="s">
        <v>877</v>
      </c>
      <c r="C16" s="20" t="s">
        <v>878</v>
      </c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 t="str">
        <f t="shared" si="1"/>
        <v>#DIV/0!</v>
      </c>
      <c r="T16" s="43" t="str">
        <f t="shared" si="2"/>
        <v>#DIV/0!</v>
      </c>
      <c r="U16" s="44" t="str">
        <f t="shared" si="3"/>
        <v>#DIV/0!</v>
      </c>
      <c r="V16" s="45"/>
      <c r="W16" s="45" t="str">
        <f t="shared" si="4"/>
        <v>#DIV/0!</v>
      </c>
      <c r="X16" s="46" t="str">
        <f t="shared" si="5"/>
        <v>#DIV/0!</v>
      </c>
      <c r="Y16" s="47"/>
      <c r="Z16" s="22">
        <v>1.0</v>
      </c>
      <c r="AA16" s="23" t="str">
        <f t="shared" si="6"/>
        <v>#DIV/0!</v>
      </c>
      <c r="AB16" s="60"/>
      <c r="AC16" s="60"/>
      <c r="AD16" s="60"/>
      <c r="AE16" s="60"/>
    </row>
    <row r="17" ht="14.25" customHeight="1">
      <c r="A17" s="18">
        <v>5.0</v>
      </c>
      <c r="B17" s="19" t="s">
        <v>879</v>
      </c>
      <c r="C17" s="20" t="s">
        <v>880</v>
      </c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 t="str">
        <f t="shared" si="1"/>
        <v>#DIV/0!</v>
      </c>
      <c r="T17" s="43" t="str">
        <f t="shared" si="2"/>
        <v>#DIV/0!</v>
      </c>
      <c r="U17" s="44" t="str">
        <f t="shared" si="3"/>
        <v>#DIV/0!</v>
      </c>
      <c r="V17" s="45"/>
      <c r="W17" s="45" t="str">
        <f t="shared" si="4"/>
        <v>#DIV/0!</v>
      </c>
      <c r="X17" s="46" t="str">
        <f t="shared" si="5"/>
        <v>#DIV/0!</v>
      </c>
      <c r="Y17" s="47"/>
      <c r="Z17" s="22">
        <v>1.0</v>
      </c>
      <c r="AA17" s="23" t="str">
        <f t="shared" si="6"/>
        <v>#DIV/0!</v>
      </c>
      <c r="AB17" s="60"/>
      <c r="AC17" s="60"/>
      <c r="AD17" s="60"/>
      <c r="AE17" s="60"/>
    </row>
    <row r="18" ht="14.25" customHeight="1">
      <c r="A18" s="18">
        <v>6.0</v>
      </c>
      <c r="B18" s="19" t="s">
        <v>881</v>
      </c>
      <c r="C18" s="20" t="s">
        <v>882</v>
      </c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2" t="str">
        <f t="shared" si="1"/>
        <v>#DIV/0!</v>
      </c>
      <c r="T18" s="43" t="str">
        <f t="shared" si="2"/>
        <v>#DIV/0!</v>
      </c>
      <c r="U18" s="44" t="str">
        <f t="shared" si="3"/>
        <v>#DIV/0!</v>
      </c>
      <c r="V18" s="45"/>
      <c r="W18" s="45" t="str">
        <f t="shared" si="4"/>
        <v>#DIV/0!</v>
      </c>
      <c r="X18" s="46" t="str">
        <f t="shared" si="5"/>
        <v>#DIV/0!</v>
      </c>
      <c r="Y18" s="47"/>
      <c r="Z18" s="22">
        <v>1.0</v>
      </c>
      <c r="AA18" s="23" t="str">
        <f t="shared" si="6"/>
        <v>#DIV/0!</v>
      </c>
      <c r="AB18" s="60"/>
      <c r="AC18" s="60"/>
      <c r="AD18" s="60"/>
      <c r="AE18" s="60"/>
    </row>
    <row r="19" ht="14.25" customHeight="1">
      <c r="A19" s="18">
        <v>7.0</v>
      </c>
      <c r="B19" s="19" t="s">
        <v>883</v>
      </c>
      <c r="C19" s="20" t="s">
        <v>884</v>
      </c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2" t="str">
        <f t="shared" si="1"/>
        <v>#DIV/0!</v>
      </c>
      <c r="T19" s="43" t="str">
        <f t="shared" si="2"/>
        <v>#DIV/0!</v>
      </c>
      <c r="U19" s="44" t="str">
        <f t="shared" si="3"/>
        <v>#DIV/0!</v>
      </c>
      <c r="V19" s="45"/>
      <c r="W19" s="45" t="str">
        <f t="shared" si="4"/>
        <v>#DIV/0!</v>
      </c>
      <c r="X19" s="46" t="str">
        <f t="shared" si="5"/>
        <v>#DIV/0!</v>
      </c>
      <c r="Y19" s="47"/>
      <c r="Z19" s="22">
        <v>1.0</v>
      </c>
      <c r="AA19" s="23" t="str">
        <f t="shared" si="6"/>
        <v>#DIV/0!</v>
      </c>
      <c r="AB19" s="60"/>
      <c r="AC19" s="60"/>
      <c r="AD19" s="60"/>
      <c r="AE19" s="60"/>
    </row>
    <row r="20" ht="14.25" customHeight="1">
      <c r="A20" s="18">
        <v>8.0</v>
      </c>
      <c r="B20" s="19" t="s">
        <v>885</v>
      </c>
      <c r="C20" s="20" t="s">
        <v>886</v>
      </c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2" t="str">
        <f t="shared" si="1"/>
        <v>#DIV/0!</v>
      </c>
      <c r="T20" s="43" t="str">
        <f t="shared" si="2"/>
        <v>#DIV/0!</v>
      </c>
      <c r="U20" s="44" t="str">
        <f t="shared" si="3"/>
        <v>#DIV/0!</v>
      </c>
      <c r="V20" s="45"/>
      <c r="W20" s="45" t="str">
        <f t="shared" si="4"/>
        <v>#DIV/0!</v>
      </c>
      <c r="X20" s="46" t="str">
        <f t="shared" si="5"/>
        <v>#DIV/0!</v>
      </c>
      <c r="Y20" s="47"/>
      <c r="Z20" s="22">
        <v>1.0</v>
      </c>
      <c r="AA20" s="23" t="str">
        <f t="shared" si="6"/>
        <v>#DIV/0!</v>
      </c>
      <c r="AB20" s="60"/>
      <c r="AC20" s="60"/>
      <c r="AD20" s="60"/>
      <c r="AE20" s="60"/>
    </row>
    <row r="21" ht="14.25" customHeight="1">
      <c r="A21" s="18">
        <v>9.0</v>
      </c>
      <c r="B21" s="19" t="s">
        <v>887</v>
      </c>
      <c r="C21" s="20" t="s">
        <v>888</v>
      </c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2" t="str">
        <f t="shared" si="1"/>
        <v>#DIV/0!</v>
      </c>
      <c r="T21" s="43" t="str">
        <f t="shared" si="2"/>
        <v>#DIV/0!</v>
      </c>
      <c r="U21" s="44" t="str">
        <f t="shared" si="3"/>
        <v>#DIV/0!</v>
      </c>
      <c r="V21" s="45"/>
      <c r="W21" s="45" t="str">
        <f t="shared" si="4"/>
        <v>#DIV/0!</v>
      </c>
      <c r="X21" s="46" t="str">
        <f t="shared" si="5"/>
        <v>#DIV/0!</v>
      </c>
      <c r="Y21" s="47"/>
      <c r="Z21" s="22">
        <v>1.0</v>
      </c>
      <c r="AA21" s="23" t="str">
        <f t="shared" si="6"/>
        <v>#DIV/0!</v>
      </c>
      <c r="AB21" s="60"/>
      <c r="AC21" s="60"/>
      <c r="AD21" s="60"/>
      <c r="AE21" s="60"/>
    </row>
    <row r="22" ht="14.25" customHeight="1">
      <c r="A22" s="18">
        <v>10.0</v>
      </c>
      <c r="B22" s="19" t="s">
        <v>889</v>
      </c>
      <c r="C22" s="20" t="s">
        <v>890</v>
      </c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2" t="str">
        <f t="shared" si="1"/>
        <v>#DIV/0!</v>
      </c>
      <c r="T22" s="43" t="str">
        <f t="shared" si="2"/>
        <v>#DIV/0!</v>
      </c>
      <c r="U22" s="44" t="str">
        <f t="shared" si="3"/>
        <v>#DIV/0!</v>
      </c>
      <c r="V22" s="45"/>
      <c r="W22" s="45" t="str">
        <f t="shared" si="4"/>
        <v>#DIV/0!</v>
      </c>
      <c r="X22" s="46" t="str">
        <f t="shared" si="5"/>
        <v>#DIV/0!</v>
      </c>
      <c r="Y22" s="47"/>
      <c r="Z22" s="22">
        <v>1.0</v>
      </c>
      <c r="AA22" s="23" t="str">
        <f t="shared" si="6"/>
        <v>#DIV/0!</v>
      </c>
      <c r="AB22" s="60"/>
      <c r="AC22" s="60"/>
      <c r="AD22" s="60"/>
      <c r="AE22" s="60"/>
    </row>
    <row r="23" ht="14.25" customHeight="1">
      <c r="A23" s="18">
        <v>11.0</v>
      </c>
      <c r="B23" s="19" t="s">
        <v>891</v>
      </c>
      <c r="C23" s="20" t="s">
        <v>892</v>
      </c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 t="str">
        <f t="shared" si="1"/>
        <v>#DIV/0!</v>
      </c>
      <c r="T23" s="43" t="str">
        <f t="shared" si="2"/>
        <v>#DIV/0!</v>
      </c>
      <c r="U23" s="44" t="str">
        <f t="shared" si="3"/>
        <v>#DIV/0!</v>
      </c>
      <c r="V23" s="45"/>
      <c r="W23" s="45" t="str">
        <f t="shared" si="4"/>
        <v>#DIV/0!</v>
      </c>
      <c r="X23" s="46" t="str">
        <f t="shared" si="5"/>
        <v>#DIV/0!</v>
      </c>
      <c r="Y23" s="47"/>
      <c r="Z23" s="22">
        <v>1.0</v>
      </c>
      <c r="AA23" s="23" t="str">
        <f t="shared" si="6"/>
        <v>#DIV/0!</v>
      </c>
      <c r="AB23" s="60"/>
      <c r="AC23" s="60"/>
      <c r="AD23" s="60"/>
      <c r="AE23" s="60"/>
    </row>
    <row r="24" ht="14.25" customHeight="1">
      <c r="A24" s="18">
        <v>12.0</v>
      </c>
      <c r="B24" s="19" t="s">
        <v>893</v>
      </c>
      <c r="C24" s="20" t="s">
        <v>894</v>
      </c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 t="str">
        <f t="shared" si="1"/>
        <v>#DIV/0!</v>
      </c>
      <c r="T24" s="43" t="str">
        <f t="shared" si="2"/>
        <v>#DIV/0!</v>
      </c>
      <c r="U24" s="44" t="str">
        <f t="shared" si="3"/>
        <v>#DIV/0!</v>
      </c>
      <c r="V24" s="45"/>
      <c r="W24" s="45" t="str">
        <f t="shared" si="4"/>
        <v>#DIV/0!</v>
      </c>
      <c r="X24" s="46" t="str">
        <f t="shared" si="5"/>
        <v>#DIV/0!</v>
      </c>
      <c r="Y24" s="47"/>
      <c r="Z24" s="22">
        <v>1.0</v>
      </c>
      <c r="AA24" s="23" t="str">
        <f t="shared" si="6"/>
        <v>#DIV/0!</v>
      </c>
      <c r="AB24" s="60"/>
      <c r="AC24" s="60"/>
      <c r="AD24" s="60"/>
      <c r="AE24" s="60"/>
    </row>
    <row r="25" ht="14.25" customHeight="1">
      <c r="A25" s="18">
        <v>13.0</v>
      </c>
      <c r="B25" s="19" t="s">
        <v>895</v>
      </c>
      <c r="C25" s="20" t="s">
        <v>896</v>
      </c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 t="str">
        <f t="shared" si="1"/>
        <v>#DIV/0!</v>
      </c>
      <c r="T25" s="43" t="str">
        <f t="shared" si="2"/>
        <v>#DIV/0!</v>
      </c>
      <c r="U25" s="44" t="str">
        <f t="shared" si="3"/>
        <v>#DIV/0!</v>
      </c>
      <c r="V25" s="45"/>
      <c r="W25" s="45" t="str">
        <f t="shared" si="4"/>
        <v>#DIV/0!</v>
      </c>
      <c r="X25" s="46" t="str">
        <f t="shared" si="5"/>
        <v>#DIV/0!</v>
      </c>
      <c r="Y25" s="47"/>
      <c r="Z25" s="22">
        <v>1.0</v>
      </c>
      <c r="AA25" s="23" t="str">
        <f t="shared" si="6"/>
        <v>#DIV/0!</v>
      </c>
      <c r="AB25" s="60"/>
      <c r="AC25" s="60"/>
      <c r="AD25" s="60"/>
      <c r="AE25" s="60"/>
    </row>
    <row r="26" ht="14.25" customHeight="1">
      <c r="A26" s="18">
        <v>14.0</v>
      </c>
      <c r="B26" s="19" t="s">
        <v>897</v>
      </c>
      <c r="C26" s="20" t="s">
        <v>898</v>
      </c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 t="str">
        <f t="shared" si="1"/>
        <v>#DIV/0!</v>
      </c>
      <c r="T26" s="43" t="str">
        <f t="shared" si="2"/>
        <v>#DIV/0!</v>
      </c>
      <c r="U26" s="44" t="str">
        <f t="shared" si="3"/>
        <v>#DIV/0!</v>
      </c>
      <c r="V26" s="45"/>
      <c r="W26" s="45" t="str">
        <f t="shared" si="4"/>
        <v>#DIV/0!</v>
      </c>
      <c r="X26" s="46" t="str">
        <f t="shared" si="5"/>
        <v>#DIV/0!</v>
      </c>
      <c r="Y26" s="47"/>
      <c r="Z26" s="22">
        <v>1.0</v>
      </c>
      <c r="AA26" s="23" t="str">
        <f t="shared" si="6"/>
        <v>#DIV/0!</v>
      </c>
      <c r="AB26" s="60"/>
      <c r="AC26" s="60"/>
      <c r="AD26" s="60"/>
      <c r="AE26" s="60"/>
    </row>
    <row r="27" ht="14.25" customHeight="1">
      <c r="A27" s="18">
        <v>15.0</v>
      </c>
      <c r="B27" s="19" t="s">
        <v>899</v>
      </c>
      <c r="C27" s="20" t="s">
        <v>900</v>
      </c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 t="str">
        <f t="shared" si="1"/>
        <v>#DIV/0!</v>
      </c>
      <c r="T27" s="43" t="str">
        <f t="shared" si="2"/>
        <v>#DIV/0!</v>
      </c>
      <c r="U27" s="44" t="str">
        <f t="shared" si="3"/>
        <v>#DIV/0!</v>
      </c>
      <c r="V27" s="45"/>
      <c r="W27" s="45" t="str">
        <f t="shared" si="4"/>
        <v>#DIV/0!</v>
      </c>
      <c r="X27" s="46" t="str">
        <f t="shared" si="5"/>
        <v>#DIV/0!</v>
      </c>
      <c r="Y27" s="47"/>
      <c r="Z27" s="22">
        <v>1.0</v>
      </c>
      <c r="AA27" s="23" t="str">
        <f t="shared" si="6"/>
        <v>#DIV/0!</v>
      </c>
      <c r="AB27" s="60"/>
      <c r="AC27" s="60"/>
      <c r="AD27" s="60"/>
      <c r="AE27" s="60"/>
    </row>
    <row r="28" ht="14.25" customHeight="1">
      <c r="A28" s="18">
        <v>16.0</v>
      </c>
      <c r="B28" s="19" t="s">
        <v>901</v>
      </c>
      <c r="C28" s="20" t="s">
        <v>902</v>
      </c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2" t="str">
        <f t="shared" si="1"/>
        <v>#DIV/0!</v>
      </c>
      <c r="T28" s="43" t="str">
        <f t="shared" si="2"/>
        <v>#DIV/0!</v>
      </c>
      <c r="U28" s="44" t="str">
        <f t="shared" si="3"/>
        <v>#DIV/0!</v>
      </c>
      <c r="V28" s="45"/>
      <c r="W28" s="45" t="str">
        <f t="shared" si="4"/>
        <v>#DIV/0!</v>
      </c>
      <c r="X28" s="46" t="str">
        <f t="shared" si="5"/>
        <v>#DIV/0!</v>
      </c>
      <c r="Y28" s="47"/>
      <c r="Z28" s="22">
        <v>1.0</v>
      </c>
      <c r="AA28" s="23" t="str">
        <f t="shared" si="6"/>
        <v>#DIV/0!</v>
      </c>
      <c r="AB28" s="60"/>
      <c r="AC28" s="60"/>
      <c r="AD28" s="60"/>
      <c r="AE28" s="60"/>
    </row>
    <row r="29" ht="14.25" customHeight="1">
      <c r="A29" s="18">
        <v>17.0</v>
      </c>
      <c r="B29" s="19" t="s">
        <v>903</v>
      </c>
      <c r="C29" s="20" t="s">
        <v>904</v>
      </c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2" t="str">
        <f t="shared" si="1"/>
        <v>#DIV/0!</v>
      </c>
      <c r="T29" s="43" t="str">
        <f t="shared" si="2"/>
        <v>#DIV/0!</v>
      </c>
      <c r="U29" s="44" t="str">
        <f t="shared" si="3"/>
        <v>#DIV/0!</v>
      </c>
      <c r="V29" s="45"/>
      <c r="W29" s="45" t="str">
        <f t="shared" si="4"/>
        <v>#DIV/0!</v>
      </c>
      <c r="X29" s="46" t="str">
        <f t="shared" si="5"/>
        <v>#DIV/0!</v>
      </c>
      <c r="Y29" s="47"/>
      <c r="Z29" s="22">
        <v>1.0</v>
      </c>
      <c r="AA29" s="23" t="str">
        <f t="shared" si="6"/>
        <v>#DIV/0!</v>
      </c>
      <c r="AB29" s="60"/>
      <c r="AC29" s="60"/>
      <c r="AD29" s="60"/>
      <c r="AE29" s="60"/>
    </row>
    <row r="30" ht="14.25" customHeight="1">
      <c r="A30" s="18">
        <v>18.0</v>
      </c>
      <c r="B30" s="19" t="s">
        <v>905</v>
      </c>
      <c r="C30" s="20" t="s">
        <v>906</v>
      </c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2" t="str">
        <f t="shared" si="1"/>
        <v>#DIV/0!</v>
      </c>
      <c r="T30" s="43" t="str">
        <f t="shared" si="2"/>
        <v>#DIV/0!</v>
      </c>
      <c r="U30" s="44" t="str">
        <f t="shared" si="3"/>
        <v>#DIV/0!</v>
      </c>
      <c r="V30" s="45"/>
      <c r="W30" s="45" t="str">
        <f t="shared" si="4"/>
        <v>#DIV/0!</v>
      </c>
      <c r="X30" s="46" t="str">
        <f t="shared" si="5"/>
        <v>#DIV/0!</v>
      </c>
      <c r="Y30" s="47"/>
      <c r="Z30" s="22">
        <v>1.0</v>
      </c>
      <c r="AA30" s="23" t="str">
        <f t="shared" si="6"/>
        <v>#DIV/0!</v>
      </c>
      <c r="AB30" s="60"/>
      <c r="AC30" s="60"/>
      <c r="AD30" s="60"/>
      <c r="AE30" s="60"/>
    </row>
    <row r="31" ht="14.25" customHeight="1">
      <c r="A31" s="18">
        <v>19.0</v>
      </c>
      <c r="B31" s="19" t="s">
        <v>907</v>
      </c>
      <c r="C31" s="20" t="s">
        <v>908</v>
      </c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2" t="str">
        <f t="shared" si="1"/>
        <v>#DIV/0!</v>
      </c>
      <c r="T31" s="43" t="str">
        <f t="shared" si="2"/>
        <v>#DIV/0!</v>
      </c>
      <c r="U31" s="44" t="str">
        <f t="shared" si="3"/>
        <v>#DIV/0!</v>
      </c>
      <c r="V31" s="45"/>
      <c r="W31" s="45" t="str">
        <f t="shared" si="4"/>
        <v>#DIV/0!</v>
      </c>
      <c r="X31" s="46" t="str">
        <f t="shared" si="5"/>
        <v>#DIV/0!</v>
      </c>
      <c r="Y31" s="47"/>
      <c r="Z31" s="22">
        <v>1.0</v>
      </c>
      <c r="AA31" s="23" t="str">
        <f t="shared" si="6"/>
        <v>#DIV/0!</v>
      </c>
      <c r="AB31" s="60"/>
      <c r="AC31" s="60"/>
      <c r="AD31" s="60"/>
      <c r="AE31" s="60"/>
    </row>
    <row r="32" ht="14.25" customHeight="1">
      <c r="A32" s="18">
        <v>20.0</v>
      </c>
      <c r="B32" s="19" t="s">
        <v>909</v>
      </c>
      <c r="C32" s="20" t="s">
        <v>910</v>
      </c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2" t="str">
        <f t="shared" si="1"/>
        <v>#DIV/0!</v>
      </c>
      <c r="T32" s="43" t="str">
        <f t="shared" si="2"/>
        <v>#DIV/0!</v>
      </c>
      <c r="U32" s="44" t="str">
        <f t="shared" si="3"/>
        <v>#DIV/0!</v>
      </c>
      <c r="V32" s="45"/>
      <c r="W32" s="45" t="str">
        <f t="shared" si="4"/>
        <v>#DIV/0!</v>
      </c>
      <c r="X32" s="46" t="str">
        <f t="shared" si="5"/>
        <v>#DIV/0!</v>
      </c>
      <c r="Y32" s="47"/>
      <c r="Z32" s="22">
        <v>1.0</v>
      </c>
      <c r="AA32" s="23" t="str">
        <f t="shared" si="6"/>
        <v>#DIV/0!</v>
      </c>
      <c r="AB32" s="60"/>
      <c r="AC32" s="60"/>
      <c r="AD32" s="60"/>
      <c r="AE32" s="60"/>
    </row>
    <row r="33" ht="14.25" customHeight="1">
      <c r="A33" s="18">
        <v>21.0</v>
      </c>
      <c r="B33" s="19" t="s">
        <v>911</v>
      </c>
      <c r="C33" s="20" t="s">
        <v>912</v>
      </c>
      <c r="D33" s="40"/>
      <c r="E33" s="41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2" t="str">
        <f t="shared" si="1"/>
        <v>#DIV/0!</v>
      </c>
      <c r="T33" s="43" t="str">
        <f t="shared" si="2"/>
        <v>#DIV/0!</v>
      </c>
      <c r="U33" s="44" t="str">
        <f t="shared" si="3"/>
        <v>#DIV/0!</v>
      </c>
      <c r="V33" s="45"/>
      <c r="W33" s="45" t="str">
        <f t="shared" si="4"/>
        <v>#DIV/0!</v>
      </c>
      <c r="X33" s="46" t="str">
        <f t="shared" si="5"/>
        <v>#DIV/0!</v>
      </c>
      <c r="Y33" s="47"/>
      <c r="Z33" s="22">
        <v>1.0</v>
      </c>
      <c r="AA33" s="23" t="str">
        <f t="shared" si="6"/>
        <v>#DIV/0!</v>
      </c>
      <c r="AB33" s="60"/>
      <c r="AC33" s="60"/>
      <c r="AD33" s="60"/>
      <c r="AE33" s="60"/>
    </row>
    <row r="34" ht="14.25" customHeight="1">
      <c r="A34" s="18">
        <v>22.0</v>
      </c>
      <c r="B34" s="19" t="s">
        <v>913</v>
      </c>
      <c r="C34" s="20" t="s">
        <v>914</v>
      </c>
      <c r="D34" s="40"/>
      <c r="E34" s="41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2" t="str">
        <f t="shared" si="1"/>
        <v>#DIV/0!</v>
      </c>
      <c r="T34" s="43" t="str">
        <f t="shared" si="2"/>
        <v>#DIV/0!</v>
      </c>
      <c r="U34" s="44" t="str">
        <f t="shared" si="3"/>
        <v>#DIV/0!</v>
      </c>
      <c r="V34" s="45"/>
      <c r="W34" s="45" t="str">
        <f t="shared" si="4"/>
        <v>#DIV/0!</v>
      </c>
      <c r="X34" s="46" t="str">
        <f t="shared" si="5"/>
        <v>#DIV/0!</v>
      </c>
      <c r="Y34" s="47"/>
      <c r="Z34" s="22">
        <v>1.0</v>
      </c>
      <c r="AA34" s="23" t="str">
        <f t="shared" si="6"/>
        <v>#DIV/0!</v>
      </c>
      <c r="AB34" s="60"/>
      <c r="AC34" s="60"/>
      <c r="AD34" s="60"/>
      <c r="AE34" s="60"/>
    </row>
    <row r="35" ht="14.25" customHeight="1">
      <c r="A35" s="18">
        <v>23.0</v>
      </c>
      <c r="B35" s="19" t="s">
        <v>915</v>
      </c>
      <c r="C35" s="20" t="s">
        <v>916</v>
      </c>
      <c r="D35" s="40"/>
      <c r="E35" s="41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2" t="str">
        <f t="shared" si="1"/>
        <v>#DIV/0!</v>
      </c>
      <c r="T35" s="43" t="str">
        <f t="shared" si="2"/>
        <v>#DIV/0!</v>
      </c>
      <c r="U35" s="44" t="str">
        <f t="shared" si="3"/>
        <v>#DIV/0!</v>
      </c>
      <c r="V35" s="45"/>
      <c r="W35" s="45" t="str">
        <f t="shared" si="4"/>
        <v>#DIV/0!</v>
      </c>
      <c r="X35" s="46" t="str">
        <f t="shared" si="5"/>
        <v>#DIV/0!</v>
      </c>
      <c r="Y35" s="47"/>
      <c r="Z35" s="22">
        <v>1.0</v>
      </c>
      <c r="AA35" s="23" t="str">
        <f t="shared" si="6"/>
        <v>#DIV/0!</v>
      </c>
      <c r="AB35" s="60"/>
      <c r="AC35" s="60"/>
      <c r="AD35" s="60"/>
      <c r="AE35" s="60"/>
    </row>
    <row r="36" ht="14.25" customHeight="1">
      <c r="A36" s="18">
        <v>24.0</v>
      </c>
      <c r="B36" s="19" t="s">
        <v>917</v>
      </c>
      <c r="C36" s="20" t="s">
        <v>918</v>
      </c>
      <c r="D36" s="40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2" t="str">
        <f t="shared" si="1"/>
        <v>#DIV/0!</v>
      </c>
      <c r="T36" s="43" t="str">
        <f t="shared" si="2"/>
        <v>#DIV/0!</v>
      </c>
      <c r="U36" s="44" t="str">
        <f t="shared" si="3"/>
        <v>#DIV/0!</v>
      </c>
      <c r="V36" s="45"/>
      <c r="W36" s="45" t="str">
        <f t="shared" si="4"/>
        <v>#DIV/0!</v>
      </c>
      <c r="X36" s="46" t="str">
        <f t="shared" si="5"/>
        <v>#DIV/0!</v>
      </c>
      <c r="Y36" s="47"/>
      <c r="Z36" s="22">
        <v>1.0</v>
      </c>
      <c r="AA36" s="23" t="str">
        <f t="shared" si="6"/>
        <v>#DIV/0!</v>
      </c>
      <c r="AB36" s="60"/>
      <c r="AC36" s="60"/>
      <c r="AD36" s="60"/>
      <c r="AE36" s="60"/>
    </row>
    <row r="37" ht="14.25" customHeight="1">
      <c r="A37" s="18">
        <v>25.0</v>
      </c>
      <c r="B37" s="19" t="s">
        <v>919</v>
      </c>
      <c r="C37" s="20" t="s">
        <v>920</v>
      </c>
      <c r="D37" s="40"/>
      <c r="E37" s="41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2" t="str">
        <f t="shared" si="1"/>
        <v>#DIV/0!</v>
      </c>
      <c r="T37" s="43" t="str">
        <f t="shared" si="2"/>
        <v>#DIV/0!</v>
      </c>
      <c r="U37" s="44" t="str">
        <f t="shared" si="3"/>
        <v>#DIV/0!</v>
      </c>
      <c r="V37" s="45"/>
      <c r="W37" s="45" t="str">
        <f t="shared" si="4"/>
        <v>#DIV/0!</v>
      </c>
      <c r="X37" s="46" t="str">
        <f t="shared" si="5"/>
        <v>#DIV/0!</v>
      </c>
      <c r="Y37" s="47"/>
      <c r="Z37" s="22">
        <v>1.0</v>
      </c>
      <c r="AA37" s="23" t="str">
        <f t="shared" si="6"/>
        <v>#DIV/0!</v>
      </c>
      <c r="AB37" s="60"/>
      <c r="AC37" s="60"/>
      <c r="AD37" s="60"/>
      <c r="AE37" s="60"/>
    </row>
    <row r="38" ht="14.25" customHeight="1">
      <c r="A38" s="18">
        <v>26.0</v>
      </c>
      <c r="B38" s="19" t="s">
        <v>921</v>
      </c>
      <c r="C38" s="20" t="s">
        <v>922</v>
      </c>
      <c r="D38" s="40"/>
      <c r="E38" s="41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2" t="str">
        <f t="shared" si="1"/>
        <v>#DIV/0!</v>
      </c>
      <c r="T38" s="43" t="str">
        <f t="shared" si="2"/>
        <v>#DIV/0!</v>
      </c>
      <c r="U38" s="44" t="str">
        <f t="shared" si="3"/>
        <v>#DIV/0!</v>
      </c>
      <c r="V38" s="45"/>
      <c r="W38" s="45" t="str">
        <f t="shared" si="4"/>
        <v>#DIV/0!</v>
      </c>
      <c r="X38" s="46" t="str">
        <f t="shared" si="5"/>
        <v>#DIV/0!</v>
      </c>
      <c r="Y38" s="47"/>
      <c r="Z38" s="22">
        <v>1.0</v>
      </c>
      <c r="AA38" s="23" t="str">
        <f t="shared" si="6"/>
        <v>#DIV/0!</v>
      </c>
      <c r="AB38" s="60"/>
      <c r="AC38" s="60"/>
      <c r="AD38" s="60"/>
      <c r="AE38" s="60"/>
    </row>
    <row r="39" ht="14.25" customHeight="1">
      <c r="A39" s="18">
        <v>27.0</v>
      </c>
      <c r="B39" s="19" t="s">
        <v>923</v>
      </c>
      <c r="C39" s="20" t="s">
        <v>924</v>
      </c>
      <c r="D39" s="40"/>
      <c r="E39" s="41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2" t="str">
        <f t="shared" si="1"/>
        <v>#DIV/0!</v>
      </c>
      <c r="T39" s="43" t="str">
        <f t="shared" si="2"/>
        <v>#DIV/0!</v>
      </c>
      <c r="U39" s="44" t="str">
        <f t="shared" si="3"/>
        <v>#DIV/0!</v>
      </c>
      <c r="V39" s="45"/>
      <c r="W39" s="45" t="str">
        <f t="shared" si="4"/>
        <v>#DIV/0!</v>
      </c>
      <c r="X39" s="46" t="str">
        <f t="shared" si="5"/>
        <v>#DIV/0!</v>
      </c>
      <c r="Y39" s="47"/>
      <c r="Z39" s="22">
        <v>1.0</v>
      </c>
      <c r="AA39" s="23" t="str">
        <f t="shared" si="6"/>
        <v>#DIV/0!</v>
      </c>
      <c r="AB39" s="60"/>
      <c r="AC39" s="60"/>
      <c r="AD39" s="60"/>
      <c r="AE39" s="60"/>
    </row>
    <row r="40" ht="14.25" customHeight="1">
      <c r="A40" s="18">
        <v>28.0</v>
      </c>
      <c r="B40" s="19" t="s">
        <v>925</v>
      </c>
      <c r="C40" s="20" t="s">
        <v>926</v>
      </c>
      <c r="D40" s="40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2" t="str">
        <f t="shared" si="1"/>
        <v>#DIV/0!</v>
      </c>
      <c r="T40" s="43" t="str">
        <f t="shared" si="2"/>
        <v>#DIV/0!</v>
      </c>
      <c r="U40" s="44" t="str">
        <f t="shared" si="3"/>
        <v>#DIV/0!</v>
      </c>
      <c r="V40" s="45"/>
      <c r="W40" s="45" t="str">
        <f t="shared" si="4"/>
        <v>#DIV/0!</v>
      </c>
      <c r="X40" s="46" t="str">
        <f t="shared" si="5"/>
        <v>#DIV/0!</v>
      </c>
      <c r="Y40" s="47"/>
      <c r="Z40" s="22">
        <v>1.0</v>
      </c>
      <c r="AA40" s="23" t="str">
        <f t="shared" si="6"/>
        <v>#DIV/0!</v>
      </c>
      <c r="AB40" s="60"/>
      <c r="AC40" s="60"/>
      <c r="AD40" s="60"/>
      <c r="AE40" s="60"/>
    </row>
    <row r="41" ht="14.25" customHeight="1">
      <c r="A41" s="18">
        <v>29.0</v>
      </c>
      <c r="B41" s="19" t="s">
        <v>927</v>
      </c>
      <c r="C41" s="20" t="s">
        <v>928</v>
      </c>
      <c r="D41" s="40"/>
      <c r="E41" s="4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2" t="str">
        <f t="shared" si="1"/>
        <v>#DIV/0!</v>
      </c>
      <c r="T41" s="43" t="str">
        <f t="shared" si="2"/>
        <v>#DIV/0!</v>
      </c>
      <c r="U41" s="44" t="str">
        <f t="shared" si="3"/>
        <v>#DIV/0!</v>
      </c>
      <c r="V41" s="45"/>
      <c r="W41" s="45" t="str">
        <f t="shared" si="4"/>
        <v>#DIV/0!</v>
      </c>
      <c r="X41" s="46" t="str">
        <f t="shared" si="5"/>
        <v>#DIV/0!</v>
      </c>
      <c r="Y41" s="47"/>
      <c r="Z41" s="22">
        <v>1.0</v>
      </c>
      <c r="AA41" s="23" t="str">
        <f t="shared" si="6"/>
        <v>#DIV/0!</v>
      </c>
      <c r="AB41" s="60"/>
      <c r="AC41" s="60"/>
      <c r="AD41" s="60"/>
      <c r="AE41" s="60"/>
    </row>
    <row r="42" ht="14.25" customHeight="1">
      <c r="A42" s="18">
        <v>30.0</v>
      </c>
      <c r="B42" s="19" t="s">
        <v>929</v>
      </c>
      <c r="C42" s="20" t="s">
        <v>930</v>
      </c>
      <c r="D42" s="40"/>
      <c r="E42" s="41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2" t="str">
        <f t="shared" si="1"/>
        <v>#DIV/0!</v>
      </c>
      <c r="T42" s="43" t="str">
        <f t="shared" si="2"/>
        <v>#DIV/0!</v>
      </c>
      <c r="U42" s="44" t="str">
        <f t="shared" si="3"/>
        <v>#DIV/0!</v>
      </c>
      <c r="V42" s="45"/>
      <c r="W42" s="45" t="str">
        <f t="shared" si="4"/>
        <v>#DIV/0!</v>
      </c>
      <c r="X42" s="46" t="str">
        <f t="shared" si="5"/>
        <v>#DIV/0!</v>
      </c>
      <c r="Y42" s="47"/>
      <c r="Z42" s="22">
        <v>1.0</v>
      </c>
      <c r="AA42" s="23" t="str">
        <f t="shared" si="6"/>
        <v>#DIV/0!</v>
      </c>
      <c r="AB42" s="60"/>
      <c r="AC42" s="60"/>
      <c r="AD42" s="60"/>
      <c r="AE42" s="60"/>
    </row>
    <row r="43" ht="14.25" customHeight="1">
      <c r="A43" s="18">
        <v>31.0</v>
      </c>
      <c r="B43" s="19" t="s">
        <v>931</v>
      </c>
      <c r="C43" s="20" t="s">
        <v>932</v>
      </c>
      <c r="D43" s="40"/>
      <c r="E43" s="41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2" t="str">
        <f t="shared" si="1"/>
        <v>#DIV/0!</v>
      </c>
      <c r="T43" s="43" t="str">
        <f t="shared" si="2"/>
        <v>#DIV/0!</v>
      </c>
      <c r="U43" s="44" t="str">
        <f t="shared" si="3"/>
        <v>#DIV/0!</v>
      </c>
      <c r="V43" s="45"/>
      <c r="W43" s="45" t="str">
        <f t="shared" si="4"/>
        <v>#DIV/0!</v>
      </c>
      <c r="X43" s="46" t="str">
        <f t="shared" si="5"/>
        <v>#DIV/0!</v>
      </c>
      <c r="Y43" s="47"/>
      <c r="Z43" s="22">
        <v>1.0</v>
      </c>
      <c r="AA43" s="23" t="str">
        <f t="shared" si="6"/>
        <v>#DIV/0!</v>
      </c>
      <c r="AB43" s="60"/>
      <c r="AC43" s="60"/>
      <c r="AD43" s="60"/>
      <c r="AE43" s="60"/>
    </row>
    <row r="44" ht="14.25" customHeight="1">
      <c r="A44" s="18">
        <v>32.0</v>
      </c>
      <c r="B44" s="19" t="s">
        <v>933</v>
      </c>
      <c r="C44" s="20" t="s">
        <v>934</v>
      </c>
      <c r="D44" s="40"/>
      <c r="E44" s="41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2" t="str">
        <f t="shared" si="1"/>
        <v>#DIV/0!</v>
      </c>
      <c r="T44" s="43" t="str">
        <f t="shared" si="2"/>
        <v>#DIV/0!</v>
      </c>
      <c r="U44" s="44" t="str">
        <f t="shared" si="3"/>
        <v>#DIV/0!</v>
      </c>
      <c r="V44" s="45"/>
      <c r="W44" s="45" t="str">
        <f t="shared" si="4"/>
        <v>#DIV/0!</v>
      </c>
      <c r="X44" s="46" t="str">
        <f t="shared" si="5"/>
        <v>#DIV/0!</v>
      </c>
      <c r="Y44" s="47"/>
      <c r="Z44" s="22">
        <v>1.0</v>
      </c>
      <c r="AA44" s="23" t="str">
        <f t="shared" si="6"/>
        <v>#DIV/0!</v>
      </c>
      <c r="AB44" s="60"/>
      <c r="AC44" s="60"/>
      <c r="AD44" s="60"/>
      <c r="AE44" s="60"/>
    </row>
    <row r="45" ht="14.25" customHeight="1">
      <c r="A45" s="18">
        <v>33.0</v>
      </c>
      <c r="B45" s="19" t="s">
        <v>935</v>
      </c>
      <c r="C45" s="20" t="s">
        <v>936</v>
      </c>
      <c r="D45" s="40"/>
      <c r="E45" s="41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2" t="str">
        <f t="shared" si="1"/>
        <v>#DIV/0!</v>
      </c>
      <c r="T45" s="43" t="str">
        <f t="shared" si="2"/>
        <v>#DIV/0!</v>
      </c>
      <c r="U45" s="44" t="str">
        <f t="shared" si="3"/>
        <v>#DIV/0!</v>
      </c>
      <c r="V45" s="45"/>
      <c r="W45" s="45" t="str">
        <f t="shared" si="4"/>
        <v>#DIV/0!</v>
      </c>
      <c r="X45" s="46" t="str">
        <f t="shared" si="5"/>
        <v>#DIV/0!</v>
      </c>
      <c r="Y45" s="47"/>
      <c r="Z45" s="22">
        <v>1.0</v>
      </c>
      <c r="AA45" s="23" t="str">
        <f t="shared" si="6"/>
        <v>#DIV/0!</v>
      </c>
      <c r="AB45" s="60"/>
      <c r="AC45" s="60"/>
      <c r="AD45" s="60"/>
      <c r="AE45" s="60"/>
    </row>
    <row r="46" ht="14.25" customHeight="1">
      <c r="A46" s="18">
        <v>34.0</v>
      </c>
      <c r="B46" s="19" t="s">
        <v>937</v>
      </c>
      <c r="C46" s="20" t="s">
        <v>938</v>
      </c>
      <c r="D46" s="40"/>
      <c r="E46" s="41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2" t="str">
        <f t="shared" si="1"/>
        <v>#DIV/0!</v>
      </c>
      <c r="T46" s="43" t="str">
        <f t="shared" si="2"/>
        <v>#DIV/0!</v>
      </c>
      <c r="U46" s="44" t="str">
        <f t="shared" si="3"/>
        <v>#DIV/0!</v>
      </c>
      <c r="V46" s="45"/>
      <c r="W46" s="45" t="str">
        <f t="shared" si="4"/>
        <v>#DIV/0!</v>
      </c>
      <c r="X46" s="46" t="str">
        <f t="shared" si="5"/>
        <v>#DIV/0!</v>
      </c>
      <c r="Y46" s="47"/>
      <c r="Z46" s="22">
        <v>1.0</v>
      </c>
      <c r="AA46" s="23" t="str">
        <f t="shared" si="6"/>
        <v>#DIV/0!</v>
      </c>
      <c r="AB46" s="60"/>
      <c r="AC46" s="60"/>
      <c r="AD46" s="60"/>
      <c r="AE46" s="60"/>
    </row>
    <row r="47" ht="14.25" customHeight="1">
      <c r="A47" s="18">
        <v>35.0</v>
      </c>
      <c r="B47" s="19" t="s">
        <v>939</v>
      </c>
      <c r="C47" s="20" t="s">
        <v>940</v>
      </c>
      <c r="D47" s="40"/>
      <c r="E47" s="41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2" t="str">
        <f t="shared" si="1"/>
        <v>#DIV/0!</v>
      </c>
      <c r="T47" s="43" t="str">
        <f t="shared" si="2"/>
        <v>#DIV/0!</v>
      </c>
      <c r="U47" s="44" t="str">
        <f t="shared" si="3"/>
        <v>#DIV/0!</v>
      </c>
      <c r="V47" s="45"/>
      <c r="W47" s="45" t="str">
        <f t="shared" si="4"/>
        <v>#DIV/0!</v>
      </c>
      <c r="X47" s="46" t="str">
        <f t="shared" si="5"/>
        <v>#DIV/0!</v>
      </c>
      <c r="Y47" s="47"/>
      <c r="Z47" s="22">
        <v>1.0</v>
      </c>
      <c r="AA47" s="23" t="str">
        <f t="shared" si="6"/>
        <v>#DIV/0!</v>
      </c>
      <c r="AB47" s="60"/>
      <c r="AC47" s="60"/>
      <c r="AD47" s="60"/>
      <c r="AE47" s="60"/>
    </row>
    <row r="48" ht="14.25" customHeight="1">
      <c r="A48" s="18">
        <v>36.0</v>
      </c>
      <c r="B48" s="19" t="s">
        <v>941</v>
      </c>
      <c r="C48" s="20" t="s">
        <v>942</v>
      </c>
      <c r="D48" s="40"/>
      <c r="E48" s="4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2" t="str">
        <f t="shared" si="1"/>
        <v>#DIV/0!</v>
      </c>
      <c r="T48" s="43" t="str">
        <f t="shared" si="2"/>
        <v>#DIV/0!</v>
      </c>
      <c r="U48" s="44" t="str">
        <f t="shared" si="3"/>
        <v>#DIV/0!</v>
      </c>
      <c r="V48" s="45"/>
      <c r="W48" s="45" t="str">
        <f t="shared" si="4"/>
        <v>#DIV/0!</v>
      </c>
      <c r="X48" s="46" t="str">
        <f t="shared" si="5"/>
        <v>#DIV/0!</v>
      </c>
      <c r="Y48" s="47"/>
      <c r="Z48" s="22">
        <v>1.0</v>
      </c>
      <c r="AA48" s="23" t="str">
        <f t="shared" si="6"/>
        <v>#DIV/0!</v>
      </c>
      <c r="AB48" s="60"/>
      <c r="AC48" s="60"/>
      <c r="AD48" s="60"/>
      <c r="AE48" s="60"/>
    </row>
    <row r="49" ht="14.25" customHeight="1">
      <c r="A49" s="18">
        <v>37.0</v>
      </c>
      <c r="B49" s="19" t="s">
        <v>943</v>
      </c>
      <c r="C49" s="20" t="s">
        <v>944</v>
      </c>
      <c r="D49" s="40"/>
      <c r="E49" s="41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2" t="str">
        <f t="shared" si="1"/>
        <v>#DIV/0!</v>
      </c>
      <c r="T49" s="43" t="str">
        <f t="shared" si="2"/>
        <v>#DIV/0!</v>
      </c>
      <c r="U49" s="44" t="str">
        <f t="shared" si="3"/>
        <v>#DIV/0!</v>
      </c>
      <c r="V49" s="45"/>
      <c r="W49" s="45" t="str">
        <f t="shared" si="4"/>
        <v>#DIV/0!</v>
      </c>
      <c r="X49" s="46" t="str">
        <f t="shared" si="5"/>
        <v>#DIV/0!</v>
      </c>
      <c r="Y49" s="47"/>
      <c r="Z49" s="22">
        <v>1.0</v>
      </c>
      <c r="AA49" s="23" t="str">
        <f t="shared" si="6"/>
        <v>#DIV/0!</v>
      </c>
      <c r="AB49" s="60"/>
      <c r="AC49" s="60"/>
      <c r="AE49" s="60"/>
    </row>
    <row r="50" ht="14.25" customHeight="1">
      <c r="A50" s="18">
        <v>38.0</v>
      </c>
      <c r="B50" s="19" t="s">
        <v>945</v>
      </c>
      <c r="C50" s="20" t="s">
        <v>946</v>
      </c>
      <c r="D50" s="40"/>
      <c r="E50" s="41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2" t="str">
        <f t="shared" si="1"/>
        <v>#DIV/0!</v>
      </c>
      <c r="T50" s="43" t="str">
        <f t="shared" si="2"/>
        <v>#DIV/0!</v>
      </c>
      <c r="U50" s="44" t="str">
        <f t="shared" si="3"/>
        <v>#DIV/0!</v>
      </c>
      <c r="V50" s="45"/>
      <c r="W50" s="45" t="str">
        <f t="shared" si="4"/>
        <v>#DIV/0!</v>
      </c>
      <c r="X50" s="46" t="str">
        <f t="shared" si="5"/>
        <v>#DIV/0!</v>
      </c>
      <c r="Y50" s="47"/>
      <c r="Z50" s="22"/>
      <c r="AA50" s="23" t="str">
        <f t="shared" si="6"/>
        <v>#DIV/0!</v>
      </c>
      <c r="AB50" s="60"/>
      <c r="AC50" s="60"/>
      <c r="AE50" s="60"/>
    </row>
    <row r="51" ht="14.25" customHeight="1">
      <c r="A51" s="18">
        <v>39.0</v>
      </c>
      <c r="B51" s="19" t="s">
        <v>947</v>
      </c>
      <c r="C51" s="20" t="s">
        <v>948</v>
      </c>
      <c r="D51" s="40"/>
      <c r="E51" s="41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2" t="str">
        <f t="shared" si="1"/>
        <v>#DIV/0!</v>
      </c>
      <c r="T51" s="43" t="str">
        <f t="shared" si="2"/>
        <v>#DIV/0!</v>
      </c>
      <c r="U51" s="44" t="str">
        <f t="shared" si="3"/>
        <v>#DIV/0!</v>
      </c>
      <c r="V51" s="45"/>
      <c r="W51" s="45" t="str">
        <f t="shared" si="4"/>
        <v>#DIV/0!</v>
      </c>
      <c r="X51" s="46" t="str">
        <f t="shared" si="5"/>
        <v>#DIV/0!</v>
      </c>
      <c r="Y51" s="47"/>
      <c r="Z51" s="22"/>
      <c r="AA51" s="23" t="str">
        <f t="shared" si="6"/>
        <v>#DIV/0!</v>
      </c>
      <c r="AB51" s="60"/>
      <c r="AC51" s="60"/>
      <c r="AE51" s="60"/>
    </row>
    <row r="52" ht="14.25" customHeight="1">
      <c r="A52" s="18">
        <v>40.0</v>
      </c>
      <c r="B52" s="19" t="s">
        <v>949</v>
      </c>
      <c r="C52" s="20" t="s">
        <v>950</v>
      </c>
      <c r="D52" s="40"/>
      <c r="E52" s="41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2" t="str">
        <f t="shared" si="1"/>
        <v>#DIV/0!</v>
      </c>
      <c r="T52" s="43" t="str">
        <f t="shared" si="2"/>
        <v>#DIV/0!</v>
      </c>
      <c r="U52" s="44" t="str">
        <f t="shared" si="3"/>
        <v>#DIV/0!</v>
      </c>
      <c r="V52" s="45"/>
      <c r="W52" s="45" t="str">
        <f t="shared" si="4"/>
        <v>#DIV/0!</v>
      </c>
      <c r="X52" s="46" t="str">
        <f t="shared" si="5"/>
        <v>#DIV/0!</v>
      </c>
      <c r="Y52" s="47"/>
      <c r="Z52" s="22"/>
      <c r="AA52" s="23" t="str">
        <f t="shared" si="6"/>
        <v>#DIV/0!</v>
      </c>
      <c r="AB52" s="60"/>
      <c r="AC52" s="60"/>
      <c r="AE52" s="60"/>
    </row>
    <row r="53" ht="14.25" customHeight="1">
      <c r="A53" s="18">
        <v>41.0</v>
      </c>
      <c r="B53" s="19" t="s">
        <v>951</v>
      </c>
      <c r="C53" s="20" t="s">
        <v>952</v>
      </c>
      <c r="D53" s="40"/>
      <c r="E53" s="41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2" t="str">
        <f t="shared" si="1"/>
        <v>#DIV/0!</v>
      </c>
      <c r="T53" s="43" t="str">
        <f t="shared" si="2"/>
        <v>#DIV/0!</v>
      </c>
      <c r="U53" s="44" t="str">
        <f t="shared" si="3"/>
        <v>#DIV/0!</v>
      </c>
      <c r="V53" s="45"/>
      <c r="W53" s="45" t="str">
        <f t="shared" si="4"/>
        <v>#DIV/0!</v>
      </c>
      <c r="X53" s="46" t="str">
        <f t="shared" si="5"/>
        <v>#DIV/0!</v>
      </c>
      <c r="Y53" s="47"/>
      <c r="Z53" s="22"/>
      <c r="AA53" s="23" t="str">
        <f t="shared" si="6"/>
        <v>#DIV/0!</v>
      </c>
      <c r="AB53" s="60"/>
      <c r="AC53" s="60"/>
      <c r="AE53" s="60"/>
    </row>
    <row r="54" ht="14.25" customHeight="1">
      <c r="A54" s="18">
        <v>42.0</v>
      </c>
      <c r="B54" s="19" t="s">
        <v>953</v>
      </c>
      <c r="C54" s="20" t="s">
        <v>954</v>
      </c>
      <c r="D54" s="40"/>
      <c r="E54" s="41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2" t="str">
        <f t="shared" si="1"/>
        <v>#DIV/0!</v>
      </c>
      <c r="T54" s="43" t="str">
        <f t="shared" si="2"/>
        <v>#DIV/0!</v>
      </c>
      <c r="U54" s="44" t="str">
        <f t="shared" si="3"/>
        <v>#DIV/0!</v>
      </c>
      <c r="V54" s="45"/>
      <c r="W54" s="45" t="str">
        <f t="shared" si="4"/>
        <v>#DIV/0!</v>
      </c>
      <c r="X54" s="46" t="str">
        <f t="shared" si="5"/>
        <v>#DIV/0!</v>
      </c>
      <c r="Y54" s="47"/>
      <c r="Z54" s="22"/>
      <c r="AA54" s="23" t="str">
        <f t="shared" si="6"/>
        <v>#DIV/0!</v>
      </c>
      <c r="AB54" s="60"/>
      <c r="AC54" s="60"/>
      <c r="AE54" s="60"/>
    </row>
    <row r="55" ht="14.25" customHeight="1">
      <c r="A55" s="18">
        <v>43.0</v>
      </c>
      <c r="B55" s="19" t="s">
        <v>955</v>
      </c>
      <c r="C55" s="20" t="s">
        <v>956</v>
      </c>
      <c r="D55" s="40"/>
      <c r="E55" s="41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2" t="str">
        <f t="shared" si="1"/>
        <v>#DIV/0!</v>
      </c>
      <c r="T55" s="43" t="str">
        <f t="shared" si="2"/>
        <v>#DIV/0!</v>
      </c>
      <c r="U55" s="44" t="str">
        <f t="shared" si="3"/>
        <v>#DIV/0!</v>
      </c>
      <c r="V55" s="45"/>
      <c r="W55" s="45" t="str">
        <f t="shared" si="4"/>
        <v>#DIV/0!</v>
      </c>
      <c r="X55" s="46" t="str">
        <f t="shared" si="5"/>
        <v>#DIV/0!</v>
      </c>
      <c r="Y55" s="47"/>
      <c r="Z55" s="22"/>
      <c r="AA55" s="23" t="str">
        <f t="shared" si="6"/>
        <v>#DIV/0!</v>
      </c>
      <c r="AB55" s="60"/>
      <c r="AC55" s="60"/>
      <c r="AE55" s="60"/>
    </row>
    <row r="56" ht="14.25" customHeight="1">
      <c r="A56" s="18">
        <v>44.0</v>
      </c>
      <c r="B56" s="19" t="s">
        <v>957</v>
      </c>
      <c r="C56" s="20" t="s">
        <v>958</v>
      </c>
      <c r="D56" s="40"/>
      <c r="E56" s="41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2" t="str">
        <f t="shared" si="1"/>
        <v>#DIV/0!</v>
      </c>
      <c r="T56" s="43" t="str">
        <f t="shared" si="2"/>
        <v>#DIV/0!</v>
      </c>
      <c r="U56" s="44" t="str">
        <f t="shared" si="3"/>
        <v>#DIV/0!</v>
      </c>
      <c r="V56" s="45"/>
      <c r="W56" s="45" t="str">
        <f t="shared" si="4"/>
        <v>#DIV/0!</v>
      </c>
      <c r="X56" s="46" t="str">
        <f t="shared" si="5"/>
        <v>#DIV/0!</v>
      </c>
      <c r="Y56" s="47"/>
      <c r="Z56" s="22"/>
      <c r="AA56" s="23" t="str">
        <f t="shared" si="6"/>
        <v>#DIV/0!</v>
      </c>
      <c r="AB56" s="60"/>
      <c r="AC56" s="60"/>
      <c r="AE56" s="60"/>
    </row>
    <row r="57" ht="14.25" customHeight="1">
      <c r="A57" s="18">
        <v>45.0</v>
      </c>
      <c r="B57" s="19" t="s">
        <v>959</v>
      </c>
      <c r="C57" s="20" t="s">
        <v>960</v>
      </c>
      <c r="D57" s="40"/>
      <c r="E57" s="41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2" t="str">
        <f t="shared" si="1"/>
        <v>#DIV/0!</v>
      </c>
      <c r="T57" s="43" t="str">
        <f t="shared" si="2"/>
        <v>#DIV/0!</v>
      </c>
      <c r="U57" s="44" t="str">
        <f t="shared" si="3"/>
        <v>#DIV/0!</v>
      </c>
      <c r="V57" s="45"/>
      <c r="W57" s="45" t="str">
        <f t="shared" si="4"/>
        <v>#DIV/0!</v>
      </c>
      <c r="X57" s="46" t="str">
        <f t="shared" si="5"/>
        <v>#DIV/0!</v>
      </c>
      <c r="Y57" s="47"/>
      <c r="Z57" s="22"/>
      <c r="AA57" s="23" t="str">
        <f t="shared" si="6"/>
        <v>#DIV/0!</v>
      </c>
      <c r="AB57" s="60"/>
      <c r="AC57" s="60"/>
      <c r="AE57" s="60"/>
    </row>
    <row r="58" ht="14.25" customHeight="1">
      <c r="A58" s="18">
        <v>46.0</v>
      </c>
      <c r="B58" s="19" t="s">
        <v>961</v>
      </c>
      <c r="C58" s="20" t="s">
        <v>962</v>
      </c>
      <c r="D58" s="40"/>
      <c r="E58" s="41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2" t="str">
        <f t="shared" si="1"/>
        <v>#DIV/0!</v>
      </c>
      <c r="T58" s="43" t="str">
        <f t="shared" si="2"/>
        <v>#DIV/0!</v>
      </c>
      <c r="U58" s="44" t="str">
        <f t="shared" si="3"/>
        <v>#DIV/0!</v>
      </c>
      <c r="V58" s="45"/>
      <c r="W58" s="45" t="str">
        <f t="shared" si="4"/>
        <v>#DIV/0!</v>
      </c>
      <c r="X58" s="46" t="str">
        <f t="shared" si="5"/>
        <v>#DIV/0!</v>
      </c>
      <c r="Y58" s="47"/>
      <c r="Z58" s="22"/>
      <c r="AA58" s="23" t="str">
        <f t="shared" si="6"/>
        <v>#DIV/0!</v>
      </c>
      <c r="AB58" s="60"/>
      <c r="AC58" s="60"/>
      <c r="AE58" s="60"/>
    </row>
    <row r="59" ht="14.25" customHeight="1"/>
    <row r="60" ht="14.25" customHeight="1">
      <c r="Y60" s="26" t="s">
        <v>109</v>
      </c>
      <c r="AA60" s="58" t="str">
        <f>MAX(AA13:AA49)</f>
        <v>#DIV/0!</v>
      </c>
    </row>
    <row r="61" ht="14.25" customHeight="1">
      <c r="Y61" s="26" t="s">
        <v>110</v>
      </c>
      <c r="AA61" s="59" t="str">
        <f>MIN(AA13:AA49)</f>
        <v>#DIV/0!</v>
      </c>
    </row>
    <row r="62" ht="14.25" customHeight="1">
      <c r="Y62" s="26" t="s">
        <v>111</v>
      </c>
      <c r="AA62" s="59" t="str">
        <f>AVERAGE(AA13:AA49)</f>
        <v>#DIV/0!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D11:H11"/>
    <mergeCell ref="I11:M11"/>
    <mergeCell ref="N11:R11"/>
    <mergeCell ref="S11:U11"/>
    <mergeCell ref="V11:V12"/>
    <mergeCell ref="W11:W12"/>
    <mergeCell ref="X11:X12"/>
    <mergeCell ref="Y11:Y12"/>
    <mergeCell ref="Z11:Z12"/>
    <mergeCell ref="AA11:AA12"/>
    <mergeCell ref="A1:AA1"/>
    <mergeCell ref="A3:AA3"/>
    <mergeCell ref="A4:AA4"/>
    <mergeCell ref="A10:A12"/>
    <mergeCell ref="B10:B12"/>
    <mergeCell ref="C10:C12"/>
    <mergeCell ref="D10:AA1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9.86"/>
    <col customWidth="1" min="3" max="3" width="28.14"/>
    <col customWidth="1" min="4" max="18" width="3.57"/>
    <col customWidth="1" min="19" max="19" width="4.71"/>
    <col customWidth="1" min="20" max="21" width="4.57"/>
    <col customWidth="1" min="22" max="22" width="5.14"/>
    <col customWidth="1" min="23" max="23" width="5.29"/>
    <col customWidth="1" min="24" max="24" width="5.14"/>
    <col customWidth="1" min="25" max="25" width="4.86"/>
    <col customWidth="1" min="26" max="26" width="5.43"/>
    <col customWidth="1" min="27" max="28" width="5.14"/>
    <col customWidth="1" min="29" max="29" width="7.0"/>
    <col customWidth="1" min="30" max="30" width="8.71"/>
    <col customWidth="1" min="31" max="31" width="6.0"/>
  </cols>
  <sheetData>
    <row r="1" ht="78.0" customHeight="1">
      <c r="A1" s="1" t="s">
        <v>963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0" customHeight="1"/>
    <row r="3" ht="14.25" customHeight="1">
      <c r="A3" s="3" t="s">
        <v>1</v>
      </c>
    </row>
    <row r="4" ht="14.25" customHeight="1">
      <c r="A4" s="3" t="s">
        <v>2</v>
      </c>
    </row>
    <row r="5" ht="3.75" customHeight="1">
      <c r="B5" s="4"/>
      <c r="D5" s="4"/>
      <c r="E5" s="4"/>
    </row>
    <row r="6" ht="14.25" customHeight="1">
      <c r="A6" s="4" t="s">
        <v>3</v>
      </c>
      <c r="C6" s="5" t="s">
        <v>4</v>
      </c>
      <c r="E6" s="5"/>
    </row>
    <row r="7" ht="14.25" customHeight="1">
      <c r="A7" s="4" t="s">
        <v>5</v>
      </c>
      <c r="C7" s="5" t="s">
        <v>964</v>
      </c>
      <c r="E7" s="5"/>
    </row>
    <row r="8" ht="14.25" customHeight="1">
      <c r="A8" s="4" t="s">
        <v>7</v>
      </c>
      <c r="C8" s="5" t="s">
        <v>8</v>
      </c>
      <c r="E8" s="5"/>
    </row>
    <row r="9" ht="14.25" customHeight="1">
      <c r="E9" s="5"/>
    </row>
    <row r="10" ht="14.25" customHeight="1">
      <c r="A10" s="6" t="s">
        <v>9</v>
      </c>
      <c r="B10" s="6" t="s">
        <v>10</v>
      </c>
      <c r="C10" s="7" t="s">
        <v>11</v>
      </c>
      <c r="D10" s="8" t="s">
        <v>114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ht="39.75" customHeight="1">
      <c r="A11" s="11"/>
      <c r="B11" s="11"/>
      <c r="C11" s="11"/>
      <c r="D11" s="27"/>
      <c r="E11" s="9"/>
      <c r="F11" s="9"/>
      <c r="G11" s="9"/>
      <c r="H11" s="10"/>
      <c r="I11" s="27"/>
      <c r="J11" s="9"/>
      <c r="K11" s="9"/>
      <c r="L11" s="9"/>
      <c r="M11" s="10"/>
      <c r="N11" s="27"/>
      <c r="O11" s="9"/>
      <c r="P11" s="9"/>
      <c r="Q11" s="9"/>
      <c r="R11" s="10"/>
      <c r="S11" s="28" t="s">
        <v>115</v>
      </c>
      <c r="T11" s="9"/>
      <c r="U11" s="10"/>
      <c r="V11" s="29" t="s">
        <v>116</v>
      </c>
      <c r="W11" s="30" t="s">
        <v>117</v>
      </c>
      <c r="X11" s="31" t="s">
        <v>118</v>
      </c>
      <c r="Y11" s="32" t="s">
        <v>119</v>
      </c>
      <c r="Z11" s="13" t="s">
        <v>13</v>
      </c>
      <c r="AA11" s="14" t="s">
        <v>14</v>
      </c>
    </row>
    <row r="12" ht="15.75" customHeight="1">
      <c r="A12" s="15"/>
      <c r="B12" s="15"/>
      <c r="C12" s="15"/>
      <c r="D12" s="33">
        <v>1.0</v>
      </c>
      <c r="E12" s="34">
        <v>2.0</v>
      </c>
      <c r="F12" s="34">
        <v>3.0</v>
      </c>
      <c r="G12" s="34">
        <v>4.0</v>
      </c>
      <c r="H12" s="35">
        <v>5.0</v>
      </c>
      <c r="I12" s="35">
        <v>1.0</v>
      </c>
      <c r="J12" s="35">
        <v>2.0</v>
      </c>
      <c r="K12" s="35">
        <v>3.0</v>
      </c>
      <c r="L12" s="35">
        <v>4.0</v>
      </c>
      <c r="M12" s="35">
        <v>5.0</v>
      </c>
      <c r="N12" s="35">
        <v>1.0</v>
      </c>
      <c r="O12" s="35">
        <v>2.0</v>
      </c>
      <c r="P12" s="35">
        <v>3.0</v>
      </c>
      <c r="Q12" s="35">
        <v>4.0</v>
      </c>
      <c r="R12" s="35">
        <v>5.0</v>
      </c>
      <c r="S12" s="36" t="s">
        <v>120</v>
      </c>
      <c r="T12" s="37" t="s">
        <v>121</v>
      </c>
      <c r="U12" s="38" t="s">
        <v>122</v>
      </c>
      <c r="V12" s="15"/>
      <c r="W12" s="39"/>
      <c r="X12" s="16"/>
      <c r="Y12" s="16"/>
      <c r="Z12" s="16"/>
      <c r="AA12" s="17"/>
    </row>
    <row r="13" ht="14.25" customHeight="1">
      <c r="A13" s="18">
        <v>1.0</v>
      </c>
      <c r="B13" s="19" t="s">
        <v>965</v>
      </c>
      <c r="C13" s="20" t="s">
        <v>966</v>
      </c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2" t="str">
        <f t="shared" ref="S13:S60" si="1">AVERAGE(D13:H13)</f>
        <v>#DIV/0!</v>
      </c>
      <c r="T13" s="43" t="str">
        <f t="shared" ref="T13:T60" si="2">AVERAGE(I13:M13)</f>
        <v>#DIV/0!</v>
      </c>
      <c r="U13" s="44" t="str">
        <f t="shared" ref="U13:U60" si="3">AVERAGE(N13:R13)</f>
        <v>#DIV/0!</v>
      </c>
      <c r="V13" s="45"/>
      <c r="W13" s="45" t="str">
        <f t="shared" ref="W13:W60" si="4">AVERAGE(S13:U13)</f>
        <v>#DIV/0!</v>
      </c>
      <c r="X13" s="46" t="str">
        <f t="shared" ref="X13:X60" si="5">ROUND(AVERAGE(V13:W13),0)</f>
        <v>#DIV/0!</v>
      </c>
      <c r="Y13" s="47"/>
      <c r="Z13" s="22">
        <v>1.0</v>
      </c>
      <c r="AA13" s="23" t="str">
        <f t="shared" ref="AA13:AA60" si="6">ROUND(IF((X13*(IF(Y13="A",105%,IF(Y13="B",102%,IF(Y13="C",75%,50%))))*Z13)&gt;100,100,(X13*(IF(Y13="A",105%,IF(Y13="B",102%,IF(Y13="C",75%,50%))))*Z13)),0)</f>
        <v>#DIV/0!</v>
      </c>
      <c r="AB13" s="60"/>
      <c r="AC13" s="60"/>
      <c r="AD13" s="60"/>
      <c r="AE13" s="60"/>
    </row>
    <row r="14" ht="14.25" customHeight="1">
      <c r="A14" s="18">
        <v>2.0</v>
      </c>
      <c r="B14" s="19" t="s">
        <v>967</v>
      </c>
      <c r="C14" s="20" t="s">
        <v>968</v>
      </c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 t="str">
        <f t="shared" si="1"/>
        <v>#DIV/0!</v>
      </c>
      <c r="T14" s="43" t="str">
        <f t="shared" si="2"/>
        <v>#DIV/0!</v>
      </c>
      <c r="U14" s="44" t="str">
        <f t="shared" si="3"/>
        <v>#DIV/0!</v>
      </c>
      <c r="V14" s="45"/>
      <c r="W14" s="45" t="str">
        <f t="shared" si="4"/>
        <v>#DIV/0!</v>
      </c>
      <c r="X14" s="46" t="str">
        <f t="shared" si="5"/>
        <v>#DIV/0!</v>
      </c>
      <c r="Y14" s="47"/>
      <c r="Z14" s="22">
        <v>1.0</v>
      </c>
      <c r="AA14" s="23" t="str">
        <f t="shared" si="6"/>
        <v>#DIV/0!</v>
      </c>
      <c r="AB14" s="60"/>
      <c r="AC14" s="60"/>
      <c r="AD14" s="60"/>
      <c r="AE14" s="60"/>
    </row>
    <row r="15" ht="14.25" customHeight="1">
      <c r="A15" s="18">
        <v>3.0</v>
      </c>
      <c r="B15" s="19" t="s">
        <v>969</v>
      </c>
      <c r="C15" s="20" t="s">
        <v>970</v>
      </c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2" t="str">
        <f t="shared" si="1"/>
        <v>#DIV/0!</v>
      </c>
      <c r="T15" s="43" t="str">
        <f t="shared" si="2"/>
        <v>#DIV/0!</v>
      </c>
      <c r="U15" s="44" t="str">
        <f t="shared" si="3"/>
        <v>#DIV/0!</v>
      </c>
      <c r="V15" s="45"/>
      <c r="W15" s="45" t="str">
        <f t="shared" si="4"/>
        <v>#DIV/0!</v>
      </c>
      <c r="X15" s="46" t="str">
        <f t="shared" si="5"/>
        <v>#DIV/0!</v>
      </c>
      <c r="Y15" s="47"/>
      <c r="Z15" s="22">
        <v>1.0</v>
      </c>
      <c r="AA15" s="23" t="str">
        <f t="shared" si="6"/>
        <v>#DIV/0!</v>
      </c>
      <c r="AB15" s="60"/>
      <c r="AC15" s="60"/>
      <c r="AD15" s="60"/>
      <c r="AE15" s="60"/>
    </row>
    <row r="16" ht="14.25" customHeight="1">
      <c r="A16" s="18">
        <v>4.0</v>
      </c>
      <c r="B16" s="19" t="s">
        <v>971</v>
      </c>
      <c r="C16" s="20" t="s">
        <v>972</v>
      </c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 t="str">
        <f t="shared" si="1"/>
        <v>#DIV/0!</v>
      </c>
      <c r="T16" s="43" t="str">
        <f t="shared" si="2"/>
        <v>#DIV/0!</v>
      </c>
      <c r="U16" s="44" t="str">
        <f t="shared" si="3"/>
        <v>#DIV/0!</v>
      </c>
      <c r="V16" s="45"/>
      <c r="W16" s="45" t="str">
        <f t="shared" si="4"/>
        <v>#DIV/0!</v>
      </c>
      <c r="X16" s="46" t="str">
        <f t="shared" si="5"/>
        <v>#DIV/0!</v>
      </c>
      <c r="Y16" s="47"/>
      <c r="Z16" s="22">
        <v>1.0</v>
      </c>
      <c r="AA16" s="23" t="str">
        <f t="shared" si="6"/>
        <v>#DIV/0!</v>
      </c>
      <c r="AB16" s="60"/>
      <c r="AC16" s="60"/>
      <c r="AD16" s="60"/>
      <c r="AE16" s="60"/>
    </row>
    <row r="17" ht="14.25" customHeight="1">
      <c r="A17" s="18">
        <v>5.0</v>
      </c>
      <c r="B17" s="19" t="s">
        <v>973</v>
      </c>
      <c r="C17" s="20" t="s">
        <v>974</v>
      </c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 t="str">
        <f t="shared" si="1"/>
        <v>#DIV/0!</v>
      </c>
      <c r="T17" s="43" t="str">
        <f t="shared" si="2"/>
        <v>#DIV/0!</v>
      </c>
      <c r="U17" s="44" t="str">
        <f t="shared" si="3"/>
        <v>#DIV/0!</v>
      </c>
      <c r="V17" s="45"/>
      <c r="W17" s="45" t="str">
        <f t="shared" si="4"/>
        <v>#DIV/0!</v>
      </c>
      <c r="X17" s="46" t="str">
        <f t="shared" si="5"/>
        <v>#DIV/0!</v>
      </c>
      <c r="Y17" s="47"/>
      <c r="Z17" s="22">
        <v>1.0</v>
      </c>
      <c r="AA17" s="23" t="str">
        <f t="shared" si="6"/>
        <v>#DIV/0!</v>
      </c>
      <c r="AB17" s="60"/>
      <c r="AC17" s="60"/>
      <c r="AD17" s="60"/>
      <c r="AE17" s="60"/>
    </row>
    <row r="18" ht="14.25" customHeight="1">
      <c r="A18" s="18">
        <v>6.0</v>
      </c>
      <c r="B18" s="19" t="s">
        <v>975</v>
      </c>
      <c r="C18" s="20" t="s">
        <v>976</v>
      </c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2" t="str">
        <f t="shared" si="1"/>
        <v>#DIV/0!</v>
      </c>
      <c r="T18" s="43" t="str">
        <f t="shared" si="2"/>
        <v>#DIV/0!</v>
      </c>
      <c r="U18" s="44" t="str">
        <f t="shared" si="3"/>
        <v>#DIV/0!</v>
      </c>
      <c r="V18" s="45"/>
      <c r="W18" s="45" t="str">
        <f t="shared" si="4"/>
        <v>#DIV/0!</v>
      </c>
      <c r="X18" s="46" t="str">
        <f t="shared" si="5"/>
        <v>#DIV/0!</v>
      </c>
      <c r="Y18" s="47"/>
      <c r="Z18" s="22">
        <v>1.0</v>
      </c>
      <c r="AA18" s="23" t="str">
        <f t="shared" si="6"/>
        <v>#DIV/0!</v>
      </c>
      <c r="AB18" s="60"/>
      <c r="AC18" s="60"/>
      <c r="AD18" s="60"/>
      <c r="AE18" s="60"/>
    </row>
    <row r="19" ht="14.25" customHeight="1">
      <c r="A19" s="18">
        <v>7.0</v>
      </c>
      <c r="B19" s="19" t="s">
        <v>977</v>
      </c>
      <c r="C19" s="20" t="s">
        <v>978</v>
      </c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2" t="str">
        <f t="shared" si="1"/>
        <v>#DIV/0!</v>
      </c>
      <c r="T19" s="43" t="str">
        <f t="shared" si="2"/>
        <v>#DIV/0!</v>
      </c>
      <c r="U19" s="44" t="str">
        <f t="shared" si="3"/>
        <v>#DIV/0!</v>
      </c>
      <c r="V19" s="45"/>
      <c r="W19" s="45" t="str">
        <f t="shared" si="4"/>
        <v>#DIV/0!</v>
      </c>
      <c r="X19" s="46" t="str">
        <f t="shared" si="5"/>
        <v>#DIV/0!</v>
      </c>
      <c r="Y19" s="47"/>
      <c r="Z19" s="22">
        <v>1.0</v>
      </c>
      <c r="AA19" s="23" t="str">
        <f t="shared" si="6"/>
        <v>#DIV/0!</v>
      </c>
      <c r="AB19" s="60"/>
      <c r="AC19" s="60"/>
      <c r="AD19" s="60"/>
      <c r="AE19" s="60"/>
    </row>
    <row r="20" ht="14.25" customHeight="1">
      <c r="A20" s="18">
        <v>8.0</v>
      </c>
      <c r="B20" s="19" t="s">
        <v>979</v>
      </c>
      <c r="C20" s="20" t="s">
        <v>980</v>
      </c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2" t="str">
        <f t="shared" si="1"/>
        <v>#DIV/0!</v>
      </c>
      <c r="T20" s="43" t="str">
        <f t="shared" si="2"/>
        <v>#DIV/0!</v>
      </c>
      <c r="U20" s="44" t="str">
        <f t="shared" si="3"/>
        <v>#DIV/0!</v>
      </c>
      <c r="V20" s="45"/>
      <c r="W20" s="45" t="str">
        <f t="shared" si="4"/>
        <v>#DIV/0!</v>
      </c>
      <c r="X20" s="46" t="str">
        <f t="shared" si="5"/>
        <v>#DIV/0!</v>
      </c>
      <c r="Y20" s="47"/>
      <c r="Z20" s="22">
        <v>1.0</v>
      </c>
      <c r="AA20" s="23" t="str">
        <f t="shared" si="6"/>
        <v>#DIV/0!</v>
      </c>
      <c r="AB20" s="60"/>
      <c r="AC20" s="60"/>
      <c r="AD20" s="60"/>
      <c r="AE20" s="60"/>
    </row>
    <row r="21" ht="14.25" customHeight="1">
      <c r="A21" s="18">
        <v>9.0</v>
      </c>
      <c r="B21" s="19" t="s">
        <v>981</v>
      </c>
      <c r="C21" s="20" t="s">
        <v>982</v>
      </c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2" t="str">
        <f t="shared" si="1"/>
        <v>#DIV/0!</v>
      </c>
      <c r="T21" s="43" t="str">
        <f t="shared" si="2"/>
        <v>#DIV/0!</v>
      </c>
      <c r="U21" s="44" t="str">
        <f t="shared" si="3"/>
        <v>#DIV/0!</v>
      </c>
      <c r="V21" s="45"/>
      <c r="W21" s="45" t="str">
        <f t="shared" si="4"/>
        <v>#DIV/0!</v>
      </c>
      <c r="X21" s="46" t="str">
        <f t="shared" si="5"/>
        <v>#DIV/0!</v>
      </c>
      <c r="Y21" s="47"/>
      <c r="Z21" s="22">
        <v>1.0</v>
      </c>
      <c r="AA21" s="23" t="str">
        <f t="shared" si="6"/>
        <v>#DIV/0!</v>
      </c>
      <c r="AB21" s="60"/>
      <c r="AC21" s="60"/>
      <c r="AD21" s="60"/>
      <c r="AE21" s="60"/>
    </row>
    <row r="22" ht="14.25" customHeight="1">
      <c r="A22" s="18">
        <v>10.0</v>
      </c>
      <c r="B22" s="19" t="s">
        <v>983</v>
      </c>
      <c r="C22" s="20" t="s">
        <v>984</v>
      </c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2" t="str">
        <f t="shared" si="1"/>
        <v>#DIV/0!</v>
      </c>
      <c r="T22" s="43" t="str">
        <f t="shared" si="2"/>
        <v>#DIV/0!</v>
      </c>
      <c r="U22" s="44" t="str">
        <f t="shared" si="3"/>
        <v>#DIV/0!</v>
      </c>
      <c r="V22" s="45"/>
      <c r="W22" s="45" t="str">
        <f t="shared" si="4"/>
        <v>#DIV/0!</v>
      </c>
      <c r="X22" s="46" t="str">
        <f t="shared" si="5"/>
        <v>#DIV/0!</v>
      </c>
      <c r="Y22" s="47"/>
      <c r="Z22" s="22">
        <v>1.0</v>
      </c>
      <c r="AA22" s="23" t="str">
        <f t="shared" si="6"/>
        <v>#DIV/0!</v>
      </c>
      <c r="AB22" s="60"/>
      <c r="AC22" s="60"/>
      <c r="AD22" s="60"/>
      <c r="AE22" s="60"/>
    </row>
    <row r="23" ht="14.25" customHeight="1">
      <c r="A23" s="18">
        <v>11.0</v>
      </c>
      <c r="B23" s="19" t="s">
        <v>985</v>
      </c>
      <c r="C23" s="20" t="s">
        <v>986</v>
      </c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 t="str">
        <f t="shared" si="1"/>
        <v>#DIV/0!</v>
      </c>
      <c r="T23" s="43" t="str">
        <f t="shared" si="2"/>
        <v>#DIV/0!</v>
      </c>
      <c r="U23" s="44" t="str">
        <f t="shared" si="3"/>
        <v>#DIV/0!</v>
      </c>
      <c r="V23" s="45"/>
      <c r="W23" s="45" t="str">
        <f t="shared" si="4"/>
        <v>#DIV/0!</v>
      </c>
      <c r="X23" s="46" t="str">
        <f t="shared" si="5"/>
        <v>#DIV/0!</v>
      </c>
      <c r="Y23" s="47"/>
      <c r="Z23" s="22">
        <v>1.0</v>
      </c>
      <c r="AA23" s="23" t="str">
        <f t="shared" si="6"/>
        <v>#DIV/0!</v>
      </c>
      <c r="AB23" s="60"/>
      <c r="AC23" s="60"/>
      <c r="AD23" s="60"/>
      <c r="AE23" s="60"/>
    </row>
    <row r="24" ht="14.25" customHeight="1">
      <c r="A24" s="18">
        <v>12.0</v>
      </c>
      <c r="B24" s="19" t="s">
        <v>987</v>
      </c>
      <c r="C24" s="20" t="s">
        <v>988</v>
      </c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 t="str">
        <f t="shared" si="1"/>
        <v>#DIV/0!</v>
      </c>
      <c r="T24" s="43" t="str">
        <f t="shared" si="2"/>
        <v>#DIV/0!</v>
      </c>
      <c r="U24" s="44" t="str">
        <f t="shared" si="3"/>
        <v>#DIV/0!</v>
      </c>
      <c r="V24" s="45"/>
      <c r="W24" s="45" t="str">
        <f t="shared" si="4"/>
        <v>#DIV/0!</v>
      </c>
      <c r="X24" s="46" t="str">
        <f t="shared" si="5"/>
        <v>#DIV/0!</v>
      </c>
      <c r="Y24" s="47"/>
      <c r="Z24" s="22">
        <v>1.0</v>
      </c>
      <c r="AA24" s="23" t="str">
        <f t="shared" si="6"/>
        <v>#DIV/0!</v>
      </c>
      <c r="AB24" s="60"/>
      <c r="AC24" s="60"/>
      <c r="AD24" s="60"/>
      <c r="AE24" s="60"/>
    </row>
    <row r="25" ht="14.25" customHeight="1">
      <c r="A25" s="18">
        <v>13.0</v>
      </c>
      <c r="B25" s="19" t="s">
        <v>989</v>
      </c>
      <c r="C25" s="20" t="s">
        <v>990</v>
      </c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 t="str">
        <f t="shared" si="1"/>
        <v>#DIV/0!</v>
      </c>
      <c r="T25" s="43" t="str">
        <f t="shared" si="2"/>
        <v>#DIV/0!</v>
      </c>
      <c r="U25" s="44" t="str">
        <f t="shared" si="3"/>
        <v>#DIV/0!</v>
      </c>
      <c r="V25" s="45"/>
      <c r="W25" s="45" t="str">
        <f t="shared" si="4"/>
        <v>#DIV/0!</v>
      </c>
      <c r="X25" s="46" t="str">
        <f t="shared" si="5"/>
        <v>#DIV/0!</v>
      </c>
      <c r="Y25" s="47"/>
      <c r="Z25" s="22">
        <v>1.0</v>
      </c>
      <c r="AA25" s="23" t="str">
        <f t="shared" si="6"/>
        <v>#DIV/0!</v>
      </c>
      <c r="AB25" s="60"/>
      <c r="AC25" s="60"/>
      <c r="AD25" s="60"/>
      <c r="AE25" s="60"/>
    </row>
    <row r="26" ht="14.25" customHeight="1">
      <c r="A26" s="18">
        <v>14.0</v>
      </c>
      <c r="B26" s="19" t="s">
        <v>991</v>
      </c>
      <c r="C26" s="20" t="s">
        <v>992</v>
      </c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 t="str">
        <f t="shared" si="1"/>
        <v>#DIV/0!</v>
      </c>
      <c r="T26" s="43" t="str">
        <f t="shared" si="2"/>
        <v>#DIV/0!</v>
      </c>
      <c r="U26" s="44" t="str">
        <f t="shared" si="3"/>
        <v>#DIV/0!</v>
      </c>
      <c r="V26" s="45"/>
      <c r="W26" s="45" t="str">
        <f t="shared" si="4"/>
        <v>#DIV/0!</v>
      </c>
      <c r="X26" s="46" t="str">
        <f t="shared" si="5"/>
        <v>#DIV/0!</v>
      </c>
      <c r="Y26" s="47"/>
      <c r="Z26" s="22">
        <v>1.0</v>
      </c>
      <c r="AA26" s="23" t="str">
        <f t="shared" si="6"/>
        <v>#DIV/0!</v>
      </c>
      <c r="AB26" s="60"/>
      <c r="AC26" s="60"/>
      <c r="AD26" s="60"/>
      <c r="AE26" s="60"/>
    </row>
    <row r="27" ht="14.25" customHeight="1">
      <c r="A27" s="18">
        <v>15.0</v>
      </c>
      <c r="B27" s="19" t="s">
        <v>993</v>
      </c>
      <c r="C27" s="20" t="s">
        <v>994</v>
      </c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 t="str">
        <f t="shared" si="1"/>
        <v>#DIV/0!</v>
      </c>
      <c r="T27" s="43" t="str">
        <f t="shared" si="2"/>
        <v>#DIV/0!</v>
      </c>
      <c r="U27" s="44" t="str">
        <f t="shared" si="3"/>
        <v>#DIV/0!</v>
      </c>
      <c r="V27" s="45"/>
      <c r="W27" s="45" t="str">
        <f t="shared" si="4"/>
        <v>#DIV/0!</v>
      </c>
      <c r="X27" s="46" t="str">
        <f t="shared" si="5"/>
        <v>#DIV/0!</v>
      </c>
      <c r="Y27" s="47"/>
      <c r="Z27" s="22">
        <v>1.0</v>
      </c>
      <c r="AA27" s="23" t="str">
        <f t="shared" si="6"/>
        <v>#DIV/0!</v>
      </c>
      <c r="AB27" s="60"/>
      <c r="AC27" s="60"/>
      <c r="AD27" s="60"/>
      <c r="AE27" s="60"/>
    </row>
    <row r="28" ht="14.25" customHeight="1">
      <c r="A28" s="18">
        <v>16.0</v>
      </c>
      <c r="B28" s="19" t="s">
        <v>995</v>
      </c>
      <c r="C28" s="20" t="s">
        <v>996</v>
      </c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2" t="str">
        <f t="shared" si="1"/>
        <v>#DIV/0!</v>
      </c>
      <c r="T28" s="43" t="str">
        <f t="shared" si="2"/>
        <v>#DIV/0!</v>
      </c>
      <c r="U28" s="44" t="str">
        <f t="shared" si="3"/>
        <v>#DIV/0!</v>
      </c>
      <c r="V28" s="45"/>
      <c r="W28" s="45" t="str">
        <f t="shared" si="4"/>
        <v>#DIV/0!</v>
      </c>
      <c r="X28" s="46" t="str">
        <f t="shared" si="5"/>
        <v>#DIV/0!</v>
      </c>
      <c r="Y28" s="47"/>
      <c r="Z28" s="22">
        <v>1.0</v>
      </c>
      <c r="AA28" s="23" t="str">
        <f t="shared" si="6"/>
        <v>#DIV/0!</v>
      </c>
      <c r="AB28" s="60"/>
      <c r="AC28" s="60"/>
      <c r="AD28" s="60"/>
      <c r="AE28" s="60"/>
    </row>
    <row r="29" ht="14.25" customHeight="1">
      <c r="A29" s="18">
        <v>17.0</v>
      </c>
      <c r="B29" s="19" t="s">
        <v>997</v>
      </c>
      <c r="C29" s="20" t="s">
        <v>998</v>
      </c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2" t="str">
        <f t="shared" si="1"/>
        <v>#DIV/0!</v>
      </c>
      <c r="T29" s="43" t="str">
        <f t="shared" si="2"/>
        <v>#DIV/0!</v>
      </c>
      <c r="U29" s="44" t="str">
        <f t="shared" si="3"/>
        <v>#DIV/0!</v>
      </c>
      <c r="V29" s="45"/>
      <c r="W29" s="45" t="str">
        <f t="shared" si="4"/>
        <v>#DIV/0!</v>
      </c>
      <c r="X29" s="46" t="str">
        <f t="shared" si="5"/>
        <v>#DIV/0!</v>
      </c>
      <c r="Y29" s="47"/>
      <c r="Z29" s="22">
        <v>1.0</v>
      </c>
      <c r="AA29" s="23" t="str">
        <f t="shared" si="6"/>
        <v>#DIV/0!</v>
      </c>
      <c r="AB29" s="60"/>
      <c r="AC29" s="60"/>
      <c r="AD29" s="60"/>
      <c r="AE29" s="60"/>
    </row>
    <row r="30" ht="14.25" customHeight="1">
      <c r="A30" s="18">
        <v>18.0</v>
      </c>
      <c r="B30" s="19" t="s">
        <v>999</v>
      </c>
      <c r="C30" s="20" t="s">
        <v>1000</v>
      </c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2" t="str">
        <f t="shared" si="1"/>
        <v>#DIV/0!</v>
      </c>
      <c r="T30" s="43" t="str">
        <f t="shared" si="2"/>
        <v>#DIV/0!</v>
      </c>
      <c r="U30" s="44" t="str">
        <f t="shared" si="3"/>
        <v>#DIV/0!</v>
      </c>
      <c r="V30" s="45"/>
      <c r="W30" s="45" t="str">
        <f t="shared" si="4"/>
        <v>#DIV/0!</v>
      </c>
      <c r="X30" s="46" t="str">
        <f t="shared" si="5"/>
        <v>#DIV/0!</v>
      </c>
      <c r="Y30" s="47"/>
      <c r="Z30" s="22">
        <v>1.0</v>
      </c>
      <c r="AA30" s="23" t="str">
        <f t="shared" si="6"/>
        <v>#DIV/0!</v>
      </c>
      <c r="AB30" s="60"/>
      <c r="AC30" s="60"/>
      <c r="AD30" s="60"/>
      <c r="AE30" s="60"/>
    </row>
    <row r="31" ht="14.25" customHeight="1">
      <c r="A31" s="18">
        <v>19.0</v>
      </c>
      <c r="B31" s="19" t="s">
        <v>1001</v>
      </c>
      <c r="C31" s="20" t="s">
        <v>1002</v>
      </c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2" t="str">
        <f t="shared" si="1"/>
        <v>#DIV/0!</v>
      </c>
      <c r="T31" s="43" t="str">
        <f t="shared" si="2"/>
        <v>#DIV/0!</v>
      </c>
      <c r="U31" s="44" t="str">
        <f t="shared" si="3"/>
        <v>#DIV/0!</v>
      </c>
      <c r="V31" s="45"/>
      <c r="W31" s="45" t="str">
        <f t="shared" si="4"/>
        <v>#DIV/0!</v>
      </c>
      <c r="X31" s="46" t="str">
        <f t="shared" si="5"/>
        <v>#DIV/0!</v>
      </c>
      <c r="Y31" s="47"/>
      <c r="Z31" s="22">
        <v>1.0</v>
      </c>
      <c r="AA31" s="23" t="str">
        <f t="shared" si="6"/>
        <v>#DIV/0!</v>
      </c>
      <c r="AB31" s="60"/>
      <c r="AC31" s="60"/>
      <c r="AD31" s="60"/>
      <c r="AE31" s="60"/>
    </row>
    <row r="32" ht="14.25" customHeight="1">
      <c r="A32" s="18">
        <v>20.0</v>
      </c>
      <c r="B32" s="19" t="s">
        <v>1003</v>
      </c>
      <c r="C32" s="20" t="s">
        <v>1004</v>
      </c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2" t="str">
        <f t="shared" si="1"/>
        <v>#DIV/0!</v>
      </c>
      <c r="T32" s="43" t="str">
        <f t="shared" si="2"/>
        <v>#DIV/0!</v>
      </c>
      <c r="U32" s="44" t="str">
        <f t="shared" si="3"/>
        <v>#DIV/0!</v>
      </c>
      <c r="V32" s="45"/>
      <c r="W32" s="45" t="str">
        <f t="shared" si="4"/>
        <v>#DIV/0!</v>
      </c>
      <c r="X32" s="46" t="str">
        <f t="shared" si="5"/>
        <v>#DIV/0!</v>
      </c>
      <c r="Y32" s="47"/>
      <c r="Z32" s="22">
        <v>1.0</v>
      </c>
      <c r="AA32" s="23" t="str">
        <f t="shared" si="6"/>
        <v>#DIV/0!</v>
      </c>
      <c r="AB32" s="60"/>
      <c r="AC32" s="60"/>
      <c r="AD32" s="60"/>
      <c r="AE32" s="60"/>
    </row>
    <row r="33" ht="14.25" customHeight="1">
      <c r="A33" s="18">
        <v>21.0</v>
      </c>
      <c r="B33" s="19" t="s">
        <v>1005</v>
      </c>
      <c r="C33" s="20" t="s">
        <v>1006</v>
      </c>
      <c r="D33" s="40"/>
      <c r="E33" s="41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2" t="str">
        <f t="shared" si="1"/>
        <v>#DIV/0!</v>
      </c>
      <c r="T33" s="43" t="str">
        <f t="shared" si="2"/>
        <v>#DIV/0!</v>
      </c>
      <c r="U33" s="44" t="str">
        <f t="shared" si="3"/>
        <v>#DIV/0!</v>
      </c>
      <c r="V33" s="45"/>
      <c r="W33" s="45" t="str">
        <f t="shared" si="4"/>
        <v>#DIV/0!</v>
      </c>
      <c r="X33" s="46" t="str">
        <f t="shared" si="5"/>
        <v>#DIV/0!</v>
      </c>
      <c r="Y33" s="47"/>
      <c r="Z33" s="22">
        <v>1.0</v>
      </c>
      <c r="AA33" s="23" t="str">
        <f t="shared" si="6"/>
        <v>#DIV/0!</v>
      </c>
      <c r="AB33" s="60"/>
      <c r="AC33" s="60"/>
      <c r="AD33" s="60"/>
      <c r="AE33" s="60"/>
    </row>
    <row r="34" ht="14.25" customHeight="1">
      <c r="A34" s="18">
        <v>22.0</v>
      </c>
      <c r="B34" s="19" t="s">
        <v>1007</v>
      </c>
      <c r="C34" s="20" t="s">
        <v>1008</v>
      </c>
      <c r="D34" s="40"/>
      <c r="E34" s="41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2" t="str">
        <f t="shared" si="1"/>
        <v>#DIV/0!</v>
      </c>
      <c r="T34" s="43" t="str">
        <f t="shared" si="2"/>
        <v>#DIV/0!</v>
      </c>
      <c r="U34" s="44" t="str">
        <f t="shared" si="3"/>
        <v>#DIV/0!</v>
      </c>
      <c r="V34" s="45"/>
      <c r="W34" s="45" t="str">
        <f t="shared" si="4"/>
        <v>#DIV/0!</v>
      </c>
      <c r="X34" s="46" t="str">
        <f t="shared" si="5"/>
        <v>#DIV/0!</v>
      </c>
      <c r="Y34" s="47"/>
      <c r="Z34" s="22">
        <v>1.0</v>
      </c>
      <c r="AA34" s="23" t="str">
        <f t="shared" si="6"/>
        <v>#DIV/0!</v>
      </c>
      <c r="AB34" s="60"/>
      <c r="AC34" s="60"/>
      <c r="AD34" s="60"/>
      <c r="AE34" s="60"/>
    </row>
    <row r="35" ht="14.25" customHeight="1">
      <c r="A35" s="18">
        <v>23.0</v>
      </c>
      <c r="B35" s="19" t="s">
        <v>1009</v>
      </c>
      <c r="C35" s="20" t="s">
        <v>1010</v>
      </c>
      <c r="D35" s="40"/>
      <c r="E35" s="41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2" t="str">
        <f t="shared" si="1"/>
        <v>#DIV/0!</v>
      </c>
      <c r="T35" s="43" t="str">
        <f t="shared" si="2"/>
        <v>#DIV/0!</v>
      </c>
      <c r="U35" s="44" t="str">
        <f t="shared" si="3"/>
        <v>#DIV/0!</v>
      </c>
      <c r="V35" s="45"/>
      <c r="W35" s="45" t="str">
        <f t="shared" si="4"/>
        <v>#DIV/0!</v>
      </c>
      <c r="X35" s="46" t="str">
        <f t="shared" si="5"/>
        <v>#DIV/0!</v>
      </c>
      <c r="Y35" s="47"/>
      <c r="Z35" s="22">
        <v>1.0</v>
      </c>
      <c r="AA35" s="23" t="str">
        <f t="shared" si="6"/>
        <v>#DIV/0!</v>
      </c>
      <c r="AB35" s="60"/>
      <c r="AC35" s="60"/>
      <c r="AD35" s="60"/>
      <c r="AE35" s="60"/>
    </row>
    <row r="36" ht="14.25" customHeight="1">
      <c r="A36" s="18">
        <v>24.0</v>
      </c>
      <c r="B36" s="19" t="s">
        <v>1011</v>
      </c>
      <c r="C36" s="20" t="s">
        <v>1012</v>
      </c>
      <c r="D36" s="40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2" t="str">
        <f t="shared" si="1"/>
        <v>#DIV/0!</v>
      </c>
      <c r="T36" s="43" t="str">
        <f t="shared" si="2"/>
        <v>#DIV/0!</v>
      </c>
      <c r="U36" s="44" t="str">
        <f t="shared" si="3"/>
        <v>#DIV/0!</v>
      </c>
      <c r="V36" s="45"/>
      <c r="W36" s="45" t="str">
        <f t="shared" si="4"/>
        <v>#DIV/0!</v>
      </c>
      <c r="X36" s="46" t="str">
        <f t="shared" si="5"/>
        <v>#DIV/0!</v>
      </c>
      <c r="Y36" s="47"/>
      <c r="Z36" s="22">
        <v>1.0</v>
      </c>
      <c r="AA36" s="23" t="str">
        <f t="shared" si="6"/>
        <v>#DIV/0!</v>
      </c>
      <c r="AB36" s="60"/>
      <c r="AC36" s="60"/>
      <c r="AD36" s="60"/>
      <c r="AE36" s="60"/>
    </row>
    <row r="37" ht="14.25" customHeight="1">
      <c r="A37" s="18">
        <v>25.0</v>
      </c>
      <c r="B37" s="19" t="s">
        <v>1013</v>
      </c>
      <c r="C37" s="20" t="s">
        <v>1014</v>
      </c>
      <c r="D37" s="40"/>
      <c r="E37" s="41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2" t="str">
        <f t="shared" si="1"/>
        <v>#DIV/0!</v>
      </c>
      <c r="T37" s="43" t="str">
        <f t="shared" si="2"/>
        <v>#DIV/0!</v>
      </c>
      <c r="U37" s="44" t="str">
        <f t="shared" si="3"/>
        <v>#DIV/0!</v>
      </c>
      <c r="V37" s="45"/>
      <c r="W37" s="45" t="str">
        <f t="shared" si="4"/>
        <v>#DIV/0!</v>
      </c>
      <c r="X37" s="46" t="str">
        <f t="shared" si="5"/>
        <v>#DIV/0!</v>
      </c>
      <c r="Y37" s="47"/>
      <c r="Z37" s="22">
        <v>1.0</v>
      </c>
      <c r="AA37" s="23" t="str">
        <f t="shared" si="6"/>
        <v>#DIV/0!</v>
      </c>
      <c r="AB37" s="60"/>
      <c r="AC37" s="60"/>
      <c r="AD37" s="60"/>
      <c r="AE37" s="60"/>
    </row>
    <row r="38" ht="14.25" customHeight="1">
      <c r="A38" s="18">
        <v>26.0</v>
      </c>
      <c r="B38" s="19" t="s">
        <v>1015</v>
      </c>
      <c r="C38" s="20" t="s">
        <v>1016</v>
      </c>
      <c r="D38" s="40"/>
      <c r="E38" s="41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2" t="str">
        <f t="shared" si="1"/>
        <v>#DIV/0!</v>
      </c>
      <c r="T38" s="43" t="str">
        <f t="shared" si="2"/>
        <v>#DIV/0!</v>
      </c>
      <c r="U38" s="44" t="str">
        <f t="shared" si="3"/>
        <v>#DIV/0!</v>
      </c>
      <c r="V38" s="45"/>
      <c r="W38" s="45" t="str">
        <f t="shared" si="4"/>
        <v>#DIV/0!</v>
      </c>
      <c r="X38" s="46" t="str">
        <f t="shared" si="5"/>
        <v>#DIV/0!</v>
      </c>
      <c r="Y38" s="47"/>
      <c r="Z38" s="22">
        <v>1.0</v>
      </c>
      <c r="AA38" s="23" t="str">
        <f t="shared" si="6"/>
        <v>#DIV/0!</v>
      </c>
      <c r="AB38" s="60"/>
      <c r="AC38" s="60"/>
      <c r="AD38" s="60"/>
      <c r="AE38" s="60"/>
    </row>
    <row r="39" ht="14.25" customHeight="1">
      <c r="A39" s="18">
        <v>27.0</v>
      </c>
      <c r="B39" s="19" t="s">
        <v>1017</v>
      </c>
      <c r="C39" s="20" t="s">
        <v>1018</v>
      </c>
      <c r="D39" s="40"/>
      <c r="E39" s="41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2" t="str">
        <f t="shared" si="1"/>
        <v>#DIV/0!</v>
      </c>
      <c r="T39" s="43" t="str">
        <f t="shared" si="2"/>
        <v>#DIV/0!</v>
      </c>
      <c r="U39" s="44" t="str">
        <f t="shared" si="3"/>
        <v>#DIV/0!</v>
      </c>
      <c r="V39" s="45"/>
      <c r="W39" s="45" t="str">
        <f t="shared" si="4"/>
        <v>#DIV/0!</v>
      </c>
      <c r="X39" s="46" t="str">
        <f t="shared" si="5"/>
        <v>#DIV/0!</v>
      </c>
      <c r="Y39" s="47"/>
      <c r="Z39" s="22">
        <v>1.0</v>
      </c>
      <c r="AA39" s="23" t="str">
        <f t="shared" si="6"/>
        <v>#DIV/0!</v>
      </c>
      <c r="AB39" s="60"/>
      <c r="AC39" s="60"/>
      <c r="AD39" s="60"/>
      <c r="AE39" s="60"/>
    </row>
    <row r="40" ht="14.25" customHeight="1">
      <c r="A40" s="18">
        <v>28.0</v>
      </c>
      <c r="B40" s="19" t="s">
        <v>1019</v>
      </c>
      <c r="C40" s="20" t="s">
        <v>1020</v>
      </c>
      <c r="D40" s="40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2" t="str">
        <f t="shared" si="1"/>
        <v>#DIV/0!</v>
      </c>
      <c r="T40" s="43" t="str">
        <f t="shared" si="2"/>
        <v>#DIV/0!</v>
      </c>
      <c r="U40" s="44" t="str">
        <f t="shared" si="3"/>
        <v>#DIV/0!</v>
      </c>
      <c r="V40" s="45"/>
      <c r="W40" s="45" t="str">
        <f t="shared" si="4"/>
        <v>#DIV/0!</v>
      </c>
      <c r="X40" s="46" t="str">
        <f t="shared" si="5"/>
        <v>#DIV/0!</v>
      </c>
      <c r="Y40" s="47"/>
      <c r="Z40" s="22">
        <v>1.0</v>
      </c>
      <c r="AA40" s="23" t="str">
        <f t="shared" si="6"/>
        <v>#DIV/0!</v>
      </c>
      <c r="AB40" s="60"/>
      <c r="AC40" s="60"/>
      <c r="AD40" s="60"/>
      <c r="AE40" s="60"/>
    </row>
    <row r="41" ht="14.25" customHeight="1">
      <c r="A41" s="18">
        <v>29.0</v>
      </c>
      <c r="B41" s="19" t="s">
        <v>1021</v>
      </c>
      <c r="C41" s="20" t="s">
        <v>1022</v>
      </c>
      <c r="D41" s="40"/>
      <c r="E41" s="4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2" t="str">
        <f t="shared" si="1"/>
        <v>#DIV/0!</v>
      </c>
      <c r="T41" s="43" t="str">
        <f t="shared" si="2"/>
        <v>#DIV/0!</v>
      </c>
      <c r="U41" s="44" t="str">
        <f t="shared" si="3"/>
        <v>#DIV/0!</v>
      </c>
      <c r="V41" s="45"/>
      <c r="W41" s="45" t="str">
        <f t="shared" si="4"/>
        <v>#DIV/0!</v>
      </c>
      <c r="X41" s="46" t="str">
        <f t="shared" si="5"/>
        <v>#DIV/0!</v>
      </c>
      <c r="Y41" s="47"/>
      <c r="Z41" s="22">
        <v>1.0</v>
      </c>
      <c r="AA41" s="23" t="str">
        <f t="shared" si="6"/>
        <v>#DIV/0!</v>
      </c>
      <c r="AB41" s="60"/>
      <c r="AC41" s="60"/>
      <c r="AD41" s="60"/>
      <c r="AE41" s="60"/>
    </row>
    <row r="42" ht="14.25" customHeight="1">
      <c r="A42" s="18">
        <v>30.0</v>
      </c>
      <c r="B42" s="19" t="s">
        <v>1023</v>
      </c>
      <c r="C42" s="20" t="s">
        <v>1024</v>
      </c>
      <c r="D42" s="40"/>
      <c r="E42" s="41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2" t="str">
        <f t="shared" si="1"/>
        <v>#DIV/0!</v>
      </c>
      <c r="T42" s="43" t="str">
        <f t="shared" si="2"/>
        <v>#DIV/0!</v>
      </c>
      <c r="U42" s="44" t="str">
        <f t="shared" si="3"/>
        <v>#DIV/0!</v>
      </c>
      <c r="V42" s="45"/>
      <c r="W42" s="45" t="str">
        <f t="shared" si="4"/>
        <v>#DIV/0!</v>
      </c>
      <c r="X42" s="46" t="str">
        <f t="shared" si="5"/>
        <v>#DIV/0!</v>
      </c>
      <c r="Y42" s="47"/>
      <c r="Z42" s="22">
        <v>1.0</v>
      </c>
      <c r="AA42" s="23" t="str">
        <f t="shared" si="6"/>
        <v>#DIV/0!</v>
      </c>
      <c r="AB42" s="60"/>
      <c r="AC42" s="60"/>
      <c r="AD42" s="60"/>
      <c r="AE42" s="60"/>
    </row>
    <row r="43" ht="14.25" customHeight="1">
      <c r="A43" s="18">
        <v>31.0</v>
      </c>
      <c r="B43" s="19" t="s">
        <v>1025</v>
      </c>
      <c r="C43" s="20" t="s">
        <v>1026</v>
      </c>
      <c r="D43" s="40"/>
      <c r="E43" s="41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2" t="str">
        <f t="shared" si="1"/>
        <v>#DIV/0!</v>
      </c>
      <c r="T43" s="43" t="str">
        <f t="shared" si="2"/>
        <v>#DIV/0!</v>
      </c>
      <c r="U43" s="44" t="str">
        <f t="shared" si="3"/>
        <v>#DIV/0!</v>
      </c>
      <c r="V43" s="45"/>
      <c r="W43" s="45" t="str">
        <f t="shared" si="4"/>
        <v>#DIV/0!</v>
      </c>
      <c r="X43" s="46" t="str">
        <f t="shared" si="5"/>
        <v>#DIV/0!</v>
      </c>
      <c r="Y43" s="47"/>
      <c r="Z43" s="22">
        <v>1.0</v>
      </c>
      <c r="AA43" s="23" t="str">
        <f t="shared" si="6"/>
        <v>#DIV/0!</v>
      </c>
      <c r="AB43" s="60"/>
      <c r="AC43" s="60"/>
      <c r="AD43" s="60"/>
      <c r="AE43" s="60"/>
    </row>
    <row r="44" ht="14.25" customHeight="1">
      <c r="A44" s="18">
        <v>32.0</v>
      </c>
      <c r="B44" s="19" t="s">
        <v>1027</v>
      </c>
      <c r="C44" s="20" t="s">
        <v>1028</v>
      </c>
      <c r="D44" s="40"/>
      <c r="E44" s="41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2" t="str">
        <f t="shared" si="1"/>
        <v>#DIV/0!</v>
      </c>
      <c r="T44" s="43" t="str">
        <f t="shared" si="2"/>
        <v>#DIV/0!</v>
      </c>
      <c r="U44" s="44" t="str">
        <f t="shared" si="3"/>
        <v>#DIV/0!</v>
      </c>
      <c r="V44" s="45"/>
      <c r="W44" s="45" t="str">
        <f t="shared" si="4"/>
        <v>#DIV/0!</v>
      </c>
      <c r="X44" s="46" t="str">
        <f t="shared" si="5"/>
        <v>#DIV/0!</v>
      </c>
      <c r="Y44" s="47"/>
      <c r="Z44" s="22">
        <v>1.0</v>
      </c>
      <c r="AA44" s="23" t="str">
        <f t="shared" si="6"/>
        <v>#DIV/0!</v>
      </c>
      <c r="AB44" s="60"/>
      <c r="AC44" s="60"/>
      <c r="AD44" s="60"/>
      <c r="AE44" s="60"/>
    </row>
    <row r="45" ht="14.25" customHeight="1">
      <c r="A45" s="18">
        <v>33.0</v>
      </c>
      <c r="B45" s="19" t="s">
        <v>1029</v>
      </c>
      <c r="C45" s="20" t="s">
        <v>1030</v>
      </c>
      <c r="D45" s="40"/>
      <c r="E45" s="41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2" t="str">
        <f t="shared" si="1"/>
        <v>#DIV/0!</v>
      </c>
      <c r="T45" s="43" t="str">
        <f t="shared" si="2"/>
        <v>#DIV/0!</v>
      </c>
      <c r="U45" s="44" t="str">
        <f t="shared" si="3"/>
        <v>#DIV/0!</v>
      </c>
      <c r="V45" s="45"/>
      <c r="W45" s="45" t="str">
        <f t="shared" si="4"/>
        <v>#DIV/0!</v>
      </c>
      <c r="X45" s="46" t="str">
        <f t="shared" si="5"/>
        <v>#DIV/0!</v>
      </c>
      <c r="Y45" s="47"/>
      <c r="Z45" s="22">
        <v>1.0</v>
      </c>
      <c r="AA45" s="23" t="str">
        <f t="shared" si="6"/>
        <v>#DIV/0!</v>
      </c>
      <c r="AB45" s="60"/>
      <c r="AC45" s="60"/>
      <c r="AD45" s="60"/>
      <c r="AE45" s="60"/>
    </row>
    <row r="46" ht="14.25" customHeight="1">
      <c r="A46" s="18">
        <v>34.0</v>
      </c>
      <c r="B46" s="19" t="s">
        <v>1031</v>
      </c>
      <c r="C46" s="20" t="s">
        <v>1032</v>
      </c>
      <c r="D46" s="40"/>
      <c r="E46" s="41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2" t="str">
        <f t="shared" si="1"/>
        <v>#DIV/0!</v>
      </c>
      <c r="T46" s="43" t="str">
        <f t="shared" si="2"/>
        <v>#DIV/0!</v>
      </c>
      <c r="U46" s="44" t="str">
        <f t="shared" si="3"/>
        <v>#DIV/0!</v>
      </c>
      <c r="V46" s="45"/>
      <c r="W46" s="45" t="str">
        <f t="shared" si="4"/>
        <v>#DIV/0!</v>
      </c>
      <c r="X46" s="46" t="str">
        <f t="shared" si="5"/>
        <v>#DIV/0!</v>
      </c>
      <c r="Y46" s="47"/>
      <c r="Z46" s="22">
        <v>1.0</v>
      </c>
      <c r="AA46" s="23" t="str">
        <f t="shared" si="6"/>
        <v>#DIV/0!</v>
      </c>
      <c r="AB46" s="60"/>
      <c r="AC46" s="60"/>
      <c r="AD46" s="60"/>
      <c r="AE46" s="60"/>
    </row>
    <row r="47" ht="14.25" customHeight="1">
      <c r="A47" s="18">
        <v>35.0</v>
      </c>
      <c r="B47" s="19" t="s">
        <v>1033</v>
      </c>
      <c r="C47" s="20" t="s">
        <v>1034</v>
      </c>
      <c r="D47" s="40"/>
      <c r="E47" s="41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2" t="str">
        <f t="shared" si="1"/>
        <v>#DIV/0!</v>
      </c>
      <c r="T47" s="43" t="str">
        <f t="shared" si="2"/>
        <v>#DIV/0!</v>
      </c>
      <c r="U47" s="44" t="str">
        <f t="shared" si="3"/>
        <v>#DIV/0!</v>
      </c>
      <c r="V47" s="45"/>
      <c r="W47" s="45" t="str">
        <f t="shared" si="4"/>
        <v>#DIV/0!</v>
      </c>
      <c r="X47" s="46" t="str">
        <f t="shared" si="5"/>
        <v>#DIV/0!</v>
      </c>
      <c r="Y47" s="47"/>
      <c r="Z47" s="22">
        <v>1.0</v>
      </c>
      <c r="AA47" s="23" t="str">
        <f t="shared" si="6"/>
        <v>#DIV/0!</v>
      </c>
      <c r="AB47" s="60"/>
      <c r="AC47" s="60"/>
      <c r="AD47" s="60"/>
      <c r="AE47" s="60"/>
    </row>
    <row r="48" ht="14.25" customHeight="1">
      <c r="A48" s="18">
        <v>36.0</v>
      </c>
      <c r="B48" s="19" t="s">
        <v>1035</v>
      </c>
      <c r="C48" s="20" t="s">
        <v>1036</v>
      </c>
      <c r="D48" s="40"/>
      <c r="E48" s="4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2" t="str">
        <f t="shared" si="1"/>
        <v>#DIV/0!</v>
      </c>
      <c r="T48" s="43" t="str">
        <f t="shared" si="2"/>
        <v>#DIV/0!</v>
      </c>
      <c r="U48" s="44" t="str">
        <f t="shared" si="3"/>
        <v>#DIV/0!</v>
      </c>
      <c r="V48" s="45"/>
      <c r="W48" s="45" t="str">
        <f t="shared" si="4"/>
        <v>#DIV/0!</v>
      </c>
      <c r="X48" s="46" t="str">
        <f t="shared" si="5"/>
        <v>#DIV/0!</v>
      </c>
      <c r="Y48" s="47"/>
      <c r="Z48" s="22">
        <v>1.0</v>
      </c>
      <c r="AA48" s="23" t="str">
        <f t="shared" si="6"/>
        <v>#DIV/0!</v>
      </c>
      <c r="AB48" s="60"/>
      <c r="AC48" s="60"/>
      <c r="AD48" s="60"/>
      <c r="AE48" s="60"/>
    </row>
    <row r="49" ht="14.25" customHeight="1">
      <c r="A49" s="18">
        <v>37.0</v>
      </c>
      <c r="B49" s="19" t="s">
        <v>1037</v>
      </c>
      <c r="C49" s="20" t="s">
        <v>1038</v>
      </c>
      <c r="D49" s="40"/>
      <c r="E49" s="41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2" t="str">
        <f t="shared" si="1"/>
        <v>#DIV/0!</v>
      </c>
      <c r="T49" s="43" t="str">
        <f t="shared" si="2"/>
        <v>#DIV/0!</v>
      </c>
      <c r="U49" s="44" t="str">
        <f t="shared" si="3"/>
        <v>#DIV/0!</v>
      </c>
      <c r="V49" s="45"/>
      <c r="W49" s="45" t="str">
        <f t="shared" si="4"/>
        <v>#DIV/0!</v>
      </c>
      <c r="X49" s="46" t="str">
        <f t="shared" si="5"/>
        <v>#DIV/0!</v>
      </c>
      <c r="Y49" s="47"/>
      <c r="Z49" s="22">
        <v>1.0</v>
      </c>
      <c r="AA49" s="23" t="str">
        <f t="shared" si="6"/>
        <v>#DIV/0!</v>
      </c>
      <c r="AB49" s="60"/>
      <c r="AC49" s="60"/>
      <c r="AE49" s="60"/>
    </row>
    <row r="50" ht="14.25" customHeight="1">
      <c r="A50" s="18">
        <v>38.0</v>
      </c>
      <c r="B50" s="19" t="s">
        <v>1039</v>
      </c>
      <c r="C50" s="20" t="s">
        <v>1040</v>
      </c>
      <c r="D50" s="57"/>
      <c r="E50" s="41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42" t="str">
        <f t="shared" si="1"/>
        <v>#DIV/0!</v>
      </c>
      <c r="T50" s="43" t="str">
        <f t="shared" si="2"/>
        <v>#DIV/0!</v>
      </c>
      <c r="U50" s="44" t="str">
        <f t="shared" si="3"/>
        <v>#DIV/0!</v>
      </c>
      <c r="V50" s="45"/>
      <c r="W50" s="45" t="str">
        <f t="shared" si="4"/>
        <v>#DIV/0!</v>
      </c>
      <c r="X50" s="46" t="str">
        <f t="shared" si="5"/>
        <v>#DIV/0!</v>
      </c>
      <c r="Y50" s="47"/>
      <c r="Z50" s="22"/>
      <c r="AA50" s="23" t="str">
        <f t="shared" si="6"/>
        <v>#DIV/0!</v>
      </c>
    </row>
    <row r="51" ht="14.25" customHeight="1">
      <c r="A51" s="18">
        <v>39.0</v>
      </c>
      <c r="B51" s="19" t="s">
        <v>1041</v>
      </c>
      <c r="C51" s="20" t="s">
        <v>1042</v>
      </c>
      <c r="D51" s="57"/>
      <c r="E51" s="41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42" t="str">
        <f t="shared" si="1"/>
        <v>#DIV/0!</v>
      </c>
      <c r="T51" s="43" t="str">
        <f t="shared" si="2"/>
        <v>#DIV/0!</v>
      </c>
      <c r="U51" s="44" t="str">
        <f t="shared" si="3"/>
        <v>#DIV/0!</v>
      </c>
      <c r="V51" s="45"/>
      <c r="W51" s="45" t="str">
        <f t="shared" si="4"/>
        <v>#DIV/0!</v>
      </c>
      <c r="X51" s="46" t="str">
        <f t="shared" si="5"/>
        <v>#DIV/0!</v>
      </c>
      <c r="Y51" s="47"/>
      <c r="Z51" s="22"/>
      <c r="AA51" s="23" t="str">
        <f t="shared" si="6"/>
        <v>#DIV/0!</v>
      </c>
    </row>
    <row r="52" ht="14.25" customHeight="1">
      <c r="A52" s="18">
        <v>40.0</v>
      </c>
      <c r="B52" s="19" t="s">
        <v>1043</v>
      </c>
      <c r="C52" s="20" t="s">
        <v>1044</v>
      </c>
      <c r="D52" s="57"/>
      <c r="E52" s="41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42" t="str">
        <f t="shared" si="1"/>
        <v>#DIV/0!</v>
      </c>
      <c r="T52" s="43" t="str">
        <f t="shared" si="2"/>
        <v>#DIV/0!</v>
      </c>
      <c r="U52" s="44" t="str">
        <f t="shared" si="3"/>
        <v>#DIV/0!</v>
      </c>
      <c r="V52" s="45"/>
      <c r="W52" s="45" t="str">
        <f t="shared" si="4"/>
        <v>#DIV/0!</v>
      </c>
      <c r="X52" s="46" t="str">
        <f t="shared" si="5"/>
        <v>#DIV/0!</v>
      </c>
      <c r="Y52" s="47"/>
      <c r="Z52" s="22"/>
      <c r="AA52" s="23" t="str">
        <f t="shared" si="6"/>
        <v>#DIV/0!</v>
      </c>
    </row>
    <row r="53" ht="14.25" customHeight="1">
      <c r="A53" s="18">
        <v>41.0</v>
      </c>
      <c r="B53" s="19" t="s">
        <v>1045</v>
      </c>
      <c r="C53" s="20" t="s">
        <v>1046</v>
      </c>
      <c r="D53" s="57"/>
      <c r="E53" s="41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42" t="str">
        <f t="shared" si="1"/>
        <v>#DIV/0!</v>
      </c>
      <c r="T53" s="43" t="str">
        <f t="shared" si="2"/>
        <v>#DIV/0!</v>
      </c>
      <c r="U53" s="44" t="str">
        <f t="shared" si="3"/>
        <v>#DIV/0!</v>
      </c>
      <c r="V53" s="45"/>
      <c r="W53" s="45" t="str">
        <f t="shared" si="4"/>
        <v>#DIV/0!</v>
      </c>
      <c r="X53" s="46" t="str">
        <f t="shared" si="5"/>
        <v>#DIV/0!</v>
      </c>
      <c r="Y53" s="47"/>
      <c r="Z53" s="22"/>
      <c r="AA53" s="23" t="str">
        <f t="shared" si="6"/>
        <v>#DIV/0!</v>
      </c>
    </row>
    <row r="54" ht="14.25" customHeight="1">
      <c r="A54" s="18">
        <v>42.0</v>
      </c>
      <c r="B54" s="19" t="s">
        <v>1047</v>
      </c>
      <c r="C54" s="20" t="s">
        <v>1048</v>
      </c>
      <c r="D54" s="57"/>
      <c r="E54" s="41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42" t="str">
        <f t="shared" si="1"/>
        <v>#DIV/0!</v>
      </c>
      <c r="T54" s="43" t="str">
        <f t="shared" si="2"/>
        <v>#DIV/0!</v>
      </c>
      <c r="U54" s="44" t="str">
        <f t="shared" si="3"/>
        <v>#DIV/0!</v>
      </c>
      <c r="V54" s="45"/>
      <c r="W54" s="45" t="str">
        <f t="shared" si="4"/>
        <v>#DIV/0!</v>
      </c>
      <c r="X54" s="46" t="str">
        <f t="shared" si="5"/>
        <v>#DIV/0!</v>
      </c>
      <c r="Y54" s="47"/>
      <c r="Z54" s="22"/>
      <c r="AA54" s="23" t="str">
        <f t="shared" si="6"/>
        <v>#DIV/0!</v>
      </c>
    </row>
    <row r="55" ht="14.25" customHeight="1">
      <c r="A55" s="18">
        <v>43.0</v>
      </c>
      <c r="B55" s="19" t="s">
        <v>1049</v>
      </c>
      <c r="C55" s="20" t="s">
        <v>1050</v>
      </c>
      <c r="D55" s="57"/>
      <c r="E55" s="41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42" t="str">
        <f t="shared" si="1"/>
        <v>#DIV/0!</v>
      </c>
      <c r="T55" s="43" t="str">
        <f t="shared" si="2"/>
        <v>#DIV/0!</v>
      </c>
      <c r="U55" s="44" t="str">
        <f t="shared" si="3"/>
        <v>#DIV/0!</v>
      </c>
      <c r="V55" s="45"/>
      <c r="W55" s="45" t="str">
        <f t="shared" si="4"/>
        <v>#DIV/0!</v>
      </c>
      <c r="X55" s="46" t="str">
        <f t="shared" si="5"/>
        <v>#DIV/0!</v>
      </c>
      <c r="Y55" s="47"/>
      <c r="Z55" s="22"/>
      <c r="AA55" s="23" t="str">
        <f t="shared" si="6"/>
        <v>#DIV/0!</v>
      </c>
    </row>
    <row r="56" ht="14.25" customHeight="1">
      <c r="A56" s="18">
        <v>44.0</v>
      </c>
      <c r="B56" s="19" t="s">
        <v>1051</v>
      </c>
      <c r="C56" s="20" t="s">
        <v>1052</v>
      </c>
      <c r="D56" s="57"/>
      <c r="E56" s="41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42" t="str">
        <f t="shared" si="1"/>
        <v>#DIV/0!</v>
      </c>
      <c r="T56" s="43" t="str">
        <f t="shared" si="2"/>
        <v>#DIV/0!</v>
      </c>
      <c r="U56" s="44" t="str">
        <f t="shared" si="3"/>
        <v>#DIV/0!</v>
      </c>
      <c r="V56" s="45"/>
      <c r="W56" s="45" t="str">
        <f t="shared" si="4"/>
        <v>#DIV/0!</v>
      </c>
      <c r="X56" s="46" t="str">
        <f t="shared" si="5"/>
        <v>#DIV/0!</v>
      </c>
      <c r="Y56" s="47"/>
      <c r="Z56" s="22"/>
      <c r="AA56" s="23" t="str">
        <f t="shared" si="6"/>
        <v>#DIV/0!</v>
      </c>
    </row>
    <row r="57" ht="14.25" customHeight="1">
      <c r="A57" s="18">
        <v>45.0</v>
      </c>
      <c r="B57" s="19" t="s">
        <v>1053</v>
      </c>
      <c r="C57" s="20" t="s">
        <v>1054</v>
      </c>
      <c r="D57" s="57"/>
      <c r="E57" s="41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42" t="str">
        <f t="shared" si="1"/>
        <v>#DIV/0!</v>
      </c>
      <c r="T57" s="43" t="str">
        <f t="shared" si="2"/>
        <v>#DIV/0!</v>
      </c>
      <c r="U57" s="44" t="str">
        <f t="shared" si="3"/>
        <v>#DIV/0!</v>
      </c>
      <c r="V57" s="45"/>
      <c r="W57" s="45" t="str">
        <f t="shared" si="4"/>
        <v>#DIV/0!</v>
      </c>
      <c r="X57" s="46" t="str">
        <f t="shared" si="5"/>
        <v>#DIV/0!</v>
      </c>
      <c r="Y57" s="47"/>
      <c r="Z57" s="22"/>
      <c r="AA57" s="23" t="str">
        <f t="shared" si="6"/>
        <v>#DIV/0!</v>
      </c>
    </row>
    <row r="58" ht="14.25" customHeight="1">
      <c r="A58" s="18">
        <v>46.0</v>
      </c>
      <c r="B58" s="19" t="s">
        <v>1055</v>
      </c>
      <c r="C58" s="20" t="s">
        <v>1056</v>
      </c>
      <c r="D58" s="57"/>
      <c r="E58" s="41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42" t="str">
        <f t="shared" si="1"/>
        <v>#DIV/0!</v>
      </c>
      <c r="T58" s="43" t="str">
        <f t="shared" si="2"/>
        <v>#DIV/0!</v>
      </c>
      <c r="U58" s="44" t="str">
        <f t="shared" si="3"/>
        <v>#DIV/0!</v>
      </c>
      <c r="V58" s="45"/>
      <c r="W58" s="45" t="str">
        <f t="shared" si="4"/>
        <v>#DIV/0!</v>
      </c>
      <c r="X58" s="46" t="str">
        <f t="shared" si="5"/>
        <v>#DIV/0!</v>
      </c>
      <c r="Y58" s="47"/>
      <c r="Z58" s="22"/>
      <c r="AA58" s="23" t="str">
        <f t="shared" si="6"/>
        <v>#DIV/0!</v>
      </c>
    </row>
    <row r="59" ht="14.25" customHeight="1">
      <c r="A59" s="18">
        <v>47.0</v>
      </c>
      <c r="B59" s="19" t="s">
        <v>1057</v>
      </c>
      <c r="C59" s="20" t="s">
        <v>1058</v>
      </c>
      <c r="D59" s="57"/>
      <c r="E59" s="41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42" t="str">
        <f t="shared" si="1"/>
        <v>#DIV/0!</v>
      </c>
      <c r="T59" s="43" t="str">
        <f t="shared" si="2"/>
        <v>#DIV/0!</v>
      </c>
      <c r="U59" s="44" t="str">
        <f t="shared" si="3"/>
        <v>#DIV/0!</v>
      </c>
      <c r="V59" s="45"/>
      <c r="W59" s="45" t="str">
        <f t="shared" si="4"/>
        <v>#DIV/0!</v>
      </c>
      <c r="X59" s="46" t="str">
        <f t="shared" si="5"/>
        <v>#DIV/0!</v>
      </c>
      <c r="Y59" s="47"/>
      <c r="Z59" s="22"/>
      <c r="AA59" s="23" t="str">
        <f t="shared" si="6"/>
        <v>#DIV/0!</v>
      </c>
    </row>
    <row r="60" ht="14.25" customHeight="1">
      <c r="A60" s="18">
        <v>48.0</v>
      </c>
      <c r="B60" s="19" t="s">
        <v>1059</v>
      </c>
      <c r="C60" s="20" t="s">
        <v>1060</v>
      </c>
      <c r="D60" s="57"/>
      <c r="E60" s="41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42" t="str">
        <f t="shared" si="1"/>
        <v>#DIV/0!</v>
      </c>
      <c r="T60" s="43" t="str">
        <f t="shared" si="2"/>
        <v>#DIV/0!</v>
      </c>
      <c r="U60" s="44" t="str">
        <f t="shared" si="3"/>
        <v>#DIV/0!</v>
      </c>
      <c r="V60" s="45"/>
      <c r="W60" s="45" t="str">
        <f t="shared" si="4"/>
        <v>#DIV/0!</v>
      </c>
      <c r="X60" s="46" t="str">
        <f t="shared" si="5"/>
        <v>#DIV/0!</v>
      </c>
      <c r="Y60" s="47"/>
      <c r="Z60" s="22"/>
      <c r="AA60" s="23" t="str">
        <f t="shared" si="6"/>
        <v>#DIV/0!</v>
      </c>
    </row>
    <row r="61" ht="14.25" customHeight="1"/>
    <row r="62" ht="14.25" customHeight="1">
      <c r="Y62" s="26" t="s">
        <v>109</v>
      </c>
      <c r="AA62" s="58" t="str">
        <f>MAX(AA13:AA49)</f>
        <v>#DIV/0!</v>
      </c>
    </row>
    <row r="63" ht="14.25" customHeight="1">
      <c r="Y63" s="26" t="s">
        <v>110</v>
      </c>
      <c r="AA63" s="59" t="str">
        <f>MIN(AA13:AA49)</f>
        <v>#DIV/0!</v>
      </c>
    </row>
    <row r="64" ht="14.25" customHeight="1">
      <c r="Y64" s="26" t="s">
        <v>111</v>
      </c>
      <c r="AA64" s="59" t="str">
        <f>AVERAGE(AA13:AA49)</f>
        <v>#DIV/0!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D11:H11"/>
    <mergeCell ref="I11:M11"/>
    <mergeCell ref="N11:R11"/>
    <mergeCell ref="S11:U11"/>
    <mergeCell ref="V11:V12"/>
    <mergeCell ref="W11:W12"/>
    <mergeCell ref="X11:X12"/>
    <mergeCell ref="Y11:Y12"/>
    <mergeCell ref="Z11:Z12"/>
    <mergeCell ref="AA11:AA12"/>
    <mergeCell ref="A1:AA1"/>
    <mergeCell ref="A3:AA3"/>
    <mergeCell ref="A4:AA4"/>
    <mergeCell ref="A10:A12"/>
    <mergeCell ref="B10:B12"/>
    <mergeCell ref="C10:C12"/>
    <mergeCell ref="D10:AA10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1.71"/>
    <col customWidth="1" min="3" max="3" width="32.86"/>
    <col customWidth="1" min="4" max="18" width="3.57"/>
    <col customWidth="1" min="19" max="19" width="4.71"/>
    <col customWidth="1" min="20" max="21" width="4.57"/>
    <col customWidth="1" min="22" max="22" width="5.14"/>
    <col customWidth="1" min="23" max="23" width="5.29"/>
    <col customWidth="1" min="24" max="24" width="5.14"/>
    <col customWidth="1" min="25" max="25" width="4.86"/>
    <col customWidth="1" min="26" max="26" width="5.43"/>
    <col customWidth="1" min="27" max="28" width="5.14"/>
    <col customWidth="1" min="29" max="29" width="7.0"/>
    <col customWidth="1" min="30" max="30" width="8.71"/>
    <col customWidth="1" min="31" max="31" width="6.0"/>
  </cols>
  <sheetData>
    <row r="1" ht="78.0" customHeight="1">
      <c r="A1" s="1" t="s">
        <v>1061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9.0" customHeight="1"/>
    <row r="3" ht="14.25" customHeight="1">
      <c r="A3" s="3" t="s">
        <v>1</v>
      </c>
    </row>
    <row r="4" ht="14.25" customHeight="1">
      <c r="A4" s="3" t="s">
        <v>2</v>
      </c>
    </row>
    <row r="5" ht="3.75" customHeight="1">
      <c r="B5" s="4"/>
      <c r="D5" s="4"/>
      <c r="E5" s="4"/>
    </row>
    <row r="6" ht="14.25" customHeight="1">
      <c r="A6" s="4" t="s">
        <v>3</v>
      </c>
      <c r="C6" s="5" t="s">
        <v>4</v>
      </c>
      <c r="E6" s="5"/>
    </row>
    <row r="7" ht="14.25" customHeight="1">
      <c r="A7" s="4" t="s">
        <v>5</v>
      </c>
      <c r="C7" s="5" t="s">
        <v>1062</v>
      </c>
      <c r="E7" s="5"/>
    </row>
    <row r="8" ht="14.25" customHeight="1">
      <c r="A8" s="4" t="s">
        <v>7</v>
      </c>
      <c r="C8" s="5" t="s">
        <v>8</v>
      </c>
      <c r="E8" s="5"/>
    </row>
    <row r="9" ht="14.25" customHeight="1">
      <c r="E9" s="5"/>
    </row>
    <row r="10" ht="14.25" customHeight="1">
      <c r="A10" s="6" t="s">
        <v>9</v>
      </c>
      <c r="B10" s="6" t="s">
        <v>10</v>
      </c>
      <c r="C10" s="7" t="s">
        <v>11</v>
      </c>
      <c r="D10" s="8" t="s">
        <v>114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ht="36.0" customHeight="1">
      <c r="A11" s="11"/>
      <c r="B11" s="11"/>
      <c r="C11" s="11"/>
      <c r="D11" s="61" t="s">
        <v>1063</v>
      </c>
      <c r="E11" s="9"/>
      <c r="F11" s="9"/>
      <c r="G11" s="9"/>
      <c r="H11" s="10"/>
      <c r="I11" s="27"/>
      <c r="J11" s="9"/>
      <c r="K11" s="9"/>
      <c r="L11" s="9"/>
      <c r="M11" s="10"/>
      <c r="N11" s="27"/>
      <c r="O11" s="9"/>
      <c r="P11" s="9"/>
      <c r="Q11" s="9"/>
      <c r="R11" s="10"/>
      <c r="S11" s="28" t="s">
        <v>115</v>
      </c>
      <c r="T11" s="9"/>
      <c r="U11" s="10"/>
      <c r="V11" s="29" t="s">
        <v>116</v>
      </c>
      <c r="W11" s="30" t="s">
        <v>117</v>
      </c>
      <c r="X11" s="31" t="s">
        <v>118</v>
      </c>
      <c r="Y11" s="32" t="s">
        <v>119</v>
      </c>
      <c r="Z11" s="13" t="s">
        <v>13</v>
      </c>
      <c r="AA11" s="14" t="s">
        <v>14</v>
      </c>
    </row>
    <row r="12" ht="15.75" customHeight="1">
      <c r="A12" s="15"/>
      <c r="B12" s="15"/>
      <c r="C12" s="15"/>
      <c r="D12" s="33">
        <v>1.0</v>
      </c>
      <c r="E12" s="34">
        <v>2.0</v>
      </c>
      <c r="F12" s="34">
        <v>3.0</v>
      </c>
      <c r="G12" s="34">
        <v>4.0</v>
      </c>
      <c r="H12" s="35">
        <v>5.0</v>
      </c>
      <c r="I12" s="35">
        <v>1.0</v>
      </c>
      <c r="J12" s="35">
        <v>2.0</v>
      </c>
      <c r="K12" s="35">
        <v>3.0</v>
      </c>
      <c r="L12" s="35">
        <v>4.0</v>
      </c>
      <c r="M12" s="35">
        <v>5.0</v>
      </c>
      <c r="N12" s="35">
        <v>1.0</v>
      </c>
      <c r="O12" s="35">
        <v>2.0</v>
      </c>
      <c r="P12" s="35">
        <v>3.0</v>
      </c>
      <c r="Q12" s="35">
        <v>4.0</v>
      </c>
      <c r="R12" s="35">
        <v>5.0</v>
      </c>
      <c r="S12" s="36" t="s">
        <v>120</v>
      </c>
      <c r="T12" s="37" t="s">
        <v>121</v>
      </c>
      <c r="U12" s="38" t="s">
        <v>122</v>
      </c>
      <c r="V12" s="15"/>
      <c r="W12" s="39"/>
      <c r="X12" s="16"/>
      <c r="Y12" s="16"/>
      <c r="Z12" s="16"/>
      <c r="AA12" s="17"/>
    </row>
    <row r="13" ht="14.25" customHeight="1">
      <c r="A13" s="18">
        <v>1.0</v>
      </c>
      <c r="B13" s="19" t="s">
        <v>1064</v>
      </c>
      <c r="C13" s="20" t="s">
        <v>1065</v>
      </c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2" t="str">
        <f t="shared" ref="S13:S60" si="1">AVERAGE(D13:H13)</f>
        <v>#DIV/0!</v>
      </c>
      <c r="T13" s="43" t="str">
        <f t="shared" ref="T13:T60" si="2">AVERAGE(I13:M13)</f>
        <v>#DIV/0!</v>
      </c>
      <c r="U13" s="44" t="str">
        <f t="shared" ref="U13:U60" si="3">AVERAGE(N13:R13)</f>
        <v>#DIV/0!</v>
      </c>
      <c r="V13" s="45"/>
      <c r="W13" s="45" t="str">
        <f t="shared" ref="W13:W60" si="4">AVERAGE(S13:U13)</f>
        <v>#DIV/0!</v>
      </c>
      <c r="X13" s="46" t="str">
        <f t="shared" ref="X13:X60" si="5">ROUND(AVERAGE(V13:W13),0)</f>
        <v>#DIV/0!</v>
      </c>
      <c r="Y13" s="47"/>
      <c r="Z13" s="22">
        <v>1.0</v>
      </c>
      <c r="AA13" s="23" t="str">
        <f t="shared" ref="AA13:AA60" si="6">ROUND(IF((X13*(IF(Y13="A",105%,IF(Y13="B",102%,IF(Y13="C",75%,50%))))*Z13)&gt;100,100,(X13*(IF(Y13="A",105%,IF(Y13="B",102%,IF(Y13="C",75%,50%))))*Z13)),0)</f>
        <v>#DIV/0!</v>
      </c>
      <c r="AB13" s="60"/>
      <c r="AC13" s="60"/>
      <c r="AD13" s="60"/>
      <c r="AE13" s="60"/>
    </row>
    <row r="14" ht="14.25" customHeight="1">
      <c r="A14" s="18">
        <v>2.0</v>
      </c>
      <c r="B14" s="19" t="s">
        <v>1066</v>
      </c>
      <c r="C14" s="20" t="s">
        <v>1067</v>
      </c>
      <c r="D14" s="40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2" t="str">
        <f t="shared" si="1"/>
        <v>#DIV/0!</v>
      </c>
      <c r="T14" s="43" t="str">
        <f t="shared" si="2"/>
        <v>#DIV/0!</v>
      </c>
      <c r="U14" s="44" t="str">
        <f t="shared" si="3"/>
        <v>#DIV/0!</v>
      </c>
      <c r="V14" s="45"/>
      <c r="W14" s="45" t="str">
        <f t="shared" si="4"/>
        <v>#DIV/0!</v>
      </c>
      <c r="X14" s="46" t="str">
        <f t="shared" si="5"/>
        <v>#DIV/0!</v>
      </c>
      <c r="Y14" s="47"/>
      <c r="Z14" s="22">
        <v>1.0</v>
      </c>
      <c r="AA14" s="23" t="str">
        <f t="shared" si="6"/>
        <v>#DIV/0!</v>
      </c>
      <c r="AB14" s="60"/>
      <c r="AC14" s="60"/>
      <c r="AD14" s="60"/>
      <c r="AE14" s="60"/>
    </row>
    <row r="15" ht="14.25" customHeight="1">
      <c r="A15" s="18">
        <v>3.0</v>
      </c>
      <c r="B15" s="19" t="s">
        <v>1068</v>
      </c>
      <c r="C15" s="20" t="s">
        <v>1069</v>
      </c>
      <c r="D15" s="40"/>
      <c r="E15" s="41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2" t="str">
        <f t="shared" si="1"/>
        <v>#DIV/0!</v>
      </c>
      <c r="T15" s="43" t="str">
        <f t="shared" si="2"/>
        <v>#DIV/0!</v>
      </c>
      <c r="U15" s="44" t="str">
        <f t="shared" si="3"/>
        <v>#DIV/0!</v>
      </c>
      <c r="V15" s="45"/>
      <c r="W15" s="45" t="str">
        <f t="shared" si="4"/>
        <v>#DIV/0!</v>
      </c>
      <c r="X15" s="46" t="str">
        <f t="shared" si="5"/>
        <v>#DIV/0!</v>
      </c>
      <c r="Y15" s="47"/>
      <c r="Z15" s="22">
        <v>1.0</v>
      </c>
      <c r="AA15" s="23" t="str">
        <f t="shared" si="6"/>
        <v>#DIV/0!</v>
      </c>
      <c r="AB15" s="60"/>
      <c r="AC15" s="60"/>
      <c r="AD15" s="60"/>
      <c r="AE15" s="60"/>
    </row>
    <row r="16" ht="14.25" customHeight="1">
      <c r="A16" s="18">
        <v>4.0</v>
      </c>
      <c r="B16" s="19" t="s">
        <v>1070</v>
      </c>
      <c r="C16" s="20" t="s">
        <v>1071</v>
      </c>
      <c r="D16" s="40"/>
      <c r="E16" s="41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2" t="str">
        <f t="shared" si="1"/>
        <v>#DIV/0!</v>
      </c>
      <c r="T16" s="43" t="str">
        <f t="shared" si="2"/>
        <v>#DIV/0!</v>
      </c>
      <c r="U16" s="44" t="str">
        <f t="shared" si="3"/>
        <v>#DIV/0!</v>
      </c>
      <c r="V16" s="45"/>
      <c r="W16" s="45" t="str">
        <f t="shared" si="4"/>
        <v>#DIV/0!</v>
      </c>
      <c r="X16" s="46" t="str">
        <f t="shared" si="5"/>
        <v>#DIV/0!</v>
      </c>
      <c r="Y16" s="47"/>
      <c r="Z16" s="22">
        <v>1.0</v>
      </c>
      <c r="AA16" s="23" t="str">
        <f t="shared" si="6"/>
        <v>#DIV/0!</v>
      </c>
      <c r="AB16" s="60"/>
      <c r="AC16" s="60"/>
      <c r="AD16" s="60"/>
      <c r="AE16" s="60"/>
    </row>
    <row r="17" ht="14.25" customHeight="1">
      <c r="A17" s="18">
        <v>5.0</v>
      </c>
      <c r="B17" s="19" t="s">
        <v>1072</v>
      </c>
      <c r="C17" s="20" t="s">
        <v>1073</v>
      </c>
      <c r="D17" s="40"/>
      <c r="E17" s="41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2" t="str">
        <f t="shared" si="1"/>
        <v>#DIV/0!</v>
      </c>
      <c r="T17" s="43" t="str">
        <f t="shared" si="2"/>
        <v>#DIV/0!</v>
      </c>
      <c r="U17" s="44" t="str">
        <f t="shared" si="3"/>
        <v>#DIV/0!</v>
      </c>
      <c r="V17" s="45"/>
      <c r="W17" s="45" t="str">
        <f t="shared" si="4"/>
        <v>#DIV/0!</v>
      </c>
      <c r="X17" s="46" t="str">
        <f t="shared" si="5"/>
        <v>#DIV/0!</v>
      </c>
      <c r="Y17" s="47"/>
      <c r="Z17" s="22">
        <v>1.0</v>
      </c>
      <c r="AA17" s="23" t="str">
        <f t="shared" si="6"/>
        <v>#DIV/0!</v>
      </c>
      <c r="AB17" s="60"/>
      <c r="AC17" s="60"/>
      <c r="AD17" s="60"/>
      <c r="AE17" s="60"/>
    </row>
    <row r="18" ht="14.25" customHeight="1">
      <c r="A18" s="18">
        <v>6.0</v>
      </c>
      <c r="B18" s="19" t="s">
        <v>1074</v>
      </c>
      <c r="C18" s="20" t="s">
        <v>1075</v>
      </c>
      <c r="D18" s="40"/>
      <c r="E18" s="4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2" t="str">
        <f t="shared" si="1"/>
        <v>#DIV/0!</v>
      </c>
      <c r="T18" s="43" t="str">
        <f t="shared" si="2"/>
        <v>#DIV/0!</v>
      </c>
      <c r="U18" s="44" t="str">
        <f t="shared" si="3"/>
        <v>#DIV/0!</v>
      </c>
      <c r="V18" s="45"/>
      <c r="W18" s="45" t="str">
        <f t="shared" si="4"/>
        <v>#DIV/0!</v>
      </c>
      <c r="X18" s="46" t="str">
        <f t="shared" si="5"/>
        <v>#DIV/0!</v>
      </c>
      <c r="Y18" s="47"/>
      <c r="Z18" s="22">
        <v>1.0</v>
      </c>
      <c r="AA18" s="23" t="str">
        <f t="shared" si="6"/>
        <v>#DIV/0!</v>
      </c>
      <c r="AB18" s="60"/>
      <c r="AC18" s="60"/>
      <c r="AD18" s="60"/>
      <c r="AE18" s="60"/>
    </row>
    <row r="19" ht="14.25" customHeight="1">
      <c r="A19" s="18">
        <v>7.0</v>
      </c>
      <c r="B19" s="19" t="s">
        <v>1076</v>
      </c>
      <c r="C19" s="20" t="s">
        <v>1077</v>
      </c>
      <c r="D19" s="40"/>
      <c r="E19" s="41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2" t="str">
        <f t="shared" si="1"/>
        <v>#DIV/0!</v>
      </c>
      <c r="T19" s="43" t="str">
        <f t="shared" si="2"/>
        <v>#DIV/0!</v>
      </c>
      <c r="U19" s="44" t="str">
        <f t="shared" si="3"/>
        <v>#DIV/0!</v>
      </c>
      <c r="V19" s="45"/>
      <c r="W19" s="45" t="str">
        <f t="shared" si="4"/>
        <v>#DIV/0!</v>
      </c>
      <c r="X19" s="46" t="str">
        <f t="shared" si="5"/>
        <v>#DIV/0!</v>
      </c>
      <c r="Y19" s="47"/>
      <c r="Z19" s="22">
        <v>1.0</v>
      </c>
      <c r="AA19" s="23" t="str">
        <f t="shared" si="6"/>
        <v>#DIV/0!</v>
      </c>
      <c r="AB19" s="60"/>
      <c r="AC19" s="60"/>
      <c r="AD19" s="60"/>
      <c r="AE19" s="60"/>
    </row>
    <row r="20" ht="14.25" customHeight="1">
      <c r="A20" s="18">
        <v>8.0</v>
      </c>
      <c r="B20" s="19" t="s">
        <v>1078</v>
      </c>
      <c r="C20" s="20" t="s">
        <v>1079</v>
      </c>
      <c r="D20" s="40"/>
      <c r="E20" s="41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2" t="str">
        <f t="shared" si="1"/>
        <v>#DIV/0!</v>
      </c>
      <c r="T20" s="43" t="str">
        <f t="shared" si="2"/>
        <v>#DIV/0!</v>
      </c>
      <c r="U20" s="44" t="str">
        <f t="shared" si="3"/>
        <v>#DIV/0!</v>
      </c>
      <c r="V20" s="45"/>
      <c r="W20" s="45" t="str">
        <f t="shared" si="4"/>
        <v>#DIV/0!</v>
      </c>
      <c r="X20" s="46" t="str">
        <f t="shared" si="5"/>
        <v>#DIV/0!</v>
      </c>
      <c r="Y20" s="47"/>
      <c r="Z20" s="22">
        <v>1.0</v>
      </c>
      <c r="AA20" s="23" t="str">
        <f t="shared" si="6"/>
        <v>#DIV/0!</v>
      </c>
      <c r="AB20" s="60"/>
      <c r="AC20" s="60"/>
      <c r="AD20" s="60"/>
      <c r="AE20" s="60"/>
    </row>
    <row r="21" ht="14.25" customHeight="1">
      <c r="A21" s="18">
        <v>9.0</v>
      </c>
      <c r="B21" s="19" t="s">
        <v>1080</v>
      </c>
      <c r="C21" s="20" t="s">
        <v>1081</v>
      </c>
      <c r="D21" s="40"/>
      <c r="E21" s="41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2" t="str">
        <f t="shared" si="1"/>
        <v>#DIV/0!</v>
      </c>
      <c r="T21" s="43" t="str">
        <f t="shared" si="2"/>
        <v>#DIV/0!</v>
      </c>
      <c r="U21" s="44" t="str">
        <f t="shared" si="3"/>
        <v>#DIV/0!</v>
      </c>
      <c r="V21" s="45"/>
      <c r="W21" s="45" t="str">
        <f t="shared" si="4"/>
        <v>#DIV/0!</v>
      </c>
      <c r="X21" s="46" t="str">
        <f t="shared" si="5"/>
        <v>#DIV/0!</v>
      </c>
      <c r="Y21" s="47"/>
      <c r="Z21" s="22">
        <v>1.0</v>
      </c>
      <c r="AA21" s="23" t="str">
        <f t="shared" si="6"/>
        <v>#DIV/0!</v>
      </c>
      <c r="AB21" s="60"/>
      <c r="AC21" s="60"/>
      <c r="AD21" s="60"/>
      <c r="AE21" s="60"/>
    </row>
    <row r="22" ht="14.25" customHeight="1">
      <c r="A22" s="18">
        <v>10.0</v>
      </c>
      <c r="B22" s="19" t="s">
        <v>1082</v>
      </c>
      <c r="C22" s="20" t="s">
        <v>1083</v>
      </c>
      <c r="D22" s="40"/>
      <c r="E22" s="41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2" t="str">
        <f t="shared" si="1"/>
        <v>#DIV/0!</v>
      </c>
      <c r="T22" s="43" t="str">
        <f t="shared" si="2"/>
        <v>#DIV/0!</v>
      </c>
      <c r="U22" s="44" t="str">
        <f t="shared" si="3"/>
        <v>#DIV/0!</v>
      </c>
      <c r="V22" s="45"/>
      <c r="W22" s="45" t="str">
        <f t="shared" si="4"/>
        <v>#DIV/0!</v>
      </c>
      <c r="X22" s="46" t="str">
        <f t="shared" si="5"/>
        <v>#DIV/0!</v>
      </c>
      <c r="Y22" s="47"/>
      <c r="Z22" s="22">
        <v>1.0</v>
      </c>
      <c r="AA22" s="23" t="str">
        <f t="shared" si="6"/>
        <v>#DIV/0!</v>
      </c>
      <c r="AB22" s="60"/>
      <c r="AC22" s="60"/>
      <c r="AD22" s="60"/>
      <c r="AE22" s="60"/>
    </row>
    <row r="23" ht="14.25" customHeight="1">
      <c r="A23" s="18">
        <v>11.0</v>
      </c>
      <c r="B23" s="19" t="s">
        <v>1084</v>
      </c>
      <c r="C23" s="20" t="s">
        <v>1085</v>
      </c>
      <c r="D23" s="40"/>
      <c r="E23" s="41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2" t="str">
        <f t="shared" si="1"/>
        <v>#DIV/0!</v>
      </c>
      <c r="T23" s="43" t="str">
        <f t="shared" si="2"/>
        <v>#DIV/0!</v>
      </c>
      <c r="U23" s="44" t="str">
        <f t="shared" si="3"/>
        <v>#DIV/0!</v>
      </c>
      <c r="V23" s="45"/>
      <c r="W23" s="45" t="str">
        <f t="shared" si="4"/>
        <v>#DIV/0!</v>
      </c>
      <c r="X23" s="46" t="str">
        <f t="shared" si="5"/>
        <v>#DIV/0!</v>
      </c>
      <c r="Y23" s="47"/>
      <c r="Z23" s="22">
        <v>1.0</v>
      </c>
      <c r="AA23" s="23" t="str">
        <f t="shared" si="6"/>
        <v>#DIV/0!</v>
      </c>
      <c r="AB23" s="60"/>
      <c r="AC23" s="60"/>
      <c r="AD23" s="60"/>
      <c r="AE23" s="60"/>
    </row>
    <row r="24" ht="14.25" customHeight="1">
      <c r="A24" s="18">
        <v>12.0</v>
      </c>
      <c r="B24" s="19" t="s">
        <v>1086</v>
      </c>
      <c r="C24" s="20" t="s">
        <v>1087</v>
      </c>
      <c r="D24" s="40"/>
      <c r="E24" s="41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2" t="str">
        <f t="shared" si="1"/>
        <v>#DIV/0!</v>
      </c>
      <c r="T24" s="43" t="str">
        <f t="shared" si="2"/>
        <v>#DIV/0!</v>
      </c>
      <c r="U24" s="44" t="str">
        <f t="shared" si="3"/>
        <v>#DIV/0!</v>
      </c>
      <c r="V24" s="45"/>
      <c r="W24" s="45" t="str">
        <f t="shared" si="4"/>
        <v>#DIV/0!</v>
      </c>
      <c r="X24" s="46" t="str">
        <f t="shared" si="5"/>
        <v>#DIV/0!</v>
      </c>
      <c r="Y24" s="47"/>
      <c r="Z24" s="22">
        <v>1.0</v>
      </c>
      <c r="AA24" s="23" t="str">
        <f t="shared" si="6"/>
        <v>#DIV/0!</v>
      </c>
      <c r="AB24" s="60"/>
      <c r="AC24" s="60"/>
      <c r="AD24" s="60"/>
      <c r="AE24" s="60"/>
    </row>
    <row r="25" ht="14.25" customHeight="1">
      <c r="A25" s="18">
        <v>13.0</v>
      </c>
      <c r="B25" s="19" t="s">
        <v>1088</v>
      </c>
      <c r="C25" s="20" t="s">
        <v>1089</v>
      </c>
      <c r="D25" s="40"/>
      <c r="E25" s="41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2" t="str">
        <f t="shared" si="1"/>
        <v>#DIV/0!</v>
      </c>
      <c r="T25" s="43" t="str">
        <f t="shared" si="2"/>
        <v>#DIV/0!</v>
      </c>
      <c r="U25" s="44" t="str">
        <f t="shared" si="3"/>
        <v>#DIV/0!</v>
      </c>
      <c r="V25" s="45"/>
      <c r="W25" s="45" t="str">
        <f t="shared" si="4"/>
        <v>#DIV/0!</v>
      </c>
      <c r="X25" s="46" t="str">
        <f t="shared" si="5"/>
        <v>#DIV/0!</v>
      </c>
      <c r="Y25" s="47"/>
      <c r="Z25" s="22">
        <v>1.0</v>
      </c>
      <c r="AA25" s="23" t="str">
        <f t="shared" si="6"/>
        <v>#DIV/0!</v>
      </c>
      <c r="AB25" s="60"/>
      <c r="AC25" s="60"/>
      <c r="AD25" s="60"/>
      <c r="AE25" s="60"/>
    </row>
    <row r="26" ht="14.25" customHeight="1">
      <c r="A26" s="18">
        <v>14.0</v>
      </c>
      <c r="B26" s="19" t="s">
        <v>1090</v>
      </c>
      <c r="C26" s="20" t="s">
        <v>1091</v>
      </c>
      <c r="D26" s="40"/>
      <c r="E26" s="41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2" t="str">
        <f t="shared" si="1"/>
        <v>#DIV/0!</v>
      </c>
      <c r="T26" s="43" t="str">
        <f t="shared" si="2"/>
        <v>#DIV/0!</v>
      </c>
      <c r="U26" s="44" t="str">
        <f t="shared" si="3"/>
        <v>#DIV/0!</v>
      </c>
      <c r="V26" s="45"/>
      <c r="W26" s="45" t="str">
        <f t="shared" si="4"/>
        <v>#DIV/0!</v>
      </c>
      <c r="X26" s="46" t="str">
        <f t="shared" si="5"/>
        <v>#DIV/0!</v>
      </c>
      <c r="Y26" s="47"/>
      <c r="Z26" s="22">
        <v>1.0</v>
      </c>
      <c r="AA26" s="23" t="str">
        <f t="shared" si="6"/>
        <v>#DIV/0!</v>
      </c>
      <c r="AB26" s="60"/>
      <c r="AC26" s="60"/>
      <c r="AD26" s="60"/>
      <c r="AE26" s="60"/>
    </row>
    <row r="27" ht="14.25" customHeight="1">
      <c r="A27" s="18">
        <v>15.0</v>
      </c>
      <c r="B27" s="19" t="s">
        <v>1092</v>
      </c>
      <c r="C27" s="20" t="s">
        <v>1093</v>
      </c>
      <c r="D27" s="40"/>
      <c r="E27" s="41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2" t="str">
        <f t="shared" si="1"/>
        <v>#DIV/0!</v>
      </c>
      <c r="T27" s="43" t="str">
        <f t="shared" si="2"/>
        <v>#DIV/0!</v>
      </c>
      <c r="U27" s="44" t="str">
        <f t="shared" si="3"/>
        <v>#DIV/0!</v>
      </c>
      <c r="V27" s="45"/>
      <c r="W27" s="45" t="str">
        <f t="shared" si="4"/>
        <v>#DIV/0!</v>
      </c>
      <c r="X27" s="46" t="str">
        <f t="shared" si="5"/>
        <v>#DIV/0!</v>
      </c>
      <c r="Y27" s="47"/>
      <c r="Z27" s="22">
        <v>1.0</v>
      </c>
      <c r="AA27" s="23" t="str">
        <f t="shared" si="6"/>
        <v>#DIV/0!</v>
      </c>
      <c r="AB27" s="60"/>
      <c r="AC27" s="60"/>
      <c r="AD27" s="60"/>
      <c r="AE27" s="60"/>
    </row>
    <row r="28" ht="14.25" customHeight="1">
      <c r="A28" s="18">
        <v>16.0</v>
      </c>
      <c r="B28" s="19" t="s">
        <v>1094</v>
      </c>
      <c r="C28" s="20" t="s">
        <v>1095</v>
      </c>
      <c r="D28" s="40"/>
      <c r="E28" s="41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2" t="str">
        <f t="shared" si="1"/>
        <v>#DIV/0!</v>
      </c>
      <c r="T28" s="43" t="str">
        <f t="shared" si="2"/>
        <v>#DIV/0!</v>
      </c>
      <c r="U28" s="44" t="str">
        <f t="shared" si="3"/>
        <v>#DIV/0!</v>
      </c>
      <c r="V28" s="45"/>
      <c r="W28" s="45" t="str">
        <f t="shared" si="4"/>
        <v>#DIV/0!</v>
      </c>
      <c r="X28" s="46" t="str">
        <f t="shared" si="5"/>
        <v>#DIV/0!</v>
      </c>
      <c r="Y28" s="47"/>
      <c r="Z28" s="22">
        <v>1.0</v>
      </c>
      <c r="AA28" s="23" t="str">
        <f t="shared" si="6"/>
        <v>#DIV/0!</v>
      </c>
      <c r="AB28" s="60"/>
      <c r="AC28" s="60"/>
      <c r="AD28" s="60"/>
      <c r="AE28" s="60"/>
    </row>
    <row r="29" ht="14.25" customHeight="1">
      <c r="A29" s="18">
        <v>17.0</v>
      </c>
      <c r="B29" s="19" t="s">
        <v>1096</v>
      </c>
      <c r="C29" s="20" t="s">
        <v>1097</v>
      </c>
      <c r="D29" s="40"/>
      <c r="E29" s="41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2" t="str">
        <f t="shared" si="1"/>
        <v>#DIV/0!</v>
      </c>
      <c r="T29" s="43" t="str">
        <f t="shared" si="2"/>
        <v>#DIV/0!</v>
      </c>
      <c r="U29" s="44" t="str">
        <f t="shared" si="3"/>
        <v>#DIV/0!</v>
      </c>
      <c r="V29" s="45"/>
      <c r="W29" s="45" t="str">
        <f t="shared" si="4"/>
        <v>#DIV/0!</v>
      </c>
      <c r="X29" s="46" t="str">
        <f t="shared" si="5"/>
        <v>#DIV/0!</v>
      </c>
      <c r="Y29" s="47"/>
      <c r="Z29" s="22">
        <v>1.0</v>
      </c>
      <c r="AA29" s="23" t="str">
        <f t="shared" si="6"/>
        <v>#DIV/0!</v>
      </c>
      <c r="AB29" s="60"/>
      <c r="AC29" s="60"/>
      <c r="AD29" s="60"/>
      <c r="AE29" s="60"/>
    </row>
    <row r="30" ht="14.25" customHeight="1">
      <c r="A30" s="18">
        <v>18.0</v>
      </c>
      <c r="B30" s="19" t="s">
        <v>1098</v>
      </c>
      <c r="C30" s="20" t="s">
        <v>1099</v>
      </c>
      <c r="D30" s="40"/>
      <c r="E30" s="41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2" t="str">
        <f t="shared" si="1"/>
        <v>#DIV/0!</v>
      </c>
      <c r="T30" s="43" t="str">
        <f t="shared" si="2"/>
        <v>#DIV/0!</v>
      </c>
      <c r="U30" s="44" t="str">
        <f t="shared" si="3"/>
        <v>#DIV/0!</v>
      </c>
      <c r="V30" s="45"/>
      <c r="W30" s="45" t="str">
        <f t="shared" si="4"/>
        <v>#DIV/0!</v>
      </c>
      <c r="X30" s="46" t="str">
        <f t="shared" si="5"/>
        <v>#DIV/0!</v>
      </c>
      <c r="Y30" s="47"/>
      <c r="Z30" s="22">
        <v>1.0</v>
      </c>
      <c r="AA30" s="23" t="str">
        <f t="shared" si="6"/>
        <v>#DIV/0!</v>
      </c>
      <c r="AB30" s="60"/>
      <c r="AC30" s="60"/>
      <c r="AD30" s="60"/>
      <c r="AE30" s="60"/>
    </row>
    <row r="31" ht="14.25" customHeight="1">
      <c r="A31" s="18">
        <v>19.0</v>
      </c>
      <c r="B31" s="19" t="s">
        <v>1100</v>
      </c>
      <c r="C31" s="20" t="s">
        <v>1101</v>
      </c>
      <c r="D31" s="40"/>
      <c r="E31" s="41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2" t="str">
        <f t="shared" si="1"/>
        <v>#DIV/0!</v>
      </c>
      <c r="T31" s="43" t="str">
        <f t="shared" si="2"/>
        <v>#DIV/0!</v>
      </c>
      <c r="U31" s="44" t="str">
        <f t="shared" si="3"/>
        <v>#DIV/0!</v>
      </c>
      <c r="V31" s="45"/>
      <c r="W31" s="45" t="str">
        <f t="shared" si="4"/>
        <v>#DIV/0!</v>
      </c>
      <c r="X31" s="46" t="str">
        <f t="shared" si="5"/>
        <v>#DIV/0!</v>
      </c>
      <c r="Y31" s="47"/>
      <c r="Z31" s="22">
        <v>1.0</v>
      </c>
      <c r="AA31" s="23" t="str">
        <f t="shared" si="6"/>
        <v>#DIV/0!</v>
      </c>
      <c r="AB31" s="60"/>
      <c r="AC31" s="60"/>
      <c r="AD31" s="60"/>
      <c r="AE31" s="60"/>
    </row>
    <row r="32" ht="14.25" customHeight="1">
      <c r="A32" s="18">
        <v>20.0</v>
      </c>
      <c r="B32" s="19" t="s">
        <v>1102</v>
      </c>
      <c r="C32" s="20" t="s">
        <v>1103</v>
      </c>
      <c r="D32" s="40"/>
      <c r="E32" s="41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2" t="str">
        <f t="shared" si="1"/>
        <v>#DIV/0!</v>
      </c>
      <c r="T32" s="43" t="str">
        <f t="shared" si="2"/>
        <v>#DIV/0!</v>
      </c>
      <c r="U32" s="44" t="str">
        <f t="shared" si="3"/>
        <v>#DIV/0!</v>
      </c>
      <c r="V32" s="45"/>
      <c r="W32" s="45" t="str">
        <f t="shared" si="4"/>
        <v>#DIV/0!</v>
      </c>
      <c r="X32" s="46" t="str">
        <f t="shared" si="5"/>
        <v>#DIV/0!</v>
      </c>
      <c r="Y32" s="47"/>
      <c r="Z32" s="22">
        <v>1.0</v>
      </c>
      <c r="AA32" s="23" t="str">
        <f t="shared" si="6"/>
        <v>#DIV/0!</v>
      </c>
      <c r="AB32" s="60"/>
      <c r="AC32" s="60"/>
      <c r="AD32" s="60"/>
      <c r="AE32" s="60"/>
    </row>
    <row r="33" ht="14.25" customHeight="1">
      <c r="A33" s="18">
        <v>21.0</v>
      </c>
      <c r="B33" s="19" t="s">
        <v>1104</v>
      </c>
      <c r="C33" s="20" t="s">
        <v>1105</v>
      </c>
      <c r="D33" s="40"/>
      <c r="E33" s="41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2" t="str">
        <f t="shared" si="1"/>
        <v>#DIV/0!</v>
      </c>
      <c r="T33" s="43" t="str">
        <f t="shared" si="2"/>
        <v>#DIV/0!</v>
      </c>
      <c r="U33" s="44" t="str">
        <f t="shared" si="3"/>
        <v>#DIV/0!</v>
      </c>
      <c r="V33" s="45"/>
      <c r="W33" s="45" t="str">
        <f t="shared" si="4"/>
        <v>#DIV/0!</v>
      </c>
      <c r="X33" s="46" t="str">
        <f t="shared" si="5"/>
        <v>#DIV/0!</v>
      </c>
      <c r="Y33" s="47"/>
      <c r="Z33" s="22">
        <v>1.0</v>
      </c>
      <c r="AA33" s="23" t="str">
        <f t="shared" si="6"/>
        <v>#DIV/0!</v>
      </c>
      <c r="AB33" s="60"/>
      <c r="AC33" s="60"/>
      <c r="AD33" s="60"/>
      <c r="AE33" s="60"/>
    </row>
    <row r="34" ht="14.25" customHeight="1">
      <c r="A34" s="18">
        <v>22.0</v>
      </c>
      <c r="B34" s="19" t="s">
        <v>1106</v>
      </c>
      <c r="C34" s="20" t="s">
        <v>1107</v>
      </c>
      <c r="D34" s="40"/>
      <c r="E34" s="41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2" t="str">
        <f t="shared" si="1"/>
        <v>#DIV/0!</v>
      </c>
      <c r="T34" s="43" t="str">
        <f t="shared" si="2"/>
        <v>#DIV/0!</v>
      </c>
      <c r="U34" s="44" t="str">
        <f t="shared" si="3"/>
        <v>#DIV/0!</v>
      </c>
      <c r="V34" s="45"/>
      <c r="W34" s="45" t="str">
        <f t="shared" si="4"/>
        <v>#DIV/0!</v>
      </c>
      <c r="X34" s="46" t="str">
        <f t="shared" si="5"/>
        <v>#DIV/0!</v>
      </c>
      <c r="Y34" s="47"/>
      <c r="Z34" s="22">
        <v>1.0</v>
      </c>
      <c r="AA34" s="23" t="str">
        <f t="shared" si="6"/>
        <v>#DIV/0!</v>
      </c>
      <c r="AB34" s="60"/>
      <c r="AC34" s="60"/>
      <c r="AD34" s="60"/>
      <c r="AE34" s="60"/>
    </row>
    <row r="35" ht="14.25" customHeight="1">
      <c r="A35" s="18">
        <v>23.0</v>
      </c>
      <c r="B35" s="19" t="s">
        <v>1108</v>
      </c>
      <c r="C35" s="20" t="s">
        <v>1109</v>
      </c>
      <c r="D35" s="40"/>
      <c r="E35" s="41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2" t="str">
        <f t="shared" si="1"/>
        <v>#DIV/0!</v>
      </c>
      <c r="T35" s="43" t="str">
        <f t="shared" si="2"/>
        <v>#DIV/0!</v>
      </c>
      <c r="U35" s="44" t="str">
        <f t="shared" si="3"/>
        <v>#DIV/0!</v>
      </c>
      <c r="V35" s="45"/>
      <c r="W35" s="45" t="str">
        <f t="shared" si="4"/>
        <v>#DIV/0!</v>
      </c>
      <c r="X35" s="46" t="str">
        <f t="shared" si="5"/>
        <v>#DIV/0!</v>
      </c>
      <c r="Y35" s="47"/>
      <c r="Z35" s="22">
        <v>1.0</v>
      </c>
      <c r="AA35" s="23" t="str">
        <f t="shared" si="6"/>
        <v>#DIV/0!</v>
      </c>
      <c r="AB35" s="60"/>
      <c r="AC35" s="60"/>
      <c r="AD35" s="60"/>
      <c r="AE35" s="60"/>
    </row>
    <row r="36" ht="14.25" customHeight="1">
      <c r="A36" s="18">
        <v>24.0</v>
      </c>
      <c r="B36" s="19" t="s">
        <v>1110</v>
      </c>
      <c r="C36" s="20" t="s">
        <v>1111</v>
      </c>
      <c r="D36" s="40"/>
      <c r="E36" s="41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2" t="str">
        <f t="shared" si="1"/>
        <v>#DIV/0!</v>
      </c>
      <c r="T36" s="43" t="str">
        <f t="shared" si="2"/>
        <v>#DIV/0!</v>
      </c>
      <c r="U36" s="44" t="str">
        <f t="shared" si="3"/>
        <v>#DIV/0!</v>
      </c>
      <c r="V36" s="45"/>
      <c r="W36" s="45" t="str">
        <f t="shared" si="4"/>
        <v>#DIV/0!</v>
      </c>
      <c r="X36" s="46" t="str">
        <f t="shared" si="5"/>
        <v>#DIV/0!</v>
      </c>
      <c r="Y36" s="47"/>
      <c r="Z36" s="22">
        <v>1.0</v>
      </c>
      <c r="AA36" s="23" t="str">
        <f t="shared" si="6"/>
        <v>#DIV/0!</v>
      </c>
      <c r="AB36" s="60"/>
      <c r="AC36" s="60"/>
      <c r="AD36" s="60"/>
      <c r="AE36" s="60"/>
    </row>
    <row r="37" ht="14.25" customHeight="1">
      <c r="A37" s="18">
        <v>25.0</v>
      </c>
      <c r="B37" s="19" t="s">
        <v>1112</v>
      </c>
      <c r="C37" s="20" t="s">
        <v>1113</v>
      </c>
      <c r="D37" s="40"/>
      <c r="E37" s="41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2" t="str">
        <f t="shared" si="1"/>
        <v>#DIV/0!</v>
      </c>
      <c r="T37" s="43" t="str">
        <f t="shared" si="2"/>
        <v>#DIV/0!</v>
      </c>
      <c r="U37" s="44" t="str">
        <f t="shared" si="3"/>
        <v>#DIV/0!</v>
      </c>
      <c r="V37" s="45"/>
      <c r="W37" s="45" t="str">
        <f t="shared" si="4"/>
        <v>#DIV/0!</v>
      </c>
      <c r="X37" s="46" t="str">
        <f t="shared" si="5"/>
        <v>#DIV/0!</v>
      </c>
      <c r="Y37" s="47"/>
      <c r="Z37" s="22">
        <v>1.0</v>
      </c>
      <c r="AA37" s="23" t="str">
        <f t="shared" si="6"/>
        <v>#DIV/0!</v>
      </c>
      <c r="AB37" s="60"/>
      <c r="AC37" s="60"/>
      <c r="AD37" s="60"/>
      <c r="AE37" s="60"/>
    </row>
    <row r="38" ht="14.25" customHeight="1">
      <c r="A38" s="18">
        <v>26.0</v>
      </c>
      <c r="B38" s="19" t="s">
        <v>1114</v>
      </c>
      <c r="C38" s="20" t="s">
        <v>1115</v>
      </c>
      <c r="D38" s="40"/>
      <c r="E38" s="41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2" t="str">
        <f t="shared" si="1"/>
        <v>#DIV/0!</v>
      </c>
      <c r="T38" s="43" t="str">
        <f t="shared" si="2"/>
        <v>#DIV/0!</v>
      </c>
      <c r="U38" s="44" t="str">
        <f t="shared" si="3"/>
        <v>#DIV/0!</v>
      </c>
      <c r="V38" s="45"/>
      <c r="W38" s="45" t="str">
        <f t="shared" si="4"/>
        <v>#DIV/0!</v>
      </c>
      <c r="X38" s="46" t="str">
        <f t="shared" si="5"/>
        <v>#DIV/0!</v>
      </c>
      <c r="Y38" s="47"/>
      <c r="Z38" s="22">
        <v>1.0</v>
      </c>
      <c r="AA38" s="23" t="str">
        <f t="shared" si="6"/>
        <v>#DIV/0!</v>
      </c>
      <c r="AB38" s="60"/>
      <c r="AC38" s="60"/>
      <c r="AD38" s="60"/>
      <c r="AE38" s="60"/>
    </row>
    <row r="39" ht="14.25" customHeight="1">
      <c r="A39" s="18">
        <v>27.0</v>
      </c>
      <c r="B39" s="19" t="s">
        <v>1116</v>
      </c>
      <c r="C39" s="20" t="s">
        <v>1117</v>
      </c>
      <c r="D39" s="40"/>
      <c r="E39" s="41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2" t="str">
        <f t="shared" si="1"/>
        <v>#DIV/0!</v>
      </c>
      <c r="T39" s="43" t="str">
        <f t="shared" si="2"/>
        <v>#DIV/0!</v>
      </c>
      <c r="U39" s="44" t="str">
        <f t="shared" si="3"/>
        <v>#DIV/0!</v>
      </c>
      <c r="V39" s="45"/>
      <c r="W39" s="45" t="str">
        <f t="shared" si="4"/>
        <v>#DIV/0!</v>
      </c>
      <c r="X39" s="46" t="str">
        <f t="shared" si="5"/>
        <v>#DIV/0!</v>
      </c>
      <c r="Y39" s="47"/>
      <c r="Z39" s="22">
        <v>1.0</v>
      </c>
      <c r="AA39" s="23" t="str">
        <f t="shared" si="6"/>
        <v>#DIV/0!</v>
      </c>
      <c r="AB39" s="60"/>
      <c r="AC39" s="60"/>
      <c r="AD39" s="60"/>
      <c r="AE39" s="60"/>
    </row>
    <row r="40" ht="14.25" customHeight="1">
      <c r="A40" s="18">
        <v>28.0</v>
      </c>
      <c r="B40" s="19" t="s">
        <v>1118</v>
      </c>
      <c r="C40" s="20" t="s">
        <v>1119</v>
      </c>
      <c r="D40" s="40"/>
      <c r="E40" s="41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2" t="str">
        <f t="shared" si="1"/>
        <v>#DIV/0!</v>
      </c>
      <c r="T40" s="43" t="str">
        <f t="shared" si="2"/>
        <v>#DIV/0!</v>
      </c>
      <c r="U40" s="44" t="str">
        <f t="shared" si="3"/>
        <v>#DIV/0!</v>
      </c>
      <c r="V40" s="45"/>
      <c r="W40" s="45" t="str">
        <f t="shared" si="4"/>
        <v>#DIV/0!</v>
      </c>
      <c r="X40" s="46" t="str">
        <f t="shared" si="5"/>
        <v>#DIV/0!</v>
      </c>
      <c r="Y40" s="47"/>
      <c r="Z40" s="22">
        <v>1.0</v>
      </c>
      <c r="AA40" s="23" t="str">
        <f t="shared" si="6"/>
        <v>#DIV/0!</v>
      </c>
      <c r="AB40" s="60"/>
      <c r="AC40" s="60"/>
      <c r="AD40" s="60"/>
      <c r="AE40" s="60"/>
    </row>
    <row r="41" ht="14.25" customHeight="1">
      <c r="A41" s="18">
        <v>29.0</v>
      </c>
      <c r="B41" s="19" t="s">
        <v>1120</v>
      </c>
      <c r="C41" s="20" t="s">
        <v>1121</v>
      </c>
      <c r="D41" s="40"/>
      <c r="E41" s="41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2" t="str">
        <f t="shared" si="1"/>
        <v>#DIV/0!</v>
      </c>
      <c r="T41" s="43" t="str">
        <f t="shared" si="2"/>
        <v>#DIV/0!</v>
      </c>
      <c r="U41" s="44" t="str">
        <f t="shared" si="3"/>
        <v>#DIV/0!</v>
      </c>
      <c r="V41" s="45"/>
      <c r="W41" s="45" t="str">
        <f t="shared" si="4"/>
        <v>#DIV/0!</v>
      </c>
      <c r="X41" s="46" t="str">
        <f t="shared" si="5"/>
        <v>#DIV/0!</v>
      </c>
      <c r="Y41" s="47"/>
      <c r="Z41" s="22">
        <v>1.0</v>
      </c>
      <c r="AA41" s="23" t="str">
        <f t="shared" si="6"/>
        <v>#DIV/0!</v>
      </c>
      <c r="AB41" s="60"/>
      <c r="AC41" s="60"/>
      <c r="AD41" s="60"/>
      <c r="AE41" s="60"/>
    </row>
    <row r="42" ht="14.25" customHeight="1">
      <c r="A42" s="18">
        <v>30.0</v>
      </c>
      <c r="B42" s="19" t="s">
        <v>1122</v>
      </c>
      <c r="C42" s="20" t="s">
        <v>1123</v>
      </c>
      <c r="D42" s="40"/>
      <c r="E42" s="41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2" t="str">
        <f t="shared" si="1"/>
        <v>#DIV/0!</v>
      </c>
      <c r="T42" s="43" t="str">
        <f t="shared" si="2"/>
        <v>#DIV/0!</v>
      </c>
      <c r="U42" s="44" t="str">
        <f t="shared" si="3"/>
        <v>#DIV/0!</v>
      </c>
      <c r="V42" s="45"/>
      <c r="W42" s="45" t="str">
        <f t="shared" si="4"/>
        <v>#DIV/0!</v>
      </c>
      <c r="X42" s="46" t="str">
        <f t="shared" si="5"/>
        <v>#DIV/0!</v>
      </c>
      <c r="Y42" s="47"/>
      <c r="Z42" s="22">
        <v>1.0</v>
      </c>
      <c r="AA42" s="23" t="str">
        <f t="shared" si="6"/>
        <v>#DIV/0!</v>
      </c>
      <c r="AB42" s="60"/>
      <c r="AC42" s="60"/>
      <c r="AD42" s="60"/>
      <c r="AE42" s="60"/>
    </row>
    <row r="43" ht="14.25" customHeight="1">
      <c r="A43" s="18">
        <v>31.0</v>
      </c>
      <c r="B43" s="19" t="s">
        <v>1124</v>
      </c>
      <c r="C43" s="20" t="s">
        <v>1125</v>
      </c>
      <c r="D43" s="40"/>
      <c r="E43" s="41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2" t="str">
        <f t="shared" si="1"/>
        <v>#DIV/0!</v>
      </c>
      <c r="T43" s="43" t="str">
        <f t="shared" si="2"/>
        <v>#DIV/0!</v>
      </c>
      <c r="U43" s="44" t="str">
        <f t="shared" si="3"/>
        <v>#DIV/0!</v>
      </c>
      <c r="V43" s="45"/>
      <c r="W43" s="45" t="str">
        <f t="shared" si="4"/>
        <v>#DIV/0!</v>
      </c>
      <c r="X43" s="46" t="str">
        <f t="shared" si="5"/>
        <v>#DIV/0!</v>
      </c>
      <c r="Y43" s="47"/>
      <c r="Z43" s="22">
        <v>1.0</v>
      </c>
      <c r="AA43" s="23" t="str">
        <f t="shared" si="6"/>
        <v>#DIV/0!</v>
      </c>
      <c r="AB43" s="60"/>
      <c r="AC43" s="60"/>
      <c r="AD43" s="60"/>
      <c r="AE43" s="60"/>
    </row>
    <row r="44" ht="14.25" customHeight="1">
      <c r="A44" s="18">
        <v>32.0</v>
      </c>
      <c r="B44" s="19" t="s">
        <v>1126</v>
      </c>
      <c r="C44" s="20" t="s">
        <v>1127</v>
      </c>
      <c r="D44" s="40"/>
      <c r="E44" s="41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2" t="str">
        <f t="shared" si="1"/>
        <v>#DIV/0!</v>
      </c>
      <c r="T44" s="43" t="str">
        <f t="shared" si="2"/>
        <v>#DIV/0!</v>
      </c>
      <c r="U44" s="44" t="str">
        <f t="shared" si="3"/>
        <v>#DIV/0!</v>
      </c>
      <c r="V44" s="45"/>
      <c r="W44" s="45" t="str">
        <f t="shared" si="4"/>
        <v>#DIV/0!</v>
      </c>
      <c r="X44" s="46" t="str">
        <f t="shared" si="5"/>
        <v>#DIV/0!</v>
      </c>
      <c r="Y44" s="47"/>
      <c r="Z44" s="22">
        <v>1.0</v>
      </c>
      <c r="AA44" s="23" t="str">
        <f t="shared" si="6"/>
        <v>#DIV/0!</v>
      </c>
      <c r="AB44" s="60"/>
      <c r="AC44" s="60"/>
      <c r="AD44" s="60"/>
      <c r="AE44" s="60"/>
    </row>
    <row r="45" ht="14.25" customHeight="1">
      <c r="A45" s="18">
        <v>33.0</v>
      </c>
      <c r="B45" s="19" t="s">
        <v>1128</v>
      </c>
      <c r="C45" s="20" t="s">
        <v>1129</v>
      </c>
      <c r="D45" s="40"/>
      <c r="E45" s="41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2" t="str">
        <f t="shared" si="1"/>
        <v>#DIV/0!</v>
      </c>
      <c r="T45" s="43" t="str">
        <f t="shared" si="2"/>
        <v>#DIV/0!</v>
      </c>
      <c r="U45" s="44" t="str">
        <f t="shared" si="3"/>
        <v>#DIV/0!</v>
      </c>
      <c r="V45" s="45"/>
      <c r="W45" s="45" t="str">
        <f t="shared" si="4"/>
        <v>#DIV/0!</v>
      </c>
      <c r="X45" s="46" t="str">
        <f t="shared" si="5"/>
        <v>#DIV/0!</v>
      </c>
      <c r="Y45" s="47"/>
      <c r="Z45" s="22">
        <v>1.0</v>
      </c>
      <c r="AA45" s="23" t="str">
        <f t="shared" si="6"/>
        <v>#DIV/0!</v>
      </c>
      <c r="AB45" s="60"/>
      <c r="AC45" s="60"/>
      <c r="AD45" s="60"/>
      <c r="AE45" s="60"/>
    </row>
    <row r="46" ht="14.25" customHeight="1">
      <c r="A46" s="18">
        <v>34.0</v>
      </c>
      <c r="B46" s="19" t="s">
        <v>1130</v>
      </c>
      <c r="C46" s="20" t="s">
        <v>1131</v>
      </c>
      <c r="D46" s="40"/>
      <c r="E46" s="41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2" t="str">
        <f t="shared" si="1"/>
        <v>#DIV/0!</v>
      </c>
      <c r="T46" s="43" t="str">
        <f t="shared" si="2"/>
        <v>#DIV/0!</v>
      </c>
      <c r="U46" s="44" t="str">
        <f t="shared" si="3"/>
        <v>#DIV/0!</v>
      </c>
      <c r="V46" s="45"/>
      <c r="W46" s="45" t="str">
        <f t="shared" si="4"/>
        <v>#DIV/0!</v>
      </c>
      <c r="X46" s="46" t="str">
        <f t="shared" si="5"/>
        <v>#DIV/0!</v>
      </c>
      <c r="Y46" s="47"/>
      <c r="Z46" s="22">
        <v>1.0</v>
      </c>
      <c r="AA46" s="23" t="str">
        <f t="shared" si="6"/>
        <v>#DIV/0!</v>
      </c>
      <c r="AB46" s="60"/>
      <c r="AC46" s="60"/>
      <c r="AD46" s="60"/>
      <c r="AE46" s="60"/>
    </row>
    <row r="47" ht="14.25" customHeight="1">
      <c r="A47" s="18">
        <v>35.0</v>
      </c>
      <c r="B47" s="19" t="s">
        <v>1132</v>
      </c>
      <c r="C47" s="20" t="s">
        <v>1133</v>
      </c>
      <c r="D47" s="40"/>
      <c r="E47" s="41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2" t="str">
        <f t="shared" si="1"/>
        <v>#DIV/0!</v>
      </c>
      <c r="T47" s="43" t="str">
        <f t="shared" si="2"/>
        <v>#DIV/0!</v>
      </c>
      <c r="U47" s="44" t="str">
        <f t="shared" si="3"/>
        <v>#DIV/0!</v>
      </c>
      <c r="V47" s="45"/>
      <c r="W47" s="45" t="str">
        <f t="shared" si="4"/>
        <v>#DIV/0!</v>
      </c>
      <c r="X47" s="46" t="str">
        <f t="shared" si="5"/>
        <v>#DIV/0!</v>
      </c>
      <c r="Y47" s="47"/>
      <c r="Z47" s="22">
        <v>1.0</v>
      </c>
      <c r="AA47" s="23" t="str">
        <f t="shared" si="6"/>
        <v>#DIV/0!</v>
      </c>
      <c r="AB47" s="60"/>
      <c r="AC47" s="60"/>
      <c r="AD47" s="60"/>
      <c r="AE47" s="60"/>
    </row>
    <row r="48" ht="14.25" customHeight="1">
      <c r="A48" s="18">
        <v>36.0</v>
      </c>
      <c r="B48" s="19" t="s">
        <v>1134</v>
      </c>
      <c r="C48" s="20" t="s">
        <v>1135</v>
      </c>
      <c r="D48" s="40"/>
      <c r="E48" s="41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2" t="str">
        <f t="shared" si="1"/>
        <v>#DIV/0!</v>
      </c>
      <c r="T48" s="43" t="str">
        <f t="shared" si="2"/>
        <v>#DIV/0!</v>
      </c>
      <c r="U48" s="44" t="str">
        <f t="shared" si="3"/>
        <v>#DIV/0!</v>
      </c>
      <c r="V48" s="45"/>
      <c r="W48" s="45" t="str">
        <f t="shared" si="4"/>
        <v>#DIV/0!</v>
      </c>
      <c r="X48" s="46" t="str">
        <f t="shared" si="5"/>
        <v>#DIV/0!</v>
      </c>
      <c r="Y48" s="47"/>
      <c r="Z48" s="22">
        <v>1.0</v>
      </c>
      <c r="AA48" s="23" t="str">
        <f t="shared" si="6"/>
        <v>#DIV/0!</v>
      </c>
      <c r="AB48" s="60"/>
      <c r="AC48" s="60"/>
      <c r="AD48" s="60"/>
      <c r="AE48" s="60"/>
    </row>
    <row r="49" ht="14.25" customHeight="1">
      <c r="A49" s="18">
        <v>37.0</v>
      </c>
      <c r="B49" s="19" t="s">
        <v>1136</v>
      </c>
      <c r="C49" s="20" t="s">
        <v>1137</v>
      </c>
      <c r="D49" s="40"/>
      <c r="E49" s="41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2" t="str">
        <f t="shared" si="1"/>
        <v>#DIV/0!</v>
      </c>
      <c r="T49" s="43" t="str">
        <f t="shared" si="2"/>
        <v>#DIV/0!</v>
      </c>
      <c r="U49" s="44" t="str">
        <f t="shared" si="3"/>
        <v>#DIV/0!</v>
      </c>
      <c r="V49" s="45"/>
      <c r="W49" s="45" t="str">
        <f t="shared" si="4"/>
        <v>#DIV/0!</v>
      </c>
      <c r="X49" s="46" t="str">
        <f t="shared" si="5"/>
        <v>#DIV/0!</v>
      </c>
      <c r="Y49" s="47"/>
      <c r="Z49" s="22">
        <v>1.0</v>
      </c>
      <c r="AA49" s="23" t="str">
        <f t="shared" si="6"/>
        <v>#DIV/0!</v>
      </c>
      <c r="AB49" s="60"/>
      <c r="AC49" s="60"/>
      <c r="AE49" s="60"/>
    </row>
    <row r="50" ht="14.25" customHeight="1">
      <c r="A50" s="18">
        <v>38.0</v>
      </c>
      <c r="B50" s="19" t="s">
        <v>1138</v>
      </c>
      <c r="C50" s="20" t="s">
        <v>1139</v>
      </c>
      <c r="D50" s="57"/>
      <c r="E50" s="41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42" t="str">
        <f t="shared" si="1"/>
        <v>#DIV/0!</v>
      </c>
      <c r="T50" s="43" t="str">
        <f t="shared" si="2"/>
        <v>#DIV/0!</v>
      </c>
      <c r="U50" s="44" t="str">
        <f t="shared" si="3"/>
        <v>#DIV/0!</v>
      </c>
      <c r="V50" s="45"/>
      <c r="W50" s="45" t="str">
        <f t="shared" si="4"/>
        <v>#DIV/0!</v>
      </c>
      <c r="X50" s="46" t="str">
        <f t="shared" si="5"/>
        <v>#DIV/0!</v>
      </c>
      <c r="Y50" s="47"/>
      <c r="Z50" s="22"/>
      <c r="AA50" s="23" t="str">
        <f t="shared" si="6"/>
        <v>#DIV/0!</v>
      </c>
    </row>
    <row r="51" ht="14.25" customHeight="1">
      <c r="A51" s="18">
        <v>39.0</v>
      </c>
      <c r="B51" s="19" t="s">
        <v>1140</v>
      </c>
      <c r="C51" s="20" t="s">
        <v>1141</v>
      </c>
      <c r="D51" s="57"/>
      <c r="E51" s="41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42" t="str">
        <f t="shared" si="1"/>
        <v>#DIV/0!</v>
      </c>
      <c r="T51" s="43" t="str">
        <f t="shared" si="2"/>
        <v>#DIV/0!</v>
      </c>
      <c r="U51" s="44" t="str">
        <f t="shared" si="3"/>
        <v>#DIV/0!</v>
      </c>
      <c r="V51" s="45"/>
      <c r="W51" s="45" t="str">
        <f t="shared" si="4"/>
        <v>#DIV/0!</v>
      </c>
      <c r="X51" s="46" t="str">
        <f t="shared" si="5"/>
        <v>#DIV/0!</v>
      </c>
      <c r="Y51" s="47"/>
      <c r="Z51" s="22"/>
      <c r="AA51" s="23" t="str">
        <f t="shared" si="6"/>
        <v>#DIV/0!</v>
      </c>
    </row>
    <row r="52" ht="14.25" customHeight="1">
      <c r="A52" s="18">
        <v>40.0</v>
      </c>
      <c r="B52" s="19" t="s">
        <v>1142</v>
      </c>
      <c r="C52" s="20" t="s">
        <v>1143</v>
      </c>
      <c r="D52" s="57"/>
      <c r="E52" s="41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42" t="str">
        <f t="shared" si="1"/>
        <v>#DIV/0!</v>
      </c>
      <c r="T52" s="43" t="str">
        <f t="shared" si="2"/>
        <v>#DIV/0!</v>
      </c>
      <c r="U52" s="44" t="str">
        <f t="shared" si="3"/>
        <v>#DIV/0!</v>
      </c>
      <c r="V52" s="45"/>
      <c r="W52" s="45" t="str">
        <f t="shared" si="4"/>
        <v>#DIV/0!</v>
      </c>
      <c r="X52" s="46" t="str">
        <f t="shared" si="5"/>
        <v>#DIV/0!</v>
      </c>
      <c r="Y52" s="47"/>
      <c r="Z52" s="22"/>
      <c r="AA52" s="23" t="str">
        <f t="shared" si="6"/>
        <v>#DIV/0!</v>
      </c>
    </row>
    <row r="53" ht="14.25" customHeight="1">
      <c r="A53" s="18">
        <v>41.0</v>
      </c>
      <c r="B53" s="19" t="s">
        <v>1144</v>
      </c>
      <c r="C53" s="20" t="s">
        <v>1145</v>
      </c>
      <c r="D53" s="57"/>
      <c r="E53" s="41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42" t="str">
        <f t="shared" si="1"/>
        <v>#DIV/0!</v>
      </c>
      <c r="T53" s="43" t="str">
        <f t="shared" si="2"/>
        <v>#DIV/0!</v>
      </c>
      <c r="U53" s="44" t="str">
        <f t="shared" si="3"/>
        <v>#DIV/0!</v>
      </c>
      <c r="V53" s="45"/>
      <c r="W53" s="45" t="str">
        <f t="shared" si="4"/>
        <v>#DIV/0!</v>
      </c>
      <c r="X53" s="46" t="str">
        <f t="shared" si="5"/>
        <v>#DIV/0!</v>
      </c>
      <c r="Y53" s="47"/>
      <c r="Z53" s="22"/>
      <c r="AA53" s="23" t="str">
        <f t="shared" si="6"/>
        <v>#DIV/0!</v>
      </c>
    </row>
    <row r="54" ht="14.25" customHeight="1">
      <c r="A54" s="18">
        <v>42.0</v>
      </c>
      <c r="B54" s="19" t="s">
        <v>1146</v>
      </c>
      <c r="C54" s="20" t="s">
        <v>1147</v>
      </c>
      <c r="D54" s="57"/>
      <c r="E54" s="41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42" t="str">
        <f t="shared" si="1"/>
        <v>#DIV/0!</v>
      </c>
      <c r="T54" s="43" t="str">
        <f t="shared" si="2"/>
        <v>#DIV/0!</v>
      </c>
      <c r="U54" s="44" t="str">
        <f t="shared" si="3"/>
        <v>#DIV/0!</v>
      </c>
      <c r="V54" s="45"/>
      <c r="W54" s="45" t="str">
        <f t="shared" si="4"/>
        <v>#DIV/0!</v>
      </c>
      <c r="X54" s="46" t="str">
        <f t="shared" si="5"/>
        <v>#DIV/0!</v>
      </c>
      <c r="Y54" s="47"/>
      <c r="Z54" s="22"/>
      <c r="AA54" s="23" t="str">
        <f t="shared" si="6"/>
        <v>#DIV/0!</v>
      </c>
    </row>
    <row r="55" ht="14.25" customHeight="1">
      <c r="A55" s="18">
        <v>43.0</v>
      </c>
      <c r="B55" s="19" t="s">
        <v>1148</v>
      </c>
      <c r="C55" s="20" t="s">
        <v>1149</v>
      </c>
      <c r="D55" s="57"/>
      <c r="E55" s="41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42" t="str">
        <f t="shared" si="1"/>
        <v>#DIV/0!</v>
      </c>
      <c r="T55" s="43" t="str">
        <f t="shared" si="2"/>
        <v>#DIV/0!</v>
      </c>
      <c r="U55" s="44" t="str">
        <f t="shared" si="3"/>
        <v>#DIV/0!</v>
      </c>
      <c r="V55" s="45"/>
      <c r="W55" s="45" t="str">
        <f t="shared" si="4"/>
        <v>#DIV/0!</v>
      </c>
      <c r="X55" s="46" t="str">
        <f t="shared" si="5"/>
        <v>#DIV/0!</v>
      </c>
      <c r="Y55" s="47"/>
      <c r="Z55" s="22"/>
      <c r="AA55" s="23" t="str">
        <f t="shared" si="6"/>
        <v>#DIV/0!</v>
      </c>
    </row>
    <row r="56" ht="14.25" customHeight="1">
      <c r="A56" s="18">
        <v>44.0</v>
      </c>
      <c r="B56" s="19" t="s">
        <v>1150</v>
      </c>
      <c r="C56" s="20" t="s">
        <v>1151</v>
      </c>
      <c r="D56" s="57"/>
      <c r="E56" s="41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42" t="str">
        <f t="shared" si="1"/>
        <v>#DIV/0!</v>
      </c>
      <c r="T56" s="43" t="str">
        <f t="shared" si="2"/>
        <v>#DIV/0!</v>
      </c>
      <c r="U56" s="44" t="str">
        <f t="shared" si="3"/>
        <v>#DIV/0!</v>
      </c>
      <c r="V56" s="45"/>
      <c r="W56" s="45" t="str">
        <f t="shared" si="4"/>
        <v>#DIV/0!</v>
      </c>
      <c r="X56" s="46" t="str">
        <f t="shared" si="5"/>
        <v>#DIV/0!</v>
      </c>
      <c r="Y56" s="47"/>
      <c r="Z56" s="22"/>
      <c r="AA56" s="23" t="str">
        <f t="shared" si="6"/>
        <v>#DIV/0!</v>
      </c>
    </row>
    <row r="57" ht="14.25" customHeight="1">
      <c r="A57" s="18">
        <v>45.0</v>
      </c>
      <c r="B57" s="19" t="s">
        <v>1152</v>
      </c>
      <c r="C57" s="20" t="s">
        <v>1153</v>
      </c>
      <c r="D57" s="57"/>
      <c r="E57" s="41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42" t="str">
        <f t="shared" si="1"/>
        <v>#DIV/0!</v>
      </c>
      <c r="T57" s="43" t="str">
        <f t="shared" si="2"/>
        <v>#DIV/0!</v>
      </c>
      <c r="U57" s="44" t="str">
        <f t="shared" si="3"/>
        <v>#DIV/0!</v>
      </c>
      <c r="V57" s="45"/>
      <c r="W57" s="45" t="str">
        <f t="shared" si="4"/>
        <v>#DIV/0!</v>
      </c>
      <c r="X57" s="46" t="str">
        <f t="shared" si="5"/>
        <v>#DIV/0!</v>
      </c>
      <c r="Y57" s="47"/>
      <c r="Z57" s="22"/>
      <c r="AA57" s="23" t="str">
        <f t="shared" si="6"/>
        <v>#DIV/0!</v>
      </c>
    </row>
    <row r="58" ht="14.25" customHeight="1">
      <c r="A58" s="18">
        <v>46.0</v>
      </c>
      <c r="B58" s="19" t="s">
        <v>1154</v>
      </c>
      <c r="C58" s="20" t="s">
        <v>1155</v>
      </c>
      <c r="D58" s="57"/>
      <c r="E58" s="41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42" t="str">
        <f t="shared" si="1"/>
        <v>#DIV/0!</v>
      </c>
      <c r="T58" s="43" t="str">
        <f t="shared" si="2"/>
        <v>#DIV/0!</v>
      </c>
      <c r="U58" s="44" t="str">
        <f t="shared" si="3"/>
        <v>#DIV/0!</v>
      </c>
      <c r="V58" s="45"/>
      <c r="W58" s="45" t="str">
        <f t="shared" si="4"/>
        <v>#DIV/0!</v>
      </c>
      <c r="X58" s="46" t="str">
        <f t="shared" si="5"/>
        <v>#DIV/0!</v>
      </c>
      <c r="Y58" s="47"/>
      <c r="Z58" s="22"/>
      <c r="AA58" s="23" t="str">
        <f t="shared" si="6"/>
        <v>#DIV/0!</v>
      </c>
    </row>
    <row r="59" ht="14.25" customHeight="1">
      <c r="A59" s="18">
        <v>47.0</v>
      </c>
      <c r="B59" s="19" t="s">
        <v>1156</v>
      </c>
      <c r="C59" s="20" t="s">
        <v>1157</v>
      </c>
      <c r="D59" s="57"/>
      <c r="E59" s="41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42" t="str">
        <f t="shared" si="1"/>
        <v>#DIV/0!</v>
      </c>
      <c r="T59" s="43" t="str">
        <f t="shared" si="2"/>
        <v>#DIV/0!</v>
      </c>
      <c r="U59" s="44" t="str">
        <f t="shared" si="3"/>
        <v>#DIV/0!</v>
      </c>
      <c r="V59" s="45"/>
      <c r="W59" s="45" t="str">
        <f t="shared" si="4"/>
        <v>#DIV/0!</v>
      </c>
      <c r="X59" s="46" t="str">
        <f t="shared" si="5"/>
        <v>#DIV/0!</v>
      </c>
      <c r="Y59" s="47"/>
      <c r="Z59" s="22"/>
      <c r="AA59" s="23" t="str">
        <f t="shared" si="6"/>
        <v>#DIV/0!</v>
      </c>
    </row>
    <row r="60" ht="14.25" customHeight="1">
      <c r="A60" s="18">
        <v>48.0</v>
      </c>
      <c r="B60" s="19" t="s">
        <v>1158</v>
      </c>
      <c r="C60" s="20" t="s">
        <v>1159</v>
      </c>
      <c r="D60" s="57"/>
      <c r="E60" s="41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42" t="str">
        <f t="shared" si="1"/>
        <v>#DIV/0!</v>
      </c>
      <c r="T60" s="43" t="str">
        <f t="shared" si="2"/>
        <v>#DIV/0!</v>
      </c>
      <c r="U60" s="44" t="str">
        <f t="shared" si="3"/>
        <v>#DIV/0!</v>
      </c>
      <c r="V60" s="45"/>
      <c r="W60" s="45" t="str">
        <f t="shared" si="4"/>
        <v>#DIV/0!</v>
      </c>
      <c r="X60" s="46" t="str">
        <f t="shared" si="5"/>
        <v>#DIV/0!</v>
      </c>
      <c r="Y60" s="47"/>
      <c r="Z60" s="22"/>
      <c r="AA60" s="23" t="str">
        <f t="shared" si="6"/>
        <v>#DIV/0!</v>
      </c>
    </row>
    <row r="61" ht="14.25" customHeight="1"/>
    <row r="62" ht="14.25" customHeight="1"/>
    <row r="63" ht="14.25" customHeight="1">
      <c r="Y63" s="26" t="s">
        <v>109</v>
      </c>
      <c r="AA63" s="58" t="str">
        <f>MAX(AA13:AA49)</f>
        <v>#DIV/0!</v>
      </c>
    </row>
    <row r="64" ht="14.25" customHeight="1">
      <c r="Y64" s="26" t="s">
        <v>110</v>
      </c>
      <c r="AA64" s="59" t="str">
        <f>MIN(AA13:AA49)</f>
        <v>#DIV/0!</v>
      </c>
    </row>
    <row r="65" ht="14.25" customHeight="1">
      <c r="Y65" s="26" t="s">
        <v>111</v>
      </c>
      <c r="AA65" s="59" t="str">
        <f>AVERAGE(AA13:AA49)</f>
        <v>#DIV/0!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D11:H11"/>
    <mergeCell ref="I11:M11"/>
    <mergeCell ref="N11:R11"/>
    <mergeCell ref="S11:U11"/>
    <mergeCell ref="V11:V12"/>
    <mergeCell ref="W11:W12"/>
    <mergeCell ref="X11:X12"/>
    <mergeCell ref="Y11:Y12"/>
    <mergeCell ref="Z11:Z12"/>
    <mergeCell ref="AA11:AA12"/>
    <mergeCell ref="A1:AA1"/>
    <mergeCell ref="A3:AA3"/>
    <mergeCell ref="A4:AA4"/>
    <mergeCell ref="A10:A12"/>
    <mergeCell ref="B10:B12"/>
    <mergeCell ref="C10:C12"/>
    <mergeCell ref="D10:AA10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71"/>
    <col customWidth="1" min="3" max="3" width="39.71"/>
    <col customWidth="1" min="9" max="9" width="32.71"/>
  </cols>
  <sheetData>
    <row r="1">
      <c r="A1" s="62" t="s">
        <v>1160</v>
      </c>
      <c r="B1" s="2"/>
      <c r="C1" s="2"/>
      <c r="D1" s="2"/>
      <c r="E1" s="2"/>
      <c r="F1" s="2"/>
      <c r="G1" s="2"/>
      <c r="H1" s="2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</row>
    <row r="3">
      <c r="A3" s="64" t="s">
        <v>1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>
      <c r="A4" s="64" t="s">
        <v>2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</row>
    <row r="5">
      <c r="A5" s="63"/>
      <c r="B5" s="65"/>
      <c r="C5" s="63"/>
      <c r="D5" s="66"/>
      <c r="E5" s="66"/>
      <c r="F5" s="66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hidden="1">
      <c r="A6" s="65" t="s">
        <v>3</v>
      </c>
      <c r="B6" s="63"/>
      <c r="C6" s="67" t="s">
        <v>4</v>
      </c>
      <c r="D6" s="66"/>
      <c r="E6" s="66"/>
      <c r="F6" s="66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 hidden="1">
      <c r="A7" s="65" t="s">
        <v>5</v>
      </c>
      <c r="B7" s="63"/>
      <c r="C7" s="67" t="s">
        <v>6</v>
      </c>
      <c r="D7" s="66"/>
      <c r="E7" s="66"/>
      <c r="F7" s="66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hidden="1">
      <c r="A8" s="65" t="s">
        <v>7</v>
      </c>
      <c r="B8" s="63"/>
      <c r="C8" s="67" t="s">
        <v>8</v>
      </c>
      <c r="D8" s="66"/>
      <c r="E8" s="66"/>
      <c r="F8" s="66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</row>
    <row r="9" hidden="1">
      <c r="A9" s="63"/>
      <c r="B9" s="63"/>
      <c r="C9" s="63"/>
      <c r="D9" s="66"/>
      <c r="E9" s="66"/>
      <c r="F9" s="66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hidden="1">
      <c r="A10" s="6" t="s">
        <v>9</v>
      </c>
      <c r="B10" s="6" t="s">
        <v>10</v>
      </c>
      <c r="C10" s="7" t="s">
        <v>11</v>
      </c>
      <c r="D10" s="68"/>
      <c r="E10" s="68"/>
      <c r="F10" s="68"/>
      <c r="G10" s="69"/>
      <c r="H10" s="70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hidden="1">
      <c r="A11" s="11"/>
      <c r="B11" s="11"/>
      <c r="C11" s="11"/>
      <c r="D11" s="71" t="s">
        <v>1161</v>
      </c>
      <c r="E11" s="72" t="s">
        <v>1162</v>
      </c>
      <c r="F11" s="73" t="s">
        <v>12</v>
      </c>
      <c r="G11" s="13" t="s">
        <v>13</v>
      </c>
      <c r="H11" s="14" t="s">
        <v>14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</row>
    <row r="12" hidden="1">
      <c r="A12" s="15"/>
      <c r="B12" s="15"/>
      <c r="C12" s="15"/>
      <c r="D12" s="16"/>
      <c r="E12" s="16"/>
      <c r="F12" s="16"/>
      <c r="G12" s="16"/>
      <c r="H12" s="17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>
      <c r="A13" s="18">
        <v>1.0</v>
      </c>
      <c r="B13" s="74" t="s">
        <v>15</v>
      </c>
      <c r="C13" s="75" t="s">
        <v>1163</v>
      </c>
      <c r="D13" s="76"/>
      <c r="E13" s="76"/>
      <c r="F13" s="76">
        <v>3.0</v>
      </c>
      <c r="G13" s="77">
        <f t="shared" ref="G13:G31" si="1">F13/5</f>
        <v>0.6</v>
      </c>
      <c r="H13" s="78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>
      <c r="A14" s="18">
        <v>2.0</v>
      </c>
      <c r="B14" s="74" t="s">
        <v>17</v>
      </c>
      <c r="C14" s="75" t="s">
        <v>1164</v>
      </c>
      <c r="D14" s="76"/>
      <c r="E14" s="76"/>
      <c r="F14" s="76">
        <v>4.0</v>
      </c>
      <c r="G14" s="77">
        <f t="shared" si="1"/>
        <v>0.8</v>
      </c>
      <c r="H14" s="78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>
      <c r="A15" s="18">
        <v>3.0</v>
      </c>
      <c r="B15" s="74" t="s">
        <v>19</v>
      </c>
      <c r="C15" s="75" t="s">
        <v>1165</v>
      </c>
      <c r="D15" s="76"/>
      <c r="E15" s="76"/>
      <c r="F15" s="76">
        <v>3.0</v>
      </c>
      <c r="G15" s="77">
        <f t="shared" si="1"/>
        <v>0.6</v>
      </c>
      <c r="H15" s="78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>
      <c r="A16" s="18">
        <v>4.0</v>
      </c>
      <c r="B16" s="74" t="s">
        <v>21</v>
      </c>
      <c r="C16" s="75" t="s">
        <v>1166</v>
      </c>
      <c r="D16" s="76"/>
      <c r="E16" s="76"/>
      <c r="F16" s="76">
        <v>3.0</v>
      </c>
      <c r="G16" s="77">
        <f t="shared" si="1"/>
        <v>0.6</v>
      </c>
      <c r="H16" s="78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</row>
    <row r="17">
      <c r="A17" s="18">
        <v>5.0</v>
      </c>
      <c r="B17" s="74" t="s">
        <v>23</v>
      </c>
      <c r="C17" s="75" t="s">
        <v>1167</v>
      </c>
      <c r="D17" s="76"/>
      <c r="E17" s="76"/>
      <c r="F17" s="76">
        <v>1.0</v>
      </c>
      <c r="G17" s="77">
        <f t="shared" si="1"/>
        <v>0.2</v>
      </c>
      <c r="H17" s="78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</row>
    <row r="18">
      <c r="A18" s="18">
        <v>6.0</v>
      </c>
      <c r="B18" s="74" t="s">
        <v>25</v>
      </c>
      <c r="C18" s="75" t="s">
        <v>1168</v>
      </c>
      <c r="D18" s="76"/>
      <c r="E18" s="76"/>
      <c r="F18" s="76">
        <v>5.0</v>
      </c>
      <c r="G18" s="77">
        <f t="shared" si="1"/>
        <v>1</v>
      </c>
      <c r="H18" s="78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</row>
    <row r="19">
      <c r="A19" s="18">
        <v>7.0</v>
      </c>
      <c r="B19" s="74" t="s">
        <v>27</v>
      </c>
      <c r="C19" s="75" t="s">
        <v>1169</v>
      </c>
      <c r="D19" s="76"/>
      <c r="E19" s="76"/>
      <c r="F19" s="76">
        <v>4.0</v>
      </c>
      <c r="G19" s="77">
        <f t="shared" si="1"/>
        <v>0.8</v>
      </c>
      <c r="H19" s="78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</row>
    <row r="20">
      <c r="A20" s="18">
        <v>8.0</v>
      </c>
      <c r="B20" s="74" t="s">
        <v>29</v>
      </c>
      <c r="C20" s="75" t="s">
        <v>1170</v>
      </c>
      <c r="D20" s="76"/>
      <c r="E20" s="76"/>
      <c r="F20" s="76">
        <v>5.0</v>
      </c>
      <c r="G20" s="77">
        <f t="shared" si="1"/>
        <v>1</v>
      </c>
      <c r="H20" s="78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</row>
    <row r="21">
      <c r="A21" s="18">
        <v>9.0</v>
      </c>
      <c r="B21" s="74" t="s">
        <v>31</v>
      </c>
      <c r="C21" s="75" t="s">
        <v>1171</v>
      </c>
      <c r="D21" s="76"/>
      <c r="E21" s="76"/>
      <c r="F21" s="76">
        <v>4.0</v>
      </c>
      <c r="G21" s="77">
        <f t="shared" si="1"/>
        <v>0.8</v>
      </c>
      <c r="H21" s="78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</row>
    <row r="22">
      <c r="A22" s="18">
        <v>10.0</v>
      </c>
      <c r="B22" s="74" t="s">
        <v>33</v>
      </c>
      <c r="C22" s="75" t="s">
        <v>1172</v>
      </c>
      <c r="D22" s="76"/>
      <c r="E22" s="76"/>
      <c r="F22" s="76">
        <v>0.0</v>
      </c>
      <c r="G22" s="77">
        <f t="shared" si="1"/>
        <v>0</v>
      </c>
      <c r="H22" s="78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</row>
    <row r="23">
      <c r="A23" s="18">
        <v>11.0</v>
      </c>
      <c r="B23" s="74" t="s">
        <v>35</v>
      </c>
      <c r="C23" s="75" t="s">
        <v>1173</v>
      </c>
      <c r="D23" s="76"/>
      <c r="E23" s="76"/>
      <c r="F23" s="76">
        <v>2.0</v>
      </c>
      <c r="G23" s="77">
        <f t="shared" si="1"/>
        <v>0.4</v>
      </c>
      <c r="H23" s="78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</row>
    <row r="24">
      <c r="A24" s="18">
        <v>12.0</v>
      </c>
      <c r="B24" s="74" t="s">
        <v>37</v>
      </c>
      <c r="C24" s="75" t="s">
        <v>1174</v>
      </c>
      <c r="D24" s="76"/>
      <c r="E24" s="76"/>
      <c r="F24" s="76">
        <v>3.0</v>
      </c>
      <c r="G24" s="77">
        <f t="shared" si="1"/>
        <v>0.6</v>
      </c>
      <c r="H24" s="78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>
      <c r="A25" s="18">
        <v>13.0</v>
      </c>
      <c r="B25" s="74" t="s">
        <v>39</v>
      </c>
      <c r="C25" s="75" t="s">
        <v>1175</v>
      </c>
      <c r="D25" s="76"/>
      <c r="E25" s="76"/>
      <c r="F25" s="76">
        <v>4.0</v>
      </c>
      <c r="G25" s="77">
        <f t="shared" si="1"/>
        <v>0.8</v>
      </c>
      <c r="H25" s="78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</row>
    <row r="26">
      <c r="A26" s="18">
        <v>14.0</v>
      </c>
      <c r="B26" s="74" t="s">
        <v>41</v>
      </c>
      <c r="C26" s="75" t="s">
        <v>1176</v>
      </c>
      <c r="D26" s="76"/>
      <c r="E26" s="76"/>
      <c r="F26" s="76">
        <v>3.0</v>
      </c>
      <c r="G26" s="77">
        <f t="shared" si="1"/>
        <v>0.6</v>
      </c>
      <c r="H26" s="78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</row>
    <row r="27">
      <c r="A27" s="18">
        <v>15.0</v>
      </c>
      <c r="B27" s="74" t="s">
        <v>43</v>
      </c>
      <c r="C27" s="75" t="s">
        <v>1177</v>
      </c>
      <c r="D27" s="76"/>
      <c r="E27" s="76"/>
      <c r="F27" s="76">
        <v>4.0</v>
      </c>
      <c r="G27" s="77">
        <f t="shared" si="1"/>
        <v>0.8</v>
      </c>
      <c r="H27" s="78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</row>
    <row r="28">
      <c r="A28" s="18">
        <v>16.0</v>
      </c>
      <c r="B28" s="74" t="s">
        <v>45</v>
      </c>
      <c r="C28" s="75" t="s">
        <v>1178</v>
      </c>
      <c r="D28" s="76"/>
      <c r="E28" s="76"/>
      <c r="F28" s="76">
        <v>3.0</v>
      </c>
      <c r="G28" s="77">
        <f t="shared" si="1"/>
        <v>0.6</v>
      </c>
      <c r="H28" s="78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</row>
    <row r="29">
      <c r="A29" s="18">
        <v>17.0</v>
      </c>
      <c r="B29" s="74" t="s">
        <v>47</v>
      </c>
      <c r="C29" s="75" t="s">
        <v>1179</v>
      </c>
      <c r="D29" s="76"/>
      <c r="E29" s="76"/>
      <c r="F29" s="76">
        <v>1.0</v>
      </c>
      <c r="G29" s="77">
        <f t="shared" si="1"/>
        <v>0.2</v>
      </c>
      <c r="H29" s="78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>
      <c r="A30" s="18">
        <v>18.0</v>
      </c>
      <c r="B30" s="74" t="s">
        <v>49</v>
      </c>
      <c r="C30" s="75" t="s">
        <v>1180</v>
      </c>
      <c r="D30" s="76"/>
      <c r="E30" s="76"/>
      <c r="F30" s="76">
        <v>5.0</v>
      </c>
      <c r="G30" s="77">
        <f t="shared" si="1"/>
        <v>1</v>
      </c>
      <c r="H30" s="78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</row>
    <row r="31">
      <c r="A31" s="18">
        <v>19.0</v>
      </c>
      <c r="B31" s="74" t="s">
        <v>51</v>
      </c>
      <c r="C31" s="75" t="s">
        <v>1181</v>
      </c>
      <c r="D31" s="76"/>
      <c r="E31" s="76"/>
      <c r="F31" s="76">
        <v>5.0</v>
      </c>
      <c r="G31" s="77">
        <f t="shared" si="1"/>
        <v>1</v>
      </c>
      <c r="H31" s="78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>
      <c r="A32" s="18">
        <v>20.0</v>
      </c>
      <c r="B32" s="74" t="s">
        <v>53</v>
      </c>
      <c r="C32" s="75" t="s">
        <v>1182</v>
      </c>
      <c r="D32" s="76"/>
      <c r="E32" s="76"/>
      <c r="F32" s="76">
        <v>3.0</v>
      </c>
      <c r="G32" s="77">
        <f>F32/4</f>
        <v>0.75</v>
      </c>
      <c r="H32" s="78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3">
      <c r="A33" s="18">
        <v>21.0</v>
      </c>
      <c r="B33" s="74" t="s">
        <v>55</v>
      </c>
      <c r="C33" s="75" t="s">
        <v>1183</v>
      </c>
      <c r="D33" s="76"/>
      <c r="E33" s="76"/>
      <c r="F33" s="76">
        <v>0.0</v>
      </c>
      <c r="G33" s="77">
        <f>F33/5</f>
        <v>0</v>
      </c>
      <c r="H33" s="78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</row>
    <row r="34">
      <c r="A34" s="18">
        <v>22.0</v>
      </c>
      <c r="B34" s="74" t="s">
        <v>57</v>
      </c>
      <c r="C34" s="75" t="s">
        <v>1184</v>
      </c>
      <c r="D34" s="76"/>
      <c r="E34" s="76"/>
      <c r="F34" s="76">
        <v>3.0</v>
      </c>
      <c r="G34" s="77">
        <f>F34/4</f>
        <v>0.75</v>
      </c>
      <c r="H34" s="78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</row>
    <row r="35">
      <c r="A35" s="18">
        <v>23.0</v>
      </c>
      <c r="B35" s="74" t="s">
        <v>59</v>
      </c>
      <c r="C35" s="75" t="s">
        <v>1185</v>
      </c>
      <c r="D35" s="76"/>
      <c r="E35" s="76"/>
      <c r="F35" s="76">
        <v>0.0</v>
      </c>
      <c r="G35" s="77">
        <f t="shared" ref="G35:G37" si="2">F35/5</f>
        <v>0</v>
      </c>
      <c r="H35" s="78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</row>
    <row r="36">
      <c r="A36" s="18">
        <v>24.0</v>
      </c>
      <c r="B36" s="74" t="s">
        <v>61</v>
      </c>
      <c r="C36" s="75" t="s">
        <v>1186</v>
      </c>
      <c r="D36" s="76"/>
      <c r="E36" s="76"/>
      <c r="F36" s="76">
        <v>0.0</v>
      </c>
      <c r="G36" s="77">
        <f t="shared" si="2"/>
        <v>0</v>
      </c>
      <c r="H36" s="78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</row>
    <row r="37">
      <c r="A37" s="18">
        <v>25.0</v>
      </c>
      <c r="B37" s="74" t="s">
        <v>63</v>
      </c>
      <c r="C37" s="75" t="s">
        <v>1187</v>
      </c>
      <c r="D37" s="76"/>
      <c r="E37" s="76"/>
      <c r="F37" s="76">
        <v>0.0</v>
      </c>
      <c r="G37" s="77">
        <f t="shared" si="2"/>
        <v>0</v>
      </c>
      <c r="H37" s="78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</row>
    <row r="38">
      <c r="A38" s="18">
        <v>26.0</v>
      </c>
      <c r="B38" s="74" t="s">
        <v>65</v>
      </c>
      <c r="C38" s="75" t="s">
        <v>1188</v>
      </c>
      <c r="D38" s="76"/>
      <c r="E38" s="76"/>
      <c r="F38" s="76">
        <v>3.0</v>
      </c>
      <c r="G38" s="77">
        <f>F38/4</f>
        <v>0.75</v>
      </c>
      <c r="H38" s="78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>
      <c r="A39" s="18">
        <v>27.0</v>
      </c>
      <c r="B39" s="74" t="s">
        <v>67</v>
      </c>
      <c r="C39" s="75" t="s">
        <v>1189</v>
      </c>
      <c r="D39" s="76"/>
      <c r="E39" s="76"/>
      <c r="F39" s="76">
        <v>0.0</v>
      </c>
      <c r="G39" s="77">
        <f t="shared" ref="G39:G45" si="3">F39/5</f>
        <v>0</v>
      </c>
      <c r="H39" s="78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>
      <c r="A40" s="18">
        <v>28.0</v>
      </c>
      <c r="B40" s="74" t="s">
        <v>69</v>
      </c>
      <c r="C40" s="75" t="s">
        <v>1190</v>
      </c>
      <c r="D40" s="76"/>
      <c r="E40" s="76"/>
      <c r="F40" s="76">
        <v>1.0</v>
      </c>
      <c r="G40" s="77">
        <f t="shared" si="3"/>
        <v>0.2</v>
      </c>
      <c r="H40" s="78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>
      <c r="A41" s="18">
        <v>29.0</v>
      </c>
      <c r="B41" s="74" t="s">
        <v>71</v>
      </c>
      <c r="C41" s="75" t="s">
        <v>1191</v>
      </c>
      <c r="D41" s="76"/>
      <c r="E41" s="76"/>
      <c r="F41" s="76">
        <v>3.0</v>
      </c>
      <c r="G41" s="77">
        <f t="shared" si="3"/>
        <v>0.6</v>
      </c>
      <c r="H41" s="78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>
      <c r="A42" s="18">
        <v>30.0</v>
      </c>
      <c r="B42" s="74" t="s">
        <v>73</v>
      </c>
      <c r="C42" s="75" t="s">
        <v>1192</v>
      </c>
      <c r="D42" s="76"/>
      <c r="E42" s="76"/>
      <c r="F42" s="76">
        <v>3.0</v>
      </c>
      <c r="G42" s="77">
        <f t="shared" si="3"/>
        <v>0.6</v>
      </c>
      <c r="H42" s="78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>
      <c r="A43" s="18">
        <v>31.0</v>
      </c>
      <c r="B43" s="74" t="s">
        <v>75</v>
      </c>
      <c r="C43" s="75" t="s">
        <v>1193</v>
      </c>
      <c r="D43" s="76"/>
      <c r="E43" s="76"/>
      <c r="F43" s="76">
        <v>1.0</v>
      </c>
      <c r="G43" s="77">
        <f t="shared" si="3"/>
        <v>0.2</v>
      </c>
      <c r="H43" s="78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>
      <c r="A44" s="18">
        <v>32.0</v>
      </c>
      <c r="B44" s="74" t="s">
        <v>77</v>
      </c>
      <c r="C44" s="75" t="s">
        <v>1194</v>
      </c>
      <c r="D44" s="76"/>
      <c r="E44" s="76"/>
      <c r="F44" s="76">
        <v>3.0</v>
      </c>
      <c r="G44" s="77">
        <f t="shared" si="3"/>
        <v>0.6</v>
      </c>
      <c r="H44" s="78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</row>
    <row r="45">
      <c r="A45" s="18">
        <v>33.0</v>
      </c>
      <c r="B45" s="74" t="s">
        <v>79</v>
      </c>
      <c r="C45" s="75" t="s">
        <v>1195</v>
      </c>
      <c r="D45" s="76"/>
      <c r="E45" s="76"/>
      <c r="F45" s="76">
        <v>1.0</v>
      </c>
      <c r="G45" s="77">
        <f t="shared" si="3"/>
        <v>0.2</v>
      </c>
      <c r="H45" s="78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>
      <c r="A46" s="24">
        <v>34.0</v>
      </c>
      <c r="B46" s="74" t="s">
        <v>81</v>
      </c>
      <c r="C46" s="75" t="s">
        <v>1196</v>
      </c>
      <c r="D46" s="79"/>
      <c r="E46" s="79"/>
      <c r="F46" s="79">
        <v>4.0</v>
      </c>
      <c r="G46" s="77">
        <f t="shared" ref="G46:G50" si="4">F46/4</f>
        <v>1</v>
      </c>
      <c r="H46" s="78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</row>
    <row r="47">
      <c r="A47" s="18">
        <v>35.0</v>
      </c>
      <c r="B47" s="74" t="s">
        <v>83</v>
      </c>
      <c r="C47" s="75" t="s">
        <v>1197</v>
      </c>
      <c r="D47" s="76"/>
      <c r="E47" s="76"/>
      <c r="F47" s="76">
        <v>4.0</v>
      </c>
      <c r="G47" s="77">
        <f t="shared" si="4"/>
        <v>1</v>
      </c>
      <c r="H47" s="78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>
      <c r="A48" s="18">
        <v>36.0</v>
      </c>
      <c r="B48" s="74" t="s">
        <v>85</v>
      </c>
      <c r="C48" s="75" t="s">
        <v>1198</v>
      </c>
      <c r="D48" s="76"/>
      <c r="E48" s="76"/>
      <c r="F48" s="76">
        <v>4.0</v>
      </c>
      <c r="G48" s="77">
        <f t="shared" si="4"/>
        <v>1</v>
      </c>
      <c r="H48" s="78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</row>
    <row r="49">
      <c r="A49" s="18">
        <v>37.0</v>
      </c>
      <c r="B49" s="74" t="s">
        <v>87</v>
      </c>
      <c r="C49" s="75" t="s">
        <v>1199</v>
      </c>
      <c r="D49" s="76"/>
      <c r="E49" s="76"/>
      <c r="F49" s="76">
        <v>3.0</v>
      </c>
      <c r="G49" s="77">
        <f t="shared" si="4"/>
        <v>0.75</v>
      </c>
      <c r="H49" s="78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</row>
    <row r="50">
      <c r="A50" s="18">
        <v>38.0</v>
      </c>
      <c r="B50" s="74" t="s">
        <v>89</v>
      </c>
      <c r="C50" s="75" t="s">
        <v>1200</v>
      </c>
      <c r="D50" s="76"/>
      <c r="E50" s="76"/>
      <c r="F50" s="76">
        <v>3.0</v>
      </c>
      <c r="G50" s="77">
        <f t="shared" si="4"/>
        <v>0.75</v>
      </c>
      <c r="H50" s="78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</row>
    <row r="51">
      <c r="A51" s="18">
        <v>39.0</v>
      </c>
      <c r="B51" s="74" t="s">
        <v>91</v>
      </c>
      <c r="C51" s="75" t="s">
        <v>1201</v>
      </c>
      <c r="D51" s="76"/>
      <c r="E51" s="76"/>
      <c r="F51" s="76">
        <v>2.0</v>
      </c>
      <c r="G51" s="77">
        <f t="shared" ref="G51:G53" si="5">F51/5</f>
        <v>0.4</v>
      </c>
      <c r="H51" s="78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</row>
    <row r="52">
      <c r="A52" s="18">
        <v>40.0</v>
      </c>
      <c r="B52" s="74" t="s">
        <v>93</v>
      </c>
      <c r="C52" s="75" t="s">
        <v>1202</v>
      </c>
      <c r="D52" s="76"/>
      <c r="E52" s="76"/>
      <c r="F52" s="76">
        <v>2.0</v>
      </c>
      <c r="G52" s="77">
        <f t="shared" si="5"/>
        <v>0.4</v>
      </c>
      <c r="H52" s="78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</row>
    <row r="53">
      <c r="A53" s="18">
        <v>41.0</v>
      </c>
      <c r="B53" s="74" t="s">
        <v>95</v>
      </c>
      <c r="C53" s="75" t="s">
        <v>1203</v>
      </c>
      <c r="D53" s="76"/>
      <c r="E53" s="76"/>
      <c r="F53" s="76">
        <v>2.0</v>
      </c>
      <c r="G53" s="77">
        <f t="shared" si="5"/>
        <v>0.4</v>
      </c>
      <c r="H53" s="78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</row>
    <row r="54">
      <c r="A54" s="18">
        <v>42.0</v>
      </c>
      <c r="B54" s="74" t="s">
        <v>97</v>
      </c>
      <c r="C54" s="75" t="s">
        <v>1204</v>
      </c>
      <c r="D54" s="76"/>
      <c r="E54" s="76"/>
      <c r="F54" s="76">
        <v>3.0</v>
      </c>
      <c r="G54" s="77">
        <f t="shared" ref="G54:G57" si="6">F54/4</f>
        <v>0.75</v>
      </c>
      <c r="H54" s="78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>
      <c r="A55" s="18">
        <v>43.0</v>
      </c>
      <c r="B55" s="74" t="s">
        <v>99</v>
      </c>
      <c r="C55" s="75" t="s">
        <v>1205</v>
      </c>
      <c r="D55" s="76"/>
      <c r="E55" s="76"/>
      <c r="F55" s="76">
        <v>3.0</v>
      </c>
      <c r="G55" s="77">
        <f t="shared" si="6"/>
        <v>0.75</v>
      </c>
      <c r="H55" s="78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</row>
    <row r="56">
      <c r="A56" s="18">
        <v>44.0</v>
      </c>
      <c r="B56" s="74" t="s">
        <v>101</v>
      </c>
      <c r="C56" s="75" t="s">
        <v>1206</v>
      </c>
      <c r="D56" s="76"/>
      <c r="E56" s="76"/>
      <c r="F56" s="76">
        <v>3.0</v>
      </c>
      <c r="G56" s="77">
        <f t="shared" si="6"/>
        <v>0.75</v>
      </c>
      <c r="H56" s="78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</row>
    <row r="57">
      <c r="A57" s="18">
        <v>45.0</v>
      </c>
      <c r="B57" s="74" t="s">
        <v>103</v>
      </c>
      <c r="C57" s="75" t="s">
        <v>1207</v>
      </c>
      <c r="D57" s="76"/>
      <c r="E57" s="76"/>
      <c r="F57" s="76">
        <v>4.0</v>
      </c>
      <c r="G57" s="77">
        <f t="shared" si="6"/>
        <v>1</v>
      </c>
      <c r="H57" s="78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</row>
    <row r="58">
      <c r="A58" s="18">
        <v>46.0</v>
      </c>
      <c r="B58" s="74" t="s">
        <v>105</v>
      </c>
      <c r="C58" s="75" t="s">
        <v>1208</v>
      </c>
      <c r="D58" s="76"/>
      <c r="E58" s="76"/>
      <c r="F58" s="76">
        <v>3.0</v>
      </c>
      <c r="G58" s="77">
        <f>F58/5</f>
        <v>0.6</v>
      </c>
      <c r="H58" s="78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</row>
    <row r="59">
      <c r="A59" s="18">
        <v>47.0</v>
      </c>
      <c r="B59" s="74" t="s">
        <v>107</v>
      </c>
      <c r="C59" s="75" t="s">
        <v>1209</v>
      </c>
      <c r="D59" s="76"/>
      <c r="E59" s="76"/>
      <c r="F59" s="76">
        <v>3.0</v>
      </c>
      <c r="G59" s="77">
        <f>F59/4</f>
        <v>0.75</v>
      </c>
      <c r="H59" s="78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</row>
    <row r="60" hidden="1">
      <c r="A60" s="63"/>
      <c r="B60" s="63"/>
      <c r="C60" s="63"/>
      <c r="D60" s="66"/>
      <c r="E60" s="66"/>
      <c r="F60" s="66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</row>
    <row r="61" hidden="1">
      <c r="A61" s="65" t="s">
        <v>3</v>
      </c>
      <c r="B61" s="63"/>
      <c r="C61" s="67" t="s">
        <v>4</v>
      </c>
      <c r="D61" s="80"/>
      <c r="E61" s="80"/>
      <c r="F61" s="80"/>
      <c r="G61" s="63"/>
      <c r="H61" s="81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</row>
    <row r="62" hidden="1">
      <c r="A62" s="65" t="s">
        <v>5</v>
      </c>
      <c r="B62" s="63"/>
      <c r="C62" s="67" t="s">
        <v>113</v>
      </c>
      <c r="D62" s="80"/>
      <c r="E62" s="80"/>
      <c r="F62" s="80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</row>
    <row r="63" hidden="1">
      <c r="A63" s="65" t="s">
        <v>7</v>
      </c>
      <c r="B63" s="63"/>
      <c r="C63" s="67" t="s">
        <v>8</v>
      </c>
      <c r="D63" s="80"/>
      <c r="E63" s="80"/>
      <c r="F63" s="80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</row>
    <row r="64" hidden="1">
      <c r="A64" s="63"/>
      <c r="B64" s="63"/>
      <c r="C64" s="63"/>
      <c r="D64" s="66"/>
      <c r="E64" s="66"/>
      <c r="F64" s="66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</row>
    <row r="65" hidden="1">
      <c r="A65" s="6" t="s">
        <v>9</v>
      </c>
      <c r="B65" s="6" t="s">
        <v>10</v>
      </c>
      <c r="C65" s="7" t="s">
        <v>11</v>
      </c>
      <c r="D65" s="68"/>
      <c r="E65" s="68"/>
      <c r="F65" s="68"/>
      <c r="G65" s="69"/>
      <c r="H65" s="70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</row>
    <row r="66" hidden="1">
      <c r="A66" s="11"/>
      <c r="B66" s="11"/>
      <c r="C66" s="11"/>
      <c r="D66" s="82" t="s">
        <v>1161</v>
      </c>
      <c r="E66" s="72" t="s">
        <v>1162</v>
      </c>
      <c r="F66" s="83" t="s">
        <v>12</v>
      </c>
      <c r="G66" s="13" t="s">
        <v>13</v>
      </c>
      <c r="H66" s="14" t="s">
        <v>14</v>
      </c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</row>
    <row r="67" hidden="1">
      <c r="A67" s="15"/>
      <c r="B67" s="15"/>
      <c r="C67" s="15"/>
      <c r="D67" s="16"/>
      <c r="E67" s="16"/>
      <c r="F67" s="16"/>
      <c r="G67" s="16"/>
      <c r="H67" s="17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</row>
    <row r="68">
      <c r="A68" s="18">
        <v>1.0</v>
      </c>
      <c r="B68" s="74" t="s">
        <v>123</v>
      </c>
      <c r="C68" s="75" t="s">
        <v>1210</v>
      </c>
      <c r="D68" s="76"/>
      <c r="E68" s="76"/>
      <c r="F68" s="76">
        <v>1.0</v>
      </c>
      <c r="G68" s="77">
        <f t="shared" ref="G68:G114" si="7">F68/5</f>
        <v>0.2</v>
      </c>
      <c r="H68" s="78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</row>
    <row r="69">
      <c r="A69" s="18">
        <v>2.0</v>
      </c>
      <c r="B69" s="74" t="s">
        <v>125</v>
      </c>
      <c r="C69" s="75" t="s">
        <v>1211</v>
      </c>
      <c r="D69" s="76"/>
      <c r="E69" s="76"/>
      <c r="F69" s="76">
        <v>2.0</v>
      </c>
      <c r="G69" s="77">
        <f t="shared" si="7"/>
        <v>0.4</v>
      </c>
      <c r="H69" s="78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</row>
    <row r="70">
      <c r="A70" s="18">
        <v>3.0</v>
      </c>
      <c r="B70" s="74" t="s">
        <v>127</v>
      </c>
      <c r="C70" s="75" t="s">
        <v>1212</v>
      </c>
      <c r="D70" s="76"/>
      <c r="E70" s="76"/>
      <c r="F70" s="76">
        <v>3.0</v>
      </c>
      <c r="G70" s="77">
        <f t="shared" si="7"/>
        <v>0.6</v>
      </c>
      <c r="H70" s="78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</row>
    <row r="71">
      <c r="A71" s="18">
        <v>4.0</v>
      </c>
      <c r="B71" s="74" t="s">
        <v>129</v>
      </c>
      <c r="C71" s="75" t="s">
        <v>1213</v>
      </c>
      <c r="D71" s="76"/>
      <c r="E71" s="76"/>
      <c r="F71" s="76">
        <v>5.0</v>
      </c>
      <c r="G71" s="77">
        <f t="shared" si="7"/>
        <v>1</v>
      </c>
      <c r="H71" s="78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</row>
    <row r="72">
      <c r="A72" s="18">
        <v>5.0</v>
      </c>
      <c r="B72" s="74" t="s">
        <v>131</v>
      </c>
      <c r="C72" s="75" t="s">
        <v>1214</v>
      </c>
      <c r="D72" s="76"/>
      <c r="E72" s="76"/>
      <c r="F72" s="76">
        <v>2.0</v>
      </c>
      <c r="G72" s="77">
        <f t="shared" si="7"/>
        <v>0.4</v>
      </c>
      <c r="H72" s="78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</row>
    <row r="73">
      <c r="A73" s="18">
        <v>6.0</v>
      </c>
      <c r="B73" s="74" t="s">
        <v>133</v>
      </c>
      <c r="C73" s="75" t="s">
        <v>1215</v>
      </c>
      <c r="D73" s="76"/>
      <c r="E73" s="76"/>
      <c r="F73" s="76">
        <v>4.0</v>
      </c>
      <c r="G73" s="77">
        <f t="shared" si="7"/>
        <v>0.8</v>
      </c>
      <c r="H73" s="78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</row>
    <row r="74">
      <c r="A74" s="18">
        <v>7.0</v>
      </c>
      <c r="B74" s="74" t="s">
        <v>135</v>
      </c>
      <c r="C74" s="75" t="s">
        <v>1216</v>
      </c>
      <c r="D74" s="76"/>
      <c r="E74" s="76"/>
      <c r="F74" s="76">
        <v>5.0</v>
      </c>
      <c r="G74" s="77">
        <f t="shared" si="7"/>
        <v>1</v>
      </c>
      <c r="H74" s="78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</row>
    <row r="75">
      <c r="A75" s="18">
        <v>8.0</v>
      </c>
      <c r="B75" s="74" t="s">
        <v>137</v>
      </c>
      <c r="C75" s="75" t="s">
        <v>1217</v>
      </c>
      <c r="D75" s="76"/>
      <c r="E75" s="76"/>
      <c r="F75" s="76">
        <v>4.0</v>
      </c>
      <c r="G75" s="77">
        <f t="shared" si="7"/>
        <v>0.8</v>
      </c>
      <c r="H75" s="78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</row>
    <row r="76">
      <c r="A76" s="18">
        <v>9.0</v>
      </c>
      <c r="B76" s="74" t="s">
        <v>139</v>
      </c>
      <c r="C76" s="75" t="s">
        <v>1218</v>
      </c>
      <c r="D76" s="76"/>
      <c r="E76" s="76"/>
      <c r="F76" s="76">
        <v>3.0</v>
      </c>
      <c r="G76" s="77">
        <f t="shared" si="7"/>
        <v>0.6</v>
      </c>
      <c r="H76" s="78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</row>
    <row r="77">
      <c r="A77" s="18">
        <v>10.0</v>
      </c>
      <c r="B77" s="74" t="s">
        <v>141</v>
      </c>
      <c r="C77" s="75" t="s">
        <v>1219</v>
      </c>
      <c r="D77" s="76"/>
      <c r="E77" s="76"/>
      <c r="F77" s="76">
        <v>0.0</v>
      </c>
      <c r="G77" s="77">
        <f t="shared" si="7"/>
        <v>0</v>
      </c>
      <c r="H77" s="78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</row>
    <row r="78">
      <c r="A78" s="18">
        <v>11.0</v>
      </c>
      <c r="B78" s="74" t="s">
        <v>143</v>
      </c>
      <c r="C78" s="75" t="s">
        <v>1220</v>
      </c>
      <c r="D78" s="76"/>
      <c r="E78" s="76"/>
      <c r="F78" s="76">
        <v>4.0</v>
      </c>
      <c r="G78" s="77">
        <f t="shared" si="7"/>
        <v>0.8</v>
      </c>
      <c r="H78" s="78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</row>
    <row r="79">
      <c r="A79" s="18">
        <v>12.0</v>
      </c>
      <c r="B79" s="74" t="s">
        <v>145</v>
      </c>
      <c r="C79" s="75" t="s">
        <v>1221</v>
      </c>
      <c r="D79" s="76"/>
      <c r="E79" s="76"/>
      <c r="F79" s="76">
        <v>4.0</v>
      </c>
      <c r="G79" s="77">
        <f t="shared" si="7"/>
        <v>0.8</v>
      </c>
      <c r="H79" s="78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</row>
    <row r="80">
      <c r="A80" s="18">
        <v>13.0</v>
      </c>
      <c r="B80" s="74" t="s">
        <v>147</v>
      </c>
      <c r="C80" s="75" t="s">
        <v>1222</v>
      </c>
      <c r="D80" s="76"/>
      <c r="E80" s="76"/>
      <c r="F80" s="76">
        <v>3.0</v>
      </c>
      <c r="G80" s="77">
        <f t="shared" si="7"/>
        <v>0.6</v>
      </c>
      <c r="H80" s="78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</row>
    <row r="81">
      <c r="A81" s="18">
        <v>14.0</v>
      </c>
      <c r="B81" s="74" t="s">
        <v>149</v>
      </c>
      <c r="C81" s="75" t="s">
        <v>1223</v>
      </c>
      <c r="D81" s="76"/>
      <c r="E81" s="76"/>
      <c r="F81" s="76">
        <v>5.0</v>
      </c>
      <c r="G81" s="77">
        <f t="shared" si="7"/>
        <v>1</v>
      </c>
      <c r="H81" s="78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</row>
    <row r="82">
      <c r="A82" s="18">
        <v>15.0</v>
      </c>
      <c r="B82" s="74" t="s">
        <v>151</v>
      </c>
      <c r="C82" s="75" t="s">
        <v>1224</v>
      </c>
      <c r="D82" s="76"/>
      <c r="E82" s="76"/>
      <c r="F82" s="76">
        <v>5.0</v>
      </c>
      <c r="G82" s="77">
        <f t="shared" si="7"/>
        <v>1</v>
      </c>
      <c r="H82" s="78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</row>
    <row r="83">
      <c r="A83" s="18">
        <v>16.0</v>
      </c>
      <c r="B83" s="74" t="s">
        <v>153</v>
      </c>
      <c r="C83" s="75" t="s">
        <v>1225</v>
      </c>
      <c r="D83" s="76"/>
      <c r="E83" s="76"/>
      <c r="F83" s="76">
        <v>4.0</v>
      </c>
      <c r="G83" s="77">
        <f t="shared" si="7"/>
        <v>0.8</v>
      </c>
      <c r="H83" s="78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</row>
    <row r="84">
      <c r="A84" s="18">
        <v>17.0</v>
      </c>
      <c r="B84" s="74" t="s">
        <v>155</v>
      </c>
      <c r="C84" s="75" t="s">
        <v>1226</v>
      </c>
      <c r="D84" s="76"/>
      <c r="E84" s="76"/>
      <c r="F84" s="76">
        <v>5.0</v>
      </c>
      <c r="G84" s="77">
        <f t="shared" si="7"/>
        <v>1</v>
      </c>
      <c r="H84" s="78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</row>
    <row r="85">
      <c r="A85" s="18">
        <v>18.0</v>
      </c>
      <c r="B85" s="74" t="s">
        <v>157</v>
      </c>
      <c r="C85" s="75" t="s">
        <v>1227</v>
      </c>
      <c r="D85" s="76"/>
      <c r="E85" s="76"/>
      <c r="F85" s="76">
        <v>4.0</v>
      </c>
      <c r="G85" s="77">
        <f t="shared" si="7"/>
        <v>0.8</v>
      </c>
      <c r="H85" s="78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</row>
    <row r="86">
      <c r="A86" s="18">
        <v>19.0</v>
      </c>
      <c r="B86" s="74" t="s">
        <v>159</v>
      </c>
      <c r="C86" s="75" t="s">
        <v>1228</v>
      </c>
      <c r="D86" s="76"/>
      <c r="E86" s="76"/>
      <c r="F86" s="76">
        <v>3.0</v>
      </c>
      <c r="G86" s="77">
        <f t="shared" si="7"/>
        <v>0.6</v>
      </c>
      <c r="H86" s="78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</row>
    <row r="87">
      <c r="A87" s="18">
        <v>20.0</v>
      </c>
      <c r="B87" s="74" t="s">
        <v>161</v>
      </c>
      <c r="C87" s="75" t="s">
        <v>1229</v>
      </c>
      <c r="D87" s="76"/>
      <c r="E87" s="76"/>
      <c r="F87" s="76">
        <v>0.0</v>
      </c>
      <c r="G87" s="77">
        <f t="shared" si="7"/>
        <v>0</v>
      </c>
      <c r="H87" s="78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</row>
    <row r="88">
      <c r="A88" s="18">
        <v>21.0</v>
      </c>
      <c r="B88" s="74" t="s">
        <v>163</v>
      </c>
      <c r="C88" s="75" t="s">
        <v>1230</v>
      </c>
      <c r="D88" s="76"/>
      <c r="E88" s="76"/>
      <c r="F88" s="76">
        <v>0.0</v>
      </c>
      <c r="G88" s="77">
        <f t="shared" si="7"/>
        <v>0</v>
      </c>
      <c r="H88" s="78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</row>
    <row r="89">
      <c r="A89" s="18">
        <v>22.0</v>
      </c>
      <c r="B89" s="74" t="s">
        <v>165</v>
      </c>
      <c r="C89" s="75" t="s">
        <v>1231</v>
      </c>
      <c r="D89" s="76"/>
      <c r="E89" s="76"/>
      <c r="F89" s="76">
        <v>2.0</v>
      </c>
      <c r="G89" s="77">
        <f t="shared" si="7"/>
        <v>0.4</v>
      </c>
      <c r="H89" s="78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</row>
    <row r="90">
      <c r="A90" s="18">
        <v>23.0</v>
      </c>
      <c r="B90" s="74" t="s">
        <v>167</v>
      </c>
      <c r="C90" s="75" t="s">
        <v>1232</v>
      </c>
      <c r="D90" s="76"/>
      <c r="E90" s="76"/>
      <c r="F90" s="76">
        <v>2.0</v>
      </c>
      <c r="G90" s="77">
        <f t="shared" si="7"/>
        <v>0.4</v>
      </c>
      <c r="H90" s="78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</row>
    <row r="91">
      <c r="A91" s="18">
        <v>24.0</v>
      </c>
      <c r="B91" s="74" t="s">
        <v>169</v>
      </c>
      <c r="C91" s="75" t="s">
        <v>1233</v>
      </c>
      <c r="D91" s="76"/>
      <c r="E91" s="76"/>
      <c r="F91" s="76">
        <v>3.0</v>
      </c>
      <c r="G91" s="77">
        <f t="shared" si="7"/>
        <v>0.6</v>
      </c>
      <c r="H91" s="78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</row>
    <row r="92">
      <c r="A92" s="18">
        <v>25.0</v>
      </c>
      <c r="B92" s="74" t="s">
        <v>171</v>
      </c>
      <c r="C92" s="75" t="s">
        <v>1234</v>
      </c>
      <c r="D92" s="76"/>
      <c r="E92" s="76"/>
      <c r="F92" s="76">
        <v>4.0</v>
      </c>
      <c r="G92" s="77">
        <f t="shared" si="7"/>
        <v>0.8</v>
      </c>
      <c r="H92" s="78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</row>
    <row r="93">
      <c r="A93" s="18">
        <v>26.0</v>
      </c>
      <c r="B93" s="74" t="s">
        <v>173</v>
      </c>
      <c r="C93" s="75" t="s">
        <v>1235</v>
      </c>
      <c r="D93" s="76"/>
      <c r="E93" s="76"/>
      <c r="F93" s="76">
        <v>4.0</v>
      </c>
      <c r="G93" s="77">
        <f t="shared" si="7"/>
        <v>0.8</v>
      </c>
      <c r="H93" s="78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</row>
    <row r="94">
      <c r="A94" s="18">
        <v>27.0</v>
      </c>
      <c r="B94" s="74" t="s">
        <v>175</v>
      </c>
      <c r="C94" s="75" t="s">
        <v>1236</v>
      </c>
      <c r="D94" s="76"/>
      <c r="E94" s="76"/>
      <c r="F94" s="76">
        <v>0.0</v>
      </c>
      <c r="G94" s="77">
        <f t="shared" si="7"/>
        <v>0</v>
      </c>
      <c r="H94" s="78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</row>
    <row r="95">
      <c r="A95" s="18">
        <v>28.0</v>
      </c>
      <c r="B95" s="74" t="s">
        <v>177</v>
      </c>
      <c r="C95" s="75" t="s">
        <v>1237</v>
      </c>
      <c r="D95" s="76"/>
      <c r="E95" s="76"/>
      <c r="F95" s="76">
        <v>2.0</v>
      </c>
      <c r="G95" s="77">
        <f t="shared" si="7"/>
        <v>0.4</v>
      </c>
      <c r="H95" s="78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</row>
    <row r="96">
      <c r="A96" s="18">
        <v>29.0</v>
      </c>
      <c r="B96" s="74" t="s">
        <v>179</v>
      </c>
      <c r="C96" s="75" t="s">
        <v>1238</v>
      </c>
      <c r="D96" s="76"/>
      <c r="E96" s="76"/>
      <c r="F96" s="76">
        <v>2.0</v>
      </c>
      <c r="G96" s="77">
        <f t="shared" si="7"/>
        <v>0.4</v>
      </c>
      <c r="H96" s="78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</row>
    <row r="97">
      <c r="A97" s="18">
        <v>30.0</v>
      </c>
      <c r="B97" s="74" t="s">
        <v>181</v>
      </c>
      <c r="C97" s="75" t="s">
        <v>1239</v>
      </c>
      <c r="D97" s="76"/>
      <c r="E97" s="76"/>
      <c r="F97" s="76">
        <v>5.0</v>
      </c>
      <c r="G97" s="77">
        <f t="shared" si="7"/>
        <v>1</v>
      </c>
      <c r="H97" s="78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</row>
    <row r="98">
      <c r="A98" s="18">
        <v>31.0</v>
      </c>
      <c r="B98" s="74" t="s">
        <v>183</v>
      </c>
      <c r="C98" s="75" t="s">
        <v>1240</v>
      </c>
      <c r="D98" s="76"/>
      <c r="E98" s="76"/>
      <c r="F98" s="76">
        <v>5.0</v>
      </c>
      <c r="G98" s="77">
        <f t="shared" si="7"/>
        <v>1</v>
      </c>
      <c r="H98" s="78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</row>
    <row r="99">
      <c r="A99" s="18">
        <v>32.0</v>
      </c>
      <c r="B99" s="74" t="s">
        <v>185</v>
      </c>
      <c r="C99" s="75" t="s">
        <v>1241</v>
      </c>
      <c r="D99" s="76"/>
      <c r="E99" s="76"/>
      <c r="F99" s="76">
        <v>5.0</v>
      </c>
      <c r="G99" s="77">
        <f t="shared" si="7"/>
        <v>1</v>
      </c>
      <c r="H99" s="78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</row>
    <row r="100">
      <c r="A100" s="18">
        <v>33.0</v>
      </c>
      <c r="B100" s="74" t="s">
        <v>187</v>
      </c>
      <c r="C100" s="75" t="s">
        <v>1242</v>
      </c>
      <c r="D100" s="76"/>
      <c r="E100" s="76"/>
      <c r="F100" s="76">
        <v>2.0</v>
      </c>
      <c r="G100" s="77">
        <f t="shared" si="7"/>
        <v>0.4</v>
      </c>
      <c r="H100" s="78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</row>
    <row r="101">
      <c r="A101" s="24">
        <v>34.0</v>
      </c>
      <c r="B101" s="74" t="s">
        <v>189</v>
      </c>
      <c r="C101" s="75" t="s">
        <v>1243</v>
      </c>
      <c r="D101" s="79"/>
      <c r="E101" s="79"/>
      <c r="F101" s="79">
        <v>4.0</v>
      </c>
      <c r="G101" s="77">
        <f t="shared" si="7"/>
        <v>0.8</v>
      </c>
      <c r="H101" s="78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</row>
    <row r="102">
      <c r="A102" s="18">
        <v>35.0</v>
      </c>
      <c r="B102" s="74" t="s">
        <v>191</v>
      </c>
      <c r="C102" s="75" t="s">
        <v>1244</v>
      </c>
      <c r="D102" s="76"/>
      <c r="E102" s="76"/>
      <c r="F102" s="76">
        <v>2.0</v>
      </c>
      <c r="G102" s="77">
        <f t="shared" si="7"/>
        <v>0.4</v>
      </c>
      <c r="H102" s="78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</row>
    <row r="103">
      <c r="A103" s="18">
        <v>36.0</v>
      </c>
      <c r="B103" s="74" t="s">
        <v>193</v>
      </c>
      <c r="C103" s="75" t="s">
        <v>1245</v>
      </c>
      <c r="D103" s="76"/>
      <c r="E103" s="76"/>
      <c r="F103" s="76">
        <v>2.0</v>
      </c>
      <c r="G103" s="77">
        <f t="shared" si="7"/>
        <v>0.4</v>
      </c>
      <c r="H103" s="78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</row>
    <row r="104">
      <c r="A104" s="18">
        <v>37.0</v>
      </c>
      <c r="B104" s="74" t="s">
        <v>195</v>
      </c>
      <c r="C104" s="75" t="s">
        <v>1246</v>
      </c>
      <c r="D104" s="76"/>
      <c r="E104" s="76"/>
      <c r="F104" s="76">
        <v>3.0</v>
      </c>
      <c r="G104" s="77">
        <f t="shared" si="7"/>
        <v>0.6</v>
      </c>
      <c r="H104" s="78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</row>
    <row r="105">
      <c r="A105" s="18">
        <v>38.0</v>
      </c>
      <c r="B105" s="74" t="s">
        <v>197</v>
      </c>
      <c r="C105" s="75" t="s">
        <v>1247</v>
      </c>
      <c r="D105" s="76"/>
      <c r="E105" s="76"/>
      <c r="F105" s="76">
        <v>0.0</v>
      </c>
      <c r="G105" s="77">
        <f t="shared" si="7"/>
        <v>0</v>
      </c>
      <c r="H105" s="78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</row>
    <row r="106">
      <c r="A106" s="18">
        <v>39.0</v>
      </c>
      <c r="B106" s="74" t="s">
        <v>199</v>
      </c>
      <c r="C106" s="75" t="s">
        <v>1248</v>
      </c>
      <c r="D106" s="76"/>
      <c r="E106" s="76"/>
      <c r="F106" s="76">
        <v>1.0</v>
      </c>
      <c r="G106" s="77">
        <f t="shared" si="7"/>
        <v>0.2</v>
      </c>
      <c r="H106" s="78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</row>
    <row r="107">
      <c r="A107" s="18">
        <v>40.0</v>
      </c>
      <c r="B107" s="74" t="s">
        <v>201</v>
      </c>
      <c r="C107" s="75" t="s">
        <v>1249</v>
      </c>
      <c r="D107" s="76"/>
      <c r="E107" s="76"/>
      <c r="F107" s="76">
        <v>4.0</v>
      </c>
      <c r="G107" s="77">
        <f t="shared" si="7"/>
        <v>0.8</v>
      </c>
      <c r="H107" s="78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</row>
    <row r="108">
      <c r="A108" s="18">
        <v>41.0</v>
      </c>
      <c r="B108" s="74" t="s">
        <v>203</v>
      </c>
      <c r="C108" s="75" t="s">
        <v>1250</v>
      </c>
      <c r="D108" s="76"/>
      <c r="E108" s="76"/>
      <c r="F108" s="76">
        <v>3.0</v>
      </c>
      <c r="G108" s="77">
        <f t="shared" si="7"/>
        <v>0.6</v>
      </c>
      <c r="H108" s="78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</row>
    <row r="109">
      <c r="A109" s="18">
        <v>42.0</v>
      </c>
      <c r="B109" s="74" t="s">
        <v>205</v>
      </c>
      <c r="C109" s="75" t="s">
        <v>1251</v>
      </c>
      <c r="D109" s="76"/>
      <c r="E109" s="76"/>
      <c r="F109" s="76">
        <v>5.0</v>
      </c>
      <c r="G109" s="77">
        <f t="shared" si="7"/>
        <v>1</v>
      </c>
      <c r="H109" s="78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</row>
    <row r="110">
      <c r="A110" s="18">
        <v>43.0</v>
      </c>
      <c r="B110" s="74" t="s">
        <v>207</v>
      </c>
      <c r="C110" s="75" t="s">
        <v>1252</v>
      </c>
      <c r="D110" s="76"/>
      <c r="E110" s="76"/>
      <c r="F110" s="76">
        <v>2.0</v>
      </c>
      <c r="G110" s="77">
        <f t="shared" si="7"/>
        <v>0.4</v>
      </c>
      <c r="H110" s="78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</row>
    <row r="111">
      <c r="A111" s="18">
        <v>44.0</v>
      </c>
      <c r="B111" s="74" t="s">
        <v>209</v>
      </c>
      <c r="C111" s="75" t="s">
        <v>1253</v>
      </c>
      <c r="D111" s="76"/>
      <c r="E111" s="76"/>
      <c r="F111" s="76">
        <v>0.0</v>
      </c>
      <c r="G111" s="77">
        <f t="shared" si="7"/>
        <v>0</v>
      </c>
      <c r="H111" s="78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</row>
    <row r="112">
      <c r="A112" s="18">
        <v>45.0</v>
      </c>
      <c r="B112" s="74" t="s">
        <v>211</v>
      </c>
      <c r="C112" s="75" t="s">
        <v>1254</v>
      </c>
      <c r="D112" s="76"/>
      <c r="E112" s="76"/>
      <c r="F112" s="76">
        <v>2.0</v>
      </c>
      <c r="G112" s="77">
        <f t="shared" si="7"/>
        <v>0.4</v>
      </c>
      <c r="H112" s="78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</row>
    <row r="113">
      <c r="A113" s="18">
        <v>46.0</v>
      </c>
      <c r="B113" s="74" t="s">
        <v>213</v>
      </c>
      <c r="C113" s="75" t="s">
        <v>1255</v>
      </c>
      <c r="D113" s="76"/>
      <c r="E113" s="76"/>
      <c r="F113" s="76">
        <v>3.0</v>
      </c>
      <c r="G113" s="77">
        <f t="shared" si="7"/>
        <v>0.6</v>
      </c>
      <c r="H113" s="78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</row>
    <row r="114">
      <c r="A114" s="18">
        <v>47.0</v>
      </c>
      <c r="B114" s="74" t="s">
        <v>215</v>
      </c>
      <c r="C114" s="75" t="s">
        <v>1256</v>
      </c>
      <c r="D114" s="76"/>
      <c r="E114" s="76"/>
      <c r="F114" s="76">
        <v>3.0</v>
      </c>
      <c r="G114" s="77">
        <f t="shared" si="7"/>
        <v>0.6</v>
      </c>
      <c r="H114" s="78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</row>
    <row r="115" hidden="1">
      <c r="A115" s="63"/>
      <c r="B115" s="63"/>
      <c r="C115" s="63"/>
      <c r="D115" s="66"/>
      <c r="E115" s="66"/>
      <c r="F115" s="66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</row>
    <row r="116" hidden="1">
      <c r="A116" s="65" t="s">
        <v>3</v>
      </c>
      <c r="B116" s="63"/>
      <c r="C116" s="67" t="s">
        <v>4</v>
      </c>
      <c r="D116" s="66"/>
      <c r="E116" s="66"/>
      <c r="F116" s="66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</row>
    <row r="117" hidden="1">
      <c r="A117" s="65" t="s">
        <v>5</v>
      </c>
      <c r="B117" s="63"/>
      <c r="C117" s="67" t="s">
        <v>218</v>
      </c>
      <c r="D117" s="66"/>
      <c r="E117" s="66"/>
      <c r="F117" s="66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</row>
    <row r="118" hidden="1">
      <c r="A118" s="65" t="s">
        <v>7</v>
      </c>
      <c r="B118" s="63"/>
      <c r="C118" s="67" t="s">
        <v>8</v>
      </c>
      <c r="D118" s="66"/>
      <c r="E118" s="66"/>
      <c r="F118" s="66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</row>
    <row r="119" hidden="1">
      <c r="A119" s="63"/>
      <c r="B119" s="63"/>
      <c r="C119" s="63"/>
      <c r="D119" s="66"/>
      <c r="E119" s="66"/>
      <c r="F119" s="66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</row>
    <row r="120" hidden="1">
      <c r="A120" s="6" t="s">
        <v>9</v>
      </c>
      <c r="B120" s="6" t="s">
        <v>10</v>
      </c>
      <c r="C120" s="7" t="s">
        <v>11</v>
      </c>
      <c r="D120" s="68"/>
      <c r="E120" s="68"/>
      <c r="F120" s="68"/>
      <c r="G120" s="69"/>
      <c r="H120" s="70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</row>
    <row r="121" hidden="1">
      <c r="A121" s="11"/>
      <c r="B121" s="11"/>
      <c r="C121" s="11"/>
      <c r="D121" s="82" t="s">
        <v>1161</v>
      </c>
      <c r="E121" s="72" t="s">
        <v>1162</v>
      </c>
      <c r="F121" s="83" t="s">
        <v>12</v>
      </c>
      <c r="G121" s="13" t="s">
        <v>13</v>
      </c>
      <c r="H121" s="14" t="s">
        <v>14</v>
      </c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</row>
    <row r="122" hidden="1">
      <c r="A122" s="15"/>
      <c r="B122" s="15"/>
      <c r="C122" s="15"/>
      <c r="D122" s="16"/>
      <c r="E122" s="16"/>
      <c r="F122" s="16"/>
      <c r="G122" s="16"/>
      <c r="H122" s="17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</row>
    <row r="123">
      <c r="A123" s="18">
        <v>1.0</v>
      </c>
      <c r="B123" s="74" t="s">
        <v>219</v>
      </c>
      <c r="C123" s="84" t="s">
        <v>1257</v>
      </c>
      <c r="D123" s="76"/>
      <c r="E123" s="76"/>
      <c r="F123" s="76">
        <v>0.0</v>
      </c>
      <c r="G123" s="77">
        <f t="shared" ref="G123:G167" si="8">F123/5</f>
        <v>0</v>
      </c>
      <c r="H123" s="78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</row>
    <row r="124">
      <c r="A124" s="18">
        <v>2.0</v>
      </c>
      <c r="B124" s="74" t="s">
        <v>221</v>
      </c>
      <c r="C124" s="84" t="s">
        <v>1258</v>
      </c>
      <c r="D124" s="76"/>
      <c r="E124" s="76"/>
      <c r="F124" s="76">
        <v>2.0</v>
      </c>
      <c r="G124" s="77">
        <f t="shared" si="8"/>
        <v>0.4</v>
      </c>
      <c r="H124" s="78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</row>
    <row r="125">
      <c r="A125" s="18">
        <v>3.0</v>
      </c>
      <c r="B125" s="74" t="s">
        <v>223</v>
      </c>
      <c r="C125" s="84" t="s">
        <v>1259</v>
      </c>
      <c r="D125" s="76"/>
      <c r="E125" s="76"/>
      <c r="F125" s="76">
        <v>0.0</v>
      </c>
      <c r="G125" s="77">
        <f t="shared" si="8"/>
        <v>0</v>
      </c>
      <c r="H125" s="78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</row>
    <row r="126">
      <c r="A126" s="18">
        <v>4.0</v>
      </c>
      <c r="B126" s="74" t="s">
        <v>225</v>
      </c>
      <c r="C126" s="84" t="s">
        <v>1260</v>
      </c>
      <c r="D126" s="76"/>
      <c r="E126" s="76"/>
      <c r="F126" s="76">
        <v>3.0</v>
      </c>
      <c r="G126" s="77">
        <f t="shared" si="8"/>
        <v>0.6</v>
      </c>
      <c r="H126" s="78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</row>
    <row r="127">
      <c r="A127" s="18">
        <v>5.0</v>
      </c>
      <c r="B127" s="74" t="s">
        <v>227</v>
      </c>
      <c r="C127" s="84" t="s">
        <v>1261</v>
      </c>
      <c r="D127" s="76"/>
      <c r="E127" s="76"/>
      <c r="F127" s="76">
        <v>3.0</v>
      </c>
      <c r="G127" s="77">
        <f t="shared" si="8"/>
        <v>0.6</v>
      </c>
      <c r="H127" s="78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</row>
    <row r="128">
      <c r="A128" s="18">
        <v>6.0</v>
      </c>
      <c r="B128" s="74" t="s">
        <v>229</v>
      </c>
      <c r="C128" s="84" t="s">
        <v>1262</v>
      </c>
      <c r="D128" s="76"/>
      <c r="E128" s="76"/>
      <c r="F128" s="76">
        <v>1.0</v>
      </c>
      <c r="G128" s="77">
        <f t="shared" si="8"/>
        <v>0.2</v>
      </c>
      <c r="H128" s="78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</row>
    <row r="129">
      <c r="A129" s="18">
        <v>7.0</v>
      </c>
      <c r="B129" s="74" t="s">
        <v>231</v>
      </c>
      <c r="C129" s="84" t="s">
        <v>1263</v>
      </c>
      <c r="D129" s="76"/>
      <c r="E129" s="76"/>
      <c r="F129" s="76">
        <v>1.0</v>
      </c>
      <c r="G129" s="77">
        <f t="shared" si="8"/>
        <v>0.2</v>
      </c>
      <c r="H129" s="78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</row>
    <row r="130">
      <c r="A130" s="18">
        <v>8.0</v>
      </c>
      <c r="B130" s="74" t="s">
        <v>233</v>
      </c>
      <c r="C130" s="84" t="s">
        <v>1264</v>
      </c>
      <c r="D130" s="76"/>
      <c r="E130" s="76"/>
      <c r="F130" s="76">
        <v>1.0</v>
      </c>
      <c r="G130" s="77">
        <f t="shared" si="8"/>
        <v>0.2</v>
      </c>
      <c r="H130" s="78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</row>
    <row r="131">
      <c r="A131" s="18">
        <v>9.0</v>
      </c>
      <c r="B131" s="74" t="s">
        <v>235</v>
      </c>
      <c r="C131" s="84" t="s">
        <v>1265</v>
      </c>
      <c r="D131" s="76"/>
      <c r="E131" s="76"/>
      <c r="F131" s="76">
        <v>0.0</v>
      </c>
      <c r="G131" s="77">
        <f t="shared" si="8"/>
        <v>0</v>
      </c>
      <c r="H131" s="78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</row>
    <row r="132">
      <c r="A132" s="18">
        <v>10.0</v>
      </c>
      <c r="B132" s="74" t="s">
        <v>237</v>
      </c>
      <c r="C132" s="84" t="s">
        <v>1266</v>
      </c>
      <c r="D132" s="76"/>
      <c r="E132" s="76"/>
      <c r="F132" s="76">
        <v>0.0</v>
      </c>
      <c r="G132" s="77">
        <f t="shared" si="8"/>
        <v>0</v>
      </c>
      <c r="H132" s="78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</row>
    <row r="133">
      <c r="A133" s="18">
        <v>11.0</v>
      </c>
      <c r="B133" s="74" t="s">
        <v>239</v>
      </c>
      <c r="C133" s="84" t="s">
        <v>1267</v>
      </c>
      <c r="D133" s="76"/>
      <c r="E133" s="76"/>
      <c r="F133" s="76">
        <v>2.0</v>
      </c>
      <c r="G133" s="77">
        <f t="shared" si="8"/>
        <v>0.4</v>
      </c>
      <c r="H133" s="78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</row>
    <row r="134">
      <c r="A134" s="18">
        <v>12.0</v>
      </c>
      <c r="B134" s="74" t="s">
        <v>241</v>
      </c>
      <c r="C134" s="84" t="s">
        <v>1268</v>
      </c>
      <c r="D134" s="76"/>
      <c r="E134" s="76"/>
      <c r="F134" s="76">
        <v>1.0</v>
      </c>
      <c r="G134" s="77">
        <f t="shared" si="8"/>
        <v>0.2</v>
      </c>
      <c r="H134" s="78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</row>
    <row r="135">
      <c r="A135" s="18">
        <v>13.0</v>
      </c>
      <c r="B135" s="74" t="s">
        <v>243</v>
      </c>
      <c r="C135" s="84" t="s">
        <v>1269</v>
      </c>
      <c r="D135" s="76"/>
      <c r="E135" s="76"/>
      <c r="F135" s="76">
        <v>1.0</v>
      </c>
      <c r="G135" s="77">
        <f t="shared" si="8"/>
        <v>0.2</v>
      </c>
      <c r="H135" s="78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</row>
    <row r="136">
      <c r="A136" s="18">
        <v>14.0</v>
      </c>
      <c r="B136" s="74" t="s">
        <v>245</v>
      </c>
      <c r="C136" s="84" t="s">
        <v>1270</v>
      </c>
      <c r="D136" s="76"/>
      <c r="E136" s="76"/>
      <c r="F136" s="76">
        <v>2.0</v>
      </c>
      <c r="G136" s="77">
        <f t="shared" si="8"/>
        <v>0.4</v>
      </c>
      <c r="H136" s="78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</row>
    <row r="137">
      <c r="A137" s="18">
        <v>15.0</v>
      </c>
      <c r="B137" s="74" t="s">
        <v>247</v>
      </c>
      <c r="C137" s="84" t="s">
        <v>1271</v>
      </c>
      <c r="D137" s="76"/>
      <c r="E137" s="76"/>
      <c r="F137" s="76">
        <v>1.0</v>
      </c>
      <c r="G137" s="77">
        <f t="shared" si="8"/>
        <v>0.2</v>
      </c>
      <c r="H137" s="78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</row>
    <row r="138">
      <c r="A138" s="18">
        <v>16.0</v>
      </c>
      <c r="B138" s="74" t="s">
        <v>249</v>
      </c>
      <c r="C138" s="84" t="s">
        <v>1272</v>
      </c>
      <c r="D138" s="76"/>
      <c r="E138" s="76"/>
      <c r="F138" s="76">
        <v>1.0</v>
      </c>
      <c r="G138" s="77">
        <f t="shared" si="8"/>
        <v>0.2</v>
      </c>
      <c r="H138" s="78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</row>
    <row r="139">
      <c r="A139" s="18">
        <v>17.0</v>
      </c>
      <c r="B139" s="74" t="s">
        <v>251</v>
      </c>
      <c r="C139" s="84" t="s">
        <v>1273</v>
      </c>
      <c r="D139" s="76"/>
      <c r="E139" s="76"/>
      <c r="F139" s="76">
        <v>2.0</v>
      </c>
      <c r="G139" s="77">
        <f t="shared" si="8"/>
        <v>0.4</v>
      </c>
      <c r="H139" s="78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</row>
    <row r="140">
      <c r="A140" s="18">
        <v>18.0</v>
      </c>
      <c r="B140" s="74" t="s">
        <v>253</v>
      </c>
      <c r="C140" s="84" t="s">
        <v>1274</v>
      </c>
      <c r="D140" s="76"/>
      <c r="E140" s="76"/>
      <c r="F140" s="76">
        <v>1.0</v>
      </c>
      <c r="G140" s="77">
        <f t="shared" si="8"/>
        <v>0.2</v>
      </c>
      <c r="H140" s="78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</row>
    <row r="141">
      <c r="A141" s="18">
        <v>19.0</v>
      </c>
      <c r="B141" s="74" t="s">
        <v>255</v>
      </c>
      <c r="C141" s="84" t="s">
        <v>1275</v>
      </c>
      <c r="D141" s="76"/>
      <c r="E141" s="76"/>
      <c r="F141" s="76">
        <v>0.0</v>
      </c>
      <c r="G141" s="77">
        <f t="shared" si="8"/>
        <v>0</v>
      </c>
      <c r="H141" s="78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</row>
    <row r="142">
      <c r="A142" s="18">
        <v>20.0</v>
      </c>
      <c r="B142" s="74" t="s">
        <v>257</v>
      </c>
      <c r="C142" s="84" t="s">
        <v>1276</v>
      </c>
      <c r="D142" s="76"/>
      <c r="E142" s="76"/>
      <c r="F142" s="76">
        <v>0.0</v>
      </c>
      <c r="G142" s="77">
        <f t="shared" si="8"/>
        <v>0</v>
      </c>
      <c r="H142" s="78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</row>
    <row r="143">
      <c r="A143" s="18">
        <v>21.0</v>
      </c>
      <c r="B143" s="74" t="s">
        <v>259</v>
      </c>
      <c r="C143" s="84" t="s">
        <v>1277</v>
      </c>
      <c r="D143" s="76"/>
      <c r="E143" s="76"/>
      <c r="F143" s="76">
        <v>0.0</v>
      </c>
      <c r="G143" s="77">
        <f t="shared" si="8"/>
        <v>0</v>
      </c>
      <c r="H143" s="78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</row>
    <row r="144">
      <c r="A144" s="18">
        <v>22.0</v>
      </c>
      <c r="B144" s="74" t="s">
        <v>261</v>
      </c>
      <c r="C144" s="84" t="s">
        <v>1278</v>
      </c>
      <c r="D144" s="76"/>
      <c r="E144" s="76"/>
      <c r="F144" s="76">
        <v>2.0</v>
      </c>
      <c r="G144" s="77">
        <f t="shared" si="8"/>
        <v>0.4</v>
      </c>
      <c r="H144" s="78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</row>
    <row r="145">
      <c r="A145" s="18">
        <v>23.0</v>
      </c>
      <c r="B145" s="74" t="s">
        <v>263</v>
      </c>
      <c r="C145" s="84" t="s">
        <v>1279</v>
      </c>
      <c r="D145" s="76"/>
      <c r="E145" s="76"/>
      <c r="F145" s="76">
        <v>1.0</v>
      </c>
      <c r="G145" s="77">
        <f t="shared" si="8"/>
        <v>0.2</v>
      </c>
      <c r="H145" s="78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</row>
    <row r="146">
      <c r="A146" s="18">
        <v>24.0</v>
      </c>
      <c r="B146" s="74" t="s">
        <v>265</v>
      </c>
      <c r="C146" s="84" t="s">
        <v>1280</v>
      </c>
      <c r="D146" s="76"/>
      <c r="E146" s="76"/>
      <c r="F146" s="76">
        <v>1.0</v>
      </c>
      <c r="G146" s="77">
        <f t="shared" si="8"/>
        <v>0.2</v>
      </c>
      <c r="H146" s="78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</row>
    <row r="147">
      <c r="A147" s="18">
        <v>25.0</v>
      </c>
      <c r="B147" s="74" t="s">
        <v>267</v>
      </c>
      <c r="C147" s="84" t="s">
        <v>1281</v>
      </c>
      <c r="D147" s="76"/>
      <c r="E147" s="76"/>
      <c r="F147" s="76">
        <v>0.0</v>
      </c>
      <c r="G147" s="77">
        <f t="shared" si="8"/>
        <v>0</v>
      </c>
      <c r="H147" s="78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</row>
    <row r="148">
      <c r="A148" s="18">
        <v>26.0</v>
      </c>
      <c r="B148" s="74" t="s">
        <v>269</v>
      </c>
      <c r="C148" s="84" t="s">
        <v>1282</v>
      </c>
      <c r="D148" s="76"/>
      <c r="E148" s="76"/>
      <c r="F148" s="76">
        <v>1.0</v>
      </c>
      <c r="G148" s="77">
        <f t="shared" si="8"/>
        <v>0.2</v>
      </c>
      <c r="H148" s="78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</row>
    <row r="149">
      <c r="A149" s="18">
        <v>27.0</v>
      </c>
      <c r="B149" s="74" t="s">
        <v>271</v>
      </c>
      <c r="C149" s="84" t="s">
        <v>1283</v>
      </c>
      <c r="D149" s="76"/>
      <c r="E149" s="76"/>
      <c r="F149" s="76">
        <v>0.0</v>
      </c>
      <c r="G149" s="77">
        <f t="shared" si="8"/>
        <v>0</v>
      </c>
      <c r="H149" s="78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</row>
    <row r="150">
      <c r="A150" s="18">
        <v>28.0</v>
      </c>
      <c r="B150" s="74" t="s">
        <v>273</v>
      </c>
      <c r="C150" s="84" t="s">
        <v>1284</v>
      </c>
      <c r="D150" s="76"/>
      <c r="E150" s="76"/>
      <c r="F150" s="76">
        <v>2.0</v>
      </c>
      <c r="G150" s="77">
        <f t="shared" si="8"/>
        <v>0.4</v>
      </c>
      <c r="H150" s="78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</row>
    <row r="151">
      <c r="A151" s="18">
        <v>29.0</v>
      </c>
      <c r="B151" s="74" t="s">
        <v>275</v>
      </c>
      <c r="C151" s="84" t="s">
        <v>1285</v>
      </c>
      <c r="D151" s="76"/>
      <c r="E151" s="76"/>
      <c r="F151" s="76">
        <v>0.0</v>
      </c>
      <c r="G151" s="77">
        <f t="shared" si="8"/>
        <v>0</v>
      </c>
      <c r="H151" s="78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</row>
    <row r="152">
      <c r="A152" s="18">
        <v>30.0</v>
      </c>
      <c r="B152" s="74" t="s">
        <v>277</v>
      </c>
      <c r="C152" s="84" t="s">
        <v>1286</v>
      </c>
      <c r="D152" s="76"/>
      <c r="E152" s="76"/>
      <c r="F152" s="76">
        <v>2.0</v>
      </c>
      <c r="G152" s="77">
        <f t="shared" si="8"/>
        <v>0.4</v>
      </c>
      <c r="H152" s="78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</row>
    <row r="153">
      <c r="A153" s="18">
        <v>31.0</v>
      </c>
      <c r="B153" s="74" t="s">
        <v>279</v>
      </c>
      <c r="C153" s="84" t="s">
        <v>1287</v>
      </c>
      <c r="D153" s="76"/>
      <c r="E153" s="76"/>
      <c r="F153" s="76">
        <v>2.0</v>
      </c>
      <c r="G153" s="77">
        <f t="shared" si="8"/>
        <v>0.4</v>
      </c>
      <c r="H153" s="78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</row>
    <row r="154">
      <c r="A154" s="18">
        <v>32.0</v>
      </c>
      <c r="B154" s="74" t="s">
        <v>281</v>
      </c>
      <c r="C154" s="84" t="s">
        <v>1288</v>
      </c>
      <c r="D154" s="76"/>
      <c r="E154" s="76"/>
      <c r="F154" s="76">
        <v>1.0</v>
      </c>
      <c r="G154" s="77">
        <f t="shared" si="8"/>
        <v>0.2</v>
      </c>
      <c r="H154" s="78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</row>
    <row r="155">
      <c r="A155" s="18">
        <v>33.0</v>
      </c>
      <c r="B155" s="74" t="s">
        <v>283</v>
      </c>
      <c r="C155" s="84" t="s">
        <v>1289</v>
      </c>
      <c r="D155" s="76"/>
      <c r="E155" s="76"/>
      <c r="F155" s="76">
        <v>3.0</v>
      </c>
      <c r="G155" s="77">
        <f t="shared" si="8"/>
        <v>0.6</v>
      </c>
      <c r="H155" s="78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</row>
    <row r="156">
      <c r="A156" s="24">
        <v>34.0</v>
      </c>
      <c r="B156" s="74" t="s">
        <v>285</v>
      </c>
      <c r="C156" s="84" t="s">
        <v>1290</v>
      </c>
      <c r="D156" s="79"/>
      <c r="E156" s="79"/>
      <c r="F156" s="79">
        <v>1.0</v>
      </c>
      <c r="G156" s="77">
        <f t="shared" si="8"/>
        <v>0.2</v>
      </c>
      <c r="H156" s="78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</row>
    <row r="157">
      <c r="A157" s="18">
        <v>35.0</v>
      </c>
      <c r="B157" s="74" t="s">
        <v>287</v>
      </c>
      <c r="C157" s="84" t="s">
        <v>1291</v>
      </c>
      <c r="D157" s="76"/>
      <c r="E157" s="76"/>
      <c r="F157" s="76">
        <v>0.0</v>
      </c>
      <c r="G157" s="77">
        <f t="shared" si="8"/>
        <v>0</v>
      </c>
      <c r="H157" s="78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</row>
    <row r="158">
      <c r="A158" s="18">
        <v>36.0</v>
      </c>
      <c r="B158" s="74" t="s">
        <v>289</v>
      </c>
      <c r="C158" s="84" t="s">
        <v>1292</v>
      </c>
      <c r="D158" s="76"/>
      <c r="E158" s="76"/>
      <c r="F158" s="76">
        <v>2.0</v>
      </c>
      <c r="G158" s="77">
        <f t="shared" si="8"/>
        <v>0.4</v>
      </c>
      <c r="H158" s="78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</row>
    <row r="159">
      <c r="A159" s="18">
        <v>37.0</v>
      </c>
      <c r="B159" s="74" t="s">
        <v>291</v>
      </c>
      <c r="C159" s="84" t="s">
        <v>1293</v>
      </c>
      <c r="D159" s="76"/>
      <c r="E159" s="76"/>
      <c r="F159" s="76">
        <v>2.0</v>
      </c>
      <c r="G159" s="77">
        <f t="shared" si="8"/>
        <v>0.4</v>
      </c>
      <c r="H159" s="78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</row>
    <row r="160">
      <c r="A160" s="18">
        <v>38.0</v>
      </c>
      <c r="B160" s="74" t="s">
        <v>293</v>
      </c>
      <c r="C160" s="84" t="s">
        <v>1294</v>
      </c>
      <c r="D160" s="76"/>
      <c r="E160" s="76"/>
      <c r="F160" s="76">
        <v>0.0</v>
      </c>
      <c r="G160" s="77">
        <f t="shared" si="8"/>
        <v>0</v>
      </c>
      <c r="H160" s="78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</row>
    <row r="161">
      <c r="A161" s="18">
        <v>39.0</v>
      </c>
      <c r="B161" s="74" t="s">
        <v>295</v>
      </c>
      <c r="C161" s="84" t="s">
        <v>1295</v>
      </c>
      <c r="D161" s="76"/>
      <c r="E161" s="76"/>
      <c r="F161" s="76">
        <v>2.0</v>
      </c>
      <c r="G161" s="77">
        <f t="shared" si="8"/>
        <v>0.4</v>
      </c>
      <c r="H161" s="78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</row>
    <row r="162">
      <c r="A162" s="18">
        <v>40.0</v>
      </c>
      <c r="B162" s="74" t="s">
        <v>297</v>
      </c>
      <c r="C162" s="84" t="s">
        <v>1296</v>
      </c>
      <c r="D162" s="76"/>
      <c r="E162" s="76"/>
      <c r="F162" s="76">
        <v>2.0</v>
      </c>
      <c r="G162" s="77">
        <f t="shared" si="8"/>
        <v>0.4</v>
      </c>
      <c r="H162" s="78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</row>
    <row r="163">
      <c r="A163" s="18">
        <v>41.0</v>
      </c>
      <c r="B163" s="74" t="s">
        <v>299</v>
      </c>
      <c r="C163" s="84" t="s">
        <v>1297</v>
      </c>
      <c r="D163" s="76"/>
      <c r="E163" s="76"/>
      <c r="F163" s="76">
        <v>2.0</v>
      </c>
      <c r="G163" s="77">
        <f t="shared" si="8"/>
        <v>0.4</v>
      </c>
      <c r="H163" s="78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</row>
    <row r="164">
      <c r="A164" s="18">
        <v>42.0</v>
      </c>
      <c r="B164" s="74" t="s">
        <v>301</v>
      </c>
      <c r="C164" s="84" t="s">
        <v>1298</v>
      </c>
      <c r="D164" s="76"/>
      <c r="E164" s="76"/>
      <c r="F164" s="76">
        <v>3.0</v>
      </c>
      <c r="G164" s="77">
        <f t="shared" si="8"/>
        <v>0.6</v>
      </c>
      <c r="H164" s="78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</row>
    <row r="165">
      <c r="A165" s="18">
        <v>43.0</v>
      </c>
      <c r="B165" s="74" t="s">
        <v>303</v>
      </c>
      <c r="C165" s="84" t="s">
        <v>1299</v>
      </c>
      <c r="D165" s="76"/>
      <c r="E165" s="76"/>
      <c r="F165" s="76">
        <v>3.0</v>
      </c>
      <c r="G165" s="77">
        <f t="shared" si="8"/>
        <v>0.6</v>
      </c>
      <c r="H165" s="78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</row>
    <row r="166">
      <c r="A166" s="18">
        <v>44.0</v>
      </c>
      <c r="B166" s="74" t="s">
        <v>305</v>
      </c>
      <c r="C166" s="84" t="s">
        <v>1300</v>
      </c>
      <c r="D166" s="76"/>
      <c r="E166" s="76"/>
      <c r="F166" s="76">
        <v>2.0</v>
      </c>
      <c r="G166" s="77">
        <f t="shared" si="8"/>
        <v>0.4</v>
      </c>
      <c r="H166" s="78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</row>
    <row r="167">
      <c r="A167" s="18">
        <v>45.0</v>
      </c>
      <c r="B167" s="74" t="s">
        <v>307</v>
      </c>
      <c r="C167" s="84" t="s">
        <v>1301</v>
      </c>
      <c r="D167" s="76"/>
      <c r="E167" s="76"/>
      <c r="F167" s="76">
        <v>3.0</v>
      </c>
      <c r="G167" s="77">
        <f t="shared" si="8"/>
        <v>0.6</v>
      </c>
      <c r="H167" s="78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</row>
    <row r="168" hidden="1">
      <c r="A168" s="63"/>
      <c r="B168" s="63"/>
      <c r="C168" s="63"/>
      <c r="D168" s="66"/>
      <c r="E168" s="66"/>
      <c r="F168" s="66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</row>
    <row r="169" hidden="1">
      <c r="A169" s="65" t="s">
        <v>3</v>
      </c>
      <c r="B169" s="63"/>
      <c r="C169" s="67" t="s">
        <v>4</v>
      </c>
      <c r="D169" s="66"/>
      <c r="E169" s="66"/>
      <c r="F169" s="66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</row>
    <row r="170" hidden="1">
      <c r="A170" s="65" t="s">
        <v>5</v>
      </c>
      <c r="B170" s="63"/>
      <c r="C170" s="67" t="s">
        <v>310</v>
      </c>
      <c r="D170" s="66"/>
      <c r="E170" s="66"/>
      <c r="F170" s="66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</row>
    <row r="171" hidden="1">
      <c r="A171" s="65" t="s">
        <v>7</v>
      </c>
      <c r="B171" s="63"/>
      <c r="C171" s="67" t="s">
        <v>8</v>
      </c>
      <c r="D171" s="66"/>
      <c r="E171" s="66"/>
      <c r="F171" s="66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</row>
    <row r="172" hidden="1">
      <c r="A172" s="63"/>
      <c r="B172" s="63"/>
      <c r="C172" s="63"/>
      <c r="D172" s="66"/>
      <c r="E172" s="66"/>
      <c r="F172" s="66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</row>
    <row r="173" hidden="1">
      <c r="A173" s="6" t="s">
        <v>9</v>
      </c>
      <c r="B173" s="6" t="s">
        <v>10</v>
      </c>
      <c r="C173" s="7" t="s">
        <v>11</v>
      </c>
      <c r="D173" s="68"/>
      <c r="E173" s="68"/>
      <c r="F173" s="68"/>
      <c r="G173" s="69"/>
      <c r="H173" s="70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</row>
    <row r="174" hidden="1">
      <c r="A174" s="11"/>
      <c r="B174" s="11"/>
      <c r="C174" s="11"/>
      <c r="D174" s="82" t="s">
        <v>1161</v>
      </c>
      <c r="E174" s="72" t="s">
        <v>1162</v>
      </c>
      <c r="F174" s="83" t="s">
        <v>12</v>
      </c>
      <c r="G174" s="13" t="s">
        <v>13</v>
      </c>
      <c r="H174" s="14" t="s">
        <v>14</v>
      </c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</row>
    <row r="175" hidden="1">
      <c r="A175" s="15"/>
      <c r="B175" s="15"/>
      <c r="C175" s="15"/>
      <c r="D175" s="16"/>
      <c r="E175" s="16"/>
      <c r="F175" s="16"/>
      <c r="G175" s="16"/>
      <c r="H175" s="17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</row>
    <row r="176">
      <c r="A176" s="18">
        <v>1.0</v>
      </c>
      <c r="B176" s="74" t="s">
        <v>311</v>
      </c>
      <c r="C176" s="75" t="s">
        <v>1302</v>
      </c>
      <c r="D176" s="76"/>
      <c r="E176" s="76"/>
      <c r="F176" s="76">
        <v>1.0</v>
      </c>
      <c r="G176" s="77">
        <f t="shared" ref="G176:G221" si="9">F176/5</f>
        <v>0.2</v>
      </c>
      <c r="H176" s="78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</row>
    <row r="177">
      <c r="A177" s="18">
        <v>2.0</v>
      </c>
      <c r="B177" s="74" t="s">
        <v>313</v>
      </c>
      <c r="C177" s="75" t="s">
        <v>1303</v>
      </c>
      <c r="D177" s="76"/>
      <c r="E177" s="76"/>
      <c r="F177" s="76">
        <v>2.0</v>
      </c>
      <c r="G177" s="77">
        <f t="shared" si="9"/>
        <v>0.4</v>
      </c>
      <c r="H177" s="78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</row>
    <row r="178">
      <c r="A178" s="18">
        <v>3.0</v>
      </c>
      <c r="B178" s="74" t="s">
        <v>315</v>
      </c>
      <c r="C178" s="75" t="s">
        <v>1304</v>
      </c>
      <c r="D178" s="76"/>
      <c r="E178" s="76"/>
      <c r="F178" s="76">
        <v>1.0</v>
      </c>
      <c r="G178" s="77">
        <f t="shared" si="9"/>
        <v>0.2</v>
      </c>
      <c r="H178" s="78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</row>
    <row r="179">
      <c r="A179" s="18">
        <v>4.0</v>
      </c>
      <c r="B179" s="74" t="s">
        <v>317</v>
      </c>
      <c r="C179" s="75" t="s">
        <v>1305</v>
      </c>
      <c r="D179" s="76"/>
      <c r="E179" s="76"/>
      <c r="F179" s="76">
        <v>1.0</v>
      </c>
      <c r="G179" s="77">
        <f t="shared" si="9"/>
        <v>0.2</v>
      </c>
      <c r="H179" s="78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</row>
    <row r="180">
      <c r="A180" s="18">
        <v>5.0</v>
      </c>
      <c r="B180" s="74" t="s">
        <v>319</v>
      </c>
      <c r="C180" s="75" t="s">
        <v>1306</v>
      </c>
      <c r="D180" s="76"/>
      <c r="E180" s="76"/>
      <c r="F180" s="76">
        <v>1.0</v>
      </c>
      <c r="G180" s="77">
        <f t="shared" si="9"/>
        <v>0.2</v>
      </c>
      <c r="H180" s="78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</row>
    <row r="181">
      <c r="A181" s="18">
        <v>6.0</v>
      </c>
      <c r="B181" s="74" t="s">
        <v>321</v>
      </c>
      <c r="C181" s="75" t="s">
        <v>1307</v>
      </c>
      <c r="D181" s="76"/>
      <c r="E181" s="76"/>
      <c r="F181" s="76">
        <v>4.0</v>
      </c>
      <c r="G181" s="77">
        <f t="shared" si="9"/>
        <v>0.8</v>
      </c>
      <c r="H181" s="78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</row>
    <row r="182">
      <c r="A182" s="18">
        <v>7.0</v>
      </c>
      <c r="B182" s="74" t="s">
        <v>323</v>
      </c>
      <c r="C182" s="75" t="s">
        <v>1308</v>
      </c>
      <c r="D182" s="76"/>
      <c r="E182" s="76"/>
      <c r="F182" s="76">
        <v>2.0</v>
      </c>
      <c r="G182" s="77">
        <f t="shared" si="9"/>
        <v>0.4</v>
      </c>
      <c r="H182" s="78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</row>
    <row r="183">
      <c r="A183" s="18">
        <v>8.0</v>
      </c>
      <c r="B183" s="74" t="s">
        <v>325</v>
      </c>
      <c r="C183" s="75" t="s">
        <v>1309</v>
      </c>
      <c r="D183" s="76"/>
      <c r="E183" s="76"/>
      <c r="F183" s="76">
        <v>1.0</v>
      </c>
      <c r="G183" s="77">
        <f t="shared" si="9"/>
        <v>0.2</v>
      </c>
      <c r="H183" s="78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</row>
    <row r="184">
      <c r="A184" s="18">
        <v>9.0</v>
      </c>
      <c r="B184" s="74" t="s">
        <v>327</v>
      </c>
      <c r="C184" s="75" t="s">
        <v>1310</v>
      </c>
      <c r="D184" s="76"/>
      <c r="E184" s="76"/>
      <c r="F184" s="76">
        <v>1.0</v>
      </c>
      <c r="G184" s="77">
        <f t="shared" si="9"/>
        <v>0.2</v>
      </c>
      <c r="H184" s="78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</row>
    <row r="185">
      <c r="A185" s="18">
        <v>10.0</v>
      </c>
      <c r="B185" s="74" t="s">
        <v>329</v>
      </c>
      <c r="C185" s="75" t="s">
        <v>1311</v>
      </c>
      <c r="D185" s="76"/>
      <c r="E185" s="76"/>
      <c r="F185" s="76">
        <v>1.0</v>
      </c>
      <c r="G185" s="77">
        <f t="shared" si="9"/>
        <v>0.2</v>
      </c>
      <c r="H185" s="78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</row>
    <row r="186">
      <c r="A186" s="18">
        <v>11.0</v>
      </c>
      <c r="B186" s="74" t="s">
        <v>331</v>
      </c>
      <c r="C186" s="75" t="s">
        <v>1312</v>
      </c>
      <c r="D186" s="76"/>
      <c r="E186" s="76"/>
      <c r="F186" s="76">
        <v>2.0</v>
      </c>
      <c r="G186" s="77">
        <f t="shared" si="9"/>
        <v>0.4</v>
      </c>
      <c r="H186" s="78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</row>
    <row r="187">
      <c r="A187" s="18">
        <v>12.0</v>
      </c>
      <c r="B187" s="74" t="s">
        <v>333</v>
      </c>
      <c r="C187" s="75" t="s">
        <v>1313</v>
      </c>
      <c r="D187" s="76"/>
      <c r="E187" s="76"/>
      <c r="F187" s="76">
        <v>3.0</v>
      </c>
      <c r="G187" s="77">
        <f t="shared" si="9"/>
        <v>0.6</v>
      </c>
      <c r="H187" s="78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</row>
    <row r="188">
      <c r="A188" s="18">
        <v>13.0</v>
      </c>
      <c r="B188" s="74" t="s">
        <v>335</v>
      </c>
      <c r="C188" s="75" t="s">
        <v>1314</v>
      </c>
      <c r="D188" s="76"/>
      <c r="E188" s="76"/>
      <c r="F188" s="76">
        <v>0.0</v>
      </c>
      <c r="G188" s="77">
        <f t="shared" si="9"/>
        <v>0</v>
      </c>
      <c r="H188" s="78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</row>
    <row r="189">
      <c r="A189" s="18">
        <v>14.0</v>
      </c>
      <c r="B189" s="74" t="s">
        <v>337</v>
      </c>
      <c r="C189" s="75" t="s">
        <v>1315</v>
      </c>
      <c r="D189" s="76"/>
      <c r="E189" s="76"/>
      <c r="F189" s="76">
        <v>2.0</v>
      </c>
      <c r="G189" s="77">
        <f t="shared" si="9"/>
        <v>0.4</v>
      </c>
      <c r="H189" s="78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</row>
    <row r="190">
      <c r="A190" s="18">
        <v>15.0</v>
      </c>
      <c r="B190" s="74" t="s">
        <v>339</v>
      </c>
      <c r="C190" s="75" t="s">
        <v>1316</v>
      </c>
      <c r="D190" s="76"/>
      <c r="E190" s="76"/>
      <c r="F190" s="76">
        <v>2.0</v>
      </c>
      <c r="G190" s="77">
        <f t="shared" si="9"/>
        <v>0.4</v>
      </c>
      <c r="H190" s="78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</row>
    <row r="191">
      <c r="A191" s="18">
        <v>16.0</v>
      </c>
      <c r="B191" s="74" t="s">
        <v>341</v>
      </c>
      <c r="C191" s="75" t="s">
        <v>1317</v>
      </c>
      <c r="D191" s="76"/>
      <c r="E191" s="76"/>
      <c r="F191" s="76">
        <v>2.0</v>
      </c>
      <c r="G191" s="77">
        <f t="shared" si="9"/>
        <v>0.4</v>
      </c>
      <c r="H191" s="78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</row>
    <row r="192">
      <c r="A192" s="18">
        <v>17.0</v>
      </c>
      <c r="B192" s="74" t="s">
        <v>343</v>
      </c>
      <c r="C192" s="75" t="s">
        <v>1318</v>
      </c>
      <c r="D192" s="76"/>
      <c r="E192" s="76"/>
      <c r="F192" s="76">
        <v>3.0</v>
      </c>
      <c r="G192" s="77">
        <f t="shared" si="9"/>
        <v>0.6</v>
      </c>
      <c r="H192" s="78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</row>
    <row r="193">
      <c r="A193" s="18">
        <v>18.0</v>
      </c>
      <c r="B193" s="74" t="s">
        <v>345</v>
      </c>
      <c r="C193" s="75" t="s">
        <v>1319</v>
      </c>
      <c r="D193" s="76"/>
      <c r="E193" s="76"/>
      <c r="F193" s="76">
        <v>3.0</v>
      </c>
      <c r="G193" s="77">
        <f t="shared" si="9"/>
        <v>0.6</v>
      </c>
      <c r="H193" s="78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</row>
    <row r="194">
      <c r="A194" s="18">
        <v>19.0</v>
      </c>
      <c r="B194" s="74" t="s">
        <v>347</v>
      </c>
      <c r="C194" s="75" t="s">
        <v>1320</v>
      </c>
      <c r="D194" s="76"/>
      <c r="E194" s="76"/>
      <c r="F194" s="76">
        <v>1.0</v>
      </c>
      <c r="G194" s="77">
        <f t="shared" si="9"/>
        <v>0.2</v>
      </c>
      <c r="H194" s="78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</row>
    <row r="195">
      <c r="A195" s="18">
        <v>20.0</v>
      </c>
      <c r="B195" s="74" t="s">
        <v>349</v>
      </c>
      <c r="C195" s="75" t="s">
        <v>1321</v>
      </c>
      <c r="D195" s="76"/>
      <c r="E195" s="76"/>
      <c r="F195" s="76">
        <v>3.0</v>
      </c>
      <c r="G195" s="77">
        <f t="shared" si="9"/>
        <v>0.6</v>
      </c>
      <c r="H195" s="78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</row>
    <row r="196">
      <c r="A196" s="18">
        <v>21.0</v>
      </c>
      <c r="B196" s="74" t="s">
        <v>351</v>
      </c>
      <c r="C196" s="75" t="s">
        <v>1322</v>
      </c>
      <c r="D196" s="76"/>
      <c r="E196" s="76"/>
      <c r="F196" s="76">
        <v>3.0</v>
      </c>
      <c r="G196" s="77">
        <f t="shared" si="9"/>
        <v>0.6</v>
      </c>
      <c r="H196" s="78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</row>
    <row r="197">
      <c r="A197" s="18">
        <v>22.0</v>
      </c>
      <c r="B197" s="74" t="s">
        <v>353</v>
      </c>
      <c r="C197" s="75" t="s">
        <v>1323</v>
      </c>
      <c r="D197" s="76"/>
      <c r="E197" s="76"/>
      <c r="F197" s="76">
        <v>5.0</v>
      </c>
      <c r="G197" s="77">
        <f t="shared" si="9"/>
        <v>1</v>
      </c>
      <c r="H197" s="78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</row>
    <row r="198">
      <c r="A198" s="18">
        <v>23.0</v>
      </c>
      <c r="B198" s="74" t="s">
        <v>355</v>
      </c>
      <c r="C198" s="75" t="s">
        <v>1324</v>
      </c>
      <c r="D198" s="76"/>
      <c r="E198" s="76"/>
      <c r="F198" s="76">
        <v>2.0</v>
      </c>
      <c r="G198" s="77">
        <f t="shared" si="9"/>
        <v>0.4</v>
      </c>
      <c r="H198" s="78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</row>
    <row r="199">
      <c r="A199" s="18">
        <v>24.0</v>
      </c>
      <c r="B199" s="74" t="s">
        <v>357</v>
      </c>
      <c r="C199" s="75" t="s">
        <v>1325</v>
      </c>
      <c r="D199" s="76"/>
      <c r="E199" s="76"/>
      <c r="F199" s="76">
        <v>5.0</v>
      </c>
      <c r="G199" s="77">
        <f t="shared" si="9"/>
        <v>1</v>
      </c>
      <c r="H199" s="78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</row>
    <row r="200">
      <c r="A200" s="18">
        <v>25.0</v>
      </c>
      <c r="B200" s="74" t="s">
        <v>359</v>
      </c>
      <c r="C200" s="75" t="s">
        <v>1326</v>
      </c>
      <c r="D200" s="76"/>
      <c r="E200" s="76"/>
      <c r="F200" s="76">
        <v>3.0</v>
      </c>
      <c r="G200" s="77">
        <f t="shared" si="9"/>
        <v>0.6</v>
      </c>
      <c r="H200" s="78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</row>
    <row r="201">
      <c r="A201" s="18">
        <v>26.0</v>
      </c>
      <c r="B201" s="74" t="s">
        <v>361</v>
      </c>
      <c r="C201" s="75" t="s">
        <v>1327</v>
      </c>
      <c r="D201" s="76"/>
      <c r="E201" s="76"/>
      <c r="F201" s="76">
        <v>2.0</v>
      </c>
      <c r="G201" s="77">
        <f t="shared" si="9"/>
        <v>0.4</v>
      </c>
      <c r="H201" s="78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</row>
    <row r="202">
      <c r="A202" s="18">
        <v>27.0</v>
      </c>
      <c r="B202" s="74" t="s">
        <v>363</v>
      </c>
      <c r="C202" s="75" t="s">
        <v>1328</v>
      </c>
      <c r="D202" s="76"/>
      <c r="E202" s="76"/>
      <c r="F202" s="76">
        <v>1.0</v>
      </c>
      <c r="G202" s="77">
        <f t="shared" si="9"/>
        <v>0.2</v>
      </c>
      <c r="H202" s="78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</row>
    <row r="203">
      <c r="A203" s="18">
        <v>28.0</v>
      </c>
      <c r="B203" s="74" t="s">
        <v>365</v>
      </c>
      <c r="C203" s="75" t="s">
        <v>1329</v>
      </c>
      <c r="D203" s="76"/>
      <c r="E203" s="76"/>
      <c r="F203" s="76">
        <v>1.0</v>
      </c>
      <c r="G203" s="77">
        <f t="shared" si="9"/>
        <v>0.2</v>
      </c>
      <c r="H203" s="78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</row>
    <row r="204">
      <c r="A204" s="18">
        <v>29.0</v>
      </c>
      <c r="B204" s="74" t="s">
        <v>367</v>
      </c>
      <c r="C204" s="75" t="s">
        <v>1330</v>
      </c>
      <c r="D204" s="76"/>
      <c r="E204" s="76"/>
      <c r="F204" s="76">
        <v>1.0</v>
      </c>
      <c r="G204" s="77">
        <f t="shared" si="9"/>
        <v>0.2</v>
      </c>
      <c r="H204" s="78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</row>
    <row r="205">
      <c r="A205" s="18">
        <v>30.0</v>
      </c>
      <c r="B205" s="74" t="s">
        <v>369</v>
      </c>
      <c r="C205" s="75" t="s">
        <v>1331</v>
      </c>
      <c r="D205" s="76"/>
      <c r="E205" s="76"/>
      <c r="F205" s="76">
        <v>2.0</v>
      </c>
      <c r="G205" s="77">
        <f t="shared" si="9"/>
        <v>0.4</v>
      </c>
      <c r="H205" s="78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</row>
    <row r="206">
      <c r="A206" s="18">
        <v>31.0</v>
      </c>
      <c r="B206" s="74" t="s">
        <v>371</v>
      </c>
      <c r="C206" s="75" t="s">
        <v>1332</v>
      </c>
      <c r="D206" s="76"/>
      <c r="E206" s="76"/>
      <c r="F206" s="76">
        <v>4.0</v>
      </c>
      <c r="G206" s="77">
        <f t="shared" si="9"/>
        <v>0.8</v>
      </c>
      <c r="H206" s="78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</row>
    <row r="207">
      <c r="A207" s="18">
        <v>32.0</v>
      </c>
      <c r="B207" s="74" t="s">
        <v>373</v>
      </c>
      <c r="C207" s="75" t="s">
        <v>1333</v>
      </c>
      <c r="D207" s="76"/>
      <c r="E207" s="76"/>
      <c r="F207" s="76">
        <v>0.0</v>
      </c>
      <c r="G207" s="77">
        <f t="shared" si="9"/>
        <v>0</v>
      </c>
      <c r="H207" s="78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</row>
    <row r="208">
      <c r="A208" s="18">
        <v>33.0</v>
      </c>
      <c r="B208" s="74" t="s">
        <v>375</v>
      </c>
      <c r="C208" s="75" t="s">
        <v>1334</v>
      </c>
      <c r="D208" s="76"/>
      <c r="E208" s="76"/>
      <c r="F208" s="76">
        <v>1.0</v>
      </c>
      <c r="G208" s="77">
        <f t="shared" si="9"/>
        <v>0.2</v>
      </c>
      <c r="H208" s="78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</row>
    <row r="209">
      <c r="A209" s="24">
        <v>34.0</v>
      </c>
      <c r="B209" s="74" t="s">
        <v>377</v>
      </c>
      <c r="C209" s="75" t="s">
        <v>1335</v>
      </c>
      <c r="D209" s="79"/>
      <c r="E209" s="79"/>
      <c r="F209" s="79">
        <v>1.0</v>
      </c>
      <c r="G209" s="77">
        <f t="shared" si="9"/>
        <v>0.2</v>
      </c>
      <c r="H209" s="78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</row>
    <row r="210">
      <c r="A210" s="18">
        <v>35.0</v>
      </c>
      <c r="B210" s="74" t="s">
        <v>379</v>
      </c>
      <c r="C210" s="75" t="s">
        <v>1336</v>
      </c>
      <c r="D210" s="76"/>
      <c r="E210" s="76"/>
      <c r="F210" s="76">
        <v>0.0</v>
      </c>
      <c r="G210" s="77">
        <f t="shared" si="9"/>
        <v>0</v>
      </c>
      <c r="H210" s="78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</row>
    <row r="211">
      <c r="A211" s="18">
        <v>36.0</v>
      </c>
      <c r="B211" s="74" t="s">
        <v>381</v>
      </c>
      <c r="C211" s="75" t="s">
        <v>1337</v>
      </c>
      <c r="D211" s="76"/>
      <c r="E211" s="76"/>
      <c r="F211" s="76">
        <v>1.0</v>
      </c>
      <c r="G211" s="77">
        <f t="shared" si="9"/>
        <v>0.2</v>
      </c>
      <c r="H211" s="78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</row>
    <row r="212">
      <c r="A212" s="18">
        <v>37.0</v>
      </c>
      <c r="B212" s="74" t="s">
        <v>383</v>
      </c>
      <c r="C212" s="75" t="s">
        <v>1338</v>
      </c>
      <c r="D212" s="76"/>
      <c r="E212" s="76"/>
      <c r="F212" s="76">
        <v>2.0</v>
      </c>
      <c r="G212" s="77">
        <f t="shared" si="9"/>
        <v>0.4</v>
      </c>
      <c r="H212" s="78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</row>
    <row r="213">
      <c r="A213" s="18">
        <v>38.0</v>
      </c>
      <c r="B213" s="74" t="s">
        <v>385</v>
      </c>
      <c r="C213" s="75" t="s">
        <v>1339</v>
      </c>
      <c r="D213" s="76"/>
      <c r="E213" s="76"/>
      <c r="F213" s="76">
        <v>4.0</v>
      </c>
      <c r="G213" s="77">
        <f t="shared" si="9"/>
        <v>0.8</v>
      </c>
      <c r="H213" s="78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</row>
    <row r="214">
      <c r="A214" s="18">
        <v>39.0</v>
      </c>
      <c r="B214" s="74" t="s">
        <v>387</v>
      </c>
      <c r="C214" s="75" t="s">
        <v>1340</v>
      </c>
      <c r="D214" s="76"/>
      <c r="E214" s="76"/>
      <c r="F214" s="76">
        <v>1.0</v>
      </c>
      <c r="G214" s="77">
        <f t="shared" si="9"/>
        <v>0.2</v>
      </c>
      <c r="H214" s="78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</row>
    <row r="215">
      <c r="A215" s="18">
        <v>40.0</v>
      </c>
      <c r="B215" s="74" t="s">
        <v>389</v>
      </c>
      <c r="C215" s="75" t="s">
        <v>1341</v>
      </c>
      <c r="D215" s="76"/>
      <c r="E215" s="76"/>
      <c r="F215" s="76">
        <v>3.0</v>
      </c>
      <c r="G215" s="77">
        <f t="shared" si="9"/>
        <v>0.6</v>
      </c>
      <c r="H215" s="78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</row>
    <row r="216">
      <c r="A216" s="18">
        <v>41.0</v>
      </c>
      <c r="B216" s="74" t="s">
        <v>391</v>
      </c>
      <c r="C216" s="75" t="s">
        <v>1342</v>
      </c>
      <c r="D216" s="76"/>
      <c r="E216" s="76"/>
      <c r="F216" s="76">
        <v>3.0</v>
      </c>
      <c r="G216" s="77">
        <f t="shared" si="9"/>
        <v>0.6</v>
      </c>
      <c r="H216" s="78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</row>
    <row r="217">
      <c r="A217" s="18">
        <v>42.0</v>
      </c>
      <c r="B217" s="74" t="s">
        <v>393</v>
      </c>
      <c r="C217" s="75" t="s">
        <v>1343</v>
      </c>
      <c r="D217" s="76"/>
      <c r="E217" s="76"/>
      <c r="F217" s="76">
        <v>4.0</v>
      </c>
      <c r="G217" s="77">
        <f t="shared" si="9"/>
        <v>0.8</v>
      </c>
      <c r="H217" s="78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</row>
    <row r="218">
      <c r="A218" s="18">
        <v>43.0</v>
      </c>
      <c r="B218" s="74" t="s">
        <v>395</v>
      </c>
      <c r="C218" s="75" t="s">
        <v>1344</v>
      </c>
      <c r="D218" s="76"/>
      <c r="E218" s="76"/>
      <c r="F218" s="76">
        <v>5.0</v>
      </c>
      <c r="G218" s="77">
        <f t="shared" si="9"/>
        <v>1</v>
      </c>
      <c r="H218" s="78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</row>
    <row r="219">
      <c r="A219" s="18">
        <v>44.0</v>
      </c>
      <c r="B219" s="74" t="s">
        <v>397</v>
      </c>
      <c r="C219" s="75" t="s">
        <v>1345</v>
      </c>
      <c r="D219" s="76"/>
      <c r="E219" s="76"/>
      <c r="F219" s="76">
        <v>1.0</v>
      </c>
      <c r="G219" s="77">
        <f t="shared" si="9"/>
        <v>0.2</v>
      </c>
      <c r="H219" s="78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</row>
    <row r="220">
      <c r="A220" s="18">
        <v>45.0</v>
      </c>
      <c r="B220" s="74" t="s">
        <v>399</v>
      </c>
      <c r="C220" s="75" t="s">
        <v>1346</v>
      </c>
      <c r="D220" s="76"/>
      <c r="E220" s="76"/>
      <c r="F220" s="76">
        <v>5.0</v>
      </c>
      <c r="G220" s="77">
        <f t="shared" si="9"/>
        <v>1</v>
      </c>
      <c r="H220" s="78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</row>
    <row r="221">
      <c r="A221" s="18">
        <v>46.0</v>
      </c>
      <c r="B221" s="74" t="s">
        <v>401</v>
      </c>
      <c r="C221" s="84" t="s">
        <v>1347</v>
      </c>
      <c r="D221" s="76"/>
      <c r="E221" s="76"/>
      <c r="F221" s="76">
        <v>4.0</v>
      </c>
      <c r="G221" s="77">
        <f t="shared" si="9"/>
        <v>0.8</v>
      </c>
      <c r="H221" s="78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</row>
    <row r="222" hidden="1">
      <c r="A222" s="63"/>
      <c r="B222" s="63"/>
      <c r="C222" s="63"/>
      <c r="D222" s="66"/>
      <c r="E222" s="66"/>
      <c r="F222" s="66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</row>
    <row r="223" hidden="1">
      <c r="A223" s="65" t="s">
        <v>3</v>
      </c>
      <c r="B223" s="63"/>
      <c r="C223" s="67" t="s">
        <v>4</v>
      </c>
      <c r="D223" s="66"/>
      <c r="E223" s="66"/>
      <c r="F223" s="66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</row>
    <row r="224" hidden="1">
      <c r="A224" s="65" t="s">
        <v>5</v>
      </c>
      <c r="B224" s="63"/>
      <c r="C224" s="67" t="s">
        <v>404</v>
      </c>
      <c r="D224" s="66"/>
      <c r="E224" s="66"/>
      <c r="F224" s="66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</row>
    <row r="225" hidden="1">
      <c r="A225" s="65" t="s">
        <v>7</v>
      </c>
      <c r="B225" s="63"/>
      <c r="C225" s="67" t="s">
        <v>8</v>
      </c>
      <c r="D225" s="66"/>
      <c r="E225" s="66"/>
      <c r="F225" s="66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</row>
    <row r="226" hidden="1">
      <c r="A226" s="63"/>
      <c r="B226" s="63"/>
      <c r="C226" s="63"/>
      <c r="D226" s="66"/>
      <c r="E226" s="66"/>
      <c r="F226" s="66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</row>
    <row r="227" hidden="1">
      <c r="A227" s="6" t="s">
        <v>9</v>
      </c>
      <c r="B227" s="6" t="s">
        <v>10</v>
      </c>
      <c r="C227" s="7" t="s">
        <v>11</v>
      </c>
      <c r="D227" s="68"/>
      <c r="E227" s="68"/>
      <c r="F227" s="68"/>
      <c r="G227" s="69"/>
      <c r="H227" s="70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</row>
    <row r="228" hidden="1">
      <c r="A228" s="11"/>
      <c r="B228" s="11"/>
      <c r="C228" s="11"/>
      <c r="D228" s="82" t="s">
        <v>1161</v>
      </c>
      <c r="E228" s="72" t="s">
        <v>1162</v>
      </c>
      <c r="F228" s="83" t="s">
        <v>12</v>
      </c>
      <c r="G228" s="13" t="s">
        <v>13</v>
      </c>
      <c r="H228" s="14" t="s">
        <v>14</v>
      </c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</row>
    <row r="229" hidden="1">
      <c r="A229" s="15"/>
      <c r="B229" s="15"/>
      <c r="C229" s="15"/>
      <c r="D229" s="16"/>
      <c r="E229" s="16"/>
      <c r="F229" s="16"/>
      <c r="G229" s="16"/>
      <c r="H229" s="17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</row>
    <row r="230">
      <c r="A230" s="18">
        <v>1.0</v>
      </c>
      <c r="B230" s="74" t="s">
        <v>405</v>
      </c>
      <c r="C230" s="75" t="s">
        <v>1348</v>
      </c>
      <c r="D230" s="76"/>
      <c r="E230" s="76"/>
      <c r="F230" s="76">
        <v>3.0</v>
      </c>
      <c r="G230" s="77">
        <f t="shared" ref="G230:G274" si="10">F230/5</f>
        <v>0.6</v>
      </c>
      <c r="H230" s="78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</row>
    <row r="231">
      <c r="A231" s="18">
        <v>2.0</v>
      </c>
      <c r="B231" s="74" t="s">
        <v>407</v>
      </c>
      <c r="C231" s="75" t="s">
        <v>1349</v>
      </c>
      <c r="D231" s="76"/>
      <c r="E231" s="76"/>
      <c r="F231" s="76">
        <v>0.0</v>
      </c>
      <c r="G231" s="77">
        <f t="shared" si="10"/>
        <v>0</v>
      </c>
      <c r="H231" s="78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</row>
    <row r="232">
      <c r="A232" s="18">
        <v>3.0</v>
      </c>
      <c r="B232" s="74" t="s">
        <v>409</v>
      </c>
      <c r="C232" s="75" t="s">
        <v>1350</v>
      </c>
      <c r="D232" s="76"/>
      <c r="E232" s="76"/>
      <c r="F232" s="76">
        <v>1.0</v>
      </c>
      <c r="G232" s="77">
        <f t="shared" si="10"/>
        <v>0.2</v>
      </c>
      <c r="H232" s="78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</row>
    <row r="233">
      <c r="A233" s="18">
        <v>4.0</v>
      </c>
      <c r="B233" s="74" t="s">
        <v>411</v>
      </c>
      <c r="C233" s="75" t="s">
        <v>1351</v>
      </c>
      <c r="D233" s="76"/>
      <c r="E233" s="76"/>
      <c r="F233" s="76">
        <v>0.0</v>
      </c>
      <c r="G233" s="77">
        <f t="shared" si="10"/>
        <v>0</v>
      </c>
      <c r="H233" s="78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</row>
    <row r="234">
      <c r="A234" s="18">
        <v>5.0</v>
      </c>
      <c r="B234" s="74" t="s">
        <v>413</v>
      </c>
      <c r="C234" s="75" t="s">
        <v>1352</v>
      </c>
      <c r="D234" s="76"/>
      <c r="E234" s="76"/>
      <c r="F234" s="76">
        <v>1.0</v>
      </c>
      <c r="G234" s="77">
        <f t="shared" si="10"/>
        <v>0.2</v>
      </c>
      <c r="H234" s="78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</row>
    <row r="235">
      <c r="A235" s="18">
        <v>6.0</v>
      </c>
      <c r="B235" s="74" t="s">
        <v>415</v>
      </c>
      <c r="C235" s="75" t="s">
        <v>1353</v>
      </c>
      <c r="D235" s="76"/>
      <c r="E235" s="76"/>
      <c r="F235" s="76">
        <v>1.0</v>
      </c>
      <c r="G235" s="77">
        <f t="shared" si="10"/>
        <v>0.2</v>
      </c>
      <c r="H235" s="78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</row>
    <row r="236">
      <c r="A236" s="18">
        <v>7.0</v>
      </c>
      <c r="B236" s="74" t="s">
        <v>417</v>
      </c>
      <c r="C236" s="75" t="s">
        <v>1354</v>
      </c>
      <c r="D236" s="76"/>
      <c r="E236" s="76"/>
      <c r="F236" s="76">
        <v>0.0</v>
      </c>
      <c r="G236" s="77">
        <f t="shared" si="10"/>
        <v>0</v>
      </c>
      <c r="H236" s="78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</row>
    <row r="237">
      <c r="A237" s="18">
        <v>8.0</v>
      </c>
      <c r="B237" s="74" t="s">
        <v>419</v>
      </c>
      <c r="C237" s="75" t="s">
        <v>1355</v>
      </c>
      <c r="D237" s="76"/>
      <c r="E237" s="76"/>
      <c r="F237" s="76">
        <v>0.0</v>
      </c>
      <c r="G237" s="77">
        <f t="shared" si="10"/>
        <v>0</v>
      </c>
      <c r="H237" s="78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</row>
    <row r="238">
      <c r="A238" s="18">
        <v>9.0</v>
      </c>
      <c r="B238" s="74" t="s">
        <v>421</v>
      </c>
      <c r="C238" s="75" t="s">
        <v>1356</v>
      </c>
      <c r="D238" s="76"/>
      <c r="E238" s="76"/>
      <c r="F238" s="76">
        <v>2.0</v>
      </c>
      <c r="G238" s="77">
        <f t="shared" si="10"/>
        <v>0.4</v>
      </c>
      <c r="H238" s="78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</row>
    <row r="239">
      <c r="A239" s="18">
        <v>10.0</v>
      </c>
      <c r="B239" s="74" t="s">
        <v>423</v>
      </c>
      <c r="C239" s="75" t="s">
        <v>1357</v>
      </c>
      <c r="D239" s="76"/>
      <c r="E239" s="76"/>
      <c r="F239" s="76">
        <v>0.0</v>
      </c>
      <c r="G239" s="77">
        <f t="shared" si="10"/>
        <v>0</v>
      </c>
      <c r="H239" s="78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</row>
    <row r="240">
      <c r="A240" s="18">
        <v>11.0</v>
      </c>
      <c r="B240" s="74" t="s">
        <v>425</v>
      </c>
      <c r="C240" s="75" t="s">
        <v>1358</v>
      </c>
      <c r="D240" s="76"/>
      <c r="E240" s="76"/>
      <c r="F240" s="76">
        <v>1.0</v>
      </c>
      <c r="G240" s="77">
        <f t="shared" si="10"/>
        <v>0.2</v>
      </c>
      <c r="H240" s="78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</row>
    <row r="241">
      <c r="A241" s="18">
        <v>12.0</v>
      </c>
      <c r="B241" s="74" t="s">
        <v>427</v>
      </c>
      <c r="C241" s="75" t="s">
        <v>1359</v>
      </c>
      <c r="D241" s="76"/>
      <c r="E241" s="76"/>
      <c r="F241" s="76">
        <v>0.0</v>
      </c>
      <c r="G241" s="77">
        <f t="shared" si="10"/>
        <v>0</v>
      </c>
      <c r="H241" s="78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</row>
    <row r="242">
      <c r="A242" s="18">
        <v>13.0</v>
      </c>
      <c r="B242" s="74" t="s">
        <v>429</v>
      </c>
      <c r="C242" s="75" t="s">
        <v>1360</v>
      </c>
      <c r="D242" s="76"/>
      <c r="E242" s="76"/>
      <c r="F242" s="76">
        <v>0.0</v>
      </c>
      <c r="G242" s="77">
        <f t="shared" si="10"/>
        <v>0</v>
      </c>
      <c r="H242" s="78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</row>
    <row r="243">
      <c r="A243" s="18">
        <v>14.0</v>
      </c>
      <c r="B243" s="74" t="s">
        <v>431</v>
      </c>
      <c r="C243" s="75" t="s">
        <v>1361</v>
      </c>
      <c r="D243" s="76"/>
      <c r="E243" s="76"/>
      <c r="F243" s="76">
        <v>0.0</v>
      </c>
      <c r="G243" s="77">
        <f t="shared" si="10"/>
        <v>0</v>
      </c>
      <c r="H243" s="78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</row>
    <row r="244">
      <c r="A244" s="18">
        <v>15.0</v>
      </c>
      <c r="B244" s="74" t="s">
        <v>433</v>
      </c>
      <c r="C244" s="85" t="s">
        <v>1362</v>
      </c>
      <c r="D244" s="76"/>
      <c r="E244" s="76"/>
      <c r="F244" s="76">
        <v>2.0</v>
      </c>
      <c r="G244" s="77">
        <f t="shared" si="10"/>
        <v>0.4</v>
      </c>
      <c r="H244" s="78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</row>
    <row r="245">
      <c r="A245" s="18">
        <v>16.0</v>
      </c>
      <c r="B245" s="74" t="s">
        <v>435</v>
      </c>
      <c r="C245" s="85" t="s">
        <v>1363</v>
      </c>
      <c r="D245" s="76"/>
      <c r="E245" s="76"/>
      <c r="F245" s="76">
        <v>0.0</v>
      </c>
      <c r="G245" s="77">
        <f t="shared" si="10"/>
        <v>0</v>
      </c>
      <c r="H245" s="78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</row>
    <row r="246">
      <c r="A246" s="18">
        <v>17.0</v>
      </c>
      <c r="B246" s="74" t="s">
        <v>437</v>
      </c>
      <c r="C246" s="85" t="s">
        <v>1364</v>
      </c>
      <c r="D246" s="76"/>
      <c r="E246" s="76"/>
      <c r="F246" s="76">
        <v>0.0</v>
      </c>
      <c r="G246" s="77">
        <f t="shared" si="10"/>
        <v>0</v>
      </c>
      <c r="H246" s="78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</row>
    <row r="247">
      <c r="A247" s="18">
        <v>18.0</v>
      </c>
      <c r="B247" s="74" t="s">
        <v>439</v>
      </c>
      <c r="C247" s="85" t="s">
        <v>1365</v>
      </c>
      <c r="D247" s="76"/>
      <c r="E247" s="76"/>
      <c r="F247" s="76">
        <v>0.0</v>
      </c>
      <c r="G247" s="77">
        <f t="shared" si="10"/>
        <v>0</v>
      </c>
      <c r="H247" s="78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</row>
    <row r="248">
      <c r="A248" s="18">
        <v>19.0</v>
      </c>
      <c r="B248" s="74" t="s">
        <v>441</v>
      </c>
      <c r="C248" s="85" t="s">
        <v>1366</v>
      </c>
      <c r="D248" s="76"/>
      <c r="E248" s="76"/>
      <c r="F248" s="76">
        <v>0.0</v>
      </c>
      <c r="G248" s="77">
        <f t="shared" si="10"/>
        <v>0</v>
      </c>
      <c r="H248" s="78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</row>
    <row r="249">
      <c r="A249" s="18">
        <v>20.0</v>
      </c>
      <c r="B249" s="74" t="s">
        <v>443</v>
      </c>
      <c r="C249" s="85" t="s">
        <v>1367</v>
      </c>
      <c r="D249" s="76"/>
      <c r="E249" s="76"/>
      <c r="F249" s="76">
        <v>0.0</v>
      </c>
      <c r="G249" s="77">
        <f t="shared" si="10"/>
        <v>0</v>
      </c>
      <c r="H249" s="78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</row>
    <row r="250">
      <c r="A250" s="18">
        <v>21.0</v>
      </c>
      <c r="B250" s="74" t="s">
        <v>445</v>
      </c>
      <c r="C250" s="85" t="s">
        <v>1368</v>
      </c>
      <c r="D250" s="76"/>
      <c r="E250" s="76"/>
      <c r="F250" s="76">
        <v>0.0</v>
      </c>
      <c r="G250" s="77">
        <f t="shared" si="10"/>
        <v>0</v>
      </c>
      <c r="H250" s="78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</row>
    <row r="251">
      <c r="A251" s="18">
        <v>22.0</v>
      </c>
      <c r="B251" s="74" t="s">
        <v>447</v>
      </c>
      <c r="C251" s="85" t="s">
        <v>1369</v>
      </c>
      <c r="D251" s="76"/>
      <c r="E251" s="76"/>
      <c r="F251" s="76">
        <v>1.0</v>
      </c>
      <c r="G251" s="77">
        <f t="shared" si="10"/>
        <v>0.2</v>
      </c>
      <c r="H251" s="78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</row>
    <row r="252">
      <c r="A252" s="18">
        <v>23.0</v>
      </c>
      <c r="B252" s="74" t="s">
        <v>449</v>
      </c>
      <c r="C252" s="85" t="s">
        <v>1370</v>
      </c>
      <c r="D252" s="76"/>
      <c r="E252" s="76"/>
      <c r="F252" s="76">
        <v>3.0</v>
      </c>
      <c r="G252" s="77">
        <f t="shared" si="10"/>
        <v>0.6</v>
      </c>
      <c r="H252" s="78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</row>
    <row r="253">
      <c r="A253" s="18">
        <v>24.0</v>
      </c>
      <c r="B253" s="74" t="s">
        <v>451</v>
      </c>
      <c r="C253" s="84" t="s">
        <v>1371</v>
      </c>
      <c r="D253" s="76"/>
      <c r="E253" s="76"/>
      <c r="F253" s="76">
        <v>2.0</v>
      </c>
      <c r="G253" s="77">
        <f t="shared" si="10"/>
        <v>0.4</v>
      </c>
      <c r="H253" s="78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</row>
    <row r="254">
      <c r="A254" s="18">
        <v>25.0</v>
      </c>
      <c r="B254" s="74" t="s">
        <v>453</v>
      </c>
      <c r="C254" s="85" t="s">
        <v>1372</v>
      </c>
      <c r="D254" s="76"/>
      <c r="E254" s="76"/>
      <c r="F254" s="76">
        <v>5.0</v>
      </c>
      <c r="G254" s="77">
        <f t="shared" si="10"/>
        <v>1</v>
      </c>
      <c r="H254" s="78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</row>
    <row r="255">
      <c r="A255" s="18">
        <v>26.0</v>
      </c>
      <c r="B255" s="74" t="s">
        <v>455</v>
      </c>
      <c r="C255" s="85" t="s">
        <v>1373</v>
      </c>
      <c r="D255" s="76"/>
      <c r="E255" s="76"/>
      <c r="F255" s="76">
        <v>2.0</v>
      </c>
      <c r="G255" s="77">
        <f t="shared" si="10"/>
        <v>0.4</v>
      </c>
      <c r="H255" s="78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</row>
    <row r="256">
      <c r="A256" s="18">
        <v>27.0</v>
      </c>
      <c r="B256" s="74" t="s">
        <v>457</v>
      </c>
      <c r="C256" s="85" t="s">
        <v>1374</v>
      </c>
      <c r="D256" s="76"/>
      <c r="E256" s="76"/>
      <c r="F256" s="76">
        <v>2.0</v>
      </c>
      <c r="G256" s="77">
        <f t="shared" si="10"/>
        <v>0.4</v>
      </c>
      <c r="H256" s="78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</row>
    <row r="257">
      <c r="A257" s="18">
        <v>28.0</v>
      </c>
      <c r="B257" s="74" t="s">
        <v>459</v>
      </c>
      <c r="C257" s="85" t="s">
        <v>1375</v>
      </c>
      <c r="D257" s="76"/>
      <c r="E257" s="76"/>
      <c r="F257" s="76">
        <v>1.0</v>
      </c>
      <c r="G257" s="77">
        <f t="shared" si="10"/>
        <v>0.2</v>
      </c>
      <c r="H257" s="78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</row>
    <row r="258">
      <c r="A258" s="18">
        <v>29.0</v>
      </c>
      <c r="B258" s="74" t="s">
        <v>461</v>
      </c>
      <c r="C258" s="85" t="s">
        <v>1376</v>
      </c>
      <c r="D258" s="76"/>
      <c r="E258" s="76"/>
      <c r="F258" s="76">
        <v>3.0</v>
      </c>
      <c r="G258" s="77">
        <f t="shared" si="10"/>
        <v>0.6</v>
      </c>
      <c r="H258" s="78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</row>
    <row r="259">
      <c r="A259" s="18">
        <v>30.0</v>
      </c>
      <c r="B259" s="74" t="s">
        <v>463</v>
      </c>
      <c r="C259" s="85" t="s">
        <v>1377</v>
      </c>
      <c r="D259" s="76"/>
      <c r="E259" s="76"/>
      <c r="F259" s="76">
        <v>2.0</v>
      </c>
      <c r="G259" s="77">
        <f t="shared" si="10"/>
        <v>0.4</v>
      </c>
      <c r="H259" s="78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</row>
    <row r="260">
      <c r="A260" s="18">
        <v>31.0</v>
      </c>
      <c r="B260" s="74" t="s">
        <v>465</v>
      </c>
      <c r="C260" s="85" t="s">
        <v>1378</v>
      </c>
      <c r="D260" s="76"/>
      <c r="E260" s="76"/>
      <c r="F260" s="76">
        <v>3.0</v>
      </c>
      <c r="G260" s="77">
        <f t="shared" si="10"/>
        <v>0.6</v>
      </c>
      <c r="H260" s="78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</row>
    <row r="261">
      <c r="A261" s="18">
        <v>32.0</v>
      </c>
      <c r="B261" s="74" t="s">
        <v>467</v>
      </c>
      <c r="C261" s="85" t="s">
        <v>1379</v>
      </c>
      <c r="D261" s="76"/>
      <c r="E261" s="76"/>
      <c r="F261" s="76">
        <v>1.0</v>
      </c>
      <c r="G261" s="77">
        <f t="shared" si="10"/>
        <v>0.2</v>
      </c>
      <c r="H261" s="78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</row>
    <row r="262">
      <c r="A262" s="18">
        <v>33.0</v>
      </c>
      <c r="B262" s="74" t="s">
        <v>469</v>
      </c>
      <c r="C262" s="85" t="s">
        <v>1380</v>
      </c>
      <c r="D262" s="76"/>
      <c r="E262" s="76"/>
      <c r="F262" s="76">
        <v>3.0</v>
      </c>
      <c r="G262" s="77">
        <f t="shared" si="10"/>
        <v>0.6</v>
      </c>
      <c r="H262" s="78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</row>
    <row r="263">
      <c r="A263" s="24">
        <v>34.0</v>
      </c>
      <c r="B263" s="74" t="s">
        <v>471</v>
      </c>
      <c r="C263" s="85" t="s">
        <v>1381</v>
      </c>
      <c r="D263" s="79"/>
      <c r="E263" s="79"/>
      <c r="F263" s="79">
        <v>2.0</v>
      </c>
      <c r="G263" s="77">
        <f t="shared" si="10"/>
        <v>0.4</v>
      </c>
      <c r="H263" s="78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</row>
    <row r="264">
      <c r="A264" s="18">
        <v>35.0</v>
      </c>
      <c r="B264" s="74" t="s">
        <v>473</v>
      </c>
      <c r="C264" s="85" t="s">
        <v>1382</v>
      </c>
      <c r="D264" s="76"/>
      <c r="E264" s="76"/>
      <c r="F264" s="76">
        <v>1.0</v>
      </c>
      <c r="G264" s="77">
        <f t="shared" si="10"/>
        <v>0.2</v>
      </c>
      <c r="H264" s="78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</row>
    <row r="265">
      <c r="A265" s="18">
        <v>36.0</v>
      </c>
      <c r="B265" s="74" t="s">
        <v>475</v>
      </c>
      <c r="C265" s="85" t="s">
        <v>1383</v>
      </c>
      <c r="D265" s="76"/>
      <c r="E265" s="76"/>
      <c r="F265" s="76">
        <v>1.0</v>
      </c>
      <c r="G265" s="77">
        <f t="shared" si="10"/>
        <v>0.2</v>
      </c>
      <c r="H265" s="78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</row>
    <row r="266">
      <c r="A266" s="18">
        <v>37.0</v>
      </c>
      <c r="B266" s="74" t="s">
        <v>477</v>
      </c>
      <c r="C266" s="85" t="s">
        <v>1384</v>
      </c>
      <c r="D266" s="76"/>
      <c r="E266" s="76"/>
      <c r="F266" s="76">
        <v>3.0</v>
      </c>
      <c r="G266" s="77">
        <f t="shared" si="10"/>
        <v>0.6</v>
      </c>
      <c r="H266" s="78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</row>
    <row r="267">
      <c r="A267" s="18">
        <v>38.0</v>
      </c>
      <c r="B267" s="74" t="s">
        <v>479</v>
      </c>
      <c r="C267" s="85" t="s">
        <v>1385</v>
      </c>
      <c r="D267" s="76"/>
      <c r="E267" s="76"/>
      <c r="F267" s="76">
        <v>1.0</v>
      </c>
      <c r="G267" s="77">
        <f t="shared" si="10"/>
        <v>0.2</v>
      </c>
      <c r="H267" s="78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</row>
    <row r="268">
      <c r="A268" s="18">
        <v>39.0</v>
      </c>
      <c r="B268" s="74" t="s">
        <v>481</v>
      </c>
      <c r="C268" s="85" t="s">
        <v>1386</v>
      </c>
      <c r="D268" s="76"/>
      <c r="E268" s="76"/>
      <c r="F268" s="76">
        <v>2.0</v>
      </c>
      <c r="G268" s="77">
        <f t="shared" si="10"/>
        <v>0.4</v>
      </c>
      <c r="H268" s="78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</row>
    <row r="269">
      <c r="A269" s="18">
        <v>40.0</v>
      </c>
      <c r="B269" s="74" t="s">
        <v>483</v>
      </c>
      <c r="C269" s="85" t="s">
        <v>1387</v>
      </c>
      <c r="D269" s="76"/>
      <c r="E269" s="76"/>
      <c r="F269" s="76">
        <v>3.0</v>
      </c>
      <c r="G269" s="77">
        <f t="shared" si="10"/>
        <v>0.6</v>
      </c>
      <c r="H269" s="78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</row>
    <row r="270">
      <c r="A270" s="18">
        <v>41.0</v>
      </c>
      <c r="B270" s="74" t="s">
        <v>485</v>
      </c>
      <c r="C270" s="85" t="s">
        <v>1388</v>
      </c>
      <c r="D270" s="76"/>
      <c r="E270" s="76"/>
      <c r="F270" s="76">
        <v>3.0</v>
      </c>
      <c r="G270" s="77">
        <f t="shared" si="10"/>
        <v>0.6</v>
      </c>
      <c r="H270" s="78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</row>
    <row r="271">
      <c r="A271" s="18">
        <v>42.0</v>
      </c>
      <c r="B271" s="74" t="s">
        <v>487</v>
      </c>
      <c r="C271" s="85" t="s">
        <v>1389</v>
      </c>
      <c r="D271" s="76"/>
      <c r="E271" s="76"/>
      <c r="F271" s="76">
        <v>1.0</v>
      </c>
      <c r="G271" s="77">
        <f t="shared" si="10"/>
        <v>0.2</v>
      </c>
      <c r="H271" s="78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</row>
    <row r="272">
      <c r="A272" s="18">
        <v>43.0</v>
      </c>
      <c r="B272" s="74" t="s">
        <v>489</v>
      </c>
      <c r="C272" s="85" t="s">
        <v>1390</v>
      </c>
      <c r="D272" s="76"/>
      <c r="E272" s="76"/>
      <c r="F272" s="76">
        <v>2.0</v>
      </c>
      <c r="G272" s="77">
        <f t="shared" si="10"/>
        <v>0.4</v>
      </c>
      <c r="H272" s="78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</row>
    <row r="273">
      <c r="A273" s="18">
        <v>44.0</v>
      </c>
      <c r="B273" s="74" t="s">
        <v>491</v>
      </c>
      <c r="C273" s="85" t="s">
        <v>1391</v>
      </c>
      <c r="D273" s="76"/>
      <c r="E273" s="76"/>
      <c r="F273" s="76">
        <v>4.0</v>
      </c>
      <c r="G273" s="77">
        <f t="shared" si="10"/>
        <v>0.8</v>
      </c>
      <c r="H273" s="78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</row>
    <row r="274">
      <c r="A274" s="18">
        <v>45.0</v>
      </c>
      <c r="B274" s="74" t="s">
        <v>493</v>
      </c>
      <c r="C274" s="85" t="s">
        <v>1392</v>
      </c>
      <c r="D274" s="76"/>
      <c r="E274" s="76"/>
      <c r="F274" s="76">
        <v>2.0</v>
      </c>
      <c r="G274" s="77">
        <f t="shared" si="10"/>
        <v>0.4</v>
      </c>
      <c r="H274" s="78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</row>
    <row r="275" hidden="1">
      <c r="A275" s="63"/>
      <c r="B275" s="63"/>
      <c r="C275" s="63"/>
      <c r="D275" s="66"/>
      <c r="E275" s="66"/>
      <c r="F275" s="66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</row>
    <row r="276" hidden="1">
      <c r="A276" s="65" t="s">
        <v>3</v>
      </c>
      <c r="B276" s="63"/>
      <c r="C276" s="67" t="s">
        <v>4</v>
      </c>
      <c r="D276" s="66"/>
      <c r="E276" s="66"/>
      <c r="F276" s="66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</row>
    <row r="277" hidden="1">
      <c r="A277" s="65" t="s">
        <v>5</v>
      </c>
      <c r="B277" s="63"/>
      <c r="C277" s="67" t="s">
        <v>496</v>
      </c>
      <c r="D277" s="66"/>
      <c r="E277" s="66"/>
      <c r="F277" s="66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</row>
    <row r="278" hidden="1">
      <c r="A278" s="65" t="s">
        <v>7</v>
      </c>
      <c r="B278" s="63"/>
      <c r="C278" s="67" t="s">
        <v>8</v>
      </c>
      <c r="D278" s="66"/>
      <c r="E278" s="66"/>
      <c r="F278" s="66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</row>
    <row r="279" hidden="1">
      <c r="A279" s="63"/>
      <c r="B279" s="63"/>
      <c r="C279" s="63"/>
      <c r="D279" s="66"/>
      <c r="E279" s="66"/>
      <c r="F279" s="66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</row>
    <row r="280" hidden="1">
      <c r="A280" s="6" t="s">
        <v>9</v>
      </c>
      <c r="B280" s="6" t="s">
        <v>10</v>
      </c>
      <c r="C280" s="7" t="s">
        <v>11</v>
      </c>
      <c r="D280" s="68"/>
      <c r="E280" s="68"/>
      <c r="F280" s="68"/>
      <c r="G280" s="69"/>
      <c r="H280" s="70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</row>
    <row r="281" hidden="1">
      <c r="A281" s="11"/>
      <c r="B281" s="11"/>
      <c r="C281" s="11"/>
      <c r="D281" s="82" t="s">
        <v>1161</v>
      </c>
      <c r="E281" s="72" t="s">
        <v>1162</v>
      </c>
      <c r="F281" s="83" t="s">
        <v>12</v>
      </c>
      <c r="G281" s="13" t="s">
        <v>13</v>
      </c>
      <c r="H281" s="14" t="s">
        <v>14</v>
      </c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</row>
    <row r="282" hidden="1">
      <c r="A282" s="15"/>
      <c r="B282" s="15"/>
      <c r="C282" s="15"/>
      <c r="D282" s="16"/>
      <c r="E282" s="16"/>
      <c r="F282" s="16"/>
      <c r="G282" s="16"/>
      <c r="H282" s="17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</row>
    <row r="283">
      <c r="A283" s="18">
        <v>1.0</v>
      </c>
      <c r="B283" s="74" t="s">
        <v>497</v>
      </c>
      <c r="C283" s="75" t="s">
        <v>1393</v>
      </c>
      <c r="D283" s="76"/>
      <c r="E283" s="76"/>
      <c r="F283" s="76">
        <v>1.0</v>
      </c>
      <c r="G283" s="77">
        <f t="shared" ref="G283:G327" si="11">F283/5</f>
        <v>0.2</v>
      </c>
      <c r="H283" s="78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</row>
    <row r="284">
      <c r="A284" s="18">
        <v>2.0</v>
      </c>
      <c r="B284" s="74" t="s">
        <v>499</v>
      </c>
      <c r="C284" s="75" t="s">
        <v>1394</v>
      </c>
      <c r="D284" s="76"/>
      <c r="E284" s="76"/>
      <c r="F284" s="76">
        <v>0.0</v>
      </c>
      <c r="G284" s="77">
        <f t="shared" si="11"/>
        <v>0</v>
      </c>
      <c r="H284" s="78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</row>
    <row r="285">
      <c r="A285" s="18">
        <v>3.0</v>
      </c>
      <c r="B285" s="74" t="s">
        <v>501</v>
      </c>
      <c r="C285" s="75" t="s">
        <v>1395</v>
      </c>
      <c r="D285" s="76"/>
      <c r="E285" s="76"/>
      <c r="F285" s="76">
        <v>1.0</v>
      </c>
      <c r="G285" s="77">
        <f t="shared" si="11"/>
        <v>0.2</v>
      </c>
      <c r="H285" s="78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</row>
    <row r="286">
      <c r="A286" s="18">
        <v>4.0</v>
      </c>
      <c r="B286" s="74" t="s">
        <v>503</v>
      </c>
      <c r="C286" s="75" t="s">
        <v>1396</v>
      </c>
      <c r="D286" s="76"/>
      <c r="E286" s="76"/>
      <c r="F286" s="76">
        <v>3.0</v>
      </c>
      <c r="G286" s="77">
        <f t="shared" si="11"/>
        <v>0.6</v>
      </c>
      <c r="H286" s="78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</row>
    <row r="287">
      <c r="A287" s="18">
        <v>5.0</v>
      </c>
      <c r="B287" s="74" t="s">
        <v>505</v>
      </c>
      <c r="C287" s="75" t="s">
        <v>1397</v>
      </c>
      <c r="D287" s="76"/>
      <c r="E287" s="76"/>
      <c r="F287" s="76">
        <v>2.0</v>
      </c>
      <c r="G287" s="77">
        <f t="shared" si="11"/>
        <v>0.4</v>
      </c>
      <c r="H287" s="78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</row>
    <row r="288">
      <c r="A288" s="18">
        <v>6.0</v>
      </c>
      <c r="B288" s="74" t="s">
        <v>507</v>
      </c>
      <c r="C288" s="75" t="s">
        <v>1398</v>
      </c>
      <c r="D288" s="76"/>
      <c r="E288" s="76"/>
      <c r="F288" s="76">
        <v>0.0</v>
      </c>
      <c r="G288" s="77">
        <f t="shared" si="11"/>
        <v>0</v>
      </c>
      <c r="H288" s="78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</row>
    <row r="289">
      <c r="A289" s="18">
        <v>7.0</v>
      </c>
      <c r="B289" s="74" t="s">
        <v>509</v>
      </c>
      <c r="C289" s="75" t="s">
        <v>1399</v>
      </c>
      <c r="D289" s="76"/>
      <c r="E289" s="76"/>
      <c r="F289" s="76">
        <v>1.0</v>
      </c>
      <c r="G289" s="77">
        <f t="shared" si="11"/>
        <v>0.2</v>
      </c>
      <c r="H289" s="78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</row>
    <row r="290">
      <c r="A290" s="18">
        <v>8.0</v>
      </c>
      <c r="B290" s="74" t="s">
        <v>511</v>
      </c>
      <c r="C290" s="75" t="s">
        <v>1400</v>
      </c>
      <c r="D290" s="76"/>
      <c r="E290" s="76"/>
      <c r="F290" s="76">
        <v>1.0</v>
      </c>
      <c r="G290" s="77">
        <f t="shared" si="11"/>
        <v>0.2</v>
      </c>
      <c r="H290" s="78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</row>
    <row r="291">
      <c r="A291" s="18">
        <v>9.0</v>
      </c>
      <c r="B291" s="74" t="s">
        <v>513</v>
      </c>
      <c r="C291" s="75" t="s">
        <v>1401</v>
      </c>
      <c r="D291" s="76"/>
      <c r="E291" s="76"/>
      <c r="F291" s="76">
        <v>1.0</v>
      </c>
      <c r="G291" s="77">
        <f t="shared" si="11"/>
        <v>0.2</v>
      </c>
      <c r="H291" s="78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</row>
    <row r="292">
      <c r="A292" s="18">
        <v>10.0</v>
      </c>
      <c r="B292" s="74" t="s">
        <v>515</v>
      </c>
      <c r="C292" s="75" t="s">
        <v>1402</v>
      </c>
      <c r="D292" s="76"/>
      <c r="E292" s="76"/>
      <c r="F292" s="76">
        <v>1.0</v>
      </c>
      <c r="G292" s="77">
        <f t="shared" si="11"/>
        <v>0.2</v>
      </c>
      <c r="H292" s="78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</row>
    <row r="293">
      <c r="A293" s="18">
        <v>11.0</v>
      </c>
      <c r="B293" s="74" t="s">
        <v>517</v>
      </c>
      <c r="C293" s="75" t="s">
        <v>1403</v>
      </c>
      <c r="D293" s="76"/>
      <c r="E293" s="76"/>
      <c r="F293" s="76">
        <v>3.0</v>
      </c>
      <c r="G293" s="77">
        <f t="shared" si="11"/>
        <v>0.6</v>
      </c>
      <c r="H293" s="78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</row>
    <row r="294">
      <c r="A294" s="18">
        <v>12.0</v>
      </c>
      <c r="B294" s="74" t="s">
        <v>519</v>
      </c>
      <c r="C294" s="75" t="s">
        <v>1404</v>
      </c>
      <c r="D294" s="76"/>
      <c r="E294" s="76"/>
      <c r="F294" s="76">
        <v>0.0</v>
      </c>
      <c r="G294" s="77">
        <f t="shared" si="11"/>
        <v>0</v>
      </c>
      <c r="H294" s="78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</row>
    <row r="295">
      <c r="A295" s="18">
        <v>13.0</v>
      </c>
      <c r="B295" s="74" t="s">
        <v>521</v>
      </c>
      <c r="C295" s="75" t="s">
        <v>1405</v>
      </c>
      <c r="D295" s="76"/>
      <c r="E295" s="76"/>
      <c r="F295" s="76">
        <v>2.0</v>
      </c>
      <c r="G295" s="77">
        <f t="shared" si="11"/>
        <v>0.4</v>
      </c>
      <c r="H295" s="78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</row>
    <row r="296">
      <c r="A296" s="18">
        <v>14.0</v>
      </c>
      <c r="B296" s="74" t="s">
        <v>523</v>
      </c>
      <c r="C296" s="75" t="s">
        <v>1406</v>
      </c>
      <c r="D296" s="76"/>
      <c r="E296" s="76"/>
      <c r="F296" s="76">
        <v>4.0</v>
      </c>
      <c r="G296" s="77">
        <f t="shared" si="11"/>
        <v>0.8</v>
      </c>
      <c r="H296" s="78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</row>
    <row r="297">
      <c r="A297" s="18">
        <v>15.0</v>
      </c>
      <c r="B297" s="74" t="s">
        <v>525</v>
      </c>
      <c r="C297" s="75" t="s">
        <v>1407</v>
      </c>
      <c r="D297" s="76"/>
      <c r="E297" s="76"/>
      <c r="F297" s="76">
        <v>2.0</v>
      </c>
      <c r="G297" s="77">
        <f t="shared" si="11"/>
        <v>0.4</v>
      </c>
      <c r="H297" s="78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</row>
    <row r="298">
      <c r="A298" s="18">
        <v>16.0</v>
      </c>
      <c r="B298" s="74" t="s">
        <v>527</v>
      </c>
      <c r="C298" s="75" t="s">
        <v>1408</v>
      </c>
      <c r="D298" s="76"/>
      <c r="E298" s="76"/>
      <c r="F298" s="76">
        <v>1.0</v>
      </c>
      <c r="G298" s="77">
        <f t="shared" si="11"/>
        <v>0.2</v>
      </c>
      <c r="H298" s="78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</row>
    <row r="299">
      <c r="A299" s="18">
        <v>17.0</v>
      </c>
      <c r="B299" s="74" t="s">
        <v>529</v>
      </c>
      <c r="C299" s="75" t="s">
        <v>1409</v>
      </c>
      <c r="D299" s="76"/>
      <c r="E299" s="76"/>
      <c r="F299" s="76">
        <v>1.0</v>
      </c>
      <c r="G299" s="77">
        <f t="shared" si="11"/>
        <v>0.2</v>
      </c>
      <c r="H299" s="78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</row>
    <row r="300">
      <c r="A300" s="18">
        <v>18.0</v>
      </c>
      <c r="B300" s="74" t="s">
        <v>531</v>
      </c>
      <c r="C300" s="75" t="s">
        <v>1410</v>
      </c>
      <c r="D300" s="76"/>
      <c r="E300" s="76"/>
      <c r="F300" s="76">
        <v>3.0</v>
      </c>
      <c r="G300" s="77">
        <f t="shared" si="11"/>
        <v>0.6</v>
      </c>
      <c r="H300" s="78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</row>
    <row r="301">
      <c r="A301" s="18">
        <v>19.0</v>
      </c>
      <c r="B301" s="74" t="s">
        <v>533</v>
      </c>
      <c r="C301" s="75" t="s">
        <v>1411</v>
      </c>
      <c r="D301" s="76"/>
      <c r="E301" s="76"/>
      <c r="F301" s="76">
        <v>1.0</v>
      </c>
      <c r="G301" s="77">
        <f t="shared" si="11"/>
        <v>0.2</v>
      </c>
      <c r="H301" s="78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</row>
    <row r="302">
      <c r="A302" s="18">
        <v>20.0</v>
      </c>
      <c r="B302" s="74" t="s">
        <v>535</v>
      </c>
      <c r="C302" s="75" t="s">
        <v>1412</v>
      </c>
      <c r="D302" s="76"/>
      <c r="E302" s="76"/>
      <c r="F302" s="76">
        <v>1.0</v>
      </c>
      <c r="G302" s="77">
        <f t="shared" si="11"/>
        <v>0.2</v>
      </c>
      <c r="H302" s="78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</row>
    <row r="303">
      <c r="A303" s="18">
        <v>21.0</v>
      </c>
      <c r="B303" s="74" t="s">
        <v>537</v>
      </c>
      <c r="C303" s="75" t="s">
        <v>1413</v>
      </c>
      <c r="D303" s="76"/>
      <c r="E303" s="76"/>
      <c r="F303" s="76">
        <v>0.0</v>
      </c>
      <c r="G303" s="77">
        <f t="shared" si="11"/>
        <v>0</v>
      </c>
      <c r="H303" s="78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</row>
    <row r="304">
      <c r="A304" s="18">
        <v>22.0</v>
      </c>
      <c r="B304" s="74" t="s">
        <v>539</v>
      </c>
      <c r="C304" s="75" t="s">
        <v>1414</v>
      </c>
      <c r="D304" s="76"/>
      <c r="E304" s="76"/>
      <c r="F304" s="76">
        <v>1.0</v>
      </c>
      <c r="G304" s="77">
        <f t="shared" si="11"/>
        <v>0.2</v>
      </c>
      <c r="H304" s="78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</row>
    <row r="305">
      <c r="A305" s="18">
        <v>23.0</v>
      </c>
      <c r="B305" s="74" t="s">
        <v>541</v>
      </c>
      <c r="C305" s="75" t="s">
        <v>1415</v>
      </c>
      <c r="D305" s="76"/>
      <c r="E305" s="76"/>
      <c r="F305" s="76">
        <v>1.0</v>
      </c>
      <c r="G305" s="77">
        <f t="shared" si="11"/>
        <v>0.2</v>
      </c>
      <c r="H305" s="78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</row>
    <row r="306">
      <c r="A306" s="18">
        <v>24.0</v>
      </c>
      <c r="B306" s="74" t="s">
        <v>543</v>
      </c>
      <c r="C306" s="75" t="s">
        <v>1416</v>
      </c>
      <c r="D306" s="76"/>
      <c r="E306" s="76"/>
      <c r="F306" s="76">
        <v>3.0</v>
      </c>
      <c r="G306" s="77">
        <f t="shared" si="11"/>
        <v>0.6</v>
      </c>
      <c r="H306" s="78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</row>
    <row r="307">
      <c r="A307" s="18">
        <v>25.0</v>
      </c>
      <c r="B307" s="74" t="s">
        <v>545</v>
      </c>
      <c r="C307" s="75" t="s">
        <v>1417</v>
      </c>
      <c r="D307" s="76"/>
      <c r="E307" s="76"/>
      <c r="F307" s="76">
        <v>1.0</v>
      </c>
      <c r="G307" s="77">
        <f t="shared" si="11"/>
        <v>0.2</v>
      </c>
      <c r="H307" s="78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</row>
    <row r="308">
      <c r="A308" s="18">
        <v>26.0</v>
      </c>
      <c r="B308" s="74" t="s">
        <v>547</v>
      </c>
      <c r="C308" s="75" t="s">
        <v>1418</v>
      </c>
      <c r="D308" s="76"/>
      <c r="E308" s="76"/>
      <c r="F308" s="76">
        <v>2.0</v>
      </c>
      <c r="G308" s="77">
        <f t="shared" si="11"/>
        <v>0.4</v>
      </c>
      <c r="H308" s="78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</row>
    <row r="309">
      <c r="A309" s="18">
        <v>27.0</v>
      </c>
      <c r="B309" s="74" t="s">
        <v>549</v>
      </c>
      <c r="C309" s="75" t="s">
        <v>1419</v>
      </c>
      <c r="D309" s="76"/>
      <c r="E309" s="76"/>
      <c r="F309" s="76">
        <v>1.0</v>
      </c>
      <c r="G309" s="77">
        <f t="shared" si="11"/>
        <v>0.2</v>
      </c>
      <c r="H309" s="78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</row>
    <row r="310">
      <c r="A310" s="18">
        <v>28.0</v>
      </c>
      <c r="B310" s="74" t="s">
        <v>551</v>
      </c>
      <c r="C310" s="75" t="s">
        <v>1420</v>
      </c>
      <c r="D310" s="76"/>
      <c r="E310" s="76"/>
      <c r="F310" s="76">
        <v>0.0</v>
      </c>
      <c r="G310" s="77">
        <f t="shared" si="11"/>
        <v>0</v>
      </c>
      <c r="H310" s="78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</row>
    <row r="311">
      <c r="A311" s="18">
        <v>29.0</v>
      </c>
      <c r="B311" s="74" t="s">
        <v>553</v>
      </c>
      <c r="C311" s="75" t="s">
        <v>1421</v>
      </c>
      <c r="D311" s="76"/>
      <c r="E311" s="76"/>
      <c r="F311" s="76">
        <v>0.0</v>
      </c>
      <c r="G311" s="77">
        <f t="shared" si="11"/>
        <v>0</v>
      </c>
      <c r="H311" s="78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</row>
    <row r="312">
      <c r="A312" s="18">
        <v>30.0</v>
      </c>
      <c r="B312" s="74" t="s">
        <v>555</v>
      </c>
      <c r="C312" s="75" t="s">
        <v>1422</v>
      </c>
      <c r="D312" s="76"/>
      <c r="E312" s="76"/>
      <c r="F312" s="76">
        <v>4.0</v>
      </c>
      <c r="G312" s="77">
        <f t="shared" si="11"/>
        <v>0.8</v>
      </c>
      <c r="H312" s="78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</row>
    <row r="313">
      <c r="A313" s="18">
        <v>31.0</v>
      </c>
      <c r="B313" s="74" t="s">
        <v>557</v>
      </c>
      <c r="C313" s="75" t="s">
        <v>1423</v>
      </c>
      <c r="D313" s="76"/>
      <c r="E313" s="76"/>
      <c r="F313" s="76">
        <v>0.0</v>
      </c>
      <c r="G313" s="77">
        <f t="shared" si="11"/>
        <v>0</v>
      </c>
      <c r="H313" s="78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</row>
    <row r="314">
      <c r="A314" s="18">
        <v>32.0</v>
      </c>
      <c r="B314" s="74" t="s">
        <v>559</v>
      </c>
      <c r="C314" s="75" t="s">
        <v>1424</v>
      </c>
      <c r="D314" s="76"/>
      <c r="E314" s="76"/>
      <c r="F314" s="76">
        <v>1.0</v>
      </c>
      <c r="G314" s="77">
        <f t="shared" si="11"/>
        <v>0.2</v>
      </c>
      <c r="H314" s="78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</row>
    <row r="315">
      <c r="A315" s="18">
        <v>33.0</v>
      </c>
      <c r="B315" s="74" t="s">
        <v>561</v>
      </c>
      <c r="C315" s="75" t="s">
        <v>1425</v>
      </c>
      <c r="D315" s="76"/>
      <c r="E315" s="76"/>
      <c r="F315" s="76">
        <v>3.0</v>
      </c>
      <c r="G315" s="77">
        <f t="shared" si="11"/>
        <v>0.6</v>
      </c>
      <c r="H315" s="78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</row>
    <row r="316">
      <c r="A316" s="24">
        <v>34.0</v>
      </c>
      <c r="B316" s="74" t="s">
        <v>563</v>
      </c>
      <c r="C316" s="75" t="s">
        <v>1426</v>
      </c>
      <c r="D316" s="79"/>
      <c r="E316" s="79"/>
      <c r="F316" s="79">
        <v>2.0</v>
      </c>
      <c r="G316" s="77">
        <f t="shared" si="11"/>
        <v>0.4</v>
      </c>
      <c r="H316" s="78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</row>
    <row r="317">
      <c r="A317" s="18">
        <v>35.0</v>
      </c>
      <c r="B317" s="74" t="s">
        <v>565</v>
      </c>
      <c r="C317" s="75" t="s">
        <v>1427</v>
      </c>
      <c r="D317" s="76"/>
      <c r="E317" s="76"/>
      <c r="F317" s="76">
        <v>1.0</v>
      </c>
      <c r="G317" s="77">
        <f t="shared" si="11"/>
        <v>0.2</v>
      </c>
      <c r="H317" s="78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</row>
    <row r="318">
      <c r="A318" s="18">
        <v>36.0</v>
      </c>
      <c r="B318" s="74" t="s">
        <v>567</v>
      </c>
      <c r="C318" s="75" t="s">
        <v>1428</v>
      </c>
      <c r="D318" s="76"/>
      <c r="E318" s="76"/>
      <c r="F318" s="76">
        <v>1.0</v>
      </c>
      <c r="G318" s="77">
        <f t="shared" si="11"/>
        <v>0.2</v>
      </c>
      <c r="H318" s="78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</row>
    <row r="319">
      <c r="A319" s="18">
        <v>37.0</v>
      </c>
      <c r="B319" s="74" t="s">
        <v>569</v>
      </c>
      <c r="C319" s="75" t="s">
        <v>1429</v>
      </c>
      <c r="D319" s="76"/>
      <c r="E319" s="76"/>
      <c r="F319" s="76">
        <v>0.0</v>
      </c>
      <c r="G319" s="77">
        <f t="shared" si="11"/>
        <v>0</v>
      </c>
      <c r="H319" s="78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</row>
    <row r="320">
      <c r="A320" s="18">
        <v>38.0</v>
      </c>
      <c r="B320" s="74" t="s">
        <v>571</v>
      </c>
      <c r="C320" s="75" t="s">
        <v>1430</v>
      </c>
      <c r="D320" s="76"/>
      <c r="E320" s="76"/>
      <c r="F320" s="76">
        <v>3.0</v>
      </c>
      <c r="G320" s="77">
        <f t="shared" si="11"/>
        <v>0.6</v>
      </c>
      <c r="H320" s="78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</row>
    <row r="321">
      <c r="A321" s="18">
        <v>39.0</v>
      </c>
      <c r="B321" s="74" t="s">
        <v>573</v>
      </c>
      <c r="C321" s="75" t="s">
        <v>1431</v>
      </c>
      <c r="D321" s="76"/>
      <c r="E321" s="76"/>
      <c r="F321" s="76">
        <v>2.0</v>
      </c>
      <c r="G321" s="77">
        <f t="shared" si="11"/>
        <v>0.4</v>
      </c>
      <c r="H321" s="78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</row>
    <row r="322">
      <c r="A322" s="18">
        <v>40.0</v>
      </c>
      <c r="B322" s="74" t="s">
        <v>575</v>
      </c>
      <c r="C322" s="75" t="s">
        <v>1432</v>
      </c>
      <c r="D322" s="76"/>
      <c r="E322" s="76"/>
      <c r="F322" s="76">
        <v>2.0</v>
      </c>
      <c r="G322" s="77">
        <f t="shared" si="11"/>
        <v>0.4</v>
      </c>
      <c r="H322" s="78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</row>
    <row r="323">
      <c r="A323" s="18">
        <v>41.0</v>
      </c>
      <c r="B323" s="74" t="s">
        <v>577</v>
      </c>
      <c r="C323" s="75" t="s">
        <v>1433</v>
      </c>
      <c r="D323" s="76"/>
      <c r="E323" s="76"/>
      <c r="F323" s="76">
        <v>3.0</v>
      </c>
      <c r="G323" s="77">
        <f t="shared" si="11"/>
        <v>0.6</v>
      </c>
      <c r="H323" s="78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</row>
    <row r="324">
      <c r="A324" s="18">
        <v>42.0</v>
      </c>
      <c r="B324" s="74" t="s">
        <v>579</v>
      </c>
      <c r="C324" s="75" t="s">
        <v>1434</v>
      </c>
      <c r="D324" s="76"/>
      <c r="E324" s="76"/>
      <c r="F324" s="76">
        <v>0.0</v>
      </c>
      <c r="G324" s="77">
        <f t="shared" si="11"/>
        <v>0</v>
      </c>
      <c r="H324" s="78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</row>
    <row r="325">
      <c r="A325" s="18">
        <v>43.0</v>
      </c>
      <c r="B325" s="74" t="s">
        <v>581</v>
      </c>
      <c r="C325" s="75" t="s">
        <v>1435</v>
      </c>
      <c r="D325" s="76"/>
      <c r="E325" s="76"/>
      <c r="F325" s="76">
        <v>2.0</v>
      </c>
      <c r="G325" s="77">
        <f t="shared" si="11"/>
        <v>0.4</v>
      </c>
      <c r="H325" s="78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</row>
    <row r="326">
      <c r="A326" s="18">
        <v>44.0</v>
      </c>
      <c r="B326" s="74" t="s">
        <v>583</v>
      </c>
      <c r="C326" s="75" t="s">
        <v>1436</v>
      </c>
      <c r="D326" s="76"/>
      <c r="E326" s="76"/>
      <c r="F326" s="76">
        <v>4.0</v>
      </c>
      <c r="G326" s="77">
        <f t="shared" si="11"/>
        <v>0.8</v>
      </c>
      <c r="H326" s="78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</row>
    <row r="327">
      <c r="A327" s="18">
        <v>45.0</v>
      </c>
      <c r="B327" s="74" t="s">
        <v>585</v>
      </c>
      <c r="C327" s="75" t="s">
        <v>1437</v>
      </c>
      <c r="D327" s="76"/>
      <c r="E327" s="76"/>
      <c r="F327" s="76">
        <v>1.0</v>
      </c>
      <c r="G327" s="77">
        <f t="shared" si="11"/>
        <v>0.2</v>
      </c>
      <c r="H327" s="78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</row>
    <row r="328" hidden="1">
      <c r="A328" s="63"/>
      <c r="B328" s="63"/>
      <c r="C328" s="63"/>
      <c r="D328" s="66"/>
      <c r="E328" s="66"/>
      <c r="F328" s="66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</row>
    <row r="329" hidden="1">
      <c r="A329" s="65" t="s">
        <v>3</v>
      </c>
      <c r="B329" s="63"/>
      <c r="C329" s="67" t="s">
        <v>4</v>
      </c>
      <c r="D329" s="66"/>
      <c r="E329" s="66"/>
      <c r="F329" s="66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</row>
    <row r="330" hidden="1">
      <c r="A330" s="65" t="s">
        <v>5</v>
      </c>
      <c r="B330" s="63"/>
      <c r="C330" s="67" t="s">
        <v>588</v>
      </c>
      <c r="D330" s="66"/>
      <c r="E330" s="66"/>
      <c r="F330" s="66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</row>
    <row r="331" hidden="1">
      <c r="A331" s="65" t="s">
        <v>7</v>
      </c>
      <c r="B331" s="63"/>
      <c r="C331" s="67" t="s">
        <v>8</v>
      </c>
      <c r="D331" s="66"/>
      <c r="E331" s="66"/>
      <c r="F331" s="66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</row>
    <row r="332" hidden="1">
      <c r="A332" s="63"/>
      <c r="B332" s="63"/>
      <c r="C332" s="63"/>
      <c r="D332" s="66"/>
      <c r="E332" s="66"/>
      <c r="F332" s="66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</row>
    <row r="333" hidden="1">
      <c r="A333" s="6" t="s">
        <v>9</v>
      </c>
      <c r="B333" s="6" t="s">
        <v>10</v>
      </c>
      <c r="C333" s="7" t="s">
        <v>11</v>
      </c>
      <c r="D333" s="68"/>
      <c r="E333" s="68"/>
      <c r="F333" s="68"/>
      <c r="G333" s="69"/>
      <c r="H333" s="70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</row>
    <row r="334" hidden="1">
      <c r="A334" s="11"/>
      <c r="B334" s="11"/>
      <c r="C334" s="11"/>
      <c r="D334" s="82" t="s">
        <v>1161</v>
      </c>
      <c r="E334" s="72" t="s">
        <v>1162</v>
      </c>
      <c r="F334" s="83" t="s">
        <v>12</v>
      </c>
      <c r="G334" s="13" t="s">
        <v>13</v>
      </c>
      <c r="H334" s="14" t="s">
        <v>14</v>
      </c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</row>
    <row r="335" hidden="1">
      <c r="A335" s="15"/>
      <c r="B335" s="15"/>
      <c r="C335" s="15"/>
      <c r="D335" s="16"/>
      <c r="E335" s="16"/>
      <c r="F335" s="16"/>
      <c r="G335" s="16"/>
      <c r="H335" s="17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</row>
    <row r="336">
      <c r="A336" s="18">
        <v>1.0</v>
      </c>
      <c r="B336" s="74" t="s">
        <v>589</v>
      </c>
      <c r="C336" s="75" t="s">
        <v>1438</v>
      </c>
      <c r="D336" s="76"/>
      <c r="E336" s="76"/>
      <c r="F336" s="76">
        <v>4.0</v>
      </c>
      <c r="G336" s="77">
        <f t="shared" ref="G336:G381" si="12">F336/5</f>
        <v>0.8</v>
      </c>
      <c r="H336" s="78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</row>
    <row r="337">
      <c r="A337" s="18">
        <v>2.0</v>
      </c>
      <c r="B337" s="74" t="s">
        <v>591</v>
      </c>
      <c r="C337" s="75" t="s">
        <v>1439</v>
      </c>
      <c r="D337" s="86"/>
      <c r="E337" s="86"/>
      <c r="F337" s="86">
        <v>1.0</v>
      </c>
      <c r="G337" s="77">
        <f t="shared" si="12"/>
        <v>0.2</v>
      </c>
      <c r="H337" s="78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</row>
    <row r="338">
      <c r="A338" s="18">
        <v>3.0</v>
      </c>
      <c r="B338" s="74" t="s">
        <v>593</v>
      </c>
      <c r="C338" s="75" t="s">
        <v>1440</v>
      </c>
      <c r="D338" s="76"/>
      <c r="E338" s="76"/>
      <c r="F338" s="76">
        <v>3.0</v>
      </c>
      <c r="G338" s="77">
        <f t="shared" si="12"/>
        <v>0.6</v>
      </c>
      <c r="H338" s="78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</row>
    <row r="339">
      <c r="A339" s="18">
        <v>4.0</v>
      </c>
      <c r="B339" s="74" t="s">
        <v>595</v>
      </c>
      <c r="C339" s="75" t="s">
        <v>1441</v>
      </c>
      <c r="D339" s="76"/>
      <c r="E339" s="76"/>
      <c r="F339" s="76">
        <v>4.0</v>
      </c>
      <c r="G339" s="77">
        <f t="shared" si="12"/>
        <v>0.8</v>
      </c>
      <c r="H339" s="78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</row>
    <row r="340">
      <c r="A340" s="18">
        <v>5.0</v>
      </c>
      <c r="B340" s="74" t="s">
        <v>597</v>
      </c>
      <c r="C340" s="75" t="s">
        <v>1442</v>
      </c>
      <c r="D340" s="76"/>
      <c r="E340" s="76"/>
      <c r="F340" s="76">
        <v>3.0</v>
      </c>
      <c r="G340" s="77">
        <f t="shared" si="12"/>
        <v>0.6</v>
      </c>
      <c r="H340" s="78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</row>
    <row r="341">
      <c r="A341" s="18">
        <v>6.0</v>
      </c>
      <c r="B341" s="74" t="s">
        <v>599</v>
      </c>
      <c r="C341" s="75" t="s">
        <v>1443</v>
      </c>
      <c r="D341" s="76"/>
      <c r="E341" s="76"/>
      <c r="F341" s="76">
        <v>5.0</v>
      </c>
      <c r="G341" s="77">
        <f t="shared" si="12"/>
        <v>1</v>
      </c>
      <c r="H341" s="78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</row>
    <row r="342">
      <c r="A342" s="18">
        <v>7.0</v>
      </c>
      <c r="B342" s="74" t="s">
        <v>601</v>
      </c>
      <c r="C342" s="75" t="s">
        <v>1444</v>
      </c>
      <c r="D342" s="86"/>
      <c r="E342" s="86"/>
      <c r="F342" s="86">
        <v>4.0</v>
      </c>
      <c r="G342" s="77">
        <f t="shared" si="12"/>
        <v>0.8</v>
      </c>
      <c r="H342" s="78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</row>
    <row r="343">
      <c r="A343" s="18">
        <v>8.0</v>
      </c>
      <c r="B343" s="74" t="s">
        <v>603</v>
      </c>
      <c r="C343" s="75" t="s">
        <v>1445</v>
      </c>
      <c r="D343" s="76"/>
      <c r="E343" s="76"/>
      <c r="F343" s="76">
        <v>1.0</v>
      </c>
      <c r="G343" s="77">
        <f t="shared" si="12"/>
        <v>0.2</v>
      </c>
      <c r="H343" s="78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</row>
    <row r="344">
      <c r="A344" s="18">
        <v>9.0</v>
      </c>
      <c r="B344" s="74" t="s">
        <v>605</v>
      </c>
      <c r="C344" s="75" t="s">
        <v>1446</v>
      </c>
      <c r="D344" s="76"/>
      <c r="E344" s="76"/>
      <c r="F344" s="76">
        <v>2.0</v>
      </c>
      <c r="G344" s="77">
        <f t="shared" si="12"/>
        <v>0.4</v>
      </c>
      <c r="H344" s="78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</row>
    <row r="345">
      <c r="A345" s="18">
        <v>10.0</v>
      </c>
      <c r="B345" s="74" t="s">
        <v>607</v>
      </c>
      <c r="C345" s="75" t="s">
        <v>1447</v>
      </c>
      <c r="D345" s="76"/>
      <c r="E345" s="76"/>
      <c r="F345" s="76">
        <v>4.0</v>
      </c>
      <c r="G345" s="77">
        <f t="shared" si="12"/>
        <v>0.8</v>
      </c>
      <c r="H345" s="78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</row>
    <row r="346">
      <c r="A346" s="18">
        <v>11.0</v>
      </c>
      <c r="B346" s="74" t="s">
        <v>609</v>
      </c>
      <c r="C346" s="75" t="s">
        <v>1448</v>
      </c>
      <c r="D346" s="76"/>
      <c r="E346" s="76"/>
      <c r="F346" s="76">
        <v>5.0</v>
      </c>
      <c r="G346" s="77">
        <f t="shared" si="12"/>
        <v>1</v>
      </c>
      <c r="H346" s="78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</row>
    <row r="347">
      <c r="A347" s="18">
        <v>12.0</v>
      </c>
      <c r="B347" s="74" t="s">
        <v>611</v>
      </c>
      <c r="C347" s="75" t="s">
        <v>1449</v>
      </c>
      <c r="D347" s="76"/>
      <c r="E347" s="76"/>
      <c r="F347" s="76">
        <v>4.0</v>
      </c>
      <c r="G347" s="77">
        <f t="shared" si="12"/>
        <v>0.8</v>
      </c>
      <c r="H347" s="78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</row>
    <row r="348">
      <c r="A348" s="18">
        <v>13.0</v>
      </c>
      <c r="B348" s="74" t="s">
        <v>613</v>
      </c>
      <c r="C348" s="75" t="s">
        <v>1450</v>
      </c>
      <c r="D348" s="76"/>
      <c r="E348" s="76"/>
      <c r="F348" s="76">
        <v>3.0</v>
      </c>
      <c r="G348" s="77">
        <f t="shared" si="12"/>
        <v>0.6</v>
      </c>
      <c r="H348" s="78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</row>
    <row r="349">
      <c r="A349" s="18">
        <v>14.0</v>
      </c>
      <c r="B349" s="74" t="s">
        <v>615</v>
      </c>
      <c r="C349" s="75" t="s">
        <v>1451</v>
      </c>
      <c r="D349" s="76"/>
      <c r="E349" s="76"/>
      <c r="F349" s="76">
        <v>0.0</v>
      </c>
      <c r="G349" s="77">
        <f t="shared" si="12"/>
        <v>0</v>
      </c>
      <c r="H349" s="78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</row>
    <row r="350">
      <c r="A350" s="18">
        <v>15.0</v>
      </c>
      <c r="B350" s="74" t="s">
        <v>617</v>
      </c>
      <c r="C350" s="75" t="s">
        <v>1452</v>
      </c>
      <c r="D350" s="76"/>
      <c r="E350" s="76"/>
      <c r="F350" s="76">
        <v>1.0</v>
      </c>
      <c r="G350" s="77">
        <f t="shared" si="12"/>
        <v>0.2</v>
      </c>
      <c r="H350" s="78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</row>
    <row r="351">
      <c r="A351" s="18">
        <v>16.0</v>
      </c>
      <c r="B351" s="74" t="s">
        <v>619</v>
      </c>
      <c r="C351" s="75" t="s">
        <v>1453</v>
      </c>
      <c r="D351" s="76"/>
      <c r="E351" s="76"/>
      <c r="F351" s="76">
        <v>4.0</v>
      </c>
      <c r="G351" s="77">
        <f t="shared" si="12"/>
        <v>0.8</v>
      </c>
      <c r="H351" s="78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</row>
    <row r="352">
      <c r="A352" s="18">
        <v>17.0</v>
      </c>
      <c r="B352" s="74" t="s">
        <v>621</v>
      </c>
      <c r="C352" s="75" t="s">
        <v>1454</v>
      </c>
      <c r="D352" s="76"/>
      <c r="E352" s="76"/>
      <c r="F352" s="76">
        <v>2.0</v>
      </c>
      <c r="G352" s="77">
        <f t="shared" si="12"/>
        <v>0.4</v>
      </c>
      <c r="H352" s="78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</row>
    <row r="353">
      <c r="A353" s="18">
        <v>18.0</v>
      </c>
      <c r="B353" s="74" t="s">
        <v>623</v>
      </c>
      <c r="C353" s="75" t="s">
        <v>1455</v>
      </c>
      <c r="D353" s="76"/>
      <c r="E353" s="76"/>
      <c r="F353" s="76">
        <v>5.0</v>
      </c>
      <c r="G353" s="77">
        <f t="shared" si="12"/>
        <v>1</v>
      </c>
      <c r="H353" s="78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</row>
    <row r="354">
      <c r="A354" s="18">
        <v>19.0</v>
      </c>
      <c r="B354" s="74" t="s">
        <v>625</v>
      </c>
      <c r="C354" s="75" t="s">
        <v>1456</v>
      </c>
      <c r="D354" s="76"/>
      <c r="E354" s="76"/>
      <c r="F354" s="76">
        <v>4.0</v>
      </c>
      <c r="G354" s="77">
        <f t="shared" si="12"/>
        <v>0.8</v>
      </c>
      <c r="H354" s="78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</row>
    <row r="355">
      <c r="A355" s="18">
        <v>20.0</v>
      </c>
      <c r="B355" s="74" t="s">
        <v>627</v>
      </c>
      <c r="C355" s="75" t="s">
        <v>1457</v>
      </c>
      <c r="D355" s="76"/>
      <c r="E355" s="76"/>
      <c r="F355" s="76">
        <v>5.0</v>
      </c>
      <c r="G355" s="77">
        <f t="shared" si="12"/>
        <v>1</v>
      </c>
      <c r="H355" s="78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</row>
    <row r="356">
      <c r="A356" s="18">
        <v>21.0</v>
      </c>
      <c r="B356" s="74" t="s">
        <v>629</v>
      </c>
      <c r="C356" s="75" t="s">
        <v>1458</v>
      </c>
      <c r="D356" s="76"/>
      <c r="E356" s="76"/>
      <c r="F356" s="76">
        <v>5.0</v>
      </c>
      <c r="G356" s="77">
        <f t="shared" si="12"/>
        <v>1</v>
      </c>
      <c r="H356" s="78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</row>
    <row r="357">
      <c r="A357" s="18">
        <v>22.0</v>
      </c>
      <c r="B357" s="74" t="s">
        <v>631</v>
      </c>
      <c r="C357" s="75" t="s">
        <v>1459</v>
      </c>
      <c r="D357" s="76"/>
      <c r="E357" s="76"/>
      <c r="F357" s="76">
        <v>2.0</v>
      </c>
      <c r="G357" s="77">
        <f t="shared" si="12"/>
        <v>0.4</v>
      </c>
      <c r="H357" s="78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</row>
    <row r="358">
      <c r="A358" s="18">
        <v>23.0</v>
      </c>
      <c r="B358" s="74" t="s">
        <v>633</v>
      </c>
      <c r="C358" s="85" t="s">
        <v>1460</v>
      </c>
      <c r="D358" s="76"/>
      <c r="E358" s="76"/>
      <c r="F358" s="76">
        <v>0.0</v>
      </c>
      <c r="G358" s="77">
        <f t="shared" si="12"/>
        <v>0</v>
      </c>
      <c r="H358" s="78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</row>
    <row r="359">
      <c r="A359" s="18">
        <v>24.0</v>
      </c>
      <c r="B359" s="74" t="s">
        <v>635</v>
      </c>
      <c r="C359" s="85" t="s">
        <v>1461</v>
      </c>
      <c r="D359" s="76"/>
      <c r="E359" s="76"/>
      <c r="F359" s="76">
        <v>3.0</v>
      </c>
      <c r="G359" s="77">
        <f t="shared" si="12"/>
        <v>0.6</v>
      </c>
      <c r="H359" s="78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</row>
    <row r="360">
      <c r="A360" s="18">
        <v>25.0</v>
      </c>
      <c r="B360" s="74" t="s">
        <v>637</v>
      </c>
      <c r="C360" s="85" t="s">
        <v>1462</v>
      </c>
      <c r="D360" s="76"/>
      <c r="E360" s="76"/>
      <c r="F360" s="76">
        <v>5.0</v>
      </c>
      <c r="G360" s="77">
        <f t="shared" si="12"/>
        <v>1</v>
      </c>
      <c r="H360" s="78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</row>
    <row r="361">
      <c r="A361" s="18">
        <v>26.0</v>
      </c>
      <c r="B361" s="74" t="s">
        <v>639</v>
      </c>
      <c r="C361" s="85" t="s">
        <v>1463</v>
      </c>
      <c r="D361" s="76"/>
      <c r="E361" s="76"/>
      <c r="F361" s="76">
        <v>4.0</v>
      </c>
      <c r="G361" s="77">
        <f t="shared" si="12"/>
        <v>0.8</v>
      </c>
      <c r="H361" s="78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</row>
    <row r="362">
      <c r="A362" s="18">
        <v>27.0</v>
      </c>
      <c r="B362" s="74" t="s">
        <v>641</v>
      </c>
      <c r="C362" s="85" t="s">
        <v>1464</v>
      </c>
      <c r="D362" s="76"/>
      <c r="E362" s="76"/>
      <c r="F362" s="76">
        <v>3.0</v>
      </c>
      <c r="G362" s="77">
        <f t="shared" si="12"/>
        <v>0.6</v>
      </c>
      <c r="H362" s="78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</row>
    <row r="363">
      <c r="A363" s="18">
        <v>28.0</v>
      </c>
      <c r="B363" s="74" t="s">
        <v>643</v>
      </c>
      <c r="C363" s="85" t="s">
        <v>1465</v>
      </c>
      <c r="D363" s="76"/>
      <c r="E363" s="76"/>
      <c r="F363" s="76">
        <v>3.0</v>
      </c>
      <c r="G363" s="77">
        <f t="shared" si="12"/>
        <v>0.6</v>
      </c>
      <c r="H363" s="78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</row>
    <row r="364">
      <c r="A364" s="18">
        <v>29.0</v>
      </c>
      <c r="B364" s="74" t="s">
        <v>645</v>
      </c>
      <c r="C364" s="85" t="s">
        <v>1466</v>
      </c>
      <c r="D364" s="76"/>
      <c r="E364" s="76"/>
      <c r="F364" s="76">
        <v>2.0</v>
      </c>
      <c r="G364" s="77">
        <f t="shared" si="12"/>
        <v>0.4</v>
      </c>
      <c r="H364" s="78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</row>
    <row r="365">
      <c r="A365" s="18">
        <v>30.0</v>
      </c>
      <c r="B365" s="74" t="s">
        <v>647</v>
      </c>
      <c r="C365" s="85" t="s">
        <v>1467</v>
      </c>
      <c r="D365" s="76"/>
      <c r="E365" s="76"/>
      <c r="F365" s="76">
        <v>4.0</v>
      </c>
      <c r="G365" s="77">
        <f t="shared" si="12"/>
        <v>0.8</v>
      </c>
      <c r="H365" s="78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</row>
    <row r="366">
      <c r="A366" s="18">
        <v>31.0</v>
      </c>
      <c r="B366" s="74" t="s">
        <v>649</v>
      </c>
      <c r="C366" s="85" t="s">
        <v>1468</v>
      </c>
      <c r="D366" s="76"/>
      <c r="E366" s="76"/>
      <c r="F366" s="76">
        <v>3.0</v>
      </c>
      <c r="G366" s="77">
        <f t="shared" si="12"/>
        <v>0.6</v>
      </c>
      <c r="H366" s="78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</row>
    <row r="367">
      <c r="A367" s="18">
        <v>32.0</v>
      </c>
      <c r="B367" s="74" t="s">
        <v>651</v>
      </c>
      <c r="C367" s="85" t="s">
        <v>1469</v>
      </c>
      <c r="D367" s="76"/>
      <c r="E367" s="76"/>
      <c r="F367" s="76">
        <v>4.0</v>
      </c>
      <c r="G367" s="77">
        <f t="shared" si="12"/>
        <v>0.8</v>
      </c>
      <c r="H367" s="78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</row>
    <row r="368">
      <c r="A368" s="18">
        <v>33.0</v>
      </c>
      <c r="B368" s="74" t="s">
        <v>653</v>
      </c>
      <c r="C368" s="85" t="s">
        <v>1470</v>
      </c>
      <c r="D368" s="76"/>
      <c r="E368" s="76"/>
      <c r="F368" s="76">
        <v>3.0</v>
      </c>
      <c r="G368" s="77">
        <f t="shared" si="12"/>
        <v>0.6</v>
      </c>
      <c r="H368" s="78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</row>
    <row r="369">
      <c r="A369" s="24">
        <v>34.0</v>
      </c>
      <c r="B369" s="74" t="s">
        <v>655</v>
      </c>
      <c r="C369" s="85" t="s">
        <v>1471</v>
      </c>
      <c r="D369" s="79"/>
      <c r="E369" s="79"/>
      <c r="F369" s="79">
        <v>2.0</v>
      </c>
      <c r="G369" s="77">
        <f t="shared" si="12"/>
        <v>0.4</v>
      </c>
      <c r="H369" s="78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</row>
    <row r="370">
      <c r="A370" s="18">
        <v>35.0</v>
      </c>
      <c r="B370" s="74" t="s">
        <v>657</v>
      </c>
      <c r="C370" s="85" t="s">
        <v>1472</v>
      </c>
      <c r="D370" s="76"/>
      <c r="E370" s="76"/>
      <c r="F370" s="76">
        <v>4.0</v>
      </c>
      <c r="G370" s="77">
        <f t="shared" si="12"/>
        <v>0.8</v>
      </c>
      <c r="H370" s="78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</row>
    <row r="371">
      <c r="A371" s="18">
        <v>36.0</v>
      </c>
      <c r="B371" s="74" t="s">
        <v>659</v>
      </c>
      <c r="C371" s="85" t="s">
        <v>1473</v>
      </c>
      <c r="D371" s="76"/>
      <c r="E371" s="76"/>
      <c r="F371" s="76">
        <v>3.0</v>
      </c>
      <c r="G371" s="77">
        <f t="shared" si="12"/>
        <v>0.6</v>
      </c>
      <c r="H371" s="78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</row>
    <row r="372">
      <c r="A372" s="18">
        <v>37.0</v>
      </c>
      <c r="B372" s="74" t="s">
        <v>661</v>
      </c>
      <c r="C372" s="85" t="s">
        <v>1474</v>
      </c>
      <c r="D372" s="76"/>
      <c r="E372" s="76"/>
      <c r="F372" s="76">
        <v>2.0</v>
      </c>
      <c r="G372" s="77">
        <f t="shared" si="12"/>
        <v>0.4</v>
      </c>
      <c r="H372" s="78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</row>
    <row r="373">
      <c r="A373" s="18">
        <v>38.0</v>
      </c>
      <c r="B373" s="74" t="s">
        <v>663</v>
      </c>
      <c r="C373" s="75" t="s">
        <v>1475</v>
      </c>
      <c r="D373" s="76"/>
      <c r="E373" s="76"/>
      <c r="F373" s="76">
        <v>0.0</v>
      </c>
      <c r="G373" s="77">
        <f t="shared" si="12"/>
        <v>0</v>
      </c>
      <c r="H373" s="78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</row>
    <row r="374">
      <c r="A374" s="18">
        <v>39.0</v>
      </c>
      <c r="B374" s="74" t="s">
        <v>665</v>
      </c>
      <c r="C374" s="75" t="s">
        <v>1476</v>
      </c>
      <c r="D374" s="76"/>
      <c r="E374" s="76"/>
      <c r="F374" s="76">
        <v>3.0</v>
      </c>
      <c r="G374" s="77">
        <f t="shared" si="12"/>
        <v>0.6</v>
      </c>
      <c r="H374" s="78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</row>
    <row r="375">
      <c r="A375" s="18">
        <v>40.0</v>
      </c>
      <c r="B375" s="74" t="s">
        <v>667</v>
      </c>
      <c r="C375" s="75" t="s">
        <v>1477</v>
      </c>
      <c r="D375" s="76"/>
      <c r="E375" s="76"/>
      <c r="F375" s="76">
        <v>3.0</v>
      </c>
      <c r="G375" s="77">
        <f t="shared" si="12"/>
        <v>0.6</v>
      </c>
      <c r="H375" s="78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</row>
    <row r="376">
      <c r="A376" s="18">
        <v>41.0</v>
      </c>
      <c r="B376" s="74" t="s">
        <v>669</v>
      </c>
      <c r="C376" s="75" t="s">
        <v>1478</v>
      </c>
      <c r="D376" s="76"/>
      <c r="E376" s="76"/>
      <c r="F376" s="76">
        <v>4.0</v>
      </c>
      <c r="G376" s="77">
        <f t="shared" si="12"/>
        <v>0.8</v>
      </c>
      <c r="H376" s="78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</row>
    <row r="377">
      <c r="A377" s="18">
        <v>42.0</v>
      </c>
      <c r="B377" s="74" t="s">
        <v>671</v>
      </c>
      <c r="C377" s="75" t="s">
        <v>1479</v>
      </c>
      <c r="D377" s="76"/>
      <c r="E377" s="76"/>
      <c r="F377" s="76">
        <v>3.0</v>
      </c>
      <c r="G377" s="77">
        <f t="shared" si="12"/>
        <v>0.6</v>
      </c>
      <c r="H377" s="78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</row>
    <row r="378">
      <c r="A378" s="18">
        <v>43.0</v>
      </c>
      <c r="B378" s="74" t="s">
        <v>673</v>
      </c>
      <c r="C378" s="75" t="s">
        <v>1480</v>
      </c>
      <c r="D378" s="76"/>
      <c r="E378" s="76"/>
      <c r="F378" s="76">
        <v>3.0</v>
      </c>
      <c r="G378" s="77">
        <f t="shared" si="12"/>
        <v>0.6</v>
      </c>
      <c r="H378" s="78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</row>
    <row r="379">
      <c r="A379" s="18">
        <v>44.0</v>
      </c>
      <c r="B379" s="74" t="s">
        <v>675</v>
      </c>
      <c r="C379" s="75" t="s">
        <v>1481</v>
      </c>
      <c r="D379" s="76"/>
      <c r="E379" s="76"/>
      <c r="F379" s="76">
        <v>4.0</v>
      </c>
      <c r="G379" s="77">
        <f t="shared" si="12"/>
        <v>0.8</v>
      </c>
      <c r="H379" s="78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</row>
    <row r="380">
      <c r="A380" s="18">
        <v>45.0</v>
      </c>
      <c r="B380" s="74" t="s">
        <v>677</v>
      </c>
      <c r="C380" s="75" t="s">
        <v>1482</v>
      </c>
      <c r="D380" s="76"/>
      <c r="E380" s="76"/>
      <c r="F380" s="76">
        <v>4.0</v>
      </c>
      <c r="G380" s="77">
        <f t="shared" si="12"/>
        <v>0.8</v>
      </c>
      <c r="H380" s="78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</row>
    <row r="381">
      <c r="A381" s="18">
        <v>46.0</v>
      </c>
      <c r="B381" s="74" t="s">
        <v>679</v>
      </c>
      <c r="C381" s="75" t="s">
        <v>1483</v>
      </c>
      <c r="D381" s="76"/>
      <c r="E381" s="76"/>
      <c r="F381" s="76">
        <v>3.0</v>
      </c>
      <c r="G381" s="77">
        <f t="shared" si="12"/>
        <v>0.6</v>
      </c>
      <c r="H381" s="78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</row>
    <row r="382" hidden="1">
      <c r="A382" s="63"/>
      <c r="B382" s="63"/>
      <c r="C382" s="63"/>
      <c r="D382" s="66"/>
      <c r="E382" s="66"/>
      <c r="F382" s="66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</row>
    <row r="383" hidden="1">
      <c r="A383" s="65" t="s">
        <v>3</v>
      </c>
      <c r="B383" s="63"/>
      <c r="C383" s="67" t="s">
        <v>4</v>
      </c>
      <c r="D383" s="87"/>
      <c r="E383" s="87"/>
      <c r="F383" s="87">
        <v>1.0</v>
      </c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</row>
    <row r="384" hidden="1">
      <c r="A384" s="65" t="s">
        <v>5</v>
      </c>
      <c r="B384" s="63"/>
      <c r="C384" s="67" t="s">
        <v>682</v>
      </c>
      <c r="D384" s="66"/>
      <c r="E384" s="66"/>
      <c r="F384" s="66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</row>
    <row r="385" hidden="1">
      <c r="A385" s="65" t="s">
        <v>7</v>
      </c>
      <c r="B385" s="63"/>
      <c r="C385" s="67" t="s">
        <v>8</v>
      </c>
      <c r="D385" s="66"/>
      <c r="E385" s="66"/>
      <c r="F385" s="66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</row>
    <row r="386" hidden="1">
      <c r="A386" s="63"/>
      <c r="B386" s="63"/>
      <c r="C386" s="63"/>
      <c r="D386" s="66"/>
      <c r="E386" s="66"/>
      <c r="F386" s="66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</row>
    <row r="387" hidden="1">
      <c r="A387" s="6" t="s">
        <v>9</v>
      </c>
      <c r="B387" s="6" t="s">
        <v>10</v>
      </c>
      <c r="C387" s="7" t="s">
        <v>11</v>
      </c>
      <c r="D387" s="68"/>
      <c r="E387" s="68"/>
      <c r="F387" s="68"/>
      <c r="G387" s="69"/>
      <c r="H387" s="70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</row>
    <row r="388" hidden="1">
      <c r="A388" s="11"/>
      <c r="B388" s="11"/>
      <c r="C388" s="11"/>
      <c r="D388" s="82" t="s">
        <v>1161</v>
      </c>
      <c r="E388" s="72" t="s">
        <v>1162</v>
      </c>
      <c r="F388" s="83" t="s">
        <v>12</v>
      </c>
      <c r="G388" s="13" t="s">
        <v>13</v>
      </c>
      <c r="H388" s="14" t="s">
        <v>14</v>
      </c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</row>
    <row r="389" hidden="1">
      <c r="A389" s="15"/>
      <c r="B389" s="15"/>
      <c r="C389" s="15"/>
      <c r="D389" s="16"/>
      <c r="E389" s="16"/>
      <c r="F389" s="16"/>
      <c r="G389" s="16"/>
      <c r="H389" s="17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</row>
    <row r="390">
      <c r="A390" s="18">
        <v>1.0</v>
      </c>
      <c r="B390" s="74" t="s">
        <v>683</v>
      </c>
      <c r="C390" s="75" t="s">
        <v>1484</v>
      </c>
      <c r="D390" s="76"/>
      <c r="E390" s="76"/>
      <c r="F390" s="76">
        <v>1.0</v>
      </c>
      <c r="G390" s="77">
        <f t="shared" ref="G390:G436" si="13">F390/5</f>
        <v>0.2</v>
      </c>
      <c r="H390" s="78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</row>
    <row r="391">
      <c r="A391" s="18">
        <v>2.0</v>
      </c>
      <c r="B391" s="74" t="s">
        <v>685</v>
      </c>
      <c r="C391" s="75" t="s">
        <v>1485</v>
      </c>
      <c r="D391" s="76"/>
      <c r="E391" s="76"/>
      <c r="F391" s="76">
        <v>0.0</v>
      </c>
      <c r="G391" s="77">
        <f t="shared" si="13"/>
        <v>0</v>
      </c>
      <c r="H391" s="78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</row>
    <row r="392">
      <c r="A392" s="18">
        <v>3.0</v>
      </c>
      <c r="B392" s="74" t="s">
        <v>687</v>
      </c>
      <c r="C392" s="75" t="s">
        <v>1486</v>
      </c>
      <c r="D392" s="76"/>
      <c r="E392" s="76"/>
      <c r="F392" s="76">
        <v>1.0</v>
      </c>
      <c r="G392" s="77">
        <f t="shared" si="13"/>
        <v>0.2</v>
      </c>
      <c r="H392" s="78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</row>
    <row r="393">
      <c r="A393" s="18">
        <v>4.0</v>
      </c>
      <c r="B393" s="74" t="s">
        <v>689</v>
      </c>
      <c r="C393" s="75" t="s">
        <v>1487</v>
      </c>
      <c r="D393" s="76"/>
      <c r="E393" s="76"/>
      <c r="F393" s="76">
        <v>1.0</v>
      </c>
      <c r="G393" s="77">
        <f t="shared" si="13"/>
        <v>0.2</v>
      </c>
      <c r="H393" s="78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</row>
    <row r="394">
      <c r="A394" s="18">
        <v>5.0</v>
      </c>
      <c r="B394" s="74" t="s">
        <v>691</v>
      </c>
      <c r="C394" s="75" t="s">
        <v>1488</v>
      </c>
      <c r="D394" s="76"/>
      <c r="E394" s="76"/>
      <c r="F394" s="76">
        <v>0.0</v>
      </c>
      <c r="G394" s="77">
        <f t="shared" si="13"/>
        <v>0</v>
      </c>
      <c r="H394" s="78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</row>
    <row r="395">
      <c r="A395" s="18">
        <v>6.0</v>
      </c>
      <c r="B395" s="74" t="s">
        <v>693</v>
      </c>
      <c r="C395" s="75" t="s">
        <v>1489</v>
      </c>
      <c r="D395" s="76"/>
      <c r="E395" s="76"/>
      <c r="F395" s="76">
        <v>1.0</v>
      </c>
      <c r="G395" s="77">
        <f t="shared" si="13"/>
        <v>0.2</v>
      </c>
      <c r="H395" s="78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</row>
    <row r="396">
      <c r="A396" s="18">
        <v>7.0</v>
      </c>
      <c r="B396" s="74" t="s">
        <v>695</v>
      </c>
      <c r="C396" s="75" t="s">
        <v>1490</v>
      </c>
      <c r="D396" s="76"/>
      <c r="E396" s="76"/>
      <c r="F396" s="76">
        <v>1.0</v>
      </c>
      <c r="G396" s="77">
        <f t="shared" si="13"/>
        <v>0.2</v>
      </c>
      <c r="H396" s="78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</row>
    <row r="397">
      <c r="A397" s="18">
        <v>8.0</v>
      </c>
      <c r="B397" s="74" t="s">
        <v>697</v>
      </c>
      <c r="C397" s="75" t="s">
        <v>1491</v>
      </c>
      <c r="D397" s="76"/>
      <c r="E397" s="76"/>
      <c r="F397" s="76">
        <v>0.0</v>
      </c>
      <c r="G397" s="77">
        <f t="shared" si="13"/>
        <v>0</v>
      </c>
      <c r="H397" s="78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</row>
    <row r="398">
      <c r="A398" s="18">
        <v>9.0</v>
      </c>
      <c r="B398" s="74" t="s">
        <v>699</v>
      </c>
      <c r="C398" s="75" t="s">
        <v>1492</v>
      </c>
      <c r="D398" s="76"/>
      <c r="E398" s="76"/>
      <c r="F398" s="76">
        <v>0.0</v>
      </c>
      <c r="G398" s="77">
        <f t="shared" si="13"/>
        <v>0</v>
      </c>
      <c r="H398" s="78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</row>
    <row r="399">
      <c r="A399" s="18">
        <v>10.0</v>
      </c>
      <c r="B399" s="74" t="s">
        <v>701</v>
      </c>
      <c r="C399" s="75" t="s">
        <v>1493</v>
      </c>
      <c r="D399" s="76"/>
      <c r="E399" s="76"/>
      <c r="F399" s="76">
        <v>0.0</v>
      </c>
      <c r="G399" s="77">
        <f t="shared" si="13"/>
        <v>0</v>
      </c>
      <c r="H399" s="78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</row>
    <row r="400">
      <c r="A400" s="18">
        <v>11.0</v>
      </c>
      <c r="B400" s="74" t="s">
        <v>703</v>
      </c>
      <c r="C400" s="75" t="s">
        <v>1494</v>
      </c>
      <c r="D400" s="76"/>
      <c r="E400" s="76"/>
      <c r="F400" s="76">
        <v>3.0</v>
      </c>
      <c r="G400" s="77">
        <f t="shared" si="13"/>
        <v>0.6</v>
      </c>
      <c r="H400" s="78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</row>
    <row r="401">
      <c r="A401" s="18">
        <v>12.0</v>
      </c>
      <c r="B401" s="74" t="s">
        <v>705</v>
      </c>
      <c r="C401" s="75" t="s">
        <v>1495</v>
      </c>
      <c r="D401" s="76"/>
      <c r="E401" s="76"/>
      <c r="F401" s="76">
        <v>0.0</v>
      </c>
      <c r="G401" s="77">
        <f t="shared" si="13"/>
        <v>0</v>
      </c>
      <c r="H401" s="78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</row>
    <row r="402">
      <c r="A402" s="18">
        <v>13.0</v>
      </c>
      <c r="B402" s="74" t="s">
        <v>707</v>
      </c>
      <c r="C402" s="75" t="s">
        <v>1496</v>
      </c>
      <c r="D402" s="76"/>
      <c r="E402" s="76"/>
      <c r="F402" s="76">
        <v>2.0</v>
      </c>
      <c r="G402" s="77">
        <f t="shared" si="13"/>
        <v>0.4</v>
      </c>
      <c r="H402" s="78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</row>
    <row r="403">
      <c r="A403" s="18">
        <v>14.0</v>
      </c>
      <c r="B403" s="74" t="s">
        <v>709</v>
      </c>
      <c r="C403" s="75" t="s">
        <v>1497</v>
      </c>
      <c r="D403" s="76"/>
      <c r="E403" s="76"/>
      <c r="F403" s="76">
        <v>1.0</v>
      </c>
      <c r="G403" s="77">
        <f t="shared" si="13"/>
        <v>0.2</v>
      </c>
      <c r="H403" s="78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</row>
    <row r="404">
      <c r="A404" s="18">
        <v>15.0</v>
      </c>
      <c r="B404" s="74" t="s">
        <v>711</v>
      </c>
      <c r="C404" s="75" t="s">
        <v>1498</v>
      </c>
      <c r="D404" s="76"/>
      <c r="E404" s="76"/>
      <c r="F404" s="76">
        <v>1.0</v>
      </c>
      <c r="G404" s="77">
        <f t="shared" si="13"/>
        <v>0.2</v>
      </c>
      <c r="H404" s="78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</row>
    <row r="405">
      <c r="A405" s="18">
        <v>16.0</v>
      </c>
      <c r="B405" s="74" t="s">
        <v>713</v>
      </c>
      <c r="C405" s="75" t="s">
        <v>1499</v>
      </c>
      <c r="D405" s="76"/>
      <c r="E405" s="76"/>
      <c r="F405" s="76">
        <v>1.0</v>
      </c>
      <c r="G405" s="77">
        <f t="shared" si="13"/>
        <v>0.2</v>
      </c>
      <c r="H405" s="78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</row>
    <row r="406">
      <c r="A406" s="18">
        <v>17.0</v>
      </c>
      <c r="B406" s="74" t="s">
        <v>715</v>
      </c>
      <c r="C406" s="75" t="s">
        <v>1500</v>
      </c>
      <c r="D406" s="76"/>
      <c r="E406" s="76"/>
      <c r="F406" s="76">
        <v>4.0</v>
      </c>
      <c r="G406" s="77">
        <f t="shared" si="13"/>
        <v>0.8</v>
      </c>
      <c r="H406" s="78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</row>
    <row r="407">
      <c r="A407" s="18">
        <v>18.0</v>
      </c>
      <c r="B407" s="74" t="s">
        <v>717</v>
      </c>
      <c r="C407" s="75" t="s">
        <v>1501</v>
      </c>
      <c r="D407" s="76"/>
      <c r="E407" s="76"/>
      <c r="F407" s="76">
        <v>2.0</v>
      </c>
      <c r="G407" s="77">
        <f t="shared" si="13"/>
        <v>0.4</v>
      </c>
      <c r="H407" s="78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</row>
    <row r="408">
      <c r="A408" s="18">
        <v>19.0</v>
      </c>
      <c r="B408" s="74" t="s">
        <v>719</v>
      </c>
      <c r="C408" s="75" t="s">
        <v>1502</v>
      </c>
      <c r="D408" s="76"/>
      <c r="E408" s="76"/>
      <c r="F408" s="76">
        <v>0.0</v>
      </c>
      <c r="G408" s="77">
        <f t="shared" si="13"/>
        <v>0</v>
      </c>
      <c r="H408" s="78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</row>
    <row r="409">
      <c r="A409" s="18">
        <v>20.0</v>
      </c>
      <c r="B409" s="74" t="s">
        <v>721</v>
      </c>
      <c r="C409" s="75" t="s">
        <v>1503</v>
      </c>
      <c r="D409" s="76"/>
      <c r="E409" s="76"/>
      <c r="F409" s="76">
        <v>1.0</v>
      </c>
      <c r="G409" s="77">
        <f t="shared" si="13"/>
        <v>0.2</v>
      </c>
      <c r="H409" s="78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</row>
    <row r="410">
      <c r="A410" s="18">
        <v>21.0</v>
      </c>
      <c r="B410" s="74" t="s">
        <v>723</v>
      </c>
      <c r="C410" s="75" t="s">
        <v>1504</v>
      </c>
      <c r="D410" s="76"/>
      <c r="E410" s="76"/>
      <c r="F410" s="76">
        <v>3.0</v>
      </c>
      <c r="G410" s="77">
        <f t="shared" si="13"/>
        <v>0.6</v>
      </c>
      <c r="H410" s="78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</row>
    <row r="411">
      <c r="A411" s="18">
        <v>22.0</v>
      </c>
      <c r="B411" s="74" t="s">
        <v>725</v>
      </c>
      <c r="C411" s="75" t="s">
        <v>1505</v>
      </c>
      <c r="D411" s="76"/>
      <c r="E411" s="76"/>
      <c r="F411" s="76">
        <v>4.0</v>
      </c>
      <c r="G411" s="77">
        <f t="shared" si="13"/>
        <v>0.8</v>
      </c>
      <c r="H411" s="78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</row>
    <row r="412">
      <c r="A412" s="18">
        <v>23.0</v>
      </c>
      <c r="B412" s="74" t="s">
        <v>727</v>
      </c>
      <c r="C412" s="75" t="s">
        <v>1506</v>
      </c>
      <c r="D412" s="76"/>
      <c r="E412" s="76"/>
      <c r="F412" s="76">
        <v>2.0</v>
      </c>
      <c r="G412" s="77">
        <f t="shared" si="13"/>
        <v>0.4</v>
      </c>
      <c r="H412" s="78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</row>
    <row r="413">
      <c r="A413" s="18">
        <v>24.0</v>
      </c>
      <c r="B413" s="74" t="s">
        <v>729</v>
      </c>
      <c r="C413" s="75" t="s">
        <v>1507</v>
      </c>
      <c r="D413" s="76"/>
      <c r="E413" s="76"/>
      <c r="F413" s="76">
        <v>1.0</v>
      </c>
      <c r="G413" s="77">
        <f t="shared" si="13"/>
        <v>0.2</v>
      </c>
      <c r="H413" s="78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</row>
    <row r="414">
      <c r="A414" s="18">
        <v>25.0</v>
      </c>
      <c r="B414" s="74" t="s">
        <v>731</v>
      </c>
      <c r="C414" s="75" t="s">
        <v>1508</v>
      </c>
      <c r="D414" s="76"/>
      <c r="E414" s="76"/>
      <c r="F414" s="76">
        <v>4.0</v>
      </c>
      <c r="G414" s="77">
        <f t="shared" si="13"/>
        <v>0.8</v>
      </c>
      <c r="H414" s="78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</row>
    <row r="415">
      <c r="A415" s="18">
        <v>26.0</v>
      </c>
      <c r="B415" s="74" t="s">
        <v>733</v>
      </c>
      <c r="C415" s="75" t="s">
        <v>1509</v>
      </c>
      <c r="D415" s="76"/>
      <c r="E415" s="76"/>
      <c r="F415" s="76">
        <v>1.0</v>
      </c>
      <c r="G415" s="77">
        <f t="shared" si="13"/>
        <v>0.2</v>
      </c>
      <c r="H415" s="78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</row>
    <row r="416">
      <c r="A416" s="18">
        <v>27.0</v>
      </c>
      <c r="B416" s="74" t="s">
        <v>735</v>
      </c>
      <c r="C416" s="75" t="s">
        <v>1510</v>
      </c>
      <c r="D416" s="76"/>
      <c r="E416" s="76"/>
      <c r="F416" s="76">
        <v>2.0</v>
      </c>
      <c r="G416" s="77">
        <f t="shared" si="13"/>
        <v>0.4</v>
      </c>
      <c r="H416" s="78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</row>
    <row r="417">
      <c r="A417" s="18">
        <v>28.0</v>
      </c>
      <c r="B417" s="74" t="s">
        <v>737</v>
      </c>
      <c r="C417" s="75" t="s">
        <v>1511</v>
      </c>
      <c r="D417" s="76"/>
      <c r="E417" s="76"/>
      <c r="F417" s="76">
        <v>2.0</v>
      </c>
      <c r="G417" s="77">
        <f t="shared" si="13"/>
        <v>0.4</v>
      </c>
      <c r="H417" s="78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</row>
    <row r="418">
      <c r="A418" s="18">
        <v>29.0</v>
      </c>
      <c r="B418" s="74" t="s">
        <v>739</v>
      </c>
      <c r="C418" s="75" t="s">
        <v>1512</v>
      </c>
      <c r="D418" s="76"/>
      <c r="E418" s="76"/>
      <c r="F418" s="76">
        <v>3.0</v>
      </c>
      <c r="G418" s="77">
        <f t="shared" si="13"/>
        <v>0.6</v>
      </c>
      <c r="H418" s="78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</row>
    <row r="419">
      <c r="A419" s="18">
        <v>30.0</v>
      </c>
      <c r="B419" s="74" t="s">
        <v>741</v>
      </c>
      <c r="C419" s="75" t="s">
        <v>1513</v>
      </c>
      <c r="D419" s="76"/>
      <c r="E419" s="76"/>
      <c r="F419" s="76">
        <v>3.0</v>
      </c>
      <c r="G419" s="77">
        <f t="shared" si="13"/>
        <v>0.6</v>
      </c>
      <c r="H419" s="78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</row>
    <row r="420">
      <c r="A420" s="18">
        <v>31.0</v>
      </c>
      <c r="B420" s="74" t="s">
        <v>743</v>
      </c>
      <c r="C420" s="75" t="s">
        <v>1514</v>
      </c>
      <c r="D420" s="76"/>
      <c r="E420" s="76"/>
      <c r="F420" s="76">
        <v>4.0</v>
      </c>
      <c r="G420" s="77">
        <f t="shared" si="13"/>
        <v>0.8</v>
      </c>
      <c r="H420" s="78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</row>
    <row r="421">
      <c r="A421" s="18">
        <v>32.0</v>
      </c>
      <c r="B421" s="74" t="s">
        <v>745</v>
      </c>
      <c r="C421" s="75" t="s">
        <v>1515</v>
      </c>
      <c r="D421" s="76"/>
      <c r="E421" s="76"/>
      <c r="F421" s="76">
        <v>1.0</v>
      </c>
      <c r="G421" s="77">
        <f t="shared" si="13"/>
        <v>0.2</v>
      </c>
      <c r="H421" s="78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</row>
    <row r="422">
      <c r="A422" s="18">
        <v>33.0</v>
      </c>
      <c r="B422" s="74" t="s">
        <v>747</v>
      </c>
      <c r="C422" s="75" t="s">
        <v>1516</v>
      </c>
      <c r="D422" s="76"/>
      <c r="E422" s="76"/>
      <c r="F422" s="76">
        <v>1.0</v>
      </c>
      <c r="G422" s="77">
        <f t="shared" si="13"/>
        <v>0.2</v>
      </c>
      <c r="H422" s="78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</row>
    <row r="423">
      <c r="A423" s="18">
        <v>34.0</v>
      </c>
      <c r="B423" s="74" t="s">
        <v>749</v>
      </c>
      <c r="C423" s="75" t="s">
        <v>1517</v>
      </c>
      <c r="D423" s="79"/>
      <c r="E423" s="79"/>
      <c r="F423" s="79">
        <v>1.0</v>
      </c>
      <c r="G423" s="77">
        <f t="shared" si="13"/>
        <v>0.2</v>
      </c>
      <c r="H423" s="78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</row>
    <row r="424">
      <c r="A424" s="18">
        <v>35.0</v>
      </c>
      <c r="B424" s="74" t="s">
        <v>751</v>
      </c>
      <c r="C424" s="75" t="s">
        <v>1518</v>
      </c>
      <c r="D424" s="76"/>
      <c r="E424" s="76"/>
      <c r="F424" s="76">
        <v>1.0</v>
      </c>
      <c r="G424" s="77">
        <f t="shared" si="13"/>
        <v>0.2</v>
      </c>
      <c r="H424" s="78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</row>
    <row r="425">
      <c r="A425" s="18">
        <v>36.0</v>
      </c>
      <c r="B425" s="74" t="s">
        <v>753</v>
      </c>
      <c r="C425" s="75" t="s">
        <v>1519</v>
      </c>
      <c r="D425" s="76"/>
      <c r="E425" s="76"/>
      <c r="F425" s="76">
        <v>1.0</v>
      </c>
      <c r="G425" s="77">
        <f t="shared" si="13"/>
        <v>0.2</v>
      </c>
      <c r="H425" s="78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</row>
    <row r="426">
      <c r="A426" s="18">
        <v>37.0</v>
      </c>
      <c r="B426" s="74" t="s">
        <v>755</v>
      </c>
      <c r="C426" s="75" t="s">
        <v>1520</v>
      </c>
      <c r="D426" s="76"/>
      <c r="E426" s="76"/>
      <c r="F426" s="76">
        <v>1.0</v>
      </c>
      <c r="G426" s="77">
        <f t="shared" si="13"/>
        <v>0.2</v>
      </c>
      <c r="H426" s="78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</row>
    <row r="427">
      <c r="A427" s="18">
        <v>38.0</v>
      </c>
      <c r="B427" s="74" t="s">
        <v>757</v>
      </c>
      <c r="C427" s="75" t="s">
        <v>1521</v>
      </c>
      <c r="D427" s="76"/>
      <c r="E427" s="76"/>
      <c r="F427" s="76">
        <v>1.0</v>
      </c>
      <c r="G427" s="77">
        <f t="shared" si="13"/>
        <v>0.2</v>
      </c>
      <c r="H427" s="78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</row>
    <row r="428">
      <c r="A428" s="18">
        <v>39.0</v>
      </c>
      <c r="B428" s="74" t="s">
        <v>759</v>
      </c>
      <c r="C428" s="75" t="s">
        <v>1522</v>
      </c>
      <c r="D428" s="76"/>
      <c r="E428" s="76"/>
      <c r="F428" s="76">
        <v>1.0</v>
      </c>
      <c r="G428" s="77">
        <f t="shared" si="13"/>
        <v>0.2</v>
      </c>
      <c r="H428" s="78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</row>
    <row r="429">
      <c r="A429" s="18">
        <v>40.0</v>
      </c>
      <c r="B429" s="74" t="s">
        <v>761</v>
      </c>
      <c r="C429" s="75" t="s">
        <v>1523</v>
      </c>
      <c r="D429" s="76"/>
      <c r="E429" s="76"/>
      <c r="F429" s="76">
        <v>0.0</v>
      </c>
      <c r="G429" s="77">
        <f t="shared" si="13"/>
        <v>0</v>
      </c>
      <c r="H429" s="78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</row>
    <row r="430">
      <c r="A430" s="18">
        <v>41.0</v>
      </c>
      <c r="B430" s="74" t="s">
        <v>763</v>
      </c>
      <c r="C430" s="75" t="s">
        <v>1524</v>
      </c>
      <c r="D430" s="76"/>
      <c r="E430" s="76"/>
      <c r="F430" s="76">
        <v>4.0</v>
      </c>
      <c r="G430" s="77">
        <f t="shared" si="13"/>
        <v>0.8</v>
      </c>
      <c r="H430" s="78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</row>
    <row r="431">
      <c r="A431" s="18">
        <v>42.0</v>
      </c>
      <c r="B431" s="74" t="s">
        <v>765</v>
      </c>
      <c r="C431" s="75" t="s">
        <v>1525</v>
      </c>
      <c r="D431" s="76"/>
      <c r="E431" s="76"/>
      <c r="F431" s="76">
        <v>3.0</v>
      </c>
      <c r="G431" s="77">
        <f t="shared" si="13"/>
        <v>0.6</v>
      </c>
      <c r="H431" s="78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</row>
    <row r="432">
      <c r="A432" s="18">
        <v>43.0</v>
      </c>
      <c r="B432" s="74" t="s">
        <v>767</v>
      </c>
      <c r="C432" s="75" t="s">
        <v>1526</v>
      </c>
      <c r="D432" s="76"/>
      <c r="E432" s="76"/>
      <c r="F432" s="76">
        <v>4.0</v>
      </c>
      <c r="G432" s="77">
        <f t="shared" si="13"/>
        <v>0.8</v>
      </c>
      <c r="H432" s="78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</row>
    <row r="433">
      <c r="A433" s="18">
        <v>44.0</v>
      </c>
      <c r="B433" s="74" t="s">
        <v>769</v>
      </c>
      <c r="C433" s="75" t="s">
        <v>1527</v>
      </c>
      <c r="D433" s="76"/>
      <c r="E433" s="76"/>
      <c r="F433" s="76">
        <v>0.0</v>
      </c>
      <c r="G433" s="77">
        <f t="shared" si="13"/>
        <v>0</v>
      </c>
      <c r="H433" s="78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</row>
    <row r="434">
      <c r="A434" s="18">
        <v>45.0</v>
      </c>
      <c r="B434" s="74" t="s">
        <v>771</v>
      </c>
      <c r="C434" s="75" t="s">
        <v>1528</v>
      </c>
      <c r="D434" s="76"/>
      <c r="E434" s="76"/>
      <c r="F434" s="76">
        <v>1.0</v>
      </c>
      <c r="G434" s="77">
        <f t="shared" si="13"/>
        <v>0.2</v>
      </c>
      <c r="H434" s="78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</row>
    <row r="435">
      <c r="A435" s="18">
        <v>46.0</v>
      </c>
      <c r="B435" s="74" t="s">
        <v>773</v>
      </c>
      <c r="C435" s="75" t="s">
        <v>1529</v>
      </c>
      <c r="D435" s="76"/>
      <c r="E435" s="76"/>
      <c r="F435" s="76">
        <v>0.0</v>
      </c>
      <c r="G435" s="77">
        <f t="shared" si="13"/>
        <v>0</v>
      </c>
      <c r="H435" s="78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</row>
    <row r="436">
      <c r="A436" s="18">
        <v>47.0</v>
      </c>
      <c r="B436" s="74" t="s">
        <v>775</v>
      </c>
      <c r="C436" s="75" t="s">
        <v>1530</v>
      </c>
      <c r="D436" s="76"/>
      <c r="E436" s="76"/>
      <c r="F436" s="76">
        <v>0.0</v>
      </c>
      <c r="G436" s="77">
        <f t="shared" si="13"/>
        <v>0</v>
      </c>
      <c r="H436" s="78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</row>
    <row r="437" hidden="1">
      <c r="A437" s="63"/>
      <c r="B437" s="63"/>
      <c r="C437" s="63"/>
      <c r="D437" s="66"/>
      <c r="E437" s="66"/>
      <c r="F437" s="66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</row>
    <row r="438" hidden="1">
      <c r="A438" s="65" t="s">
        <v>3</v>
      </c>
      <c r="B438" s="63"/>
      <c r="C438" s="67" t="s">
        <v>4</v>
      </c>
      <c r="D438" s="66"/>
      <c r="E438" s="66"/>
      <c r="F438" s="66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</row>
    <row r="439" hidden="1">
      <c r="A439" s="65" t="s">
        <v>5</v>
      </c>
      <c r="B439" s="63"/>
      <c r="C439" s="67" t="s">
        <v>778</v>
      </c>
      <c r="D439" s="66"/>
      <c r="E439" s="66"/>
      <c r="F439" s="66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</row>
    <row r="440" hidden="1">
      <c r="A440" s="65" t="s">
        <v>7</v>
      </c>
      <c r="B440" s="63"/>
      <c r="C440" s="67" t="s">
        <v>8</v>
      </c>
      <c r="D440" s="66"/>
      <c r="E440" s="66"/>
      <c r="F440" s="66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</row>
    <row r="441" hidden="1">
      <c r="A441" s="63"/>
      <c r="B441" s="63"/>
      <c r="C441" s="63"/>
      <c r="D441" s="66"/>
      <c r="E441" s="66"/>
      <c r="F441" s="66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</row>
    <row r="442" hidden="1">
      <c r="A442" s="6" t="s">
        <v>9</v>
      </c>
      <c r="B442" s="6" t="s">
        <v>10</v>
      </c>
      <c r="C442" s="7" t="s">
        <v>11</v>
      </c>
      <c r="D442" s="68"/>
      <c r="E442" s="68"/>
      <c r="F442" s="68"/>
      <c r="G442" s="69"/>
      <c r="H442" s="70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</row>
    <row r="443" hidden="1">
      <c r="A443" s="11"/>
      <c r="B443" s="11"/>
      <c r="C443" s="11"/>
      <c r="D443" s="82" t="s">
        <v>1161</v>
      </c>
      <c r="E443" s="72" t="s">
        <v>1162</v>
      </c>
      <c r="F443" s="83" t="s">
        <v>12</v>
      </c>
      <c r="G443" s="13" t="s">
        <v>13</v>
      </c>
      <c r="H443" s="14" t="s">
        <v>14</v>
      </c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</row>
    <row r="444" hidden="1">
      <c r="A444" s="15"/>
      <c r="B444" s="15"/>
      <c r="C444" s="15"/>
      <c r="D444" s="16"/>
      <c r="E444" s="16"/>
      <c r="F444" s="16"/>
      <c r="G444" s="16"/>
      <c r="H444" s="17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</row>
    <row r="445">
      <c r="A445" s="18">
        <v>1.0</v>
      </c>
      <c r="B445" s="74" t="s">
        <v>779</v>
      </c>
      <c r="C445" s="75" t="s">
        <v>1531</v>
      </c>
      <c r="D445" s="76"/>
      <c r="E445" s="76"/>
      <c r="F445" s="76">
        <v>1.0</v>
      </c>
      <c r="G445" s="77">
        <f t="shared" ref="G445:G489" si="14">F445/5</f>
        <v>0.2</v>
      </c>
      <c r="H445" s="78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</row>
    <row r="446">
      <c r="A446" s="18">
        <v>2.0</v>
      </c>
      <c r="B446" s="74" t="s">
        <v>781</v>
      </c>
      <c r="C446" s="75" t="s">
        <v>1532</v>
      </c>
      <c r="D446" s="76"/>
      <c r="E446" s="76"/>
      <c r="F446" s="76">
        <v>3.0</v>
      </c>
      <c r="G446" s="77">
        <f t="shared" si="14"/>
        <v>0.6</v>
      </c>
      <c r="H446" s="78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</row>
    <row r="447">
      <c r="A447" s="18">
        <v>3.0</v>
      </c>
      <c r="B447" s="74" t="s">
        <v>783</v>
      </c>
      <c r="C447" s="75" t="s">
        <v>1533</v>
      </c>
      <c r="D447" s="76"/>
      <c r="E447" s="76"/>
      <c r="F447" s="76">
        <v>4.0</v>
      </c>
      <c r="G447" s="77">
        <f t="shared" si="14"/>
        <v>0.8</v>
      </c>
      <c r="H447" s="78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</row>
    <row r="448">
      <c r="A448" s="18">
        <v>4.0</v>
      </c>
      <c r="B448" s="74" t="s">
        <v>785</v>
      </c>
      <c r="C448" s="75" t="s">
        <v>1534</v>
      </c>
      <c r="D448" s="76"/>
      <c r="E448" s="76"/>
      <c r="F448" s="76">
        <v>4.0</v>
      </c>
      <c r="G448" s="77">
        <f t="shared" si="14"/>
        <v>0.8</v>
      </c>
      <c r="H448" s="78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</row>
    <row r="449">
      <c r="A449" s="18">
        <v>5.0</v>
      </c>
      <c r="B449" s="74" t="s">
        <v>787</v>
      </c>
      <c r="C449" s="75" t="s">
        <v>1535</v>
      </c>
      <c r="D449" s="76"/>
      <c r="E449" s="76"/>
      <c r="F449" s="76">
        <v>3.0</v>
      </c>
      <c r="G449" s="77">
        <f t="shared" si="14"/>
        <v>0.6</v>
      </c>
      <c r="H449" s="78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</row>
    <row r="450">
      <c r="A450" s="18">
        <v>6.0</v>
      </c>
      <c r="B450" s="74" t="s">
        <v>789</v>
      </c>
      <c r="C450" s="75" t="s">
        <v>1536</v>
      </c>
      <c r="D450" s="76"/>
      <c r="E450" s="76"/>
      <c r="F450" s="76">
        <v>0.0</v>
      </c>
      <c r="G450" s="77">
        <f t="shared" si="14"/>
        <v>0</v>
      </c>
      <c r="H450" s="78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</row>
    <row r="451">
      <c r="A451" s="18">
        <v>7.0</v>
      </c>
      <c r="B451" s="74" t="s">
        <v>791</v>
      </c>
      <c r="C451" s="75" t="s">
        <v>1537</v>
      </c>
      <c r="D451" s="76"/>
      <c r="E451" s="76"/>
      <c r="F451" s="76">
        <v>5.0</v>
      </c>
      <c r="G451" s="77">
        <f t="shared" si="14"/>
        <v>1</v>
      </c>
      <c r="H451" s="78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</row>
    <row r="452">
      <c r="A452" s="18">
        <v>8.0</v>
      </c>
      <c r="B452" s="74" t="s">
        <v>793</v>
      </c>
      <c r="C452" s="75" t="s">
        <v>1538</v>
      </c>
      <c r="D452" s="76"/>
      <c r="E452" s="76"/>
      <c r="F452" s="76">
        <v>0.0</v>
      </c>
      <c r="G452" s="77">
        <f t="shared" si="14"/>
        <v>0</v>
      </c>
      <c r="H452" s="78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</row>
    <row r="453">
      <c r="A453" s="18">
        <v>9.0</v>
      </c>
      <c r="B453" s="74" t="s">
        <v>795</v>
      </c>
      <c r="C453" s="75" t="s">
        <v>1539</v>
      </c>
      <c r="D453" s="76"/>
      <c r="E453" s="76"/>
      <c r="F453" s="76">
        <v>4.0</v>
      </c>
      <c r="G453" s="77">
        <f t="shared" si="14"/>
        <v>0.8</v>
      </c>
      <c r="H453" s="78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</row>
    <row r="454">
      <c r="A454" s="18">
        <v>10.0</v>
      </c>
      <c r="B454" s="74" t="s">
        <v>797</v>
      </c>
      <c r="C454" s="75" t="s">
        <v>1540</v>
      </c>
      <c r="D454" s="76"/>
      <c r="E454" s="76"/>
      <c r="F454" s="76">
        <v>3.0</v>
      </c>
      <c r="G454" s="77">
        <f t="shared" si="14"/>
        <v>0.6</v>
      </c>
      <c r="H454" s="78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</row>
    <row r="455">
      <c r="A455" s="18">
        <v>11.0</v>
      </c>
      <c r="B455" s="74" t="s">
        <v>799</v>
      </c>
      <c r="C455" s="75" t="s">
        <v>1541</v>
      </c>
      <c r="D455" s="76"/>
      <c r="E455" s="76"/>
      <c r="F455" s="76">
        <v>3.0</v>
      </c>
      <c r="G455" s="77">
        <f t="shared" si="14"/>
        <v>0.6</v>
      </c>
      <c r="H455" s="78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</row>
    <row r="456">
      <c r="A456" s="18">
        <v>12.0</v>
      </c>
      <c r="B456" s="74" t="s">
        <v>801</v>
      </c>
      <c r="C456" s="75" t="s">
        <v>1542</v>
      </c>
      <c r="D456" s="76"/>
      <c r="E456" s="76"/>
      <c r="F456" s="76">
        <v>1.0</v>
      </c>
      <c r="G456" s="77">
        <f t="shared" si="14"/>
        <v>0.2</v>
      </c>
      <c r="H456" s="78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</row>
    <row r="457">
      <c r="A457" s="18">
        <v>13.0</v>
      </c>
      <c r="B457" s="74" t="s">
        <v>803</v>
      </c>
      <c r="C457" s="75" t="s">
        <v>1543</v>
      </c>
      <c r="D457" s="76"/>
      <c r="E457" s="76"/>
      <c r="F457" s="76">
        <v>4.0</v>
      </c>
      <c r="G457" s="77">
        <f t="shared" si="14"/>
        <v>0.8</v>
      </c>
      <c r="H457" s="78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</row>
    <row r="458">
      <c r="A458" s="18">
        <v>14.0</v>
      </c>
      <c r="B458" s="74" t="s">
        <v>805</v>
      </c>
      <c r="C458" s="75" t="s">
        <v>1544</v>
      </c>
      <c r="D458" s="76"/>
      <c r="E458" s="76"/>
      <c r="F458" s="76">
        <v>3.0</v>
      </c>
      <c r="G458" s="77">
        <f t="shared" si="14"/>
        <v>0.6</v>
      </c>
      <c r="H458" s="78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</row>
    <row r="459">
      <c r="A459" s="18">
        <v>15.0</v>
      </c>
      <c r="B459" s="74" t="s">
        <v>807</v>
      </c>
      <c r="C459" s="75" t="s">
        <v>1545</v>
      </c>
      <c r="D459" s="76"/>
      <c r="E459" s="76"/>
      <c r="F459" s="76">
        <v>3.0</v>
      </c>
      <c r="G459" s="77">
        <f t="shared" si="14"/>
        <v>0.6</v>
      </c>
      <c r="H459" s="78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</row>
    <row r="460">
      <c r="A460" s="18">
        <v>16.0</v>
      </c>
      <c r="B460" s="74" t="s">
        <v>809</v>
      </c>
      <c r="C460" s="75" t="s">
        <v>1546</v>
      </c>
      <c r="D460" s="76"/>
      <c r="E460" s="76"/>
      <c r="F460" s="76">
        <v>2.0</v>
      </c>
      <c r="G460" s="77">
        <f t="shared" si="14"/>
        <v>0.4</v>
      </c>
      <c r="H460" s="78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</row>
    <row r="461">
      <c r="A461" s="18">
        <v>17.0</v>
      </c>
      <c r="B461" s="74" t="s">
        <v>811</v>
      </c>
      <c r="C461" s="75" t="s">
        <v>1547</v>
      </c>
      <c r="D461" s="76"/>
      <c r="E461" s="76"/>
      <c r="F461" s="76">
        <v>4.0</v>
      </c>
      <c r="G461" s="77">
        <f t="shared" si="14"/>
        <v>0.8</v>
      </c>
      <c r="H461" s="78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</row>
    <row r="462">
      <c r="A462" s="18">
        <v>18.0</v>
      </c>
      <c r="B462" s="74" t="s">
        <v>813</v>
      </c>
      <c r="C462" s="75" t="s">
        <v>1548</v>
      </c>
      <c r="D462" s="76"/>
      <c r="E462" s="76"/>
      <c r="F462" s="76">
        <v>0.0</v>
      </c>
      <c r="G462" s="77">
        <f t="shared" si="14"/>
        <v>0</v>
      </c>
      <c r="H462" s="78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</row>
    <row r="463">
      <c r="A463" s="18">
        <v>19.0</v>
      </c>
      <c r="B463" s="74" t="s">
        <v>815</v>
      </c>
      <c r="C463" s="75" t="s">
        <v>1549</v>
      </c>
      <c r="D463" s="76"/>
      <c r="E463" s="76"/>
      <c r="F463" s="76">
        <v>1.0</v>
      </c>
      <c r="G463" s="77">
        <f t="shared" si="14"/>
        <v>0.2</v>
      </c>
      <c r="H463" s="78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</row>
    <row r="464">
      <c r="A464" s="18">
        <v>20.0</v>
      </c>
      <c r="B464" s="74" t="s">
        <v>817</v>
      </c>
      <c r="C464" s="75" t="s">
        <v>1550</v>
      </c>
      <c r="D464" s="76"/>
      <c r="E464" s="76"/>
      <c r="F464" s="76">
        <v>4.0</v>
      </c>
      <c r="G464" s="77">
        <f t="shared" si="14"/>
        <v>0.8</v>
      </c>
      <c r="H464" s="78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</row>
    <row r="465">
      <c r="A465" s="18">
        <v>21.0</v>
      </c>
      <c r="B465" s="74" t="s">
        <v>819</v>
      </c>
      <c r="C465" s="75" t="s">
        <v>1551</v>
      </c>
      <c r="D465" s="76"/>
      <c r="E465" s="76"/>
      <c r="F465" s="76">
        <v>1.0</v>
      </c>
      <c r="G465" s="77">
        <f t="shared" si="14"/>
        <v>0.2</v>
      </c>
      <c r="H465" s="78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</row>
    <row r="466">
      <c r="A466" s="18">
        <v>22.0</v>
      </c>
      <c r="B466" s="74" t="s">
        <v>821</v>
      </c>
      <c r="C466" s="75" t="s">
        <v>1552</v>
      </c>
      <c r="D466" s="76"/>
      <c r="E466" s="76"/>
      <c r="F466" s="76">
        <v>3.0</v>
      </c>
      <c r="G466" s="77">
        <f t="shared" si="14"/>
        <v>0.6</v>
      </c>
      <c r="H466" s="78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</row>
    <row r="467">
      <c r="A467" s="18">
        <v>23.0</v>
      </c>
      <c r="B467" s="74" t="s">
        <v>823</v>
      </c>
      <c r="C467" s="75" t="s">
        <v>1553</v>
      </c>
      <c r="D467" s="76"/>
      <c r="E467" s="76"/>
      <c r="F467" s="76">
        <v>2.0</v>
      </c>
      <c r="G467" s="77">
        <f t="shared" si="14"/>
        <v>0.4</v>
      </c>
      <c r="H467" s="78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</row>
    <row r="468">
      <c r="A468" s="18">
        <v>24.0</v>
      </c>
      <c r="B468" s="74" t="s">
        <v>825</v>
      </c>
      <c r="C468" s="75" t="s">
        <v>1554</v>
      </c>
      <c r="D468" s="76"/>
      <c r="E468" s="76"/>
      <c r="F468" s="76">
        <v>1.0</v>
      </c>
      <c r="G468" s="77">
        <f t="shared" si="14"/>
        <v>0.2</v>
      </c>
      <c r="H468" s="78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</row>
    <row r="469">
      <c r="A469" s="18">
        <v>25.0</v>
      </c>
      <c r="B469" s="74" t="s">
        <v>827</v>
      </c>
      <c r="C469" s="75" t="s">
        <v>1555</v>
      </c>
      <c r="D469" s="76"/>
      <c r="E469" s="76"/>
      <c r="F469" s="76">
        <v>1.0</v>
      </c>
      <c r="G469" s="77">
        <f t="shared" si="14"/>
        <v>0.2</v>
      </c>
      <c r="H469" s="78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</row>
    <row r="470">
      <c r="A470" s="18">
        <v>26.0</v>
      </c>
      <c r="B470" s="74" t="s">
        <v>829</v>
      </c>
      <c r="C470" s="75" t="s">
        <v>1556</v>
      </c>
      <c r="D470" s="76"/>
      <c r="E470" s="76"/>
      <c r="F470" s="76">
        <v>1.0</v>
      </c>
      <c r="G470" s="77">
        <f t="shared" si="14"/>
        <v>0.2</v>
      </c>
      <c r="H470" s="78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</row>
    <row r="471">
      <c r="A471" s="18">
        <v>27.0</v>
      </c>
      <c r="B471" s="74" t="s">
        <v>831</v>
      </c>
      <c r="C471" s="75" t="s">
        <v>1557</v>
      </c>
      <c r="D471" s="76"/>
      <c r="E471" s="76"/>
      <c r="F471" s="76">
        <v>0.0</v>
      </c>
      <c r="G471" s="77">
        <f t="shared" si="14"/>
        <v>0</v>
      </c>
      <c r="H471" s="78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</row>
    <row r="472">
      <c r="A472" s="18">
        <v>28.0</v>
      </c>
      <c r="B472" s="74" t="s">
        <v>833</v>
      </c>
      <c r="C472" s="75" t="s">
        <v>1558</v>
      </c>
      <c r="D472" s="76"/>
      <c r="E472" s="76"/>
      <c r="F472" s="76">
        <v>0.0</v>
      </c>
      <c r="G472" s="77">
        <f t="shared" si="14"/>
        <v>0</v>
      </c>
      <c r="H472" s="78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</row>
    <row r="473">
      <c r="A473" s="18">
        <v>29.0</v>
      </c>
      <c r="B473" s="74" t="s">
        <v>835</v>
      </c>
      <c r="C473" s="75" t="s">
        <v>1559</v>
      </c>
      <c r="D473" s="76"/>
      <c r="E473" s="76"/>
      <c r="F473" s="76">
        <v>0.0</v>
      </c>
      <c r="G473" s="77">
        <f t="shared" si="14"/>
        <v>0</v>
      </c>
      <c r="H473" s="78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</row>
    <row r="474">
      <c r="A474" s="18">
        <v>30.0</v>
      </c>
      <c r="B474" s="74" t="s">
        <v>837</v>
      </c>
      <c r="C474" s="75" t="s">
        <v>1560</v>
      </c>
      <c r="D474" s="76"/>
      <c r="E474" s="76"/>
      <c r="F474" s="76">
        <v>1.0</v>
      </c>
      <c r="G474" s="77">
        <f t="shared" si="14"/>
        <v>0.2</v>
      </c>
      <c r="H474" s="78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</row>
    <row r="475">
      <c r="A475" s="18">
        <v>31.0</v>
      </c>
      <c r="B475" s="74" t="s">
        <v>839</v>
      </c>
      <c r="C475" s="75" t="s">
        <v>1561</v>
      </c>
      <c r="D475" s="76"/>
      <c r="E475" s="76"/>
      <c r="F475" s="76">
        <v>0.0</v>
      </c>
      <c r="G475" s="77">
        <f t="shared" si="14"/>
        <v>0</v>
      </c>
      <c r="H475" s="78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</row>
    <row r="476">
      <c r="A476" s="18">
        <v>32.0</v>
      </c>
      <c r="B476" s="74" t="s">
        <v>841</v>
      </c>
      <c r="C476" s="75" t="s">
        <v>1562</v>
      </c>
      <c r="D476" s="76"/>
      <c r="E476" s="76"/>
      <c r="F476" s="76">
        <v>0.0</v>
      </c>
      <c r="G476" s="77">
        <f t="shared" si="14"/>
        <v>0</v>
      </c>
      <c r="H476" s="78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</row>
    <row r="477">
      <c r="A477" s="18">
        <v>33.0</v>
      </c>
      <c r="B477" s="74" t="s">
        <v>843</v>
      </c>
      <c r="C477" s="75" t="s">
        <v>1563</v>
      </c>
      <c r="D477" s="76"/>
      <c r="E477" s="76"/>
      <c r="F477" s="76">
        <v>0.0</v>
      </c>
      <c r="G477" s="77">
        <f t="shared" si="14"/>
        <v>0</v>
      </c>
      <c r="H477" s="78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</row>
    <row r="478">
      <c r="A478" s="18">
        <v>34.0</v>
      </c>
      <c r="B478" s="74" t="s">
        <v>845</v>
      </c>
      <c r="C478" s="75" t="s">
        <v>1564</v>
      </c>
      <c r="D478" s="79"/>
      <c r="E478" s="79"/>
      <c r="F478" s="79">
        <v>0.0</v>
      </c>
      <c r="G478" s="77">
        <f t="shared" si="14"/>
        <v>0</v>
      </c>
      <c r="H478" s="78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</row>
    <row r="479">
      <c r="A479" s="18">
        <v>35.0</v>
      </c>
      <c r="B479" s="74" t="s">
        <v>847</v>
      </c>
      <c r="C479" s="75" t="s">
        <v>1565</v>
      </c>
      <c r="D479" s="76"/>
      <c r="E479" s="76"/>
      <c r="F479" s="76">
        <v>1.0</v>
      </c>
      <c r="G479" s="77">
        <f t="shared" si="14"/>
        <v>0.2</v>
      </c>
      <c r="H479" s="78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</row>
    <row r="480">
      <c r="A480" s="18">
        <v>36.0</v>
      </c>
      <c r="B480" s="74" t="s">
        <v>849</v>
      </c>
      <c r="C480" s="75" t="s">
        <v>1566</v>
      </c>
      <c r="D480" s="76"/>
      <c r="E480" s="76"/>
      <c r="F480" s="76">
        <v>4.0</v>
      </c>
      <c r="G480" s="77">
        <f t="shared" si="14"/>
        <v>0.8</v>
      </c>
      <c r="H480" s="78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</row>
    <row r="481">
      <c r="A481" s="18">
        <v>37.0</v>
      </c>
      <c r="B481" s="74" t="s">
        <v>851</v>
      </c>
      <c r="C481" s="75" t="s">
        <v>1567</v>
      </c>
      <c r="D481" s="76"/>
      <c r="E481" s="76"/>
      <c r="F481" s="76">
        <v>2.0</v>
      </c>
      <c r="G481" s="77">
        <f t="shared" si="14"/>
        <v>0.4</v>
      </c>
      <c r="H481" s="78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</row>
    <row r="482">
      <c r="A482" s="18">
        <v>38.0</v>
      </c>
      <c r="B482" s="74" t="s">
        <v>853</v>
      </c>
      <c r="C482" s="75" t="s">
        <v>1568</v>
      </c>
      <c r="D482" s="76"/>
      <c r="E482" s="76"/>
      <c r="F482" s="76">
        <v>1.0</v>
      </c>
      <c r="G482" s="77">
        <f t="shared" si="14"/>
        <v>0.2</v>
      </c>
      <c r="H482" s="78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</row>
    <row r="483">
      <c r="A483" s="18">
        <v>39.0</v>
      </c>
      <c r="B483" s="74" t="s">
        <v>855</v>
      </c>
      <c r="C483" s="75" t="s">
        <v>1569</v>
      </c>
      <c r="D483" s="76"/>
      <c r="E483" s="76"/>
      <c r="F483" s="76">
        <v>4.0</v>
      </c>
      <c r="G483" s="77">
        <f t="shared" si="14"/>
        <v>0.8</v>
      </c>
      <c r="H483" s="78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</row>
    <row r="484">
      <c r="A484" s="18">
        <v>40.0</v>
      </c>
      <c r="B484" s="74" t="s">
        <v>857</v>
      </c>
      <c r="C484" s="75" t="s">
        <v>1570</v>
      </c>
      <c r="D484" s="76"/>
      <c r="E484" s="76"/>
      <c r="F484" s="76">
        <v>0.0</v>
      </c>
      <c r="G484" s="77">
        <f t="shared" si="14"/>
        <v>0</v>
      </c>
      <c r="H484" s="78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</row>
    <row r="485">
      <c r="A485" s="18">
        <v>41.0</v>
      </c>
      <c r="B485" s="74" t="s">
        <v>859</v>
      </c>
      <c r="C485" s="75" t="s">
        <v>1571</v>
      </c>
      <c r="D485" s="76"/>
      <c r="E485" s="76"/>
      <c r="F485" s="76">
        <v>0.0</v>
      </c>
      <c r="G485" s="77">
        <f t="shared" si="14"/>
        <v>0</v>
      </c>
      <c r="H485" s="78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</row>
    <row r="486">
      <c r="A486" s="18">
        <v>42.0</v>
      </c>
      <c r="B486" s="74" t="s">
        <v>861</v>
      </c>
      <c r="C486" s="75" t="s">
        <v>1572</v>
      </c>
      <c r="D486" s="76"/>
      <c r="E486" s="76"/>
      <c r="F486" s="76">
        <v>5.0</v>
      </c>
      <c r="G486" s="77">
        <f t="shared" si="14"/>
        <v>1</v>
      </c>
      <c r="H486" s="78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</row>
    <row r="487">
      <c r="A487" s="18">
        <v>43.0</v>
      </c>
      <c r="B487" s="74" t="s">
        <v>863</v>
      </c>
      <c r="C487" s="75" t="s">
        <v>1573</v>
      </c>
      <c r="D487" s="76"/>
      <c r="E487" s="76"/>
      <c r="F487" s="76">
        <v>0.0</v>
      </c>
      <c r="G487" s="77">
        <f t="shared" si="14"/>
        <v>0</v>
      </c>
      <c r="H487" s="78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</row>
    <row r="488">
      <c r="A488" s="18">
        <v>44.0</v>
      </c>
      <c r="B488" s="74" t="s">
        <v>865</v>
      </c>
      <c r="C488" s="75" t="s">
        <v>1574</v>
      </c>
      <c r="D488" s="76"/>
      <c r="E488" s="76"/>
      <c r="F488" s="76">
        <v>5.0</v>
      </c>
      <c r="G488" s="77">
        <f t="shared" si="14"/>
        <v>1</v>
      </c>
      <c r="H488" s="78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</row>
    <row r="489">
      <c r="A489" s="18">
        <v>45.0</v>
      </c>
      <c r="B489" s="74" t="s">
        <v>867</v>
      </c>
      <c r="C489" s="75" t="s">
        <v>1575</v>
      </c>
      <c r="D489" s="76"/>
      <c r="E489" s="76"/>
      <c r="F489" s="76">
        <v>2.0</v>
      </c>
      <c r="G489" s="77">
        <f t="shared" si="14"/>
        <v>0.4</v>
      </c>
      <c r="H489" s="78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</row>
    <row r="490" hidden="1">
      <c r="A490" s="63"/>
      <c r="B490" s="63"/>
      <c r="C490" s="63"/>
      <c r="D490" s="66"/>
      <c r="E490" s="66"/>
      <c r="F490" s="66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</row>
    <row r="491" hidden="1">
      <c r="A491" s="65" t="s">
        <v>3</v>
      </c>
      <c r="B491" s="63"/>
      <c r="C491" s="67" t="s">
        <v>4</v>
      </c>
      <c r="D491" s="66"/>
      <c r="E491" s="66"/>
      <c r="F491" s="66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</row>
    <row r="492" hidden="1">
      <c r="A492" s="65" t="s">
        <v>5</v>
      </c>
      <c r="B492" s="63"/>
      <c r="C492" s="67" t="s">
        <v>870</v>
      </c>
      <c r="D492" s="66"/>
      <c r="E492" s="66"/>
      <c r="F492" s="66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</row>
    <row r="493" hidden="1">
      <c r="A493" s="65" t="s">
        <v>7</v>
      </c>
      <c r="B493" s="63"/>
      <c r="C493" s="67" t="s">
        <v>8</v>
      </c>
      <c r="D493" s="66"/>
      <c r="E493" s="66"/>
      <c r="F493" s="66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</row>
    <row r="494" hidden="1">
      <c r="A494" s="63"/>
      <c r="B494" s="63"/>
      <c r="C494" s="63"/>
      <c r="D494" s="66"/>
      <c r="E494" s="66"/>
      <c r="F494" s="66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</row>
    <row r="495" hidden="1">
      <c r="A495" s="6" t="s">
        <v>9</v>
      </c>
      <c r="B495" s="6" t="s">
        <v>10</v>
      </c>
      <c r="C495" s="88" t="s">
        <v>11</v>
      </c>
      <c r="D495" s="89"/>
      <c r="E495" s="89"/>
      <c r="F495" s="89"/>
      <c r="G495" s="90"/>
      <c r="H495" s="91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</row>
    <row r="496" hidden="1">
      <c r="A496" s="11"/>
      <c r="B496" s="11"/>
      <c r="C496" s="92"/>
      <c r="D496" s="82" t="s">
        <v>1161</v>
      </c>
      <c r="E496" s="72" t="s">
        <v>1162</v>
      </c>
      <c r="F496" s="93" t="s">
        <v>12</v>
      </c>
      <c r="G496" s="94" t="s">
        <v>13</v>
      </c>
      <c r="H496" s="14" t="s">
        <v>14</v>
      </c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</row>
    <row r="497" hidden="1">
      <c r="A497" s="15"/>
      <c r="B497" s="15"/>
      <c r="C497" s="95"/>
      <c r="D497" s="16"/>
      <c r="E497" s="16"/>
      <c r="F497" s="96"/>
      <c r="G497" s="97"/>
      <c r="H497" s="17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</row>
    <row r="498">
      <c r="A498" s="18">
        <v>1.0</v>
      </c>
      <c r="B498" s="74" t="s">
        <v>871</v>
      </c>
      <c r="C498" s="75" t="s">
        <v>1576</v>
      </c>
      <c r="D498" s="98"/>
      <c r="E498" s="98"/>
      <c r="F498" s="98">
        <v>4.0</v>
      </c>
      <c r="G498" s="77">
        <f t="shared" ref="G498:G543" si="15">F498/5</f>
        <v>0.8</v>
      </c>
      <c r="H498" s="78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</row>
    <row r="499">
      <c r="A499" s="18">
        <v>2.0</v>
      </c>
      <c r="B499" s="74" t="s">
        <v>873</v>
      </c>
      <c r="C499" s="75" t="s">
        <v>1577</v>
      </c>
      <c r="D499" s="76"/>
      <c r="E499" s="76"/>
      <c r="F499" s="76">
        <v>1.0</v>
      </c>
      <c r="G499" s="77">
        <f t="shared" si="15"/>
        <v>0.2</v>
      </c>
      <c r="H499" s="78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</row>
    <row r="500">
      <c r="A500" s="18">
        <v>3.0</v>
      </c>
      <c r="B500" s="74" t="s">
        <v>875</v>
      </c>
      <c r="C500" s="75" t="s">
        <v>1578</v>
      </c>
      <c r="D500" s="76"/>
      <c r="E500" s="76"/>
      <c r="F500" s="99">
        <v>5.0</v>
      </c>
      <c r="G500" s="77">
        <f t="shared" si="15"/>
        <v>1</v>
      </c>
      <c r="H500" s="78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</row>
    <row r="501">
      <c r="A501" s="18">
        <v>4.0</v>
      </c>
      <c r="B501" s="74" t="s">
        <v>877</v>
      </c>
      <c r="C501" s="75" t="s">
        <v>1579</v>
      </c>
      <c r="D501" s="76"/>
      <c r="E501" s="76"/>
      <c r="F501" s="76">
        <v>1.0</v>
      </c>
      <c r="G501" s="77">
        <f t="shared" si="15"/>
        <v>0.2</v>
      </c>
      <c r="H501" s="78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</row>
    <row r="502">
      <c r="A502" s="18">
        <v>5.0</v>
      </c>
      <c r="B502" s="74" t="s">
        <v>879</v>
      </c>
      <c r="C502" s="75" t="s">
        <v>1580</v>
      </c>
      <c r="D502" s="76"/>
      <c r="E502" s="76"/>
      <c r="F502" s="76">
        <v>0.0</v>
      </c>
      <c r="G502" s="77">
        <f t="shared" si="15"/>
        <v>0</v>
      </c>
      <c r="H502" s="78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</row>
    <row r="503">
      <c r="A503" s="18">
        <v>6.0</v>
      </c>
      <c r="B503" s="74" t="s">
        <v>881</v>
      </c>
      <c r="C503" s="75" t="s">
        <v>1581</v>
      </c>
      <c r="D503" s="76"/>
      <c r="E503" s="76"/>
      <c r="F503" s="76">
        <v>5.0</v>
      </c>
      <c r="G503" s="77">
        <f t="shared" si="15"/>
        <v>1</v>
      </c>
      <c r="H503" s="78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</row>
    <row r="504">
      <c r="A504" s="18">
        <v>7.0</v>
      </c>
      <c r="B504" s="74" t="s">
        <v>883</v>
      </c>
      <c r="C504" s="75" t="s">
        <v>1582</v>
      </c>
      <c r="D504" s="76"/>
      <c r="E504" s="76"/>
      <c r="F504" s="76">
        <v>4.0</v>
      </c>
      <c r="G504" s="77">
        <f t="shared" si="15"/>
        <v>0.8</v>
      </c>
      <c r="H504" s="78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</row>
    <row r="505">
      <c r="A505" s="18">
        <v>8.0</v>
      </c>
      <c r="B505" s="74" t="s">
        <v>885</v>
      </c>
      <c r="C505" s="75" t="s">
        <v>1583</v>
      </c>
      <c r="D505" s="76"/>
      <c r="E505" s="76"/>
      <c r="F505" s="76">
        <v>0.0</v>
      </c>
      <c r="G505" s="77">
        <f t="shared" si="15"/>
        <v>0</v>
      </c>
      <c r="H505" s="78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</row>
    <row r="506">
      <c r="A506" s="18">
        <v>9.0</v>
      </c>
      <c r="B506" s="74" t="s">
        <v>887</v>
      </c>
      <c r="C506" s="75" t="s">
        <v>1584</v>
      </c>
      <c r="D506" s="76"/>
      <c r="E506" s="76"/>
      <c r="F506" s="76">
        <v>5.0</v>
      </c>
      <c r="G506" s="77">
        <f t="shared" si="15"/>
        <v>1</v>
      </c>
      <c r="H506" s="78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</row>
    <row r="507">
      <c r="A507" s="18">
        <v>10.0</v>
      </c>
      <c r="B507" s="74" t="s">
        <v>889</v>
      </c>
      <c r="C507" s="75" t="s">
        <v>1585</v>
      </c>
      <c r="D507" s="76"/>
      <c r="E507" s="76"/>
      <c r="F507" s="76">
        <v>5.0</v>
      </c>
      <c r="G507" s="77">
        <f t="shared" si="15"/>
        <v>1</v>
      </c>
      <c r="H507" s="78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</row>
    <row r="508">
      <c r="A508" s="18">
        <v>11.0</v>
      </c>
      <c r="B508" s="74" t="s">
        <v>891</v>
      </c>
      <c r="C508" s="75" t="s">
        <v>1586</v>
      </c>
      <c r="D508" s="76"/>
      <c r="E508" s="76"/>
      <c r="F508" s="76">
        <v>4.0</v>
      </c>
      <c r="G508" s="77">
        <f t="shared" si="15"/>
        <v>0.8</v>
      </c>
      <c r="H508" s="78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</row>
    <row r="509">
      <c r="A509" s="18">
        <v>12.0</v>
      </c>
      <c r="B509" s="74" t="s">
        <v>893</v>
      </c>
      <c r="C509" s="75" t="s">
        <v>1587</v>
      </c>
      <c r="D509" s="76"/>
      <c r="E509" s="76"/>
      <c r="F509" s="76">
        <v>5.0</v>
      </c>
      <c r="G509" s="77">
        <f t="shared" si="15"/>
        <v>1</v>
      </c>
      <c r="H509" s="78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</row>
    <row r="510">
      <c r="A510" s="18">
        <v>13.0</v>
      </c>
      <c r="B510" s="74" t="s">
        <v>895</v>
      </c>
      <c r="C510" s="75" t="s">
        <v>1588</v>
      </c>
      <c r="D510" s="76"/>
      <c r="E510" s="76"/>
      <c r="F510" s="76">
        <v>4.0</v>
      </c>
      <c r="G510" s="77">
        <f t="shared" si="15"/>
        <v>0.8</v>
      </c>
      <c r="H510" s="78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</row>
    <row r="511">
      <c r="A511" s="18">
        <v>14.0</v>
      </c>
      <c r="B511" s="74" t="s">
        <v>897</v>
      </c>
      <c r="C511" s="75" t="s">
        <v>1589</v>
      </c>
      <c r="D511" s="76"/>
      <c r="E511" s="76"/>
      <c r="F511" s="76">
        <v>3.0</v>
      </c>
      <c r="G511" s="77">
        <f t="shared" si="15"/>
        <v>0.6</v>
      </c>
      <c r="H511" s="78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</row>
    <row r="512">
      <c r="A512" s="18">
        <v>15.0</v>
      </c>
      <c r="B512" s="74" t="s">
        <v>899</v>
      </c>
      <c r="C512" s="75" t="s">
        <v>1590</v>
      </c>
      <c r="D512" s="76"/>
      <c r="E512" s="76"/>
      <c r="F512" s="76">
        <v>0.0</v>
      </c>
      <c r="G512" s="77">
        <f t="shared" si="15"/>
        <v>0</v>
      </c>
      <c r="H512" s="78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</row>
    <row r="513">
      <c r="A513" s="18">
        <v>16.0</v>
      </c>
      <c r="B513" s="74" t="s">
        <v>901</v>
      </c>
      <c r="C513" s="75" t="s">
        <v>1591</v>
      </c>
      <c r="D513" s="76"/>
      <c r="E513" s="76"/>
      <c r="F513" s="76">
        <v>1.0</v>
      </c>
      <c r="G513" s="77">
        <f t="shared" si="15"/>
        <v>0.2</v>
      </c>
      <c r="H513" s="78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</row>
    <row r="514">
      <c r="A514" s="18">
        <v>17.0</v>
      </c>
      <c r="B514" s="74" t="s">
        <v>903</v>
      </c>
      <c r="C514" s="75" t="s">
        <v>1592</v>
      </c>
      <c r="D514" s="76"/>
      <c r="E514" s="76"/>
      <c r="F514" s="76">
        <v>5.0</v>
      </c>
      <c r="G514" s="77">
        <f t="shared" si="15"/>
        <v>1</v>
      </c>
      <c r="H514" s="78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</row>
    <row r="515">
      <c r="A515" s="18">
        <v>18.0</v>
      </c>
      <c r="B515" s="74" t="s">
        <v>905</v>
      </c>
      <c r="C515" s="75" t="s">
        <v>1593</v>
      </c>
      <c r="D515" s="76"/>
      <c r="E515" s="76"/>
      <c r="F515" s="76">
        <v>3.0</v>
      </c>
      <c r="G515" s="77">
        <f t="shared" si="15"/>
        <v>0.6</v>
      </c>
      <c r="H515" s="78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</row>
    <row r="516">
      <c r="A516" s="18">
        <v>19.0</v>
      </c>
      <c r="B516" s="74" t="s">
        <v>907</v>
      </c>
      <c r="C516" s="75" t="s">
        <v>1594</v>
      </c>
      <c r="D516" s="76"/>
      <c r="E516" s="76"/>
      <c r="F516" s="76">
        <v>3.0</v>
      </c>
      <c r="G516" s="77">
        <f t="shared" si="15"/>
        <v>0.6</v>
      </c>
      <c r="H516" s="78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</row>
    <row r="517">
      <c r="A517" s="18">
        <v>20.0</v>
      </c>
      <c r="B517" s="74" t="s">
        <v>909</v>
      </c>
      <c r="C517" s="75" t="s">
        <v>1595</v>
      </c>
      <c r="D517" s="76"/>
      <c r="E517" s="76"/>
      <c r="F517" s="76">
        <v>0.0</v>
      </c>
      <c r="G517" s="77">
        <f t="shared" si="15"/>
        <v>0</v>
      </c>
      <c r="H517" s="78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</row>
    <row r="518">
      <c r="A518" s="18">
        <v>21.0</v>
      </c>
      <c r="B518" s="74" t="s">
        <v>911</v>
      </c>
      <c r="C518" s="75" t="s">
        <v>1596</v>
      </c>
      <c r="D518" s="76"/>
      <c r="E518" s="76"/>
      <c r="F518" s="76">
        <v>3.0</v>
      </c>
      <c r="G518" s="77">
        <f t="shared" si="15"/>
        <v>0.6</v>
      </c>
      <c r="H518" s="78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</row>
    <row r="519">
      <c r="A519" s="18">
        <v>22.0</v>
      </c>
      <c r="B519" s="74" t="s">
        <v>913</v>
      </c>
      <c r="C519" s="75" t="s">
        <v>1597</v>
      </c>
      <c r="D519" s="76"/>
      <c r="E519" s="76"/>
      <c r="F519" s="76">
        <v>2.0</v>
      </c>
      <c r="G519" s="77">
        <f t="shared" si="15"/>
        <v>0.4</v>
      </c>
      <c r="H519" s="78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</row>
    <row r="520">
      <c r="A520" s="18">
        <v>23.0</v>
      </c>
      <c r="B520" s="74" t="s">
        <v>915</v>
      </c>
      <c r="C520" s="75" t="s">
        <v>1598</v>
      </c>
      <c r="D520" s="76"/>
      <c r="E520" s="76"/>
      <c r="F520" s="76">
        <v>0.0</v>
      </c>
      <c r="G520" s="77">
        <f t="shared" si="15"/>
        <v>0</v>
      </c>
      <c r="H520" s="78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</row>
    <row r="521">
      <c r="A521" s="18">
        <v>24.0</v>
      </c>
      <c r="B521" s="74" t="s">
        <v>917</v>
      </c>
      <c r="C521" s="75" t="s">
        <v>1599</v>
      </c>
      <c r="D521" s="76"/>
      <c r="E521" s="76"/>
      <c r="F521" s="76">
        <v>5.0</v>
      </c>
      <c r="G521" s="77">
        <f t="shared" si="15"/>
        <v>1</v>
      </c>
      <c r="H521" s="78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</row>
    <row r="522">
      <c r="A522" s="18">
        <v>25.0</v>
      </c>
      <c r="B522" s="74" t="s">
        <v>919</v>
      </c>
      <c r="C522" s="75" t="s">
        <v>1600</v>
      </c>
      <c r="D522" s="76"/>
      <c r="E522" s="76"/>
      <c r="F522" s="76">
        <v>4.0</v>
      </c>
      <c r="G522" s="77">
        <f t="shared" si="15"/>
        <v>0.8</v>
      </c>
      <c r="H522" s="78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</row>
    <row r="523">
      <c r="A523" s="18">
        <v>26.0</v>
      </c>
      <c r="B523" s="74" t="s">
        <v>921</v>
      </c>
      <c r="C523" s="75" t="s">
        <v>1601</v>
      </c>
      <c r="D523" s="76"/>
      <c r="E523" s="76"/>
      <c r="F523" s="76">
        <v>5.0</v>
      </c>
      <c r="G523" s="77">
        <f t="shared" si="15"/>
        <v>1</v>
      </c>
      <c r="H523" s="78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</row>
    <row r="524">
      <c r="A524" s="18">
        <v>27.0</v>
      </c>
      <c r="B524" s="74" t="s">
        <v>923</v>
      </c>
      <c r="C524" s="75" t="s">
        <v>1602</v>
      </c>
      <c r="D524" s="76"/>
      <c r="E524" s="76"/>
      <c r="F524" s="76">
        <v>3.0</v>
      </c>
      <c r="G524" s="77">
        <f t="shared" si="15"/>
        <v>0.6</v>
      </c>
      <c r="H524" s="78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</row>
    <row r="525">
      <c r="A525" s="18">
        <v>28.0</v>
      </c>
      <c r="B525" s="74" t="s">
        <v>925</v>
      </c>
      <c r="C525" s="75" t="s">
        <v>1603</v>
      </c>
      <c r="D525" s="76"/>
      <c r="E525" s="76"/>
      <c r="F525" s="76">
        <v>4.0</v>
      </c>
      <c r="G525" s="77">
        <f t="shared" si="15"/>
        <v>0.8</v>
      </c>
      <c r="H525" s="78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</row>
    <row r="526">
      <c r="A526" s="18">
        <v>29.0</v>
      </c>
      <c r="B526" s="74" t="s">
        <v>927</v>
      </c>
      <c r="C526" s="75" t="s">
        <v>1604</v>
      </c>
      <c r="D526" s="76"/>
      <c r="E526" s="76"/>
      <c r="F526" s="99">
        <v>3.0</v>
      </c>
      <c r="G526" s="77">
        <f t="shared" si="15"/>
        <v>0.6</v>
      </c>
      <c r="H526" s="78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</row>
    <row r="527">
      <c r="A527" s="18">
        <v>30.0</v>
      </c>
      <c r="B527" s="74" t="s">
        <v>929</v>
      </c>
      <c r="C527" s="75" t="s">
        <v>1605</v>
      </c>
      <c r="D527" s="76"/>
      <c r="E527" s="76"/>
      <c r="F527" s="99">
        <v>5.0</v>
      </c>
      <c r="G527" s="77">
        <f t="shared" si="15"/>
        <v>1</v>
      </c>
      <c r="H527" s="78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</row>
    <row r="528">
      <c r="A528" s="18">
        <v>31.0</v>
      </c>
      <c r="B528" s="74" t="s">
        <v>931</v>
      </c>
      <c r="C528" s="75" t="s">
        <v>1606</v>
      </c>
      <c r="D528" s="76"/>
      <c r="E528" s="76"/>
      <c r="F528" s="76">
        <v>4.0</v>
      </c>
      <c r="G528" s="77">
        <f t="shared" si="15"/>
        <v>0.8</v>
      </c>
      <c r="H528" s="78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</row>
    <row r="529">
      <c r="A529" s="18">
        <v>32.0</v>
      </c>
      <c r="B529" s="74" t="s">
        <v>933</v>
      </c>
      <c r="C529" s="75" t="s">
        <v>1607</v>
      </c>
      <c r="D529" s="79"/>
      <c r="E529" s="79"/>
      <c r="F529" s="79">
        <v>4.0</v>
      </c>
      <c r="G529" s="77">
        <f t="shared" si="15"/>
        <v>0.8</v>
      </c>
      <c r="H529" s="78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</row>
    <row r="530">
      <c r="A530" s="18">
        <v>33.0</v>
      </c>
      <c r="B530" s="74" t="s">
        <v>935</v>
      </c>
      <c r="C530" s="75" t="s">
        <v>1608</v>
      </c>
      <c r="D530" s="76"/>
      <c r="E530" s="76"/>
      <c r="F530" s="76">
        <v>1.0</v>
      </c>
      <c r="G530" s="77">
        <f t="shared" si="15"/>
        <v>0.2</v>
      </c>
      <c r="H530" s="78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</row>
    <row r="531">
      <c r="A531" s="18">
        <v>34.0</v>
      </c>
      <c r="B531" s="74" t="s">
        <v>937</v>
      </c>
      <c r="C531" s="75" t="s">
        <v>1609</v>
      </c>
      <c r="D531" s="76"/>
      <c r="E531" s="76"/>
      <c r="F531" s="99">
        <v>3.0</v>
      </c>
      <c r="G531" s="77">
        <f t="shared" si="15"/>
        <v>0.6</v>
      </c>
      <c r="H531" s="78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</row>
    <row r="532">
      <c r="A532" s="18">
        <v>35.0</v>
      </c>
      <c r="B532" s="74" t="s">
        <v>939</v>
      </c>
      <c r="C532" s="75" t="s">
        <v>1610</v>
      </c>
      <c r="D532" s="76"/>
      <c r="E532" s="76"/>
      <c r="F532" s="76">
        <v>0.0</v>
      </c>
      <c r="G532" s="77">
        <f t="shared" si="15"/>
        <v>0</v>
      </c>
      <c r="H532" s="78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</row>
    <row r="533">
      <c r="A533" s="18">
        <v>36.0</v>
      </c>
      <c r="B533" s="74" t="s">
        <v>941</v>
      </c>
      <c r="C533" s="75" t="s">
        <v>1611</v>
      </c>
      <c r="D533" s="76"/>
      <c r="E533" s="76"/>
      <c r="F533" s="76">
        <v>0.0</v>
      </c>
      <c r="G533" s="77">
        <f t="shared" si="15"/>
        <v>0</v>
      </c>
      <c r="H533" s="78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</row>
    <row r="534">
      <c r="A534" s="18">
        <v>37.0</v>
      </c>
      <c r="B534" s="74" t="s">
        <v>943</v>
      </c>
      <c r="C534" s="75" t="s">
        <v>1612</v>
      </c>
      <c r="D534" s="76"/>
      <c r="E534" s="76"/>
      <c r="F534" s="76">
        <v>4.0</v>
      </c>
      <c r="G534" s="77">
        <f t="shared" si="15"/>
        <v>0.8</v>
      </c>
      <c r="H534" s="78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</row>
    <row r="535">
      <c r="A535" s="18">
        <v>38.0</v>
      </c>
      <c r="B535" s="74" t="s">
        <v>945</v>
      </c>
      <c r="C535" s="75" t="s">
        <v>1613</v>
      </c>
      <c r="D535" s="76"/>
      <c r="E535" s="76"/>
      <c r="F535" s="99">
        <v>1.0</v>
      </c>
      <c r="G535" s="77">
        <f t="shared" si="15"/>
        <v>0.2</v>
      </c>
      <c r="H535" s="78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</row>
    <row r="536">
      <c r="A536" s="18">
        <v>39.0</v>
      </c>
      <c r="B536" s="74" t="s">
        <v>947</v>
      </c>
      <c r="C536" s="75" t="s">
        <v>1614</v>
      </c>
      <c r="D536" s="76"/>
      <c r="E536" s="76"/>
      <c r="F536" s="76">
        <v>3.0</v>
      </c>
      <c r="G536" s="77">
        <f t="shared" si="15"/>
        <v>0.6</v>
      </c>
      <c r="H536" s="78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</row>
    <row r="537">
      <c r="A537" s="18">
        <v>40.0</v>
      </c>
      <c r="B537" s="74" t="s">
        <v>949</v>
      </c>
      <c r="C537" s="75" t="s">
        <v>1615</v>
      </c>
      <c r="D537" s="76"/>
      <c r="E537" s="76"/>
      <c r="F537" s="99">
        <v>5.0</v>
      </c>
      <c r="G537" s="77">
        <f t="shared" si="15"/>
        <v>1</v>
      </c>
      <c r="H537" s="78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</row>
    <row r="538">
      <c r="A538" s="18">
        <v>41.0</v>
      </c>
      <c r="B538" s="74" t="s">
        <v>951</v>
      </c>
      <c r="C538" s="75" t="s">
        <v>1616</v>
      </c>
      <c r="D538" s="76"/>
      <c r="E538" s="76"/>
      <c r="F538" s="76">
        <v>1.0</v>
      </c>
      <c r="G538" s="77">
        <f t="shared" si="15"/>
        <v>0.2</v>
      </c>
      <c r="H538" s="78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</row>
    <row r="539">
      <c r="A539" s="18">
        <v>42.0</v>
      </c>
      <c r="B539" s="74" t="s">
        <v>953</v>
      </c>
      <c r="C539" s="75" t="s">
        <v>1617</v>
      </c>
      <c r="D539" s="76"/>
      <c r="E539" s="76"/>
      <c r="F539" s="76">
        <v>2.0</v>
      </c>
      <c r="G539" s="77">
        <f t="shared" si="15"/>
        <v>0.4</v>
      </c>
      <c r="H539" s="78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</row>
    <row r="540">
      <c r="A540" s="18">
        <v>43.0</v>
      </c>
      <c r="B540" s="74" t="s">
        <v>955</v>
      </c>
      <c r="C540" s="75" t="s">
        <v>1618</v>
      </c>
      <c r="D540" s="76"/>
      <c r="E540" s="76"/>
      <c r="F540" s="76">
        <v>3.0</v>
      </c>
      <c r="G540" s="77">
        <f t="shared" si="15"/>
        <v>0.6</v>
      </c>
      <c r="H540" s="78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</row>
    <row r="541">
      <c r="A541" s="18">
        <v>44.0</v>
      </c>
      <c r="B541" s="74" t="s">
        <v>957</v>
      </c>
      <c r="C541" s="75" t="s">
        <v>1619</v>
      </c>
      <c r="D541" s="76"/>
      <c r="E541" s="76"/>
      <c r="F541" s="76">
        <v>2.0</v>
      </c>
      <c r="G541" s="77">
        <f t="shared" si="15"/>
        <v>0.4</v>
      </c>
      <c r="H541" s="78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</row>
    <row r="542">
      <c r="A542" s="18">
        <v>45.0</v>
      </c>
      <c r="B542" s="74" t="s">
        <v>959</v>
      </c>
      <c r="C542" s="75" t="s">
        <v>1620</v>
      </c>
      <c r="D542" s="76"/>
      <c r="E542" s="76"/>
      <c r="F542" s="76">
        <v>3.0</v>
      </c>
      <c r="G542" s="77">
        <f t="shared" si="15"/>
        <v>0.6</v>
      </c>
      <c r="H542" s="78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</row>
    <row r="543">
      <c r="A543" s="18">
        <v>46.0</v>
      </c>
      <c r="B543" s="74" t="s">
        <v>961</v>
      </c>
      <c r="C543" s="75" t="s">
        <v>1621</v>
      </c>
      <c r="D543" s="76"/>
      <c r="E543" s="76"/>
      <c r="F543" s="76">
        <v>0.0</v>
      </c>
      <c r="G543" s="77">
        <f t="shared" si="15"/>
        <v>0</v>
      </c>
      <c r="H543" s="78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</row>
    <row r="544" hidden="1">
      <c r="A544" s="63"/>
      <c r="B544" s="63"/>
      <c r="C544" s="63"/>
      <c r="D544" s="66"/>
      <c r="E544" s="66"/>
      <c r="F544" s="66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</row>
    <row r="545" hidden="1">
      <c r="A545" s="65" t="s">
        <v>3</v>
      </c>
      <c r="B545" s="63"/>
      <c r="C545" s="67" t="s">
        <v>4</v>
      </c>
      <c r="D545" s="66"/>
      <c r="E545" s="66"/>
      <c r="F545" s="66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</row>
    <row r="546" hidden="1">
      <c r="A546" s="65" t="s">
        <v>5</v>
      </c>
      <c r="B546" s="63"/>
      <c r="C546" s="67" t="s">
        <v>964</v>
      </c>
      <c r="D546" s="66"/>
      <c r="E546" s="66"/>
      <c r="F546" s="66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</row>
    <row r="547" hidden="1">
      <c r="A547" s="65" t="s">
        <v>7</v>
      </c>
      <c r="B547" s="63"/>
      <c r="C547" s="67" t="s">
        <v>8</v>
      </c>
      <c r="D547" s="66"/>
      <c r="E547" s="66"/>
      <c r="F547" s="66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</row>
    <row r="548" hidden="1">
      <c r="A548" s="63"/>
      <c r="B548" s="63"/>
      <c r="C548" s="63"/>
      <c r="D548" s="66"/>
      <c r="E548" s="66"/>
      <c r="F548" s="66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</row>
    <row r="549" hidden="1">
      <c r="A549" s="6" t="s">
        <v>9</v>
      </c>
      <c r="B549" s="6" t="s">
        <v>10</v>
      </c>
      <c r="C549" s="7" t="s">
        <v>11</v>
      </c>
      <c r="D549" s="68"/>
      <c r="E549" s="68"/>
      <c r="F549" s="68"/>
      <c r="G549" s="69"/>
      <c r="H549" s="70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</row>
    <row r="550" hidden="1">
      <c r="A550" s="11"/>
      <c r="B550" s="11"/>
      <c r="C550" s="11"/>
      <c r="D550" s="82" t="s">
        <v>1161</v>
      </c>
      <c r="E550" s="72" t="s">
        <v>1162</v>
      </c>
      <c r="F550" s="83" t="s">
        <v>12</v>
      </c>
      <c r="G550" s="13" t="s">
        <v>13</v>
      </c>
      <c r="H550" s="14" t="s">
        <v>14</v>
      </c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</row>
    <row r="551" hidden="1">
      <c r="A551" s="15"/>
      <c r="B551" s="15"/>
      <c r="C551" s="15"/>
      <c r="D551" s="16"/>
      <c r="E551" s="16"/>
      <c r="F551" s="16"/>
      <c r="G551" s="16"/>
      <c r="H551" s="17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</row>
    <row r="552">
      <c r="A552" s="18">
        <v>1.0</v>
      </c>
      <c r="B552" s="74" t="s">
        <v>965</v>
      </c>
      <c r="C552" s="75" t="s">
        <v>1622</v>
      </c>
      <c r="D552" s="76"/>
      <c r="E552" s="76"/>
      <c r="F552" s="76">
        <v>1.0</v>
      </c>
      <c r="G552" s="77">
        <f t="shared" ref="G552:G599" si="16">F552/5</f>
        <v>0.2</v>
      </c>
      <c r="H552" s="78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</row>
    <row r="553">
      <c r="A553" s="18">
        <v>2.0</v>
      </c>
      <c r="B553" s="74" t="s">
        <v>967</v>
      </c>
      <c r="C553" s="75" t="s">
        <v>1623</v>
      </c>
      <c r="D553" s="76"/>
      <c r="E553" s="76"/>
      <c r="F553" s="76">
        <v>0.0</v>
      </c>
      <c r="G553" s="77">
        <f t="shared" si="16"/>
        <v>0</v>
      </c>
      <c r="H553" s="78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</row>
    <row r="554">
      <c r="A554" s="18">
        <v>3.0</v>
      </c>
      <c r="B554" s="74" t="s">
        <v>969</v>
      </c>
      <c r="C554" s="75" t="s">
        <v>1624</v>
      </c>
      <c r="D554" s="76"/>
      <c r="E554" s="76"/>
      <c r="F554" s="76">
        <v>4.0</v>
      </c>
      <c r="G554" s="77">
        <f t="shared" si="16"/>
        <v>0.8</v>
      </c>
      <c r="H554" s="78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</row>
    <row r="555">
      <c r="A555" s="18">
        <v>4.0</v>
      </c>
      <c r="B555" s="74" t="s">
        <v>971</v>
      </c>
      <c r="C555" s="75" t="s">
        <v>1625</v>
      </c>
      <c r="D555" s="76"/>
      <c r="E555" s="76"/>
      <c r="F555" s="76">
        <v>1.0</v>
      </c>
      <c r="G555" s="77">
        <f t="shared" si="16"/>
        <v>0.2</v>
      </c>
      <c r="H555" s="78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</row>
    <row r="556">
      <c r="A556" s="18">
        <v>5.0</v>
      </c>
      <c r="B556" s="74" t="s">
        <v>973</v>
      </c>
      <c r="C556" s="75" t="s">
        <v>1626</v>
      </c>
      <c r="D556" s="76"/>
      <c r="E556" s="76"/>
      <c r="F556" s="76">
        <v>2.0</v>
      </c>
      <c r="G556" s="77">
        <f t="shared" si="16"/>
        <v>0.4</v>
      </c>
      <c r="H556" s="78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</row>
    <row r="557">
      <c r="A557" s="18">
        <v>6.0</v>
      </c>
      <c r="B557" s="74" t="s">
        <v>975</v>
      </c>
      <c r="C557" s="75" t="s">
        <v>1627</v>
      </c>
      <c r="D557" s="76"/>
      <c r="E557" s="76"/>
      <c r="F557" s="76">
        <v>1.0</v>
      </c>
      <c r="G557" s="77">
        <f t="shared" si="16"/>
        <v>0.2</v>
      </c>
      <c r="H557" s="78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</row>
    <row r="558">
      <c r="A558" s="18">
        <v>7.0</v>
      </c>
      <c r="B558" s="74" t="s">
        <v>977</v>
      </c>
      <c r="C558" s="75" t="s">
        <v>1628</v>
      </c>
      <c r="D558" s="76"/>
      <c r="E558" s="76"/>
      <c r="F558" s="76">
        <v>3.0</v>
      </c>
      <c r="G558" s="77">
        <f t="shared" si="16"/>
        <v>0.6</v>
      </c>
      <c r="H558" s="78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</row>
    <row r="559">
      <c r="A559" s="18">
        <v>8.0</v>
      </c>
      <c r="B559" s="74" t="s">
        <v>979</v>
      </c>
      <c r="C559" s="75" t="s">
        <v>1629</v>
      </c>
      <c r="D559" s="76"/>
      <c r="E559" s="76"/>
      <c r="F559" s="76">
        <v>4.0</v>
      </c>
      <c r="G559" s="77">
        <f t="shared" si="16"/>
        <v>0.8</v>
      </c>
      <c r="H559" s="78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</row>
    <row r="560">
      <c r="A560" s="18">
        <v>9.0</v>
      </c>
      <c r="B560" s="74" t="s">
        <v>981</v>
      </c>
      <c r="C560" s="75" t="s">
        <v>1630</v>
      </c>
      <c r="D560" s="76"/>
      <c r="E560" s="76"/>
      <c r="F560" s="76">
        <v>4.0</v>
      </c>
      <c r="G560" s="77">
        <f t="shared" si="16"/>
        <v>0.8</v>
      </c>
      <c r="H560" s="78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</row>
    <row r="561">
      <c r="A561" s="18">
        <v>10.0</v>
      </c>
      <c r="B561" s="74" t="s">
        <v>983</v>
      </c>
      <c r="C561" s="75" t="s">
        <v>1631</v>
      </c>
      <c r="D561" s="76"/>
      <c r="E561" s="76"/>
      <c r="F561" s="76">
        <v>1.0</v>
      </c>
      <c r="G561" s="77">
        <f t="shared" si="16"/>
        <v>0.2</v>
      </c>
      <c r="H561" s="78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</row>
    <row r="562">
      <c r="A562" s="18">
        <v>11.0</v>
      </c>
      <c r="B562" s="74" t="s">
        <v>985</v>
      </c>
      <c r="C562" s="75" t="s">
        <v>1632</v>
      </c>
      <c r="D562" s="76"/>
      <c r="E562" s="76"/>
      <c r="F562" s="76">
        <v>1.0</v>
      </c>
      <c r="G562" s="77">
        <f t="shared" si="16"/>
        <v>0.2</v>
      </c>
      <c r="H562" s="78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</row>
    <row r="563">
      <c r="A563" s="18">
        <v>12.0</v>
      </c>
      <c r="B563" s="74" t="s">
        <v>987</v>
      </c>
      <c r="C563" s="75" t="s">
        <v>1633</v>
      </c>
      <c r="D563" s="76"/>
      <c r="E563" s="76"/>
      <c r="F563" s="76">
        <v>2.0</v>
      </c>
      <c r="G563" s="77">
        <f t="shared" si="16"/>
        <v>0.4</v>
      </c>
      <c r="H563" s="78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</row>
    <row r="564">
      <c r="A564" s="18">
        <v>13.0</v>
      </c>
      <c r="B564" s="74" t="s">
        <v>989</v>
      </c>
      <c r="C564" s="75" t="s">
        <v>1634</v>
      </c>
      <c r="D564" s="76"/>
      <c r="E564" s="76"/>
      <c r="F564" s="76">
        <v>2.0</v>
      </c>
      <c r="G564" s="77">
        <f t="shared" si="16"/>
        <v>0.4</v>
      </c>
      <c r="H564" s="78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</row>
    <row r="565">
      <c r="A565" s="18">
        <v>14.0</v>
      </c>
      <c r="B565" s="74" t="s">
        <v>991</v>
      </c>
      <c r="C565" s="75" t="s">
        <v>1635</v>
      </c>
      <c r="D565" s="76"/>
      <c r="E565" s="76"/>
      <c r="F565" s="76">
        <v>2.0</v>
      </c>
      <c r="G565" s="77">
        <f t="shared" si="16"/>
        <v>0.4</v>
      </c>
      <c r="H565" s="78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</row>
    <row r="566">
      <c r="A566" s="18">
        <v>15.0</v>
      </c>
      <c r="B566" s="74" t="s">
        <v>993</v>
      </c>
      <c r="C566" s="75" t="s">
        <v>1636</v>
      </c>
      <c r="D566" s="76"/>
      <c r="E566" s="76"/>
      <c r="F566" s="76">
        <v>0.0</v>
      </c>
      <c r="G566" s="77">
        <f t="shared" si="16"/>
        <v>0</v>
      </c>
      <c r="H566" s="78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</row>
    <row r="567">
      <c r="A567" s="18">
        <v>16.0</v>
      </c>
      <c r="B567" s="74" t="s">
        <v>995</v>
      </c>
      <c r="C567" s="75" t="s">
        <v>1637</v>
      </c>
      <c r="D567" s="76"/>
      <c r="E567" s="76"/>
      <c r="F567" s="76">
        <v>3.0</v>
      </c>
      <c r="G567" s="77">
        <f t="shared" si="16"/>
        <v>0.6</v>
      </c>
      <c r="H567" s="78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</row>
    <row r="568">
      <c r="A568" s="18">
        <v>17.0</v>
      </c>
      <c r="B568" s="74" t="s">
        <v>997</v>
      </c>
      <c r="C568" s="75" t="s">
        <v>1638</v>
      </c>
      <c r="D568" s="76"/>
      <c r="E568" s="76"/>
      <c r="F568" s="76">
        <v>0.0</v>
      </c>
      <c r="G568" s="77">
        <f t="shared" si="16"/>
        <v>0</v>
      </c>
      <c r="H568" s="78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</row>
    <row r="569">
      <c r="A569" s="18">
        <v>18.0</v>
      </c>
      <c r="B569" s="74" t="s">
        <v>999</v>
      </c>
      <c r="C569" s="75" t="s">
        <v>1639</v>
      </c>
      <c r="D569" s="76"/>
      <c r="E569" s="76"/>
      <c r="F569" s="76">
        <v>1.0</v>
      </c>
      <c r="G569" s="77">
        <f t="shared" si="16"/>
        <v>0.2</v>
      </c>
      <c r="H569" s="78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</row>
    <row r="570">
      <c r="A570" s="18">
        <v>19.0</v>
      </c>
      <c r="B570" s="74" t="s">
        <v>1001</v>
      </c>
      <c r="C570" s="75" t="s">
        <v>1640</v>
      </c>
      <c r="D570" s="76"/>
      <c r="E570" s="76"/>
      <c r="F570" s="76">
        <v>0.0</v>
      </c>
      <c r="G570" s="77">
        <f t="shared" si="16"/>
        <v>0</v>
      </c>
      <c r="H570" s="78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</row>
    <row r="571">
      <c r="A571" s="18">
        <v>20.0</v>
      </c>
      <c r="B571" s="74" t="s">
        <v>1003</v>
      </c>
      <c r="C571" s="75" t="s">
        <v>1641</v>
      </c>
      <c r="D571" s="76"/>
      <c r="E571" s="76"/>
      <c r="F571" s="76">
        <v>2.0</v>
      </c>
      <c r="G571" s="77">
        <f t="shared" si="16"/>
        <v>0.4</v>
      </c>
      <c r="H571" s="78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</row>
    <row r="572">
      <c r="A572" s="18">
        <v>21.0</v>
      </c>
      <c r="B572" s="74" t="s">
        <v>1005</v>
      </c>
      <c r="C572" s="75" t="s">
        <v>1642</v>
      </c>
      <c r="D572" s="76"/>
      <c r="E572" s="76"/>
      <c r="F572" s="76">
        <v>2.0</v>
      </c>
      <c r="G572" s="77">
        <f t="shared" si="16"/>
        <v>0.4</v>
      </c>
      <c r="H572" s="78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</row>
    <row r="573">
      <c r="A573" s="18">
        <v>22.0</v>
      </c>
      <c r="B573" s="74" t="s">
        <v>1007</v>
      </c>
      <c r="C573" s="75" t="s">
        <v>1643</v>
      </c>
      <c r="D573" s="76"/>
      <c r="E573" s="76"/>
      <c r="F573" s="76">
        <v>4.0</v>
      </c>
      <c r="G573" s="77">
        <f t="shared" si="16"/>
        <v>0.8</v>
      </c>
      <c r="H573" s="78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</row>
    <row r="574">
      <c r="A574" s="18">
        <v>23.0</v>
      </c>
      <c r="B574" s="74" t="s">
        <v>1009</v>
      </c>
      <c r="C574" s="75" t="s">
        <v>1644</v>
      </c>
      <c r="D574" s="76"/>
      <c r="E574" s="76"/>
      <c r="F574" s="76">
        <v>4.0</v>
      </c>
      <c r="G574" s="77">
        <f t="shared" si="16"/>
        <v>0.8</v>
      </c>
      <c r="H574" s="78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</row>
    <row r="575">
      <c r="A575" s="18">
        <v>24.0</v>
      </c>
      <c r="B575" s="74" t="s">
        <v>1011</v>
      </c>
      <c r="C575" s="75" t="s">
        <v>1645</v>
      </c>
      <c r="D575" s="76"/>
      <c r="E575" s="76"/>
      <c r="F575" s="76">
        <v>0.0</v>
      </c>
      <c r="G575" s="77">
        <f t="shared" si="16"/>
        <v>0</v>
      </c>
      <c r="H575" s="78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</row>
    <row r="576">
      <c r="A576" s="18">
        <v>25.0</v>
      </c>
      <c r="B576" s="74" t="s">
        <v>1013</v>
      </c>
      <c r="C576" s="75" t="s">
        <v>1646</v>
      </c>
      <c r="D576" s="76"/>
      <c r="E576" s="76"/>
      <c r="F576" s="76">
        <v>2.0</v>
      </c>
      <c r="G576" s="77">
        <f t="shared" si="16"/>
        <v>0.4</v>
      </c>
      <c r="H576" s="78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</row>
    <row r="577">
      <c r="A577" s="18">
        <v>26.0</v>
      </c>
      <c r="B577" s="74" t="s">
        <v>1015</v>
      </c>
      <c r="C577" s="75" t="s">
        <v>1647</v>
      </c>
      <c r="D577" s="76"/>
      <c r="E577" s="76"/>
      <c r="F577" s="76">
        <v>1.0</v>
      </c>
      <c r="G577" s="77">
        <f t="shared" si="16"/>
        <v>0.2</v>
      </c>
      <c r="H577" s="78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</row>
    <row r="578">
      <c r="A578" s="18">
        <v>27.0</v>
      </c>
      <c r="B578" s="74" t="s">
        <v>1017</v>
      </c>
      <c r="C578" s="75" t="s">
        <v>1648</v>
      </c>
      <c r="D578" s="76"/>
      <c r="E578" s="76"/>
      <c r="F578" s="76">
        <v>4.0</v>
      </c>
      <c r="G578" s="77">
        <f t="shared" si="16"/>
        <v>0.8</v>
      </c>
      <c r="H578" s="78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</row>
    <row r="579">
      <c r="A579" s="18">
        <v>28.0</v>
      </c>
      <c r="B579" s="74" t="s">
        <v>1019</v>
      </c>
      <c r="C579" s="75" t="s">
        <v>1649</v>
      </c>
      <c r="D579" s="76"/>
      <c r="E579" s="76"/>
      <c r="F579" s="76">
        <v>2.0</v>
      </c>
      <c r="G579" s="77">
        <f t="shared" si="16"/>
        <v>0.4</v>
      </c>
      <c r="H579" s="78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</row>
    <row r="580">
      <c r="A580" s="18">
        <v>29.0</v>
      </c>
      <c r="B580" s="74" t="s">
        <v>1021</v>
      </c>
      <c r="C580" s="75" t="s">
        <v>1650</v>
      </c>
      <c r="D580" s="76"/>
      <c r="E580" s="76"/>
      <c r="F580" s="76">
        <v>2.0</v>
      </c>
      <c r="G580" s="77">
        <f t="shared" si="16"/>
        <v>0.4</v>
      </c>
      <c r="H580" s="78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</row>
    <row r="581">
      <c r="A581" s="18">
        <v>30.0</v>
      </c>
      <c r="B581" s="74" t="s">
        <v>1023</v>
      </c>
      <c r="C581" s="75" t="s">
        <v>1651</v>
      </c>
      <c r="D581" s="76"/>
      <c r="E581" s="76"/>
      <c r="F581" s="76">
        <v>0.0</v>
      </c>
      <c r="G581" s="77">
        <f t="shared" si="16"/>
        <v>0</v>
      </c>
      <c r="H581" s="78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</row>
    <row r="582">
      <c r="A582" s="18">
        <v>31.0</v>
      </c>
      <c r="B582" s="74" t="s">
        <v>1025</v>
      </c>
      <c r="C582" s="75" t="s">
        <v>1652</v>
      </c>
      <c r="D582" s="76"/>
      <c r="E582" s="76"/>
      <c r="F582" s="76">
        <v>4.0</v>
      </c>
      <c r="G582" s="77">
        <f t="shared" si="16"/>
        <v>0.8</v>
      </c>
      <c r="H582" s="78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</row>
    <row r="583">
      <c r="A583" s="18">
        <v>32.0</v>
      </c>
      <c r="B583" s="74" t="s">
        <v>1027</v>
      </c>
      <c r="C583" s="75" t="s">
        <v>1653</v>
      </c>
      <c r="D583" s="76"/>
      <c r="E583" s="76"/>
      <c r="F583" s="76">
        <v>0.0</v>
      </c>
      <c r="G583" s="77">
        <f t="shared" si="16"/>
        <v>0</v>
      </c>
      <c r="H583" s="78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</row>
    <row r="584">
      <c r="A584" s="18">
        <v>33.0</v>
      </c>
      <c r="B584" s="74" t="s">
        <v>1029</v>
      </c>
      <c r="C584" s="75" t="s">
        <v>1654</v>
      </c>
      <c r="D584" s="76"/>
      <c r="E584" s="76"/>
      <c r="F584" s="76">
        <v>1.0</v>
      </c>
      <c r="G584" s="77">
        <f t="shared" si="16"/>
        <v>0.2</v>
      </c>
      <c r="H584" s="78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</row>
    <row r="585">
      <c r="A585" s="18">
        <v>34.0</v>
      </c>
      <c r="B585" s="74" t="s">
        <v>1031</v>
      </c>
      <c r="C585" s="75" t="s">
        <v>1655</v>
      </c>
      <c r="D585" s="79"/>
      <c r="E585" s="79"/>
      <c r="F585" s="79">
        <v>3.0</v>
      </c>
      <c r="G585" s="77">
        <f t="shared" si="16"/>
        <v>0.6</v>
      </c>
      <c r="H585" s="78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</row>
    <row r="586">
      <c r="A586" s="18">
        <v>35.0</v>
      </c>
      <c r="B586" s="74" t="s">
        <v>1033</v>
      </c>
      <c r="C586" s="75" t="s">
        <v>1656</v>
      </c>
      <c r="D586" s="76"/>
      <c r="E586" s="76"/>
      <c r="F586" s="76">
        <v>3.0</v>
      </c>
      <c r="G586" s="77">
        <f t="shared" si="16"/>
        <v>0.6</v>
      </c>
      <c r="H586" s="78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</row>
    <row r="587">
      <c r="A587" s="18">
        <v>36.0</v>
      </c>
      <c r="B587" s="74" t="s">
        <v>1035</v>
      </c>
      <c r="C587" s="75" t="s">
        <v>1657</v>
      </c>
      <c r="D587" s="76"/>
      <c r="E587" s="76"/>
      <c r="F587" s="76">
        <v>3.0</v>
      </c>
      <c r="G587" s="77">
        <f t="shared" si="16"/>
        <v>0.6</v>
      </c>
      <c r="H587" s="78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</row>
    <row r="588">
      <c r="A588" s="18">
        <v>37.0</v>
      </c>
      <c r="B588" s="74" t="s">
        <v>1037</v>
      </c>
      <c r="C588" s="75" t="s">
        <v>1658</v>
      </c>
      <c r="D588" s="76"/>
      <c r="E588" s="76"/>
      <c r="F588" s="76">
        <v>4.0</v>
      </c>
      <c r="G588" s="77">
        <f t="shared" si="16"/>
        <v>0.8</v>
      </c>
      <c r="H588" s="78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</row>
    <row r="589">
      <c r="A589" s="18">
        <v>38.0</v>
      </c>
      <c r="B589" s="74" t="s">
        <v>1039</v>
      </c>
      <c r="C589" s="75" t="s">
        <v>1659</v>
      </c>
      <c r="D589" s="76"/>
      <c r="E589" s="76"/>
      <c r="F589" s="76">
        <v>3.0</v>
      </c>
      <c r="G589" s="77">
        <f t="shared" si="16"/>
        <v>0.6</v>
      </c>
      <c r="H589" s="78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</row>
    <row r="590">
      <c r="A590" s="18">
        <v>39.0</v>
      </c>
      <c r="B590" s="74" t="s">
        <v>1041</v>
      </c>
      <c r="C590" s="75" t="s">
        <v>1660</v>
      </c>
      <c r="D590" s="76"/>
      <c r="E590" s="76"/>
      <c r="F590" s="76">
        <v>4.0</v>
      </c>
      <c r="G590" s="77">
        <f t="shared" si="16"/>
        <v>0.8</v>
      </c>
      <c r="H590" s="78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</row>
    <row r="591">
      <c r="A591" s="18">
        <v>40.0</v>
      </c>
      <c r="B591" s="74" t="s">
        <v>1043</v>
      </c>
      <c r="C591" s="75" t="s">
        <v>1661</v>
      </c>
      <c r="D591" s="76"/>
      <c r="E591" s="76"/>
      <c r="F591" s="76">
        <v>2.0</v>
      </c>
      <c r="G591" s="77">
        <f t="shared" si="16"/>
        <v>0.4</v>
      </c>
      <c r="H591" s="78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</row>
    <row r="592">
      <c r="A592" s="18">
        <v>41.0</v>
      </c>
      <c r="B592" s="74" t="s">
        <v>1045</v>
      </c>
      <c r="C592" s="75" t="s">
        <v>1662</v>
      </c>
      <c r="D592" s="76"/>
      <c r="E592" s="76"/>
      <c r="F592" s="76">
        <v>3.0</v>
      </c>
      <c r="G592" s="77">
        <f t="shared" si="16"/>
        <v>0.6</v>
      </c>
      <c r="H592" s="78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</row>
    <row r="593">
      <c r="A593" s="18">
        <v>42.0</v>
      </c>
      <c r="B593" s="74" t="s">
        <v>1047</v>
      </c>
      <c r="C593" s="75" t="s">
        <v>1663</v>
      </c>
      <c r="D593" s="76"/>
      <c r="E593" s="76"/>
      <c r="F593" s="76">
        <v>0.0</v>
      </c>
      <c r="G593" s="77">
        <f t="shared" si="16"/>
        <v>0</v>
      </c>
      <c r="H593" s="78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</row>
    <row r="594">
      <c r="A594" s="18">
        <v>43.0</v>
      </c>
      <c r="B594" s="74" t="s">
        <v>1049</v>
      </c>
      <c r="C594" s="75" t="s">
        <v>1664</v>
      </c>
      <c r="D594" s="76"/>
      <c r="E594" s="76"/>
      <c r="F594" s="76">
        <v>2.0</v>
      </c>
      <c r="G594" s="77">
        <f t="shared" si="16"/>
        <v>0.4</v>
      </c>
      <c r="H594" s="78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</row>
    <row r="595">
      <c r="A595" s="18">
        <v>44.0</v>
      </c>
      <c r="B595" s="74" t="s">
        <v>1051</v>
      </c>
      <c r="C595" s="75" t="s">
        <v>1665</v>
      </c>
      <c r="D595" s="76"/>
      <c r="E595" s="76"/>
      <c r="F595" s="76">
        <v>3.0</v>
      </c>
      <c r="G595" s="77">
        <f t="shared" si="16"/>
        <v>0.6</v>
      </c>
      <c r="H595" s="78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</row>
    <row r="596">
      <c r="A596" s="18">
        <v>45.0</v>
      </c>
      <c r="B596" s="74" t="s">
        <v>1053</v>
      </c>
      <c r="C596" s="75" t="s">
        <v>1666</v>
      </c>
      <c r="D596" s="76"/>
      <c r="E596" s="76"/>
      <c r="F596" s="76">
        <v>0.0</v>
      </c>
      <c r="G596" s="77">
        <f t="shared" si="16"/>
        <v>0</v>
      </c>
      <c r="H596" s="78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</row>
    <row r="597">
      <c r="A597" s="18">
        <v>46.0</v>
      </c>
      <c r="B597" s="74" t="s">
        <v>1055</v>
      </c>
      <c r="C597" s="75" t="s">
        <v>1667</v>
      </c>
      <c r="D597" s="76"/>
      <c r="E597" s="76"/>
      <c r="F597" s="76">
        <v>0.0</v>
      </c>
      <c r="G597" s="77">
        <f t="shared" si="16"/>
        <v>0</v>
      </c>
      <c r="H597" s="78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</row>
    <row r="598">
      <c r="A598" s="18">
        <v>47.0</v>
      </c>
      <c r="B598" s="74" t="s">
        <v>1057</v>
      </c>
      <c r="C598" s="75" t="s">
        <v>1668</v>
      </c>
      <c r="D598" s="76"/>
      <c r="E598" s="76"/>
      <c r="F598" s="76">
        <v>4.0</v>
      </c>
      <c r="G598" s="77">
        <f t="shared" si="16"/>
        <v>0.8</v>
      </c>
      <c r="H598" s="78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</row>
    <row r="599">
      <c r="A599" s="18">
        <v>48.0</v>
      </c>
      <c r="B599" s="74" t="s">
        <v>1059</v>
      </c>
      <c r="C599" s="75" t="s">
        <v>1669</v>
      </c>
      <c r="D599" s="76"/>
      <c r="E599" s="76"/>
      <c r="F599" s="76">
        <v>4.0</v>
      </c>
      <c r="G599" s="77">
        <f t="shared" si="16"/>
        <v>0.8</v>
      </c>
      <c r="H599" s="78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</row>
    <row r="600" hidden="1">
      <c r="A600" s="63"/>
      <c r="B600" s="63"/>
      <c r="C600" s="63"/>
      <c r="D600" s="66"/>
      <c r="E600" s="66"/>
      <c r="F600" s="66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</row>
    <row r="601" hidden="1">
      <c r="A601" s="65" t="s">
        <v>3</v>
      </c>
      <c r="B601" s="63"/>
      <c r="C601" s="67" t="s">
        <v>4</v>
      </c>
      <c r="D601" s="66"/>
      <c r="E601" s="66"/>
      <c r="F601" s="66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</row>
    <row r="602" hidden="1">
      <c r="A602" s="65" t="s">
        <v>5</v>
      </c>
      <c r="B602" s="63"/>
      <c r="C602" s="67" t="s">
        <v>1062</v>
      </c>
      <c r="D602" s="66"/>
      <c r="E602" s="66"/>
      <c r="F602" s="66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</row>
    <row r="603" hidden="1">
      <c r="A603" s="65" t="s">
        <v>7</v>
      </c>
      <c r="B603" s="63"/>
      <c r="C603" s="67" t="s">
        <v>8</v>
      </c>
      <c r="D603" s="66"/>
      <c r="E603" s="66"/>
      <c r="F603" s="66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</row>
    <row r="604" hidden="1">
      <c r="A604" s="63"/>
      <c r="B604" s="63"/>
      <c r="C604" s="63"/>
      <c r="D604" s="66"/>
      <c r="E604" s="66"/>
      <c r="F604" s="66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</row>
    <row r="605" hidden="1">
      <c r="A605" s="6" t="s">
        <v>9</v>
      </c>
      <c r="B605" s="6" t="s">
        <v>10</v>
      </c>
      <c r="C605" s="7" t="s">
        <v>11</v>
      </c>
      <c r="D605" s="68"/>
      <c r="E605" s="68"/>
      <c r="F605" s="68"/>
      <c r="G605" s="69"/>
      <c r="H605" s="70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</row>
    <row r="606" hidden="1">
      <c r="A606" s="11"/>
      <c r="B606" s="11"/>
      <c r="C606" s="11"/>
      <c r="D606" s="82" t="s">
        <v>1161</v>
      </c>
      <c r="E606" s="72" t="s">
        <v>1162</v>
      </c>
      <c r="F606" s="83" t="s">
        <v>12</v>
      </c>
      <c r="G606" s="13" t="s">
        <v>13</v>
      </c>
      <c r="H606" s="14" t="s">
        <v>14</v>
      </c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</row>
    <row r="607" hidden="1">
      <c r="A607" s="15"/>
      <c r="B607" s="15"/>
      <c r="C607" s="15"/>
      <c r="D607" s="16"/>
      <c r="E607" s="16"/>
      <c r="F607" s="16"/>
      <c r="G607" s="16"/>
      <c r="H607" s="17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</row>
    <row r="608">
      <c r="A608" s="18">
        <v>1.0</v>
      </c>
      <c r="B608" s="74" t="s">
        <v>1064</v>
      </c>
      <c r="C608" s="75" t="s">
        <v>1670</v>
      </c>
      <c r="D608" s="76"/>
      <c r="E608" s="76"/>
      <c r="F608" s="76">
        <v>1.0</v>
      </c>
      <c r="G608" s="77">
        <f t="shared" ref="G608:G655" si="17">F608/5</f>
        <v>0.2</v>
      </c>
      <c r="H608" s="78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</row>
    <row r="609">
      <c r="A609" s="18">
        <v>2.0</v>
      </c>
      <c r="B609" s="74" t="s">
        <v>1066</v>
      </c>
      <c r="C609" s="75" t="s">
        <v>1671</v>
      </c>
      <c r="D609" s="76"/>
      <c r="E609" s="76"/>
      <c r="F609" s="76">
        <v>0.0</v>
      </c>
      <c r="G609" s="77">
        <f t="shared" si="17"/>
        <v>0</v>
      </c>
      <c r="H609" s="78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</row>
    <row r="610">
      <c r="A610" s="18">
        <v>3.0</v>
      </c>
      <c r="B610" s="74" t="s">
        <v>1068</v>
      </c>
      <c r="C610" s="75" t="s">
        <v>1672</v>
      </c>
      <c r="D610" s="76"/>
      <c r="E610" s="76"/>
      <c r="F610" s="76">
        <v>0.0</v>
      </c>
      <c r="G610" s="77">
        <f t="shared" si="17"/>
        <v>0</v>
      </c>
      <c r="H610" s="78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</row>
    <row r="611">
      <c r="A611" s="18">
        <v>4.0</v>
      </c>
      <c r="B611" s="74" t="s">
        <v>1070</v>
      </c>
      <c r="C611" s="75" t="s">
        <v>1673</v>
      </c>
      <c r="D611" s="76"/>
      <c r="E611" s="76"/>
      <c r="F611" s="76">
        <v>1.0</v>
      </c>
      <c r="G611" s="77">
        <f t="shared" si="17"/>
        <v>0.2</v>
      </c>
      <c r="H611" s="78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</row>
    <row r="612">
      <c r="A612" s="18">
        <v>5.0</v>
      </c>
      <c r="B612" s="74" t="s">
        <v>1072</v>
      </c>
      <c r="C612" s="75" t="s">
        <v>1674</v>
      </c>
      <c r="D612" s="76"/>
      <c r="E612" s="76"/>
      <c r="F612" s="76">
        <v>0.0</v>
      </c>
      <c r="G612" s="77">
        <f t="shared" si="17"/>
        <v>0</v>
      </c>
      <c r="H612" s="78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</row>
    <row r="613">
      <c r="A613" s="18">
        <v>6.0</v>
      </c>
      <c r="B613" s="74" t="s">
        <v>1074</v>
      </c>
      <c r="C613" s="75" t="s">
        <v>1675</v>
      </c>
      <c r="D613" s="76"/>
      <c r="E613" s="76"/>
      <c r="F613" s="76">
        <v>1.0</v>
      </c>
      <c r="G613" s="77">
        <f t="shared" si="17"/>
        <v>0.2</v>
      </c>
      <c r="H613" s="78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</row>
    <row r="614">
      <c r="A614" s="18">
        <v>7.0</v>
      </c>
      <c r="B614" s="74" t="s">
        <v>1076</v>
      </c>
      <c r="C614" s="75" t="s">
        <v>1676</v>
      </c>
      <c r="D614" s="76"/>
      <c r="E614" s="76"/>
      <c r="F614" s="76">
        <v>1.0</v>
      </c>
      <c r="G614" s="77">
        <f t="shared" si="17"/>
        <v>0.2</v>
      </c>
      <c r="H614" s="78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</row>
    <row r="615">
      <c r="A615" s="18">
        <v>8.0</v>
      </c>
      <c r="B615" s="74" t="s">
        <v>1078</v>
      </c>
      <c r="C615" s="75" t="s">
        <v>1677</v>
      </c>
      <c r="D615" s="76"/>
      <c r="E615" s="76"/>
      <c r="F615" s="76">
        <v>1.0</v>
      </c>
      <c r="G615" s="77">
        <f t="shared" si="17"/>
        <v>0.2</v>
      </c>
      <c r="H615" s="78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</row>
    <row r="616">
      <c r="A616" s="18">
        <v>9.0</v>
      </c>
      <c r="B616" s="74" t="s">
        <v>1080</v>
      </c>
      <c r="C616" s="75" t="s">
        <v>1678</v>
      </c>
      <c r="D616" s="76"/>
      <c r="E616" s="76"/>
      <c r="F616" s="76">
        <v>0.0</v>
      </c>
      <c r="G616" s="77">
        <f t="shared" si="17"/>
        <v>0</v>
      </c>
      <c r="H616" s="78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</row>
    <row r="617">
      <c r="A617" s="18">
        <v>10.0</v>
      </c>
      <c r="B617" s="74" t="s">
        <v>1082</v>
      </c>
      <c r="C617" s="75" t="s">
        <v>1679</v>
      </c>
      <c r="D617" s="76"/>
      <c r="E617" s="76"/>
      <c r="F617" s="76">
        <v>1.0</v>
      </c>
      <c r="G617" s="77">
        <f t="shared" si="17"/>
        <v>0.2</v>
      </c>
      <c r="H617" s="78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</row>
    <row r="618">
      <c r="A618" s="18">
        <v>11.0</v>
      </c>
      <c r="B618" s="74" t="s">
        <v>1084</v>
      </c>
      <c r="C618" s="75" t="s">
        <v>1680</v>
      </c>
      <c r="D618" s="76"/>
      <c r="E618" s="76"/>
      <c r="F618" s="76">
        <v>1.0</v>
      </c>
      <c r="G618" s="77">
        <f t="shared" si="17"/>
        <v>0.2</v>
      </c>
      <c r="H618" s="78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</row>
    <row r="619">
      <c r="A619" s="18">
        <v>12.0</v>
      </c>
      <c r="B619" s="74" t="s">
        <v>1086</v>
      </c>
      <c r="C619" s="75" t="s">
        <v>1681</v>
      </c>
      <c r="D619" s="76"/>
      <c r="E619" s="76"/>
      <c r="F619" s="76">
        <v>3.0</v>
      </c>
      <c r="G619" s="77">
        <f t="shared" si="17"/>
        <v>0.6</v>
      </c>
      <c r="H619" s="78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</row>
    <row r="620">
      <c r="A620" s="18">
        <v>13.0</v>
      </c>
      <c r="B620" s="74" t="s">
        <v>1088</v>
      </c>
      <c r="C620" s="75" t="s">
        <v>1682</v>
      </c>
      <c r="D620" s="76"/>
      <c r="E620" s="76"/>
      <c r="F620" s="76">
        <v>2.0</v>
      </c>
      <c r="G620" s="77">
        <f t="shared" si="17"/>
        <v>0.4</v>
      </c>
      <c r="H620" s="78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</row>
    <row r="621">
      <c r="A621" s="18">
        <v>14.0</v>
      </c>
      <c r="B621" s="74" t="s">
        <v>1090</v>
      </c>
      <c r="C621" s="75" t="s">
        <v>1683</v>
      </c>
      <c r="D621" s="76"/>
      <c r="E621" s="76"/>
      <c r="F621" s="76">
        <v>1.0</v>
      </c>
      <c r="G621" s="77">
        <f t="shared" si="17"/>
        <v>0.2</v>
      </c>
      <c r="H621" s="78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</row>
    <row r="622">
      <c r="A622" s="18">
        <v>15.0</v>
      </c>
      <c r="B622" s="74" t="s">
        <v>1092</v>
      </c>
      <c r="C622" s="75" t="s">
        <v>1684</v>
      </c>
      <c r="D622" s="76"/>
      <c r="E622" s="76"/>
      <c r="F622" s="76">
        <v>1.0</v>
      </c>
      <c r="G622" s="77">
        <f t="shared" si="17"/>
        <v>0.2</v>
      </c>
      <c r="H622" s="78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</row>
    <row r="623">
      <c r="A623" s="18">
        <v>16.0</v>
      </c>
      <c r="B623" s="74" t="s">
        <v>1094</v>
      </c>
      <c r="C623" s="75" t="s">
        <v>1685</v>
      </c>
      <c r="D623" s="76"/>
      <c r="E623" s="76"/>
      <c r="F623" s="76">
        <v>0.0</v>
      </c>
      <c r="G623" s="77">
        <f t="shared" si="17"/>
        <v>0</v>
      </c>
      <c r="H623" s="78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</row>
    <row r="624">
      <c r="A624" s="18">
        <v>17.0</v>
      </c>
      <c r="B624" s="74" t="s">
        <v>1096</v>
      </c>
      <c r="C624" s="75" t="s">
        <v>1686</v>
      </c>
      <c r="D624" s="76"/>
      <c r="E624" s="76"/>
      <c r="F624" s="76">
        <v>1.0</v>
      </c>
      <c r="G624" s="77">
        <f t="shared" si="17"/>
        <v>0.2</v>
      </c>
      <c r="H624" s="78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</row>
    <row r="625">
      <c r="A625" s="18">
        <v>18.0</v>
      </c>
      <c r="B625" s="74" t="s">
        <v>1098</v>
      </c>
      <c r="C625" s="75" t="s">
        <v>1687</v>
      </c>
      <c r="D625" s="76"/>
      <c r="E625" s="76"/>
      <c r="F625" s="76">
        <v>0.0</v>
      </c>
      <c r="G625" s="77">
        <f t="shared" si="17"/>
        <v>0</v>
      </c>
      <c r="H625" s="78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</row>
    <row r="626">
      <c r="A626" s="18">
        <v>19.0</v>
      </c>
      <c r="B626" s="74" t="s">
        <v>1100</v>
      </c>
      <c r="C626" s="75" t="s">
        <v>1688</v>
      </c>
      <c r="D626" s="76"/>
      <c r="E626" s="76"/>
      <c r="F626" s="76">
        <v>1.0</v>
      </c>
      <c r="G626" s="77">
        <f t="shared" si="17"/>
        <v>0.2</v>
      </c>
      <c r="H626" s="78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</row>
    <row r="627">
      <c r="A627" s="18">
        <v>20.0</v>
      </c>
      <c r="B627" s="74" t="s">
        <v>1102</v>
      </c>
      <c r="C627" s="75" t="s">
        <v>1689</v>
      </c>
      <c r="D627" s="76"/>
      <c r="E627" s="76"/>
      <c r="F627" s="76">
        <v>1.0</v>
      </c>
      <c r="G627" s="77">
        <f t="shared" si="17"/>
        <v>0.2</v>
      </c>
      <c r="H627" s="78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</row>
    <row r="628">
      <c r="A628" s="18">
        <v>21.0</v>
      </c>
      <c r="B628" s="74" t="s">
        <v>1104</v>
      </c>
      <c r="C628" s="75" t="s">
        <v>1690</v>
      </c>
      <c r="D628" s="76"/>
      <c r="E628" s="76"/>
      <c r="F628" s="76">
        <v>1.0</v>
      </c>
      <c r="G628" s="77">
        <f t="shared" si="17"/>
        <v>0.2</v>
      </c>
      <c r="H628" s="78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</row>
    <row r="629">
      <c r="A629" s="18">
        <v>22.0</v>
      </c>
      <c r="B629" s="74" t="s">
        <v>1106</v>
      </c>
      <c r="C629" s="75" t="s">
        <v>1691</v>
      </c>
      <c r="D629" s="76"/>
      <c r="E629" s="76"/>
      <c r="F629" s="76">
        <v>1.0</v>
      </c>
      <c r="G629" s="77">
        <f t="shared" si="17"/>
        <v>0.2</v>
      </c>
      <c r="H629" s="78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</row>
    <row r="630">
      <c r="A630" s="18">
        <v>23.0</v>
      </c>
      <c r="B630" s="74" t="s">
        <v>1108</v>
      </c>
      <c r="C630" s="75" t="s">
        <v>1692</v>
      </c>
      <c r="D630" s="76"/>
      <c r="E630" s="76"/>
      <c r="F630" s="76">
        <v>0.0</v>
      </c>
      <c r="G630" s="77">
        <f t="shared" si="17"/>
        <v>0</v>
      </c>
      <c r="H630" s="78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</row>
    <row r="631">
      <c r="A631" s="18">
        <v>24.0</v>
      </c>
      <c r="B631" s="74" t="s">
        <v>1110</v>
      </c>
      <c r="C631" s="75" t="s">
        <v>1693</v>
      </c>
      <c r="D631" s="76"/>
      <c r="E631" s="76"/>
      <c r="F631" s="76">
        <v>3.0</v>
      </c>
      <c r="G631" s="77">
        <f t="shared" si="17"/>
        <v>0.6</v>
      </c>
      <c r="H631" s="78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</row>
    <row r="632">
      <c r="A632" s="18">
        <v>25.0</v>
      </c>
      <c r="B632" s="74" t="s">
        <v>1112</v>
      </c>
      <c r="C632" s="75" t="s">
        <v>1694</v>
      </c>
      <c r="D632" s="76"/>
      <c r="E632" s="76"/>
      <c r="F632" s="76">
        <v>0.0</v>
      </c>
      <c r="G632" s="77">
        <f t="shared" si="17"/>
        <v>0</v>
      </c>
      <c r="H632" s="78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</row>
    <row r="633">
      <c r="A633" s="18">
        <v>26.0</v>
      </c>
      <c r="B633" s="74" t="s">
        <v>1114</v>
      </c>
      <c r="C633" s="75" t="s">
        <v>1695</v>
      </c>
      <c r="D633" s="76"/>
      <c r="E633" s="76"/>
      <c r="F633" s="76">
        <v>1.0</v>
      </c>
      <c r="G633" s="77">
        <f t="shared" si="17"/>
        <v>0.2</v>
      </c>
      <c r="H633" s="78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</row>
    <row r="634">
      <c r="A634" s="18">
        <v>27.0</v>
      </c>
      <c r="B634" s="74" t="s">
        <v>1116</v>
      </c>
      <c r="C634" s="75" t="s">
        <v>1696</v>
      </c>
      <c r="D634" s="76"/>
      <c r="E634" s="76"/>
      <c r="F634" s="76">
        <v>2.0</v>
      </c>
      <c r="G634" s="77">
        <f t="shared" si="17"/>
        <v>0.4</v>
      </c>
      <c r="H634" s="78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</row>
    <row r="635">
      <c r="A635" s="18">
        <v>28.0</v>
      </c>
      <c r="B635" s="74" t="s">
        <v>1118</v>
      </c>
      <c r="C635" s="75" t="s">
        <v>1697</v>
      </c>
      <c r="D635" s="76"/>
      <c r="E635" s="76"/>
      <c r="F635" s="76">
        <v>2.0</v>
      </c>
      <c r="G635" s="77">
        <f t="shared" si="17"/>
        <v>0.4</v>
      </c>
      <c r="H635" s="78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</row>
    <row r="636">
      <c r="A636" s="18">
        <v>29.0</v>
      </c>
      <c r="B636" s="74" t="s">
        <v>1120</v>
      </c>
      <c r="C636" s="75" t="s">
        <v>1698</v>
      </c>
      <c r="D636" s="76"/>
      <c r="E636" s="76"/>
      <c r="F636" s="76">
        <v>0.0</v>
      </c>
      <c r="G636" s="77">
        <f t="shared" si="17"/>
        <v>0</v>
      </c>
      <c r="H636" s="78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</row>
    <row r="637">
      <c r="A637" s="18">
        <v>30.0</v>
      </c>
      <c r="B637" s="74" t="s">
        <v>1122</v>
      </c>
      <c r="C637" s="75" t="s">
        <v>1699</v>
      </c>
      <c r="D637" s="76"/>
      <c r="E637" s="76"/>
      <c r="F637" s="76">
        <v>0.0</v>
      </c>
      <c r="G637" s="77">
        <f t="shared" si="17"/>
        <v>0</v>
      </c>
      <c r="H637" s="78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</row>
    <row r="638">
      <c r="A638" s="18">
        <v>31.0</v>
      </c>
      <c r="B638" s="74" t="s">
        <v>1124</v>
      </c>
      <c r="C638" s="75" t="s">
        <v>1700</v>
      </c>
      <c r="D638" s="76"/>
      <c r="E638" s="76"/>
      <c r="F638" s="76">
        <v>1.0</v>
      </c>
      <c r="G638" s="77">
        <f t="shared" si="17"/>
        <v>0.2</v>
      </c>
      <c r="H638" s="78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</row>
    <row r="639">
      <c r="A639" s="18">
        <v>32.0</v>
      </c>
      <c r="B639" s="74" t="s">
        <v>1126</v>
      </c>
      <c r="C639" s="75" t="s">
        <v>1701</v>
      </c>
      <c r="D639" s="76"/>
      <c r="E639" s="76"/>
      <c r="F639" s="76">
        <v>3.0</v>
      </c>
      <c r="G639" s="77">
        <f t="shared" si="17"/>
        <v>0.6</v>
      </c>
      <c r="H639" s="78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</row>
    <row r="640">
      <c r="A640" s="18">
        <v>33.0</v>
      </c>
      <c r="B640" s="74" t="s">
        <v>1128</v>
      </c>
      <c r="C640" s="75" t="s">
        <v>1702</v>
      </c>
      <c r="D640" s="76"/>
      <c r="E640" s="76"/>
      <c r="F640" s="76">
        <v>2.0</v>
      </c>
      <c r="G640" s="77">
        <f t="shared" si="17"/>
        <v>0.4</v>
      </c>
      <c r="H640" s="78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</row>
    <row r="641">
      <c r="A641" s="18">
        <v>34.0</v>
      </c>
      <c r="B641" s="74" t="s">
        <v>1130</v>
      </c>
      <c r="C641" s="75" t="s">
        <v>1703</v>
      </c>
      <c r="D641" s="79"/>
      <c r="E641" s="79"/>
      <c r="F641" s="79">
        <v>1.0</v>
      </c>
      <c r="G641" s="77">
        <f t="shared" si="17"/>
        <v>0.2</v>
      </c>
      <c r="H641" s="78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</row>
    <row r="642">
      <c r="A642" s="18">
        <v>35.0</v>
      </c>
      <c r="B642" s="74" t="s">
        <v>1132</v>
      </c>
      <c r="C642" s="75" t="s">
        <v>1704</v>
      </c>
      <c r="D642" s="76"/>
      <c r="E642" s="76"/>
      <c r="F642" s="76">
        <v>1.0</v>
      </c>
      <c r="G642" s="77">
        <f t="shared" si="17"/>
        <v>0.2</v>
      </c>
      <c r="H642" s="78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</row>
    <row r="643">
      <c r="A643" s="18">
        <v>36.0</v>
      </c>
      <c r="B643" s="74" t="s">
        <v>1134</v>
      </c>
      <c r="C643" s="75" t="s">
        <v>1705</v>
      </c>
      <c r="D643" s="76"/>
      <c r="E643" s="76"/>
      <c r="F643" s="76">
        <v>1.0</v>
      </c>
      <c r="G643" s="77">
        <f t="shared" si="17"/>
        <v>0.2</v>
      </c>
      <c r="H643" s="78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</row>
    <row r="644">
      <c r="A644" s="18">
        <v>37.0</v>
      </c>
      <c r="B644" s="74" t="s">
        <v>1136</v>
      </c>
      <c r="C644" s="75" t="s">
        <v>1706</v>
      </c>
      <c r="D644" s="76"/>
      <c r="E644" s="76"/>
      <c r="F644" s="76">
        <v>0.0</v>
      </c>
      <c r="G644" s="77">
        <f t="shared" si="17"/>
        <v>0</v>
      </c>
      <c r="H644" s="78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</row>
    <row r="645">
      <c r="A645" s="18">
        <v>38.0</v>
      </c>
      <c r="B645" s="74" t="s">
        <v>1138</v>
      </c>
      <c r="C645" s="75" t="s">
        <v>1707</v>
      </c>
      <c r="D645" s="76"/>
      <c r="E645" s="76"/>
      <c r="F645" s="76">
        <v>0.0</v>
      </c>
      <c r="G645" s="77">
        <f t="shared" si="17"/>
        <v>0</v>
      </c>
      <c r="H645" s="78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</row>
    <row r="646">
      <c r="A646" s="18">
        <v>39.0</v>
      </c>
      <c r="B646" s="74" t="s">
        <v>1140</v>
      </c>
      <c r="C646" s="75" t="s">
        <v>1708</v>
      </c>
      <c r="D646" s="76"/>
      <c r="E646" s="76"/>
      <c r="F646" s="76">
        <v>2.0</v>
      </c>
      <c r="G646" s="77">
        <f t="shared" si="17"/>
        <v>0.4</v>
      </c>
      <c r="H646" s="78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</row>
    <row r="647">
      <c r="A647" s="18">
        <v>40.0</v>
      </c>
      <c r="B647" s="74" t="s">
        <v>1142</v>
      </c>
      <c r="C647" s="75" t="s">
        <v>1709</v>
      </c>
      <c r="D647" s="76"/>
      <c r="E647" s="76"/>
      <c r="F647" s="76">
        <v>2.0</v>
      </c>
      <c r="G647" s="77">
        <f t="shared" si="17"/>
        <v>0.4</v>
      </c>
      <c r="H647" s="78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</row>
    <row r="648">
      <c r="A648" s="18">
        <v>41.0</v>
      </c>
      <c r="B648" s="74" t="s">
        <v>1144</v>
      </c>
      <c r="C648" s="75" t="s">
        <v>1710</v>
      </c>
      <c r="D648" s="76"/>
      <c r="E648" s="76"/>
      <c r="F648" s="76">
        <v>2.0</v>
      </c>
      <c r="G648" s="77">
        <f t="shared" si="17"/>
        <v>0.4</v>
      </c>
      <c r="H648" s="78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</row>
    <row r="649">
      <c r="A649" s="18">
        <v>42.0</v>
      </c>
      <c r="B649" s="74" t="s">
        <v>1146</v>
      </c>
      <c r="C649" s="75" t="s">
        <v>1711</v>
      </c>
      <c r="D649" s="76"/>
      <c r="E649" s="76"/>
      <c r="F649" s="76">
        <v>2.0</v>
      </c>
      <c r="G649" s="77">
        <f t="shared" si="17"/>
        <v>0.4</v>
      </c>
      <c r="H649" s="78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</row>
    <row r="650">
      <c r="A650" s="18">
        <v>43.0</v>
      </c>
      <c r="B650" s="74" t="s">
        <v>1148</v>
      </c>
      <c r="C650" s="75" t="s">
        <v>1712</v>
      </c>
      <c r="D650" s="76"/>
      <c r="E650" s="76"/>
      <c r="F650" s="76">
        <v>1.0</v>
      </c>
      <c r="G650" s="77">
        <f t="shared" si="17"/>
        <v>0.2</v>
      </c>
      <c r="H650" s="78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</row>
    <row r="651">
      <c r="A651" s="18">
        <v>44.0</v>
      </c>
      <c r="B651" s="74" t="s">
        <v>1150</v>
      </c>
      <c r="C651" s="75" t="s">
        <v>1713</v>
      </c>
      <c r="D651" s="76"/>
      <c r="E651" s="76"/>
      <c r="F651" s="76">
        <v>1.0</v>
      </c>
      <c r="G651" s="77">
        <f t="shared" si="17"/>
        <v>0.2</v>
      </c>
      <c r="H651" s="78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</row>
    <row r="652">
      <c r="A652" s="18">
        <v>45.0</v>
      </c>
      <c r="B652" s="74" t="s">
        <v>1152</v>
      </c>
      <c r="C652" s="75" t="s">
        <v>1714</v>
      </c>
      <c r="D652" s="76"/>
      <c r="E652" s="76"/>
      <c r="F652" s="76">
        <v>1.0</v>
      </c>
      <c r="G652" s="77">
        <f t="shared" si="17"/>
        <v>0.2</v>
      </c>
      <c r="H652" s="78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</row>
    <row r="653">
      <c r="A653" s="18">
        <v>46.0</v>
      </c>
      <c r="B653" s="74" t="s">
        <v>1154</v>
      </c>
      <c r="C653" s="75" t="s">
        <v>1715</v>
      </c>
      <c r="D653" s="76"/>
      <c r="E653" s="76"/>
      <c r="F653" s="76">
        <v>1.0</v>
      </c>
      <c r="G653" s="77">
        <f t="shared" si="17"/>
        <v>0.2</v>
      </c>
      <c r="H653" s="78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</row>
    <row r="654">
      <c r="A654" s="18">
        <v>47.0</v>
      </c>
      <c r="B654" s="74" t="s">
        <v>1156</v>
      </c>
      <c r="C654" s="75" t="s">
        <v>1716</v>
      </c>
      <c r="D654" s="76"/>
      <c r="E654" s="76"/>
      <c r="F654" s="76">
        <v>0.0</v>
      </c>
      <c r="G654" s="77">
        <f t="shared" si="17"/>
        <v>0</v>
      </c>
      <c r="H654" s="78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</row>
    <row r="655">
      <c r="A655" s="18">
        <v>48.0</v>
      </c>
      <c r="B655" s="74" t="s">
        <v>1158</v>
      </c>
      <c r="C655" s="75" t="s">
        <v>1717</v>
      </c>
      <c r="D655" s="76"/>
      <c r="E655" s="76"/>
      <c r="F655" s="76">
        <v>1.0</v>
      </c>
      <c r="G655" s="77">
        <f t="shared" si="17"/>
        <v>0.2</v>
      </c>
      <c r="H655" s="78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</row>
  </sheetData>
  <autoFilter ref="$A$5:$H$655">
    <filterColumn colId="0">
      <filters>
        <filter val="44"/>
        <filter val="45"/>
        <filter val="46"/>
        <filter val="47"/>
        <filter val="48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1"/>
        <filter val="2"/>
        <filter val="3"/>
        <filter val="4"/>
        <filter val="5"/>
        <filter val="6"/>
        <filter val="7"/>
        <filter val="8"/>
        <filter val="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</filters>
    </filterColumn>
  </autoFilter>
  <mergeCells count="99">
    <mergeCell ref="G174:G175"/>
    <mergeCell ref="H174:H175"/>
    <mergeCell ref="B227:B229"/>
    <mergeCell ref="C227:C229"/>
    <mergeCell ref="D228:D229"/>
    <mergeCell ref="E228:E229"/>
    <mergeCell ref="F228:F229"/>
    <mergeCell ref="G228:G229"/>
    <mergeCell ref="H228:H229"/>
    <mergeCell ref="G281:G282"/>
    <mergeCell ref="H281:H282"/>
    <mergeCell ref="A227:A229"/>
    <mergeCell ref="A280:A282"/>
    <mergeCell ref="B280:B282"/>
    <mergeCell ref="C280:C282"/>
    <mergeCell ref="D281:D282"/>
    <mergeCell ref="E281:E282"/>
    <mergeCell ref="F281:F282"/>
    <mergeCell ref="B333:B335"/>
    <mergeCell ref="C333:C335"/>
    <mergeCell ref="D334:D335"/>
    <mergeCell ref="E334:E335"/>
    <mergeCell ref="F334:F335"/>
    <mergeCell ref="G334:G335"/>
    <mergeCell ref="H334:H335"/>
    <mergeCell ref="A333:A335"/>
    <mergeCell ref="A387:A389"/>
    <mergeCell ref="B387:B389"/>
    <mergeCell ref="C387:C389"/>
    <mergeCell ref="D388:D389"/>
    <mergeCell ref="E388:E389"/>
    <mergeCell ref="F388:F389"/>
    <mergeCell ref="F496:F497"/>
    <mergeCell ref="G496:G497"/>
    <mergeCell ref="H496:H497"/>
    <mergeCell ref="F443:F444"/>
    <mergeCell ref="G443:G444"/>
    <mergeCell ref="A495:A497"/>
    <mergeCell ref="B495:B497"/>
    <mergeCell ref="C495:C497"/>
    <mergeCell ref="D496:D497"/>
    <mergeCell ref="E496:E497"/>
    <mergeCell ref="B549:B551"/>
    <mergeCell ref="C549:C551"/>
    <mergeCell ref="D550:D551"/>
    <mergeCell ref="E550:E551"/>
    <mergeCell ref="F550:F551"/>
    <mergeCell ref="G550:G551"/>
    <mergeCell ref="H550:H551"/>
    <mergeCell ref="G606:G607"/>
    <mergeCell ref="H606:H607"/>
    <mergeCell ref="A549:A551"/>
    <mergeCell ref="A605:A607"/>
    <mergeCell ref="B605:B607"/>
    <mergeCell ref="C605:C607"/>
    <mergeCell ref="D606:D607"/>
    <mergeCell ref="E606:E607"/>
    <mergeCell ref="F606:F607"/>
    <mergeCell ref="G11:G12"/>
    <mergeCell ref="H11:H12"/>
    <mergeCell ref="A1:H1"/>
    <mergeCell ref="A3:H3"/>
    <mergeCell ref="A4:H4"/>
    <mergeCell ref="A10:A12"/>
    <mergeCell ref="B10:B12"/>
    <mergeCell ref="C10:C12"/>
    <mergeCell ref="D11:D12"/>
    <mergeCell ref="F66:F67"/>
    <mergeCell ref="G66:G67"/>
    <mergeCell ref="H66:H67"/>
    <mergeCell ref="E11:E12"/>
    <mergeCell ref="F11:F12"/>
    <mergeCell ref="A65:A67"/>
    <mergeCell ref="B65:B67"/>
    <mergeCell ref="C65:C67"/>
    <mergeCell ref="D66:D67"/>
    <mergeCell ref="E66:E67"/>
    <mergeCell ref="B120:B122"/>
    <mergeCell ref="C120:C122"/>
    <mergeCell ref="D121:D122"/>
    <mergeCell ref="E121:E122"/>
    <mergeCell ref="F121:F122"/>
    <mergeCell ref="G121:G122"/>
    <mergeCell ref="H121:H122"/>
    <mergeCell ref="A120:A122"/>
    <mergeCell ref="A173:A175"/>
    <mergeCell ref="B173:B175"/>
    <mergeCell ref="C173:C175"/>
    <mergeCell ref="D174:D175"/>
    <mergeCell ref="E174:E175"/>
    <mergeCell ref="F174:F175"/>
    <mergeCell ref="G388:G389"/>
    <mergeCell ref="H388:H389"/>
    <mergeCell ref="A442:A444"/>
    <mergeCell ref="B442:B444"/>
    <mergeCell ref="C442:C444"/>
    <mergeCell ref="D443:D444"/>
    <mergeCell ref="E443:E444"/>
    <mergeCell ref="H443:H444"/>
  </mergeCells>
  <conditionalFormatting sqref="C6:C655">
    <cfRule type="containsText" dxfId="0" priority="1" operator="containsText" text="- L">
      <formula>NOT(ISERROR(SEARCH(("- L"),(C6))))</formula>
    </cfRule>
  </conditionalFormatting>
  <conditionalFormatting sqref="C6:C655">
    <cfRule type="containsText" dxfId="1" priority="2" operator="containsText" text="- P">
      <formula>NOT(ISERROR(SEARCH(("- P"),(C6))))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6.57"/>
  </cols>
  <sheetData>
    <row r="1">
      <c r="A1" s="100" t="s">
        <v>1718</v>
      </c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A2" s="102" t="s">
        <v>1719</v>
      </c>
      <c r="B2" s="102" t="s">
        <v>1720</v>
      </c>
      <c r="C2" s="102" t="s">
        <v>5</v>
      </c>
      <c r="D2" s="102" t="s">
        <v>1721</v>
      </c>
      <c r="E2" s="102" t="s">
        <v>1722</v>
      </c>
      <c r="F2" s="102" t="s">
        <v>1723</v>
      </c>
      <c r="G2" s="102" t="s">
        <v>1724</v>
      </c>
      <c r="H2" s="102" t="s">
        <v>1725</v>
      </c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103">
        <v>1.0</v>
      </c>
      <c r="B3" s="104" t="s">
        <v>1163</v>
      </c>
      <c r="C3" s="104" t="s">
        <v>1726</v>
      </c>
      <c r="D3" s="103">
        <v>3.0</v>
      </c>
      <c r="E3" s="103">
        <v>0.0</v>
      </c>
      <c r="F3" s="103">
        <v>0.0</v>
      </c>
      <c r="G3" s="103">
        <v>5.0</v>
      </c>
      <c r="H3" s="103">
        <v>0.0</v>
      </c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105">
        <v>2.0</v>
      </c>
      <c r="B4" s="106" t="s">
        <v>1164</v>
      </c>
      <c r="C4" s="106" t="s">
        <v>1726</v>
      </c>
      <c r="D4" s="105">
        <v>2.0</v>
      </c>
      <c r="E4" s="105">
        <v>0.0</v>
      </c>
      <c r="F4" s="105">
        <v>0.0</v>
      </c>
      <c r="G4" s="105">
        <v>6.0</v>
      </c>
      <c r="H4" s="105">
        <v>0.0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>
      <c r="A5" s="103">
        <v>3.0</v>
      </c>
      <c r="B5" s="104" t="s">
        <v>1165</v>
      </c>
      <c r="C5" s="104" t="s">
        <v>1726</v>
      </c>
      <c r="D5" s="103">
        <v>1.0</v>
      </c>
      <c r="E5" s="103">
        <v>0.0</v>
      </c>
      <c r="F5" s="103">
        <v>0.0</v>
      </c>
      <c r="G5" s="103">
        <v>7.0</v>
      </c>
      <c r="H5" s="103">
        <v>0.0</v>
      </c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>
      <c r="A6" s="105">
        <v>4.0</v>
      </c>
      <c r="B6" s="106" t="s">
        <v>1166</v>
      </c>
      <c r="C6" s="106" t="s">
        <v>1726</v>
      </c>
      <c r="D6" s="105">
        <v>3.0</v>
      </c>
      <c r="E6" s="105">
        <v>0.0</v>
      </c>
      <c r="F6" s="105">
        <v>0.0</v>
      </c>
      <c r="G6" s="105">
        <v>5.0</v>
      </c>
      <c r="H6" s="105">
        <v>0.0</v>
      </c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>
      <c r="A7" s="103">
        <v>5.0</v>
      </c>
      <c r="B7" s="104" t="s">
        <v>1167</v>
      </c>
      <c r="C7" s="104" t="s">
        <v>1726</v>
      </c>
      <c r="D7" s="103">
        <v>1.0</v>
      </c>
      <c r="E7" s="103">
        <v>0.0</v>
      </c>
      <c r="F7" s="103">
        <v>0.0</v>
      </c>
      <c r="G7" s="103">
        <v>7.0</v>
      </c>
      <c r="H7" s="103">
        <v>0.0</v>
      </c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>
      <c r="A8" s="105">
        <v>6.0</v>
      </c>
      <c r="B8" s="106" t="s">
        <v>1168</v>
      </c>
      <c r="C8" s="106" t="s">
        <v>1726</v>
      </c>
      <c r="D8" s="105">
        <v>2.0</v>
      </c>
      <c r="E8" s="105">
        <v>0.0</v>
      </c>
      <c r="F8" s="105">
        <v>0.0</v>
      </c>
      <c r="G8" s="105">
        <v>6.0</v>
      </c>
      <c r="H8" s="105">
        <v>0.0</v>
      </c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103">
        <v>7.0</v>
      </c>
      <c r="B9" s="104" t="s">
        <v>1169</v>
      </c>
      <c r="C9" s="104" t="s">
        <v>1726</v>
      </c>
      <c r="D9" s="103">
        <v>1.0</v>
      </c>
      <c r="E9" s="103">
        <v>0.0</v>
      </c>
      <c r="F9" s="103">
        <v>0.0</v>
      </c>
      <c r="G9" s="103">
        <v>7.0</v>
      </c>
      <c r="H9" s="103">
        <v>0.0</v>
      </c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>
      <c r="A10" s="105">
        <v>8.0</v>
      </c>
      <c r="B10" s="106" t="s">
        <v>1170</v>
      </c>
      <c r="C10" s="106" t="s">
        <v>1726</v>
      </c>
      <c r="D10" s="105">
        <v>2.0</v>
      </c>
      <c r="E10" s="105">
        <v>0.0</v>
      </c>
      <c r="F10" s="105">
        <v>0.0</v>
      </c>
      <c r="G10" s="105">
        <v>6.0</v>
      </c>
      <c r="H10" s="105">
        <v>0.0</v>
      </c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>
      <c r="A11" s="103">
        <v>9.0</v>
      </c>
      <c r="B11" s="104" t="s">
        <v>1171</v>
      </c>
      <c r="C11" s="104" t="s">
        <v>1726</v>
      </c>
      <c r="D11" s="103">
        <v>2.0</v>
      </c>
      <c r="E11" s="103">
        <v>0.0</v>
      </c>
      <c r="F11" s="103">
        <v>0.0</v>
      </c>
      <c r="G11" s="103">
        <v>6.0</v>
      </c>
      <c r="H11" s="103">
        <v>0.0</v>
      </c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>
      <c r="A12" s="105">
        <v>10.0</v>
      </c>
      <c r="B12" s="106" t="s">
        <v>1172</v>
      </c>
      <c r="C12" s="106" t="s">
        <v>1726</v>
      </c>
      <c r="D12" s="105">
        <v>0.0</v>
      </c>
      <c r="E12" s="105">
        <v>0.0</v>
      </c>
      <c r="F12" s="105">
        <v>0.0</v>
      </c>
      <c r="G12" s="105">
        <v>8.0</v>
      </c>
      <c r="H12" s="105">
        <v>0.0</v>
      </c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>
      <c r="A13" s="103">
        <v>11.0</v>
      </c>
      <c r="B13" s="104" t="s">
        <v>1173</v>
      </c>
      <c r="C13" s="104" t="s">
        <v>1726</v>
      </c>
      <c r="D13" s="103">
        <v>2.0</v>
      </c>
      <c r="E13" s="103">
        <v>0.0</v>
      </c>
      <c r="F13" s="103">
        <v>0.0</v>
      </c>
      <c r="G13" s="103">
        <v>6.0</v>
      </c>
      <c r="H13" s="103">
        <v>0.0</v>
      </c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105">
        <v>12.0</v>
      </c>
      <c r="B14" s="106" t="s">
        <v>1174</v>
      </c>
      <c r="C14" s="106" t="s">
        <v>1726</v>
      </c>
      <c r="D14" s="105">
        <v>3.0</v>
      </c>
      <c r="E14" s="105">
        <v>0.0</v>
      </c>
      <c r="F14" s="105">
        <v>0.0</v>
      </c>
      <c r="G14" s="105">
        <v>5.0</v>
      </c>
      <c r="H14" s="105">
        <v>0.0</v>
      </c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>
      <c r="A15" s="103">
        <v>13.0</v>
      </c>
      <c r="B15" s="104" t="s">
        <v>1175</v>
      </c>
      <c r="C15" s="104" t="s">
        <v>1726</v>
      </c>
      <c r="D15" s="103">
        <v>1.0</v>
      </c>
      <c r="E15" s="103">
        <v>0.0</v>
      </c>
      <c r="F15" s="103">
        <v>0.0</v>
      </c>
      <c r="G15" s="103">
        <v>7.0</v>
      </c>
      <c r="H15" s="103">
        <v>0.0</v>
      </c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105">
        <v>14.0</v>
      </c>
      <c r="B16" s="106" t="s">
        <v>1176</v>
      </c>
      <c r="C16" s="106" t="s">
        <v>1726</v>
      </c>
      <c r="D16" s="105">
        <v>3.0</v>
      </c>
      <c r="E16" s="105">
        <v>0.0</v>
      </c>
      <c r="F16" s="105">
        <v>0.0</v>
      </c>
      <c r="G16" s="105">
        <v>5.0</v>
      </c>
      <c r="H16" s="105">
        <v>0.0</v>
      </c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>
      <c r="A17" s="103">
        <v>15.0</v>
      </c>
      <c r="B17" s="104" t="s">
        <v>1177</v>
      </c>
      <c r="C17" s="104" t="s">
        <v>1726</v>
      </c>
      <c r="D17" s="103">
        <v>1.0</v>
      </c>
      <c r="E17" s="103">
        <v>0.0</v>
      </c>
      <c r="F17" s="103">
        <v>0.0</v>
      </c>
      <c r="G17" s="103">
        <v>7.0</v>
      </c>
      <c r="H17" s="103">
        <v>0.0</v>
      </c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>
      <c r="A18" s="105">
        <v>16.0</v>
      </c>
      <c r="B18" s="106" t="s">
        <v>1178</v>
      </c>
      <c r="C18" s="106" t="s">
        <v>1726</v>
      </c>
      <c r="D18" s="105">
        <v>3.0</v>
      </c>
      <c r="E18" s="105">
        <v>0.0</v>
      </c>
      <c r="F18" s="105">
        <v>0.0</v>
      </c>
      <c r="G18" s="105">
        <v>5.0</v>
      </c>
      <c r="H18" s="105">
        <v>0.0</v>
      </c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>
      <c r="A19" s="103">
        <v>17.0</v>
      </c>
      <c r="B19" s="104" t="s">
        <v>1179</v>
      </c>
      <c r="C19" s="104" t="s">
        <v>1726</v>
      </c>
      <c r="D19" s="103">
        <v>1.0</v>
      </c>
      <c r="E19" s="103">
        <v>0.0</v>
      </c>
      <c r="F19" s="103">
        <v>0.0</v>
      </c>
      <c r="G19" s="103">
        <v>7.0</v>
      </c>
      <c r="H19" s="103">
        <v>0.0</v>
      </c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>
      <c r="A20" s="105">
        <v>18.0</v>
      </c>
      <c r="B20" s="106" t="s">
        <v>1180</v>
      </c>
      <c r="C20" s="106" t="s">
        <v>1726</v>
      </c>
      <c r="D20" s="105">
        <v>2.0</v>
      </c>
      <c r="E20" s="105">
        <v>0.0</v>
      </c>
      <c r="F20" s="105">
        <v>0.0</v>
      </c>
      <c r="G20" s="105">
        <v>6.0</v>
      </c>
      <c r="H20" s="105">
        <v>0.0</v>
      </c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>
      <c r="A21" s="103">
        <v>19.0</v>
      </c>
      <c r="B21" s="104" t="s">
        <v>1181</v>
      </c>
      <c r="C21" s="104" t="s">
        <v>1726</v>
      </c>
      <c r="D21" s="103">
        <v>2.0</v>
      </c>
      <c r="E21" s="103">
        <v>0.0</v>
      </c>
      <c r="F21" s="103">
        <v>0.0</v>
      </c>
      <c r="G21" s="103">
        <v>6.0</v>
      </c>
      <c r="H21" s="103">
        <v>0.0</v>
      </c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>
      <c r="A22" s="105">
        <v>20.0</v>
      </c>
      <c r="B22" s="106" t="s">
        <v>1182</v>
      </c>
      <c r="C22" s="106" t="s">
        <v>1726</v>
      </c>
      <c r="D22" s="105">
        <v>0.0</v>
      </c>
      <c r="E22" s="105">
        <v>0.0</v>
      </c>
      <c r="F22" s="105">
        <v>0.0</v>
      </c>
      <c r="G22" s="105">
        <v>8.0</v>
      </c>
      <c r="H22" s="105">
        <v>0.0</v>
      </c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>
      <c r="A23" s="103">
        <v>21.0</v>
      </c>
      <c r="B23" s="104" t="s">
        <v>1183</v>
      </c>
      <c r="C23" s="104" t="s">
        <v>1726</v>
      </c>
      <c r="D23" s="103">
        <v>0.0</v>
      </c>
      <c r="E23" s="103">
        <v>0.0</v>
      </c>
      <c r="F23" s="103">
        <v>0.0</v>
      </c>
      <c r="G23" s="103">
        <v>8.0</v>
      </c>
      <c r="H23" s="103">
        <v>0.0</v>
      </c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>
      <c r="A24" s="105">
        <v>22.0</v>
      </c>
      <c r="B24" s="106" t="s">
        <v>1184</v>
      </c>
      <c r="C24" s="106" t="s">
        <v>1726</v>
      </c>
      <c r="D24" s="105">
        <v>0.0</v>
      </c>
      <c r="E24" s="105">
        <v>0.0</v>
      </c>
      <c r="F24" s="105">
        <v>0.0</v>
      </c>
      <c r="G24" s="105">
        <v>8.0</v>
      </c>
      <c r="H24" s="105">
        <v>0.0</v>
      </c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>
      <c r="A25" s="103">
        <v>23.0</v>
      </c>
      <c r="B25" s="104" t="s">
        <v>1185</v>
      </c>
      <c r="C25" s="104" t="s">
        <v>1726</v>
      </c>
      <c r="D25" s="103">
        <v>0.0</v>
      </c>
      <c r="E25" s="103">
        <v>0.0</v>
      </c>
      <c r="F25" s="103">
        <v>0.0</v>
      </c>
      <c r="G25" s="103">
        <v>8.0</v>
      </c>
      <c r="H25" s="103">
        <v>0.0</v>
      </c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>
      <c r="A26" s="105">
        <v>24.0</v>
      </c>
      <c r="B26" s="106" t="s">
        <v>1186</v>
      </c>
      <c r="C26" s="106" t="s">
        <v>1726</v>
      </c>
      <c r="D26" s="105">
        <v>0.0</v>
      </c>
      <c r="E26" s="105">
        <v>0.0</v>
      </c>
      <c r="F26" s="105">
        <v>0.0</v>
      </c>
      <c r="G26" s="105">
        <v>8.0</v>
      </c>
      <c r="H26" s="105">
        <v>0.0</v>
      </c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>
      <c r="A27" s="103">
        <v>25.0</v>
      </c>
      <c r="B27" s="104" t="s">
        <v>1187</v>
      </c>
      <c r="C27" s="104" t="s">
        <v>1726</v>
      </c>
      <c r="D27" s="103">
        <v>0.0</v>
      </c>
      <c r="E27" s="103">
        <v>0.0</v>
      </c>
      <c r="F27" s="103">
        <v>0.0</v>
      </c>
      <c r="G27" s="103">
        <v>8.0</v>
      </c>
      <c r="H27" s="103">
        <v>0.0</v>
      </c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>
      <c r="A28" s="105">
        <v>26.0</v>
      </c>
      <c r="B28" s="106" t="s">
        <v>1188</v>
      </c>
      <c r="C28" s="106" t="s">
        <v>1726</v>
      </c>
      <c r="D28" s="105">
        <v>0.0</v>
      </c>
      <c r="E28" s="105">
        <v>0.0</v>
      </c>
      <c r="F28" s="105">
        <v>0.0</v>
      </c>
      <c r="G28" s="105">
        <v>8.0</v>
      </c>
      <c r="H28" s="105">
        <v>0.0</v>
      </c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>
      <c r="A29" s="103">
        <v>27.0</v>
      </c>
      <c r="B29" s="104" t="s">
        <v>1189</v>
      </c>
      <c r="C29" s="104" t="s">
        <v>1726</v>
      </c>
      <c r="D29" s="103">
        <v>0.0</v>
      </c>
      <c r="E29" s="103">
        <v>0.0</v>
      </c>
      <c r="F29" s="103">
        <v>0.0</v>
      </c>
      <c r="G29" s="103">
        <v>8.0</v>
      </c>
      <c r="H29" s="103">
        <v>0.0</v>
      </c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>
      <c r="A30" s="105">
        <v>28.0</v>
      </c>
      <c r="B30" s="106" t="s">
        <v>1190</v>
      </c>
      <c r="C30" s="106" t="s">
        <v>1726</v>
      </c>
      <c r="D30" s="105">
        <v>1.0</v>
      </c>
      <c r="E30" s="105">
        <v>0.0</v>
      </c>
      <c r="F30" s="105">
        <v>0.0</v>
      </c>
      <c r="G30" s="105">
        <v>7.0</v>
      </c>
      <c r="H30" s="105">
        <v>0.0</v>
      </c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>
      <c r="A31" s="103">
        <v>29.0</v>
      </c>
      <c r="B31" s="104" t="s">
        <v>1191</v>
      </c>
      <c r="C31" s="104" t="s">
        <v>1726</v>
      </c>
      <c r="D31" s="103">
        <v>2.0</v>
      </c>
      <c r="E31" s="103">
        <v>0.0</v>
      </c>
      <c r="F31" s="103">
        <v>0.0</v>
      </c>
      <c r="G31" s="103">
        <v>6.0</v>
      </c>
      <c r="H31" s="103">
        <v>0.0</v>
      </c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>
      <c r="A32" s="105">
        <v>30.0</v>
      </c>
      <c r="B32" s="106" t="s">
        <v>1192</v>
      </c>
      <c r="C32" s="106" t="s">
        <v>1726</v>
      </c>
      <c r="D32" s="105">
        <v>3.0</v>
      </c>
      <c r="E32" s="105">
        <v>0.0</v>
      </c>
      <c r="F32" s="105">
        <v>0.0</v>
      </c>
      <c r="G32" s="105">
        <v>5.0</v>
      </c>
      <c r="H32" s="105">
        <v>0.0</v>
      </c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>
      <c r="A33" s="103">
        <v>31.0</v>
      </c>
      <c r="B33" s="104" t="s">
        <v>1193</v>
      </c>
      <c r="C33" s="104" t="s">
        <v>1726</v>
      </c>
      <c r="D33" s="103">
        <v>1.0</v>
      </c>
      <c r="E33" s="103">
        <v>0.0</v>
      </c>
      <c r="F33" s="103">
        <v>0.0</v>
      </c>
      <c r="G33" s="103">
        <v>7.0</v>
      </c>
      <c r="H33" s="103">
        <v>0.0</v>
      </c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>
      <c r="A34" s="105">
        <v>32.0</v>
      </c>
      <c r="B34" s="106" t="s">
        <v>1194</v>
      </c>
      <c r="C34" s="106" t="s">
        <v>1726</v>
      </c>
      <c r="D34" s="105">
        <v>3.0</v>
      </c>
      <c r="E34" s="105">
        <v>0.0</v>
      </c>
      <c r="F34" s="105">
        <v>0.0</v>
      </c>
      <c r="G34" s="105">
        <v>5.0</v>
      </c>
      <c r="H34" s="105">
        <v>0.0</v>
      </c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>
      <c r="A35" s="103">
        <v>33.0</v>
      </c>
      <c r="B35" s="104" t="s">
        <v>1195</v>
      </c>
      <c r="C35" s="104" t="s">
        <v>1726</v>
      </c>
      <c r="D35" s="103">
        <v>1.0</v>
      </c>
      <c r="E35" s="103">
        <v>0.0</v>
      </c>
      <c r="F35" s="103">
        <v>0.0</v>
      </c>
      <c r="G35" s="103">
        <v>7.0</v>
      </c>
      <c r="H35" s="103">
        <v>0.0</v>
      </c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>
      <c r="A36" s="105">
        <v>34.0</v>
      </c>
      <c r="B36" s="106" t="s">
        <v>1196</v>
      </c>
      <c r="C36" s="106" t="s">
        <v>1726</v>
      </c>
      <c r="D36" s="105">
        <v>1.0</v>
      </c>
      <c r="E36" s="105">
        <v>0.0</v>
      </c>
      <c r="F36" s="105">
        <v>0.0</v>
      </c>
      <c r="G36" s="105">
        <v>7.0</v>
      </c>
      <c r="H36" s="105">
        <v>0.0</v>
      </c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>
      <c r="A37" s="103">
        <v>35.0</v>
      </c>
      <c r="B37" s="104" t="s">
        <v>1197</v>
      </c>
      <c r="C37" s="104" t="s">
        <v>1726</v>
      </c>
      <c r="D37" s="103">
        <v>1.0</v>
      </c>
      <c r="E37" s="103">
        <v>0.0</v>
      </c>
      <c r="F37" s="103">
        <v>0.0</v>
      </c>
      <c r="G37" s="103">
        <v>7.0</v>
      </c>
      <c r="H37" s="103">
        <v>0.0</v>
      </c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>
      <c r="A38" s="105">
        <v>36.0</v>
      </c>
      <c r="B38" s="106" t="s">
        <v>1198</v>
      </c>
      <c r="C38" s="106" t="s">
        <v>1726</v>
      </c>
      <c r="D38" s="105">
        <v>2.0</v>
      </c>
      <c r="E38" s="105">
        <v>0.0</v>
      </c>
      <c r="F38" s="105">
        <v>0.0</v>
      </c>
      <c r="G38" s="105">
        <v>6.0</v>
      </c>
      <c r="H38" s="105">
        <v>0.0</v>
      </c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>
      <c r="A39" s="103">
        <v>37.0</v>
      </c>
      <c r="B39" s="104" t="s">
        <v>1199</v>
      </c>
      <c r="C39" s="104" t="s">
        <v>1726</v>
      </c>
      <c r="D39" s="103">
        <v>0.0</v>
      </c>
      <c r="E39" s="103">
        <v>0.0</v>
      </c>
      <c r="F39" s="103">
        <v>0.0</v>
      </c>
      <c r="G39" s="103">
        <v>8.0</v>
      </c>
      <c r="H39" s="103">
        <v>0.0</v>
      </c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>
      <c r="A40" s="105">
        <v>38.0</v>
      </c>
      <c r="B40" s="106" t="s">
        <v>1200</v>
      </c>
      <c r="C40" s="106" t="s">
        <v>1726</v>
      </c>
      <c r="D40" s="105">
        <v>0.0</v>
      </c>
      <c r="E40" s="105">
        <v>0.0</v>
      </c>
      <c r="F40" s="105">
        <v>0.0</v>
      </c>
      <c r="G40" s="105">
        <v>8.0</v>
      </c>
      <c r="H40" s="105">
        <v>0.0</v>
      </c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>
      <c r="A41" s="103">
        <v>39.0</v>
      </c>
      <c r="B41" s="104" t="s">
        <v>1201</v>
      </c>
      <c r="C41" s="104" t="s">
        <v>1726</v>
      </c>
      <c r="D41" s="103">
        <v>2.0</v>
      </c>
      <c r="E41" s="103">
        <v>0.0</v>
      </c>
      <c r="F41" s="103">
        <v>0.0</v>
      </c>
      <c r="G41" s="103">
        <v>6.0</v>
      </c>
      <c r="H41" s="103">
        <v>0.0</v>
      </c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>
      <c r="A42" s="105">
        <v>40.0</v>
      </c>
      <c r="B42" s="106" t="s">
        <v>1202</v>
      </c>
      <c r="C42" s="106" t="s">
        <v>1726</v>
      </c>
      <c r="D42" s="105">
        <v>2.0</v>
      </c>
      <c r="E42" s="105">
        <v>0.0</v>
      </c>
      <c r="F42" s="105">
        <v>0.0</v>
      </c>
      <c r="G42" s="105">
        <v>6.0</v>
      </c>
      <c r="H42" s="105">
        <v>0.0</v>
      </c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>
      <c r="A43" s="103">
        <v>41.0</v>
      </c>
      <c r="B43" s="104" t="s">
        <v>1203</v>
      </c>
      <c r="C43" s="104" t="s">
        <v>1726</v>
      </c>
      <c r="D43" s="103">
        <v>2.0</v>
      </c>
      <c r="E43" s="103">
        <v>0.0</v>
      </c>
      <c r="F43" s="103">
        <v>0.0</v>
      </c>
      <c r="G43" s="103">
        <v>6.0</v>
      </c>
      <c r="H43" s="103">
        <v>0.0</v>
      </c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>
      <c r="A44" s="105">
        <v>42.0</v>
      </c>
      <c r="B44" s="106" t="s">
        <v>1204</v>
      </c>
      <c r="C44" s="106" t="s">
        <v>1726</v>
      </c>
      <c r="D44" s="105">
        <v>3.0</v>
      </c>
      <c r="E44" s="105">
        <v>0.0</v>
      </c>
      <c r="F44" s="105">
        <v>0.0</v>
      </c>
      <c r="G44" s="105">
        <v>5.0</v>
      </c>
      <c r="H44" s="105">
        <v>0.0</v>
      </c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>
      <c r="A45" s="103">
        <v>43.0</v>
      </c>
      <c r="B45" s="104" t="s">
        <v>1205</v>
      </c>
      <c r="C45" s="104" t="s">
        <v>1726</v>
      </c>
      <c r="D45" s="103">
        <v>3.0</v>
      </c>
      <c r="E45" s="103">
        <v>0.0</v>
      </c>
      <c r="F45" s="103">
        <v>0.0</v>
      </c>
      <c r="G45" s="103">
        <v>5.0</v>
      </c>
      <c r="H45" s="103">
        <v>0.0</v>
      </c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>
      <c r="A46" s="105">
        <v>44.0</v>
      </c>
      <c r="B46" s="106" t="s">
        <v>1206</v>
      </c>
      <c r="C46" s="106" t="s">
        <v>1726</v>
      </c>
      <c r="D46" s="105">
        <v>0.0</v>
      </c>
      <c r="E46" s="105">
        <v>0.0</v>
      </c>
      <c r="F46" s="105">
        <v>0.0</v>
      </c>
      <c r="G46" s="105">
        <v>8.0</v>
      </c>
      <c r="H46" s="105">
        <v>0.0</v>
      </c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>
      <c r="A47" s="103">
        <v>45.0</v>
      </c>
      <c r="B47" s="104" t="s">
        <v>1207</v>
      </c>
      <c r="C47" s="104" t="s">
        <v>1726</v>
      </c>
      <c r="D47" s="103">
        <v>1.0</v>
      </c>
      <c r="E47" s="103">
        <v>0.0</v>
      </c>
      <c r="F47" s="103">
        <v>0.0</v>
      </c>
      <c r="G47" s="103">
        <v>7.0</v>
      </c>
      <c r="H47" s="103">
        <v>0.0</v>
      </c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>
      <c r="A48" s="105">
        <v>46.0</v>
      </c>
      <c r="B48" s="106" t="s">
        <v>1208</v>
      </c>
      <c r="C48" s="106" t="s">
        <v>1726</v>
      </c>
      <c r="D48" s="105">
        <v>3.0</v>
      </c>
      <c r="E48" s="105">
        <v>0.0</v>
      </c>
      <c r="F48" s="105">
        <v>0.0</v>
      </c>
      <c r="G48" s="105">
        <v>5.0</v>
      </c>
      <c r="H48" s="105">
        <v>0.0</v>
      </c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>
      <c r="A49" s="103">
        <v>47.0</v>
      </c>
      <c r="B49" s="104" t="s">
        <v>1209</v>
      </c>
      <c r="C49" s="104" t="s">
        <v>1726</v>
      </c>
      <c r="D49" s="103">
        <v>0.0</v>
      </c>
      <c r="E49" s="103">
        <v>0.0</v>
      </c>
      <c r="F49" s="103">
        <v>0.0</v>
      </c>
      <c r="G49" s="103">
        <v>8.0</v>
      </c>
      <c r="H49" s="103">
        <v>0.0</v>
      </c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>
      <c r="A50" s="105">
        <v>48.0</v>
      </c>
      <c r="B50" s="106" t="s">
        <v>1622</v>
      </c>
      <c r="C50" s="106" t="s">
        <v>1727</v>
      </c>
      <c r="D50" s="105">
        <v>1.0</v>
      </c>
      <c r="E50" s="105">
        <v>0.0</v>
      </c>
      <c r="F50" s="105">
        <v>0.0</v>
      </c>
      <c r="G50" s="105">
        <v>7.0</v>
      </c>
      <c r="H50" s="105">
        <v>0.0</v>
      </c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>
      <c r="A51" s="103">
        <v>49.0</v>
      </c>
      <c r="B51" s="104" t="s">
        <v>1623</v>
      </c>
      <c r="C51" s="104" t="s">
        <v>1727</v>
      </c>
      <c r="D51" s="103">
        <v>0.0</v>
      </c>
      <c r="E51" s="103">
        <v>0.0</v>
      </c>
      <c r="F51" s="103">
        <v>0.0</v>
      </c>
      <c r="G51" s="103">
        <v>8.0</v>
      </c>
      <c r="H51" s="103">
        <v>0.0</v>
      </c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>
      <c r="A52" s="105">
        <v>50.0</v>
      </c>
      <c r="B52" s="106" t="s">
        <v>1624</v>
      </c>
      <c r="C52" s="106" t="s">
        <v>1727</v>
      </c>
      <c r="D52" s="105">
        <v>4.0</v>
      </c>
      <c r="E52" s="105">
        <v>0.0</v>
      </c>
      <c r="F52" s="105">
        <v>0.0</v>
      </c>
      <c r="G52" s="105">
        <v>4.0</v>
      </c>
      <c r="H52" s="105">
        <v>0.0</v>
      </c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>
      <c r="A53" s="103">
        <v>51.0</v>
      </c>
      <c r="B53" s="104" t="s">
        <v>1625</v>
      </c>
      <c r="C53" s="104" t="s">
        <v>1727</v>
      </c>
      <c r="D53" s="103">
        <v>1.0</v>
      </c>
      <c r="E53" s="103">
        <v>0.0</v>
      </c>
      <c r="F53" s="103">
        <v>0.0</v>
      </c>
      <c r="G53" s="103">
        <v>7.0</v>
      </c>
      <c r="H53" s="103">
        <v>0.0</v>
      </c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>
      <c r="A54" s="105">
        <v>52.0</v>
      </c>
      <c r="B54" s="106" t="s">
        <v>1626</v>
      </c>
      <c r="C54" s="106" t="s">
        <v>1727</v>
      </c>
      <c r="D54" s="105">
        <v>2.0</v>
      </c>
      <c r="E54" s="105">
        <v>0.0</v>
      </c>
      <c r="F54" s="105">
        <v>0.0</v>
      </c>
      <c r="G54" s="105">
        <v>6.0</v>
      </c>
      <c r="H54" s="105">
        <v>0.0</v>
      </c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>
      <c r="A55" s="103">
        <v>53.0</v>
      </c>
      <c r="B55" s="104" t="s">
        <v>1627</v>
      </c>
      <c r="C55" s="104" t="s">
        <v>1727</v>
      </c>
      <c r="D55" s="103">
        <v>1.0</v>
      </c>
      <c r="E55" s="103">
        <v>0.0</v>
      </c>
      <c r="F55" s="103">
        <v>0.0</v>
      </c>
      <c r="G55" s="103">
        <v>7.0</v>
      </c>
      <c r="H55" s="103">
        <v>0.0</v>
      </c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>
      <c r="A56" s="105">
        <v>54.0</v>
      </c>
      <c r="B56" s="106" t="s">
        <v>1628</v>
      </c>
      <c r="C56" s="106" t="s">
        <v>1727</v>
      </c>
      <c r="D56" s="105">
        <v>3.0</v>
      </c>
      <c r="E56" s="105">
        <v>0.0</v>
      </c>
      <c r="F56" s="105">
        <v>0.0</v>
      </c>
      <c r="G56" s="105">
        <v>5.0</v>
      </c>
      <c r="H56" s="105">
        <v>0.0</v>
      </c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>
      <c r="A57" s="103">
        <v>55.0</v>
      </c>
      <c r="B57" s="104" t="s">
        <v>1629</v>
      </c>
      <c r="C57" s="104" t="s">
        <v>1727</v>
      </c>
      <c r="D57" s="103">
        <v>4.0</v>
      </c>
      <c r="E57" s="103">
        <v>0.0</v>
      </c>
      <c r="F57" s="103">
        <v>0.0</v>
      </c>
      <c r="G57" s="103">
        <v>4.0</v>
      </c>
      <c r="H57" s="103">
        <v>0.0</v>
      </c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>
      <c r="A58" s="105">
        <v>56.0</v>
      </c>
      <c r="B58" s="106" t="s">
        <v>1630</v>
      </c>
      <c r="C58" s="106" t="s">
        <v>1727</v>
      </c>
      <c r="D58" s="105">
        <v>4.0</v>
      </c>
      <c r="E58" s="105">
        <v>0.0</v>
      </c>
      <c r="F58" s="105">
        <v>0.0</v>
      </c>
      <c r="G58" s="105">
        <v>4.0</v>
      </c>
      <c r="H58" s="105">
        <v>0.0</v>
      </c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>
      <c r="A59" s="103">
        <v>57.0</v>
      </c>
      <c r="B59" s="104" t="s">
        <v>1631</v>
      </c>
      <c r="C59" s="104" t="s">
        <v>1727</v>
      </c>
      <c r="D59" s="103">
        <v>1.0</v>
      </c>
      <c r="E59" s="103">
        <v>0.0</v>
      </c>
      <c r="F59" s="103">
        <v>0.0</v>
      </c>
      <c r="G59" s="103">
        <v>7.0</v>
      </c>
      <c r="H59" s="103">
        <v>0.0</v>
      </c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>
      <c r="A60" s="105">
        <v>58.0</v>
      </c>
      <c r="B60" s="106" t="s">
        <v>1632</v>
      </c>
      <c r="C60" s="106" t="s">
        <v>1727</v>
      </c>
      <c r="D60" s="105">
        <v>1.0</v>
      </c>
      <c r="E60" s="105">
        <v>0.0</v>
      </c>
      <c r="F60" s="105">
        <v>0.0</v>
      </c>
      <c r="G60" s="105">
        <v>7.0</v>
      </c>
      <c r="H60" s="105">
        <v>0.0</v>
      </c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>
      <c r="A61" s="103">
        <v>59.0</v>
      </c>
      <c r="B61" s="104" t="s">
        <v>1633</v>
      </c>
      <c r="C61" s="104" t="s">
        <v>1727</v>
      </c>
      <c r="D61" s="103">
        <v>2.0</v>
      </c>
      <c r="E61" s="103">
        <v>0.0</v>
      </c>
      <c r="F61" s="103">
        <v>0.0</v>
      </c>
      <c r="G61" s="103">
        <v>6.0</v>
      </c>
      <c r="H61" s="103">
        <v>0.0</v>
      </c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>
      <c r="A62" s="105">
        <v>60.0</v>
      </c>
      <c r="B62" s="106" t="s">
        <v>1634</v>
      </c>
      <c r="C62" s="106" t="s">
        <v>1727</v>
      </c>
      <c r="D62" s="105">
        <v>2.0</v>
      </c>
      <c r="E62" s="105">
        <v>0.0</v>
      </c>
      <c r="F62" s="105">
        <v>0.0</v>
      </c>
      <c r="G62" s="105">
        <v>6.0</v>
      </c>
      <c r="H62" s="105">
        <v>0.0</v>
      </c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>
      <c r="A63" s="103">
        <v>61.0</v>
      </c>
      <c r="B63" s="104" t="s">
        <v>1635</v>
      </c>
      <c r="C63" s="104" t="s">
        <v>1727</v>
      </c>
      <c r="D63" s="103">
        <v>2.0</v>
      </c>
      <c r="E63" s="103">
        <v>0.0</v>
      </c>
      <c r="F63" s="103">
        <v>0.0</v>
      </c>
      <c r="G63" s="103">
        <v>6.0</v>
      </c>
      <c r="H63" s="103">
        <v>0.0</v>
      </c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>
      <c r="A64" s="105">
        <v>62.0</v>
      </c>
      <c r="B64" s="106" t="s">
        <v>1636</v>
      </c>
      <c r="C64" s="106" t="s">
        <v>1727</v>
      </c>
      <c r="D64" s="105">
        <v>0.0</v>
      </c>
      <c r="E64" s="105">
        <v>0.0</v>
      </c>
      <c r="F64" s="105">
        <v>0.0</v>
      </c>
      <c r="G64" s="105">
        <v>8.0</v>
      </c>
      <c r="H64" s="105">
        <v>0.0</v>
      </c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>
      <c r="A65" s="103">
        <v>63.0</v>
      </c>
      <c r="B65" s="104" t="s">
        <v>1637</v>
      </c>
      <c r="C65" s="104" t="s">
        <v>1727</v>
      </c>
      <c r="D65" s="103">
        <v>3.0</v>
      </c>
      <c r="E65" s="103">
        <v>0.0</v>
      </c>
      <c r="F65" s="103">
        <v>0.0</v>
      </c>
      <c r="G65" s="103">
        <v>5.0</v>
      </c>
      <c r="H65" s="103">
        <v>0.0</v>
      </c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>
      <c r="A66" s="105">
        <v>64.0</v>
      </c>
      <c r="B66" s="106" t="s">
        <v>1638</v>
      </c>
      <c r="C66" s="106" t="s">
        <v>1727</v>
      </c>
      <c r="D66" s="105">
        <v>0.0</v>
      </c>
      <c r="E66" s="105">
        <v>0.0</v>
      </c>
      <c r="F66" s="105">
        <v>0.0</v>
      </c>
      <c r="G66" s="105">
        <v>8.0</v>
      </c>
      <c r="H66" s="105">
        <v>0.0</v>
      </c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>
      <c r="A67" s="103">
        <v>65.0</v>
      </c>
      <c r="B67" s="104" t="s">
        <v>1639</v>
      </c>
      <c r="C67" s="104" t="s">
        <v>1727</v>
      </c>
      <c r="D67" s="103">
        <v>1.0</v>
      </c>
      <c r="E67" s="103">
        <v>0.0</v>
      </c>
      <c r="F67" s="103">
        <v>0.0</v>
      </c>
      <c r="G67" s="103">
        <v>7.0</v>
      </c>
      <c r="H67" s="103">
        <v>0.0</v>
      </c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>
      <c r="A68" s="105">
        <v>66.0</v>
      </c>
      <c r="B68" s="106" t="s">
        <v>1640</v>
      </c>
      <c r="C68" s="106" t="s">
        <v>1727</v>
      </c>
      <c r="D68" s="105">
        <v>0.0</v>
      </c>
      <c r="E68" s="105">
        <v>0.0</v>
      </c>
      <c r="F68" s="105">
        <v>0.0</v>
      </c>
      <c r="G68" s="105">
        <v>8.0</v>
      </c>
      <c r="H68" s="105">
        <v>0.0</v>
      </c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>
      <c r="A69" s="103">
        <v>67.0</v>
      </c>
      <c r="B69" s="104" t="s">
        <v>1641</v>
      </c>
      <c r="C69" s="104" t="s">
        <v>1727</v>
      </c>
      <c r="D69" s="103">
        <v>2.0</v>
      </c>
      <c r="E69" s="103">
        <v>0.0</v>
      </c>
      <c r="F69" s="103">
        <v>0.0</v>
      </c>
      <c r="G69" s="103">
        <v>6.0</v>
      </c>
      <c r="H69" s="103">
        <v>0.0</v>
      </c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>
      <c r="A70" s="105">
        <v>68.0</v>
      </c>
      <c r="B70" s="106" t="s">
        <v>1642</v>
      </c>
      <c r="C70" s="106" t="s">
        <v>1727</v>
      </c>
      <c r="D70" s="105">
        <v>2.0</v>
      </c>
      <c r="E70" s="105">
        <v>0.0</v>
      </c>
      <c r="F70" s="105">
        <v>0.0</v>
      </c>
      <c r="G70" s="105">
        <v>6.0</v>
      </c>
      <c r="H70" s="105">
        <v>0.0</v>
      </c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>
      <c r="A71" s="103">
        <v>69.0</v>
      </c>
      <c r="B71" s="104" t="s">
        <v>1643</v>
      </c>
      <c r="C71" s="104" t="s">
        <v>1727</v>
      </c>
      <c r="D71" s="103">
        <v>4.0</v>
      </c>
      <c r="E71" s="103">
        <v>0.0</v>
      </c>
      <c r="F71" s="103">
        <v>0.0</v>
      </c>
      <c r="G71" s="103">
        <v>4.0</v>
      </c>
      <c r="H71" s="103">
        <v>0.0</v>
      </c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>
      <c r="A72" s="105">
        <v>70.0</v>
      </c>
      <c r="B72" s="106" t="s">
        <v>1644</v>
      </c>
      <c r="C72" s="106" t="s">
        <v>1727</v>
      </c>
      <c r="D72" s="105">
        <v>2.0</v>
      </c>
      <c r="E72" s="105">
        <v>0.0</v>
      </c>
      <c r="F72" s="105">
        <v>0.0</v>
      </c>
      <c r="G72" s="105">
        <v>6.0</v>
      </c>
      <c r="H72" s="105">
        <v>0.0</v>
      </c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>
      <c r="A73" s="103">
        <v>71.0</v>
      </c>
      <c r="B73" s="104" t="s">
        <v>1645</v>
      </c>
      <c r="C73" s="104" t="s">
        <v>1727</v>
      </c>
      <c r="D73" s="103">
        <v>0.0</v>
      </c>
      <c r="E73" s="103">
        <v>0.0</v>
      </c>
      <c r="F73" s="103">
        <v>0.0</v>
      </c>
      <c r="G73" s="103">
        <v>8.0</v>
      </c>
      <c r="H73" s="103">
        <v>0.0</v>
      </c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>
      <c r="A74" s="105">
        <v>72.0</v>
      </c>
      <c r="B74" s="106" t="s">
        <v>1646</v>
      </c>
      <c r="C74" s="106" t="s">
        <v>1727</v>
      </c>
      <c r="D74" s="105">
        <v>2.0</v>
      </c>
      <c r="E74" s="105">
        <v>0.0</v>
      </c>
      <c r="F74" s="105">
        <v>0.0</v>
      </c>
      <c r="G74" s="105">
        <v>6.0</v>
      </c>
      <c r="H74" s="105">
        <v>0.0</v>
      </c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>
      <c r="A75" s="103">
        <v>73.0</v>
      </c>
      <c r="B75" s="104" t="s">
        <v>1647</v>
      </c>
      <c r="C75" s="104" t="s">
        <v>1727</v>
      </c>
      <c r="D75" s="103">
        <v>1.0</v>
      </c>
      <c r="E75" s="103">
        <v>0.0</v>
      </c>
      <c r="F75" s="103">
        <v>0.0</v>
      </c>
      <c r="G75" s="103">
        <v>7.0</v>
      </c>
      <c r="H75" s="103">
        <v>0.0</v>
      </c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>
      <c r="A76" s="105">
        <v>74.0</v>
      </c>
      <c r="B76" s="106" t="s">
        <v>1648</v>
      </c>
      <c r="C76" s="106" t="s">
        <v>1727</v>
      </c>
      <c r="D76" s="105">
        <v>4.0</v>
      </c>
      <c r="E76" s="105">
        <v>0.0</v>
      </c>
      <c r="F76" s="105">
        <v>0.0</v>
      </c>
      <c r="G76" s="105">
        <v>4.0</v>
      </c>
      <c r="H76" s="105">
        <v>0.0</v>
      </c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>
      <c r="A77" s="103">
        <v>75.0</v>
      </c>
      <c r="B77" s="104" t="s">
        <v>1649</v>
      </c>
      <c r="C77" s="104" t="s">
        <v>1727</v>
      </c>
      <c r="D77" s="103">
        <v>2.0</v>
      </c>
      <c r="E77" s="103">
        <v>0.0</v>
      </c>
      <c r="F77" s="103">
        <v>0.0</v>
      </c>
      <c r="G77" s="103">
        <v>6.0</v>
      </c>
      <c r="H77" s="103">
        <v>0.0</v>
      </c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>
      <c r="A78" s="105">
        <v>76.0</v>
      </c>
      <c r="B78" s="106" t="s">
        <v>1650</v>
      </c>
      <c r="C78" s="106" t="s">
        <v>1727</v>
      </c>
      <c r="D78" s="105">
        <v>2.0</v>
      </c>
      <c r="E78" s="105">
        <v>0.0</v>
      </c>
      <c r="F78" s="105">
        <v>0.0</v>
      </c>
      <c r="G78" s="105">
        <v>6.0</v>
      </c>
      <c r="H78" s="105">
        <v>0.0</v>
      </c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>
      <c r="A79" s="103">
        <v>77.0</v>
      </c>
      <c r="B79" s="104" t="s">
        <v>1651</v>
      </c>
      <c r="C79" s="104" t="s">
        <v>1727</v>
      </c>
      <c r="D79" s="103">
        <v>0.0</v>
      </c>
      <c r="E79" s="103">
        <v>0.0</v>
      </c>
      <c r="F79" s="103">
        <v>0.0</v>
      </c>
      <c r="G79" s="103">
        <v>8.0</v>
      </c>
      <c r="H79" s="103">
        <v>0.0</v>
      </c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>
      <c r="A80" s="105">
        <v>78.0</v>
      </c>
      <c r="B80" s="106" t="s">
        <v>1652</v>
      </c>
      <c r="C80" s="106" t="s">
        <v>1727</v>
      </c>
      <c r="D80" s="105">
        <v>4.0</v>
      </c>
      <c r="E80" s="105">
        <v>0.0</v>
      </c>
      <c r="F80" s="105">
        <v>0.0</v>
      </c>
      <c r="G80" s="105">
        <v>4.0</v>
      </c>
      <c r="H80" s="105">
        <v>0.0</v>
      </c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>
      <c r="A81" s="103">
        <v>79.0</v>
      </c>
      <c r="B81" s="104" t="s">
        <v>1653</v>
      </c>
      <c r="C81" s="104" t="s">
        <v>1727</v>
      </c>
      <c r="D81" s="103">
        <v>0.0</v>
      </c>
      <c r="E81" s="103">
        <v>0.0</v>
      </c>
      <c r="F81" s="103">
        <v>0.0</v>
      </c>
      <c r="G81" s="103">
        <v>8.0</v>
      </c>
      <c r="H81" s="103">
        <v>0.0</v>
      </c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>
      <c r="A82" s="105">
        <v>80.0</v>
      </c>
      <c r="B82" s="106" t="s">
        <v>1654</v>
      </c>
      <c r="C82" s="106" t="s">
        <v>1727</v>
      </c>
      <c r="D82" s="105">
        <v>1.0</v>
      </c>
      <c r="E82" s="105">
        <v>0.0</v>
      </c>
      <c r="F82" s="105">
        <v>0.0</v>
      </c>
      <c r="G82" s="105">
        <v>7.0</v>
      </c>
      <c r="H82" s="105">
        <v>0.0</v>
      </c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>
      <c r="A83" s="103">
        <v>81.0</v>
      </c>
      <c r="B83" s="104" t="s">
        <v>1655</v>
      </c>
      <c r="C83" s="104" t="s">
        <v>1727</v>
      </c>
      <c r="D83" s="103">
        <v>2.0</v>
      </c>
      <c r="E83" s="103">
        <v>0.0</v>
      </c>
      <c r="F83" s="103">
        <v>0.0</v>
      </c>
      <c r="G83" s="103">
        <v>6.0</v>
      </c>
      <c r="H83" s="103">
        <v>0.0</v>
      </c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>
      <c r="A84" s="105">
        <v>82.0</v>
      </c>
      <c r="B84" s="106" t="s">
        <v>1656</v>
      </c>
      <c r="C84" s="106" t="s">
        <v>1727</v>
      </c>
      <c r="D84" s="105">
        <v>3.0</v>
      </c>
      <c r="E84" s="105">
        <v>0.0</v>
      </c>
      <c r="F84" s="105">
        <v>0.0</v>
      </c>
      <c r="G84" s="105">
        <v>5.0</v>
      </c>
      <c r="H84" s="105">
        <v>0.0</v>
      </c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>
      <c r="A85" s="103">
        <v>83.0</v>
      </c>
      <c r="B85" s="104" t="s">
        <v>1657</v>
      </c>
      <c r="C85" s="104" t="s">
        <v>1727</v>
      </c>
      <c r="D85" s="103">
        <v>3.0</v>
      </c>
      <c r="E85" s="103">
        <v>0.0</v>
      </c>
      <c r="F85" s="103">
        <v>0.0</v>
      </c>
      <c r="G85" s="103">
        <v>5.0</v>
      </c>
      <c r="H85" s="103">
        <v>0.0</v>
      </c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>
      <c r="A86" s="105">
        <v>84.0</v>
      </c>
      <c r="B86" s="106" t="s">
        <v>1658</v>
      </c>
      <c r="C86" s="106" t="s">
        <v>1727</v>
      </c>
      <c r="D86" s="105">
        <v>4.0</v>
      </c>
      <c r="E86" s="105">
        <v>0.0</v>
      </c>
      <c r="F86" s="105">
        <v>0.0</v>
      </c>
      <c r="G86" s="105">
        <v>4.0</v>
      </c>
      <c r="H86" s="105">
        <v>0.0</v>
      </c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>
      <c r="A87" s="103">
        <v>85.0</v>
      </c>
      <c r="B87" s="104" t="s">
        <v>1659</v>
      </c>
      <c r="C87" s="104" t="s">
        <v>1727</v>
      </c>
      <c r="D87" s="103">
        <v>2.0</v>
      </c>
      <c r="E87" s="103">
        <v>0.0</v>
      </c>
      <c r="F87" s="103">
        <v>0.0</v>
      </c>
      <c r="G87" s="103">
        <v>6.0</v>
      </c>
      <c r="H87" s="103">
        <v>0.0</v>
      </c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>
      <c r="A88" s="105">
        <v>86.0</v>
      </c>
      <c r="B88" s="106" t="s">
        <v>1660</v>
      </c>
      <c r="C88" s="106" t="s">
        <v>1727</v>
      </c>
      <c r="D88" s="105">
        <v>2.0</v>
      </c>
      <c r="E88" s="105">
        <v>0.0</v>
      </c>
      <c r="F88" s="105">
        <v>0.0</v>
      </c>
      <c r="G88" s="105">
        <v>6.0</v>
      </c>
      <c r="H88" s="105">
        <v>0.0</v>
      </c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>
      <c r="A89" s="103">
        <v>87.0</v>
      </c>
      <c r="B89" s="104" t="s">
        <v>1661</v>
      </c>
      <c r="C89" s="104" t="s">
        <v>1727</v>
      </c>
      <c r="D89" s="103">
        <v>2.0</v>
      </c>
      <c r="E89" s="103">
        <v>0.0</v>
      </c>
      <c r="F89" s="103">
        <v>0.0</v>
      </c>
      <c r="G89" s="103">
        <v>6.0</v>
      </c>
      <c r="H89" s="103">
        <v>0.0</v>
      </c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>
      <c r="A90" s="105">
        <v>88.0</v>
      </c>
      <c r="B90" s="106" t="s">
        <v>1662</v>
      </c>
      <c r="C90" s="106" t="s">
        <v>1727</v>
      </c>
      <c r="D90" s="105">
        <v>3.0</v>
      </c>
      <c r="E90" s="105">
        <v>0.0</v>
      </c>
      <c r="F90" s="105">
        <v>0.0</v>
      </c>
      <c r="G90" s="105">
        <v>5.0</v>
      </c>
      <c r="H90" s="105">
        <v>0.0</v>
      </c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>
      <c r="A91" s="103">
        <v>89.0</v>
      </c>
      <c r="B91" s="104" t="s">
        <v>1663</v>
      </c>
      <c r="C91" s="104" t="s">
        <v>1727</v>
      </c>
      <c r="D91" s="103">
        <v>0.0</v>
      </c>
      <c r="E91" s="103">
        <v>0.0</v>
      </c>
      <c r="F91" s="103">
        <v>0.0</v>
      </c>
      <c r="G91" s="103">
        <v>8.0</v>
      </c>
      <c r="H91" s="103">
        <v>0.0</v>
      </c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>
      <c r="A92" s="105">
        <v>90.0</v>
      </c>
      <c r="B92" s="106" t="s">
        <v>1664</v>
      </c>
      <c r="C92" s="106" t="s">
        <v>1727</v>
      </c>
      <c r="D92" s="105">
        <v>2.0</v>
      </c>
      <c r="E92" s="105">
        <v>0.0</v>
      </c>
      <c r="F92" s="105">
        <v>0.0</v>
      </c>
      <c r="G92" s="105">
        <v>6.0</v>
      </c>
      <c r="H92" s="105">
        <v>0.0</v>
      </c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>
      <c r="A93" s="103">
        <v>91.0</v>
      </c>
      <c r="B93" s="104" t="s">
        <v>1665</v>
      </c>
      <c r="C93" s="104" t="s">
        <v>1727</v>
      </c>
      <c r="D93" s="103">
        <v>2.0</v>
      </c>
      <c r="E93" s="103">
        <v>0.0</v>
      </c>
      <c r="F93" s="103">
        <v>0.0</v>
      </c>
      <c r="G93" s="103">
        <v>6.0</v>
      </c>
      <c r="H93" s="103">
        <v>0.0</v>
      </c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>
      <c r="A94" s="105">
        <v>92.0</v>
      </c>
      <c r="B94" s="106" t="s">
        <v>1666</v>
      </c>
      <c r="C94" s="106" t="s">
        <v>1727</v>
      </c>
      <c r="D94" s="105">
        <v>0.0</v>
      </c>
      <c r="E94" s="105">
        <v>0.0</v>
      </c>
      <c r="F94" s="105">
        <v>0.0</v>
      </c>
      <c r="G94" s="105">
        <v>8.0</v>
      </c>
      <c r="H94" s="105">
        <v>0.0</v>
      </c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>
      <c r="A95" s="103">
        <v>93.0</v>
      </c>
      <c r="B95" s="104" t="s">
        <v>1667</v>
      </c>
      <c r="C95" s="104" t="s">
        <v>1727</v>
      </c>
      <c r="D95" s="103">
        <v>0.0</v>
      </c>
      <c r="E95" s="103">
        <v>0.0</v>
      </c>
      <c r="F95" s="103">
        <v>0.0</v>
      </c>
      <c r="G95" s="103">
        <v>8.0</v>
      </c>
      <c r="H95" s="103">
        <v>0.0</v>
      </c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>
      <c r="A96" s="105">
        <v>94.0</v>
      </c>
      <c r="B96" s="106" t="s">
        <v>1668</v>
      </c>
      <c r="C96" s="106" t="s">
        <v>1727</v>
      </c>
      <c r="D96" s="105">
        <v>4.0</v>
      </c>
      <c r="E96" s="105">
        <v>0.0</v>
      </c>
      <c r="F96" s="105">
        <v>0.0</v>
      </c>
      <c r="G96" s="105">
        <v>4.0</v>
      </c>
      <c r="H96" s="105">
        <v>0.0</v>
      </c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>
      <c r="A97" s="103">
        <v>95.0</v>
      </c>
      <c r="B97" s="104" t="s">
        <v>1669</v>
      </c>
      <c r="C97" s="104" t="s">
        <v>1727</v>
      </c>
      <c r="D97" s="103">
        <v>2.0</v>
      </c>
      <c r="E97" s="103">
        <v>0.0</v>
      </c>
      <c r="F97" s="103">
        <v>0.0</v>
      </c>
      <c r="G97" s="103">
        <v>6.0</v>
      </c>
      <c r="H97" s="103">
        <v>0.0</v>
      </c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>
      <c r="A98" s="105">
        <v>96.0</v>
      </c>
      <c r="B98" s="106" t="s">
        <v>1670</v>
      </c>
      <c r="C98" s="106" t="s">
        <v>1728</v>
      </c>
      <c r="D98" s="105">
        <v>1.0</v>
      </c>
      <c r="E98" s="105">
        <v>0.0</v>
      </c>
      <c r="F98" s="105">
        <v>0.0</v>
      </c>
      <c r="G98" s="105">
        <v>7.0</v>
      </c>
      <c r="H98" s="105">
        <v>0.0</v>
      </c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>
      <c r="A99" s="103">
        <v>97.0</v>
      </c>
      <c r="B99" s="104" t="s">
        <v>1671</v>
      </c>
      <c r="C99" s="104" t="s">
        <v>1728</v>
      </c>
      <c r="D99" s="103">
        <v>0.0</v>
      </c>
      <c r="E99" s="103">
        <v>0.0</v>
      </c>
      <c r="F99" s="103">
        <v>0.0</v>
      </c>
      <c r="G99" s="103">
        <v>8.0</v>
      </c>
      <c r="H99" s="103">
        <v>0.0</v>
      </c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>
      <c r="A100" s="105">
        <v>98.0</v>
      </c>
      <c r="B100" s="106" t="s">
        <v>1672</v>
      </c>
      <c r="C100" s="106" t="s">
        <v>1728</v>
      </c>
      <c r="D100" s="105">
        <v>0.0</v>
      </c>
      <c r="E100" s="105">
        <v>0.0</v>
      </c>
      <c r="F100" s="105">
        <v>0.0</v>
      </c>
      <c r="G100" s="105">
        <v>8.0</v>
      </c>
      <c r="H100" s="105">
        <v>0.0</v>
      </c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>
      <c r="A101" s="103">
        <v>99.0</v>
      </c>
      <c r="B101" s="104" t="s">
        <v>1673</v>
      </c>
      <c r="C101" s="104" t="s">
        <v>1728</v>
      </c>
      <c r="D101" s="103">
        <v>1.0</v>
      </c>
      <c r="E101" s="103">
        <v>0.0</v>
      </c>
      <c r="F101" s="103">
        <v>0.0</v>
      </c>
      <c r="G101" s="103">
        <v>7.0</v>
      </c>
      <c r="H101" s="103">
        <v>0.0</v>
      </c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>
      <c r="A102" s="105">
        <v>100.0</v>
      </c>
      <c r="B102" s="106" t="s">
        <v>1674</v>
      </c>
      <c r="C102" s="106" t="s">
        <v>1728</v>
      </c>
      <c r="D102" s="105">
        <v>0.0</v>
      </c>
      <c r="E102" s="105">
        <v>0.0</v>
      </c>
      <c r="F102" s="105">
        <v>0.0</v>
      </c>
      <c r="G102" s="105">
        <v>8.0</v>
      </c>
      <c r="H102" s="105">
        <v>0.0</v>
      </c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>
      <c r="A103" s="103">
        <v>101.0</v>
      </c>
      <c r="B103" s="104" t="s">
        <v>1675</v>
      </c>
      <c r="C103" s="104" t="s">
        <v>1728</v>
      </c>
      <c r="D103" s="103">
        <v>1.0</v>
      </c>
      <c r="E103" s="103">
        <v>0.0</v>
      </c>
      <c r="F103" s="103">
        <v>0.0</v>
      </c>
      <c r="G103" s="103">
        <v>7.0</v>
      </c>
      <c r="H103" s="103">
        <v>0.0</v>
      </c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>
      <c r="A104" s="105">
        <v>102.0</v>
      </c>
      <c r="B104" s="106" t="s">
        <v>1676</v>
      </c>
      <c r="C104" s="106" t="s">
        <v>1728</v>
      </c>
      <c r="D104" s="105">
        <v>1.0</v>
      </c>
      <c r="E104" s="105">
        <v>0.0</v>
      </c>
      <c r="F104" s="105">
        <v>0.0</v>
      </c>
      <c r="G104" s="105">
        <v>7.0</v>
      </c>
      <c r="H104" s="105">
        <v>0.0</v>
      </c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>
      <c r="A105" s="103">
        <v>103.0</v>
      </c>
      <c r="B105" s="104" t="s">
        <v>1677</v>
      </c>
      <c r="C105" s="104" t="s">
        <v>1728</v>
      </c>
      <c r="D105" s="103">
        <v>1.0</v>
      </c>
      <c r="E105" s="103">
        <v>0.0</v>
      </c>
      <c r="F105" s="103">
        <v>0.0</v>
      </c>
      <c r="G105" s="103">
        <v>7.0</v>
      </c>
      <c r="H105" s="103">
        <v>0.0</v>
      </c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>
      <c r="A106" s="105">
        <v>104.0</v>
      </c>
      <c r="B106" s="106" t="s">
        <v>1678</v>
      </c>
      <c r="C106" s="106" t="s">
        <v>1728</v>
      </c>
      <c r="D106" s="105">
        <v>0.0</v>
      </c>
      <c r="E106" s="105">
        <v>0.0</v>
      </c>
      <c r="F106" s="105">
        <v>0.0</v>
      </c>
      <c r="G106" s="105">
        <v>8.0</v>
      </c>
      <c r="H106" s="105">
        <v>0.0</v>
      </c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>
      <c r="A107" s="103">
        <v>105.0</v>
      </c>
      <c r="B107" s="104" t="s">
        <v>1679</v>
      </c>
      <c r="C107" s="104" t="s">
        <v>1728</v>
      </c>
      <c r="D107" s="103">
        <v>1.0</v>
      </c>
      <c r="E107" s="103">
        <v>0.0</v>
      </c>
      <c r="F107" s="103">
        <v>0.0</v>
      </c>
      <c r="G107" s="103">
        <v>7.0</v>
      </c>
      <c r="H107" s="103">
        <v>0.0</v>
      </c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>
      <c r="A108" s="105">
        <v>106.0</v>
      </c>
      <c r="B108" s="106" t="s">
        <v>1680</v>
      </c>
      <c r="C108" s="106" t="s">
        <v>1728</v>
      </c>
      <c r="D108" s="105">
        <v>1.0</v>
      </c>
      <c r="E108" s="105">
        <v>0.0</v>
      </c>
      <c r="F108" s="105">
        <v>0.0</v>
      </c>
      <c r="G108" s="105">
        <v>7.0</v>
      </c>
      <c r="H108" s="105">
        <v>0.0</v>
      </c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>
      <c r="A109" s="103">
        <v>107.0</v>
      </c>
      <c r="B109" s="104" t="s">
        <v>1681</v>
      </c>
      <c r="C109" s="104" t="s">
        <v>1728</v>
      </c>
      <c r="D109" s="103">
        <v>3.0</v>
      </c>
      <c r="E109" s="103">
        <v>0.0</v>
      </c>
      <c r="F109" s="103">
        <v>0.0</v>
      </c>
      <c r="G109" s="103">
        <v>5.0</v>
      </c>
      <c r="H109" s="103">
        <v>0.0</v>
      </c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>
      <c r="A110" s="105">
        <v>108.0</v>
      </c>
      <c r="B110" s="106" t="s">
        <v>1682</v>
      </c>
      <c r="C110" s="106" t="s">
        <v>1728</v>
      </c>
      <c r="D110" s="105">
        <v>2.0</v>
      </c>
      <c r="E110" s="105">
        <v>0.0</v>
      </c>
      <c r="F110" s="105">
        <v>0.0</v>
      </c>
      <c r="G110" s="105">
        <v>6.0</v>
      </c>
      <c r="H110" s="105">
        <v>0.0</v>
      </c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>
      <c r="A111" s="103">
        <v>109.0</v>
      </c>
      <c r="B111" s="104" t="s">
        <v>1683</v>
      </c>
      <c r="C111" s="104" t="s">
        <v>1728</v>
      </c>
      <c r="D111" s="103">
        <v>1.0</v>
      </c>
      <c r="E111" s="103">
        <v>0.0</v>
      </c>
      <c r="F111" s="103">
        <v>0.0</v>
      </c>
      <c r="G111" s="103">
        <v>7.0</v>
      </c>
      <c r="H111" s="103">
        <v>0.0</v>
      </c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>
      <c r="A112" s="105">
        <v>110.0</v>
      </c>
      <c r="B112" s="106" t="s">
        <v>1684</v>
      </c>
      <c r="C112" s="106" t="s">
        <v>1728</v>
      </c>
      <c r="D112" s="105">
        <v>1.0</v>
      </c>
      <c r="E112" s="105">
        <v>0.0</v>
      </c>
      <c r="F112" s="105">
        <v>0.0</v>
      </c>
      <c r="G112" s="105">
        <v>7.0</v>
      </c>
      <c r="H112" s="105">
        <v>0.0</v>
      </c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>
      <c r="A113" s="103">
        <v>111.0</v>
      </c>
      <c r="B113" s="104" t="s">
        <v>1685</v>
      </c>
      <c r="C113" s="104" t="s">
        <v>1728</v>
      </c>
      <c r="D113" s="103">
        <v>0.0</v>
      </c>
      <c r="E113" s="103">
        <v>0.0</v>
      </c>
      <c r="F113" s="103">
        <v>0.0</v>
      </c>
      <c r="G113" s="103">
        <v>8.0</v>
      </c>
      <c r="H113" s="103">
        <v>0.0</v>
      </c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>
      <c r="A114" s="105">
        <v>112.0</v>
      </c>
      <c r="B114" s="106" t="s">
        <v>1686</v>
      </c>
      <c r="C114" s="106" t="s">
        <v>1728</v>
      </c>
      <c r="D114" s="105">
        <v>1.0</v>
      </c>
      <c r="E114" s="105">
        <v>0.0</v>
      </c>
      <c r="F114" s="105">
        <v>0.0</v>
      </c>
      <c r="G114" s="105">
        <v>7.0</v>
      </c>
      <c r="H114" s="105">
        <v>0.0</v>
      </c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>
      <c r="A115" s="103">
        <v>113.0</v>
      </c>
      <c r="B115" s="104" t="s">
        <v>1687</v>
      </c>
      <c r="C115" s="104" t="s">
        <v>1728</v>
      </c>
      <c r="D115" s="103">
        <v>0.0</v>
      </c>
      <c r="E115" s="103">
        <v>0.0</v>
      </c>
      <c r="F115" s="103">
        <v>0.0</v>
      </c>
      <c r="G115" s="103">
        <v>8.0</v>
      </c>
      <c r="H115" s="103">
        <v>0.0</v>
      </c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>
      <c r="A116" s="105">
        <v>114.0</v>
      </c>
      <c r="B116" s="106" t="s">
        <v>1688</v>
      </c>
      <c r="C116" s="106" t="s">
        <v>1728</v>
      </c>
      <c r="D116" s="105">
        <v>1.0</v>
      </c>
      <c r="E116" s="105">
        <v>0.0</v>
      </c>
      <c r="F116" s="105">
        <v>0.0</v>
      </c>
      <c r="G116" s="105">
        <v>7.0</v>
      </c>
      <c r="H116" s="105">
        <v>0.0</v>
      </c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>
      <c r="A117" s="103">
        <v>115.0</v>
      </c>
      <c r="B117" s="104" t="s">
        <v>1689</v>
      </c>
      <c r="C117" s="104" t="s">
        <v>1728</v>
      </c>
      <c r="D117" s="103">
        <v>1.0</v>
      </c>
      <c r="E117" s="103">
        <v>0.0</v>
      </c>
      <c r="F117" s="103">
        <v>0.0</v>
      </c>
      <c r="G117" s="103">
        <v>7.0</v>
      </c>
      <c r="H117" s="103">
        <v>0.0</v>
      </c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>
      <c r="A118" s="105">
        <v>116.0</v>
      </c>
      <c r="B118" s="106" t="s">
        <v>1690</v>
      </c>
      <c r="C118" s="106" t="s">
        <v>1728</v>
      </c>
      <c r="D118" s="105">
        <v>1.0</v>
      </c>
      <c r="E118" s="105">
        <v>0.0</v>
      </c>
      <c r="F118" s="105">
        <v>0.0</v>
      </c>
      <c r="G118" s="105">
        <v>7.0</v>
      </c>
      <c r="H118" s="105">
        <v>0.0</v>
      </c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>
      <c r="A119" s="103">
        <v>117.0</v>
      </c>
      <c r="B119" s="104" t="s">
        <v>1691</v>
      </c>
      <c r="C119" s="104" t="s">
        <v>1728</v>
      </c>
      <c r="D119" s="103">
        <v>1.0</v>
      </c>
      <c r="E119" s="103">
        <v>0.0</v>
      </c>
      <c r="F119" s="103">
        <v>0.0</v>
      </c>
      <c r="G119" s="103">
        <v>7.0</v>
      </c>
      <c r="H119" s="103">
        <v>0.0</v>
      </c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>
      <c r="A120" s="105">
        <v>118.0</v>
      </c>
      <c r="B120" s="106" t="s">
        <v>1692</v>
      </c>
      <c r="C120" s="106" t="s">
        <v>1728</v>
      </c>
      <c r="D120" s="105">
        <v>0.0</v>
      </c>
      <c r="E120" s="105">
        <v>0.0</v>
      </c>
      <c r="F120" s="105">
        <v>0.0</v>
      </c>
      <c r="G120" s="105">
        <v>8.0</v>
      </c>
      <c r="H120" s="105">
        <v>0.0</v>
      </c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>
      <c r="A121" s="103">
        <v>119.0</v>
      </c>
      <c r="B121" s="104" t="s">
        <v>1693</v>
      </c>
      <c r="C121" s="104" t="s">
        <v>1728</v>
      </c>
      <c r="D121" s="103">
        <v>3.0</v>
      </c>
      <c r="E121" s="103">
        <v>0.0</v>
      </c>
      <c r="F121" s="103">
        <v>0.0</v>
      </c>
      <c r="G121" s="103">
        <v>5.0</v>
      </c>
      <c r="H121" s="103">
        <v>0.0</v>
      </c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>
      <c r="A122" s="105">
        <v>120.0</v>
      </c>
      <c r="B122" s="106" t="s">
        <v>1694</v>
      </c>
      <c r="C122" s="106" t="s">
        <v>1728</v>
      </c>
      <c r="D122" s="105">
        <v>0.0</v>
      </c>
      <c r="E122" s="105">
        <v>0.0</v>
      </c>
      <c r="F122" s="105">
        <v>0.0</v>
      </c>
      <c r="G122" s="105">
        <v>8.0</v>
      </c>
      <c r="H122" s="105">
        <v>0.0</v>
      </c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>
      <c r="A123" s="103">
        <v>121.0</v>
      </c>
      <c r="B123" s="104" t="s">
        <v>1695</v>
      </c>
      <c r="C123" s="104" t="s">
        <v>1728</v>
      </c>
      <c r="D123" s="103">
        <v>1.0</v>
      </c>
      <c r="E123" s="103">
        <v>0.0</v>
      </c>
      <c r="F123" s="103">
        <v>0.0</v>
      </c>
      <c r="G123" s="103">
        <v>7.0</v>
      </c>
      <c r="H123" s="103">
        <v>0.0</v>
      </c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>
      <c r="A124" s="105">
        <v>122.0</v>
      </c>
      <c r="B124" s="106" t="s">
        <v>1696</v>
      </c>
      <c r="C124" s="106" t="s">
        <v>1728</v>
      </c>
      <c r="D124" s="105">
        <v>2.0</v>
      </c>
      <c r="E124" s="105">
        <v>0.0</v>
      </c>
      <c r="F124" s="105">
        <v>0.0</v>
      </c>
      <c r="G124" s="105">
        <v>6.0</v>
      </c>
      <c r="H124" s="105">
        <v>0.0</v>
      </c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>
      <c r="A125" s="103">
        <v>123.0</v>
      </c>
      <c r="B125" s="104" t="s">
        <v>1697</v>
      </c>
      <c r="C125" s="104" t="s">
        <v>1728</v>
      </c>
      <c r="D125" s="103">
        <v>2.0</v>
      </c>
      <c r="E125" s="103">
        <v>0.0</v>
      </c>
      <c r="F125" s="103">
        <v>0.0</v>
      </c>
      <c r="G125" s="103">
        <v>6.0</v>
      </c>
      <c r="H125" s="103">
        <v>0.0</v>
      </c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>
      <c r="A126" s="105">
        <v>124.0</v>
      </c>
      <c r="B126" s="106" t="s">
        <v>1698</v>
      </c>
      <c r="C126" s="106" t="s">
        <v>1728</v>
      </c>
      <c r="D126" s="105">
        <v>0.0</v>
      </c>
      <c r="E126" s="105">
        <v>0.0</v>
      </c>
      <c r="F126" s="105">
        <v>0.0</v>
      </c>
      <c r="G126" s="105">
        <v>8.0</v>
      </c>
      <c r="H126" s="105">
        <v>0.0</v>
      </c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>
      <c r="A127" s="103">
        <v>125.0</v>
      </c>
      <c r="B127" s="104" t="s">
        <v>1699</v>
      </c>
      <c r="C127" s="104" t="s">
        <v>1728</v>
      </c>
      <c r="D127" s="103">
        <v>0.0</v>
      </c>
      <c r="E127" s="103">
        <v>0.0</v>
      </c>
      <c r="F127" s="103">
        <v>0.0</v>
      </c>
      <c r="G127" s="103">
        <v>8.0</v>
      </c>
      <c r="H127" s="103">
        <v>0.0</v>
      </c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>
      <c r="A128" s="105">
        <v>126.0</v>
      </c>
      <c r="B128" s="106" t="s">
        <v>1700</v>
      </c>
      <c r="C128" s="106" t="s">
        <v>1728</v>
      </c>
      <c r="D128" s="105">
        <v>1.0</v>
      </c>
      <c r="E128" s="105">
        <v>0.0</v>
      </c>
      <c r="F128" s="105">
        <v>0.0</v>
      </c>
      <c r="G128" s="105">
        <v>7.0</v>
      </c>
      <c r="H128" s="105">
        <v>0.0</v>
      </c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>
      <c r="A129" s="103">
        <v>127.0</v>
      </c>
      <c r="B129" s="104" t="s">
        <v>1701</v>
      </c>
      <c r="C129" s="104" t="s">
        <v>1728</v>
      </c>
      <c r="D129" s="103">
        <v>3.0</v>
      </c>
      <c r="E129" s="103">
        <v>0.0</v>
      </c>
      <c r="F129" s="103">
        <v>0.0</v>
      </c>
      <c r="G129" s="103">
        <v>5.0</v>
      </c>
      <c r="H129" s="103">
        <v>0.0</v>
      </c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>
      <c r="A130" s="105">
        <v>128.0</v>
      </c>
      <c r="B130" s="106" t="s">
        <v>1702</v>
      </c>
      <c r="C130" s="106" t="s">
        <v>1728</v>
      </c>
      <c r="D130" s="105">
        <v>1.0</v>
      </c>
      <c r="E130" s="105">
        <v>0.0</v>
      </c>
      <c r="F130" s="105">
        <v>0.0</v>
      </c>
      <c r="G130" s="105">
        <v>7.0</v>
      </c>
      <c r="H130" s="105">
        <v>0.0</v>
      </c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>
      <c r="A131" s="103">
        <v>129.0</v>
      </c>
      <c r="B131" s="104" t="s">
        <v>1703</v>
      </c>
      <c r="C131" s="104" t="s">
        <v>1728</v>
      </c>
      <c r="D131" s="103">
        <v>1.0</v>
      </c>
      <c r="E131" s="103">
        <v>0.0</v>
      </c>
      <c r="F131" s="103">
        <v>0.0</v>
      </c>
      <c r="G131" s="103">
        <v>7.0</v>
      </c>
      <c r="H131" s="103">
        <v>0.0</v>
      </c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>
      <c r="A132" s="105">
        <v>130.0</v>
      </c>
      <c r="B132" s="106" t="s">
        <v>1704</v>
      </c>
      <c r="C132" s="106" t="s">
        <v>1728</v>
      </c>
      <c r="D132" s="105">
        <v>1.0</v>
      </c>
      <c r="E132" s="105">
        <v>0.0</v>
      </c>
      <c r="F132" s="105">
        <v>0.0</v>
      </c>
      <c r="G132" s="105">
        <v>7.0</v>
      </c>
      <c r="H132" s="105">
        <v>0.0</v>
      </c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>
      <c r="A133" s="103">
        <v>131.0</v>
      </c>
      <c r="B133" s="104" t="s">
        <v>1705</v>
      </c>
      <c r="C133" s="104" t="s">
        <v>1728</v>
      </c>
      <c r="D133" s="103">
        <v>1.0</v>
      </c>
      <c r="E133" s="103">
        <v>0.0</v>
      </c>
      <c r="F133" s="103">
        <v>0.0</v>
      </c>
      <c r="G133" s="103">
        <v>7.0</v>
      </c>
      <c r="H133" s="103">
        <v>0.0</v>
      </c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>
      <c r="A134" s="105">
        <v>132.0</v>
      </c>
      <c r="B134" s="106" t="s">
        <v>1706</v>
      </c>
      <c r="C134" s="106" t="s">
        <v>1728</v>
      </c>
      <c r="D134" s="105">
        <v>0.0</v>
      </c>
      <c r="E134" s="105">
        <v>0.0</v>
      </c>
      <c r="F134" s="105">
        <v>0.0</v>
      </c>
      <c r="G134" s="105">
        <v>8.0</v>
      </c>
      <c r="H134" s="105">
        <v>0.0</v>
      </c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>
      <c r="A135" s="103">
        <v>133.0</v>
      </c>
      <c r="B135" s="104" t="s">
        <v>1707</v>
      </c>
      <c r="C135" s="104" t="s">
        <v>1728</v>
      </c>
      <c r="D135" s="103">
        <v>0.0</v>
      </c>
      <c r="E135" s="103">
        <v>0.0</v>
      </c>
      <c r="F135" s="103">
        <v>0.0</v>
      </c>
      <c r="G135" s="103">
        <v>8.0</v>
      </c>
      <c r="H135" s="103">
        <v>0.0</v>
      </c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>
      <c r="A136" s="105">
        <v>134.0</v>
      </c>
      <c r="B136" s="106" t="s">
        <v>1708</v>
      </c>
      <c r="C136" s="106" t="s">
        <v>1728</v>
      </c>
      <c r="D136" s="105">
        <v>2.0</v>
      </c>
      <c r="E136" s="105">
        <v>0.0</v>
      </c>
      <c r="F136" s="105">
        <v>0.0</v>
      </c>
      <c r="G136" s="105">
        <v>6.0</v>
      </c>
      <c r="H136" s="105">
        <v>0.0</v>
      </c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>
      <c r="A137" s="103">
        <v>135.0</v>
      </c>
      <c r="B137" s="104" t="s">
        <v>1709</v>
      </c>
      <c r="C137" s="104" t="s">
        <v>1728</v>
      </c>
      <c r="D137" s="103">
        <v>2.0</v>
      </c>
      <c r="E137" s="103">
        <v>0.0</v>
      </c>
      <c r="F137" s="103">
        <v>0.0</v>
      </c>
      <c r="G137" s="103">
        <v>6.0</v>
      </c>
      <c r="H137" s="103">
        <v>0.0</v>
      </c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>
      <c r="A138" s="105">
        <v>136.0</v>
      </c>
      <c r="B138" s="106" t="s">
        <v>1710</v>
      </c>
      <c r="C138" s="106" t="s">
        <v>1728</v>
      </c>
      <c r="D138" s="105">
        <v>2.0</v>
      </c>
      <c r="E138" s="105">
        <v>0.0</v>
      </c>
      <c r="F138" s="105">
        <v>0.0</v>
      </c>
      <c r="G138" s="105">
        <v>6.0</v>
      </c>
      <c r="H138" s="105">
        <v>0.0</v>
      </c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>
      <c r="A139" s="103">
        <v>137.0</v>
      </c>
      <c r="B139" s="104" t="s">
        <v>1711</v>
      </c>
      <c r="C139" s="104" t="s">
        <v>1728</v>
      </c>
      <c r="D139" s="103">
        <v>2.0</v>
      </c>
      <c r="E139" s="103">
        <v>0.0</v>
      </c>
      <c r="F139" s="103">
        <v>0.0</v>
      </c>
      <c r="G139" s="103">
        <v>6.0</v>
      </c>
      <c r="H139" s="103">
        <v>0.0</v>
      </c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>
      <c r="A140" s="105">
        <v>138.0</v>
      </c>
      <c r="B140" s="106" t="s">
        <v>1712</v>
      </c>
      <c r="C140" s="106" t="s">
        <v>1728</v>
      </c>
      <c r="D140" s="105">
        <v>1.0</v>
      </c>
      <c r="E140" s="105">
        <v>0.0</v>
      </c>
      <c r="F140" s="105">
        <v>0.0</v>
      </c>
      <c r="G140" s="105">
        <v>7.0</v>
      </c>
      <c r="H140" s="105">
        <v>0.0</v>
      </c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>
      <c r="A141" s="103">
        <v>139.0</v>
      </c>
      <c r="B141" s="104" t="s">
        <v>1713</v>
      </c>
      <c r="C141" s="104" t="s">
        <v>1728</v>
      </c>
      <c r="D141" s="103">
        <v>1.0</v>
      </c>
      <c r="E141" s="103">
        <v>0.0</v>
      </c>
      <c r="F141" s="103">
        <v>0.0</v>
      </c>
      <c r="G141" s="103">
        <v>7.0</v>
      </c>
      <c r="H141" s="103">
        <v>0.0</v>
      </c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>
      <c r="A142" s="105">
        <v>140.0</v>
      </c>
      <c r="B142" s="106" t="s">
        <v>1714</v>
      </c>
      <c r="C142" s="106" t="s">
        <v>1728</v>
      </c>
      <c r="D142" s="105">
        <v>1.0</v>
      </c>
      <c r="E142" s="105">
        <v>0.0</v>
      </c>
      <c r="F142" s="105">
        <v>0.0</v>
      </c>
      <c r="G142" s="105">
        <v>7.0</v>
      </c>
      <c r="H142" s="105">
        <v>0.0</v>
      </c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>
      <c r="A143" s="103">
        <v>141.0</v>
      </c>
      <c r="B143" s="104" t="s">
        <v>1715</v>
      </c>
      <c r="C143" s="104" t="s">
        <v>1728</v>
      </c>
      <c r="D143" s="103">
        <v>1.0</v>
      </c>
      <c r="E143" s="103">
        <v>0.0</v>
      </c>
      <c r="F143" s="103">
        <v>0.0</v>
      </c>
      <c r="G143" s="103">
        <v>7.0</v>
      </c>
      <c r="H143" s="103">
        <v>0.0</v>
      </c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>
      <c r="A144" s="105">
        <v>142.0</v>
      </c>
      <c r="B144" s="106" t="s">
        <v>1716</v>
      </c>
      <c r="C144" s="106" t="s">
        <v>1728</v>
      </c>
      <c r="D144" s="105">
        <v>0.0</v>
      </c>
      <c r="E144" s="105">
        <v>0.0</v>
      </c>
      <c r="F144" s="105">
        <v>0.0</v>
      </c>
      <c r="G144" s="105">
        <v>8.0</v>
      </c>
      <c r="H144" s="105">
        <v>0.0</v>
      </c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>
      <c r="A145" s="103">
        <v>143.0</v>
      </c>
      <c r="B145" s="104" t="s">
        <v>1717</v>
      </c>
      <c r="C145" s="104" t="s">
        <v>1728</v>
      </c>
      <c r="D145" s="103">
        <v>1.0</v>
      </c>
      <c r="E145" s="103">
        <v>0.0</v>
      </c>
      <c r="F145" s="103">
        <v>0.0</v>
      </c>
      <c r="G145" s="103">
        <v>7.0</v>
      </c>
      <c r="H145" s="103">
        <v>0.0</v>
      </c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>
      <c r="A146" s="105">
        <v>144.0</v>
      </c>
      <c r="B146" s="106" t="s">
        <v>1348</v>
      </c>
      <c r="C146" s="106" t="s">
        <v>1729</v>
      </c>
      <c r="D146" s="105">
        <v>0.0</v>
      </c>
      <c r="E146" s="105">
        <v>0.0</v>
      </c>
      <c r="F146" s="105">
        <v>0.0</v>
      </c>
      <c r="G146" s="105">
        <v>8.0</v>
      </c>
      <c r="H146" s="105">
        <v>0.0</v>
      </c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>
      <c r="A147" s="103">
        <v>145.0</v>
      </c>
      <c r="B147" s="104" t="s">
        <v>1349</v>
      </c>
      <c r="C147" s="104" t="s">
        <v>1729</v>
      </c>
      <c r="D147" s="103">
        <v>0.0</v>
      </c>
      <c r="E147" s="103">
        <v>0.0</v>
      </c>
      <c r="F147" s="103">
        <v>0.0</v>
      </c>
      <c r="G147" s="103">
        <v>8.0</v>
      </c>
      <c r="H147" s="103">
        <v>0.0</v>
      </c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>
      <c r="A148" s="105">
        <v>146.0</v>
      </c>
      <c r="B148" s="106" t="s">
        <v>1350</v>
      </c>
      <c r="C148" s="106" t="s">
        <v>1729</v>
      </c>
      <c r="D148" s="105">
        <v>1.0</v>
      </c>
      <c r="E148" s="105">
        <v>0.0</v>
      </c>
      <c r="F148" s="105">
        <v>0.0</v>
      </c>
      <c r="G148" s="105">
        <v>7.0</v>
      </c>
      <c r="H148" s="105">
        <v>0.0</v>
      </c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>
      <c r="A149" s="103">
        <v>147.0</v>
      </c>
      <c r="B149" s="104" t="s">
        <v>1351</v>
      </c>
      <c r="C149" s="104" t="s">
        <v>1729</v>
      </c>
      <c r="D149" s="103">
        <v>0.0</v>
      </c>
      <c r="E149" s="103">
        <v>0.0</v>
      </c>
      <c r="F149" s="103">
        <v>1.0</v>
      </c>
      <c r="G149" s="103">
        <v>7.0</v>
      </c>
      <c r="H149" s="103">
        <v>0.0</v>
      </c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>
      <c r="A150" s="105">
        <v>148.0</v>
      </c>
      <c r="B150" s="106" t="s">
        <v>1352</v>
      </c>
      <c r="C150" s="106" t="s">
        <v>1729</v>
      </c>
      <c r="D150" s="105">
        <v>1.0</v>
      </c>
      <c r="E150" s="105">
        <v>0.0</v>
      </c>
      <c r="F150" s="105">
        <v>0.0</v>
      </c>
      <c r="G150" s="105">
        <v>7.0</v>
      </c>
      <c r="H150" s="105">
        <v>0.0</v>
      </c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>
      <c r="A151" s="103">
        <v>149.0</v>
      </c>
      <c r="B151" s="104" t="s">
        <v>1353</v>
      </c>
      <c r="C151" s="104" t="s">
        <v>1729</v>
      </c>
      <c r="D151" s="103">
        <v>1.0</v>
      </c>
      <c r="E151" s="103">
        <v>0.0</v>
      </c>
      <c r="F151" s="103">
        <v>0.0</v>
      </c>
      <c r="G151" s="103">
        <v>7.0</v>
      </c>
      <c r="H151" s="103">
        <v>0.0</v>
      </c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>
      <c r="A152" s="105">
        <v>150.0</v>
      </c>
      <c r="B152" s="106" t="s">
        <v>1354</v>
      </c>
      <c r="C152" s="106" t="s">
        <v>1729</v>
      </c>
      <c r="D152" s="105">
        <v>0.0</v>
      </c>
      <c r="E152" s="105">
        <v>0.0</v>
      </c>
      <c r="F152" s="105">
        <v>0.0</v>
      </c>
      <c r="G152" s="105">
        <v>8.0</v>
      </c>
      <c r="H152" s="105">
        <v>0.0</v>
      </c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>
      <c r="A153" s="103">
        <v>151.0</v>
      </c>
      <c r="B153" s="104" t="s">
        <v>1355</v>
      </c>
      <c r="C153" s="104" t="s">
        <v>1729</v>
      </c>
      <c r="D153" s="103">
        <v>0.0</v>
      </c>
      <c r="E153" s="103">
        <v>0.0</v>
      </c>
      <c r="F153" s="103">
        <v>0.0</v>
      </c>
      <c r="G153" s="103">
        <v>8.0</v>
      </c>
      <c r="H153" s="103">
        <v>0.0</v>
      </c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>
      <c r="A154" s="105">
        <v>152.0</v>
      </c>
      <c r="B154" s="106" t="s">
        <v>1356</v>
      </c>
      <c r="C154" s="106" t="s">
        <v>1729</v>
      </c>
      <c r="D154" s="105">
        <v>2.0</v>
      </c>
      <c r="E154" s="105">
        <v>0.0</v>
      </c>
      <c r="F154" s="105">
        <v>0.0</v>
      </c>
      <c r="G154" s="105">
        <v>6.0</v>
      </c>
      <c r="H154" s="105">
        <v>0.0</v>
      </c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>
      <c r="A155" s="103">
        <v>153.0</v>
      </c>
      <c r="B155" s="104" t="s">
        <v>1357</v>
      </c>
      <c r="C155" s="104" t="s">
        <v>1729</v>
      </c>
      <c r="D155" s="103">
        <v>0.0</v>
      </c>
      <c r="E155" s="103">
        <v>0.0</v>
      </c>
      <c r="F155" s="103">
        <v>0.0</v>
      </c>
      <c r="G155" s="103">
        <v>8.0</v>
      </c>
      <c r="H155" s="103">
        <v>0.0</v>
      </c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>
      <c r="A156" s="105">
        <v>154.0</v>
      </c>
      <c r="B156" s="106" t="s">
        <v>1358</v>
      </c>
      <c r="C156" s="106" t="s">
        <v>1729</v>
      </c>
      <c r="D156" s="105">
        <v>1.0</v>
      </c>
      <c r="E156" s="105">
        <v>0.0</v>
      </c>
      <c r="F156" s="105">
        <v>0.0</v>
      </c>
      <c r="G156" s="105">
        <v>7.0</v>
      </c>
      <c r="H156" s="105">
        <v>0.0</v>
      </c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>
      <c r="A157" s="103">
        <v>155.0</v>
      </c>
      <c r="B157" s="104" t="s">
        <v>1359</v>
      </c>
      <c r="C157" s="104" t="s">
        <v>1729</v>
      </c>
      <c r="D157" s="103">
        <v>0.0</v>
      </c>
      <c r="E157" s="103">
        <v>0.0</v>
      </c>
      <c r="F157" s="103">
        <v>0.0</v>
      </c>
      <c r="G157" s="103">
        <v>8.0</v>
      </c>
      <c r="H157" s="103">
        <v>0.0</v>
      </c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>
      <c r="A158" s="105">
        <v>156.0</v>
      </c>
      <c r="B158" s="106" t="s">
        <v>1360</v>
      </c>
      <c r="C158" s="106" t="s">
        <v>1729</v>
      </c>
      <c r="D158" s="105">
        <v>0.0</v>
      </c>
      <c r="E158" s="105">
        <v>0.0</v>
      </c>
      <c r="F158" s="105">
        <v>0.0</v>
      </c>
      <c r="G158" s="105">
        <v>8.0</v>
      </c>
      <c r="H158" s="105">
        <v>0.0</v>
      </c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>
      <c r="A159" s="103">
        <v>157.0</v>
      </c>
      <c r="B159" s="104" t="s">
        <v>1361</v>
      </c>
      <c r="C159" s="104" t="s">
        <v>1729</v>
      </c>
      <c r="D159" s="103">
        <v>0.0</v>
      </c>
      <c r="E159" s="103">
        <v>0.0</v>
      </c>
      <c r="F159" s="103">
        <v>0.0</v>
      </c>
      <c r="G159" s="103">
        <v>8.0</v>
      </c>
      <c r="H159" s="103">
        <v>0.0</v>
      </c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>
      <c r="A160" s="105">
        <v>158.0</v>
      </c>
      <c r="B160" s="106" t="s">
        <v>1730</v>
      </c>
      <c r="C160" s="106" t="s">
        <v>1729</v>
      </c>
      <c r="D160" s="105">
        <v>0.0</v>
      </c>
      <c r="E160" s="105">
        <v>0.0</v>
      </c>
      <c r="F160" s="105">
        <v>0.0</v>
      </c>
      <c r="G160" s="105">
        <v>8.0</v>
      </c>
      <c r="H160" s="105">
        <v>0.0</v>
      </c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>
      <c r="A161" s="103">
        <v>159.0</v>
      </c>
      <c r="B161" s="104" t="s">
        <v>1731</v>
      </c>
      <c r="C161" s="104" t="s">
        <v>1729</v>
      </c>
      <c r="D161" s="103">
        <v>0.0</v>
      </c>
      <c r="E161" s="103">
        <v>0.0</v>
      </c>
      <c r="F161" s="103">
        <v>0.0</v>
      </c>
      <c r="G161" s="103">
        <v>8.0</v>
      </c>
      <c r="H161" s="103">
        <v>0.0</v>
      </c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>
      <c r="A162" s="105">
        <v>160.0</v>
      </c>
      <c r="B162" s="106" t="s">
        <v>1362</v>
      </c>
      <c r="C162" s="106" t="s">
        <v>1729</v>
      </c>
      <c r="D162" s="105">
        <v>2.0</v>
      </c>
      <c r="E162" s="105">
        <v>0.0</v>
      </c>
      <c r="F162" s="105">
        <v>0.0</v>
      </c>
      <c r="G162" s="105">
        <v>6.0</v>
      </c>
      <c r="H162" s="105">
        <v>0.0</v>
      </c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>
      <c r="A163" s="103">
        <v>161.0</v>
      </c>
      <c r="B163" s="104" t="s">
        <v>1363</v>
      </c>
      <c r="C163" s="104" t="s">
        <v>1729</v>
      </c>
      <c r="D163" s="103">
        <v>0.0</v>
      </c>
      <c r="E163" s="103">
        <v>0.0</v>
      </c>
      <c r="F163" s="103">
        <v>0.0</v>
      </c>
      <c r="G163" s="103">
        <v>8.0</v>
      </c>
      <c r="H163" s="103">
        <v>0.0</v>
      </c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>
      <c r="A164" s="105">
        <v>162.0</v>
      </c>
      <c r="B164" s="106" t="s">
        <v>1364</v>
      </c>
      <c r="C164" s="106" t="s">
        <v>1729</v>
      </c>
      <c r="D164" s="105">
        <v>0.0</v>
      </c>
      <c r="E164" s="105">
        <v>0.0</v>
      </c>
      <c r="F164" s="105">
        <v>0.0</v>
      </c>
      <c r="G164" s="105">
        <v>8.0</v>
      </c>
      <c r="H164" s="105">
        <v>0.0</v>
      </c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>
      <c r="A165" s="103">
        <v>163.0</v>
      </c>
      <c r="B165" s="104" t="s">
        <v>1365</v>
      </c>
      <c r="C165" s="104" t="s">
        <v>1729</v>
      </c>
      <c r="D165" s="103">
        <v>0.0</v>
      </c>
      <c r="E165" s="103">
        <v>0.0</v>
      </c>
      <c r="F165" s="103">
        <v>0.0</v>
      </c>
      <c r="G165" s="103">
        <v>8.0</v>
      </c>
      <c r="H165" s="103">
        <v>0.0</v>
      </c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>
      <c r="A166" s="105">
        <v>164.0</v>
      </c>
      <c r="B166" s="106" t="s">
        <v>1366</v>
      </c>
      <c r="C166" s="106" t="s">
        <v>1729</v>
      </c>
      <c r="D166" s="105">
        <v>0.0</v>
      </c>
      <c r="E166" s="105">
        <v>0.0</v>
      </c>
      <c r="F166" s="105">
        <v>0.0</v>
      </c>
      <c r="G166" s="105">
        <v>8.0</v>
      </c>
      <c r="H166" s="105">
        <v>0.0</v>
      </c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>
      <c r="A167" s="103">
        <v>165.0</v>
      </c>
      <c r="B167" s="104" t="s">
        <v>1367</v>
      </c>
      <c r="C167" s="104" t="s">
        <v>1729</v>
      </c>
      <c r="D167" s="103">
        <v>0.0</v>
      </c>
      <c r="E167" s="103">
        <v>0.0</v>
      </c>
      <c r="F167" s="103">
        <v>0.0</v>
      </c>
      <c r="G167" s="103">
        <v>8.0</v>
      </c>
      <c r="H167" s="103">
        <v>0.0</v>
      </c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>
      <c r="A168" s="105">
        <v>166.0</v>
      </c>
      <c r="B168" s="106" t="s">
        <v>1368</v>
      </c>
      <c r="C168" s="106" t="s">
        <v>1729</v>
      </c>
      <c r="D168" s="105">
        <v>0.0</v>
      </c>
      <c r="E168" s="105">
        <v>0.0</v>
      </c>
      <c r="F168" s="105">
        <v>0.0</v>
      </c>
      <c r="G168" s="105">
        <v>8.0</v>
      </c>
      <c r="H168" s="105">
        <v>0.0</v>
      </c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>
      <c r="A169" s="103">
        <v>167.0</v>
      </c>
      <c r="B169" s="104" t="s">
        <v>1369</v>
      </c>
      <c r="C169" s="104" t="s">
        <v>1729</v>
      </c>
      <c r="D169" s="103">
        <v>1.0</v>
      </c>
      <c r="E169" s="103">
        <v>0.0</v>
      </c>
      <c r="F169" s="103">
        <v>0.0</v>
      </c>
      <c r="G169" s="103">
        <v>7.0</v>
      </c>
      <c r="H169" s="103">
        <v>0.0</v>
      </c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>
      <c r="A170" s="105">
        <v>168.0</v>
      </c>
      <c r="B170" s="106" t="s">
        <v>1370</v>
      </c>
      <c r="C170" s="106" t="s">
        <v>1729</v>
      </c>
      <c r="D170" s="105">
        <v>3.0</v>
      </c>
      <c r="E170" s="105">
        <v>0.0</v>
      </c>
      <c r="F170" s="105">
        <v>0.0</v>
      </c>
      <c r="G170" s="105">
        <v>5.0</v>
      </c>
      <c r="H170" s="105">
        <v>0.0</v>
      </c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>
      <c r="A171" s="103">
        <v>169.0</v>
      </c>
      <c r="B171" s="104" t="s">
        <v>1732</v>
      </c>
      <c r="C171" s="104" t="s">
        <v>1729</v>
      </c>
      <c r="D171" s="103">
        <v>0.0</v>
      </c>
      <c r="E171" s="103">
        <v>0.0</v>
      </c>
      <c r="F171" s="103">
        <v>0.0</v>
      </c>
      <c r="G171" s="103">
        <v>8.0</v>
      </c>
      <c r="H171" s="103">
        <v>0.0</v>
      </c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>
      <c r="A172" s="105">
        <v>170.0</v>
      </c>
      <c r="B172" s="106" t="s">
        <v>1372</v>
      </c>
      <c r="C172" s="106" t="s">
        <v>1729</v>
      </c>
      <c r="D172" s="105">
        <v>4.0</v>
      </c>
      <c r="E172" s="105">
        <v>0.0</v>
      </c>
      <c r="F172" s="105">
        <v>0.0</v>
      </c>
      <c r="G172" s="105">
        <v>4.0</v>
      </c>
      <c r="H172" s="105">
        <v>0.0</v>
      </c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>
      <c r="A173" s="103">
        <v>171.0</v>
      </c>
      <c r="B173" s="104" t="s">
        <v>1373</v>
      </c>
      <c r="C173" s="104" t="s">
        <v>1729</v>
      </c>
      <c r="D173" s="103">
        <v>2.0</v>
      </c>
      <c r="E173" s="103">
        <v>0.0</v>
      </c>
      <c r="F173" s="103">
        <v>0.0</v>
      </c>
      <c r="G173" s="103">
        <v>6.0</v>
      </c>
      <c r="H173" s="103">
        <v>0.0</v>
      </c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>
      <c r="A174" s="105">
        <v>172.0</v>
      </c>
      <c r="B174" s="106" t="s">
        <v>1374</v>
      </c>
      <c r="C174" s="106" t="s">
        <v>1729</v>
      </c>
      <c r="D174" s="105">
        <v>2.0</v>
      </c>
      <c r="E174" s="105">
        <v>0.0</v>
      </c>
      <c r="F174" s="105">
        <v>0.0</v>
      </c>
      <c r="G174" s="105">
        <v>6.0</v>
      </c>
      <c r="H174" s="105">
        <v>0.0</v>
      </c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>
      <c r="A175" s="103">
        <v>173.0</v>
      </c>
      <c r="B175" s="104" t="s">
        <v>1375</v>
      </c>
      <c r="C175" s="104" t="s">
        <v>1729</v>
      </c>
      <c r="D175" s="103">
        <v>1.0</v>
      </c>
      <c r="E175" s="103">
        <v>0.0</v>
      </c>
      <c r="F175" s="103">
        <v>0.0</v>
      </c>
      <c r="G175" s="103">
        <v>7.0</v>
      </c>
      <c r="H175" s="103">
        <v>0.0</v>
      </c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>
      <c r="A176" s="105">
        <v>174.0</v>
      </c>
      <c r="B176" s="106" t="s">
        <v>1376</v>
      </c>
      <c r="C176" s="106" t="s">
        <v>1729</v>
      </c>
      <c r="D176" s="105">
        <v>3.0</v>
      </c>
      <c r="E176" s="105">
        <v>0.0</v>
      </c>
      <c r="F176" s="105">
        <v>0.0</v>
      </c>
      <c r="G176" s="105">
        <v>5.0</v>
      </c>
      <c r="H176" s="105">
        <v>0.0</v>
      </c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>
      <c r="A177" s="103">
        <v>175.0</v>
      </c>
      <c r="B177" s="104" t="s">
        <v>1377</v>
      </c>
      <c r="C177" s="104" t="s">
        <v>1729</v>
      </c>
      <c r="D177" s="103">
        <v>2.0</v>
      </c>
      <c r="E177" s="103">
        <v>0.0</v>
      </c>
      <c r="F177" s="103">
        <v>0.0</v>
      </c>
      <c r="G177" s="103">
        <v>6.0</v>
      </c>
      <c r="H177" s="103">
        <v>0.0</v>
      </c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>
      <c r="A178" s="105">
        <v>176.0</v>
      </c>
      <c r="B178" s="106" t="s">
        <v>1378</v>
      </c>
      <c r="C178" s="106" t="s">
        <v>1729</v>
      </c>
      <c r="D178" s="105">
        <v>3.0</v>
      </c>
      <c r="E178" s="105">
        <v>0.0</v>
      </c>
      <c r="F178" s="105">
        <v>0.0</v>
      </c>
      <c r="G178" s="105">
        <v>5.0</v>
      </c>
      <c r="H178" s="105">
        <v>0.0</v>
      </c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>
      <c r="A179" s="103">
        <v>177.0</v>
      </c>
      <c r="B179" s="104" t="s">
        <v>1379</v>
      </c>
      <c r="C179" s="104" t="s">
        <v>1729</v>
      </c>
      <c r="D179" s="103">
        <v>1.0</v>
      </c>
      <c r="E179" s="103">
        <v>0.0</v>
      </c>
      <c r="F179" s="103">
        <v>0.0</v>
      </c>
      <c r="G179" s="103">
        <v>7.0</v>
      </c>
      <c r="H179" s="103">
        <v>0.0</v>
      </c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>
      <c r="A180" s="105">
        <v>178.0</v>
      </c>
      <c r="B180" s="106" t="s">
        <v>1380</v>
      </c>
      <c r="C180" s="106" t="s">
        <v>1729</v>
      </c>
      <c r="D180" s="105">
        <v>2.0</v>
      </c>
      <c r="E180" s="105">
        <v>0.0</v>
      </c>
      <c r="F180" s="105">
        <v>0.0</v>
      </c>
      <c r="G180" s="105">
        <v>6.0</v>
      </c>
      <c r="H180" s="105">
        <v>0.0</v>
      </c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>
      <c r="A181" s="103">
        <v>179.0</v>
      </c>
      <c r="B181" s="104" t="s">
        <v>1381</v>
      </c>
      <c r="C181" s="104" t="s">
        <v>1729</v>
      </c>
      <c r="D181" s="103">
        <v>2.0</v>
      </c>
      <c r="E181" s="103">
        <v>0.0</v>
      </c>
      <c r="F181" s="103">
        <v>0.0</v>
      </c>
      <c r="G181" s="103">
        <v>6.0</v>
      </c>
      <c r="H181" s="103">
        <v>0.0</v>
      </c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>
      <c r="A182" s="105">
        <v>180.0</v>
      </c>
      <c r="B182" s="106" t="s">
        <v>1382</v>
      </c>
      <c r="C182" s="106" t="s">
        <v>1729</v>
      </c>
      <c r="D182" s="105">
        <v>1.0</v>
      </c>
      <c r="E182" s="105">
        <v>0.0</v>
      </c>
      <c r="F182" s="105">
        <v>0.0</v>
      </c>
      <c r="G182" s="105">
        <v>7.0</v>
      </c>
      <c r="H182" s="105">
        <v>0.0</v>
      </c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>
      <c r="A183" s="103">
        <v>181.0</v>
      </c>
      <c r="B183" s="104" t="s">
        <v>1383</v>
      </c>
      <c r="C183" s="104" t="s">
        <v>1729</v>
      </c>
      <c r="D183" s="103">
        <v>1.0</v>
      </c>
      <c r="E183" s="103">
        <v>0.0</v>
      </c>
      <c r="F183" s="103">
        <v>0.0</v>
      </c>
      <c r="G183" s="103">
        <v>7.0</v>
      </c>
      <c r="H183" s="103">
        <v>0.0</v>
      </c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>
      <c r="A184" s="105">
        <v>182.0</v>
      </c>
      <c r="B184" s="106" t="s">
        <v>1384</v>
      </c>
      <c r="C184" s="106" t="s">
        <v>1729</v>
      </c>
      <c r="D184" s="105">
        <v>3.0</v>
      </c>
      <c r="E184" s="105">
        <v>0.0</v>
      </c>
      <c r="F184" s="105">
        <v>0.0</v>
      </c>
      <c r="G184" s="105">
        <v>5.0</v>
      </c>
      <c r="H184" s="105">
        <v>0.0</v>
      </c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>
      <c r="A185" s="103">
        <v>183.0</v>
      </c>
      <c r="B185" s="104" t="s">
        <v>1385</v>
      </c>
      <c r="C185" s="104" t="s">
        <v>1729</v>
      </c>
      <c r="D185" s="103">
        <v>1.0</v>
      </c>
      <c r="E185" s="103">
        <v>0.0</v>
      </c>
      <c r="F185" s="103">
        <v>0.0</v>
      </c>
      <c r="G185" s="103">
        <v>7.0</v>
      </c>
      <c r="H185" s="103">
        <v>0.0</v>
      </c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>
      <c r="A186" s="105">
        <v>184.0</v>
      </c>
      <c r="B186" s="106" t="s">
        <v>1386</v>
      </c>
      <c r="C186" s="106" t="s">
        <v>1729</v>
      </c>
      <c r="D186" s="105">
        <v>2.0</v>
      </c>
      <c r="E186" s="105">
        <v>0.0</v>
      </c>
      <c r="F186" s="105">
        <v>0.0</v>
      </c>
      <c r="G186" s="105">
        <v>6.0</v>
      </c>
      <c r="H186" s="105">
        <v>0.0</v>
      </c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>
      <c r="A187" s="103">
        <v>185.0</v>
      </c>
      <c r="B187" s="104" t="s">
        <v>1387</v>
      </c>
      <c r="C187" s="104" t="s">
        <v>1729</v>
      </c>
      <c r="D187" s="103">
        <v>3.0</v>
      </c>
      <c r="E187" s="103">
        <v>0.0</v>
      </c>
      <c r="F187" s="103">
        <v>0.0</v>
      </c>
      <c r="G187" s="103">
        <v>5.0</v>
      </c>
      <c r="H187" s="103">
        <v>0.0</v>
      </c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>
      <c r="A188" s="105">
        <v>186.0</v>
      </c>
      <c r="B188" s="106" t="s">
        <v>1388</v>
      </c>
      <c r="C188" s="106" t="s">
        <v>1729</v>
      </c>
      <c r="D188" s="105">
        <v>3.0</v>
      </c>
      <c r="E188" s="105">
        <v>0.0</v>
      </c>
      <c r="F188" s="105">
        <v>0.0</v>
      </c>
      <c r="G188" s="105">
        <v>5.0</v>
      </c>
      <c r="H188" s="105">
        <v>0.0</v>
      </c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>
      <c r="A189" s="103">
        <v>187.0</v>
      </c>
      <c r="B189" s="104" t="s">
        <v>1389</v>
      </c>
      <c r="C189" s="104" t="s">
        <v>1729</v>
      </c>
      <c r="D189" s="103">
        <v>1.0</v>
      </c>
      <c r="E189" s="103">
        <v>0.0</v>
      </c>
      <c r="F189" s="103">
        <v>0.0</v>
      </c>
      <c r="G189" s="103">
        <v>7.0</v>
      </c>
      <c r="H189" s="103">
        <v>0.0</v>
      </c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>
      <c r="A190" s="105">
        <v>188.0</v>
      </c>
      <c r="B190" s="106" t="s">
        <v>1390</v>
      </c>
      <c r="C190" s="106" t="s">
        <v>1729</v>
      </c>
      <c r="D190" s="105">
        <v>2.0</v>
      </c>
      <c r="E190" s="105">
        <v>0.0</v>
      </c>
      <c r="F190" s="105">
        <v>0.0</v>
      </c>
      <c r="G190" s="105">
        <v>6.0</v>
      </c>
      <c r="H190" s="105">
        <v>0.0</v>
      </c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>
      <c r="A191" s="103">
        <v>189.0</v>
      </c>
      <c r="B191" s="104" t="s">
        <v>1391</v>
      </c>
      <c r="C191" s="104" t="s">
        <v>1729</v>
      </c>
      <c r="D191" s="103">
        <v>4.0</v>
      </c>
      <c r="E191" s="103">
        <v>0.0</v>
      </c>
      <c r="F191" s="103">
        <v>0.0</v>
      </c>
      <c r="G191" s="103">
        <v>4.0</v>
      </c>
      <c r="H191" s="103">
        <v>0.0</v>
      </c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>
      <c r="A192" s="105">
        <v>190.0</v>
      </c>
      <c r="B192" s="106" t="s">
        <v>1392</v>
      </c>
      <c r="C192" s="106" t="s">
        <v>1729</v>
      </c>
      <c r="D192" s="105">
        <v>2.0</v>
      </c>
      <c r="E192" s="105">
        <v>0.0</v>
      </c>
      <c r="F192" s="105">
        <v>0.0</v>
      </c>
      <c r="G192" s="105">
        <v>6.0</v>
      </c>
      <c r="H192" s="105">
        <v>0.0</v>
      </c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>
      <c r="A193" s="103">
        <v>191.0</v>
      </c>
      <c r="B193" s="104" t="s">
        <v>1393</v>
      </c>
      <c r="C193" s="104" t="s">
        <v>1733</v>
      </c>
      <c r="D193" s="103">
        <v>1.0</v>
      </c>
      <c r="E193" s="103">
        <v>0.0</v>
      </c>
      <c r="F193" s="103">
        <v>0.0</v>
      </c>
      <c r="G193" s="103">
        <v>7.0</v>
      </c>
      <c r="H193" s="103">
        <v>0.0</v>
      </c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>
      <c r="A194" s="105">
        <v>192.0</v>
      </c>
      <c r="B194" s="106" t="s">
        <v>1394</v>
      </c>
      <c r="C194" s="106" t="s">
        <v>1733</v>
      </c>
      <c r="D194" s="105">
        <v>0.0</v>
      </c>
      <c r="E194" s="105">
        <v>0.0</v>
      </c>
      <c r="F194" s="105">
        <v>0.0</v>
      </c>
      <c r="G194" s="105">
        <v>8.0</v>
      </c>
      <c r="H194" s="105">
        <v>0.0</v>
      </c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>
      <c r="A195" s="103">
        <v>193.0</v>
      </c>
      <c r="B195" s="104" t="s">
        <v>1395</v>
      </c>
      <c r="C195" s="104" t="s">
        <v>1733</v>
      </c>
      <c r="D195" s="103">
        <v>1.0</v>
      </c>
      <c r="E195" s="103">
        <v>0.0</v>
      </c>
      <c r="F195" s="103">
        <v>0.0</v>
      </c>
      <c r="G195" s="103">
        <v>6.0</v>
      </c>
      <c r="H195" s="103">
        <v>1.0</v>
      </c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>
      <c r="A196" s="105">
        <v>194.0</v>
      </c>
      <c r="B196" s="106" t="s">
        <v>1396</v>
      </c>
      <c r="C196" s="106" t="s">
        <v>1733</v>
      </c>
      <c r="D196" s="105">
        <v>3.0</v>
      </c>
      <c r="E196" s="105">
        <v>0.0</v>
      </c>
      <c r="F196" s="105">
        <v>0.0</v>
      </c>
      <c r="G196" s="105">
        <v>5.0</v>
      </c>
      <c r="H196" s="105">
        <v>0.0</v>
      </c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>
      <c r="A197" s="103">
        <v>195.0</v>
      </c>
      <c r="B197" s="104" t="s">
        <v>1397</v>
      </c>
      <c r="C197" s="104" t="s">
        <v>1733</v>
      </c>
      <c r="D197" s="103">
        <v>2.0</v>
      </c>
      <c r="E197" s="103">
        <v>0.0</v>
      </c>
      <c r="F197" s="103">
        <v>0.0</v>
      </c>
      <c r="G197" s="103">
        <v>5.0</v>
      </c>
      <c r="H197" s="103">
        <v>1.0</v>
      </c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>
      <c r="A198" s="105">
        <v>196.0</v>
      </c>
      <c r="B198" s="106" t="s">
        <v>1398</v>
      </c>
      <c r="C198" s="106" t="s">
        <v>1733</v>
      </c>
      <c r="D198" s="105">
        <v>0.0</v>
      </c>
      <c r="E198" s="105">
        <v>0.0</v>
      </c>
      <c r="F198" s="105">
        <v>0.0</v>
      </c>
      <c r="G198" s="105">
        <v>8.0</v>
      </c>
      <c r="H198" s="105">
        <v>0.0</v>
      </c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>
      <c r="A199" s="103">
        <v>197.0</v>
      </c>
      <c r="B199" s="104" t="s">
        <v>1399</v>
      </c>
      <c r="C199" s="104" t="s">
        <v>1733</v>
      </c>
      <c r="D199" s="103">
        <v>1.0</v>
      </c>
      <c r="E199" s="103">
        <v>0.0</v>
      </c>
      <c r="F199" s="103">
        <v>1.0</v>
      </c>
      <c r="G199" s="103">
        <v>6.0</v>
      </c>
      <c r="H199" s="103">
        <v>0.0</v>
      </c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>
      <c r="A200" s="105">
        <v>198.0</v>
      </c>
      <c r="B200" s="106" t="s">
        <v>1400</v>
      </c>
      <c r="C200" s="106" t="s">
        <v>1733</v>
      </c>
      <c r="D200" s="105">
        <v>1.0</v>
      </c>
      <c r="E200" s="105">
        <v>0.0</v>
      </c>
      <c r="F200" s="105">
        <v>0.0</v>
      </c>
      <c r="G200" s="105">
        <v>7.0</v>
      </c>
      <c r="H200" s="105">
        <v>0.0</v>
      </c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>
      <c r="A201" s="103">
        <v>199.0</v>
      </c>
      <c r="B201" s="104" t="s">
        <v>1401</v>
      </c>
      <c r="C201" s="104" t="s">
        <v>1733</v>
      </c>
      <c r="D201" s="103">
        <v>1.0</v>
      </c>
      <c r="E201" s="103">
        <v>0.0</v>
      </c>
      <c r="F201" s="103">
        <v>0.0</v>
      </c>
      <c r="G201" s="103">
        <v>6.0</v>
      </c>
      <c r="H201" s="103">
        <v>1.0</v>
      </c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>
      <c r="A202" s="105">
        <v>200.0</v>
      </c>
      <c r="B202" s="106" t="s">
        <v>1402</v>
      </c>
      <c r="C202" s="106" t="s">
        <v>1733</v>
      </c>
      <c r="D202" s="105">
        <v>1.0</v>
      </c>
      <c r="E202" s="105">
        <v>0.0</v>
      </c>
      <c r="F202" s="105">
        <v>0.0</v>
      </c>
      <c r="G202" s="105">
        <v>6.0</v>
      </c>
      <c r="H202" s="105">
        <v>1.0</v>
      </c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>
      <c r="A203" s="103">
        <v>201.0</v>
      </c>
      <c r="B203" s="104" t="s">
        <v>1403</v>
      </c>
      <c r="C203" s="104" t="s">
        <v>1733</v>
      </c>
      <c r="D203" s="103">
        <v>3.0</v>
      </c>
      <c r="E203" s="103">
        <v>0.0</v>
      </c>
      <c r="F203" s="103">
        <v>0.0</v>
      </c>
      <c r="G203" s="103">
        <v>5.0</v>
      </c>
      <c r="H203" s="103">
        <v>0.0</v>
      </c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>
      <c r="A204" s="105">
        <v>202.0</v>
      </c>
      <c r="B204" s="106" t="s">
        <v>1404</v>
      </c>
      <c r="C204" s="106" t="s">
        <v>1733</v>
      </c>
      <c r="D204" s="105">
        <v>0.0</v>
      </c>
      <c r="E204" s="105">
        <v>0.0</v>
      </c>
      <c r="F204" s="105">
        <v>0.0</v>
      </c>
      <c r="G204" s="105">
        <v>8.0</v>
      </c>
      <c r="H204" s="105">
        <v>0.0</v>
      </c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>
      <c r="A205" s="103">
        <v>203.0</v>
      </c>
      <c r="B205" s="104" t="s">
        <v>1405</v>
      </c>
      <c r="C205" s="104" t="s">
        <v>1733</v>
      </c>
      <c r="D205" s="103">
        <v>2.0</v>
      </c>
      <c r="E205" s="103">
        <v>0.0</v>
      </c>
      <c r="F205" s="103">
        <v>0.0</v>
      </c>
      <c r="G205" s="103">
        <v>6.0</v>
      </c>
      <c r="H205" s="103">
        <v>0.0</v>
      </c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>
      <c r="A206" s="105">
        <v>204.0</v>
      </c>
      <c r="B206" s="106" t="s">
        <v>1406</v>
      </c>
      <c r="C206" s="106" t="s">
        <v>1733</v>
      </c>
      <c r="D206" s="105">
        <v>4.0</v>
      </c>
      <c r="E206" s="105">
        <v>0.0</v>
      </c>
      <c r="F206" s="105">
        <v>0.0</v>
      </c>
      <c r="G206" s="105">
        <v>4.0</v>
      </c>
      <c r="H206" s="105">
        <v>0.0</v>
      </c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>
      <c r="A207" s="103">
        <v>205.0</v>
      </c>
      <c r="B207" s="104" t="s">
        <v>1407</v>
      </c>
      <c r="C207" s="104" t="s">
        <v>1733</v>
      </c>
      <c r="D207" s="103">
        <v>2.0</v>
      </c>
      <c r="E207" s="103">
        <v>0.0</v>
      </c>
      <c r="F207" s="103">
        <v>0.0</v>
      </c>
      <c r="G207" s="103">
        <v>6.0</v>
      </c>
      <c r="H207" s="103">
        <v>0.0</v>
      </c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>
      <c r="A208" s="105">
        <v>206.0</v>
      </c>
      <c r="B208" s="106" t="s">
        <v>1408</v>
      </c>
      <c r="C208" s="106" t="s">
        <v>1733</v>
      </c>
      <c r="D208" s="105">
        <v>1.0</v>
      </c>
      <c r="E208" s="105">
        <v>0.0</v>
      </c>
      <c r="F208" s="105">
        <v>0.0</v>
      </c>
      <c r="G208" s="105">
        <v>7.0</v>
      </c>
      <c r="H208" s="105">
        <v>0.0</v>
      </c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>
      <c r="A209" s="103">
        <v>207.0</v>
      </c>
      <c r="B209" s="104" t="s">
        <v>1409</v>
      </c>
      <c r="C209" s="104" t="s">
        <v>1733</v>
      </c>
      <c r="D209" s="103">
        <v>1.0</v>
      </c>
      <c r="E209" s="103">
        <v>0.0</v>
      </c>
      <c r="F209" s="103">
        <v>0.0</v>
      </c>
      <c r="G209" s="103">
        <v>7.0</v>
      </c>
      <c r="H209" s="103">
        <v>0.0</v>
      </c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>
      <c r="A210" s="105">
        <v>208.0</v>
      </c>
      <c r="B210" s="106" t="s">
        <v>1410</v>
      </c>
      <c r="C210" s="106" t="s">
        <v>1733</v>
      </c>
      <c r="D210" s="105">
        <v>3.0</v>
      </c>
      <c r="E210" s="105">
        <v>0.0</v>
      </c>
      <c r="F210" s="105">
        <v>0.0</v>
      </c>
      <c r="G210" s="105">
        <v>5.0</v>
      </c>
      <c r="H210" s="105">
        <v>0.0</v>
      </c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>
      <c r="A211" s="103">
        <v>209.0</v>
      </c>
      <c r="B211" s="104" t="s">
        <v>1411</v>
      </c>
      <c r="C211" s="104" t="s">
        <v>1733</v>
      </c>
      <c r="D211" s="103">
        <v>1.0</v>
      </c>
      <c r="E211" s="103">
        <v>0.0</v>
      </c>
      <c r="F211" s="103">
        <v>0.0</v>
      </c>
      <c r="G211" s="103">
        <v>7.0</v>
      </c>
      <c r="H211" s="103">
        <v>0.0</v>
      </c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>
      <c r="A212" s="105">
        <v>210.0</v>
      </c>
      <c r="B212" s="106" t="s">
        <v>1412</v>
      </c>
      <c r="C212" s="106" t="s">
        <v>1733</v>
      </c>
      <c r="D212" s="105">
        <v>1.0</v>
      </c>
      <c r="E212" s="105">
        <v>0.0</v>
      </c>
      <c r="F212" s="105">
        <v>1.0</v>
      </c>
      <c r="G212" s="105">
        <v>6.0</v>
      </c>
      <c r="H212" s="105">
        <v>0.0</v>
      </c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>
      <c r="A213" s="103">
        <v>211.0</v>
      </c>
      <c r="B213" s="104" t="s">
        <v>1413</v>
      </c>
      <c r="C213" s="104" t="s">
        <v>1733</v>
      </c>
      <c r="D213" s="103">
        <v>0.0</v>
      </c>
      <c r="E213" s="103">
        <v>0.0</v>
      </c>
      <c r="F213" s="103">
        <v>0.0</v>
      </c>
      <c r="G213" s="103">
        <v>8.0</v>
      </c>
      <c r="H213" s="103">
        <v>0.0</v>
      </c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>
      <c r="A214" s="105">
        <v>212.0</v>
      </c>
      <c r="B214" s="106" t="s">
        <v>1734</v>
      </c>
      <c r="C214" s="106" t="s">
        <v>1733</v>
      </c>
      <c r="D214" s="105">
        <v>0.0</v>
      </c>
      <c r="E214" s="105">
        <v>0.0</v>
      </c>
      <c r="F214" s="105">
        <v>0.0</v>
      </c>
      <c r="G214" s="105">
        <v>8.0</v>
      </c>
      <c r="H214" s="105">
        <v>0.0</v>
      </c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>
      <c r="A215" s="103">
        <v>213.0</v>
      </c>
      <c r="B215" s="104" t="s">
        <v>1414</v>
      </c>
      <c r="C215" s="104" t="s">
        <v>1733</v>
      </c>
      <c r="D215" s="103">
        <v>1.0</v>
      </c>
      <c r="E215" s="103">
        <v>0.0</v>
      </c>
      <c r="F215" s="103">
        <v>0.0</v>
      </c>
      <c r="G215" s="103">
        <v>7.0</v>
      </c>
      <c r="H215" s="103">
        <v>0.0</v>
      </c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>
      <c r="A216" s="105">
        <v>214.0</v>
      </c>
      <c r="B216" s="106" t="s">
        <v>1415</v>
      </c>
      <c r="C216" s="106" t="s">
        <v>1733</v>
      </c>
      <c r="D216" s="105">
        <v>1.0</v>
      </c>
      <c r="E216" s="105">
        <v>0.0</v>
      </c>
      <c r="F216" s="105">
        <v>0.0</v>
      </c>
      <c r="G216" s="105">
        <v>7.0</v>
      </c>
      <c r="H216" s="105">
        <v>0.0</v>
      </c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>
      <c r="A217" s="103">
        <v>215.0</v>
      </c>
      <c r="B217" s="104" t="s">
        <v>1416</v>
      </c>
      <c r="C217" s="104" t="s">
        <v>1733</v>
      </c>
      <c r="D217" s="103">
        <v>3.0</v>
      </c>
      <c r="E217" s="103">
        <v>0.0</v>
      </c>
      <c r="F217" s="103">
        <v>0.0</v>
      </c>
      <c r="G217" s="103">
        <v>5.0</v>
      </c>
      <c r="H217" s="103">
        <v>0.0</v>
      </c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>
      <c r="A218" s="105">
        <v>216.0</v>
      </c>
      <c r="B218" s="106" t="s">
        <v>1417</v>
      </c>
      <c r="C218" s="106" t="s">
        <v>1733</v>
      </c>
      <c r="D218" s="105">
        <v>1.0</v>
      </c>
      <c r="E218" s="105">
        <v>0.0</v>
      </c>
      <c r="F218" s="105">
        <v>0.0</v>
      </c>
      <c r="G218" s="105">
        <v>7.0</v>
      </c>
      <c r="H218" s="105">
        <v>0.0</v>
      </c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>
      <c r="A219" s="103">
        <v>217.0</v>
      </c>
      <c r="B219" s="104" t="s">
        <v>1418</v>
      </c>
      <c r="C219" s="104" t="s">
        <v>1733</v>
      </c>
      <c r="D219" s="103">
        <v>2.0</v>
      </c>
      <c r="E219" s="103">
        <v>0.0</v>
      </c>
      <c r="F219" s="103">
        <v>0.0</v>
      </c>
      <c r="G219" s="103">
        <v>6.0</v>
      </c>
      <c r="H219" s="103">
        <v>0.0</v>
      </c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>
      <c r="A220" s="105">
        <v>218.0</v>
      </c>
      <c r="B220" s="106" t="s">
        <v>1419</v>
      </c>
      <c r="C220" s="106" t="s">
        <v>1733</v>
      </c>
      <c r="D220" s="105">
        <v>1.0</v>
      </c>
      <c r="E220" s="105">
        <v>0.0</v>
      </c>
      <c r="F220" s="105">
        <v>0.0</v>
      </c>
      <c r="G220" s="105">
        <v>7.0</v>
      </c>
      <c r="H220" s="105">
        <v>0.0</v>
      </c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>
      <c r="A221" s="103">
        <v>219.0</v>
      </c>
      <c r="B221" s="104" t="s">
        <v>1420</v>
      </c>
      <c r="C221" s="104" t="s">
        <v>1733</v>
      </c>
      <c r="D221" s="103">
        <v>0.0</v>
      </c>
      <c r="E221" s="103">
        <v>0.0</v>
      </c>
      <c r="F221" s="103">
        <v>0.0</v>
      </c>
      <c r="G221" s="103">
        <v>8.0</v>
      </c>
      <c r="H221" s="103">
        <v>0.0</v>
      </c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>
      <c r="A222" s="105">
        <v>220.0</v>
      </c>
      <c r="B222" s="106" t="s">
        <v>1421</v>
      </c>
      <c r="C222" s="106" t="s">
        <v>1733</v>
      </c>
      <c r="D222" s="105">
        <v>0.0</v>
      </c>
      <c r="E222" s="105">
        <v>0.0</v>
      </c>
      <c r="F222" s="105">
        <v>0.0</v>
      </c>
      <c r="G222" s="105">
        <v>8.0</v>
      </c>
      <c r="H222" s="105">
        <v>0.0</v>
      </c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>
      <c r="A223" s="103">
        <v>221.0</v>
      </c>
      <c r="B223" s="104" t="s">
        <v>1422</v>
      </c>
      <c r="C223" s="104" t="s">
        <v>1733</v>
      </c>
      <c r="D223" s="103">
        <v>4.0</v>
      </c>
      <c r="E223" s="103">
        <v>0.0</v>
      </c>
      <c r="F223" s="103">
        <v>0.0</v>
      </c>
      <c r="G223" s="103">
        <v>4.0</v>
      </c>
      <c r="H223" s="103">
        <v>0.0</v>
      </c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>
      <c r="A224" s="105">
        <v>222.0</v>
      </c>
      <c r="B224" s="106" t="s">
        <v>1423</v>
      </c>
      <c r="C224" s="106" t="s">
        <v>1733</v>
      </c>
      <c r="D224" s="105">
        <v>0.0</v>
      </c>
      <c r="E224" s="105">
        <v>0.0</v>
      </c>
      <c r="F224" s="105">
        <v>0.0</v>
      </c>
      <c r="G224" s="105">
        <v>8.0</v>
      </c>
      <c r="H224" s="105">
        <v>0.0</v>
      </c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>
      <c r="A225" s="103">
        <v>223.0</v>
      </c>
      <c r="B225" s="104" t="s">
        <v>1424</v>
      </c>
      <c r="C225" s="104" t="s">
        <v>1733</v>
      </c>
      <c r="D225" s="103">
        <v>1.0</v>
      </c>
      <c r="E225" s="103">
        <v>0.0</v>
      </c>
      <c r="F225" s="103">
        <v>0.0</v>
      </c>
      <c r="G225" s="103">
        <v>7.0</v>
      </c>
      <c r="H225" s="103">
        <v>0.0</v>
      </c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>
      <c r="A226" s="105">
        <v>224.0</v>
      </c>
      <c r="B226" s="106" t="s">
        <v>1425</v>
      </c>
      <c r="C226" s="106" t="s">
        <v>1733</v>
      </c>
      <c r="D226" s="105">
        <v>3.0</v>
      </c>
      <c r="E226" s="105">
        <v>0.0</v>
      </c>
      <c r="F226" s="105">
        <v>0.0</v>
      </c>
      <c r="G226" s="105">
        <v>5.0</v>
      </c>
      <c r="H226" s="105">
        <v>0.0</v>
      </c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>
      <c r="A227" s="103">
        <v>225.0</v>
      </c>
      <c r="B227" s="104" t="s">
        <v>1426</v>
      </c>
      <c r="C227" s="104" t="s">
        <v>1733</v>
      </c>
      <c r="D227" s="103">
        <v>2.0</v>
      </c>
      <c r="E227" s="103">
        <v>0.0</v>
      </c>
      <c r="F227" s="103">
        <v>0.0</v>
      </c>
      <c r="G227" s="103">
        <v>6.0</v>
      </c>
      <c r="H227" s="103">
        <v>0.0</v>
      </c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>
      <c r="A228" s="105">
        <v>226.0</v>
      </c>
      <c r="B228" s="106" t="s">
        <v>1735</v>
      </c>
      <c r="C228" s="106" t="s">
        <v>1733</v>
      </c>
      <c r="D228" s="105">
        <v>0.0</v>
      </c>
      <c r="E228" s="105">
        <v>0.0</v>
      </c>
      <c r="F228" s="105">
        <v>0.0</v>
      </c>
      <c r="G228" s="105">
        <v>8.0</v>
      </c>
      <c r="H228" s="105">
        <v>0.0</v>
      </c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>
      <c r="A229" s="103">
        <v>227.0</v>
      </c>
      <c r="B229" s="104" t="s">
        <v>1427</v>
      </c>
      <c r="C229" s="104" t="s">
        <v>1733</v>
      </c>
      <c r="D229" s="103">
        <v>1.0</v>
      </c>
      <c r="E229" s="103">
        <v>0.0</v>
      </c>
      <c r="F229" s="103">
        <v>0.0</v>
      </c>
      <c r="G229" s="103">
        <v>7.0</v>
      </c>
      <c r="H229" s="103">
        <v>0.0</v>
      </c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>
      <c r="A230" s="105">
        <v>228.0</v>
      </c>
      <c r="B230" s="106" t="s">
        <v>1428</v>
      </c>
      <c r="C230" s="106" t="s">
        <v>1733</v>
      </c>
      <c r="D230" s="105">
        <v>1.0</v>
      </c>
      <c r="E230" s="105">
        <v>0.0</v>
      </c>
      <c r="F230" s="105">
        <v>0.0</v>
      </c>
      <c r="G230" s="105">
        <v>7.0</v>
      </c>
      <c r="H230" s="105">
        <v>0.0</v>
      </c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>
      <c r="A231" s="103">
        <v>229.0</v>
      </c>
      <c r="B231" s="104" t="s">
        <v>1429</v>
      </c>
      <c r="C231" s="104" t="s">
        <v>1733</v>
      </c>
      <c r="D231" s="103">
        <v>0.0</v>
      </c>
      <c r="E231" s="103">
        <v>0.0</v>
      </c>
      <c r="F231" s="103">
        <v>0.0</v>
      </c>
      <c r="G231" s="103">
        <v>8.0</v>
      </c>
      <c r="H231" s="103">
        <v>0.0</v>
      </c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>
      <c r="A232" s="105">
        <v>230.0</v>
      </c>
      <c r="B232" s="106" t="s">
        <v>1430</v>
      </c>
      <c r="C232" s="106" t="s">
        <v>1733</v>
      </c>
      <c r="D232" s="105">
        <v>3.0</v>
      </c>
      <c r="E232" s="105">
        <v>0.0</v>
      </c>
      <c r="F232" s="105">
        <v>0.0</v>
      </c>
      <c r="G232" s="105">
        <v>5.0</v>
      </c>
      <c r="H232" s="105">
        <v>0.0</v>
      </c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>
      <c r="A233" s="103">
        <v>231.0</v>
      </c>
      <c r="B233" s="104" t="s">
        <v>1431</v>
      </c>
      <c r="C233" s="104" t="s">
        <v>1733</v>
      </c>
      <c r="D233" s="103">
        <v>2.0</v>
      </c>
      <c r="E233" s="103">
        <v>0.0</v>
      </c>
      <c r="F233" s="103">
        <v>0.0</v>
      </c>
      <c r="G233" s="103">
        <v>6.0</v>
      </c>
      <c r="H233" s="103">
        <v>0.0</v>
      </c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>
      <c r="A234" s="105">
        <v>232.0</v>
      </c>
      <c r="B234" s="106" t="s">
        <v>1432</v>
      </c>
      <c r="C234" s="106" t="s">
        <v>1733</v>
      </c>
      <c r="D234" s="105">
        <v>2.0</v>
      </c>
      <c r="E234" s="105">
        <v>0.0</v>
      </c>
      <c r="F234" s="105">
        <v>0.0</v>
      </c>
      <c r="G234" s="105">
        <v>6.0</v>
      </c>
      <c r="H234" s="105">
        <v>0.0</v>
      </c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>
      <c r="A235" s="103">
        <v>233.0</v>
      </c>
      <c r="B235" s="104" t="s">
        <v>1433</v>
      </c>
      <c r="C235" s="104" t="s">
        <v>1733</v>
      </c>
      <c r="D235" s="103">
        <v>3.0</v>
      </c>
      <c r="E235" s="103">
        <v>0.0</v>
      </c>
      <c r="F235" s="103">
        <v>0.0</v>
      </c>
      <c r="G235" s="103">
        <v>5.0</v>
      </c>
      <c r="H235" s="103">
        <v>0.0</v>
      </c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>
      <c r="A236" s="105">
        <v>234.0</v>
      </c>
      <c r="B236" s="106" t="s">
        <v>1434</v>
      </c>
      <c r="C236" s="106" t="s">
        <v>1733</v>
      </c>
      <c r="D236" s="105">
        <v>0.0</v>
      </c>
      <c r="E236" s="105">
        <v>0.0</v>
      </c>
      <c r="F236" s="105">
        <v>0.0</v>
      </c>
      <c r="G236" s="105">
        <v>8.0</v>
      </c>
      <c r="H236" s="105">
        <v>0.0</v>
      </c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>
      <c r="A237" s="103">
        <v>235.0</v>
      </c>
      <c r="B237" s="104" t="s">
        <v>1435</v>
      </c>
      <c r="C237" s="104" t="s">
        <v>1733</v>
      </c>
      <c r="D237" s="103">
        <v>2.0</v>
      </c>
      <c r="E237" s="103">
        <v>0.0</v>
      </c>
      <c r="F237" s="103">
        <v>0.0</v>
      </c>
      <c r="G237" s="103">
        <v>6.0</v>
      </c>
      <c r="H237" s="103">
        <v>0.0</v>
      </c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>
      <c r="A238" s="105">
        <v>236.0</v>
      </c>
      <c r="B238" s="106" t="s">
        <v>1436</v>
      </c>
      <c r="C238" s="106" t="s">
        <v>1733</v>
      </c>
      <c r="D238" s="105">
        <v>4.0</v>
      </c>
      <c r="E238" s="105">
        <v>0.0</v>
      </c>
      <c r="F238" s="105">
        <v>0.0</v>
      </c>
      <c r="G238" s="105">
        <v>4.0</v>
      </c>
      <c r="H238" s="105">
        <v>0.0</v>
      </c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>
      <c r="A239" s="103">
        <v>237.0</v>
      </c>
      <c r="B239" s="104" t="s">
        <v>1437</v>
      </c>
      <c r="C239" s="104" t="s">
        <v>1733</v>
      </c>
      <c r="D239" s="103">
        <v>1.0</v>
      </c>
      <c r="E239" s="103">
        <v>0.0</v>
      </c>
      <c r="F239" s="103">
        <v>0.0</v>
      </c>
      <c r="G239" s="103">
        <v>7.0</v>
      </c>
      <c r="H239" s="103">
        <v>0.0</v>
      </c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>
      <c r="A240" s="105">
        <v>238.0</v>
      </c>
      <c r="B240" s="106" t="s">
        <v>1438</v>
      </c>
      <c r="C240" s="106" t="s">
        <v>1736</v>
      </c>
      <c r="D240" s="105">
        <v>4.0</v>
      </c>
      <c r="E240" s="105">
        <v>0.0</v>
      </c>
      <c r="F240" s="105">
        <v>0.0</v>
      </c>
      <c r="G240" s="105">
        <v>4.0</v>
      </c>
      <c r="H240" s="105">
        <v>0.0</v>
      </c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>
      <c r="A241" s="103">
        <v>239.0</v>
      </c>
      <c r="B241" s="104" t="s">
        <v>1439</v>
      </c>
      <c r="C241" s="104" t="s">
        <v>1736</v>
      </c>
      <c r="D241" s="103">
        <v>1.0</v>
      </c>
      <c r="E241" s="103">
        <v>0.0</v>
      </c>
      <c r="F241" s="103">
        <v>0.0</v>
      </c>
      <c r="G241" s="103">
        <v>7.0</v>
      </c>
      <c r="H241" s="103">
        <v>0.0</v>
      </c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>
      <c r="A242" s="105">
        <v>240.0</v>
      </c>
      <c r="B242" s="106" t="s">
        <v>1440</v>
      </c>
      <c r="C242" s="106" t="s">
        <v>1736</v>
      </c>
      <c r="D242" s="105">
        <v>3.0</v>
      </c>
      <c r="E242" s="105">
        <v>0.0</v>
      </c>
      <c r="F242" s="105">
        <v>0.0</v>
      </c>
      <c r="G242" s="105">
        <v>5.0</v>
      </c>
      <c r="H242" s="105">
        <v>0.0</v>
      </c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>
      <c r="A243" s="103">
        <v>241.0</v>
      </c>
      <c r="B243" s="104" t="s">
        <v>1441</v>
      </c>
      <c r="C243" s="104" t="s">
        <v>1736</v>
      </c>
      <c r="D243" s="103">
        <v>4.0</v>
      </c>
      <c r="E243" s="103">
        <v>0.0</v>
      </c>
      <c r="F243" s="103">
        <v>0.0</v>
      </c>
      <c r="G243" s="103">
        <v>4.0</v>
      </c>
      <c r="H243" s="103">
        <v>0.0</v>
      </c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>
      <c r="A244" s="105">
        <v>242.0</v>
      </c>
      <c r="B244" s="106" t="s">
        <v>1442</v>
      </c>
      <c r="C244" s="106" t="s">
        <v>1736</v>
      </c>
      <c r="D244" s="105">
        <v>3.0</v>
      </c>
      <c r="E244" s="105">
        <v>0.0</v>
      </c>
      <c r="F244" s="105">
        <v>0.0</v>
      </c>
      <c r="G244" s="105">
        <v>5.0</v>
      </c>
      <c r="H244" s="105">
        <v>0.0</v>
      </c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>
      <c r="A245" s="103">
        <v>243.0</v>
      </c>
      <c r="B245" s="104" t="s">
        <v>1443</v>
      </c>
      <c r="C245" s="104" t="s">
        <v>1736</v>
      </c>
      <c r="D245" s="103">
        <v>5.0</v>
      </c>
      <c r="E245" s="103">
        <v>0.0</v>
      </c>
      <c r="F245" s="103">
        <v>0.0</v>
      </c>
      <c r="G245" s="103">
        <v>3.0</v>
      </c>
      <c r="H245" s="103">
        <v>0.0</v>
      </c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>
      <c r="A246" s="105">
        <v>244.0</v>
      </c>
      <c r="B246" s="106" t="s">
        <v>1444</v>
      </c>
      <c r="C246" s="106" t="s">
        <v>1736</v>
      </c>
      <c r="D246" s="105">
        <v>4.0</v>
      </c>
      <c r="E246" s="105">
        <v>0.0</v>
      </c>
      <c r="F246" s="105">
        <v>0.0</v>
      </c>
      <c r="G246" s="105">
        <v>4.0</v>
      </c>
      <c r="H246" s="105">
        <v>0.0</v>
      </c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>
      <c r="A247" s="103">
        <v>245.0</v>
      </c>
      <c r="B247" s="104" t="s">
        <v>1445</v>
      </c>
      <c r="C247" s="104" t="s">
        <v>1736</v>
      </c>
      <c r="D247" s="103">
        <v>1.0</v>
      </c>
      <c r="E247" s="103">
        <v>0.0</v>
      </c>
      <c r="F247" s="103">
        <v>0.0</v>
      </c>
      <c r="G247" s="103">
        <v>7.0</v>
      </c>
      <c r="H247" s="103">
        <v>0.0</v>
      </c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>
      <c r="A248" s="105">
        <v>246.0</v>
      </c>
      <c r="B248" s="106" t="s">
        <v>1446</v>
      </c>
      <c r="C248" s="106" t="s">
        <v>1736</v>
      </c>
      <c r="D248" s="105">
        <v>2.0</v>
      </c>
      <c r="E248" s="105">
        <v>0.0</v>
      </c>
      <c r="F248" s="105">
        <v>0.0</v>
      </c>
      <c r="G248" s="105">
        <v>6.0</v>
      </c>
      <c r="H248" s="105">
        <v>0.0</v>
      </c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>
      <c r="A249" s="103">
        <v>247.0</v>
      </c>
      <c r="B249" s="104" t="s">
        <v>1447</v>
      </c>
      <c r="C249" s="104" t="s">
        <v>1736</v>
      </c>
      <c r="D249" s="103">
        <v>0.0</v>
      </c>
      <c r="E249" s="103">
        <v>0.0</v>
      </c>
      <c r="F249" s="103">
        <v>0.0</v>
      </c>
      <c r="G249" s="103">
        <v>8.0</v>
      </c>
      <c r="H249" s="103">
        <v>0.0</v>
      </c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>
      <c r="A250" s="105">
        <v>248.0</v>
      </c>
      <c r="B250" s="106" t="s">
        <v>1448</v>
      </c>
      <c r="C250" s="106" t="s">
        <v>1736</v>
      </c>
      <c r="D250" s="105">
        <v>5.0</v>
      </c>
      <c r="E250" s="105">
        <v>0.0</v>
      </c>
      <c r="F250" s="105">
        <v>0.0</v>
      </c>
      <c r="G250" s="105">
        <v>3.0</v>
      </c>
      <c r="H250" s="105">
        <v>0.0</v>
      </c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>
      <c r="A251" s="103">
        <v>249.0</v>
      </c>
      <c r="B251" s="104" t="s">
        <v>1449</v>
      </c>
      <c r="C251" s="104" t="s">
        <v>1736</v>
      </c>
      <c r="D251" s="103">
        <v>4.0</v>
      </c>
      <c r="E251" s="103">
        <v>0.0</v>
      </c>
      <c r="F251" s="103">
        <v>0.0</v>
      </c>
      <c r="G251" s="103">
        <v>4.0</v>
      </c>
      <c r="H251" s="103">
        <v>0.0</v>
      </c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>
      <c r="A252" s="105">
        <v>250.0</v>
      </c>
      <c r="B252" s="106" t="s">
        <v>1450</v>
      </c>
      <c r="C252" s="106" t="s">
        <v>1736</v>
      </c>
      <c r="D252" s="105">
        <v>3.0</v>
      </c>
      <c r="E252" s="105">
        <v>0.0</v>
      </c>
      <c r="F252" s="105">
        <v>0.0</v>
      </c>
      <c r="G252" s="105">
        <v>5.0</v>
      </c>
      <c r="H252" s="105">
        <v>0.0</v>
      </c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>
      <c r="A253" s="103">
        <v>251.0</v>
      </c>
      <c r="B253" s="104" t="s">
        <v>1451</v>
      </c>
      <c r="C253" s="104" t="s">
        <v>1736</v>
      </c>
      <c r="D253" s="103">
        <v>0.0</v>
      </c>
      <c r="E253" s="103">
        <v>0.0</v>
      </c>
      <c r="F253" s="103">
        <v>0.0</v>
      </c>
      <c r="G253" s="103">
        <v>8.0</v>
      </c>
      <c r="H253" s="103">
        <v>0.0</v>
      </c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>
      <c r="A254" s="105">
        <v>252.0</v>
      </c>
      <c r="B254" s="106" t="s">
        <v>1452</v>
      </c>
      <c r="C254" s="106" t="s">
        <v>1736</v>
      </c>
      <c r="D254" s="105">
        <v>0.0</v>
      </c>
      <c r="E254" s="105">
        <v>0.0</v>
      </c>
      <c r="F254" s="105">
        <v>0.0</v>
      </c>
      <c r="G254" s="105">
        <v>8.0</v>
      </c>
      <c r="H254" s="105">
        <v>0.0</v>
      </c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>
      <c r="A255" s="103">
        <v>253.0</v>
      </c>
      <c r="B255" s="104" t="s">
        <v>1453</v>
      </c>
      <c r="C255" s="104" t="s">
        <v>1736</v>
      </c>
      <c r="D255" s="103">
        <v>3.0</v>
      </c>
      <c r="E255" s="103">
        <v>0.0</v>
      </c>
      <c r="F255" s="103">
        <v>0.0</v>
      </c>
      <c r="G255" s="103">
        <v>5.0</v>
      </c>
      <c r="H255" s="103">
        <v>0.0</v>
      </c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>
      <c r="A256" s="105">
        <v>254.0</v>
      </c>
      <c r="B256" s="106" t="s">
        <v>1454</v>
      </c>
      <c r="C256" s="106" t="s">
        <v>1736</v>
      </c>
      <c r="D256" s="105">
        <v>2.0</v>
      </c>
      <c r="E256" s="105">
        <v>0.0</v>
      </c>
      <c r="F256" s="105">
        <v>0.0</v>
      </c>
      <c r="G256" s="105">
        <v>6.0</v>
      </c>
      <c r="H256" s="105">
        <v>0.0</v>
      </c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>
      <c r="A257" s="103">
        <v>255.0</v>
      </c>
      <c r="B257" s="104" t="s">
        <v>1455</v>
      </c>
      <c r="C257" s="104" t="s">
        <v>1736</v>
      </c>
      <c r="D257" s="103">
        <v>4.0</v>
      </c>
      <c r="E257" s="103">
        <v>0.0</v>
      </c>
      <c r="F257" s="103">
        <v>0.0</v>
      </c>
      <c r="G257" s="103">
        <v>4.0</v>
      </c>
      <c r="H257" s="103">
        <v>0.0</v>
      </c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>
      <c r="A258" s="105">
        <v>256.0</v>
      </c>
      <c r="B258" s="106" t="s">
        <v>1456</v>
      </c>
      <c r="C258" s="106" t="s">
        <v>1736</v>
      </c>
      <c r="D258" s="105">
        <v>3.0</v>
      </c>
      <c r="E258" s="105">
        <v>0.0</v>
      </c>
      <c r="F258" s="105">
        <v>0.0</v>
      </c>
      <c r="G258" s="105">
        <v>5.0</v>
      </c>
      <c r="H258" s="105">
        <v>0.0</v>
      </c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>
      <c r="A259" s="103">
        <v>257.0</v>
      </c>
      <c r="B259" s="104" t="s">
        <v>1457</v>
      </c>
      <c r="C259" s="104" t="s">
        <v>1736</v>
      </c>
      <c r="D259" s="103">
        <v>5.0</v>
      </c>
      <c r="E259" s="103">
        <v>0.0</v>
      </c>
      <c r="F259" s="103">
        <v>0.0</v>
      </c>
      <c r="G259" s="103">
        <v>3.0</v>
      </c>
      <c r="H259" s="103">
        <v>0.0</v>
      </c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>
      <c r="A260" s="105">
        <v>258.0</v>
      </c>
      <c r="B260" s="106" t="s">
        <v>1458</v>
      </c>
      <c r="C260" s="106" t="s">
        <v>1736</v>
      </c>
      <c r="D260" s="105">
        <v>5.0</v>
      </c>
      <c r="E260" s="105">
        <v>0.0</v>
      </c>
      <c r="F260" s="105">
        <v>0.0</v>
      </c>
      <c r="G260" s="105">
        <v>3.0</v>
      </c>
      <c r="H260" s="105">
        <v>0.0</v>
      </c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>
      <c r="A261" s="103">
        <v>259.0</v>
      </c>
      <c r="B261" s="104" t="s">
        <v>1459</v>
      </c>
      <c r="C261" s="104" t="s">
        <v>1736</v>
      </c>
      <c r="D261" s="103">
        <v>2.0</v>
      </c>
      <c r="E261" s="103">
        <v>0.0</v>
      </c>
      <c r="F261" s="103">
        <v>0.0</v>
      </c>
      <c r="G261" s="103">
        <v>6.0</v>
      </c>
      <c r="H261" s="103">
        <v>0.0</v>
      </c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>
      <c r="A262" s="105">
        <v>260.0</v>
      </c>
      <c r="B262" s="106" t="s">
        <v>1737</v>
      </c>
      <c r="C262" s="106" t="s">
        <v>1736</v>
      </c>
      <c r="D262" s="105">
        <v>0.0</v>
      </c>
      <c r="E262" s="105">
        <v>0.0</v>
      </c>
      <c r="F262" s="105">
        <v>0.0</v>
      </c>
      <c r="G262" s="105">
        <v>8.0</v>
      </c>
      <c r="H262" s="105">
        <v>0.0</v>
      </c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>
      <c r="A263" s="103">
        <v>261.0</v>
      </c>
      <c r="B263" s="104" t="s">
        <v>1460</v>
      </c>
      <c r="C263" s="104" t="s">
        <v>1736</v>
      </c>
      <c r="D263" s="103">
        <v>0.0</v>
      </c>
      <c r="E263" s="103">
        <v>0.0</v>
      </c>
      <c r="F263" s="103">
        <v>0.0</v>
      </c>
      <c r="G263" s="103">
        <v>8.0</v>
      </c>
      <c r="H263" s="103">
        <v>0.0</v>
      </c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>
      <c r="A264" s="105">
        <v>262.0</v>
      </c>
      <c r="B264" s="106" t="s">
        <v>1461</v>
      </c>
      <c r="C264" s="106" t="s">
        <v>1736</v>
      </c>
      <c r="D264" s="105">
        <v>3.0</v>
      </c>
      <c r="E264" s="105">
        <v>0.0</v>
      </c>
      <c r="F264" s="105">
        <v>0.0</v>
      </c>
      <c r="G264" s="105">
        <v>5.0</v>
      </c>
      <c r="H264" s="105">
        <v>0.0</v>
      </c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>
      <c r="A265" s="103">
        <v>263.0</v>
      </c>
      <c r="B265" s="104" t="s">
        <v>1462</v>
      </c>
      <c r="C265" s="104" t="s">
        <v>1736</v>
      </c>
      <c r="D265" s="103">
        <v>4.0</v>
      </c>
      <c r="E265" s="103">
        <v>0.0</v>
      </c>
      <c r="F265" s="103">
        <v>0.0</v>
      </c>
      <c r="G265" s="103">
        <v>4.0</v>
      </c>
      <c r="H265" s="103">
        <v>0.0</v>
      </c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>
      <c r="A266" s="105">
        <v>264.0</v>
      </c>
      <c r="B266" s="106" t="s">
        <v>1463</v>
      </c>
      <c r="C266" s="106" t="s">
        <v>1736</v>
      </c>
      <c r="D266" s="105">
        <v>3.0</v>
      </c>
      <c r="E266" s="105">
        <v>0.0</v>
      </c>
      <c r="F266" s="105">
        <v>0.0</v>
      </c>
      <c r="G266" s="105">
        <v>5.0</v>
      </c>
      <c r="H266" s="105">
        <v>0.0</v>
      </c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>
      <c r="A267" s="103">
        <v>265.0</v>
      </c>
      <c r="B267" s="104" t="s">
        <v>1464</v>
      </c>
      <c r="C267" s="104" t="s">
        <v>1736</v>
      </c>
      <c r="D267" s="103">
        <v>1.0</v>
      </c>
      <c r="E267" s="103">
        <v>0.0</v>
      </c>
      <c r="F267" s="103">
        <v>0.0</v>
      </c>
      <c r="G267" s="103">
        <v>7.0</v>
      </c>
      <c r="H267" s="103">
        <v>0.0</v>
      </c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>
      <c r="A268" s="105">
        <v>266.0</v>
      </c>
      <c r="B268" s="106" t="s">
        <v>1465</v>
      </c>
      <c r="C268" s="106" t="s">
        <v>1736</v>
      </c>
      <c r="D268" s="105">
        <v>3.0</v>
      </c>
      <c r="E268" s="105">
        <v>0.0</v>
      </c>
      <c r="F268" s="105">
        <v>0.0</v>
      </c>
      <c r="G268" s="105">
        <v>5.0</v>
      </c>
      <c r="H268" s="105">
        <v>0.0</v>
      </c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>
      <c r="A269" s="103">
        <v>267.0</v>
      </c>
      <c r="B269" s="104" t="s">
        <v>1466</v>
      </c>
      <c r="C269" s="104" t="s">
        <v>1736</v>
      </c>
      <c r="D269" s="103">
        <v>2.0</v>
      </c>
      <c r="E269" s="103">
        <v>0.0</v>
      </c>
      <c r="F269" s="103">
        <v>0.0</v>
      </c>
      <c r="G269" s="103">
        <v>6.0</v>
      </c>
      <c r="H269" s="103">
        <v>0.0</v>
      </c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>
      <c r="A270" s="105">
        <v>268.0</v>
      </c>
      <c r="B270" s="106" t="s">
        <v>1467</v>
      </c>
      <c r="C270" s="106" t="s">
        <v>1736</v>
      </c>
      <c r="D270" s="105">
        <v>3.0</v>
      </c>
      <c r="E270" s="105">
        <v>0.0</v>
      </c>
      <c r="F270" s="105">
        <v>0.0</v>
      </c>
      <c r="G270" s="105">
        <v>5.0</v>
      </c>
      <c r="H270" s="105">
        <v>0.0</v>
      </c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>
      <c r="A271" s="103">
        <v>269.0</v>
      </c>
      <c r="B271" s="104" t="s">
        <v>1468</v>
      </c>
      <c r="C271" s="104" t="s">
        <v>1736</v>
      </c>
      <c r="D271" s="103">
        <v>3.0</v>
      </c>
      <c r="E271" s="103">
        <v>0.0</v>
      </c>
      <c r="F271" s="103">
        <v>0.0</v>
      </c>
      <c r="G271" s="103">
        <v>5.0</v>
      </c>
      <c r="H271" s="103">
        <v>0.0</v>
      </c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>
      <c r="A272" s="105">
        <v>270.0</v>
      </c>
      <c r="B272" s="106" t="s">
        <v>1469</v>
      </c>
      <c r="C272" s="106" t="s">
        <v>1736</v>
      </c>
      <c r="D272" s="105">
        <v>4.0</v>
      </c>
      <c r="E272" s="105">
        <v>0.0</v>
      </c>
      <c r="F272" s="105">
        <v>0.0</v>
      </c>
      <c r="G272" s="105">
        <v>4.0</v>
      </c>
      <c r="H272" s="105">
        <v>0.0</v>
      </c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>
      <c r="A273" s="103">
        <v>271.0</v>
      </c>
      <c r="B273" s="104" t="s">
        <v>1470</v>
      </c>
      <c r="C273" s="104" t="s">
        <v>1736</v>
      </c>
      <c r="D273" s="103">
        <v>3.0</v>
      </c>
      <c r="E273" s="103">
        <v>0.0</v>
      </c>
      <c r="F273" s="103">
        <v>0.0</v>
      </c>
      <c r="G273" s="103">
        <v>5.0</v>
      </c>
      <c r="H273" s="103">
        <v>0.0</v>
      </c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>
      <c r="A274" s="105">
        <v>272.0</v>
      </c>
      <c r="B274" s="106" t="s">
        <v>1471</v>
      </c>
      <c r="C274" s="106" t="s">
        <v>1736</v>
      </c>
      <c r="D274" s="105">
        <v>2.0</v>
      </c>
      <c r="E274" s="105">
        <v>0.0</v>
      </c>
      <c r="F274" s="105">
        <v>0.0</v>
      </c>
      <c r="G274" s="105">
        <v>6.0</v>
      </c>
      <c r="H274" s="105">
        <v>0.0</v>
      </c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>
      <c r="A275" s="103">
        <v>273.0</v>
      </c>
      <c r="B275" s="104" t="s">
        <v>1472</v>
      </c>
      <c r="C275" s="104" t="s">
        <v>1736</v>
      </c>
      <c r="D275" s="103">
        <v>4.0</v>
      </c>
      <c r="E275" s="103">
        <v>0.0</v>
      </c>
      <c r="F275" s="103">
        <v>0.0</v>
      </c>
      <c r="G275" s="103">
        <v>4.0</v>
      </c>
      <c r="H275" s="103">
        <v>0.0</v>
      </c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>
      <c r="A276" s="105">
        <v>274.0</v>
      </c>
      <c r="B276" s="106" t="s">
        <v>1473</v>
      </c>
      <c r="C276" s="106" t="s">
        <v>1736</v>
      </c>
      <c r="D276" s="105">
        <v>3.0</v>
      </c>
      <c r="E276" s="105">
        <v>0.0</v>
      </c>
      <c r="F276" s="105">
        <v>0.0</v>
      </c>
      <c r="G276" s="105">
        <v>5.0</v>
      </c>
      <c r="H276" s="105">
        <v>0.0</v>
      </c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>
      <c r="A277" s="103">
        <v>275.0</v>
      </c>
      <c r="B277" s="104" t="s">
        <v>1474</v>
      </c>
      <c r="C277" s="104" t="s">
        <v>1736</v>
      </c>
      <c r="D277" s="103">
        <v>2.0</v>
      </c>
      <c r="E277" s="103">
        <v>0.0</v>
      </c>
      <c r="F277" s="103">
        <v>0.0</v>
      </c>
      <c r="G277" s="103">
        <v>6.0</v>
      </c>
      <c r="H277" s="103">
        <v>0.0</v>
      </c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>
      <c r="A278" s="105">
        <v>276.0</v>
      </c>
      <c r="B278" s="106" t="s">
        <v>1738</v>
      </c>
      <c r="C278" s="106" t="s">
        <v>1736</v>
      </c>
      <c r="D278" s="105">
        <v>0.0</v>
      </c>
      <c r="E278" s="105">
        <v>0.0</v>
      </c>
      <c r="F278" s="105">
        <v>0.0</v>
      </c>
      <c r="G278" s="105">
        <v>8.0</v>
      </c>
      <c r="H278" s="105">
        <v>0.0</v>
      </c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>
      <c r="A279" s="103">
        <v>277.0</v>
      </c>
      <c r="B279" s="104" t="s">
        <v>1475</v>
      </c>
      <c r="C279" s="104" t="s">
        <v>1736</v>
      </c>
      <c r="D279" s="103">
        <v>3.0</v>
      </c>
      <c r="E279" s="103">
        <v>0.0</v>
      </c>
      <c r="F279" s="103">
        <v>0.0</v>
      </c>
      <c r="G279" s="103">
        <v>5.0</v>
      </c>
      <c r="H279" s="103">
        <v>0.0</v>
      </c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>
      <c r="A280" s="105">
        <v>278.0</v>
      </c>
      <c r="B280" s="106" t="s">
        <v>1476</v>
      </c>
      <c r="C280" s="106" t="s">
        <v>1736</v>
      </c>
      <c r="D280" s="105">
        <v>3.0</v>
      </c>
      <c r="E280" s="105">
        <v>0.0</v>
      </c>
      <c r="F280" s="105">
        <v>0.0</v>
      </c>
      <c r="G280" s="105">
        <v>5.0</v>
      </c>
      <c r="H280" s="105">
        <v>0.0</v>
      </c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>
      <c r="A281" s="103">
        <v>279.0</v>
      </c>
      <c r="B281" s="104" t="s">
        <v>1477</v>
      </c>
      <c r="C281" s="104" t="s">
        <v>1736</v>
      </c>
      <c r="D281" s="103">
        <v>3.0</v>
      </c>
      <c r="E281" s="103">
        <v>0.0</v>
      </c>
      <c r="F281" s="103">
        <v>0.0</v>
      </c>
      <c r="G281" s="103">
        <v>5.0</v>
      </c>
      <c r="H281" s="103">
        <v>0.0</v>
      </c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>
      <c r="A282" s="105">
        <v>280.0</v>
      </c>
      <c r="B282" s="106" t="s">
        <v>1478</v>
      </c>
      <c r="C282" s="106" t="s">
        <v>1736</v>
      </c>
      <c r="D282" s="105">
        <v>3.0</v>
      </c>
      <c r="E282" s="105">
        <v>0.0</v>
      </c>
      <c r="F282" s="105">
        <v>0.0</v>
      </c>
      <c r="G282" s="105">
        <v>5.0</v>
      </c>
      <c r="H282" s="105">
        <v>0.0</v>
      </c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>
      <c r="A283" s="103">
        <v>281.0</v>
      </c>
      <c r="B283" s="104" t="s">
        <v>1479</v>
      </c>
      <c r="C283" s="104" t="s">
        <v>1736</v>
      </c>
      <c r="D283" s="103">
        <v>3.0</v>
      </c>
      <c r="E283" s="103">
        <v>0.0</v>
      </c>
      <c r="F283" s="103">
        <v>0.0</v>
      </c>
      <c r="G283" s="103">
        <v>5.0</v>
      </c>
      <c r="H283" s="103">
        <v>0.0</v>
      </c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>
      <c r="A284" s="105">
        <v>282.0</v>
      </c>
      <c r="B284" s="106" t="s">
        <v>1480</v>
      </c>
      <c r="C284" s="106" t="s">
        <v>1736</v>
      </c>
      <c r="D284" s="105">
        <v>4.0</v>
      </c>
      <c r="E284" s="105">
        <v>0.0</v>
      </c>
      <c r="F284" s="105">
        <v>0.0</v>
      </c>
      <c r="G284" s="105">
        <v>4.0</v>
      </c>
      <c r="H284" s="105">
        <v>0.0</v>
      </c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>
      <c r="A285" s="103">
        <v>283.0</v>
      </c>
      <c r="B285" s="104" t="s">
        <v>1481</v>
      </c>
      <c r="C285" s="104" t="s">
        <v>1736</v>
      </c>
      <c r="D285" s="103">
        <v>3.0</v>
      </c>
      <c r="E285" s="103">
        <v>0.0</v>
      </c>
      <c r="F285" s="103">
        <v>0.0</v>
      </c>
      <c r="G285" s="103">
        <v>5.0</v>
      </c>
      <c r="H285" s="103">
        <v>0.0</v>
      </c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>
      <c r="A286" s="105">
        <v>284.0</v>
      </c>
      <c r="B286" s="106" t="s">
        <v>1482</v>
      </c>
      <c r="C286" s="106" t="s">
        <v>1736</v>
      </c>
      <c r="D286" s="105">
        <v>3.0</v>
      </c>
      <c r="E286" s="105">
        <v>0.0</v>
      </c>
      <c r="F286" s="105">
        <v>0.0</v>
      </c>
      <c r="G286" s="105">
        <v>5.0</v>
      </c>
      <c r="H286" s="105">
        <v>0.0</v>
      </c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>
      <c r="A287" s="103">
        <v>285.0</v>
      </c>
      <c r="B287" s="104" t="s">
        <v>1483</v>
      </c>
      <c r="C287" s="104" t="s">
        <v>1736</v>
      </c>
      <c r="D287" s="103">
        <v>1.0</v>
      </c>
      <c r="E287" s="103">
        <v>0.0</v>
      </c>
      <c r="F287" s="103">
        <v>0.0</v>
      </c>
      <c r="G287" s="103">
        <v>7.0</v>
      </c>
      <c r="H287" s="103">
        <v>0.0</v>
      </c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>
      <c r="A288" s="105">
        <v>286.0</v>
      </c>
      <c r="B288" s="106" t="s">
        <v>1210</v>
      </c>
      <c r="C288" s="106" t="s">
        <v>1739</v>
      </c>
      <c r="D288" s="105">
        <v>1.0</v>
      </c>
      <c r="E288" s="105">
        <v>0.0</v>
      </c>
      <c r="F288" s="105">
        <v>0.0</v>
      </c>
      <c r="G288" s="105">
        <v>7.0</v>
      </c>
      <c r="H288" s="105">
        <v>0.0</v>
      </c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>
      <c r="A289" s="103">
        <v>287.0</v>
      </c>
      <c r="B289" s="104" t="s">
        <v>1211</v>
      </c>
      <c r="C289" s="104" t="s">
        <v>1739</v>
      </c>
      <c r="D289" s="103">
        <v>2.0</v>
      </c>
      <c r="E289" s="103">
        <v>0.0</v>
      </c>
      <c r="F289" s="103">
        <v>0.0</v>
      </c>
      <c r="G289" s="103">
        <v>6.0</v>
      </c>
      <c r="H289" s="103">
        <v>0.0</v>
      </c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>
      <c r="A290" s="105">
        <v>288.0</v>
      </c>
      <c r="B290" s="106" t="s">
        <v>1212</v>
      </c>
      <c r="C290" s="106" t="s">
        <v>1739</v>
      </c>
      <c r="D290" s="105">
        <v>3.0</v>
      </c>
      <c r="E290" s="105">
        <v>0.0</v>
      </c>
      <c r="F290" s="105">
        <v>0.0</v>
      </c>
      <c r="G290" s="105">
        <v>5.0</v>
      </c>
      <c r="H290" s="105">
        <v>0.0</v>
      </c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>
      <c r="A291" s="103">
        <v>289.0</v>
      </c>
      <c r="B291" s="104" t="s">
        <v>1213</v>
      </c>
      <c r="C291" s="104" t="s">
        <v>1739</v>
      </c>
      <c r="D291" s="103">
        <v>5.0</v>
      </c>
      <c r="E291" s="103">
        <v>0.0</v>
      </c>
      <c r="F291" s="103">
        <v>0.0</v>
      </c>
      <c r="G291" s="103">
        <v>3.0</v>
      </c>
      <c r="H291" s="103">
        <v>0.0</v>
      </c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>
      <c r="A292" s="105">
        <v>290.0</v>
      </c>
      <c r="B292" s="106" t="s">
        <v>1214</v>
      </c>
      <c r="C292" s="106" t="s">
        <v>1739</v>
      </c>
      <c r="D292" s="105">
        <v>2.0</v>
      </c>
      <c r="E292" s="105">
        <v>0.0</v>
      </c>
      <c r="F292" s="105">
        <v>0.0</v>
      </c>
      <c r="G292" s="105">
        <v>6.0</v>
      </c>
      <c r="H292" s="105">
        <v>0.0</v>
      </c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>
      <c r="A293" s="103">
        <v>291.0</v>
      </c>
      <c r="B293" s="104" t="s">
        <v>1215</v>
      </c>
      <c r="C293" s="104" t="s">
        <v>1739</v>
      </c>
      <c r="D293" s="103">
        <v>4.0</v>
      </c>
      <c r="E293" s="103">
        <v>0.0</v>
      </c>
      <c r="F293" s="103">
        <v>0.0</v>
      </c>
      <c r="G293" s="103">
        <v>4.0</v>
      </c>
      <c r="H293" s="103">
        <v>0.0</v>
      </c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>
      <c r="A294" s="105">
        <v>292.0</v>
      </c>
      <c r="B294" s="106" t="s">
        <v>1216</v>
      </c>
      <c r="C294" s="106" t="s">
        <v>1739</v>
      </c>
      <c r="D294" s="105">
        <v>5.0</v>
      </c>
      <c r="E294" s="105">
        <v>0.0</v>
      </c>
      <c r="F294" s="105">
        <v>0.0</v>
      </c>
      <c r="G294" s="105">
        <v>3.0</v>
      </c>
      <c r="H294" s="105">
        <v>0.0</v>
      </c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>
      <c r="A295" s="103">
        <v>293.0</v>
      </c>
      <c r="B295" s="104" t="s">
        <v>1217</v>
      </c>
      <c r="C295" s="104" t="s">
        <v>1739</v>
      </c>
      <c r="D295" s="103">
        <v>4.0</v>
      </c>
      <c r="E295" s="103">
        <v>0.0</v>
      </c>
      <c r="F295" s="103">
        <v>0.0</v>
      </c>
      <c r="G295" s="103">
        <v>4.0</v>
      </c>
      <c r="H295" s="103">
        <v>0.0</v>
      </c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>
      <c r="A296" s="105">
        <v>294.0</v>
      </c>
      <c r="B296" s="106" t="s">
        <v>1218</v>
      </c>
      <c r="C296" s="106" t="s">
        <v>1739</v>
      </c>
      <c r="D296" s="105">
        <v>3.0</v>
      </c>
      <c r="E296" s="105">
        <v>0.0</v>
      </c>
      <c r="F296" s="105">
        <v>0.0</v>
      </c>
      <c r="G296" s="105">
        <v>5.0</v>
      </c>
      <c r="H296" s="105">
        <v>0.0</v>
      </c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>
      <c r="A297" s="103">
        <v>295.0</v>
      </c>
      <c r="B297" s="104" t="s">
        <v>1219</v>
      </c>
      <c r="C297" s="104" t="s">
        <v>1739</v>
      </c>
      <c r="D297" s="103">
        <v>0.0</v>
      </c>
      <c r="E297" s="103">
        <v>0.0</v>
      </c>
      <c r="F297" s="103">
        <v>0.0</v>
      </c>
      <c r="G297" s="103">
        <v>8.0</v>
      </c>
      <c r="H297" s="103">
        <v>0.0</v>
      </c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>
      <c r="A298" s="105">
        <v>296.0</v>
      </c>
      <c r="B298" s="106" t="s">
        <v>1220</v>
      </c>
      <c r="C298" s="106" t="s">
        <v>1739</v>
      </c>
      <c r="D298" s="105">
        <v>4.0</v>
      </c>
      <c r="E298" s="105">
        <v>0.0</v>
      </c>
      <c r="F298" s="105">
        <v>0.0</v>
      </c>
      <c r="G298" s="105">
        <v>4.0</v>
      </c>
      <c r="H298" s="105">
        <v>0.0</v>
      </c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>
      <c r="A299" s="103">
        <v>297.0</v>
      </c>
      <c r="B299" s="104" t="s">
        <v>1221</v>
      </c>
      <c r="C299" s="104" t="s">
        <v>1739</v>
      </c>
      <c r="D299" s="103">
        <v>4.0</v>
      </c>
      <c r="E299" s="103">
        <v>0.0</v>
      </c>
      <c r="F299" s="103">
        <v>0.0</v>
      </c>
      <c r="G299" s="103">
        <v>4.0</v>
      </c>
      <c r="H299" s="103">
        <v>0.0</v>
      </c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>
      <c r="A300" s="105">
        <v>298.0</v>
      </c>
      <c r="B300" s="106" t="s">
        <v>1222</v>
      </c>
      <c r="C300" s="106" t="s">
        <v>1739</v>
      </c>
      <c r="D300" s="105">
        <v>3.0</v>
      </c>
      <c r="E300" s="105">
        <v>0.0</v>
      </c>
      <c r="F300" s="105">
        <v>0.0</v>
      </c>
      <c r="G300" s="105">
        <v>5.0</v>
      </c>
      <c r="H300" s="105">
        <v>0.0</v>
      </c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>
      <c r="A301" s="103">
        <v>299.0</v>
      </c>
      <c r="B301" s="104" t="s">
        <v>1223</v>
      </c>
      <c r="C301" s="104" t="s">
        <v>1739</v>
      </c>
      <c r="D301" s="103">
        <v>5.0</v>
      </c>
      <c r="E301" s="103">
        <v>0.0</v>
      </c>
      <c r="F301" s="103">
        <v>0.0</v>
      </c>
      <c r="G301" s="103">
        <v>3.0</v>
      </c>
      <c r="H301" s="103">
        <v>0.0</v>
      </c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>
      <c r="A302" s="105">
        <v>300.0</v>
      </c>
      <c r="B302" s="106" t="s">
        <v>1224</v>
      </c>
      <c r="C302" s="106" t="s">
        <v>1739</v>
      </c>
      <c r="D302" s="105">
        <v>5.0</v>
      </c>
      <c r="E302" s="105">
        <v>0.0</v>
      </c>
      <c r="F302" s="105">
        <v>0.0</v>
      </c>
      <c r="G302" s="105">
        <v>3.0</v>
      </c>
      <c r="H302" s="105">
        <v>0.0</v>
      </c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>
      <c r="A303" s="103">
        <v>301.0</v>
      </c>
      <c r="B303" s="104" t="s">
        <v>1225</v>
      </c>
      <c r="C303" s="104" t="s">
        <v>1739</v>
      </c>
      <c r="D303" s="103">
        <v>4.0</v>
      </c>
      <c r="E303" s="103">
        <v>0.0</v>
      </c>
      <c r="F303" s="103">
        <v>0.0</v>
      </c>
      <c r="G303" s="103">
        <v>4.0</v>
      </c>
      <c r="H303" s="103">
        <v>0.0</v>
      </c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>
      <c r="A304" s="105">
        <v>302.0</v>
      </c>
      <c r="B304" s="106" t="s">
        <v>1226</v>
      </c>
      <c r="C304" s="106" t="s">
        <v>1739</v>
      </c>
      <c r="D304" s="105">
        <v>5.0</v>
      </c>
      <c r="E304" s="105">
        <v>0.0</v>
      </c>
      <c r="F304" s="105">
        <v>0.0</v>
      </c>
      <c r="G304" s="105">
        <v>3.0</v>
      </c>
      <c r="H304" s="105">
        <v>0.0</v>
      </c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>
      <c r="A305" s="103">
        <v>303.0</v>
      </c>
      <c r="B305" s="104" t="s">
        <v>1227</v>
      </c>
      <c r="C305" s="104" t="s">
        <v>1739</v>
      </c>
      <c r="D305" s="103">
        <v>4.0</v>
      </c>
      <c r="E305" s="103">
        <v>0.0</v>
      </c>
      <c r="F305" s="103">
        <v>0.0</v>
      </c>
      <c r="G305" s="103">
        <v>4.0</v>
      </c>
      <c r="H305" s="103">
        <v>0.0</v>
      </c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>
      <c r="A306" s="105">
        <v>304.0</v>
      </c>
      <c r="B306" s="106" t="s">
        <v>1228</v>
      </c>
      <c r="C306" s="106" t="s">
        <v>1739</v>
      </c>
      <c r="D306" s="105">
        <v>3.0</v>
      </c>
      <c r="E306" s="105">
        <v>0.0</v>
      </c>
      <c r="F306" s="105">
        <v>0.0</v>
      </c>
      <c r="G306" s="105">
        <v>5.0</v>
      </c>
      <c r="H306" s="105">
        <v>0.0</v>
      </c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>
      <c r="A307" s="103">
        <v>305.0</v>
      </c>
      <c r="B307" s="104" t="s">
        <v>1229</v>
      </c>
      <c r="C307" s="104" t="s">
        <v>1739</v>
      </c>
      <c r="D307" s="103">
        <v>0.0</v>
      </c>
      <c r="E307" s="103">
        <v>0.0</v>
      </c>
      <c r="F307" s="103">
        <v>0.0</v>
      </c>
      <c r="G307" s="103">
        <v>8.0</v>
      </c>
      <c r="H307" s="103">
        <v>0.0</v>
      </c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>
      <c r="A308" s="105">
        <v>306.0</v>
      </c>
      <c r="B308" s="106" t="s">
        <v>1230</v>
      </c>
      <c r="C308" s="106" t="s">
        <v>1739</v>
      </c>
      <c r="D308" s="105">
        <v>0.0</v>
      </c>
      <c r="E308" s="105">
        <v>0.0</v>
      </c>
      <c r="F308" s="105">
        <v>0.0</v>
      </c>
      <c r="G308" s="105">
        <v>8.0</v>
      </c>
      <c r="H308" s="105">
        <v>0.0</v>
      </c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>
      <c r="A309" s="103">
        <v>307.0</v>
      </c>
      <c r="B309" s="104" t="s">
        <v>1231</v>
      </c>
      <c r="C309" s="104" t="s">
        <v>1739</v>
      </c>
      <c r="D309" s="103">
        <v>2.0</v>
      </c>
      <c r="E309" s="103">
        <v>0.0</v>
      </c>
      <c r="F309" s="103">
        <v>0.0</v>
      </c>
      <c r="G309" s="103">
        <v>6.0</v>
      </c>
      <c r="H309" s="103">
        <v>0.0</v>
      </c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>
      <c r="A310" s="105">
        <v>308.0</v>
      </c>
      <c r="B310" s="106" t="s">
        <v>1232</v>
      </c>
      <c r="C310" s="106" t="s">
        <v>1739</v>
      </c>
      <c r="D310" s="105">
        <v>2.0</v>
      </c>
      <c r="E310" s="105">
        <v>0.0</v>
      </c>
      <c r="F310" s="105">
        <v>0.0</v>
      </c>
      <c r="G310" s="105">
        <v>6.0</v>
      </c>
      <c r="H310" s="105">
        <v>0.0</v>
      </c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>
      <c r="A311" s="103">
        <v>309.0</v>
      </c>
      <c r="B311" s="104" t="s">
        <v>1740</v>
      </c>
      <c r="C311" s="104" t="s">
        <v>1739</v>
      </c>
      <c r="D311" s="103">
        <v>0.0</v>
      </c>
      <c r="E311" s="103">
        <v>0.0</v>
      </c>
      <c r="F311" s="103">
        <v>0.0</v>
      </c>
      <c r="G311" s="103">
        <v>8.0</v>
      </c>
      <c r="H311" s="103">
        <v>0.0</v>
      </c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>
      <c r="A312" s="105">
        <v>310.0</v>
      </c>
      <c r="B312" s="106" t="s">
        <v>1233</v>
      </c>
      <c r="C312" s="106" t="s">
        <v>1739</v>
      </c>
      <c r="D312" s="105">
        <v>3.0</v>
      </c>
      <c r="E312" s="105">
        <v>0.0</v>
      </c>
      <c r="F312" s="105">
        <v>0.0</v>
      </c>
      <c r="G312" s="105">
        <v>5.0</v>
      </c>
      <c r="H312" s="105">
        <v>0.0</v>
      </c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>
      <c r="A313" s="103">
        <v>311.0</v>
      </c>
      <c r="B313" s="104" t="s">
        <v>1234</v>
      </c>
      <c r="C313" s="104" t="s">
        <v>1739</v>
      </c>
      <c r="D313" s="103">
        <v>4.0</v>
      </c>
      <c r="E313" s="103">
        <v>0.0</v>
      </c>
      <c r="F313" s="103">
        <v>0.0</v>
      </c>
      <c r="G313" s="103">
        <v>4.0</v>
      </c>
      <c r="H313" s="103">
        <v>0.0</v>
      </c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>
      <c r="A314" s="105">
        <v>312.0</v>
      </c>
      <c r="B314" s="106" t="s">
        <v>1235</v>
      </c>
      <c r="C314" s="106" t="s">
        <v>1739</v>
      </c>
      <c r="D314" s="105">
        <v>4.0</v>
      </c>
      <c r="E314" s="105">
        <v>0.0</v>
      </c>
      <c r="F314" s="105">
        <v>0.0</v>
      </c>
      <c r="G314" s="105">
        <v>4.0</v>
      </c>
      <c r="H314" s="105">
        <v>0.0</v>
      </c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>
      <c r="A315" s="103">
        <v>313.0</v>
      </c>
      <c r="B315" s="104" t="s">
        <v>1236</v>
      </c>
      <c r="C315" s="104" t="s">
        <v>1739</v>
      </c>
      <c r="D315" s="103">
        <v>0.0</v>
      </c>
      <c r="E315" s="103">
        <v>0.0</v>
      </c>
      <c r="F315" s="103">
        <v>0.0</v>
      </c>
      <c r="G315" s="103">
        <v>8.0</v>
      </c>
      <c r="H315" s="103">
        <v>0.0</v>
      </c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>
      <c r="A316" s="105">
        <v>314.0</v>
      </c>
      <c r="B316" s="106" t="s">
        <v>1237</v>
      </c>
      <c r="C316" s="106" t="s">
        <v>1739</v>
      </c>
      <c r="D316" s="105">
        <v>2.0</v>
      </c>
      <c r="E316" s="105">
        <v>0.0</v>
      </c>
      <c r="F316" s="105">
        <v>0.0</v>
      </c>
      <c r="G316" s="105">
        <v>6.0</v>
      </c>
      <c r="H316" s="105">
        <v>0.0</v>
      </c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>
      <c r="A317" s="103">
        <v>315.0</v>
      </c>
      <c r="B317" s="104" t="s">
        <v>1238</v>
      </c>
      <c r="C317" s="104" t="s">
        <v>1739</v>
      </c>
      <c r="D317" s="103">
        <v>2.0</v>
      </c>
      <c r="E317" s="103">
        <v>0.0</v>
      </c>
      <c r="F317" s="103">
        <v>0.0</v>
      </c>
      <c r="G317" s="103">
        <v>6.0</v>
      </c>
      <c r="H317" s="103">
        <v>0.0</v>
      </c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>
      <c r="A318" s="105">
        <v>316.0</v>
      </c>
      <c r="B318" s="106" t="s">
        <v>1239</v>
      </c>
      <c r="C318" s="106" t="s">
        <v>1739</v>
      </c>
      <c r="D318" s="105">
        <v>0.0</v>
      </c>
      <c r="E318" s="105">
        <v>0.0</v>
      </c>
      <c r="F318" s="105">
        <v>0.0</v>
      </c>
      <c r="G318" s="105">
        <v>8.0</v>
      </c>
      <c r="H318" s="105">
        <v>0.0</v>
      </c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>
      <c r="A319" s="103">
        <v>317.0</v>
      </c>
      <c r="B319" s="104" t="s">
        <v>1240</v>
      </c>
      <c r="C319" s="104" t="s">
        <v>1739</v>
      </c>
      <c r="D319" s="103">
        <v>5.0</v>
      </c>
      <c r="E319" s="103">
        <v>0.0</v>
      </c>
      <c r="F319" s="103">
        <v>0.0</v>
      </c>
      <c r="G319" s="103">
        <v>3.0</v>
      </c>
      <c r="H319" s="103">
        <v>0.0</v>
      </c>
      <c r="I319" s="107">
        <f>MAX(D98:D145)</f>
        <v>3</v>
      </c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>
      <c r="A320" s="105">
        <v>318.0</v>
      </c>
      <c r="B320" s="106" t="s">
        <v>1241</v>
      </c>
      <c r="C320" s="106" t="s">
        <v>1739</v>
      </c>
      <c r="D320" s="105">
        <v>5.0</v>
      </c>
      <c r="E320" s="105">
        <v>0.0</v>
      </c>
      <c r="F320" s="105">
        <v>0.0</v>
      </c>
      <c r="G320" s="105">
        <v>3.0</v>
      </c>
      <c r="H320" s="105">
        <v>0.0</v>
      </c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>
      <c r="A321" s="103">
        <v>319.0</v>
      </c>
      <c r="B321" s="104" t="s">
        <v>1242</v>
      </c>
      <c r="C321" s="104" t="s">
        <v>1739</v>
      </c>
      <c r="D321" s="103">
        <v>0.0</v>
      </c>
      <c r="E321" s="103">
        <v>0.0</v>
      </c>
      <c r="F321" s="103">
        <v>0.0</v>
      </c>
      <c r="G321" s="103">
        <v>8.0</v>
      </c>
      <c r="H321" s="103">
        <v>0.0</v>
      </c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>
      <c r="A322" s="105">
        <v>320.0</v>
      </c>
      <c r="B322" s="106" t="s">
        <v>1243</v>
      </c>
      <c r="C322" s="106" t="s">
        <v>1739</v>
      </c>
      <c r="D322" s="105">
        <v>4.0</v>
      </c>
      <c r="E322" s="105">
        <v>0.0</v>
      </c>
      <c r="F322" s="105">
        <v>0.0</v>
      </c>
      <c r="G322" s="105">
        <v>4.0</v>
      </c>
      <c r="H322" s="105">
        <v>0.0</v>
      </c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>
      <c r="A323" s="103">
        <v>321.0</v>
      </c>
      <c r="B323" s="104" t="s">
        <v>1244</v>
      </c>
      <c r="C323" s="104" t="s">
        <v>1739</v>
      </c>
      <c r="D323" s="103">
        <v>2.0</v>
      </c>
      <c r="E323" s="103">
        <v>0.0</v>
      </c>
      <c r="F323" s="103">
        <v>0.0</v>
      </c>
      <c r="G323" s="103">
        <v>6.0</v>
      </c>
      <c r="H323" s="103">
        <v>0.0</v>
      </c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>
      <c r="A324" s="105">
        <v>322.0</v>
      </c>
      <c r="B324" s="106" t="s">
        <v>1245</v>
      </c>
      <c r="C324" s="106" t="s">
        <v>1739</v>
      </c>
      <c r="D324" s="105">
        <v>2.0</v>
      </c>
      <c r="E324" s="105">
        <v>0.0</v>
      </c>
      <c r="F324" s="105">
        <v>0.0</v>
      </c>
      <c r="G324" s="105">
        <v>6.0</v>
      </c>
      <c r="H324" s="105">
        <v>0.0</v>
      </c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>
      <c r="A325" s="103">
        <v>323.0</v>
      </c>
      <c r="B325" s="104" t="s">
        <v>1246</v>
      </c>
      <c r="C325" s="104" t="s">
        <v>1739</v>
      </c>
      <c r="D325" s="103">
        <v>3.0</v>
      </c>
      <c r="E325" s="103">
        <v>0.0</v>
      </c>
      <c r="F325" s="103">
        <v>0.0</v>
      </c>
      <c r="G325" s="103">
        <v>5.0</v>
      </c>
      <c r="H325" s="103">
        <v>0.0</v>
      </c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>
      <c r="A326" s="105">
        <v>324.0</v>
      </c>
      <c r="B326" s="106" t="s">
        <v>1247</v>
      </c>
      <c r="C326" s="106" t="s">
        <v>1739</v>
      </c>
      <c r="D326" s="105">
        <v>0.0</v>
      </c>
      <c r="E326" s="105">
        <v>0.0</v>
      </c>
      <c r="F326" s="105">
        <v>0.0</v>
      </c>
      <c r="G326" s="105">
        <v>8.0</v>
      </c>
      <c r="H326" s="105">
        <v>0.0</v>
      </c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>
      <c r="A327" s="103">
        <v>325.0</v>
      </c>
      <c r="B327" s="104" t="s">
        <v>1248</v>
      </c>
      <c r="C327" s="104" t="s">
        <v>1739</v>
      </c>
      <c r="D327" s="103">
        <v>1.0</v>
      </c>
      <c r="E327" s="103">
        <v>0.0</v>
      </c>
      <c r="F327" s="103">
        <v>0.0</v>
      </c>
      <c r="G327" s="103">
        <v>7.0</v>
      </c>
      <c r="H327" s="103">
        <v>0.0</v>
      </c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>
      <c r="A328" s="105">
        <v>326.0</v>
      </c>
      <c r="B328" s="106" t="s">
        <v>1249</v>
      </c>
      <c r="C328" s="106" t="s">
        <v>1739</v>
      </c>
      <c r="D328" s="105">
        <v>4.0</v>
      </c>
      <c r="E328" s="105">
        <v>0.0</v>
      </c>
      <c r="F328" s="105">
        <v>0.0</v>
      </c>
      <c r="G328" s="105">
        <v>4.0</v>
      </c>
      <c r="H328" s="105">
        <v>0.0</v>
      </c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>
      <c r="A329" s="103">
        <v>327.0</v>
      </c>
      <c r="B329" s="104" t="s">
        <v>1250</v>
      </c>
      <c r="C329" s="104" t="s">
        <v>1739</v>
      </c>
      <c r="D329" s="103">
        <v>3.0</v>
      </c>
      <c r="E329" s="103">
        <v>0.0</v>
      </c>
      <c r="F329" s="103">
        <v>0.0</v>
      </c>
      <c r="G329" s="103">
        <v>5.0</v>
      </c>
      <c r="H329" s="103">
        <v>0.0</v>
      </c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>
      <c r="A330" s="105">
        <v>328.0</v>
      </c>
      <c r="B330" s="106" t="s">
        <v>1251</v>
      </c>
      <c r="C330" s="106" t="s">
        <v>1739</v>
      </c>
      <c r="D330" s="105">
        <v>5.0</v>
      </c>
      <c r="E330" s="105">
        <v>0.0</v>
      </c>
      <c r="F330" s="105">
        <v>0.0</v>
      </c>
      <c r="G330" s="105">
        <v>3.0</v>
      </c>
      <c r="H330" s="105">
        <v>0.0</v>
      </c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>
      <c r="A331" s="103">
        <v>329.0</v>
      </c>
      <c r="B331" s="104" t="s">
        <v>1252</v>
      </c>
      <c r="C331" s="104" t="s">
        <v>1739</v>
      </c>
      <c r="D331" s="103">
        <v>2.0</v>
      </c>
      <c r="E331" s="103">
        <v>0.0</v>
      </c>
      <c r="F331" s="103">
        <v>0.0</v>
      </c>
      <c r="G331" s="103">
        <v>6.0</v>
      </c>
      <c r="H331" s="103">
        <v>0.0</v>
      </c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>
      <c r="A332" s="105">
        <v>330.0</v>
      </c>
      <c r="B332" s="106" t="s">
        <v>1253</v>
      </c>
      <c r="C332" s="106" t="s">
        <v>1739</v>
      </c>
      <c r="D332" s="105">
        <v>0.0</v>
      </c>
      <c r="E332" s="105">
        <v>0.0</v>
      </c>
      <c r="F332" s="105">
        <v>0.0</v>
      </c>
      <c r="G332" s="105">
        <v>8.0</v>
      </c>
      <c r="H332" s="105">
        <v>0.0</v>
      </c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>
      <c r="A333" s="103">
        <v>331.0</v>
      </c>
      <c r="B333" s="104" t="s">
        <v>1254</v>
      </c>
      <c r="C333" s="104" t="s">
        <v>1739</v>
      </c>
      <c r="D333" s="103">
        <v>2.0</v>
      </c>
      <c r="E333" s="103">
        <v>0.0</v>
      </c>
      <c r="F333" s="103">
        <v>0.0</v>
      </c>
      <c r="G333" s="103">
        <v>6.0</v>
      </c>
      <c r="H333" s="103">
        <v>0.0</v>
      </c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>
      <c r="A334" s="105">
        <v>332.0</v>
      </c>
      <c r="B334" s="106" t="s">
        <v>1255</v>
      </c>
      <c r="C334" s="106" t="s">
        <v>1739</v>
      </c>
      <c r="D334" s="105">
        <v>3.0</v>
      </c>
      <c r="E334" s="105">
        <v>0.0</v>
      </c>
      <c r="F334" s="105">
        <v>0.0</v>
      </c>
      <c r="G334" s="105">
        <v>5.0</v>
      </c>
      <c r="H334" s="105">
        <v>0.0</v>
      </c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>
      <c r="A335" s="103">
        <v>333.0</v>
      </c>
      <c r="B335" s="104" t="s">
        <v>1256</v>
      </c>
      <c r="C335" s="104" t="s">
        <v>1739</v>
      </c>
      <c r="D335" s="103">
        <v>3.0</v>
      </c>
      <c r="E335" s="103">
        <v>0.0</v>
      </c>
      <c r="F335" s="103">
        <v>0.0</v>
      </c>
      <c r="G335" s="103">
        <v>5.0</v>
      </c>
      <c r="H335" s="103">
        <v>0.0</v>
      </c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>
      <c r="A336" s="105">
        <v>334.0</v>
      </c>
      <c r="B336" s="106" t="s">
        <v>1257</v>
      </c>
      <c r="C336" s="106" t="s">
        <v>1741</v>
      </c>
      <c r="D336" s="105">
        <v>0.0</v>
      </c>
      <c r="E336" s="105">
        <v>0.0</v>
      </c>
      <c r="F336" s="105">
        <v>0.0</v>
      </c>
      <c r="G336" s="105">
        <v>8.0</v>
      </c>
      <c r="H336" s="105">
        <v>0.0</v>
      </c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>
      <c r="A337" s="103">
        <v>335.0</v>
      </c>
      <c r="B337" s="104" t="s">
        <v>1258</v>
      </c>
      <c r="C337" s="104" t="s">
        <v>1741</v>
      </c>
      <c r="D337" s="103">
        <v>2.0</v>
      </c>
      <c r="E337" s="103">
        <v>0.0</v>
      </c>
      <c r="F337" s="103">
        <v>0.0</v>
      </c>
      <c r="G337" s="103">
        <v>6.0</v>
      </c>
      <c r="H337" s="103">
        <v>0.0</v>
      </c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>
      <c r="A338" s="105">
        <v>336.0</v>
      </c>
      <c r="B338" s="106" t="s">
        <v>1259</v>
      </c>
      <c r="C338" s="106" t="s">
        <v>1741</v>
      </c>
      <c r="D338" s="105">
        <v>0.0</v>
      </c>
      <c r="E338" s="105">
        <v>0.0</v>
      </c>
      <c r="F338" s="105">
        <v>0.0</v>
      </c>
      <c r="G338" s="105">
        <v>8.0</v>
      </c>
      <c r="H338" s="105">
        <v>0.0</v>
      </c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>
      <c r="A339" s="103">
        <v>337.0</v>
      </c>
      <c r="B339" s="104" t="s">
        <v>1260</v>
      </c>
      <c r="C339" s="104" t="s">
        <v>1741</v>
      </c>
      <c r="D339" s="103">
        <v>3.0</v>
      </c>
      <c r="E339" s="103">
        <v>0.0</v>
      </c>
      <c r="F339" s="103">
        <v>0.0</v>
      </c>
      <c r="G339" s="103">
        <v>5.0</v>
      </c>
      <c r="H339" s="103">
        <v>0.0</v>
      </c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>
      <c r="A340" s="105">
        <v>338.0</v>
      </c>
      <c r="B340" s="106" t="s">
        <v>1261</v>
      </c>
      <c r="C340" s="106" t="s">
        <v>1741</v>
      </c>
      <c r="D340" s="105">
        <v>3.0</v>
      </c>
      <c r="E340" s="105">
        <v>0.0</v>
      </c>
      <c r="F340" s="105">
        <v>0.0</v>
      </c>
      <c r="G340" s="105">
        <v>5.0</v>
      </c>
      <c r="H340" s="105">
        <v>0.0</v>
      </c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>
      <c r="A341" s="103">
        <v>339.0</v>
      </c>
      <c r="B341" s="104" t="s">
        <v>1262</v>
      </c>
      <c r="C341" s="104" t="s">
        <v>1741</v>
      </c>
      <c r="D341" s="103">
        <v>1.0</v>
      </c>
      <c r="E341" s="103">
        <v>0.0</v>
      </c>
      <c r="F341" s="103">
        <v>0.0</v>
      </c>
      <c r="G341" s="103">
        <v>7.0</v>
      </c>
      <c r="H341" s="103">
        <v>0.0</v>
      </c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>
      <c r="A342" s="105">
        <v>340.0</v>
      </c>
      <c r="B342" s="106" t="s">
        <v>1263</v>
      </c>
      <c r="C342" s="106" t="s">
        <v>1741</v>
      </c>
      <c r="D342" s="105">
        <v>1.0</v>
      </c>
      <c r="E342" s="105">
        <v>0.0</v>
      </c>
      <c r="F342" s="105">
        <v>0.0</v>
      </c>
      <c r="G342" s="105">
        <v>7.0</v>
      </c>
      <c r="H342" s="105">
        <v>0.0</v>
      </c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>
      <c r="A343" s="103">
        <v>341.0</v>
      </c>
      <c r="B343" s="104" t="s">
        <v>1264</v>
      </c>
      <c r="C343" s="104" t="s">
        <v>1741</v>
      </c>
      <c r="D343" s="103">
        <v>1.0</v>
      </c>
      <c r="E343" s="103">
        <v>0.0</v>
      </c>
      <c r="F343" s="103">
        <v>0.0</v>
      </c>
      <c r="G343" s="103">
        <v>7.0</v>
      </c>
      <c r="H343" s="103">
        <v>0.0</v>
      </c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>
      <c r="A344" s="105">
        <v>342.0</v>
      </c>
      <c r="B344" s="106" t="s">
        <v>1265</v>
      </c>
      <c r="C344" s="106" t="s">
        <v>1741</v>
      </c>
      <c r="D344" s="105">
        <v>0.0</v>
      </c>
      <c r="E344" s="105">
        <v>0.0</v>
      </c>
      <c r="F344" s="105">
        <v>0.0</v>
      </c>
      <c r="G344" s="105">
        <v>8.0</v>
      </c>
      <c r="H344" s="105">
        <v>0.0</v>
      </c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>
      <c r="A345" s="103">
        <v>343.0</v>
      </c>
      <c r="B345" s="104" t="s">
        <v>1266</v>
      </c>
      <c r="C345" s="104" t="s">
        <v>1741</v>
      </c>
      <c r="D345" s="103">
        <v>0.0</v>
      </c>
      <c r="E345" s="103">
        <v>0.0</v>
      </c>
      <c r="F345" s="103">
        <v>0.0</v>
      </c>
      <c r="G345" s="103">
        <v>8.0</v>
      </c>
      <c r="H345" s="103">
        <v>0.0</v>
      </c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>
      <c r="A346" s="105">
        <v>344.0</v>
      </c>
      <c r="B346" s="106" t="s">
        <v>1267</v>
      </c>
      <c r="C346" s="106" t="s">
        <v>1741</v>
      </c>
      <c r="D346" s="105">
        <v>2.0</v>
      </c>
      <c r="E346" s="105">
        <v>0.0</v>
      </c>
      <c r="F346" s="105">
        <v>0.0</v>
      </c>
      <c r="G346" s="105">
        <v>6.0</v>
      </c>
      <c r="H346" s="105">
        <v>0.0</v>
      </c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>
      <c r="A347" s="103">
        <v>345.0</v>
      </c>
      <c r="B347" s="104" t="s">
        <v>1268</v>
      </c>
      <c r="C347" s="104" t="s">
        <v>1741</v>
      </c>
      <c r="D347" s="103">
        <v>1.0</v>
      </c>
      <c r="E347" s="103">
        <v>0.0</v>
      </c>
      <c r="F347" s="103">
        <v>0.0</v>
      </c>
      <c r="G347" s="103">
        <v>7.0</v>
      </c>
      <c r="H347" s="103">
        <v>0.0</v>
      </c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>
      <c r="A348" s="105">
        <v>346.0</v>
      </c>
      <c r="B348" s="106" t="s">
        <v>1269</v>
      </c>
      <c r="C348" s="106" t="s">
        <v>1741</v>
      </c>
      <c r="D348" s="105">
        <v>1.0</v>
      </c>
      <c r="E348" s="105">
        <v>0.0</v>
      </c>
      <c r="F348" s="105">
        <v>0.0</v>
      </c>
      <c r="G348" s="105">
        <v>7.0</v>
      </c>
      <c r="H348" s="105">
        <v>0.0</v>
      </c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>
      <c r="A349" s="103">
        <v>347.0</v>
      </c>
      <c r="B349" s="104" t="s">
        <v>1270</v>
      </c>
      <c r="C349" s="104" t="s">
        <v>1741</v>
      </c>
      <c r="D349" s="103">
        <v>2.0</v>
      </c>
      <c r="E349" s="103">
        <v>0.0</v>
      </c>
      <c r="F349" s="103">
        <v>0.0</v>
      </c>
      <c r="G349" s="103">
        <v>6.0</v>
      </c>
      <c r="H349" s="103">
        <v>0.0</v>
      </c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>
      <c r="A350" s="105">
        <v>348.0</v>
      </c>
      <c r="B350" s="106" t="s">
        <v>1271</v>
      </c>
      <c r="C350" s="106" t="s">
        <v>1741</v>
      </c>
      <c r="D350" s="105">
        <v>1.0</v>
      </c>
      <c r="E350" s="105">
        <v>0.0</v>
      </c>
      <c r="F350" s="105">
        <v>0.0</v>
      </c>
      <c r="G350" s="105">
        <v>7.0</v>
      </c>
      <c r="H350" s="105">
        <v>0.0</v>
      </c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>
      <c r="A351" s="103">
        <v>349.0</v>
      </c>
      <c r="B351" s="104" t="s">
        <v>1272</v>
      </c>
      <c r="C351" s="104" t="s">
        <v>1741</v>
      </c>
      <c r="D351" s="103">
        <v>1.0</v>
      </c>
      <c r="E351" s="103">
        <v>0.0</v>
      </c>
      <c r="F351" s="103">
        <v>0.0</v>
      </c>
      <c r="G351" s="103">
        <v>7.0</v>
      </c>
      <c r="H351" s="103">
        <v>0.0</v>
      </c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>
      <c r="A352" s="105">
        <v>350.0</v>
      </c>
      <c r="B352" s="106" t="s">
        <v>1273</v>
      </c>
      <c r="C352" s="106" t="s">
        <v>1741</v>
      </c>
      <c r="D352" s="105">
        <v>2.0</v>
      </c>
      <c r="E352" s="105">
        <v>0.0</v>
      </c>
      <c r="F352" s="105">
        <v>0.0</v>
      </c>
      <c r="G352" s="105">
        <v>6.0</v>
      </c>
      <c r="H352" s="105">
        <v>0.0</v>
      </c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>
      <c r="A353" s="103">
        <v>351.0</v>
      </c>
      <c r="B353" s="104" t="s">
        <v>1274</v>
      </c>
      <c r="C353" s="104" t="s">
        <v>1741</v>
      </c>
      <c r="D353" s="103">
        <v>1.0</v>
      </c>
      <c r="E353" s="103">
        <v>0.0</v>
      </c>
      <c r="F353" s="103">
        <v>0.0</v>
      </c>
      <c r="G353" s="103">
        <v>7.0</v>
      </c>
      <c r="H353" s="103">
        <v>0.0</v>
      </c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>
      <c r="A354" s="105">
        <v>352.0</v>
      </c>
      <c r="B354" s="106" t="s">
        <v>1275</v>
      </c>
      <c r="C354" s="106" t="s">
        <v>1741</v>
      </c>
      <c r="D354" s="105">
        <v>0.0</v>
      </c>
      <c r="E354" s="105">
        <v>0.0</v>
      </c>
      <c r="F354" s="105">
        <v>0.0</v>
      </c>
      <c r="G354" s="105">
        <v>8.0</v>
      </c>
      <c r="H354" s="105">
        <v>0.0</v>
      </c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>
      <c r="A355" s="103">
        <v>353.0</v>
      </c>
      <c r="B355" s="104" t="s">
        <v>1276</v>
      </c>
      <c r="C355" s="104" t="s">
        <v>1741</v>
      </c>
      <c r="D355" s="103">
        <v>0.0</v>
      </c>
      <c r="E355" s="103">
        <v>0.0</v>
      </c>
      <c r="F355" s="103">
        <v>0.0</v>
      </c>
      <c r="G355" s="103">
        <v>8.0</v>
      </c>
      <c r="H355" s="103">
        <v>0.0</v>
      </c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>
      <c r="A356" s="105">
        <v>354.0</v>
      </c>
      <c r="B356" s="106" t="s">
        <v>1277</v>
      </c>
      <c r="C356" s="106" t="s">
        <v>1741</v>
      </c>
      <c r="D356" s="105">
        <v>0.0</v>
      </c>
      <c r="E356" s="105">
        <v>0.0</v>
      </c>
      <c r="F356" s="105">
        <v>0.0</v>
      </c>
      <c r="G356" s="105">
        <v>8.0</v>
      </c>
      <c r="H356" s="105">
        <v>0.0</v>
      </c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>
      <c r="A357" s="103">
        <v>355.0</v>
      </c>
      <c r="B357" s="104" t="s">
        <v>1278</v>
      </c>
      <c r="C357" s="104" t="s">
        <v>1741</v>
      </c>
      <c r="D357" s="103">
        <v>2.0</v>
      </c>
      <c r="E357" s="103">
        <v>0.0</v>
      </c>
      <c r="F357" s="103">
        <v>0.0</v>
      </c>
      <c r="G357" s="103">
        <v>6.0</v>
      </c>
      <c r="H357" s="103">
        <v>0.0</v>
      </c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>
      <c r="A358" s="105">
        <v>356.0</v>
      </c>
      <c r="B358" s="106" t="s">
        <v>1280</v>
      </c>
      <c r="C358" s="106" t="s">
        <v>1741</v>
      </c>
      <c r="D358" s="105">
        <v>1.0</v>
      </c>
      <c r="E358" s="105">
        <v>0.0</v>
      </c>
      <c r="F358" s="105">
        <v>0.0</v>
      </c>
      <c r="G358" s="105">
        <v>7.0</v>
      </c>
      <c r="H358" s="105">
        <v>0.0</v>
      </c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>
      <c r="A359" s="103">
        <v>357.0</v>
      </c>
      <c r="B359" s="104" t="s">
        <v>1281</v>
      </c>
      <c r="C359" s="104" t="s">
        <v>1741</v>
      </c>
      <c r="D359" s="103">
        <v>0.0</v>
      </c>
      <c r="E359" s="103">
        <v>0.0</v>
      </c>
      <c r="F359" s="103">
        <v>0.0</v>
      </c>
      <c r="G359" s="103">
        <v>8.0</v>
      </c>
      <c r="H359" s="103">
        <v>0.0</v>
      </c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>
      <c r="A360" s="105">
        <v>358.0</v>
      </c>
      <c r="B360" s="106" t="s">
        <v>1282</v>
      </c>
      <c r="C360" s="106" t="s">
        <v>1741</v>
      </c>
      <c r="D360" s="105">
        <v>1.0</v>
      </c>
      <c r="E360" s="105">
        <v>0.0</v>
      </c>
      <c r="F360" s="105">
        <v>0.0</v>
      </c>
      <c r="G360" s="105">
        <v>7.0</v>
      </c>
      <c r="H360" s="105">
        <v>0.0</v>
      </c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>
      <c r="A361" s="103">
        <v>359.0</v>
      </c>
      <c r="B361" s="104" t="s">
        <v>1283</v>
      </c>
      <c r="C361" s="104" t="s">
        <v>1741</v>
      </c>
      <c r="D361" s="103">
        <v>0.0</v>
      </c>
      <c r="E361" s="103">
        <v>0.0</v>
      </c>
      <c r="F361" s="103">
        <v>0.0</v>
      </c>
      <c r="G361" s="103">
        <v>8.0</v>
      </c>
      <c r="H361" s="103">
        <v>0.0</v>
      </c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>
      <c r="A362" s="105">
        <v>360.0</v>
      </c>
      <c r="B362" s="106" t="s">
        <v>1284</v>
      </c>
      <c r="C362" s="106" t="s">
        <v>1741</v>
      </c>
      <c r="D362" s="105">
        <v>2.0</v>
      </c>
      <c r="E362" s="105">
        <v>0.0</v>
      </c>
      <c r="F362" s="105">
        <v>0.0</v>
      </c>
      <c r="G362" s="105">
        <v>6.0</v>
      </c>
      <c r="H362" s="105">
        <v>0.0</v>
      </c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>
      <c r="A363" s="103">
        <v>361.0</v>
      </c>
      <c r="B363" s="104" t="s">
        <v>1285</v>
      </c>
      <c r="C363" s="104" t="s">
        <v>1741</v>
      </c>
      <c r="D363" s="103">
        <v>0.0</v>
      </c>
      <c r="E363" s="103">
        <v>0.0</v>
      </c>
      <c r="F363" s="103">
        <v>0.0</v>
      </c>
      <c r="G363" s="103">
        <v>8.0</v>
      </c>
      <c r="H363" s="103">
        <v>0.0</v>
      </c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>
      <c r="A364" s="105">
        <v>362.0</v>
      </c>
      <c r="B364" s="106" t="s">
        <v>1286</v>
      </c>
      <c r="C364" s="106" t="s">
        <v>1741</v>
      </c>
      <c r="D364" s="105">
        <v>2.0</v>
      </c>
      <c r="E364" s="105">
        <v>0.0</v>
      </c>
      <c r="F364" s="105">
        <v>0.0</v>
      </c>
      <c r="G364" s="105">
        <v>6.0</v>
      </c>
      <c r="H364" s="105">
        <v>0.0</v>
      </c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>
      <c r="A365" s="103">
        <v>363.0</v>
      </c>
      <c r="B365" s="104" t="s">
        <v>1742</v>
      </c>
      <c r="C365" s="104" t="s">
        <v>1741</v>
      </c>
      <c r="D365" s="103">
        <v>3.0</v>
      </c>
      <c r="E365" s="103">
        <v>0.0</v>
      </c>
      <c r="F365" s="103">
        <v>0.0</v>
      </c>
      <c r="G365" s="103">
        <v>5.0</v>
      </c>
      <c r="H365" s="103">
        <v>0.0</v>
      </c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>
      <c r="A366" s="105">
        <v>364.0</v>
      </c>
      <c r="B366" s="106" t="s">
        <v>1287</v>
      </c>
      <c r="C366" s="106" t="s">
        <v>1741</v>
      </c>
      <c r="D366" s="105">
        <v>2.0</v>
      </c>
      <c r="E366" s="105">
        <v>0.0</v>
      </c>
      <c r="F366" s="105">
        <v>0.0</v>
      </c>
      <c r="G366" s="105">
        <v>6.0</v>
      </c>
      <c r="H366" s="105">
        <v>0.0</v>
      </c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>
      <c r="A367" s="103">
        <v>365.0</v>
      </c>
      <c r="B367" s="104" t="s">
        <v>1288</v>
      </c>
      <c r="C367" s="104" t="s">
        <v>1741</v>
      </c>
      <c r="D367" s="103">
        <v>1.0</v>
      </c>
      <c r="E367" s="103">
        <v>0.0</v>
      </c>
      <c r="F367" s="103">
        <v>0.0</v>
      </c>
      <c r="G367" s="103">
        <v>7.0</v>
      </c>
      <c r="H367" s="103">
        <v>0.0</v>
      </c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>
      <c r="A368" s="105">
        <v>366.0</v>
      </c>
      <c r="B368" s="106" t="s">
        <v>1289</v>
      </c>
      <c r="C368" s="106" t="s">
        <v>1741</v>
      </c>
      <c r="D368" s="105">
        <v>3.0</v>
      </c>
      <c r="E368" s="105">
        <v>0.0</v>
      </c>
      <c r="F368" s="105">
        <v>0.0</v>
      </c>
      <c r="G368" s="105">
        <v>5.0</v>
      </c>
      <c r="H368" s="105">
        <v>0.0</v>
      </c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>
      <c r="A369" s="103">
        <v>367.0</v>
      </c>
      <c r="B369" s="104" t="s">
        <v>1290</v>
      </c>
      <c r="C369" s="104" t="s">
        <v>1741</v>
      </c>
      <c r="D369" s="103">
        <v>1.0</v>
      </c>
      <c r="E369" s="103">
        <v>0.0</v>
      </c>
      <c r="F369" s="103">
        <v>0.0</v>
      </c>
      <c r="G369" s="103">
        <v>7.0</v>
      </c>
      <c r="H369" s="103">
        <v>0.0</v>
      </c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>
      <c r="A370" s="105">
        <v>368.0</v>
      </c>
      <c r="B370" s="106" t="s">
        <v>1291</v>
      </c>
      <c r="C370" s="106" t="s">
        <v>1741</v>
      </c>
      <c r="D370" s="105">
        <v>0.0</v>
      </c>
      <c r="E370" s="105">
        <v>0.0</v>
      </c>
      <c r="F370" s="105">
        <v>0.0</v>
      </c>
      <c r="G370" s="105">
        <v>8.0</v>
      </c>
      <c r="H370" s="105">
        <v>0.0</v>
      </c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>
      <c r="A371" s="103">
        <v>369.0</v>
      </c>
      <c r="B371" s="104" t="s">
        <v>1292</v>
      </c>
      <c r="C371" s="104" t="s">
        <v>1741</v>
      </c>
      <c r="D371" s="103">
        <v>2.0</v>
      </c>
      <c r="E371" s="103">
        <v>0.0</v>
      </c>
      <c r="F371" s="103">
        <v>0.0</v>
      </c>
      <c r="G371" s="103">
        <v>6.0</v>
      </c>
      <c r="H371" s="103">
        <v>0.0</v>
      </c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>
      <c r="A372" s="105">
        <v>370.0</v>
      </c>
      <c r="B372" s="106" t="s">
        <v>1293</v>
      </c>
      <c r="C372" s="106" t="s">
        <v>1741</v>
      </c>
      <c r="D372" s="105">
        <v>2.0</v>
      </c>
      <c r="E372" s="105">
        <v>0.0</v>
      </c>
      <c r="F372" s="105">
        <v>0.0</v>
      </c>
      <c r="G372" s="105">
        <v>6.0</v>
      </c>
      <c r="H372" s="105">
        <v>0.0</v>
      </c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>
      <c r="A373" s="103">
        <v>371.0</v>
      </c>
      <c r="B373" s="104" t="s">
        <v>1294</v>
      </c>
      <c r="C373" s="104" t="s">
        <v>1741</v>
      </c>
      <c r="D373" s="103">
        <v>0.0</v>
      </c>
      <c r="E373" s="103">
        <v>0.0</v>
      </c>
      <c r="F373" s="103">
        <v>0.0</v>
      </c>
      <c r="G373" s="103">
        <v>8.0</v>
      </c>
      <c r="H373" s="103">
        <v>0.0</v>
      </c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>
      <c r="A374" s="105">
        <v>372.0</v>
      </c>
      <c r="B374" s="106" t="s">
        <v>1295</v>
      </c>
      <c r="C374" s="106" t="s">
        <v>1741</v>
      </c>
      <c r="D374" s="105">
        <v>2.0</v>
      </c>
      <c r="E374" s="105">
        <v>0.0</v>
      </c>
      <c r="F374" s="105">
        <v>0.0</v>
      </c>
      <c r="G374" s="105">
        <v>6.0</v>
      </c>
      <c r="H374" s="105">
        <v>0.0</v>
      </c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>
      <c r="A375" s="103">
        <v>373.0</v>
      </c>
      <c r="B375" s="104" t="s">
        <v>1296</v>
      </c>
      <c r="C375" s="104" t="s">
        <v>1741</v>
      </c>
      <c r="D375" s="103">
        <v>2.0</v>
      </c>
      <c r="E375" s="103">
        <v>0.0</v>
      </c>
      <c r="F375" s="103">
        <v>0.0</v>
      </c>
      <c r="G375" s="103">
        <v>6.0</v>
      </c>
      <c r="H375" s="103">
        <v>0.0</v>
      </c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>
      <c r="A376" s="105">
        <v>374.0</v>
      </c>
      <c r="B376" s="106" t="s">
        <v>1297</v>
      </c>
      <c r="C376" s="106" t="s">
        <v>1741</v>
      </c>
      <c r="D376" s="105">
        <v>2.0</v>
      </c>
      <c r="E376" s="105">
        <v>0.0</v>
      </c>
      <c r="F376" s="105">
        <v>0.0</v>
      </c>
      <c r="G376" s="105">
        <v>6.0</v>
      </c>
      <c r="H376" s="105">
        <v>0.0</v>
      </c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>
      <c r="A377" s="103">
        <v>375.0</v>
      </c>
      <c r="B377" s="104" t="s">
        <v>1298</v>
      </c>
      <c r="C377" s="104" t="s">
        <v>1741</v>
      </c>
      <c r="D377" s="103">
        <v>3.0</v>
      </c>
      <c r="E377" s="103">
        <v>0.0</v>
      </c>
      <c r="F377" s="103">
        <v>0.0</v>
      </c>
      <c r="G377" s="103">
        <v>5.0</v>
      </c>
      <c r="H377" s="103">
        <v>0.0</v>
      </c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>
      <c r="A378" s="105">
        <v>376.0</v>
      </c>
      <c r="B378" s="106" t="s">
        <v>1299</v>
      </c>
      <c r="C378" s="106" t="s">
        <v>1741</v>
      </c>
      <c r="D378" s="105">
        <v>3.0</v>
      </c>
      <c r="E378" s="105">
        <v>0.0</v>
      </c>
      <c r="F378" s="105">
        <v>0.0</v>
      </c>
      <c r="G378" s="105">
        <v>5.0</v>
      </c>
      <c r="H378" s="105">
        <v>0.0</v>
      </c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>
      <c r="A379" s="103">
        <v>377.0</v>
      </c>
      <c r="B379" s="104" t="s">
        <v>1300</v>
      </c>
      <c r="C379" s="104" t="s">
        <v>1741</v>
      </c>
      <c r="D379" s="103">
        <v>2.0</v>
      </c>
      <c r="E379" s="103">
        <v>0.0</v>
      </c>
      <c r="F379" s="103">
        <v>0.0</v>
      </c>
      <c r="G379" s="103">
        <v>6.0</v>
      </c>
      <c r="H379" s="103">
        <v>0.0</v>
      </c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>
      <c r="A380" s="105">
        <v>378.0</v>
      </c>
      <c r="B380" s="106" t="s">
        <v>1301</v>
      </c>
      <c r="C380" s="106" t="s">
        <v>1741</v>
      </c>
      <c r="D380" s="105">
        <v>3.0</v>
      </c>
      <c r="E380" s="105">
        <v>0.0</v>
      </c>
      <c r="F380" s="105">
        <v>0.0</v>
      </c>
      <c r="G380" s="105">
        <v>5.0</v>
      </c>
      <c r="H380" s="105">
        <v>0.0</v>
      </c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>
      <c r="A381" s="103">
        <v>379.0</v>
      </c>
      <c r="B381" s="104" t="s">
        <v>1279</v>
      </c>
      <c r="C381" s="104" t="s">
        <v>1741</v>
      </c>
      <c r="D381" s="103">
        <v>1.0</v>
      </c>
      <c r="E381" s="103">
        <v>0.0</v>
      </c>
      <c r="F381" s="103">
        <v>0.0</v>
      </c>
      <c r="G381" s="103">
        <v>7.0</v>
      </c>
      <c r="H381" s="103">
        <v>0.0</v>
      </c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>
      <c r="A382" s="105">
        <v>380.0</v>
      </c>
      <c r="B382" s="106" t="s">
        <v>1302</v>
      </c>
      <c r="C382" s="106" t="s">
        <v>1743</v>
      </c>
      <c r="D382" s="105">
        <v>1.0</v>
      </c>
      <c r="E382" s="105">
        <v>0.0</v>
      </c>
      <c r="F382" s="105">
        <v>0.0</v>
      </c>
      <c r="G382" s="105">
        <v>7.0</v>
      </c>
      <c r="H382" s="105">
        <v>0.0</v>
      </c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>
      <c r="A383" s="103">
        <v>381.0</v>
      </c>
      <c r="B383" s="104" t="s">
        <v>1303</v>
      </c>
      <c r="C383" s="104" t="s">
        <v>1743</v>
      </c>
      <c r="D383" s="103">
        <v>2.0</v>
      </c>
      <c r="E383" s="103">
        <v>0.0</v>
      </c>
      <c r="F383" s="103">
        <v>0.0</v>
      </c>
      <c r="G383" s="103">
        <v>6.0</v>
      </c>
      <c r="H383" s="103">
        <v>0.0</v>
      </c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>
      <c r="A384" s="105">
        <v>382.0</v>
      </c>
      <c r="B384" s="106" t="s">
        <v>1304</v>
      </c>
      <c r="C384" s="106" t="s">
        <v>1743</v>
      </c>
      <c r="D384" s="105">
        <v>1.0</v>
      </c>
      <c r="E384" s="105">
        <v>0.0</v>
      </c>
      <c r="F384" s="105">
        <v>0.0</v>
      </c>
      <c r="G384" s="105">
        <v>7.0</v>
      </c>
      <c r="H384" s="105">
        <v>0.0</v>
      </c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>
      <c r="A385" s="103">
        <v>383.0</v>
      </c>
      <c r="B385" s="104" t="s">
        <v>1305</v>
      </c>
      <c r="C385" s="104" t="s">
        <v>1743</v>
      </c>
      <c r="D385" s="103">
        <v>1.0</v>
      </c>
      <c r="E385" s="103">
        <v>0.0</v>
      </c>
      <c r="F385" s="103">
        <v>0.0</v>
      </c>
      <c r="G385" s="103">
        <v>7.0</v>
      </c>
      <c r="H385" s="103">
        <v>0.0</v>
      </c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>
      <c r="A386" s="105">
        <v>384.0</v>
      </c>
      <c r="B386" s="106" t="s">
        <v>1306</v>
      </c>
      <c r="C386" s="106" t="s">
        <v>1743</v>
      </c>
      <c r="D386" s="105">
        <v>1.0</v>
      </c>
      <c r="E386" s="105">
        <v>0.0</v>
      </c>
      <c r="F386" s="105">
        <v>0.0</v>
      </c>
      <c r="G386" s="105">
        <v>7.0</v>
      </c>
      <c r="H386" s="105">
        <v>0.0</v>
      </c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>
      <c r="A387" s="103">
        <v>385.0</v>
      </c>
      <c r="B387" s="104" t="s">
        <v>1307</v>
      </c>
      <c r="C387" s="104" t="s">
        <v>1743</v>
      </c>
      <c r="D387" s="103">
        <v>4.0</v>
      </c>
      <c r="E387" s="103">
        <v>0.0</v>
      </c>
      <c r="F387" s="103">
        <v>0.0</v>
      </c>
      <c r="G387" s="103">
        <v>4.0</v>
      </c>
      <c r="H387" s="103">
        <v>0.0</v>
      </c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>
      <c r="A388" s="105">
        <v>386.0</v>
      </c>
      <c r="B388" s="106" t="s">
        <v>1308</v>
      </c>
      <c r="C388" s="106" t="s">
        <v>1743</v>
      </c>
      <c r="D388" s="105">
        <v>2.0</v>
      </c>
      <c r="E388" s="105">
        <v>0.0</v>
      </c>
      <c r="F388" s="105">
        <v>0.0</v>
      </c>
      <c r="G388" s="105">
        <v>6.0</v>
      </c>
      <c r="H388" s="105">
        <v>0.0</v>
      </c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>
      <c r="A389" s="103">
        <v>387.0</v>
      </c>
      <c r="B389" s="104" t="s">
        <v>1309</v>
      </c>
      <c r="C389" s="104" t="s">
        <v>1743</v>
      </c>
      <c r="D389" s="103">
        <v>1.0</v>
      </c>
      <c r="E389" s="103">
        <v>0.0</v>
      </c>
      <c r="F389" s="103">
        <v>0.0</v>
      </c>
      <c r="G389" s="103">
        <v>7.0</v>
      </c>
      <c r="H389" s="103">
        <v>0.0</v>
      </c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>
      <c r="A390" s="105">
        <v>388.0</v>
      </c>
      <c r="B390" s="106" t="s">
        <v>1310</v>
      </c>
      <c r="C390" s="106" t="s">
        <v>1743</v>
      </c>
      <c r="D390" s="105">
        <v>1.0</v>
      </c>
      <c r="E390" s="105">
        <v>0.0</v>
      </c>
      <c r="F390" s="105">
        <v>0.0</v>
      </c>
      <c r="G390" s="105">
        <v>7.0</v>
      </c>
      <c r="H390" s="105">
        <v>0.0</v>
      </c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>
      <c r="A391" s="103">
        <v>389.0</v>
      </c>
      <c r="B391" s="104" t="s">
        <v>1311</v>
      </c>
      <c r="C391" s="104" t="s">
        <v>1743</v>
      </c>
      <c r="D391" s="103">
        <v>1.0</v>
      </c>
      <c r="E391" s="103">
        <v>0.0</v>
      </c>
      <c r="F391" s="103">
        <v>0.0</v>
      </c>
      <c r="G391" s="103">
        <v>7.0</v>
      </c>
      <c r="H391" s="103">
        <v>0.0</v>
      </c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>
      <c r="A392" s="105">
        <v>390.0</v>
      </c>
      <c r="B392" s="106" t="s">
        <v>1312</v>
      </c>
      <c r="C392" s="106" t="s">
        <v>1743</v>
      </c>
      <c r="D392" s="105">
        <v>2.0</v>
      </c>
      <c r="E392" s="105">
        <v>0.0</v>
      </c>
      <c r="F392" s="105">
        <v>0.0</v>
      </c>
      <c r="G392" s="105">
        <v>6.0</v>
      </c>
      <c r="H392" s="105">
        <v>0.0</v>
      </c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>
      <c r="A393" s="103">
        <v>391.0</v>
      </c>
      <c r="B393" s="104" t="s">
        <v>1313</v>
      </c>
      <c r="C393" s="104" t="s">
        <v>1743</v>
      </c>
      <c r="D393" s="103">
        <v>2.0</v>
      </c>
      <c r="E393" s="103">
        <v>0.0</v>
      </c>
      <c r="F393" s="103">
        <v>0.0</v>
      </c>
      <c r="G393" s="103">
        <v>6.0</v>
      </c>
      <c r="H393" s="103">
        <v>0.0</v>
      </c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>
      <c r="A394" s="105">
        <v>392.0</v>
      </c>
      <c r="B394" s="106" t="s">
        <v>1314</v>
      </c>
      <c r="C394" s="106" t="s">
        <v>1743</v>
      </c>
      <c r="D394" s="105">
        <v>0.0</v>
      </c>
      <c r="E394" s="105">
        <v>0.0</v>
      </c>
      <c r="F394" s="105">
        <v>0.0</v>
      </c>
      <c r="G394" s="105">
        <v>8.0</v>
      </c>
      <c r="H394" s="105">
        <v>0.0</v>
      </c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>
      <c r="A395" s="103">
        <v>393.0</v>
      </c>
      <c r="B395" s="104" t="s">
        <v>1315</v>
      </c>
      <c r="C395" s="104" t="s">
        <v>1743</v>
      </c>
      <c r="D395" s="103">
        <v>2.0</v>
      </c>
      <c r="E395" s="103">
        <v>0.0</v>
      </c>
      <c r="F395" s="103">
        <v>0.0</v>
      </c>
      <c r="G395" s="103">
        <v>6.0</v>
      </c>
      <c r="H395" s="103">
        <v>0.0</v>
      </c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>
      <c r="A396" s="105">
        <v>394.0</v>
      </c>
      <c r="B396" s="106" t="s">
        <v>1316</v>
      </c>
      <c r="C396" s="106" t="s">
        <v>1743</v>
      </c>
      <c r="D396" s="105">
        <v>2.0</v>
      </c>
      <c r="E396" s="105">
        <v>0.0</v>
      </c>
      <c r="F396" s="105">
        <v>0.0</v>
      </c>
      <c r="G396" s="105">
        <v>6.0</v>
      </c>
      <c r="H396" s="105">
        <v>0.0</v>
      </c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>
      <c r="A397" s="103">
        <v>395.0</v>
      </c>
      <c r="B397" s="104" t="s">
        <v>1317</v>
      </c>
      <c r="C397" s="104" t="s">
        <v>1743</v>
      </c>
      <c r="D397" s="103">
        <v>2.0</v>
      </c>
      <c r="E397" s="103">
        <v>0.0</v>
      </c>
      <c r="F397" s="103">
        <v>0.0</v>
      </c>
      <c r="G397" s="103">
        <v>6.0</v>
      </c>
      <c r="H397" s="103">
        <v>0.0</v>
      </c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>
      <c r="A398" s="105">
        <v>396.0</v>
      </c>
      <c r="B398" s="106" t="s">
        <v>1318</v>
      </c>
      <c r="C398" s="106" t="s">
        <v>1743</v>
      </c>
      <c r="D398" s="105">
        <v>1.0</v>
      </c>
      <c r="E398" s="105">
        <v>0.0</v>
      </c>
      <c r="F398" s="105">
        <v>0.0</v>
      </c>
      <c r="G398" s="105">
        <v>7.0</v>
      </c>
      <c r="H398" s="105">
        <v>0.0</v>
      </c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>
      <c r="A399" s="103">
        <v>397.0</v>
      </c>
      <c r="B399" s="104" t="s">
        <v>1319</v>
      </c>
      <c r="C399" s="104" t="s">
        <v>1743</v>
      </c>
      <c r="D399" s="103">
        <v>3.0</v>
      </c>
      <c r="E399" s="103">
        <v>0.0</v>
      </c>
      <c r="F399" s="103">
        <v>0.0</v>
      </c>
      <c r="G399" s="103">
        <v>5.0</v>
      </c>
      <c r="H399" s="103">
        <v>0.0</v>
      </c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>
      <c r="A400" s="105">
        <v>398.0</v>
      </c>
      <c r="B400" s="106" t="s">
        <v>1320</v>
      </c>
      <c r="C400" s="106" t="s">
        <v>1743</v>
      </c>
      <c r="D400" s="105">
        <v>1.0</v>
      </c>
      <c r="E400" s="105">
        <v>0.0</v>
      </c>
      <c r="F400" s="105">
        <v>0.0</v>
      </c>
      <c r="G400" s="105">
        <v>7.0</v>
      </c>
      <c r="H400" s="105">
        <v>0.0</v>
      </c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>
      <c r="A401" s="103">
        <v>399.0</v>
      </c>
      <c r="B401" s="104" t="s">
        <v>1321</v>
      </c>
      <c r="C401" s="104" t="s">
        <v>1743</v>
      </c>
      <c r="D401" s="103">
        <v>3.0</v>
      </c>
      <c r="E401" s="103">
        <v>0.0</v>
      </c>
      <c r="F401" s="103">
        <v>0.0</v>
      </c>
      <c r="G401" s="103">
        <v>5.0</v>
      </c>
      <c r="H401" s="103">
        <v>0.0</v>
      </c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>
      <c r="A402" s="105">
        <v>400.0</v>
      </c>
      <c r="B402" s="106" t="s">
        <v>1322</v>
      </c>
      <c r="C402" s="106" t="s">
        <v>1743</v>
      </c>
      <c r="D402" s="105">
        <v>0.0</v>
      </c>
      <c r="E402" s="105">
        <v>0.0</v>
      </c>
      <c r="F402" s="105">
        <v>0.0</v>
      </c>
      <c r="G402" s="105">
        <v>8.0</v>
      </c>
      <c r="H402" s="105">
        <v>0.0</v>
      </c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>
      <c r="A403" s="103">
        <v>401.0</v>
      </c>
      <c r="B403" s="104" t="s">
        <v>1323</v>
      </c>
      <c r="C403" s="104" t="s">
        <v>1743</v>
      </c>
      <c r="D403" s="103">
        <v>3.0</v>
      </c>
      <c r="E403" s="103">
        <v>0.0</v>
      </c>
      <c r="F403" s="103">
        <v>0.0</v>
      </c>
      <c r="G403" s="103">
        <v>5.0</v>
      </c>
      <c r="H403" s="103">
        <v>0.0</v>
      </c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>
      <c r="A404" s="105">
        <v>402.0</v>
      </c>
      <c r="B404" s="106" t="s">
        <v>1324</v>
      </c>
      <c r="C404" s="106" t="s">
        <v>1743</v>
      </c>
      <c r="D404" s="105">
        <v>1.0</v>
      </c>
      <c r="E404" s="105">
        <v>0.0</v>
      </c>
      <c r="F404" s="105">
        <v>0.0</v>
      </c>
      <c r="G404" s="105">
        <v>7.0</v>
      </c>
      <c r="H404" s="105">
        <v>0.0</v>
      </c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>
      <c r="A405" s="103">
        <v>403.0</v>
      </c>
      <c r="B405" s="104" t="s">
        <v>1325</v>
      </c>
      <c r="C405" s="104" t="s">
        <v>1743</v>
      </c>
      <c r="D405" s="103">
        <v>4.0</v>
      </c>
      <c r="E405" s="103">
        <v>0.0</v>
      </c>
      <c r="F405" s="103">
        <v>0.0</v>
      </c>
      <c r="G405" s="103">
        <v>4.0</v>
      </c>
      <c r="H405" s="103">
        <v>0.0</v>
      </c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>
      <c r="A406" s="105">
        <v>404.0</v>
      </c>
      <c r="B406" s="106" t="s">
        <v>1326</v>
      </c>
      <c r="C406" s="106" t="s">
        <v>1743</v>
      </c>
      <c r="D406" s="105">
        <v>3.0</v>
      </c>
      <c r="E406" s="105">
        <v>0.0</v>
      </c>
      <c r="F406" s="105">
        <v>0.0</v>
      </c>
      <c r="G406" s="105">
        <v>5.0</v>
      </c>
      <c r="H406" s="105">
        <v>0.0</v>
      </c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>
      <c r="A407" s="103">
        <v>405.0</v>
      </c>
      <c r="B407" s="104" t="s">
        <v>1327</v>
      </c>
      <c r="C407" s="104" t="s">
        <v>1743</v>
      </c>
      <c r="D407" s="103">
        <v>2.0</v>
      </c>
      <c r="E407" s="103">
        <v>0.0</v>
      </c>
      <c r="F407" s="103">
        <v>0.0</v>
      </c>
      <c r="G407" s="103">
        <v>6.0</v>
      </c>
      <c r="H407" s="103">
        <v>0.0</v>
      </c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>
      <c r="A408" s="105">
        <v>406.0</v>
      </c>
      <c r="B408" s="106" t="s">
        <v>1328</v>
      </c>
      <c r="C408" s="106" t="s">
        <v>1743</v>
      </c>
      <c r="D408" s="105">
        <v>1.0</v>
      </c>
      <c r="E408" s="105">
        <v>0.0</v>
      </c>
      <c r="F408" s="105">
        <v>0.0</v>
      </c>
      <c r="G408" s="105">
        <v>7.0</v>
      </c>
      <c r="H408" s="105">
        <v>0.0</v>
      </c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>
      <c r="A409" s="103">
        <v>407.0</v>
      </c>
      <c r="B409" s="104" t="s">
        <v>1329</v>
      </c>
      <c r="C409" s="104" t="s">
        <v>1743</v>
      </c>
      <c r="D409" s="103">
        <v>1.0</v>
      </c>
      <c r="E409" s="103">
        <v>0.0</v>
      </c>
      <c r="F409" s="103">
        <v>0.0</v>
      </c>
      <c r="G409" s="103">
        <v>7.0</v>
      </c>
      <c r="H409" s="103">
        <v>0.0</v>
      </c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>
      <c r="A410" s="105">
        <v>408.0</v>
      </c>
      <c r="B410" s="106" t="s">
        <v>1330</v>
      </c>
      <c r="C410" s="106" t="s">
        <v>1743</v>
      </c>
      <c r="D410" s="105">
        <v>1.0</v>
      </c>
      <c r="E410" s="105">
        <v>0.0</v>
      </c>
      <c r="F410" s="105">
        <v>0.0</v>
      </c>
      <c r="G410" s="105">
        <v>7.0</v>
      </c>
      <c r="H410" s="105">
        <v>0.0</v>
      </c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>
      <c r="A411" s="103">
        <v>409.0</v>
      </c>
      <c r="B411" s="104" t="s">
        <v>1331</v>
      </c>
      <c r="C411" s="104" t="s">
        <v>1743</v>
      </c>
      <c r="D411" s="103">
        <v>0.0</v>
      </c>
      <c r="E411" s="103">
        <v>0.0</v>
      </c>
      <c r="F411" s="103">
        <v>0.0</v>
      </c>
      <c r="G411" s="103">
        <v>8.0</v>
      </c>
      <c r="H411" s="103">
        <v>0.0</v>
      </c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>
      <c r="A412" s="105">
        <v>410.0</v>
      </c>
      <c r="B412" s="106" t="s">
        <v>1332</v>
      </c>
      <c r="C412" s="106" t="s">
        <v>1743</v>
      </c>
      <c r="D412" s="105">
        <v>4.0</v>
      </c>
      <c r="E412" s="105">
        <v>0.0</v>
      </c>
      <c r="F412" s="105">
        <v>0.0</v>
      </c>
      <c r="G412" s="105">
        <v>4.0</v>
      </c>
      <c r="H412" s="105">
        <v>0.0</v>
      </c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>
      <c r="A413" s="103">
        <v>411.0</v>
      </c>
      <c r="B413" s="104" t="s">
        <v>1333</v>
      </c>
      <c r="C413" s="104" t="s">
        <v>1743</v>
      </c>
      <c r="D413" s="103">
        <v>0.0</v>
      </c>
      <c r="E413" s="103">
        <v>0.0</v>
      </c>
      <c r="F413" s="103">
        <v>0.0</v>
      </c>
      <c r="G413" s="103">
        <v>8.0</v>
      </c>
      <c r="H413" s="103">
        <v>0.0</v>
      </c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>
      <c r="A414" s="105">
        <v>412.0</v>
      </c>
      <c r="B414" s="106" t="s">
        <v>1334</v>
      </c>
      <c r="C414" s="106" t="s">
        <v>1743</v>
      </c>
      <c r="D414" s="105">
        <v>1.0</v>
      </c>
      <c r="E414" s="105">
        <v>0.0</v>
      </c>
      <c r="F414" s="105">
        <v>0.0</v>
      </c>
      <c r="G414" s="105">
        <v>7.0</v>
      </c>
      <c r="H414" s="105">
        <v>0.0</v>
      </c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>
      <c r="A415" s="103">
        <v>413.0</v>
      </c>
      <c r="B415" s="104" t="s">
        <v>1335</v>
      </c>
      <c r="C415" s="104" t="s">
        <v>1743</v>
      </c>
      <c r="D415" s="103">
        <v>1.0</v>
      </c>
      <c r="E415" s="103">
        <v>0.0</v>
      </c>
      <c r="F415" s="103">
        <v>0.0</v>
      </c>
      <c r="G415" s="103">
        <v>7.0</v>
      </c>
      <c r="H415" s="103">
        <v>0.0</v>
      </c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>
      <c r="A416" s="105">
        <v>414.0</v>
      </c>
      <c r="B416" s="106" t="s">
        <v>1336</v>
      </c>
      <c r="C416" s="106" t="s">
        <v>1743</v>
      </c>
      <c r="D416" s="105">
        <v>0.0</v>
      </c>
      <c r="E416" s="105">
        <v>0.0</v>
      </c>
      <c r="F416" s="105">
        <v>0.0</v>
      </c>
      <c r="G416" s="105">
        <v>8.0</v>
      </c>
      <c r="H416" s="105">
        <v>0.0</v>
      </c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>
      <c r="A417" s="103">
        <v>415.0</v>
      </c>
      <c r="B417" s="104" t="s">
        <v>1337</v>
      </c>
      <c r="C417" s="104" t="s">
        <v>1743</v>
      </c>
      <c r="D417" s="103">
        <v>1.0</v>
      </c>
      <c r="E417" s="103">
        <v>0.0</v>
      </c>
      <c r="F417" s="103">
        <v>0.0</v>
      </c>
      <c r="G417" s="103">
        <v>7.0</v>
      </c>
      <c r="H417" s="103">
        <v>0.0</v>
      </c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>
      <c r="A418" s="105">
        <v>416.0</v>
      </c>
      <c r="B418" s="106" t="s">
        <v>1338</v>
      </c>
      <c r="C418" s="106" t="s">
        <v>1743</v>
      </c>
      <c r="D418" s="105">
        <v>2.0</v>
      </c>
      <c r="E418" s="105">
        <v>0.0</v>
      </c>
      <c r="F418" s="105">
        <v>0.0</v>
      </c>
      <c r="G418" s="105">
        <v>6.0</v>
      </c>
      <c r="H418" s="105">
        <v>0.0</v>
      </c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>
      <c r="A419" s="103">
        <v>417.0</v>
      </c>
      <c r="B419" s="104" t="s">
        <v>1339</v>
      </c>
      <c r="C419" s="104" t="s">
        <v>1743</v>
      </c>
      <c r="D419" s="103">
        <v>3.0</v>
      </c>
      <c r="E419" s="103">
        <v>0.0</v>
      </c>
      <c r="F419" s="103">
        <v>0.0</v>
      </c>
      <c r="G419" s="103">
        <v>5.0</v>
      </c>
      <c r="H419" s="103">
        <v>0.0</v>
      </c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>
      <c r="A420" s="105">
        <v>418.0</v>
      </c>
      <c r="B420" s="106" t="s">
        <v>1340</v>
      </c>
      <c r="C420" s="106" t="s">
        <v>1743</v>
      </c>
      <c r="D420" s="105">
        <v>1.0</v>
      </c>
      <c r="E420" s="105">
        <v>0.0</v>
      </c>
      <c r="F420" s="105">
        <v>0.0</v>
      </c>
      <c r="G420" s="105">
        <v>7.0</v>
      </c>
      <c r="H420" s="105">
        <v>0.0</v>
      </c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>
      <c r="A421" s="103">
        <v>419.0</v>
      </c>
      <c r="B421" s="104" t="s">
        <v>1341</v>
      </c>
      <c r="C421" s="104" t="s">
        <v>1743</v>
      </c>
      <c r="D421" s="103">
        <v>2.0</v>
      </c>
      <c r="E421" s="103">
        <v>0.0</v>
      </c>
      <c r="F421" s="103">
        <v>0.0</v>
      </c>
      <c r="G421" s="103">
        <v>6.0</v>
      </c>
      <c r="H421" s="103">
        <v>0.0</v>
      </c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>
      <c r="A422" s="105">
        <v>420.0</v>
      </c>
      <c r="B422" s="106" t="s">
        <v>1342</v>
      </c>
      <c r="C422" s="106" t="s">
        <v>1743</v>
      </c>
      <c r="D422" s="105">
        <v>3.0</v>
      </c>
      <c r="E422" s="105">
        <v>0.0</v>
      </c>
      <c r="F422" s="105">
        <v>0.0</v>
      </c>
      <c r="G422" s="105">
        <v>5.0</v>
      </c>
      <c r="H422" s="105">
        <v>0.0</v>
      </c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>
      <c r="A423" s="103">
        <v>421.0</v>
      </c>
      <c r="B423" s="104" t="s">
        <v>1343</v>
      </c>
      <c r="C423" s="104" t="s">
        <v>1743</v>
      </c>
      <c r="D423" s="103">
        <v>3.0</v>
      </c>
      <c r="E423" s="103">
        <v>0.0</v>
      </c>
      <c r="F423" s="103">
        <v>0.0</v>
      </c>
      <c r="G423" s="103">
        <v>5.0</v>
      </c>
      <c r="H423" s="103">
        <v>0.0</v>
      </c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>
      <c r="A424" s="105">
        <v>422.0</v>
      </c>
      <c r="B424" s="106" t="s">
        <v>1344</v>
      </c>
      <c r="C424" s="106" t="s">
        <v>1743</v>
      </c>
      <c r="D424" s="105">
        <v>4.0</v>
      </c>
      <c r="E424" s="105">
        <v>0.0</v>
      </c>
      <c r="F424" s="105">
        <v>0.0</v>
      </c>
      <c r="G424" s="105">
        <v>4.0</v>
      </c>
      <c r="H424" s="105">
        <v>0.0</v>
      </c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>
      <c r="A425" s="103">
        <v>423.0</v>
      </c>
      <c r="B425" s="104" t="s">
        <v>1345</v>
      </c>
      <c r="C425" s="104" t="s">
        <v>1743</v>
      </c>
      <c r="D425" s="103">
        <v>1.0</v>
      </c>
      <c r="E425" s="103">
        <v>0.0</v>
      </c>
      <c r="F425" s="103">
        <v>1.0</v>
      </c>
      <c r="G425" s="103">
        <v>6.0</v>
      </c>
      <c r="H425" s="103">
        <v>0.0</v>
      </c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>
      <c r="A426" s="105">
        <v>424.0</v>
      </c>
      <c r="B426" s="106" t="s">
        <v>1346</v>
      </c>
      <c r="C426" s="106" t="s">
        <v>1743</v>
      </c>
      <c r="D426" s="105">
        <v>4.0</v>
      </c>
      <c r="E426" s="105">
        <v>0.0</v>
      </c>
      <c r="F426" s="105">
        <v>0.0</v>
      </c>
      <c r="G426" s="105">
        <v>4.0</v>
      </c>
      <c r="H426" s="105">
        <v>0.0</v>
      </c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>
      <c r="A427" s="103">
        <v>425.0</v>
      </c>
      <c r="B427" s="104" t="s">
        <v>402</v>
      </c>
      <c r="C427" s="104" t="s">
        <v>1743</v>
      </c>
      <c r="D427" s="103">
        <v>3.0</v>
      </c>
      <c r="E427" s="103">
        <v>0.0</v>
      </c>
      <c r="F427" s="103">
        <v>0.0</v>
      </c>
      <c r="G427" s="103">
        <v>5.0</v>
      </c>
      <c r="H427" s="103">
        <v>0.0</v>
      </c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>
      <c r="A428" s="105">
        <v>426.0</v>
      </c>
      <c r="B428" s="106" t="s">
        <v>1484</v>
      </c>
      <c r="C428" s="106" t="s">
        <v>1744</v>
      </c>
      <c r="D428" s="105">
        <v>1.0</v>
      </c>
      <c r="E428" s="105">
        <v>0.0</v>
      </c>
      <c r="F428" s="105">
        <v>0.0</v>
      </c>
      <c r="G428" s="105">
        <v>7.0</v>
      </c>
      <c r="H428" s="105">
        <v>0.0</v>
      </c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>
      <c r="A429" s="103">
        <v>427.0</v>
      </c>
      <c r="B429" s="104" t="s">
        <v>1485</v>
      </c>
      <c r="C429" s="104" t="s">
        <v>1744</v>
      </c>
      <c r="D429" s="103">
        <v>0.0</v>
      </c>
      <c r="E429" s="103">
        <v>0.0</v>
      </c>
      <c r="F429" s="103">
        <v>0.0</v>
      </c>
      <c r="G429" s="103">
        <v>8.0</v>
      </c>
      <c r="H429" s="103">
        <v>0.0</v>
      </c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>
      <c r="A430" s="105">
        <v>428.0</v>
      </c>
      <c r="B430" s="106" t="s">
        <v>1486</v>
      </c>
      <c r="C430" s="106" t="s">
        <v>1744</v>
      </c>
      <c r="D430" s="105">
        <v>1.0</v>
      </c>
      <c r="E430" s="105">
        <v>0.0</v>
      </c>
      <c r="F430" s="105">
        <v>0.0</v>
      </c>
      <c r="G430" s="105">
        <v>7.0</v>
      </c>
      <c r="H430" s="105">
        <v>0.0</v>
      </c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>
      <c r="A431" s="103">
        <v>429.0</v>
      </c>
      <c r="B431" s="104" t="s">
        <v>1487</v>
      </c>
      <c r="C431" s="104" t="s">
        <v>1744</v>
      </c>
      <c r="D431" s="103">
        <v>1.0</v>
      </c>
      <c r="E431" s="103">
        <v>0.0</v>
      </c>
      <c r="F431" s="103">
        <v>0.0</v>
      </c>
      <c r="G431" s="103">
        <v>7.0</v>
      </c>
      <c r="H431" s="103">
        <v>0.0</v>
      </c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>
      <c r="A432" s="105">
        <v>430.0</v>
      </c>
      <c r="B432" s="106" t="s">
        <v>1488</v>
      </c>
      <c r="C432" s="106" t="s">
        <v>1744</v>
      </c>
      <c r="D432" s="105">
        <v>0.0</v>
      </c>
      <c r="E432" s="105">
        <v>0.0</v>
      </c>
      <c r="F432" s="105">
        <v>0.0</v>
      </c>
      <c r="G432" s="105">
        <v>8.0</v>
      </c>
      <c r="H432" s="105">
        <v>0.0</v>
      </c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>
      <c r="A433" s="103">
        <v>431.0</v>
      </c>
      <c r="B433" s="104" t="s">
        <v>1489</v>
      </c>
      <c r="C433" s="104" t="s">
        <v>1744</v>
      </c>
      <c r="D433" s="103">
        <v>1.0</v>
      </c>
      <c r="E433" s="103">
        <v>0.0</v>
      </c>
      <c r="F433" s="103">
        <v>0.0</v>
      </c>
      <c r="G433" s="103">
        <v>7.0</v>
      </c>
      <c r="H433" s="103">
        <v>0.0</v>
      </c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>
      <c r="A434" s="105">
        <v>432.0</v>
      </c>
      <c r="B434" s="106" t="s">
        <v>1490</v>
      </c>
      <c r="C434" s="106" t="s">
        <v>1744</v>
      </c>
      <c r="D434" s="105">
        <v>1.0</v>
      </c>
      <c r="E434" s="105">
        <v>0.0</v>
      </c>
      <c r="F434" s="105">
        <v>0.0</v>
      </c>
      <c r="G434" s="105">
        <v>7.0</v>
      </c>
      <c r="H434" s="105">
        <v>0.0</v>
      </c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>
      <c r="A435" s="103">
        <v>433.0</v>
      </c>
      <c r="B435" s="104" t="s">
        <v>1491</v>
      </c>
      <c r="C435" s="104" t="s">
        <v>1744</v>
      </c>
      <c r="D435" s="103">
        <v>0.0</v>
      </c>
      <c r="E435" s="103">
        <v>0.0</v>
      </c>
      <c r="F435" s="103">
        <v>1.0</v>
      </c>
      <c r="G435" s="103">
        <v>7.0</v>
      </c>
      <c r="H435" s="103">
        <v>0.0</v>
      </c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>
      <c r="A436" s="105">
        <v>434.0</v>
      </c>
      <c r="B436" s="106" t="s">
        <v>1492</v>
      </c>
      <c r="C436" s="106" t="s">
        <v>1744</v>
      </c>
      <c r="D436" s="105">
        <v>0.0</v>
      </c>
      <c r="E436" s="105">
        <v>0.0</v>
      </c>
      <c r="F436" s="105">
        <v>0.0</v>
      </c>
      <c r="G436" s="105">
        <v>8.0</v>
      </c>
      <c r="H436" s="105">
        <v>0.0</v>
      </c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>
      <c r="A437" s="103">
        <v>435.0</v>
      </c>
      <c r="B437" s="104" t="s">
        <v>1493</v>
      </c>
      <c r="C437" s="104" t="s">
        <v>1744</v>
      </c>
      <c r="D437" s="103">
        <v>0.0</v>
      </c>
      <c r="E437" s="103">
        <v>0.0</v>
      </c>
      <c r="F437" s="103">
        <v>1.0</v>
      </c>
      <c r="G437" s="103">
        <v>7.0</v>
      </c>
      <c r="H437" s="103">
        <v>0.0</v>
      </c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>
      <c r="A438" s="105">
        <v>436.0</v>
      </c>
      <c r="B438" s="106" t="s">
        <v>1494</v>
      </c>
      <c r="C438" s="106" t="s">
        <v>1744</v>
      </c>
      <c r="D438" s="105">
        <v>3.0</v>
      </c>
      <c r="E438" s="105">
        <v>0.0</v>
      </c>
      <c r="F438" s="105">
        <v>0.0</v>
      </c>
      <c r="G438" s="105">
        <v>5.0</v>
      </c>
      <c r="H438" s="105">
        <v>0.0</v>
      </c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>
      <c r="A439" s="103">
        <v>437.0</v>
      </c>
      <c r="B439" s="104" t="s">
        <v>1495</v>
      </c>
      <c r="C439" s="104" t="s">
        <v>1744</v>
      </c>
      <c r="D439" s="103">
        <v>0.0</v>
      </c>
      <c r="E439" s="103">
        <v>0.0</v>
      </c>
      <c r="F439" s="103">
        <v>0.0</v>
      </c>
      <c r="G439" s="103">
        <v>8.0</v>
      </c>
      <c r="H439" s="103">
        <v>0.0</v>
      </c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>
      <c r="A440" s="105">
        <v>438.0</v>
      </c>
      <c r="B440" s="106" t="s">
        <v>1496</v>
      </c>
      <c r="C440" s="106" t="s">
        <v>1744</v>
      </c>
      <c r="D440" s="105">
        <v>2.0</v>
      </c>
      <c r="E440" s="105">
        <v>0.0</v>
      </c>
      <c r="F440" s="105">
        <v>0.0</v>
      </c>
      <c r="G440" s="105">
        <v>6.0</v>
      </c>
      <c r="H440" s="105">
        <v>0.0</v>
      </c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>
      <c r="A441" s="103">
        <v>439.0</v>
      </c>
      <c r="B441" s="104" t="s">
        <v>1497</v>
      </c>
      <c r="C441" s="104" t="s">
        <v>1744</v>
      </c>
      <c r="D441" s="103">
        <v>1.0</v>
      </c>
      <c r="E441" s="103">
        <v>0.0</v>
      </c>
      <c r="F441" s="103">
        <v>0.0</v>
      </c>
      <c r="G441" s="103">
        <v>7.0</v>
      </c>
      <c r="H441" s="103">
        <v>0.0</v>
      </c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>
      <c r="A442" s="105">
        <v>440.0</v>
      </c>
      <c r="B442" s="106" t="s">
        <v>1498</v>
      </c>
      <c r="C442" s="106" t="s">
        <v>1744</v>
      </c>
      <c r="D442" s="105">
        <v>1.0</v>
      </c>
      <c r="E442" s="105">
        <v>0.0</v>
      </c>
      <c r="F442" s="105">
        <v>0.0</v>
      </c>
      <c r="G442" s="105">
        <v>7.0</v>
      </c>
      <c r="H442" s="105">
        <v>0.0</v>
      </c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>
      <c r="A443" s="103">
        <v>441.0</v>
      </c>
      <c r="B443" s="104" t="s">
        <v>1499</v>
      </c>
      <c r="C443" s="104" t="s">
        <v>1744</v>
      </c>
      <c r="D443" s="103">
        <v>1.0</v>
      </c>
      <c r="E443" s="103">
        <v>0.0</v>
      </c>
      <c r="F443" s="103">
        <v>0.0</v>
      </c>
      <c r="G443" s="103">
        <v>7.0</v>
      </c>
      <c r="H443" s="103">
        <v>0.0</v>
      </c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>
      <c r="A444" s="105">
        <v>442.0</v>
      </c>
      <c r="B444" s="106" t="s">
        <v>1500</v>
      </c>
      <c r="C444" s="106" t="s">
        <v>1744</v>
      </c>
      <c r="D444" s="105">
        <v>4.0</v>
      </c>
      <c r="E444" s="105">
        <v>0.0</v>
      </c>
      <c r="F444" s="105">
        <v>0.0</v>
      </c>
      <c r="G444" s="105">
        <v>4.0</v>
      </c>
      <c r="H444" s="105">
        <v>0.0</v>
      </c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>
      <c r="A445" s="103">
        <v>443.0</v>
      </c>
      <c r="B445" s="104" t="s">
        <v>1501</v>
      </c>
      <c r="C445" s="104" t="s">
        <v>1744</v>
      </c>
      <c r="D445" s="103">
        <v>2.0</v>
      </c>
      <c r="E445" s="103">
        <v>0.0</v>
      </c>
      <c r="F445" s="103">
        <v>0.0</v>
      </c>
      <c r="G445" s="103">
        <v>6.0</v>
      </c>
      <c r="H445" s="103">
        <v>0.0</v>
      </c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>
      <c r="A446" s="105">
        <v>444.0</v>
      </c>
      <c r="B446" s="106" t="s">
        <v>1502</v>
      </c>
      <c r="C446" s="106" t="s">
        <v>1744</v>
      </c>
      <c r="D446" s="105">
        <v>0.0</v>
      </c>
      <c r="E446" s="105">
        <v>0.0</v>
      </c>
      <c r="F446" s="105">
        <v>0.0</v>
      </c>
      <c r="G446" s="105">
        <v>8.0</v>
      </c>
      <c r="H446" s="105">
        <v>0.0</v>
      </c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>
      <c r="A447" s="103">
        <v>445.0</v>
      </c>
      <c r="B447" s="104" t="s">
        <v>1503</v>
      </c>
      <c r="C447" s="104" t="s">
        <v>1744</v>
      </c>
      <c r="D447" s="103">
        <v>1.0</v>
      </c>
      <c r="E447" s="103">
        <v>0.0</v>
      </c>
      <c r="F447" s="103">
        <v>0.0</v>
      </c>
      <c r="G447" s="103">
        <v>7.0</v>
      </c>
      <c r="H447" s="103">
        <v>0.0</v>
      </c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>
      <c r="A448" s="105">
        <v>446.0</v>
      </c>
      <c r="B448" s="106" t="s">
        <v>1504</v>
      </c>
      <c r="C448" s="106" t="s">
        <v>1744</v>
      </c>
      <c r="D448" s="105">
        <v>3.0</v>
      </c>
      <c r="E448" s="105">
        <v>0.0</v>
      </c>
      <c r="F448" s="105">
        <v>0.0</v>
      </c>
      <c r="G448" s="105">
        <v>5.0</v>
      </c>
      <c r="H448" s="105">
        <v>0.0</v>
      </c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>
      <c r="A449" s="103">
        <v>447.0</v>
      </c>
      <c r="B449" s="104" t="s">
        <v>1505</v>
      </c>
      <c r="C449" s="104" t="s">
        <v>1744</v>
      </c>
      <c r="D449" s="103">
        <v>4.0</v>
      </c>
      <c r="E449" s="103">
        <v>0.0</v>
      </c>
      <c r="F449" s="103">
        <v>0.0</v>
      </c>
      <c r="G449" s="103">
        <v>4.0</v>
      </c>
      <c r="H449" s="103">
        <v>0.0</v>
      </c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>
      <c r="A450" s="105">
        <v>448.0</v>
      </c>
      <c r="B450" s="106" t="s">
        <v>1506</v>
      </c>
      <c r="C450" s="106" t="s">
        <v>1744</v>
      </c>
      <c r="D450" s="105">
        <v>2.0</v>
      </c>
      <c r="E450" s="105">
        <v>0.0</v>
      </c>
      <c r="F450" s="105">
        <v>0.0</v>
      </c>
      <c r="G450" s="105">
        <v>6.0</v>
      </c>
      <c r="H450" s="105">
        <v>0.0</v>
      </c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>
      <c r="A451" s="103">
        <v>449.0</v>
      </c>
      <c r="B451" s="108" t="s">
        <v>1745</v>
      </c>
      <c r="C451" s="104" t="s">
        <v>1744</v>
      </c>
      <c r="D451" s="103">
        <v>1.0</v>
      </c>
      <c r="E451" s="103">
        <v>0.0</v>
      </c>
      <c r="F451" s="103">
        <v>0.0</v>
      </c>
      <c r="G451" s="103">
        <v>7.0</v>
      </c>
      <c r="H451" s="103">
        <v>0.0</v>
      </c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>
      <c r="A452" s="105">
        <v>450.0</v>
      </c>
      <c r="B452" s="106" t="s">
        <v>1507</v>
      </c>
      <c r="C452" s="106" t="s">
        <v>1744</v>
      </c>
      <c r="D452" s="105">
        <v>1.0</v>
      </c>
      <c r="E452" s="105">
        <v>0.0</v>
      </c>
      <c r="F452" s="105">
        <v>0.0</v>
      </c>
      <c r="G452" s="105">
        <v>7.0</v>
      </c>
      <c r="H452" s="105">
        <v>0.0</v>
      </c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>
      <c r="A453" s="103">
        <v>451.0</v>
      </c>
      <c r="B453" s="104" t="s">
        <v>1508</v>
      </c>
      <c r="C453" s="104" t="s">
        <v>1744</v>
      </c>
      <c r="D453" s="103">
        <v>2.0</v>
      </c>
      <c r="E453" s="103">
        <v>0.0</v>
      </c>
      <c r="F453" s="103">
        <v>0.0</v>
      </c>
      <c r="G453" s="103">
        <v>6.0</v>
      </c>
      <c r="H453" s="103">
        <v>0.0</v>
      </c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>
      <c r="A454" s="105">
        <v>452.0</v>
      </c>
      <c r="B454" s="106" t="s">
        <v>1509</v>
      </c>
      <c r="C454" s="106" t="s">
        <v>1744</v>
      </c>
      <c r="D454" s="105">
        <v>1.0</v>
      </c>
      <c r="E454" s="105">
        <v>0.0</v>
      </c>
      <c r="F454" s="105">
        <v>0.0</v>
      </c>
      <c r="G454" s="105">
        <v>7.0</v>
      </c>
      <c r="H454" s="105">
        <v>0.0</v>
      </c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>
      <c r="A455" s="103">
        <v>453.0</v>
      </c>
      <c r="B455" s="104" t="s">
        <v>1510</v>
      </c>
      <c r="C455" s="104" t="s">
        <v>1744</v>
      </c>
      <c r="D455" s="103">
        <v>2.0</v>
      </c>
      <c r="E455" s="103">
        <v>0.0</v>
      </c>
      <c r="F455" s="103">
        <v>0.0</v>
      </c>
      <c r="G455" s="103">
        <v>6.0</v>
      </c>
      <c r="H455" s="103">
        <v>0.0</v>
      </c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>
      <c r="A456" s="105">
        <v>454.0</v>
      </c>
      <c r="B456" s="106" t="s">
        <v>1511</v>
      </c>
      <c r="C456" s="106" t="s">
        <v>1744</v>
      </c>
      <c r="D456" s="105">
        <v>2.0</v>
      </c>
      <c r="E456" s="105">
        <v>0.0</v>
      </c>
      <c r="F456" s="105">
        <v>0.0</v>
      </c>
      <c r="G456" s="105">
        <v>6.0</v>
      </c>
      <c r="H456" s="105">
        <v>0.0</v>
      </c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>
      <c r="A457" s="103">
        <v>455.0</v>
      </c>
      <c r="B457" s="104" t="s">
        <v>1512</v>
      </c>
      <c r="C457" s="104" t="s">
        <v>1744</v>
      </c>
      <c r="D457" s="103">
        <v>1.0</v>
      </c>
      <c r="E457" s="103">
        <v>0.0</v>
      </c>
      <c r="F457" s="103">
        <v>0.0</v>
      </c>
      <c r="G457" s="103">
        <v>7.0</v>
      </c>
      <c r="H457" s="103">
        <v>0.0</v>
      </c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>
      <c r="A458" s="105">
        <v>456.0</v>
      </c>
      <c r="B458" s="106" t="s">
        <v>1513</v>
      </c>
      <c r="C458" s="106" t="s">
        <v>1744</v>
      </c>
      <c r="D458" s="105">
        <v>3.0</v>
      </c>
      <c r="E458" s="105">
        <v>0.0</v>
      </c>
      <c r="F458" s="105">
        <v>0.0</v>
      </c>
      <c r="G458" s="105">
        <v>5.0</v>
      </c>
      <c r="H458" s="105">
        <v>0.0</v>
      </c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>
      <c r="A459" s="103">
        <v>457.0</v>
      </c>
      <c r="B459" s="104" t="s">
        <v>1514</v>
      </c>
      <c r="C459" s="104" t="s">
        <v>1744</v>
      </c>
      <c r="D459" s="103">
        <v>4.0</v>
      </c>
      <c r="E459" s="103">
        <v>0.0</v>
      </c>
      <c r="F459" s="103">
        <v>0.0</v>
      </c>
      <c r="G459" s="103">
        <v>4.0</v>
      </c>
      <c r="H459" s="103">
        <v>0.0</v>
      </c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>
      <c r="A460" s="105">
        <v>458.0</v>
      </c>
      <c r="B460" s="106" t="s">
        <v>1515</v>
      </c>
      <c r="C460" s="106" t="s">
        <v>1744</v>
      </c>
      <c r="D460" s="105">
        <v>1.0</v>
      </c>
      <c r="E460" s="105">
        <v>0.0</v>
      </c>
      <c r="F460" s="105">
        <v>0.0</v>
      </c>
      <c r="G460" s="105">
        <v>7.0</v>
      </c>
      <c r="H460" s="105">
        <v>0.0</v>
      </c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>
      <c r="A461" s="103">
        <v>459.0</v>
      </c>
      <c r="B461" s="104" t="s">
        <v>1516</v>
      </c>
      <c r="C461" s="104" t="s">
        <v>1744</v>
      </c>
      <c r="D461" s="103">
        <v>1.0</v>
      </c>
      <c r="E461" s="103">
        <v>0.0</v>
      </c>
      <c r="F461" s="103">
        <v>0.0</v>
      </c>
      <c r="G461" s="103">
        <v>7.0</v>
      </c>
      <c r="H461" s="103">
        <v>0.0</v>
      </c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>
      <c r="A462" s="105">
        <v>460.0</v>
      </c>
      <c r="B462" s="106" t="s">
        <v>1517</v>
      </c>
      <c r="C462" s="106" t="s">
        <v>1744</v>
      </c>
      <c r="D462" s="105">
        <v>1.0</v>
      </c>
      <c r="E462" s="105">
        <v>0.0</v>
      </c>
      <c r="F462" s="105">
        <v>0.0</v>
      </c>
      <c r="G462" s="105">
        <v>7.0</v>
      </c>
      <c r="H462" s="105">
        <v>0.0</v>
      </c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>
      <c r="A463" s="103">
        <v>461.0</v>
      </c>
      <c r="B463" s="104" t="s">
        <v>1518</v>
      </c>
      <c r="C463" s="104" t="s">
        <v>1744</v>
      </c>
      <c r="D463" s="103">
        <v>1.0</v>
      </c>
      <c r="E463" s="103">
        <v>0.0</v>
      </c>
      <c r="F463" s="103">
        <v>0.0</v>
      </c>
      <c r="G463" s="103">
        <v>7.0</v>
      </c>
      <c r="H463" s="103">
        <v>0.0</v>
      </c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>
      <c r="A464" s="105">
        <v>462.0</v>
      </c>
      <c r="B464" s="106" t="s">
        <v>1519</v>
      </c>
      <c r="C464" s="106" t="s">
        <v>1744</v>
      </c>
      <c r="D464" s="105">
        <v>1.0</v>
      </c>
      <c r="E464" s="105">
        <v>0.0</v>
      </c>
      <c r="F464" s="105">
        <v>0.0</v>
      </c>
      <c r="G464" s="105">
        <v>7.0</v>
      </c>
      <c r="H464" s="105">
        <v>0.0</v>
      </c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>
      <c r="A465" s="103">
        <v>463.0</v>
      </c>
      <c r="B465" s="104" t="s">
        <v>1521</v>
      </c>
      <c r="C465" s="104" t="s">
        <v>1744</v>
      </c>
      <c r="D465" s="103">
        <v>1.0</v>
      </c>
      <c r="E465" s="103">
        <v>0.0</v>
      </c>
      <c r="F465" s="103">
        <v>0.0</v>
      </c>
      <c r="G465" s="103">
        <v>7.0</v>
      </c>
      <c r="H465" s="103">
        <v>0.0</v>
      </c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>
      <c r="A466" s="105">
        <v>464.0</v>
      </c>
      <c r="B466" s="106" t="s">
        <v>1520</v>
      </c>
      <c r="C466" s="106" t="s">
        <v>1744</v>
      </c>
      <c r="D466" s="105">
        <v>1.0</v>
      </c>
      <c r="E466" s="105">
        <v>0.0</v>
      </c>
      <c r="F466" s="105">
        <v>0.0</v>
      </c>
      <c r="G466" s="105">
        <v>7.0</v>
      </c>
      <c r="H466" s="105">
        <v>0.0</v>
      </c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>
      <c r="A467" s="103">
        <v>465.0</v>
      </c>
      <c r="B467" s="104" t="s">
        <v>1522</v>
      </c>
      <c r="C467" s="104" t="s">
        <v>1744</v>
      </c>
      <c r="D467" s="103">
        <v>1.0</v>
      </c>
      <c r="E467" s="103">
        <v>0.0</v>
      </c>
      <c r="F467" s="103">
        <v>0.0</v>
      </c>
      <c r="G467" s="103">
        <v>7.0</v>
      </c>
      <c r="H467" s="103">
        <v>0.0</v>
      </c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>
      <c r="A468" s="105">
        <v>466.0</v>
      </c>
      <c r="B468" s="106" t="s">
        <v>1523</v>
      </c>
      <c r="C468" s="106" t="s">
        <v>1744</v>
      </c>
      <c r="D468" s="105">
        <v>0.0</v>
      </c>
      <c r="E468" s="105">
        <v>0.0</v>
      </c>
      <c r="F468" s="105">
        <v>0.0</v>
      </c>
      <c r="G468" s="105">
        <v>8.0</v>
      </c>
      <c r="H468" s="105">
        <v>0.0</v>
      </c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>
      <c r="A469" s="103">
        <v>467.0</v>
      </c>
      <c r="B469" s="104" t="s">
        <v>1524</v>
      </c>
      <c r="C469" s="104" t="s">
        <v>1744</v>
      </c>
      <c r="D469" s="103">
        <v>4.0</v>
      </c>
      <c r="E469" s="103">
        <v>0.0</v>
      </c>
      <c r="F469" s="103">
        <v>0.0</v>
      </c>
      <c r="G469" s="103">
        <v>4.0</v>
      </c>
      <c r="H469" s="103">
        <v>0.0</v>
      </c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>
      <c r="A470" s="105">
        <v>468.0</v>
      </c>
      <c r="B470" s="106" t="s">
        <v>1525</v>
      </c>
      <c r="C470" s="106" t="s">
        <v>1744</v>
      </c>
      <c r="D470" s="105">
        <v>2.0</v>
      </c>
      <c r="E470" s="105">
        <v>0.0</v>
      </c>
      <c r="F470" s="105">
        <v>0.0</v>
      </c>
      <c r="G470" s="105">
        <v>6.0</v>
      </c>
      <c r="H470" s="105">
        <v>0.0</v>
      </c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>
      <c r="A471" s="103">
        <v>469.0</v>
      </c>
      <c r="B471" s="104" t="s">
        <v>1526</v>
      </c>
      <c r="C471" s="104" t="s">
        <v>1744</v>
      </c>
      <c r="D471" s="103">
        <v>4.0</v>
      </c>
      <c r="E471" s="103">
        <v>0.0</v>
      </c>
      <c r="F471" s="103">
        <v>0.0</v>
      </c>
      <c r="G471" s="103">
        <v>4.0</v>
      </c>
      <c r="H471" s="103">
        <v>0.0</v>
      </c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>
      <c r="A472" s="105">
        <v>470.0</v>
      </c>
      <c r="B472" s="106" t="s">
        <v>1527</v>
      </c>
      <c r="C472" s="106" t="s">
        <v>1744</v>
      </c>
      <c r="D472" s="105">
        <v>0.0</v>
      </c>
      <c r="E472" s="105">
        <v>0.0</v>
      </c>
      <c r="F472" s="105">
        <v>0.0</v>
      </c>
      <c r="G472" s="105">
        <v>8.0</v>
      </c>
      <c r="H472" s="105">
        <v>0.0</v>
      </c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>
      <c r="A473" s="103">
        <v>471.0</v>
      </c>
      <c r="B473" s="104" t="s">
        <v>1528</v>
      </c>
      <c r="C473" s="104" t="s">
        <v>1744</v>
      </c>
      <c r="D473" s="103">
        <v>1.0</v>
      </c>
      <c r="E473" s="103">
        <v>0.0</v>
      </c>
      <c r="F473" s="103">
        <v>0.0</v>
      </c>
      <c r="G473" s="103">
        <v>7.0</v>
      </c>
      <c r="H473" s="103">
        <v>0.0</v>
      </c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>
      <c r="A474" s="105">
        <v>472.0</v>
      </c>
      <c r="B474" s="106" t="s">
        <v>1529</v>
      </c>
      <c r="C474" s="106" t="s">
        <v>1744</v>
      </c>
      <c r="D474" s="105">
        <v>0.0</v>
      </c>
      <c r="E474" s="105">
        <v>0.0</v>
      </c>
      <c r="F474" s="105">
        <v>0.0</v>
      </c>
      <c r="G474" s="105">
        <v>8.0</v>
      </c>
      <c r="H474" s="105">
        <v>0.0</v>
      </c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>
      <c r="A475" s="103">
        <v>473.0</v>
      </c>
      <c r="B475" s="104" t="s">
        <v>1530</v>
      </c>
      <c r="C475" s="104" t="s">
        <v>1744</v>
      </c>
      <c r="D475" s="103">
        <v>0.0</v>
      </c>
      <c r="E475" s="103">
        <v>0.0</v>
      </c>
      <c r="F475" s="103">
        <v>0.0</v>
      </c>
      <c r="G475" s="103">
        <v>8.0</v>
      </c>
      <c r="H475" s="103">
        <v>0.0</v>
      </c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>
      <c r="A476" s="105">
        <v>474.0</v>
      </c>
      <c r="B476" s="106" t="s">
        <v>1531</v>
      </c>
      <c r="C476" s="106" t="s">
        <v>1746</v>
      </c>
      <c r="D476" s="105">
        <v>0.0</v>
      </c>
      <c r="E476" s="105">
        <v>0.0</v>
      </c>
      <c r="F476" s="105">
        <v>0.0</v>
      </c>
      <c r="G476" s="105">
        <v>8.0</v>
      </c>
      <c r="H476" s="105">
        <v>0.0</v>
      </c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>
      <c r="A477" s="103">
        <v>475.0</v>
      </c>
      <c r="B477" s="104" t="s">
        <v>1532</v>
      </c>
      <c r="C477" s="104" t="s">
        <v>1746</v>
      </c>
      <c r="D477" s="103">
        <v>0.0</v>
      </c>
      <c r="E477" s="103">
        <v>0.0</v>
      </c>
      <c r="F477" s="103">
        <v>0.0</v>
      </c>
      <c r="G477" s="103">
        <v>8.0</v>
      </c>
      <c r="H477" s="103">
        <v>0.0</v>
      </c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>
      <c r="A478" s="105">
        <v>476.0</v>
      </c>
      <c r="B478" s="106" t="s">
        <v>1533</v>
      </c>
      <c r="C478" s="106" t="s">
        <v>1746</v>
      </c>
      <c r="D478" s="105">
        <v>1.0</v>
      </c>
      <c r="E478" s="105">
        <v>0.0</v>
      </c>
      <c r="F478" s="105">
        <v>0.0</v>
      </c>
      <c r="G478" s="105">
        <v>7.0</v>
      </c>
      <c r="H478" s="105">
        <v>0.0</v>
      </c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>
      <c r="A479" s="103">
        <v>477.0</v>
      </c>
      <c r="B479" s="104" t="s">
        <v>1534</v>
      </c>
      <c r="C479" s="104" t="s">
        <v>1746</v>
      </c>
      <c r="D479" s="103">
        <v>0.0</v>
      </c>
      <c r="E479" s="103">
        <v>0.0</v>
      </c>
      <c r="F479" s="103">
        <v>0.0</v>
      </c>
      <c r="G479" s="103">
        <v>8.0</v>
      </c>
      <c r="H479" s="103">
        <v>0.0</v>
      </c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>
      <c r="A480" s="105">
        <v>478.0</v>
      </c>
      <c r="B480" s="106" t="s">
        <v>1535</v>
      </c>
      <c r="C480" s="106" t="s">
        <v>1746</v>
      </c>
      <c r="D480" s="105">
        <v>0.0</v>
      </c>
      <c r="E480" s="105">
        <v>0.0</v>
      </c>
      <c r="F480" s="105">
        <v>0.0</v>
      </c>
      <c r="G480" s="105">
        <v>8.0</v>
      </c>
      <c r="H480" s="105">
        <v>0.0</v>
      </c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>
      <c r="A481" s="103">
        <v>479.0</v>
      </c>
      <c r="B481" s="104" t="s">
        <v>1536</v>
      </c>
      <c r="C481" s="104" t="s">
        <v>1746</v>
      </c>
      <c r="D481" s="103">
        <v>0.0</v>
      </c>
      <c r="E481" s="103">
        <v>0.0</v>
      </c>
      <c r="F481" s="103">
        <v>0.0</v>
      </c>
      <c r="G481" s="103">
        <v>8.0</v>
      </c>
      <c r="H481" s="103">
        <v>0.0</v>
      </c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>
      <c r="A482" s="105">
        <v>480.0</v>
      </c>
      <c r="B482" s="106" t="s">
        <v>1537</v>
      </c>
      <c r="C482" s="106" t="s">
        <v>1746</v>
      </c>
      <c r="D482" s="105">
        <v>3.0</v>
      </c>
      <c r="E482" s="105">
        <v>0.0</v>
      </c>
      <c r="F482" s="105">
        <v>0.0</v>
      </c>
      <c r="G482" s="105">
        <v>5.0</v>
      </c>
      <c r="H482" s="105">
        <v>0.0</v>
      </c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>
      <c r="A483" s="103">
        <v>481.0</v>
      </c>
      <c r="B483" s="104" t="s">
        <v>1538</v>
      </c>
      <c r="C483" s="104" t="s">
        <v>1746</v>
      </c>
      <c r="D483" s="103">
        <v>0.0</v>
      </c>
      <c r="E483" s="103">
        <v>0.0</v>
      </c>
      <c r="F483" s="103">
        <v>0.0</v>
      </c>
      <c r="G483" s="103">
        <v>8.0</v>
      </c>
      <c r="H483" s="103">
        <v>0.0</v>
      </c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>
      <c r="A484" s="105">
        <v>482.0</v>
      </c>
      <c r="B484" s="106" t="s">
        <v>1539</v>
      </c>
      <c r="C484" s="106" t="s">
        <v>1746</v>
      </c>
      <c r="D484" s="105">
        <v>1.0</v>
      </c>
      <c r="E484" s="105">
        <v>0.0</v>
      </c>
      <c r="F484" s="105">
        <v>0.0</v>
      </c>
      <c r="G484" s="105">
        <v>7.0</v>
      </c>
      <c r="H484" s="105">
        <v>0.0</v>
      </c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>
      <c r="A485" s="103">
        <v>483.0</v>
      </c>
      <c r="B485" s="104" t="s">
        <v>1540</v>
      </c>
      <c r="C485" s="104" t="s">
        <v>1746</v>
      </c>
      <c r="D485" s="103">
        <v>1.0</v>
      </c>
      <c r="E485" s="103">
        <v>0.0</v>
      </c>
      <c r="F485" s="103">
        <v>0.0</v>
      </c>
      <c r="G485" s="103">
        <v>7.0</v>
      </c>
      <c r="H485" s="103">
        <v>0.0</v>
      </c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>
      <c r="A486" s="105">
        <v>484.0</v>
      </c>
      <c r="B486" s="106" t="s">
        <v>1541</v>
      </c>
      <c r="C486" s="106" t="s">
        <v>1746</v>
      </c>
      <c r="D486" s="105">
        <v>2.0</v>
      </c>
      <c r="E486" s="105">
        <v>0.0</v>
      </c>
      <c r="F486" s="105">
        <v>0.0</v>
      </c>
      <c r="G486" s="105">
        <v>6.0</v>
      </c>
      <c r="H486" s="105">
        <v>0.0</v>
      </c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>
      <c r="A487" s="103">
        <v>485.0</v>
      </c>
      <c r="B487" s="104" t="s">
        <v>1542</v>
      </c>
      <c r="C487" s="104" t="s">
        <v>1746</v>
      </c>
      <c r="D487" s="103">
        <v>1.0</v>
      </c>
      <c r="E487" s="103">
        <v>0.0</v>
      </c>
      <c r="F487" s="103">
        <v>0.0</v>
      </c>
      <c r="G487" s="103">
        <v>7.0</v>
      </c>
      <c r="H487" s="103">
        <v>0.0</v>
      </c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>
      <c r="A488" s="105">
        <v>486.0</v>
      </c>
      <c r="B488" s="106" t="s">
        <v>1543</v>
      </c>
      <c r="C488" s="106" t="s">
        <v>1746</v>
      </c>
      <c r="D488" s="105">
        <v>1.0</v>
      </c>
      <c r="E488" s="105">
        <v>0.0</v>
      </c>
      <c r="F488" s="105">
        <v>0.0</v>
      </c>
      <c r="G488" s="105">
        <v>7.0</v>
      </c>
      <c r="H488" s="105">
        <v>0.0</v>
      </c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>
      <c r="A489" s="103">
        <v>487.0</v>
      </c>
      <c r="B489" s="104" t="s">
        <v>1544</v>
      </c>
      <c r="C489" s="104" t="s">
        <v>1746</v>
      </c>
      <c r="D489" s="103">
        <v>2.0</v>
      </c>
      <c r="E489" s="103">
        <v>0.0</v>
      </c>
      <c r="F489" s="103">
        <v>0.0</v>
      </c>
      <c r="G489" s="103">
        <v>6.0</v>
      </c>
      <c r="H489" s="103">
        <v>0.0</v>
      </c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>
      <c r="A490" s="105">
        <v>488.0</v>
      </c>
      <c r="B490" s="106" t="s">
        <v>1545</v>
      </c>
      <c r="C490" s="106" t="s">
        <v>1746</v>
      </c>
      <c r="D490" s="105">
        <v>1.0</v>
      </c>
      <c r="E490" s="105">
        <v>0.0</v>
      </c>
      <c r="F490" s="105">
        <v>0.0</v>
      </c>
      <c r="G490" s="105">
        <v>7.0</v>
      </c>
      <c r="H490" s="105">
        <v>0.0</v>
      </c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>
      <c r="A491" s="103">
        <v>489.0</v>
      </c>
      <c r="B491" s="104" t="s">
        <v>1546</v>
      </c>
      <c r="C491" s="104" t="s">
        <v>1746</v>
      </c>
      <c r="D491" s="103">
        <v>0.0</v>
      </c>
      <c r="E491" s="103">
        <v>0.0</v>
      </c>
      <c r="F491" s="103">
        <v>0.0</v>
      </c>
      <c r="G491" s="103">
        <v>8.0</v>
      </c>
      <c r="H491" s="103">
        <v>0.0</v>
      </c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>
      <c r="A492" s="105">
        <v>490.0</v>
      </c>
      <c r="B492" s="106" t="s">
        <v>1547</v>
      </c>
      <c r="C492" s="106" t="s">
        <v>1746</v>
      </c>
      <c r="D492" s="105">
        <v>2.0</v>
      </c>
      <c r="E492" s="105">
        <v>0.0</v>
      </c>
      <c r="F492" s="105">
        <v>0.0</v>
      </c>
      <c r="G492" s="105">
        <v>6.0</v>
      </c>
      <c r="H492" s="105">
        <v>0.0</v>
      </c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>
      <c r="A493" s="103">
        <v>491.0</v>
      </c>
      <c r="B493" s="104" t="s">
        <v>1548</v>
      </c>
      <c r="C493" s="104" t="s">
        <v>1746</v>
      </c>
      <c r="D493" s="103">
        <v>0.0</v>
      </c>
      <c r="E493" s="103">
        <v>0.0</v>
      </c>
      <c r="F493" s="103">
        <v>0.0</v>
      </c>
      <c r="G493" s="103">
        <v>8.0</v>
      </c>
      <c r="H493" s="103">
        <v>0.0</v>
      </c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>
      <c r="A494" s="105">
        <v>492.0</v>
      </c>
      <c r="B494" s="106" t="s">
        <v>1549</v>
      </c>
      <c r="C494" s="106" t="s">
        <v>1746</v>
      </c>
      <c r="D494" s="105">
        <v>1.0</v>
      </c>
      <c r="E494" s="105">
        <v>0.0</v>
      </c>
      <c r="F494" s="105">
        <v>0.0</v>
      </c>
      <c r="G494" s="105">
        <v>7.0</v>
      </c>
      <c r="H494" s="105">
        <v>0.0</v>
      </c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>
      <c r="A495" s="103">
        <v>493.0</v>
      </c>
      <c r="B495" s="104" t="s">
        <v>1550</v>
      </c>
      <c r="C495" s="104" t="s">
        <v>1746</v>
      </c>
      <c r="D495" s="103">
        <v>1.0</v>
      </c>
      <c r="E495" s="103">
        <v>0.0</v>
      </c>
      <c r="F495" s="103">
        <v>0.0</v>
      </c>
      <c r="G495" s="103">
        <v>7.0</v>
      </c>
      <c r="H495" s="103">
        <v>0.0</v>
      </c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>
      <c r="A496" s="105">
        <v>494.0</v>
      </c>
      <c r="B496" s="106" t="s">
        <v>1551</v>
      </c>
      <c r="C496" s="106" t="s">
        <v>1746</v>
      </c>
      <c r="D496" s="105">
        <v>1.0</v>
      </c>
      <c r="E496" s="105">
        <v>0.0</v>
      </c>
      <c r="F496" s="105">
        <v>0.0</v>
      </c>
      <c r="G496" s="105">
        <v>7.0</v>
      </c>
      <c r="H496" s="105">
        <v>0.0</v>
      </c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>
      <c r="A497" s="103">
        <v>495.0</v>
      </c>
      <c r="B497" s="104" t="s">
        <v>1552</v>
      </c>
      <c r="C497" s="104" t="s">
        <v>1746</v>
      </c>
      <c r="D497" s="103">
        <v>3.0</v>
      </c>
      <c r="E497" s="103">
        <v>0.0</v>
      </c>
      <c r="F497" s="103">
        <v>0.0</v>
      </c>
      <c r="G497" s="103">
        <v>5.0</v>
      </c>
      <c r="H497" s="103">
        <v>0.0</v>
      </c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>
      <c r="A498" s="105">
        <v>496.0</v>
      </c>
      <c r="B498" s="106" t="s">
        <v>1553</v>
      </c>
      <c r="C498" s="106" t="s">
        <v>1746</v>
      </c>
      <c r="D498" s="105">
        <v>2.0</v>
      </c>
      <c r="E498" s="105">
        <v>0.0</v>
      </c>
      <c r="F498" s="105">
        <v>0.0</v>
      </c>
      <c r="G498" s="105">
        <v>6.0</v>
      </c>
      <c r="H498" s="105">
        <v>0.0</v>
      </c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>
      <c r="A499" s="103">
        <v>497.0</v>
      </c>
      <c r="B499" s="104" t="s">
        <v>1554</v>
      </c>
      <c r="C499" s="104" t="s">
        <v>1746</v>
      </c>
      <c r="D499" s="103">
        <v>1.0</v>
      </c>
      <c r="E499" s="103">
        <v>0.0</v>
      </c>
      <c r="F499" s="103">
        <v>0.0</v>
      </c>
      <c r="G499" s="103">
        <v>7.0</v>
      </c>
      <c r="H499" s="103">
        <v>0.0</v>
      </c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>
      <c r="A500" s="105">
        <v>498.0</v>
      </c>
      <c r="B500" s="106" t="s">
        <v>1555</v>
      </c>
      <c r="C500" s="106" t="s">
        <v>1746</v>
      </c>
      <c r="D500" s="105">
        <v>1.0</v>
      </c>
      <c r="E500" s="105">
        <v>0.0</v>
      </c>
      <c r="F500" s="105">
        <v>0.0</v>
      </c>
      <c r="G500" s="105">
        <v>7.0</v>
      </c>
      <c r="H500" s="105">
        <v>0.0</v>
      </c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>
      <c r="A501" s="103">
        <v>499.0</v>
      </c>
      <c r="B501" s="104" t="s">
        <v>1556</v>
      </c>
      <c r="C501" s="104" t="s">
        <v>1746</v>
      </c>
      <c r="D501" s="103">
        <v>1.0</v>
      </c>
      <c r="E501" s="103">
        <v>0.0</v>
      </c>
      <c r="F501" s="103">
        <v>0.0</v>
      </c>
      <c r="G501" s="103">
        <v>7.0</v>
      </c>
      <c r="H501" s="103">
        <v>0.0</v>
      </c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>
      <c r="A502" s="105">
        <v>500.0</v>
      </c>
      <c r="B502" s="106" t="s">
        <v>1557</v>
      </c>
      <c r="C502" s="106" t="s">
        <v>1746</v>
      </c>
      <c r="D502" s="105">
        <v>0.0</v>
      </c>
      <c r="E502" s="105">
        <v>0.0</v>
      </c>
      <c r="F502" s="105">
        <v>0.0</v>
      </c>
      <c r="G502" s="105">
        <v>8.0</v>
      </c>
      <c r="H502" s="105">
        <v>0.0</v>
      </c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>
      <c r="A503" s="103">
        <v>501.0</v>
      </c>
      <c r="B503" s="104" t="s">
        <v>1558</v>
      </c>
      <c r="C503" s="104" t="s">
        <v>1746</v>
      </c>
      <c r="D503" s="103">
        <v>0.0</v>
      </c>
      <c r="E503" s="103">
        <v>0.0</v>
      </c>
      <c r="F503" s="103">
        <v>0.0</v>
      </c>
      <c r="G503" s="103">
        <v>8.0</v>
      </c>
      <c r="H503" s="103">
        <v>0.0</v>
      </c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>
      <c r="A504" s="105">
        <v>502.0</v>
      </c>
      <c r="B504" s="106" t="s">
        <v>1559</v>
      </c>
      <c r="C504" s="106" t="s">
        <v>1746</v>
      </c>
      <c r="D504" s="105">
        <v>0.0</v>
      </c>
      <c r="E504" s="105">
        <v>0.0</v>
      </c>
      <c r="F504" s="105">
        <v>0.0</v>
      </c>
      <c r="G504" s="105">
        <v>8.0</v>
      </c>
      <c r="H504" s="105">
        <v>0.0</v>
      </c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>
      <c r="A505" s="103">
        <v>503.0</v>
      </c>
      <c r="B505" s="104" t="s">
        <v>1560</v>
      </c>
      <c r="C505" s="104" t="s">
        <v>1746</v>
      </c>
      <c r="D505" s="103">
        <v>1.0</v>
      </c>
      <c r="E505" s="103">
        <v>0.0</v>
      </c>
      <c r="F505" s="103">
        <v>0.0</v>
      </c>
      <c r="G505" s="103">
        <v>7.0</v>
      </c>
      <c r="H505" s="103">
        <v>0.0</v>
      </c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>
      <c r="A506" s="105">
        <v>504.0</v>
      </c>
      <c r="B506" s="106" t="s">
        <v>1561</v>
      </c>
      <c r="C506" s="106" t="s">
        <v>1746</v>
      </c>
      <c r="D506" s="105">
        <v>0.0</v>
      </c>
      <c r="E506" s="105">
        <v>0.0</v>
      </c>
      <c r="F506" s="105">
        <v>0.0</v>
      </c>
      <c r="G506" s="105">
        <v>8.0</v>
      </c>
      <c r="H506" s="105">
        <v>0.0</v>
      </c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>
      <c r="A507" s="103">
        <v>505.0</v>
      </c>
      <c r="B507" s="104" t="s">
        <v>1562</v>
      </c>
      <c r="C507" s="104" t="s">
        <v>1746</v>
      </c>
      <c r="D507" s="103">
        <v>0.0</v>
      </c>
      <c r="E507" s="103">
        <v>0.0</v>
      </c>
      <c r="F507" s="103">
        <v>0.0</v>
      </c>
      <c r="G507" s="103">
        <v>8.0</v>
      </c>
      <c r="H507" s="103">
        <v>0.0</v>
      </c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>
      <c r="A508" s="105">
        <v>506.0</v>
      </c>
      <c r="B508" s="106" t="s">
        <v>1563</v>
      </c>
      <c r="C508" s="106" t="s">
        <v>1746</v>
      </c>
      <c r="D508" s="105">
        <v>0.0</v>
      </c>
      <c r="E508" s="105">
        <v>0.0</v>
      </c>
      <c r="F508" s="105">
        <v>0.0</v>
      </c>
      <c r="G508" s="105">
        <v>8.0</v>
      </c>
      <c r="H508" s="105">
        <v>0.0</v>
      </c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>
      <c r="A509" s="103">
        <v>507.0</v>
      </c>
      <c r="B509" s="104" t="s">
        <v>1564</v>
      </c>
      <c r="C509" s="104" t="s">
        <v>1746</v>
      </c>
      <c r="D509" s="103">
        <v>0.0</v>
      </c>
      <c r="E509" s="103">
        <v>0.0</v>
      </c>
      <c r="F509" s="103">
        <v>0.0</v>
      </c>
      <c r="G509" s="103">
        <v>8.0</v>
      </c>
      <c r="H509" s="103">
        <v>0.0</v>
      </c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>
      <c r="A510" s="105">
        <v>508.0</v>
      </c>
      <c r="B510" s="106" t="s">
        <v>1747</v>
      </c>
      <c r="C510" s="106" t="s">
        <v>1746</v>
      </c>
      <c r="D510" s="105">
        <v>0.0</v>
      </c>
      <c r="E510" s="105">
        <v>0.0</v>
      </c>
      <c r="F510" s="105">
        <v>0.0</v>
      </c>
      <c r="G510" s="105">
        <v>8.0</v>
      </c>
      <c r="H510" s="105">
        <v>0.0</v>
      </c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>
      <c r="A511" s="103">
        <v>509.0</v>
      </c>
      <c r="B511" s="104" t="s">
        <v>1565</v>
      </c>
      <c r="C511" s="104" t="s">
        <v>1746</v>
      </c>
      <c r="D511" s="103">
        <v>1.0</v>
      </c>
      <c r="E511" s="103">
        <v>0.0</v>
      </c>
      <c r="F511" s="103">
        <v>0.0</v>
      </c>
      <c r="G511" s="103">
        <v>7.0</v>
      </c>
      <c r="H511" s="103">
        <v>0.0</v>
      </c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>
      <c r="A512" s="105">
        <v>510.0</v>
      </c>
      <c r="B512" s="106" t="s">
        <v>1566</v>
      </c>
      <c r="C512" s="106" t="s">
        <v>1746</v>
      </c>
      <c r="D512" s="105">
        <v>4.0</v>
      </c>
      <c r="E512" s="105">
        <v>0.0</v>
      </c>
      <c r="F512" s="105">
        <v>0.0</v>
      </c>
      <c r="G512" s="105">
        <v>4.0</v>
      </c>
      <c r="H512" s="105">
        <v>0.0</v>
      </c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>
      <c r="A513" s="103">
        <v>511.0</v>
      </c>
      <c r="B513" s="104" t="s">
        <v>1567</v>
      </c>
      <c r="C513" s="104" t="s">
        <v>1746</v>
      </c>
      <c r="D513" s="103">
        <v>2.0</v>
      </c>
      <c r="E513" s="103">
        <v>0.0</v>
      </c>
      <c r="F513" s="103">
        <v>0.0</v>
      </c>
      <c r="G513" s="103">
        <v>6.0</v>
      </c>
      <c r="H513" s="103">
        <v>0.0</v>
      </c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>
      <c r="A514" s="105">
        <v>512.0</v>
      </c>
      <c r="B514" s="106" t="s">
        <v>1568</v>
      </c>
      <c r="C514" s="106" t="s">
        <v>1746</v>
      </c>
      <c r="D514" s="105">
        <v>1.0</v>
      </c>
      <c r="E514" s="105">
        <v>0.0</v>
      </c>
      <c r="F514" s="105">
        <v>0.0</v>
      </c>
      <c r="G514" s="105">
        <v>7.0</v>
      </c>
      <c r="H514" s="105">
        <v>0.0</v>
      </c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>
      <c r="A515" s="103">
        <v>513.0</v>
      </c>
      <c r="B515" s="104" t="s">
        <v>1569</v>
      </c>
      <c r="C515" s="104" t="s">
        <v>1746</v>
      </c>
      <c r="D515" s="103">
        <v>4.0</v>
      </c>
      <c r="E515" s="103">
        <v>0.0</v>
      </c>
      <c r="F515" s="103">
        <v>0.0</v>
      </c>
      <c r="G515" s="103">
        <v>4.0</v>
      </c>
      <c r="H515" s="103">
        <v>0.0</v>
      </c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>
      <c r="A516" s="105">
        <v>514.0</v>
      </c>
      <c r="B516" s="106" t="s">
        <v>1570</v>
      </c>
      <c r="C516" s="106" t="s">
        <v>1746</v>
      </c>
      <c r="D516" s="105">
        <v>0.0</v>
      </c>
      <c r="E516" s="105">
        <v>0.0</v>
      </c>
      <c r="F516" s="105">
        <v>0.0</v>
      </c>
      <c r="G516" s="105">
        <v>8.0</v>
      </c>
      <c r="H516" s="105">
        <v>0.0</v>
      </c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>
      <c r="A517" s="103">
        <v>515.0</v>
      </c>
      <c r="B517" s="104" t="s">
        <v>1571</v>
      </c>
      <c r="C517" s="104" t="s">
        <v>1746</v>
      </c>
      <c r="D517" s="103">
        <v>0.0</v>
      </c>
      <c r="E517" s="103">
        <v>0.0</v>
      </c>
      <c r="F517" s="103">
        <v>0.0</v>
      </c>
      <c r="G517" s="103">
        <v>8.0</v>
      </c>
      <c r="H517" s="103">
        <v>0.0</v>
      </c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>
      <c r="A518" s="105">
        <v>516.0</v>
      </c>
      <c r="B518" s="106" t="s">
        <v>1572</v>
      </c>
      <c r="C518" s="106" t="s">
        <v>1746</v>
      </c>
      <c r="D518" s="105">
        <v>5.0</v>
      </c>
      <c r="E518" s="105">
        <v>0.0</v>
      </c>
      <c r="F518" s="105">
        <v>0.0</v>
      </c>
      <c r="G518" s="105">
        <v>3.0</v>
      </c>
      <c r="H518" s="105">
        <v>0.0</v>
      </c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>
      <c r="A519" s="103">
        <v>517.0</v>
      </c>
      <c r="B519" s="104" t="s">
        <v>1573</v>
      </c>
      <c r="C519" s="104" t="s">
        <v>1746</v>
      </c>
      <c r="D519" s="103">
        <v>0.0</v>
      </c>
      <c r="E519" s="103">
        <v>0.0</v>
      </c>
      <c r="F519" s="103">
        <v>0.0</v>
      </c>
      <c r="G519" s="103">
        <v>8.0</v>
      </c>
      <c r="H519" s="103">
        <v>0.0</v>
      </c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>
      <c r="A520" s="105">
        <v>518.0</v>
      </c>
      <c r="B520" s="106" t="s">
        <v>1574</v>
      </c>
      <c r="C520" s="106" t="s">
        <v>1746</v>
      </c>
      <c r="D520" s="105">
        <v>5.0</v>
      </c>
      <c r="E520" s="105">
        <v>0.0</v>
      </c>
      <c r="F520" s="105">
        <v>0.0</v>
      </c>
      <c r="G520" s="105">
        <v>3.0</v>
      </c>
      <c r="H520" s="105">
        <v>0.0</v>
      </c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>
      <c r="A521" s="103">
        <v>519.0</v>
      </c>
      <c r="B521" s="104" t="s">
        <v>1575</v>
      </c>
      <c r="C521" s="104" t="s">
        <v>1746</v>
      </c>
      <c r="D521" s="103">
        <v>2.0</v>
      </c>
      <c r="E521" s="103">
        <v>0.0</v>
      </c>
      <c r="F521" s="103">
        <v>0.0</v>
      </c>
      <c r="G521" s="103">
        <v>6.0</v>
      </c>
      <c r="H521" s="103">
        <v>0.0</v>
      </c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>
      <c r="A522" s="105">
        <v>520.0</v>
      </c>
      <c r="B522" s="106" t="s">
        <v>1576</v>
      </c>
      <c r="C522" s="106" t="s">
        <v>1748</v>
      </c>
      <c r="D522" s="105">
        <v>1.0</v>
      </c>
      <c r="E522" s="105">
        <v>0.0</v>
      </c>
      <c r="F522" s="105">
        <v>0.0</v>
      </c>
      <c r="G522" s="105">
        <v>7.0</v>
      </c>
      <c r="H522" s="105">
        <v>0.0</v>
      </c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>
      <c r="A523" s="103">
        <v>521.0</v>
      </c>
      <c r="B523" s="104" t="s">
        <v>1577</v>
      </c>
      <c r="C523" s="104" t="s">
        <v>1748</v>
      </c>
      <c r="D523" s="103">
        <v>1.0</v>
      </c>
      <c r="E523" s="103">
        <v>0.0</v>
      </c>
      <c r="F523" s="103">
        <v>0.0</v>
      </c>
      <c r="G523" s="103">
        <v>7.0</v>
      </c>
      <c r="H523" s="103">
        <v>0.0</v>
      </c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>
      <c r="A524" s="105">
        <v>522.0</v>
      </c>
      <c r="B524" s="106" t="s">
        <v>1578</v>
      </c>
      <c r="C524" s="106" t="s">
        <v>1748</v>
      </c>
      <c r="D524" s="105">
        <v>1.0</v>
      </c>
      <c r="E524" s="105">
        <v>0.0</v>
      </c>
      <c r="F524" s="105">
        <v>0.0</v>
      </c>
      <c r="G524" s="105">
        <v>7.0</v>
      </c>
      <c r="H524" s="105">
        <v>0.0</v>
      </c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>
      <c r="A525" s="103">
        <v>523.0</v>
      </c>
      <c r="B525" s="104" t="s">
        <v>1579</v>
      </c>
      <c r="C525" s="104" t="s">
        <v>1748</v>
      </c>
      <c r="D525" s="103">
        <v>0.0</v>
      </c>
      <c r="E525" s="103">
        <v>0.0</v>
      </c>
      <c r="F525" s="103">
        <v>0.0</v>
      </c>
      <c r="G525" s="103">
        <v>8.0</v>
      </c>
      <c r="H525" s="103">
        <v>0.0</v>
      </c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>
      <c r="A526" s="105">
        <v>524.0</v>
      </c>
      <c r="B526" s="106" t="s">
        <v>1580</v>
      </c>
      <c r="C526" s="106" t="s">
        <v>1748</v>
      </c>
      <c r="D526" s="105">
        <v>0.0</v>
      </c>
      <c r="E526" s="105">
        <v>0.0</v>
      </c>
      <c r="F526" s="105">
        <v>0.0</v>
      </c>
      <c r="G526" s="105">
        <v>8.0</v>
      </c>
      <c r="H526" s="105">
        <v>0.0</v>
      </c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>
      <c r="A527" s="103">
        <v>525.0</v>
      </c>
      <c r="B527" s="104" t="s">
        <v>1581</v>
      </c>
      <c r="C527" s="104" t="s">
        <v>1748</v>
      </c>
      <c r="D527" s="103">
        <v>4.0</v>
      </c>
      <c r="E527" s="103">
        <v>0.0</v>
      </c>
      <c r="F527" s="103">
        <v>0.0</v>
      </c>
      <c r="G527" s="103">
        <v>4.0</v>
      </c>
      <c r="H527" s="103">
        <v>0.0</v>
      </c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>
      <c r="A528" s="105">
        <v>526.0</v>
      </c>
      <c r="B528" s="106" t="s">
        <v>1582</v>
      </c>
      <c r="C528" s="106" t="s">
        <v>1748</v>
      </c>
      <c r="D528" s="105">
        <v>3.0</v>
      </c>
      <c r="E528" s="105">
        <v>0.0</v>
      </c>
      <c r="F528" s="105">
        <v>0.0</v>
      </c>
      <c r="G528" s="105">
        <v>5.0</v>
      </c>
      <c r="H528" s="105">
        <v>0.0</v>
      </c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>
      <c r="A529" s="103">
        <v>527.0</v>
      </c>
      <c r="B529" s="104" t="s">
        <v>1583</v>
      </c>
      <c r="C529" s="104" t="s">
        <v>1748</v>
      </c>
      <c r="D529" s="103">
        <v>0.0</v>
      </c>
      <c r="E529" s="103">
        <v>0.0</v>
      </c>
      <c r="F529" s="103">
        <v>0.0</v>
      </c>
      <c r="G529" s="103">
        <v>8.0</v>
      </c>
      <c r="H529" s="103">
        <v>0.0</v>
      </c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>
      <c r="A530" s="105">
        <v>528.0</v>
      </c>
      <c r="B530" s="106" t="s">
        <v>1584</v>
      </c>
      <c r="C530" s="106" t="s">
        <v>1748</v>
      </c>
      <c r="D530" s="105">
        <v>0.0</v>
      </c>
      <c r="E530" s="105">
        <v>0.0</v>
      </c>
      <c r="F530" s="105">
        <v>0.0</v>
      </c>
      <c r="G530" s="105">
        <v>8.0</v>
      </c>
      <c r="H530" s="105">
        <v>0.0</v>
      </c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>
      <c r="A531" s="103">
        <v>529.0</v>
      </c>
      <c r="B531" s="104" t="s">
        <v>1585</v>
      </c>
      <c r="C531" s="104" t="s">
        <v>1748</v>
      </c>
      <c r="D531" s="103">
        <v>1.0</v>
      </c>
      <c r="E531" s="103">
        <v>0.0</v>
      </c>
      <c r="F531" s="103">
        <v>0.0</v>
      </c>
      <c r="G531" s="103">
        <v>7.0</v>
      </c>
      <c r="H531" s="103">
        <v>0.0</v>
      </c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>
      <c r="A532" s="105">
        <v>530.0</v>
      </c>
      <c r="B532" s="106" t="s">
        <v>1586</v>
      </c>
      <c r="C532" s="106" t="s">
        <v>1748</v>
      </c>
      <c r="D532" s="105">
        <v>3.0</v>
      </c>
      <c r="E532" s="105">
        <v>0.0</v>
      </c>
      <c r="F532" s="105">
        <v>0.0</v>
      </c>
      <c r="G532" s="105">
        <v>5.0</v>
      </c>
      <c r="H532" s="105">
        <v>0.0</v>
      </c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>
      <c r="A533" s="103">
        <v>531.0</v>
      </c>
      <c r="B533" s="104" t="s">
        <v>1587</v>
      </c>
      <c r="C533" s="104" t="s">
        <v>1748</v>
      </c>
      <c r="D533" s="103">
        <v>4.0</v>
      </c>
      <c r="E533" s="103">
        <v>0.0</v>
      </c>
      <c r="F533" s="103">
        <v>0.0</v>
      </c>
      <c r="G533" s="103">
        <v>4.0</v>
      </c>
      <c r="H533" s="103">
        <v>0.0</v>
      </c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>
      <c r="A534" s="105">
        <v>532.0</v>
      </c>
      <c r="B534" s="106" t="s">
        <v>1588</v>
      </c>
      <c r="C534" s="106" t="s">
        <v>1748</v>
      </c>
      <c r="D534" s="105">
        <v>3.0</v>
      </c>
      <c r="E534" s="105">
        <v>0.0</v>
      </c>
      <c r="F534" s="105">
        <v>0.0</v>
      </c>
      <c r="G534" s="105">
        <v>5.0</v>
      </c>
      <c r="H534" s="105">
        <v>0.0</v>
      </c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>
      <c r="A535" s="103">
        <v>533.0</v>
      </c>
      <c r="B535" s="104" t="s">
        <v>1589</v>
      </c>
      <c r="C535" s="104" t="s">
        <v>1748</v>
      </c>
      <c r="D535" s="103">
        <v>0.0</v>
      </c>
      <c r="E535" s="103">
        <v>0.0</v>
      </c>
      <c r="F535" s="103">
        <v>0.0</v>
      </c>
      <c r="G535" s="103">
        <v>8.0</v>
      </c>
      <c r="H535" s="103">
        <v>0.0</v>
      </c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>
      <c r="A536" s="105">
        <v>534.0</v>
      </c>
      <c r="B536" s="106" t="s">
        <v>1590</v>
      </c>
      <c r="C536" s="106" t="s">
        <v>1748</v>
      </c>
      <c r="D536" s="105">
        <v>0.0</v>
      </c>
      <c r="E536" s="105">
        <v>0.0</v>
      </c>
      <c r="F536" s="105">
        <v>0.0</v>
      </c>
      <c r="G536" s="105">
        <v>8.0</v>
      </c>
      <c r="H536" s="105">
        <v>0.0</v>
      </c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>
      <c r="A537" s="103">
        <v>535.0</v>
      </c>
      <c r="B537" s="104" t="s">
        <v>1591</v>
      </c>
      <c r="C537" s="104" t="s">
        <v>1748</v>
      </c>
      <c r="D537" s="103">
        <v>0.0</v>
      </c>
      <c r="E537" s="103">
        <v>0.0</v>
      </c>
      <c r="F537" s="103">
        <v>0.0</v>
      </c>
      <c r="G537" s="103">
        <v>8.0</v>
      </c>
      <c r="H537" s="103">
        <v>0.0</v>
      </c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>
      <c r="A538" s="105">
        <v>536.0</v>
      </c>
      <c r="B538" s="106" t="s">
        <v>1592</v>
      </c>
      <c r="C538" s="106" t="s">
        <v>1748</v>
      </c>
      <c r="D538" s="105">
        <v>4.0</v>
      </c>
      <c r="E538" s="105">
        <v>0.0</v>
      </c>
      <c r="F538" s="105">
        <v>0.0</v>
      </c>
      <c r="G538" s="105">
        <v>4.0</v>
      </c>
      <c r="H538" s="105">
        <v>0.0</v>
      </c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>
      <c r="A539" s="103">
        <v>537.0</v>
      </c>
      <c r="B539" s="104" t="s">
        <v>1593</v>
      </c>
      <c r="C539" s="104" t="s">
        <v>1748</v>
      </c>
      <c r="D539" s="103">
        <v>2.0</v>
      </c>
      <c r="E539" s="103">
        <v>0.0</v>
      </c>
      <c r="F539" s="103">
        <v>0.0</v>
      </c>
      <c r="G539" s="103">
        <v>6.0</v>
      </c>
      <c r="H539" s="103">
        <v>0.0</v>
      </c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>
      <c r="A540" s="105">
        <v>538.0</v>
      </c>
      <c r="B540" s="106" t="s">
        <v>1594</v>
      </c>
      <c r="C540" s="106" t="s">
        <v>1748</v>
      </c>
      <c r="D540" s="105">
        <v>2.0</v>
      </c>
      <c r="E540" s="105">
        <v>0.0</v>
      </c>
      <c r="F540" s="105">
        <v>0.0</v>
      </c>
      <c r="G540" s="105">
        <v>6.0</v>
      </c>
      <c r="H540" s="105">
        <v>0.0</v>
      </c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>
      <c r="A541" s="103">
        <v>539.0</v>
      </c>
      <c r="B541" s="104" t="s">
        <v>1595</v>
      </c>
      <c r="C541" s="104" t="s">
        <v>1748</v>
      </c>
      <c r="D541" s="103">
        <v>0.0</v>
      </c>
      <c r="E541" s="103">
        <v>0.0</v>
      </c>
      <c r="F541" s="103">
        <v>0.0</v>
      </c>
      <c r="G541" s="103">
        <v>8.0</v>
      </c>
      <c r="H541" s="103">
        <v>0.0</v>
      </c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>
      <c r="A542" s="105">
        <v>540.0</v>
      </c>
      <c r="B542" s="106" t="s">
        <v>1596</v>
      </c>
      <c r="C542" s="106" t="s">
        <v>1748</v>
      </c>
      <c r="D542" s="105">
        <v>2.0</v>
      </c>
      <c r="E542" s="105">
        <v>0.0</v>
      </c>
      <c r="F542" s="105">
        <v>0.0</v>
      </c>
      <c r="G542" s="105">
        <v>6.0</v>
      </c>
      <c r="H542" s="105">
        <v>0.0</v>
      </c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>
      <c r="A543" s="103">
        <v>541.0</v>
      </c>
      <c r="B543" s="104" t="s">
        <v>1597</v>
      </c>
      <c r="C543" s="104" t="s">
        <v>1748</v>
      </c>
      <c r="D543" s="103">
        <v>2.0</v>
      </c>
      <c r="E543" s="103">
        <v>0.0</v>
      </c>
      <c r="F543" s="103">
        <v>0.0</v>
      </c>
      <c r="G543" s="103">
        <v>6.0</v>
      </c>
      <c r="H543" s="103">
        <v>0.0</v>
      </c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>
      <c r="A544" s="105">
        <v>542.0</v>
      </c>
      <c r="B544" s="106" t="s">
        <v>1598</v>
      </c>
      <c r="C544" s="106" t="s">
        <v>1748</v>
      </c>
      <c r="D544" s="105">
        <v>0.0</v>
      </c>
      <c r="E544" s="105">
        <v>0.0</v>
      </c>
      <c r="F544" s="105">
        <v>0.0</v>
      </c>
      <c r="G544" s="105">
        <v>8.0</v>
      </c>
      <c r="H544" s="105">
        <v>0.0</v>
      </c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>
      <c r="A545" s="103">
        <v>543.0</v>
      </c>
      <c r="B545" s="104" t="s">
        <v>1599</v>
      </c>
      <c r="C545" s="104" t="s">
        <v>1748</v>
      </c>
      <c r="D545" s="103">
        <v>0.0</v>
      </c>
      <c r="E545" s="103">
        <v>0.0</v>
      </c>
      <c r="F545" s="103">
        <v>0.0</v>
      </c>
      <c r="G545" s="103">
        <v>8.0</v>
      </c>
      <c r="H545" s="103">
        <v>0.0</v>
      </c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>
      <c r="A546" s="105">
        <v>544.0</v>
      </c>
      <c r="B546" s="106" t="s">
        <v>1600</v>
      </c>
      <c r="C546" s="106" t="s">
        <v>1748</v>
      </c>
      <c r="D546" s="105">
        <v>1.0</v>
      </c>
      <c r="E546" s="105">
        <v>0.0</v>
      </c>
      <c r="F546" s="105">
        <v>0.0</v>
      </c>
      <c r="G546" s="105">
        <v>7.0</v>
      </c>
      <c r="H546" s="105">
        <v>0.0</v>
      </c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>
      <c r="A547" s="103">
        <v>545.0</v>
      </c>
      <c r="B547" s="104" t="s">
        <v>1601</v>
      </c>
      <c r="C547" s="104" t="s">
        <v>1748</v>
      </c>
      <c r="D547" s="103">
        <v>4.0</v>
      </c>
      <c r="E547" s="103">
        <v>0.0</v>
      </c>
      <c r="F547" s="103">
        <v>0.0</v>
      </c>
      <c r="G547" s="103">
        <v>4.0</v>
      </c>
      <c r="H547" s="103">
        <v>0.0</v>
      </c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>
      <c r="A548" s="105">
        <v>546.0</v>
      </c>
      <c r="B548" s="106" t="s">
        <v>1602</v>
      </c>
      <c r="C548" s="106" t="s">
        <v>1748</v>
      </c>
      <c r="D548" s="105">
        <v>2.0</v>
      </c>
      <c r="E548" s="105">
        <v>0.0</v>
      </c>
      <c r="F548" s="105">
        <v>0.0</v>
      </c>
      <c r="G548" s="105">
        <v>6.0</v>
      </c>
      <c r="H548" s="105">
        <v>0.0</v>
      </c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>
      <c r="A549" s="103">
        <v>547.0</v>
      </c>
      <c r="B549" s="104" t="s">
        <v>1603</v>
      </c>
      <c r="C549" s="104" t="s">
        <v>1748</v>
      </c>
      <c r="D549" s="103">
        <v>1.0</v>
      </c>
      <c r="E549" s="103">
        <v>0.0</v>
      </c>
      <c r="F549" s="103">
        <v>0.0</v>
      </c>
      <c r="G549" s="103">
        <v>7.0</v>
      </c>
      <c r="H549" s="103">
        <v>0.0</v>
      </c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>
      <c r="A550" s="105">
        <v>548.0</v>
      </c>
      <c r="B550" s="106" t="s">
        <v>1604</v>
      </c>
      <c r="C550" s="106" t="s">
        <v>1748</v>
      </c>
      <c r="D550" s="105">
        <v>0.0</v>
      </c>
      <c r="E550" s="105">
        <v>0.0</v>
      </c>
      <c r="F550" s="105">
        <v>0.0</v>
      </c>
      <c r="G550" s="105">
        <v>8.0</v>
      </c>
      <c r="H550" s="105">
        <v>0.0</v>
      </c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>
      <c r="A551" s="103">
        <v>549.0</v>
      </c>
      <c r="B551" s="104" t="s">
        <v>1605</v>
      </c>
      <c r="C551" s="104" t="s">
        <v>1748</v>
      </c>
      <c r="D551" s="103">
        <v>0.0</v>
      </c>
      <c r="E551" s="103">
        <v>0.0</v>
      </c>
      <c r="F551" s="103">
        <v>0.0</v>
      </c>
      <c r="G551" s="103">
        <v>8.0</v>
      </c>
      <c r="H551" s="103">
        <v>0.0</v>
      </c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>
      <c r="A552" s="105">
        <v>550.0</v>
      </c>
      <c r="B552" s="106" t="s">
        <v>1606</v>
      </c>
      <c r="C552" s="106" t="s">
        <v>1748</v>
      </c>
      <c r="D552" s="105">
        <v>0.0</v>
      </c>
      <c r="E552" s="105">
        <v>0.0</v>
      </c>
      <c r="F552" s="105">
        <v>0.0</v>
      </c>
      <c r="G552" s="105">
        <v>8.0</v>
      </c>
      <c r="H552" s="105">
        <v>0.0</v>
      </c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>
      <c r="A553" s="103">
        <v>551.0</v>
      </c>
      <c r="B553" s="104" t="s">
        <v>1607</v>
      </c>
      <c r="C553" s="104" t="s">
        <v>1748</v>
      </c>
      <c r="D553" s="103">
        <v>0.0</v>
      </c>
      <c r="E553" s="103">
        <v>0.0</v>
      </c>
      <c r="F553" s="103">
        <v>0.0</v>
      </c>
      <c r="G553" s="103">
        <v>8.0</v>
      </c>
      <c r="H553" s="103">
        <v>0.0</v>
      </c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>
      <c r="A554" s="105">
        <v>552.0</v>
      </c>
      <c r="B554" s="106" t="s">
        <v>1608</v>
      </c>
      <c r="C554" s="106" t="s">
        <v>1748</v>
      </c>
      <c r="D554" s="105">
        <v>0.0</v>
      </c>
      <c r="E554" s="105">
        <v>0.0</v>
      </c>
      <c r="F554" s="105">
        <v>0.0</v>
      </c>
      <c r="G554" s="105">
        <v>8.0</v>
      </c>
      <c r="H554" s="105">
        <v>0.0</v>
      </c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>
      <c r="A555" s="103">
        <v>553.0</v>
      </c>
      <c r="B555" s="104" t="s">
        <v>1609</v>
      </c>
      <c r="C555" s="104" t="s">
        <v>1748</v>
      </c>
      <c r="D555" s="103">
        <v>0.0</v>
      </c>
      <c r="E555" s="103">
        <v>0.0</v>
      </c>
      <c r="F555" s="103">
        <v>0.0</v>
      </c>
      <c r="G555" s="103">
        <v>8.0</v>
      </c>
      <c r="H555" s="103">
        <v>0.0</v>
      </c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>
      <c r="A556" s="105">
        <v>554.0</v>
      </c>
      <c r="B556" s="106" t="s">
        <v>1610</v>
      </c>
      <c r="C556" s="106" t="s">
        <v>1748</v>
      </c>
      <c r="D556" s="105">
        <v>0.0</v>
      </c>
      <c r="E556" s="105">
        <v>0.0</v>
      </c>
      <c r="F556" s="105">
        <v>0.0</v>
      </c>
      <c r="G556" s="105">
        <v>8.0</v>
      </c>
      <c r="H556" s="105">
        <v>0.0</v>
      </c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>
      <c r="A557" s="103">
        <v>555.0</v>
      </c>
      <c r="B557" s="104" t="s">
        <v>1611</v>
      </c>
      <c r="C557" s="104" t="s">
        <v>1748</v>
      </c>
      <c r="D557" s="103">
        <v>0.0</v>
      </c>
      <c r="E557" s="103">
        <v>0.0</v>
      </c>
      <c r="F557" s="103">
        <v>0.0</v>
      </c>
      <c r="G557" s="103">
        <v>8.0</v>
      </c>
      <c r="H557" s="103">
        <v>0.0</v>
      </c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>
      <c r="A558" s="105">
        <v>556.0</v>
      </c>
      <c r="B558" s="106" t="s">
        <v>1612</v>
      </c>
      <c r="C558" s="106" t="s">
        <v>1748</v>
      </c>
      <c r="D558" s="105">
        <v>2.0</v>
      </c>
      <c r="E558" s="105">
        <v>0.0</v>
      </c>
      <c r="F558" s="105">
        <v>0.0</v>
      </c>
      <c r="G558" s="105">
        <v>6.0</v>
      </c>
      <c r="H558" s="105">
        <v>0.0</v>
      </c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>
      <c r="A559" s="103">
        <v>557.0</v>
      </c>
      <c r="B559" s="104" t="s">
        <v>1613</v>
      </c>
      <c r="C559" s="104" t="s">
        <v>1748</v>
      </c>
      <c r="D559" s="103">
        <v>0.0</v>
      </c>
      <c r="E559" s="103">
        <v>0.0</v>
      </c>
      <c r="F559" s="103">
        <v>0.0</v>
      </c>
      <c r="G559" s="103">
        <v>8.0</v>
      </c>
      <c r="H559" s="103">
        <v>0.0</v>
      </c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>
      <c r="A560" s="105">
        <v>558.0</v>
      </c>
      <c r="B560" s="106" t="s">
        <v>1614</v>
      </c>
      <c r="C560" s="106" t="s">
        <v>1748</v>
      </c>
      <c r="D560" s="105">
        <v>2.0</v>
      </c>
      <c r="E560" s="105">
        <v>0.0</v>
      </c>
      <c r="F560" s="105">
        <v>0.0</v>
      </c>
      <c r="G560" s="105">
        <v>6.0</v>
      </c>
      <c r="H560" s="105">
        <v>0.0</v>
      </c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>
      <c r="A561" s="103">
        <v>559.0</v>
      </c>
      <c r="B561" s="104" t="s">
        <v>1615</v>
      </c>
      <c r="C561" s="104" t="s">
        <v>1748</v>
      </c>
      <c r="D561" s="103">
        <v>0.0</v>
      </c>
      <c r="E561" s="103">
        <v>0.0</v>
      </c>
      <c r="F561" s="103">
        <v>0.0</v>
      </c>
      <c r="G561" s="103">
        <v>8.0</v>
      </c>
      <c r="H561" s="103">
        <v>0.0</v>
      </c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>
      <c r="A562" s="105">
        <v>560.0</v>
      </c>
      <c r="B562" s="106" t="s">
        <v>1616</v>
      </c>
      <c r="C562" s="106" t="s">
        <v>1748</v>
      </c>
      <c r="D562" s="105">
        <v>0.0</v>
      </c>
      <c r="E562" s="105">
        <v>0.0</v>
      </c>
      <c r="F562" s="105">
        <v>0.0</v>
      </c>
      <c r="G562" s="105">
        <v>8.0</v>
      </c>
      <c r="H562" s="105">
        <v>0.0</v>
      </c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>
      <c r="A563" s="103">
        <v>561.0</v>
      </c>
      <c r="B563" s="104" t="s">
        <v>1617</v>
      </c>
      <c r="C563" s="104" t="s">
        <v>1748</v>
      </c>
      <c r="D563" s="103">
        <v>2.0</v>
      </c>
      <c r="E563" s="103">
        <v>0.0</v>
      </c>
      <c r="F563" s="103">
        <v>0.0</v>
      </c>
      <c r="G563" s="103">
        <v>6.0</v>
      </c>
      <c r="H563" s="103">
        <v>0.0</v>
      </c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>
      <c r="A564" s="105">
        <v>562.0</v>
      </c>
      <c r="B564" s="106" t="s">
        <v>1618</v>
      </c>
      <c r="C564" s="106" t="s">
        <v>1748</v>
      </c>
      <c r="D564" s="105">
        <v>1.0</v>
      </c>
      <c r="E564" s="105">
        <v>0.0</v>
      </c>
      <c r="F564" s="105">
        <v>0.0</v>
      </c>
      <c r="G564" s="105">
        <v>7.0</v>
      </c>
      <c r="H564" s="105">
        <v>0.0</v>
      </c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>
      <c r="A565" s="103">
        <v>563.0</v>
      </c>
      <c r="B565" s="104" t="s">
        <v>1619</v>
      </c>
      <c r="C565" s="104" t="s">
        <v>1748</v>
      </c>
      <c r="D565" s="103">
        <v>1.0</v>
      </c>
      <c r="E565" s="103">
        <v>0.0</v>
      </c>
      <c r="F565" s="103">
        <v>0.0</v>
      </c>
      <c r="G565" s="103">
        <v>7.0</v>
      </c>
      <c r="H565" s="103">
        <v>0.0</v>
      </c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>
      <c r="A566" s="105">
        <v>564.0</v>
      </c>
      <c r="B566" s="106" t="s">
        <v>1620</v>
      </c>
      <c r="C566" s="106" t="s">
        <v>1748</v>
      </c>
      <c r="D566" s="105">
        <v>1.0</v>
      </c>
      <c r="E566" s="105">
        <v>0.0</v>
      </c>
      <c r="F566" s="105">
        <v>0.0</v>
      </c>
      <c r="G566" s="105">
        <v>7.0</v>
      </c>
      <c r="H566" s="105">
        <v>0.0</v>
      </c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>
      <c r="A567" s="103">
        <v>565.0</v>
      </c>
      <c r="B567" s="104" t="s">
        <v>1621</v>
      </c>
      <c r="C567" s="104" t="s">
        <v>1748</v>
      </c>
      <c r="D567" s="103">
        <v>0.0</v>
      </c>
      <c r="E567" s="103">
        <v>0.0</v>
      </c>
      <c r="F567" s="103">
        <v>0.0</v>
      </c>
      <c r="G567" s="103">
        <v>8.0</v>
      </c>
      <c r="H567" s="103">
        <v>0.0</v>
      </c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>
      <c r="A568" s="105">
        <v>566.0</v>
      </c>
      <c r="B568" s="106" t="s">
        <v>1749</v>
      </c>
      <c r="C568" s="106" t="s">
        <v>1726</v>
      </c>
      <c r="D568" s="105">
        <v>0.0</v>
      </c>
      <c r="E568" s="105">
        <v>0.0</v>
      </c>
      <c r="F568" s="105">
        <v>2.0</v>
      </c>
      <c r="G568" s="105">
        <v>5.0</v>
      </c>
      <c r="H568" s="105">
        <v>1.0</v>
      </c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>
      <c r="A569" s="103">
        <v>567.0</v>
      </c>
      <c r="B569" s="104" t="s">
        <v>1750</v>
      </c>
      <c r="C569" s="104" t="s">
        <v>1751</v>
      </c>
      <c r="D569" s="103">
        <v>1.0</v>
      </c>
      <c r="E569" s="103">
        <v>0.0</v>
      </c>
      <c r="F569" s="103">
        <v>0.0</v>
      </c>
      <c r="G569" s="103">
        <v>5.0</v>
      </c>
      <c r="H569" s="103">
        <v>2.0</v>
      </c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>
      <c r="A570" s="105">
        <v>568.0</v>
      </c>
      <c r="B570" s="106" t="s">
        <v>1752</v>
      </c>
      <c r="C570" s="106" t="s">
        <v>1751</v>
      </c>
      <c r="D570" s="105">
        <v>0.0</v>
      </c>
      <c r="E570" s="105">
        <v>0.0</v>
      </c>
      <c r="F570" s="105">
        <v>0.0</v>
      </c>
      <c r="G570" s="105">
        <v>8.0</v>
      </c>
      <c r="H570" s="105">
        <v>0.0</v>
      </c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>
      <c r="A571" s="103">
        <v>569.0</v>
      </c>
      <c r="B571" s="104" t="s">
        <v>1753</v>
      </c>
      <c r="C571" s="104" t="s">
        <v>1751</v>
      </c>
      <c r="D571" s="103">
        <v>0.0</v>
      </c>
      <c r="E571" s="103">
        <v>0.0</v>
      </c>
      <c r="F571" s="103">
        <v>0.0</v>
      </c>
      <c r="G571" s="103">
        <v>8.0</v>
      </c>
      <c r="H571" s="103">
        <v>0.0</v>
      </c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>
      <c r="A572" s="105">
        <v>570.0</v>
      </c>
      <c r="B572" s="106" t="s">
        <v>1754</v>
      </c>
      <c r="C572" s="106" t="s">
        <v>1751</v>
      </c>
      <c r="D572" s="105">
        <v>0.0</v>
      </c>
      <c r="E572" s="105">
        <v>0.0</v>
      </c>
      <c r="F572" s="105">
        <v>0.0</v>
      </c>
      <c r="G572" s="105">
        <v>8.0</v>
      </c>
      <c r="H572" s="105">
        <v>0.0</v>
      </c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>
      <c r="A573" s="103">
        <v>571.0</v>
      </c>
      <c r="B573" s="104" t="s">
        <v>1755</v>
      </c>
      <c r="C573" s="104" t="s">
        <v>1751</v>
      </c>
      <c r="D573" s="103">
        <v>0.0</v>
      </c>
      <c r="E573" s="103">
        <v>0.0</v>
      </c>
      <c r="F573" s="103">
        <v>0.0</v>
      </c>
      <c r="G573" s="103">
        <v>8.0</v>
      </c>
      <c r="H573" s="103">
        <v>0.0</v>
      </c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>
      <c r="A574" s="105">
        <v>572.0</v>
      </c>
      <c r="B574" s="106" t="s">
        <v>1756</v>
      </c>
      <c r="C574" s="106" t="s">
        <v>1751</v>
      </c>
      <c r="D574" s="105">
        <v>0.0</v>
      </c>
      <c r="E574" s="105">
        <v>0.0</v>
      </c>
      <c r="F574" s="105">
        <v>0.0</v>
      </c>
      <c r="G574" s="105">
        <v>8.0</v>
      </c>
      <c r="H574" s="105">
        <v>0.0</v>
      </c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>
      <c r="A575" s="103">
        <v>573.0</v>
      </c>
      <c r="B575" s="104" t="s">
        <v>1757</v>
      </c>
      <c r="C575" s="104" t="s">
        <v>1751</v>
      </c>
      <c r="D575" s="103">
        <v>0.0</v>
      </c>
      <c r="E575" s="103">
        <v>0.0</v>
      </c>
      <c r="F575" s="103">
        <v>0.0</v>
      </c>
      <c r="G575" s="103">
        <v>8.0</v>
      </c>
      <c r="H575" s="103">
        <v>0.0</v>
      </c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>
      <c r="A576" s="105">
        <v>574.0</v>
      </c>
      <c r="B576" s="106" t="s">
        <v>1758</v>
      </c>
      <c r="C576" s="106" t="s">
        <v>1751</v>
      </c>
      <c r="D576" s="105">
        <v>0.0</v>
      </c>
      <c r="E576" s="105">
        <v>0.0</v>
      </c>
      <c r="F576" s="105">
        <v>0.0</v>
      </c>
      <c r="G576" s="105">
        <v>8.0</v>
      </c>
      <c r="H576" s="105">
        <v>0.0</v>
      </c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>
      <c r="A577" s="103">
        <v>575.0</v>
      </c>
      <c r="B577" s="104" t="s">
        <v>1759</v>
      </c>
      <c r="C577" s="104" t="s">
        <v>1751</v>
      </c>
      <c r="D577" s="103">
        <v>0.0</v>
      </c>
      <c r="E577" s="103">
        <v>0.0</v>
      </c>
      <c r="F577" s="103">
        <v>0.0</v>
      </c>
      <c r="G577" s="103">
        <v>8.0</v>
      </c>
      <c r="H577" s="103">
        <v>0.0</v>
      </c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>
      <c r="A578" s="105">
        <v>576.0</v>
      </c>
      <c r="B578" s="106" t="s">
        <v>1760</v>
      </c>
      <c r="C578" s="106" t="s">
        <v>1751</v>
      </c>
      <c r="D578" s="105">
        <v>0.0</v>
      </c>
      <c r="E578" s="105">
        <v>0.0</v>
      </c>
      <c r="F578" s="105">
        <v>0.0</v>
      </c>
      <c r="G578" s="105">
        <v>8.0</v>
      </c>
      <c r="H578" s="105">
        <v>0.0</v>
      </c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>
      <c r="A579" s="103">
        <v>577.0</v>
      </c>
      <c r="B579" s="104" t="s">
        <v>1761</v>
      </c>
      <c r="C579" s="104" t="s">
        <v>1751</v>
      </c>
      <c r="D579" s="103">
        <v>0.0</v>
      </c>
      <c r="E579" s="103">
        <v>0.0</v>
      </c>
      <c r="F579" s="103">
        <v>0.0</v>
      </c>
      <c r="G579" s="103">
        <v>8.0</v>
      </c>
      <c r="H579" s="103">
        <v>0.0</v>
      </c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>
      <c r="A580" s="105">
        <v>578.0</v>
      </c>
      <c r="B580" s="106" t="s">
        <v>1762</v>
      </c>
      <c r="C580" s="106" t="s">
        <v>1751</v>
      </c>
      <c r="D580" s="105">
        <v>1.0</v>
      </c>
      <c r="E580" s="105">
        <v>0.0</v>
      </c>
      <c r="F580" s="105">
        <v>0.0</v>
      </c>
      <c r="G580" s="105">
        <v>7.0</v>
      </c>
      <c r="H580" s="105">
        <v>0.0</v>
      </c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>
      <c r="A581" s="103">
        <v>579.0</v>
      </c>
      <c r="B581" s="104" t="s">
        <v>1763</v>
      </c>
      <c r="C581" s="104" t="s">
        <v>1751</v>
      </c>
      <c r="D581" s="103">
        <v>0.0</v>
      </c>
      <c r="E581" s="103">
        <v>0.0</v>
      </c>
      <c r="F581" s="103">
        <v>0.0</v>
      </c>
      <c r="G581" s="103">
        <v>8.0</v>
      </c>
      <c r="H581" s="103">
        <v>0.0</v>
      </c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>
      <c r="A582" s="105">
        <v>580.0</v>
      </c>
      <c r="B582" s="106" t="s">
        <v>1764</v>
      </c>
      <c r="C582" s="106" t="s">
        <v>1751</v>
      </c>
      <c r="D582" s="105">
        <v>2.0</v>
      </c>
      <c r="E582" s="105">
        <v>0.0</v>
      </c>
      <c r="F582" s="105">
        <v>0.0</v>
      </c>
      <c r="G582" s="105">
        <v>6.0</v>
      </c>
      <c r="H582" s="105">
        <v>0.0</v>
      </c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>
      <c r="A583" s="103">
        <v>581.0</v>
      </c>
      <c r="B583" s="104" t="s">
        <v>1765</v>
      </c>
      <c r="C583" s="104" t="s">
        <v>1751</v>
      </c>
      <c r="D583" s="103">
        <v>0.0</v>
      </c>
      <c r="E583" s="103">
        <v>0.0</v>
      </c>
      <c r="F583" s="103">
        <v>0.0</v>
      </c>
      <c r="G583" s="103">
        <v>8.0</v>
      </c>
      <c r="H583" s="103">
        <v>0.0</v>
      </c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>
      <c r="A584" s="105">
        <v>582.0</v>
      </c>
      <c r="B584" s="106" t="s">
        <v>1766</v>
      </c>
      <c r="C584" s="106" t="s">
        <v>1751</v>
      </c>
      <c r="D584" s="105">
        <v>0.0</v>
      </c>
      <c r="E584" s="105">
        <v>0.0</v>
      </c>
      <c r="F584" s="105">
        <v>0.0</v>
      </c>
      <c r="G584" s="105">
        <v>8.0</v>
      </c>
      <c r="H584" s="105">
        <v>0.0</v>
      </c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>
      <c r="A585" s="103">
        <v>583.0</v>
      </c>
      <c r="B585" s="104" t="s">
        <v>1767</v>
      </c>
      <c r="C585" s="104" t="s">
        <v>1751</v>
      </c>
      <c r="D585" s="103">
        <v>0.0</v>
      </c>
      <c r="E585" s="103">
        <v>0.0</v>
      </c>
      <c r="F585" s="103">
        <v>0.0</v>
      </c>
      <c r="G585" s="103">
        <v>8.0</v>
      </c>
      <c r="H585" s="103">
        <v>0.0</v>
      </c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>
      <c r="A586" s="105">
        <v>584.0</v>
      </c>
      <c r="B586" s="106" t="s">
        <v>1768</v>
      </c>
      <c r="C586" s="106" t="s">
        <v>1751</v>
      </c>
      <c r="D586" s="105">
        <v>0.0</v>
      </c>
      <c r="E586" s="105">
        <v>0.0</v>
      </c>
      <c r="F586" s="105">
        <v>0.0</v>
      </c>
      <c r="G586" s="105">
        <v>8.0</v>
      </c>
      <c r="H586" s="105">
        <v>0.0</v>
      </c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>
      <c r="A587" s="103">
        <v>585.0</v>
      </c>
      <c r="B587" s="104" t="s">
        <v>1769</v>
      </c>
      <c r="C587" s="104" t="s">
        <v>1751</v>
      </c>
      <c r="D587" s="103">
        <v>0.0</v>
      </c>
      <c r="E587" s="103">
        <v>0.0</v>
      </c>
      <c r="F587" s="103">
        <v>0.0</v>
      </c>
      <c r="G587" s="103">
        <v>8.0</v>
      </c>
      <c r="H587" s="103">
        <v>0.0</v>
      </c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>
      <c r="A588" s="105">
        <v>586.0</v>
      </c>
      <c r="B588" s="106" t="s">
        <v>1770</v>
      </c>
      <c r="C588" s="106" t="s">
        <v>1751</v>
      </c>
      <c r="D588" s="105">
        <v>0.0</v>
      </c>
      <c r="E588" s="105">
        <v>0.0</v>
      </c>
      <c r="F588" s="105">
        <v>0.0</v>
      </c>
      <c r="G588" s="105">
        <v>8.0</v>
      </c>
      <c r="H588" s="105">
        <v>0.0</v>
      </c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>
      <c r="A589" s="103">
        <v>587.0</v>
      </c>
      <c r="B589" s="104" t="s">
        <v>1771</v>
      </c>
      <c r="C589" s="104" t="s">
        <v>1751</v>
      </c>
      <c r="D589" s="103">
        <v>0.0</v>
      </c>
      <c r="E589" s="103">
        <v>0.0</v>
      </c>
      <c r="F589" s="103">
        <v>0.0</v>
      </c>
      <c r="G589" s="103">
        <v>8.0</v>
      </c>
      <c r="H589" s="103">
        <v>0.0</v>
      </c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>
      <c r="A590" s="105">
        <v>588.0</v>
      </c>
      <c r="B590" s="106" t="s">
        <v>1772</v>
      </c>
      <c r="C590" s="106" t="s">
        <v>1751</v>
      </c>
      <c r="D590" s="105">
        <v>0.0</v>
      </c>
      <c r="E590" s="105">
        <v>0.0</v>
      </c>
      <c r="F590" s="105">
        <v>0.0</v>
      </c>
      <c r="G590" s="105">
        <v>8.0</v>
      </c>
      <c r="H590" s="105">
        <v>0.0</v>
      </c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>
      <c r="A591" s="103">
        <v>589.0</v>
      </c>
      <c r="B591" s="104" t="s">
        <v>1773</v>
      </c>
      <c r="C591" s="104" t="s">
        <v>1751</v>
      </c>
      <c r="D591" s="103">
        <v>0.0</v>
      </c>
      <c r="E591" s="103">
        <v>0.0</v>
      </c>
      <c r="F591" s="103">
        <v>0.0</v>
      </c>
      <c r="G591" s="103">
        <v>8.0</v>
      </c>
      <c r="H591" s="103">
        <v>0.0</v>
      </c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>
      <c r="A592" s="105">
        <v>590.0</v>
      </c>
      <c r="B592" s="106" t="s">
        <v>1774</v>
      </c>
      <c r="C592" s="106" t="s">
        <v>1751</v>
      </c>
      <c r="D592" s="105">
        <v>2.0</v>
      </c>
      <c r="E592" s="105">
        <v>0.0</v>
      </c>
      <c r="F592" s="105">
        <v>0.0</v>
      </c>
      <c r="G592" s="105">
        <v>6.0</v>
      </c>
      <c r="H592" s="105">
        <v>0.0</v>
      </c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>
      <c r="A593" s="103">
        <v>591.0</v>
      </c>
      <c r="B593" s="104" t="s">
        <v>1775</v>
      </c>
      <c r="C593" s="104" t="s">
        <v>1751</v>
      </c>
      <c r="D593" s="103">
        <v>0.0</v>
      </c>
      <c r="E593" s="103">
        <v>0.0</v>
      </c>
      <c r="F593" s="103">
        <v>0.0</v>
      </c>
      <c r="G593" s="103">
        <v>8.0</v>
      </c>
      <c r="H593" s="103">
        <v>0.0</v>
      </c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>
      <c r="A594" s="105">
        <v>592.0</v>
      </c>
      <c r="B594" s="106" t="s">
        <v>1776</v>
      </c>
      <c r="C594" s="106" t="s">
        <v>1751</v>
      </c>
      <c r="D594" s="105">
        <v>0.0</v>
      </c>
      <c r="E594" s="105">
        <v>0.0</v>
      </c>
      <c r="F594" s="105">
        <v>0.0</v>
      </c>
      <c r="G594" s="105">
        <v>8.0</v>
      </c>
      <c r="H594" s="105">
        <v>0.0</v>
      </c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>
      <c r="A595" s="103">
        <v>593.0</v>
      </c>
      <c r="B595" s="104" t="s">
        <v>1777</v>
      </c>
      <c r="C595" s="104" t="s">
        <v>1751</v>
      </c>
      <c r="D595" s="103">
        <v>0.0</v>
      </c>
      <c r="E595" s="103">
        <v>0.0</v>
      </c>
      <c r="F595" s="103">
        <v>0.0</v>
      </c>
      <c r="G595" s="103">
        <v>8.0</v>
      </c>
      <c r="H595" s="103">
        <v>0.0</v>
      </c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>
      <c r="A596" s="105">
        <v>594.0</v>
      </c>
      <c r="B596" s="106" t="s">
        <v>1778</v>
      </c>
      <c r="C596" s="106" t="s">
        <v>1751</v>
      </c>
      <c r="D596" s="105">
        <v>2.0</v>
      </c>
      <c r="E596" s="105">
        <v>0.0</v>
      </c>
      <c r="F596" s="105">
        <v>0.0</v>
      </c>
      <c r="G596" s="105">
        <v>6.0</v>
      </c>
      <c r="H596" s="105">
        <v>0.0</v>
      </c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>
      <c r="A597" s="103">
        <v>595.0</v>
      </c>
      <c r="B597" s="104" t="s">
        <v>1779</v>
      </c>
      <c r="C597" s="104" t="s">
        <v>1751</v>
      </c>
      <c r="D597" s="103">
        <v>0.0</v>
      </c>
      <c r="E597" s="103">
        <v>0.0</v>
      </c>
      <c r="F597" s="103">
        <v>0.0</v>
      </c>
      <c r="G597" s="103">
        <v>8.0</v>
      </c>
      <c r="H597" s="103">
        <v>0.0</v>
      </c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>
      <c r="A598" s="105">
        <v>596.0</v>
      </c>
      <c r="B598" s="106" t="s">
        <v>1780</v>
      </c>
      <c r="C598" s="106" t="s">
        <v>1751</v>
      </c>
      <c r="D598" s="105">
        <v>1.0</v>
      </c>
      <c r="E598" s="105">
        <v>0.0</v>
      </c>
      <c r="F598" s="105">
        <v>0.0</v>
      </c>
      <c r="G598" s="105">
        <v>6.0</v>
      </c>
      <c r="H598" s="105">
        <v>1.0</v>
      </c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>
      <c r="A599" s="103">
        <v>597.0</v>
      </c>
      <c r="B599" s="104" t="s">
        <v>1781</v>
      </c>
      <c r="C599" s="104" t="s">
        <v>1751</v>
      </c>
      <c r="D599" s="103">
        <v>0.0</v>
      </c>
      <c r="E599" s="103">
        <v>0.0</v>
      </c>
      <c r="F599" s="103">
        <v>0.0</v>
      </c>
      <c r="G599" s="103">
        <v>8.0</v>
      </c>
      <c r="H599" s="103">
        <v>0.0</v>
      </c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>
      <c r="A600" s="105">
        <v>598.0</v>
      </c>
      <c r="B600" s="106" t="s">
        <v>1782</v>
      </c>
      <c r="C600" s="106" t="s">
        <v>1751</v>
      </c>
      <c r="D600" s="105">
        <v>0.0</v>
      </c>
      <c r="E600" s="105">
        <v>0.0</v>
      </c>
      <c r="F600" s="105">
        <v>0.0</v>
      </c>
      <c r="G600" s="105">
        <v>8.0</v>
      </c>
      <c r="H600" s="105">
        <v>0.0</v>
      </c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>
      <c r="A601" s="103">
        <v>599.0</v>
      </c>
      <c r="B601" s="104" t="s">
        <v>1783</v>
      </c>
      <c r="C601" s="104" t="s">
        <v>1751</v>
      </c>
      <c r="D601" s="103">
        <v>2.0</v>
      </c>
      <c r="E601" s="103">
        <v>0.0</v>
      </c>
      <c r="F601" s="103">
        <v>0.0</v>
      </c>
      <c r="G601" s="103">
        <v>6.0</v>
      </c>
      <c r="H601" s="103">
        <v>0.0</v>
      </c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>
      <c r="A602" s="105">
        <v>600.0</v>
      </c>
      <c r="B602" s="106" t="s">
        <v>1784</v>
      </c>
      <c r="C602" s="106" t="s">
        <v>1751</v>
      </c>
      <c r="D602" s="105">
        <v>1.0</v>
      </c>
      <c r="E602" s="105">
        <v>0.0</v>
      </c>
      <c r="F602" s="105">
        <v>0.0</v>
      </c>
      <c r="G602" s="105">
        <v>7.0</v>
      </c>
      <c r="H602" s="105">
        <v>0.0</v>
      </c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>
      <c r="A603" s="103">
        <v>601.0</v>
      </c>
      <c r="B603" s="104" t="s">
        <v>1785</v>
      </c>
      <c r="C603" s="104" t="s">
        <v>1751</v>
      </c>
      <c r="D603" s="103">
        <v>0.0</v>
      </c>
      <c r="E603" s="103">
        <v>0.0</v>
      </c>
      <c r="F603" s="103">
        <v>0.0</v>
      </c>
      <c r="G603" s="103">
        <v>8.0</v>
      </c>
      <c r="H603" s="103">
        <v>0.0</v>
      </c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>
      <c r="A604" s="105">
        <v>602.0</v>
      </c>
      <c r="B604" s="106" t="s">
        <v>1786</v>
      </c>
      <c r="C604" s="106" t="s">
        <v>1787</v>
      </c>
      <c r="D604" s="105">
        <v>0.0</v>
      </c>
      <c r="E604" s="105">
        <v>0.0</v>
      </c>
      <c r="F604" s="105">
        <v>0.0</v>
      </c>
      <c r="G604" s="105">
        <v>8.0</v>
      </c>
      <c r="H604" s="105">
        <v>0.0</v>
      </c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>
      <c r="A605" s="103">
        <v>603.0</v>
      </c>
      <c r="B605" s="104" t="s">
        <v>1788</v>
      </c>
      <c r="C605" s="104" t="s">
        <v>1787</v>
      </c>
      <c r="D605" s="103">
        <v>0.0</v>
      </c>
      <c r="E605" s="103">
        <v>0.0</v>
      </c>
      <c r="F605" s="103">
        <v>0.0</v>
      </c>
      <c r="G605" s="103">
        <v>8.0</v>
      </c>
      <c r="H605" s="103">
        <v>0.0</v>
      </c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>
      <c r="A606" s="105">
        <v>604.0</v>
      </c>
      <c r="B606" s="106" t="s">
        <v>1789</v>
      </c>
      <c r="C606" s="106" t="s">
        <v>1787</v>
      </c>
      <c r="D606" s="105">
        <v>0.0</v>
      </c>
      <c r="E606" s="105">
        <v>0.0</v>
      </c>
      <c r="F606" s="105">
        <v>0.0</v>
      </c>
      <c r="G606" s="105">
        <v>8.0</v>
      </c>
      <c r="H606" s="105">
        <v>0.0</v>
      </c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>
      <c r="A607" s="103">
        <v>605.0</v>
      </c>
      <c r="B607" s="104" t="s">
        <v>1790</v>
      </c>
      <c r="C607" s="104" t="s">
        <v>1787</v>
      </c>
      <c r="D607" s="103">
        <v>0.0</v>
      </c>
      <c r="E607" s="103">
        <v>0.0</v>
      </c>
      <c r="F607" s="103">
        <v>0.0</v>
      </c>
      <c r="G607" s="103">
        <v>8.0</v>
      </c>
      <c r="H607" s="103">
        <v>0.0</v>
      </c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>
      <c r="A608" s="105">
        <v>606.0</v>
      </c>
      <c r="B608" s="106" t="s">
        <v>1791</v>
      </c>
      <c r="C608" s="106" t="s">
        <v>1787</v>
      </c>
      <c r="D608" s="105">
        <v>0.0</v>
      </c>
      <c r="E608" s="105">
        <v>0.0</v>
      </c>
      <c r="F608" s="105">
        <v>0.0</v>
      </c>
      <c r="G608" s="105">
        <v>8.0</v>
      </c>
      <c r="H608" s="105">
        <v>0.0</v>
      </c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>
      <c r="A609" s="103">
        <v>607.0</v>
      </c>
      <c r="B609" s="104" t="s">
        <v>1792</v>
      </c>
      <c r="C609" s="104" t="s">
        <v>1787</v>
      </c>
      <c r="D609" s="103">
        <v>2.0</v>
      </c>
      <c r="E609" s="103">
        <v>0.0</v>
      </c>
      <c r="F609" s="103">
        <v>0.0</v>
      </c>
      <c r="G609" s="103">
        <v>6.0</v>
      </c>
      <c r="H609" s="103">
        <v>0.0</v>
      </c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>
      <c r="A610" s="105">
        <v>608.0</v>
      </c>
      <c r="B610" s="106" t="s">
        <v>1793</v>
      </c>
      <c r="C610" s="106" t="s">
        <v>1787</v>
      </c>
      <c r="D610" s="105">
        <v>2.0</v>
      </c>
      <c r="E610" s="105">
        <v>0.0</v>
      </c>
      <c r="F610" s="105">
        <v>0.0</v>
      </c>
      <c r="G610" s="105">
        <v>6.0</v>
      </c>
      <c r="H610" s="105">
        <v>0.0</v>
      </c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>
      <c r="A611" s="103">
        <v>609.0</v>
      </c>
      <c r="B611" s="104" t="s">
        <v>1794</v>
      </c>
      <c r="C611" s="104" t="s">
        <v>1787</v>
      </c>
      <c r="D611" s="103">
        <v>0.0</v>
      </c>
      <c r="E611" s="103">
        <v>0.0</v>
      </c>
      <c r="F611" s="103">
        <v>0.0</v>
      </c>
      <c r="G611" s="103">
        <v>8.0</v>
      </c>
      <c r="H611" s="103">
        <v>0.0</v>
      </c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>
      <c r="A612" s="105">
        <v>610.0</v>
      </c>
      <c r="B612" s="106" t="s">
        <v>1795</v>
      </c>
      <c r="C612" s="106" t="s">
        <v>1787</v>
      </c>
      <c r="D612" s="105">
        <v>0.0</v>
      </c>
      <c r="E612" s="105">
        <v>0.0</v>
      </c>
      <c r="F612" s="105">
        <v>0.0</v>
      </c>
      <c r="G612" s="105">
        <v>8.0</v>
      </c>
      <c r="H612" s="105">
        <v>0.0</v>
      </c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>
      <c r="A613" s="103">
        <v>611.0</v>
      </c>
      <c r="B613" s="104" t="s">
        <v>1796</v>
      </c>
      <c r="C613" s="104" t="s">
        <v>1787</v>
      </c>
      <c r="D613" s="103">
        <v>0.0</v>
      </c>
      <c r="E613" s="103">
        <v>0.0</v>
      </c>
      <c r="F613" s="103">
        <v>0.0</v>
      </c>
      <c r="G613" s="103">
        <v>8.0</v>
      </c>
      <c r="H613" s="103">
        <v>0.0</v>
      </c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>
      <c r="A614" s="105">
        <v>612.0</v>
      </c>
      <c r="B614" s="106" t="s">
        <v>1797</v>
      </c>
      <c r="C614" s="106" t="s">
        <v>1787</v>
      </c>
      <c r="D614" s="105">
        <v>1.0</v>
      </c>
      <c r="E614" s="105">
        <v>0.0</v>
      </c>
      <c r="F614" s="105">
        <v>0.0</v>
      </c>
      <c r="G614" s="105">
        <v>7.0</v>
      </c>
      <c r="H614" s="105">
        <v>0.0</v>
      </c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>
      <c r="A615" s="103">
        <v>613.0</v>
      </c>
      <c r="B615" s="104" t="s">
        <v>1798</v>
      </c>
      <c r="C615" s="104" t="s">
        <v>1787</v>
      </c>
      <c r="D615" s="103">
        <v>0.0</v>
      </c>
      <c r="E615" s="103">
        <v>0.0</v>
      </c>
      <c r="F615" s="103">
        <v>0.0</v>
      </c>
      <c r="G615" s="103">
        <v>8.0</v>
      </c>
      <c r="H615" s="103">
        <v>0.0</v>
      </c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>
      <c r="A616" s="105">
        <v>614.0</v>
      </c>
      <c r="B616" s="106" t="s">
        <v>1799</v>
      </c>
      <c r="C616" s="106" t="s">
        <v>1787</v>
      </c>
      <c r="D616" s="105">
        <v>0.0</v>
      </c>
      <c r="E616" s="105">
        <v>0.0</v>
      </c>
      <c r="F616" s="105">
        <v>0.0</v>
      </c>
      <c r="G616" s="105">
        <v>8.0</v>
      </c>
      <c r="H616" s="105">
        <v>0.0</v>
      </c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>
      <c r="A617" s="103">
        <v>615.0</v>
      </c>
      <c r="B617" s="104" t="s">
        <v>1800</v>
      </c>
      <c r="C617" s="104" t="s">
        <v>1787</v>
      </c>
      <c r="D617" s="103">
        <v>0.0</v>
      </c>
      <c r="E617" s="103">
        <v>0.0</v>
      </c>
      <c r="F617" s="103">
        <v>0.0</v>
      </c>
      <c r="G617" s="103">
        <v>8.0</v>
      </c>
      <c r="H617" s="103">
        <v>0.0</v>
      </c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>
      <c r="A618" s="105">
        <v>616.0</v>
      </c>
      <c r="B618" s="106" t="s">
        <v>1801</v>
      </c>
      <c r="C618" s="106" t="s">
        <v>1787</v>
      </c>
      <c r="D618" s="105">
        <v>0.0</v>
      </c>
      <c r="E618" s="105">
        <v>0.0</v>
      </c>
      <c r="F618" s="105">
        <v>0.0</v>
      </c>
      <c r="G618" s="105">
        <v>8.0</v>
      </c>
      <c r="H618" s="105">
        <v>0.0</v>
      </c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>
      <c r="A619" s="103">
        <v>617.0</v>
      </c>
      <c r="B619" s="104" t="s">
        <v>1802</v>
      </c>
      <c r="C619" s="104" t="s">
        <v>1787</v>
      </c>
      <c r="D619" s="103">
        <v>0.0</v>
      </c>
      <c r="E619" s="103">
        <v>0.0</v>
      </c>
      <c r="F619" s="103">
        <v>0.0</v>
      </c>
      <c r="G619" s="103">
        <v>8.0</v>
      </c>
      <c r="H619" s="103">
        <v>0.0</v>
      </c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>
      <c r="A620" s="105">
        <v>618.0</v>
      </c>
      <c r="B620" s="106" t="s">
        <v>1803</v>
      </c>
      <c r="C620" s="106" t="s">
        <v>1787</v>
      </c>
      <c r="D620" s="105">
        <v>0.0</v>
      </c>
      <c r="E620" s="105">
        <v>0.0</v>
      </c>
      <c r="F620" s="105">
        <v>0.0</v>
      </c>
      <c r="G620" s="105">
        <v>8.0</v>
      </c>
      <c r="H620" s="105">
        <v>0.0</v>
      </c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>
      <c r="A621" s="103">
        <v>619.0</v>
      </c>
      <c r="B621" s="104" t="s">
        <v>1804</v>
      </c>
      <c r="C621" s="104" t="s">
        <v>1787</v>
      </c>
      <c r="D621" s="103">
        <v>0.0</v>
      </c>
      <c r="E621" s="103">
        <v>0.0</v>
      </c>
      <c r="F621" s="103">
        <v>0.0</v>
      </c>
      <c r="G621" s="103">
        <v>8.0</v>
      </c>
      <c r="H621" s="103">
        <v>0.0</v>
      </c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>
      <c r="A622" s="105">
        <v>620.0</v>
      </c>
      <c r="B622" s="106" t="s">
        <v>1805</v>
      </c>
      <c r="C622" s="106" t="s">
        <v>1787</v>
      </c>
      <c r="D622" s="105">
        <v>1.0</v>
      </c>
      <c r="E622" s="105">
        <v>0.0</v>
      </c>
      <c r="F622" s="105">
        <v>0.0</v>
      </c>
      <c r="G622" s="105">
        <v>7.0</v>
      </c>
      <c r="H622" s="105">
        <v>0.0</v>
      </c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>
      <c r="A623" s="103">
        <v>621.0</v>
      </c>
      <c r="B623" s="104" t="s">
        <v>1806</v>
      </c>
      <c r="C623" s="104" t="s">
        <v>1787</v>
      </c>
      <c r="D623" s="103">
        <v>0.0</v>
      </c>
      <c r="E623" s="103">
        <v>0.0</v>
      </c>
      <c r="F623" s="103">
        <v>0.0</v>
      </c>
      <c r="G623" s="103">
        <v>8.0</v>
      </c>
      <c r="H623" s="103">
        <v>0.0</v>
      </c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>
      <c r="A624" s="105">
        <v>622.0</v>
      </c>
      <c r="B624" s="106" t="s">
        <v>1807</v>
      </c>
      <c r="C624" s="106" t="s">
        <v>1787</v>
      </c>
      <c r="D624" s="105">
        <v>1.0</v>
      </c>
      <c r="E624" s="105">
        <v>0.0</v>
      </c>
      <c r="F624" s="105">
        <v>0.0</v>
      </c>
      <c r="G624" s="105">
        <v>7.0</v>
      </c>
      <c r="H624" s="105">
        <v>0.0</v>
      </c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>
      <c r="A625" s="103">
        <v>623.0</v>
      </c>
      <c r="B625" s="104" t="s">
        <v>1808</v>
      </c>
      <c r="C625" s="104" t="s">
        <v>1787</v>
      </c>
      <c r="D625" s="103">
        <v>0.0</v>
      </c>
      <c r="E625" s="103">
        <v>0.0</v>
      </c>
      <c r="F625" s="103">
        <v>0.0</v>
      </c>
      <c r="G625" s="103">
        <v>8.0</v>
      </c>
      <c r="H625" s="103">
        <v>0.0</v>
      </c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>
      <c r="A626" s="105">
        <v>624.0</v>
      </c>
      <c r="B626" s="106" t="s">
        <v>1809</v>
      </c>
      <c r="C626" s="106" t="s">
        <v>1787</v>
      </c>
      <c r="D626" s="105">
        <v>1.0</v>
      </c>
      <c r="E626" s="105">
        <v>0.0</v>
      </c>
      <c r="F626" s="105">
        <v>0.0</v>
      </c>
      <c r="G626" s="105">
        <v>7.0</v>
      </c>
      <c r="H626" s="105">
        <v>0.0</v>
      </c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>
      <c r="A627" s="103">
        <v>625.0</v>
      </c>
      <c r="B627" s="104" t="s">
        <v>1810</v>
      </c>
      <c r="C627" s="104" t="s">
        <v>1787</v>
      </c>
      <c r="D627" s="103">
        <v>2.0</v>
      </c>
      <c r="E627" s="103">
        <v>0.0</v>
      </c>
      <c r="F627" s="103">
        <v>0.0</v>
      </c>
      <c r="G627" s="103">
        <v>6.0</v>
      </c>
      <c r="H627" s="103">
        <v>0.0</v>
      </c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>
      <c r="A628" s="105">
        <v>626.0</v>
      </c>
      <c r="B628" s="106" t="s">
        <v>1811</v>
      </c>
      <c r="C628" s="106" t="s">
        <v>1787</v>
      </c>
      <c r="D628" s="105">
        <v>0.0</v>
      </c>
      <c r="E628" s="105">
        <v>0.0</v>
      </c>
      <c r="F628" s="105">
        <v>0.0</v>
      </c>
      <c r="G628" s="105">
        <v>8.0</v>
      </c>
      <c r="H628" s="105">
        <v>0.0</v>
      </c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>
      <c r="A629" s="103">
        <v>627.0</v>
      </c>
      <c r="B629" s="104" t="s">
        <v>1812</v>
      </c>
      <c r="C629" s="104" t="s">
        <v>1787</v>
      </c>
      <c r="D629" s="103">
        <v>0.0</v>
      </c>
      <c r="E629" s="103">
        <v>0.0</v>
      </c>
      <c r="F629" s="103">
        <v>0.0</v>
      </c>
      <c r="G629" s="103">
        <v>8.0</v>
      </c>
      <c r="H629" s="103">
        <v>0.0</v>
      </c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>
      <c r="A630" s="105">
        <v>628.0</v>
      </c>
      <c r="B630" s="106" t="s">
        <v>1813</v>
      </c>
      <c r="C630" s="106" t="s">
        <v>1787</v>
      </c>
      <c r="D630" s="105">
        <v>1.0</v>
      </c>
      <c r="E630" s="105">
        <v>0.0</v>
      </c>
      <c r="F630" s="105">
        <v>0.0</v>
      </c>
      <c r="G630" s="105">
        <v>7.0</v>
      </c>
      <c r="H630" s="105">
        <v>0.0</v>
      </c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>
      <c r="A631" s="103">
        <v>629.0</v>
      </c>
      <c r="B631" s="104" t="s">
        <v>1814</v>
      </c>
      <c r="C631" s="104" t="s">
        <v>1787</v>
      </c>
      <c r="D631" s="103">
        <v>0.0</v>
      </c>
      <c r="E631" s="103">
        <v>0.0</v>
      </c>
      <c r="F631" s="103">
        <v>0.0</v>
      </c>
      <c r="G631" s="103">
        <v>8.0</v>
      </c>
      <c r="H631" s="103">
        <v>0.0</v>
      </c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>
      <c r="A632" s="105">
        <v>630.0</v>
      </c>
      <c r="B632" s="106" t="s">
        <v>1815</v>
      </c>
      <c r="C632" s="106" t="s">
        <v>1787</v>
      </c>
      <c r="D632" s="105">
        <v>3.0</v>
      </c>
      <c r="E632" s="105">
        <v>0.0</v>
      </c>
      <c r="F632" s="105">
        <v>0.0</v>
      </c>
      <c r="G632" s="105">
        <v>5.0</v>
      </c>
      <c r="H632" s="105">
        <v>0.0</v>
      </c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>
      <c r="A633" s="103">
        <v>631.0</v>
      </c>
      <c r="B633" s="104" t="s">
        <v>1816</v>
      </c>
      <c r="C633" s="104" t="s">
        <v>1787</v>
      </c>
      <c r="D633" s="103">
        <v>0.0</v>
      </c>
      <c r="E633" s="103">
        <v>0.0</v>
      </c>
      <c r="F633" s="103">
        <v>0.0</v>
      </c>
      <c r="G633" s="103">
        <v>8.0</v>
      </c>
      <c r="H633" s="103">
        <v>0.0</v>
      </c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>
      <c r="A634" s="105">
        <v>632.0</v>
      </c>
      <c r="B634" s="106" t="s">
        <v>1817</v>
      </c>
      <c r="C634" s="106" t="s">
        <v>1787</v>
      </c>
      <c r="D634" s="105">
        <v>0.0</v>
      </c>
      <c r="E634" s="105">
        <v>0.0</v>
      </c>
      <c r="F634" s="105">
        <v>0.0</v>
      </c>
      <c r="G634" s="105">
        <v>8.0</v>
      </c>
      <c r="H634" s="105">
        <v>0.0</v>
      </c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>
      <c r="A635" s="103">
        <v>633.0</v>
      </c>
      <c r="B635" s="104" t="s">
        <v>1818</v>
      </c>
      <c r="C635" s="104" t="s">
        <v>1787</v>
      </c>
      <c r="D635" s="103">
        <v>0.0</v>
      </c>
      <c r="E635" s="103">
        <v>0.0</v>
      </c>
      <c r="F635" s="103">
        <v>0.0</v>
      </c>
      <c r="G635" s="103">
        <v>8.0</v>
      </c>
      <c r="H635" s="103">
        <v>0.0</v>
      </c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>
      <c r="A636" s="105">
        <v>634.0</v>
      </c>
      <c r="B636" s="106" t="s">
        <v>1819</v>
      </c>
      <c r="C636" s="106" t="s">
        <v>1787</v>
      </c>
      <c r="D636" s="105">
        <v>0.0</v>
      </c>
      <c r="E636" s="105">
        <v>0.0</v>
      </c>
      <c r="F636" s="105">
        <v>0.0</v>
      </c>
      <c r="G636" s="105">
        <v>8.0</v>
      </c>
      <c r="H636" s="105">
        <v>0.0</v>
      </c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>
      <c r="A637" s="103">
        <v>635.0</v>
      </c>
      <c r="B637" s="104" t="s">
        <v>1820</v>
      </c>
      <c r="C637" s="104" t="s">
        <v>1787</v>
      </c>
      <c r="D637" s="103">
        <v>2.0</v>
      </c>
      <c r="E637" s="103">
        <v>0.0</v>
      </c>
      <c r="F637" s="103">
        <v>0.0</v>
      </c>
      <c r="G637" s="103">
        <v>6.0</v>
      </c>
      <c r="H637" s="103">
        <v>0.0</v>
      </c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>
      <c r="A638" s="105">
        <v>636.0</v>
      </c>
      <c r="B638" s="106" t="s">
        <v>1821</v>
      </c>
      <c r="C638" s="106" t="s">
        <v>1787</v>
      </c>
      <c r="D638" s="105">
        <v>0.0</v>
      </c>
      <c r="E638" s="105">
        <v>0.0</v>
      </c>
      <c r="F638" s="105">
        <v>0.0</v>
      </c>
      <c r="G638" s="105">
        <v>8.0</v>
      </c>
      <c r="H638" s="105">
        <v>0.0</v>
      </c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>
      <c r="A639" s="103">
        <v>637.0</v>
      </c>
      <c r="B639" s="104" t="s">
        <v>1822</v>
      </c>
      <c r="C639" s="104" t="s">
        <v>1787</v>
      </c>
      <c r="D639" s="103">
        <v>0.0</v>
      </c>
      <c r="E639" s="103">
        <v>0.0</v>
      </c>
      <c r="F639" s="103">
        <v>0.0</v>
      </c>
      <c r="G639" s="103">
        <v>8.0</v>
      </c>
      <c r="H639" s="103">
        <v>0.0</v>
      </c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>
      <c r="A640" s="105">
        <v>638.0</v>
      </c>
      <c r="B640" s="106" t="s">
        <v>1823</v>
      </c>
      <c r="C640" s="106" t="s">
        <v>1824</v>
      </c>
      <c r="D640" s="105">
        <v>0.0</v>
      </c>
      <c r="E640" s="105">
        <v>0.0</v>
      </c>
      <c r="F640" s="105">
        <v>0.0</v>
      </c>
      <c r="G640" s="105">
        <v>8.0</v>
      </c>
      <c r="H640" s="105">
        <v>0.0</v>
      </c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>
      <c r="A641" s="103">
        <v>639.0</v>
      </c>
      <c r="B641" s="104" t="s">
        <v>1825</v>
      </c>
      <c r="C641" s="104" t="s">
        <v>1824</v>
      </c>
      <c r="D641" s="103">
        <v>1.0</v>
      </c>
      <c r="E641" s="103">
        <v>0.0</v>
      </c>
      <c r="F641" s="103">
        <v>0.0</v>
      </c>
      <c r="G641" s="103">
        <v>7.0</v>
      </c>
      <c r="H641" s="103">
        <v>0.0</v>
      </c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>
      <c r="A642" s="105">
        <v>640.0</v>
      </c>
      <c r="B642" s="106" t="s">
        <v>1826</v>
      </c>
      <c r="C642" s="106" t="s">
        <v>1824</v>
      </c>
      <c r="D642" s="105">
        <v>0.0</v>
      </c>
      <c r="E642" s="105">
        <v>0.0</v>
      </c>
      <c r="F642" s="105">
        <v>0.0</v>
      </c>
      <c r="G642" s="105">
        <v>8.0</v>
      </c>
      <c r="H642" s="105">
        <v>0.0</v>
      </c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>
      <c r="A643" s="103">
        <v>641.0</v>
      </c>
      <c r="B643" s="104" t="s">
        <v>1827</v>
      </c>
      <c r="C643" s="104" t="s">
        <v>1824</v>
      </c>
      <c r="D643" s="103">
        <v>0.0</v>
      </c>
      <c r="E643" s="103">
        <v>0.0</v>
      </c>
      <c r="F643" s="103">
        <v>0.0</v>
      </c>
      <c r="G643" s="103">
        <v>8.0</v>
      </c>
      <c r="H643" s="103">
        <v>0.0</v>
      </c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>
      <c r="A644" s="105">
        <v>642.0</v>
      </c>
      <c r="B644" s="106" t="s">
        <v>1828</v>
      </c>
      <c r="C644" s="106" t="s">
        <v>1824</v>
      </c>
      <c r="D644" s="105">
        <v>0.0</v>
      </c>
      <c r="E644" s="105">
        <v>0.0</v>
      </c>
      <c r="F644" s="105">
        <v>0.0</v>
      </c>
      <c r="G644" s="105">
        <v>8.0</v>
      </c>
      <c r="H644" s="105">
        <v>0.0</v>
      </c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>
      <c r="A645" s="103">
        <v>643.0</v>
      </c>
      <c r="B645" s="104" t="s">
        <v>1829</v>
      </c>
      <c r="C645" s="104" t="s">
        <v>1824</v>
      </c>
      <c r="D645" s="103">
        <v>0.0</v>
      </c>
      <c r="E645" s="103">
        <v>0.0</v>
      </c>
      <c r="F645" s="103">
        <v>0.0</v>
      </c>
      <c r="G645" s="103">
        <v>8.0</v>
      </c>
      <c r="H645" s="103">
        <v>0.0</v>
      </c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>
      <c r="A646" s="105">
        <v>644.0</v>
      </c>
      <c r="B646" s="106" t="s">
        <v>1830</v>
      </c>
      <c r="C646" s="106" t="s">
        <v>1824</v>
      </c>
      <c r="D646" s="105">
        <v>0.0</v>
      </c>
      <c r="E646" s="105">
        <v>0.0</v>
      </c>
      <c r="F646" s="105">
        <v>0.0</v>
      </c>
      <c r="G646" s="105">
        <v>8.0</v>
      </c>
      <c r="H646" s="105">
        <v>0.0</v>
      </c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>
      <c r="A647" s="103">
        <v>645.0</v>
      </c>
      <c r="B647" s="104" t="s">
        <v>1831</v>
      </c>
      <c r="C647" s="104" t="s">
        <v>1824</v>
      </c>
      <c r="D647" s="103">
        <v>0.0</v>
      </c>
      <c r="E647" s="103">
        <v>0.0</v>
      </c>
      <c r="F647" s="103">
        <v>0.0</v>
      </c>
      <c r="G647" s="103">
        <v>8.0</v>
      </c>
      <c r="H647" s="103">
        <v>0.0</v>
      </c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>
      <c r="A648" s="105">
        <v>646.0</v>
      </c>
      <c r="B648" s="106" t="s">
        <v>1832</v>
      </c>
      <c r="C648" s="106" t="s">
        <v>1824</v>
      </c>
      <c r="D648" s="105">
        <v>0.0</v>
      </c>
      <c r="E648" s="105">
        <v>0.0</v>
      </c>
      <c r="F648" s="105">
        <v>0.0</v>
      </c>
      <c r="G648" s="105">
        <v>8.0</v>
      </c>
      <c r="H648" s="105">
        <v>0.0</v>
      </c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>
      <c r="A649" s="103">
        <v>647.0</v>
      </c>
      <c r="B649" s="104" t="s">
        <v>1833</v>
      </c>
      <c r="C649" s="104" t="s">
        <v>1824</v>
      </c>
      <c r="D649" s="103">
        <v>2.0</v>
      </c>
      <c r="E649" s="103">
        <v>0.0</v>
      </c>
      <c r="F649" s="103">
        <v>0.0</v>
      </c>
      <c r="G649" s="103">
        <v>6.0</v>
      </c>
      <c r="H649" s="103">
        <v>0.0</v>
      </c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>
      <c r="A650" s="105">
        <v>648.0</v>
      </c>
      <c r="B650" s="106" t="s">
        <v>1834</v>
      </c>
      <c r="C650" s="106" t="s">
        <v>1824</v>
      </c>
      <c r="D650" s="105">
        <v>0.0</v>
      </c>
      <c r="E650" s="105">
        <v>0.0</v>
      </c>
      <c r="F650" s="105">
        <v>0.0</v>
      </c>
      <c r="G650" s="105">
        <v>8.0</v>
      </c>
      <c r="H650" s="105">
        <v>0.0</v>
      </c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>
      <c r="A651" s="103">
        <v>649.0</v>
      </c>
      <c r="B651" s="104" t="s">
        <v>1835</v>
      </c>
      <c r="C651" s="104" t="s">
        <v>1824</v>
      </c>
      <c r="D651" s="103">
        <v>0.0</v>
      </c>
      <c r="E651" s="103">
        <v>0.0</v>
      </c>
      <c r="F651" s="103">
        <v>0.0</v>
      </c>
      <c r="G651" s="103">
        <v>8.0</v>
      </c>
      <c r="H651" s="103">
        <v>0.0</v>
      </c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>
      <c r="A652" s="105">
        <v>650.0</v>
      </c>
      <c r="B652" s="106" t="s">
        <v>1836</v>
      </c>
      <c r="C652" s="106" t="s">
        <v>1824</v>
      </c>
      <c r="D652" s="105">
        <v>0.0</v>
      </c>
      <c r="E652" s="105">
        <v>0.0</v>
      </c>
      <c r="F652" s="105">
        <v>0.0</v>
      </c>
      <c r="G652" s="105">
        <v>8.0</v>
      </c>
      <c r="H652" s="105">
        <v>0.0</v>
      </c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>
      <c r="A653" s="103">
        <v>651.0</v>
      </c>
      <c r="B653" s="104" t="s">
        <v>1837</v>
      </c>
      <c r="C653" s="104" t="s">
        <v>1824</v>
      </c>
      <c r="D653" s="103">
        <v>0.0</v>
      </c>
      <c r="E653" s="103">
        <v>0.0</v>
      </c>
      <c r="F653" s="103">
        <v>0.0</v>
      </c>
      <c r="G653" s="103">
        <v>8.0</v>
      </c>
      <c r="H653" s="103">
        <v>0.0</v>
      </c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>
      <c r="A654" s="105">
        <v>652.0</v>
      </c>
      <c r="B654" s="106" t="s">
        <v>1838</v>
      </c>
      <c r="C654" s="106" t="s">
        <v>1824</v>
      </c>
      <c r="D654" s="105">
        <v>0.0</v>
      </c>
      <c r="E654" s="105">
        <v>0.0</v>
      </c>
      <c r="F654" s="105">
        <v>0.0</v>
      </c>
      <c r="G654" s="105">
        <v>8.0</v>
      </c>
      <c r="H654" s="105">
        <v>0.0</v>
      </c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>
      <c r="A655" s="103">
        <v>653.0</v>
      </c>
      <c r="B655" s="104" t="s">
        <v>1839</v>
      </c>
      <c r="C655" s="104" t="s">
        <v>1824</v>
      </c>
      <c r="D655" s="103">
        <v>0.0</v>
      </c>
      <c r="E655" s="103">
        <v>0.0</v>
      </c>
      <c r="F655" s="103">
        <v>0.0</v>
      </c>
      <c r="G655" s="103">
        <v>8.0</v>
      </c>
      <c r="H655" s="103">
        <v>0.0</v>
      </c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>
      <c r="A656" s="105">
        <v>654.0</v>
      </c>
      <c r="B656" s="106" t="s">
        <v>1840</v>
      </c>
      <c r="C656" s="106" t="s">
        <v>1824</v>
      </c>
      <c r="D656" s="105">
        <v>3.0</v>
      </c>
      <c r="E656" s="105">
        <v>0.0</v>
      </c>
      <c r="F656" s="105">
        <v>0.0</v>
      </c>
      <c r="G656" s="105">
        <v>5.0</v>
      </c>
      <c r="H656" s="105">
        <v>0.0</v>
      </c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>
      <c r="A657" s="103">
        <v>655.0</v>
      </c>
      <c r="B657" s="104" t="s">
        <v>1841</v>
      </c>
      <c r="C657" s="104" t="s">
        <v>1824</v>
      </c>
      <c r="D657" s="103">
        <v>0.0</v>
      </c>
      <c r="E657" s="103">
        <v>0.0</v>
      </c>
      <c r="F657" s="103">
        <v>0.0</v>
      </c>
      <c r="G657" s="103">
        <v>8.0</v>
      </c>
      <c r="H657" s="103">
        <v>0.0</v>
      </c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>
      <c r="A658" s="105">
        <v>656.0</v>
      </c>
      <c r="B658" s="106" t="s">
        <v>1842</v>
      </c>
      <c r="C658" s="106" t="s">
        <v>1824</v>
      </c>
      <c r="D658" s="105">
        <v>0.0</v>
      </c>
      <c r="E658" s="105">
        <v>0.0</v>
      </c>
      <c r="F658" s="105">
        <v>0.0</v>
      </c>
      <c r="G658" s="105">
        <v>8.0</v>
      </c>
      <c r="H658" s="105">
        <v>0.0</v>
      </c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>
      <c r="A659" s="103">
        <v>657.0</v>
      </c>
      <c r="B659" s="104" t="s">
        <v>1843</v>
      </c>
      <c r="C659" s="104" t="s">
        <v>1824</v>
      </c>
      <c r="D659" s="103">
        <v>0.0</v>
      </c>
      <c r="E659" s="103">
        <v>0.0</v>
      </c>
      <c r="F659" s="103">
        <v>0.0</v>
      </c>
      <c r="G659" s="103">
        <v>8.0</v>
      </c>
      <c r="H659" s="103">
        <v>0.0</v>
      </c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>
      <c r="A660" s="105">
        <v>658.0</v>
      </c>
      <c r="B660" s="106" t="s">
        <v>1844</v>
      </c>
      <c r="C660" s="106" t="s">
        <v>1824</v>
      </c>
      <c r="D660" s="105">
        <v>0.0</v>
      </c>
      <c r="E660" s="105">
        <v>0.0</v>
      </c>
      <c r="F660" s="105">
        <v>0.0</v>
      </c>
      <c r="G660" s="105">
        <v>8.0</v>
      </c>
      <c r="H660" s="105">
        <v>0.0</v>
      </c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>
      <c r="A661" s="103">
        <v>659.0</v>
      </c>
      <c r="B661" s="104" t="s">
        <v>1845</v>
      </c>
      <c r="C661" s="104" t="s">
        <v>1824</v>
      </c>
      <c r="D661" s="103">
        <v>0.0</v>
      </c>
      <c r="E661" s="103">
        <v>0.0</v>
      </c>
      <c r="F661" s="103">
        <v>0.0</v>
      </c>
      <c r="G661" s="103">
        <v>8.0</v>
      </c>
      <c r="H661" s="103">
        <v>0.0</v>
      </c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>
      <c r="A662" s="105">
        <v>660.0</v>
      </c>
      <c r="B662" s="106" t="s">
        <v>1846</v>
      </c>
      <c r="C662" s="106" t="s">
        <v>1824</v>
      </c>
      <c r="D662" s="105">
        <v>3.0</v>
      </c>
      <c r="E662" s="105">
        <v>0.0</v>
      </c>
      <c r="F662" s="105">
        <v>0.0</v>
      </c>
      <c r="G662" s="105">
        <v>5.0</v>
      </c>
      <c r="H662" s="105">
        <v>0.0</v>
      </c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>
      <c r="A663" s="103">
        <v>661.0</v>
      </c>
      <c r="B663" s="104" t="s">
        <v>1847</v>
      </c>
      <c r="C663" s="104" t="s">
        <v>1824</v>
      </c>
      <c r="D663" s="103">
        <v>0.0</v>
      </c>
      <c r="E663" s="103">
        <v>0.0</v>
      </c>
      <c r="F663" s="103">
        <v>0.0</v>
      </c>
      <c r="G663" s="103">
        <v>8.0</v>
      </c>
      <c r="H663" s="103">
        <v>0.0</v>
      </c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>
      <c r="A664" s="105">
        <v>662.0</v>
      </c>
      <c r="B664" s="106" t="s">
        <v>1848</v>
      </c>
      <c r="C664" s="106" t="s">
        <v>1824</v>
      </c>
      <c r="D664" s="105">
        <v>0.0</v>
      </c>
      <c r="E664" s="105">
        <v>0.0</v>
      </c>
      <c r="F664" s="105">
        <v>0.0</v>
      </c>
      <c r="G664" s="105">
        <v>8.0</v>
      </c>
      <c r="H664" s="105">
        <v>0.0</v>
      </c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>
      <c r="A665" s="103">
        <v>663.0</v>
      </c>
      <c r="B665" s="104" t="s">
        <v>1849</v>
      </c>
      <c r="C665" s="104" t="s">
        <v>1824</v>
      </c>
      <c r="D665" s="103">
        <v>0.0</v>
      </c>
      <c r="E665" s="103">
        <v>0.0</v>
      </c>
      <c r="F665" s="103">
        <v>0.0</v>
      </c>
      <c r="G665" s="103">
        <v>8.0</v>
      </c>
      <c r="H665" s="103">
        <v>0.0</v>
      </c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>
      <c r="A666" s="105">
        <v>664.0</v>
      </c>
      <c r="B666" s="106" t="s">
        <v>1850</v>
      </c>
      <c r="C666" s="106" t="s">
        <v>1824</v>
      </c>
      <c r="D666" s="105">
        <v>0.0</v>
      </c>
      <c r="E666" s="105">
        <v>0.0</v>
      </c>
      <c r="F666" s="105">
        <v>0.0</v>
      </c>
      <c r="G666" s="105">
        <v>8.0</v>
      </c>
      <c r="H666" s="105">
        <v>0.0</v>
      </c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>
      <c r="A667" s="103">
        <v>665.0</v>
      </c>
      <c r="B667" s="104" t="s">
        <v>1851</v>
      </c>
      <c r="C667" s="104" t="s">
        <v>1824</v>
      </c>
      <c r="D667" s="103">
        <v>0.0</v>
      </c>
      <c r="E667" s="103">
        <v>0.0</v>
      </c>
      <c r="F667" s="103">
        <v>0.0</v>
      </c>
      <c r="G667" s="103">
        <v>8.0</v>
      </c>
      <c r="H667" s="103">
        <v>0.0</v>
      </c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>
      <c r="A668" s="105">
        <v>666.0</v>
      </c>
      <c r="B668" s="106" t="s">
        <v>1852</v>
      </c>
      <c r="C668" s="106" t="s">
        <v>1824</v>
      </c>
      <c r="D668" s="105">
        <v>2.0</v>
      </c>
      <c r="E668" s="105">
        <v>0.0</v>
      </c>
      <c r="F668" s="105">
        <v>0.0</v>
      </c>
      <c r="G668" s="105">
        <v>6.0</v>
      </c>
      <c r="H668" s="105">
        <v>0.0</v>
      </c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>
      <c r="A669" s="103">
        <v>667.0</v>
      </c>
      <c r="B669" s="104" t="s">
        <v>1853</v>
      </c>
      <c r="C669" s="104" t="s">
        <v>1824</v>
      </c>
      <c r="D669" s="103">
        <v>0.0</v>
      </c>
      <c r="E669" s="103">
        <v>0.0</v>
      </c>
      <c r="F669" s="103">
        <v>0.0</v>
      </c>
      <c r="G669" s="103">
        <v>8.0</v>
      </c>
      <c r="H669" s="103">
        <v>0.0</v>
      </c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>
      <c r="A670" s="105">
        <v>668.0</v>
      </c>
      <c r="B670" s="106" t="s">
        <v>1854</v>
      </c>
      <c r="C670" s="106" t="s">
        <v>1824</v>
      </c>
      <c r="D670" s="105">
        <v>0.0</v>
      </c>
      <c r="E670" s="105">
        <v>0.0</v>
      </c>
      <c r="F670" s="105">
        <v>0.0</v>
      </c>
      <c r="G670" s="105">
        <v>8.0</v>
      </c>
      <c r="H670" s="105">
        <v>0.0</v>
      </c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>
      <c r="A671" s="103">
        <v>669.0</v>
      </c>
      <c r="B671" s="104" t="s">
        <v>1855</v>
      </c>
      <c r="C671" s="104" t="s">
        <v>1824</v>
      </c>
      <c r="D671" s="103">
        <v>0.0</v>
      </c>
      <c r="E671" s="103">
        <v>0.0</v>
      </c>
      <c r="F671" s="103">
        <v>0.0</v>
      </c>
      <c r="G671" s="103">
        <v>8.0</v>
      </c>
      <c r="H671" s="103">
        <v>0.0</v>
      </c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>
      <c r="A672" s="105">
        <v>670.0</v>
      </c>
      <c r="B672" s="106" t="s">
        <v>1856</v>
      </c>
      <c r="C672" s="106" t="s">
        <v>1824</v>
      </c>
      <c r="D672" s="105">
        <v>0.0</v>
      </c>
      <c r="E672" s="105">
        <v>0.0</v>
      </c>
      <c r="F672" s="105">
        <v>0.0</v>
      </c>
      <c r="G672" s="105">
        <v>8.0</v>
      </c>
      <c r="H672" s="105">
        <v>0.0</v>
      </c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>
      <c r="A673" s="103">
        <v>671.0</v>
      </c>
      <c r="B673" s="104" t="s">
        <v>1857</v>
      </c>
      <c r="C673" s="104" t="s">
        <v>1824</v>
      </c>
      <c r="D673" s="103">
        <v>0.0</v>
      </c>
      <c r="E673" s="103">
        <v>0.0</v>
      </c>
      <c r="F673" s="103">
        <v>0.0</v>
      </c>
      <c r="G673" s="103">
        <v>8.0</v>
      </c>
      <c r="H673" s="103">
        <v>0.0</v>
      </c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>
      <c r="A674" s="105">
        <v>672.0</v>
      </c>
      <c r="B674" s="106" t="s">
        <v>1858</v>
      </c>
      <c r="C674" s="106" t="s">
        <v>1824</v>
      </c>
      <c r="D674" s="105">
        <v>0.0</v>
      </c>
      <c r="E674" s="105">
        <v>0.0</v>
      </c>
      <c r="F674" s="105">
        <v>0.0</v>
      </c>
      <c r="G674" s="105">
        <v>8.0</v>
      </c>
      <c r="H674" s="105">
        <v>0.0</v>
      </c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>
      <c r="A675" s="103">
        <v>673.0</v>
      </c>
      <c r="B675" s="104" t="s">
        <v>1859</v>
      </c>
      <c r="C675" s="104" t="s">
        <v>1824</v>
      </c>
      <c r="D675" s="103">
        <v>2.0</v>
      </c>
      <c r="E675" s="103">
        <v>0.0</v>
      </c>
      <c r="F675" s="103">
        <v>0.0</v>
      </c>
      <c r="G675" s="103">
        <v>6.0</v>
      </c>
      <c r="H675" s="103">
        <v>0.0</v>
      </c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>
      <c r="A676" s="105">
        <v>674.0</v>
      </c>
      <c r="B676" s="106" t="s">
        <v>1860</v>
      </c>
      <c r="C676" s="106" t="s">
        <v>1861</v>
      </c>
      <c r="D676" s="105">
        <v>0.0</v>
      </c>
      <c r="E676" s="105">
        <v>0.0</v>
      </c>
      <c r="F676" s="105">
        <v>0.0</v>
      </c>
      <c r="G676" s="105">
        <v>8.0</v>
      </c>
      <c r="H676" s="105">
        <v>0.0</v>
      </c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>
      <c r="A677" s="103">
        <v>675.0</v>
      </c>
      <c r="B677" s="104" t="s">
        <v>1862</v>
      </c>
      <c r="C677" s="104" t="s">
        <v>1861</v>
      </c>
      <c r="D677" s="103">
        <v>0.0</v>
      </c>
      <c r="E677" s="103">
        <v>0.0</v>
      </c>
      <c r="F677" s="103">
        <v>0.0</v>
      </c>
      <c r="G677" s="103">
        <v>8.0</v>
      </c>
      <c r="H677" s="103">
        <v>0.0</v>
      </c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>
      <c r="A678" s="105">
        <v>676.0</v>
      </c>
      <c r="B678" s="106" t="s">
        <v>1863</v>
      </c>
      <c r="C678" s="106" t="s">
        <v>1861</v>
      </c>
      <c r="D678" s="105">
        <v>0.0</v>
      </c>
      <c r="E678" s="105">
        <v>0.0</v>
      </c>
      <c r="F678" s="105">
        <v>0.0</v>
      </c>
      <c r="G678" s="105">
        <v>8.0</v>
      </c>
      <c r="H678" s="105">
        <v>0.0</v>
      </c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>
      <c r="A679" s="103">
        <v>677.0</v>
      </c>
      <c r="B679" s="104" t="s">
        <v>1864</v>
      </c>
      <c r="C679" s="104" t="s">
        <v>1861</v>
      </c>
      <c r="D679" s="103">
        <v>1.0</v>
      </c>
      <c r="E679" s="103">
        <v>0.0</v>
      </c>
      <c r="F679" s="103">
        <v>0.0</v>
      </c>
      <c r="G679" s="103">
        <v>7.0</v>
      </c>
      <c r="H679" s="103">
        <v>0.0</v>
      </c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>
      <c r="A680" s="105">
        <v>678.0</v>
      </c>
      <c r="B680" s="106" t="s">
        <v>1865</v>
      </c>
      <c r="C680" s="106" t="s">
        <v>1861</v>
      </c>
      <c r="D680" s="105">
        <v>0.0</v>
      </c>
      <c r="E680" s="105">
        <v>0.0</v>
      </c>
      <c r="F680" s="105">
        <v>0.0</v>
      </c>
      <c r="G680" s="105">
        <v>8.0</v>
      </c>
      <c r="H680" s="105">
        <v>0.0</v>
      </c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>
      <c r="A681" s="103">
        <v>679.0</v>
      </c>
      <c r="B681" s="104" t="s">
        <v>1866</v>
      </c>
      <c r="C681" s="104" t="s">
        <v>1861</v>
      </c>
      <c r="D681" s="103">
        <v>0.0</v>
      </c>
      <c r="E681" s="103">
        <v>0.0</v>
      </c>
      <c r="F681" s="103">
        <v>0.0</v>
      </c>
      <c r="G681" s="103">
        <v>8.0</v>
      </c>
      <c r="H681" s="103">
        <v>0.0</v>
      </c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>
      <c r="A682" s="105">
        <v>680.0</v>
      </c>
      <c r="B682" s="106" t="s">
        <v>1867</v>
      </c>
      <c r="C682" s="106" t="s">
        <v>1861</v>
      </c>
      <c r="D682" s="105">
        <v>0.0</v>
      </c>
      <c r="E682" s="105">
        <v>0.0</v>
      </c>
      <c r="F682" s="105">
        <v>0.0</v>
      </c>
      <c r="G682" s="105">
        <v>8.0</v>
      </c>
      <c r="H682" s="105">
        <v>0.0</v>
      </c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>
      <c r="A683" s="103">
        <v>681.0</v>
      </c>
      <c r="B683" s="104" t="s">
        <v>1868</v>
      </c>
      <c r="C683" s="104" t="s">
        <v>1861</v>
      </c>
      <c r="D683" s="103">
        <v>0.0</v>
      </c>
      <c r="E683" s="103">
        <v>0.0</v>
      </c>
      <c r="F683" s="103">
        <v>0.0</v>
      </c>
      <c r="G683" s="103">
        <v>8.0</v>
      </c>
      <c r="H683" s="103">
        <v>0.0</v>
      </c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>
      <c r="A684" s="105">
        <v>682.0</v>
      </c>
      <c r="B684" s="106" t="s">
        <v>1869</v>
      </c>
      <c r="C684" s="106" t="s">
        <v>1861</v>
      </c>
      <c r="D684" s="105">
        <v>0.0</v>
      </c>
      <c r="E684" s="105">
        <v>0.0</v>
      </c>
      <c r="F684" s="105">
        <v>0.0</v>
      </c>
      <c r="G684" s="105">
        <v>8.0</v>
      </c>
      <c r="H684" s="105">
        <v>0.0</v>
      </c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>
      <c r="A685" s="103">
        <v>683.0</v>
      </c>
      <c r="B685" s="104" t="s">
        <v>1870</v>
      </c>
      <c r="C685" s="104" t="s">
        <v>1861</v>
      </c>
      <c r="D685" s="103">
        <v>0.0</v>
      </c>
      <c r="E685" s="103">
        <v>0.0</v>
      </c>
      <c r="F685" s="103">
        <v>0.0</v>
      </c>
      <c r="G685" s="103">
        <v>8.0</v>
      </c>
      <c r="H685" s="103">
        <v>0.0</v>
      </c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>
      <c r="A686" s="105">
        <v>684.0</v>
      </c>
      <c r="B686" s="106" t="s">
        <v>1871</v>
      </c>
      <c r="C686" s="106" t="s">
        <v>1861</v>
      </c>
      <c r="D686" s="105">
        <v>3.0</v>
      </c>
      <c r="E686" s="105">
        <v>0.0</v>
      </c>
      <c r="F686" s="105">
        <v>0.0</v>
      </c>
      <c r="G686" s="105">
        <v>5.0</v>
      </c>
      <c r="H686" s="105">
        <v>0.0</v>
      </c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>
      <c r="A687" s="103">
        <v>685.0</v>
      </c>
      <c r="B687" s="104" t="s">
        <v>1872</v>
      </c>
      <c r="C687" s="104" t="s">
        <v>1861</v>
      </c>
      <c r="D687" s="103">
        <v>0.0</v>
      </c>
      <c r="E687" s="103">
        <v>0.0</v>
      </c>
      <c r="F687" s="103">
        <v>0.0</v>
      </c>
      <c r="G687" s="103">
        <v>8.0</v>
      </c>
      <c r="H687" s="103">
        <v>0.0</v>
      </c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>
      <c r="A688" s="105">
        <v>686.0</v>
      </c>
      <c r="B688" s="106" t="s">
        <v>1873</v>
      </c>
      <c r="C688" s="106" t="s">
        <v>1861</v>
      </c>
      <c r="D688" s="105">
        <v>0.0</v>
      </c>
      <c r="E688" s="105">
        <v>0.0</v>
      </c>
      <c r="F688" s="105">
        <v>0.0</v>
      </c>
      <c r="G688" s="105">
        <v>8.0</v>
      </c>
      <c r="H688" s="105">
        <v>0.0</v>
      </c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>
      <c r="A689" s="103">
        <v>687.0</v>
      </c>
      <c r="B689" s="104" t="s">
        <v>1874</v>
      </c>
      <c r="C689" s="104" t="s">
        <v>1861</v>
      </c>
      <c r="D689" s="103">
        <v>0.0</v>
      </c>
      <c r="E689" s="103">
        <v>0.0</v>
      </c>
      <c r="F689" s="103">
        <v>0.0</v>
      </c>
      <c r="G689" s="103">
        <v>8.0</v>
      </c>
      <c r="H689" s="103">
        <v>0.0</v>
      </c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>
      <c r="A690" s="105">
        <v>688.0</v>
      </c>
      <c r="B690" s="106" t="s">
        <v>1875</v>
      </c>
      <c r="C690" s="106" t="s">
        <v>1861</v>
      </c>
      <c r="D690" s="105">
        <v>0.0</v>
      </c>
      <c r="E690" s="105">
        <v>0.0</v>
      </c>
      <c r="F690" s="105">
        <v>0.0</v>
      </c>
      <c r="G690" s="105">
        <v>8.0</v>
      </c>
      <c r="H690" s="105">
        <v>0.0</v>
      </c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>
      <c r="A691" s="103">
        <v>689.0</v>
      </c>
      <c r="B691" s="104" t="s">
        <v>1876</v>
      </c>
      <c r="C691" s="104" t="s">
        <v>1861</v>
      </c>
      <c r="D691" s="103">
        <v>0.0</v>
      </c>
      <c r="E691" s="103">
        <v>0.0</v>
      </c>
      <c r="F691" s="103">
        <v>0.0</v>
      </c>
      <c r="G691" s="103">
        <v>8.0</v>
      </c>
      <c r="H691" s="103">
        <v>0.0</v>
      </c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>
      <c r="A692" s="105">
        <v>690.0</v>
      </c>
      <c r="B692" s="106" t="s">
        <v>1877</v>
      </c>
      <c r="C692" s="106" t="s">
        <v>1861</v>
      </c>
      <c r="D692" s="105">
        <v>0.0</v>
      </c>
      <c r="E692" s="105">
        <v>0.0</v>
      </c>
      <c r="F692" s="105">
        <v>0.0</v>
      </c>
      <c r="G692" s="105">
        <v>8.0</v>
      </c>
      <c r="H692" s="105">
        <v>0.0</v>
      </c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>
      <c r="A693" s="103">
        <v>691.0</v>
      </c>
      <c r="B693" s="104" t="s">
        <v>1878</v>
      </c>
      <c r="C693" s="104" t="s">
        <v>1861</v>
      </c>
      <c r="D693" s="103">
        <v>0.0</v>
      </c>
      <c r="E693" s="103">
        <v>0.0</v>
      </c>
      <c r="F693" s="103">
        <v>0.0</v>
      </c>
      <c r="G693" s="103">
        <v>8.0</v>
      </c>
      <c r="H693" s="103">
        <v>0.0</v>
      </c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>
      <c r="A694" s="105">
        <v>692.0</v>
      </c>
      <c r="B694" s="106" t="s">
        <v>1879</v>
      </c>
      <c r="C694" s="106" t="s">
        <v>1861</v>
      </c>
      <c r="D694" s="105">
        <v>0.0</v>
      </c>
      <c r="E694" s="105">
        <v>0.0</v>
      </c>
      <c r="F694" s="105">
        <v>0.0</v>
      </c>
      <c r="G694" s="105">
        <v>8.0</v>
      </c>
      <c r="H694" s="105">
        <v>0.0</v>
      </c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>
      <c r="A695" s="103">
        <v>693.0</v>
      </c>
      <c r="B695" s="104" t="s">
        <v>1880</v>
      </c>
      <c r="C695" s="104" t="s">
        <v>1861</v>
      </c>
      <c r="D695" s="103">
        <v>0.0</v>
      </c>
      <c r="E695" s="103">
        <v>0.0</v>
      </c>
      <c r="F695" s="103">
        <v>0.0</v>
      </c>
      <c r="G695" s="103">
        <v>8.0</v>
      </c>
      <c r="H695" s="103">
        <v>0.0</v>
      </c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>
      <c r="A696" s="105">
        <v>694.0</v>
      </c>
      <c r="B696" s="106" t="s">
        <v>1881</v>
      </c>
      <c r="C696" s="106" t="s">
        <v>1861</v>
      </c>
      <c r="D696" s="105">
        <v>0.0</v>
      </c>
      <c r="E696" s="105">
        <v>0.0</v>
      </c>
      <c r="F696" s="105">
        <v>0.0</v>
      </c>
      <c r="G696" s="105">
        <v>8.0</v>
      </c>
      <c r="H696" s="105">
        <v>0.0</v>
      </c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>
      <c r="A697" s="103">
        <v>695.0</v>
      </c>
      <c r="B697" s="104" t="s">
        <v>1882</v>
      </c>
      <c r="C697" s="104" t="s">
        <v>1861</v>
      </c>
      <c r="D697" s="103">
        <v>0.0</v>
      </c>
      <c r="E697" s="103">
        <v>0.0</v>
      </c>
      <c r="F697" s="103">
        <v>0.0</v>
      </c>
      <c r="G697" s="103">
        <v>8.0</v>
      </c>
      <c r="H697" s="103">
        <v>0.0</v>
      </c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>
      <c r="A698" s="105">
        <v>696.0</v>
      </c>
      <c r="B698" s="106" t="s">
        <v>1883</v>
      </c>
      <c r="C698" s="106" t="s">
        <v>1861</v>
      </c>
      <c r="D698" s="105">
        <v>0.0</v>
      </c>
      <c r="E698" s="105">
        <v>0.0</v>
      </c>
      <c r="F698" s="105">
        <v>0.0</v>
      </c>
      <c r="G698" s="105">
        <v>8.0</v>
      </c>
      <c r="H698" s="105">
        <v>0.0</v>
      </c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>
      <c r="A699" s="103">
        <v>697.0</v>
      </c>
      <c r="B699" s="104" t="s">
        <v>1884</v>
      </c>
      <c r="C699" s="104" t="s">
        <v>1861</v>
      </c>
      <c r="D699" s="103">
        <v>0.0</v>
      </c>
      <c r="E699" s="103">
        <v>0.0</v>
      </c>
      <c r="F699" s="103">
        <v>0.0</v>
      </c>
      <c r="G699" s="103">
        <v>8.0</v>
      </c>
      <c r="H699" s="103">
        <v>0.0</v>
      </c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>
      <c r="A700" s="105">
        <v>698.0</v>
      </c>
      <c r="B700" s="106" t="s">
        <v>1885</v>
      </c>
      <c r="C700" s="106" t="s">
        <v>1861</v>
      </c>
      <c r="D700" s="105">
        <v>0.0</v>
      </c>
      <c r="E700" s="105">
        <v>0.0</v>
      </c>
      <c r="F700" s="105">
        <v>0.0</v>
      </c>
      <c r="G700" s="105">
        <v>8.0</v>
      </c>
      <c r="H700" s="105">
        <v>0.0</v>
      </c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>
      <c r="A701" s="103">
        <v>699.0</v>
      </c>
      <c r="B701" s="104" t="s">
        <v>1886</v>
      </c>
      <c r="C701" s="104" t="s">
        <v>1861</v>
      </c>
      <c r="D701" s="103">
        <v>0.0</v>
      </c>
      <c r="E701" s="103">
        <v>0.0</v>
      </c>
      <c r="F701" s="103">
        <v>0.0</v>
      </c>
      <c r="G701" s="103">
        <v>8.0</v>
      </c>
      <c r="H701" s="103">
        <v>0.0</v>
      </c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>
      <c r="A702" s="105">
        <v>700.0</v>
      </c>
      <c r="B702" s="106" t="s">
        <v>1887</v>
      </c>
      <c r="C702" s="106" t="s">
        <v>1861</v>
      </c>
      <c r="D702" s="105">
        <v>2.0</v>
      </c>
      <c r="E702" s="105">
        <v>0.0</v>
      </c>
      <c r="F702" s="105">
        <v>0.0</v>
      </c>
      <c r="G702" s="105">
        <v>6.0</v>
      </c>
      <c r="H702" s="105">
        <v>0.0</v>
      </c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>
      <c r="A703" s="103">
        <v>701.0</v>
      </c>
      <c r="B703" s="104" t="s">
        <v>1888</v>
      </c>
      <c r="C703" s="104" t="s">
        <v>1861</v>
      </c>
      <c r="D703" s="103">
        <v>0.0</v>
      </c>
      <c r="E703" s="103">
        <v>0.0</v>
      </c>
      <c r="F703" s="103">
        <v>0.0</v>
      </c>
      <c r="G703" s="103">
        <v>8.0</v>
      </c>
      <c r="H703" s="103">
        <v>0.0</v>
      </c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>
      <c r="A704" s="105">
        <v>702.0</v>
      </c>
      <c r="B704" s="106" t="s">
        <v>1889</v>
      </c>
      <c r="C704" s="106" t="s">
        <v>1861</v>
      </c>
      <c r="D704" s="105">
        <v>0.0</v>
      </c>
      <c r="E704" s="105">
        <v>0.0</v>
      </c>
      <c r="F704" s="105">
        <v>0.0</v>
      </c>
      <c r="G704" s="105">
        <v>8.0</v>
      </c>
      <c r="H704" s="105">
        <v>0.0</v>
      </c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>
      <c r="A705" s="103">
        <v>703.0</v>
      </c>
      <c r="B705" s="104" t="s">
        <v>1890</v>
      </c>
      <c r="C705" s="104" t="s">
        <v>1861</v>
      </c>
      <c r="D705" s="103">
        <v>1.0</v>
      </c>
      <c r="E705" s="103">
        <v>0.0</v>
      </c>
      <c r="F705" s="103">
        <v>0.0</v>
      </c>
      <c r="G705" s="103">
        <v>7.0</v>
      </c>
      <c r="H705" s="103">
        <v>0.0</v>
      </c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>
      <c r="A706" s="105">
        <v>704.0</v>
      </c>
      <c r="B706" s="106" t="s">
        <v>1891</v>
      </c>
      <c r="C706" s="106" t="s">
        <v>1861</v>
      </c>
      <c r="D706" s="105">
        <v>1.0</v>
      </c>
      <c r="E706" s="105">
        <v>0.0</v>
      </c>
      <c r="F706" s="105">
        <v>0.0</v>
      </c>
      <c r="G706" s="105">
        <v>7.0</v>
      </c>
      <c r="H706" s="105">
        <v>0.0</v>
      </c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>
      <c r="A707" s="103">
        <v>705.0</v>
      </c>
      <c r="B707" s="104" t="s">
        <v>1892</v>
      </c>
      <c r="C707" s="104" t="s">
        <v>1861</v>
      </c>
      <c r="D707" s="103">
        <v>0.0</v>
      </c>
      <c r="E707" s="103">
        <v>0.0</v>
      </c>
      <c r="F707" s="103">
        <v>0.0</v>
      </c>
      <c r="G707" s="103">
        <v>8.0</v>
      </c>
      <c r="H707" s="103">
        <v>0.0</v>
      </c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>
      <c r="A708" s="105">
        <v>706.0</v>
      </c>
      <c r="B708" s="106" t="s">
        <v>1893</v>
      </c>
      <c r="C708" s="106" t="s">
        <v>1861</v>
      </c>
      <c r="D708" s="105">
        <v>0.0</v>
      </c>
      <c r="E708" s="105">
        <v>0.0</v>
      </c>
      <c r="F708" s="105">
        <v>0.0</v>
      </c>
      <c r="G708" s="105">
        <v>8.0</v>
      </c>
      <c r="H708" s="105">
        <v>0.0</v>
      </c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>
      <c r="A709" s="103">
        <v>707.0</v>
      </c>
      <c r="B709" s="104" t="s">
        <v>1894</v>
      </c>
      <c r="C709" s="104" t="s">
        <v>1861</v>
      </c>
      <c r="D709" s="103">
        <v>0.0</v>
      </c>
      <c r="E709" s="103">
        <v>0.0</v>
      </c>
      <c r="F709" s="103">
        <v>0.0</v>
      </c>
      <c r="G709" s="103">
        <v>8.0</v>
      </c>
      <c r="H709" s="103">
        <v>0.0</v>
      </c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>
      <c r="A710" s="105">
        <v>708.0</v>
      </c>
      <c r="B710" s="106" t="s">
        <v>1895</v>
      </c>
      <c r="C710" s="106" t="s">
        <v>1861</v>
      </c>
      <c r="D710" s="105">
        <v>0.0</v>
      </c>
      <c r="E710" s="105">
        <v>0.0</v>
      </c>
      <c r="F710" s="105">
        <v>0.0</v>
      </c>
      <c r="G710" s="105">
        <v>8.0</v>
      </c>
      <c r="H710" s="105">
        <v>0.0</v>
      </c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>
      <c r="A711" s="103">
        <v>709.0</v>
      </c>
      <c r="B711" s="104" t="s">
        <v>1896</v>
      </c>
      <c r="C711" s="104" t="s">
        <v>1861</v>
      </c>
      <c r="D711" s="103">
        <v>0.0</v>
      </c>
      <c r="E711" s="103">
        <v>0.0</v>
      </c>
      <c r="F711" s="103">
        <v>0.0</v>
      </c>
      <c r="G711" s="103">
        <v>8.0</v>
      </c>
      <c r="H711" s="103">
        <v>0.0</v>
      </c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>
      <c r="A712" s="105">
        <v>710.0</v>
      </c>
      <c r="B712" s="106" t="s">
        <v>1897</v>
      </c>
      <c r="C712" s="106" t="s">
        <v>1898</v>
      </c>
      <c r="D712" s="105">
        <v>0.0</v>
      </c>
      <c r="E712" s="105">
        <v>0.0</v>
      </c>
      <c r="F712" s="105">
        <v>0.0</v>
      </c>
      <c r="G712" s="105">
        <v>8.0</v>
      </c>
      <c r="H712" s="105">
        <v>0.0</v>
      </c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>
      <c r="A713" s="103">
        <v>711.0</v>
      </c>
      <c r="B713" s="104" t="s">
        <v>1899</v>
      </c>
      <c r="C713" s="104" t="s">
        <v>1898</v>
      </c>
      <c r="D713" s="103">
        <v>0.0</v>
      </c>
      <c r="E713" s="103">
        <v>0.0</v>
      </c>
      <c r="F713" s="103">
        <v>0.0</v>
      </c>
      <c r="G713" s="103">
        <v>8.0</v>
      </c>
      <c r="H713" s="103">
        <v>0.0</v>
      </c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>
      <c r="A714" s="105">
        <v>712.0</v>
      </c>
      <c r="B714" s="106" t="s">
        <v>1900</v>
      </c>
      <c r="C714" s="106" t="s">
        <v>1898</v>
      </c>
      <c r="D714" s="105">
        <v>0.0</v>
      </c>
      <c r="E714" s="105">
        <v>0.0</v>
      </c>
      <c r="F714" s="105">
        <v>0.0</v>
      </c>
      <c r="G714" s="105">
        <v>8.0</v>
      </c>
      <c r="H714" s="105">
        <v>0.0</v>
      </c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>
      <c r="A715" s="103">
        <v>713.0</v>
      </c>
      <c r="B715" s="104" t="s">
        <v>1901</v>
      </c>
      <c r="C715" s="104" t="s">
        <v>1898</v>
      </c>
      <c r="D715" s="103">
        <v>0.0</v>
      </c>
      <c r="E715" s="103">
        <v>0.0</v>
      </c>
      <c r="F715" s="103">
        <v>0.0</v>
      </c>
      <c r="G715" s="103">
        <v>8.0</v>
      </c>
      <c r="H715" s="103">
        <v>0.0</v>
      </c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>
      <c r="A716" s="105">
        <v>714.0</v>
      </c>
      <c r="B716" s="106" t="s">
        <v>1902</v>
      </c>
      <c r="C716" s="106" t="s">
        <v>1898</v>
      </c>
      <c r="D716" s="105">
        <v>0.0</v>
      </c>
      <c r="E716" s="105">
        <v>0.0</v>
      </c>
      <c r="F716" s="105">
        <v>0.0</v>
      </c>
      <c r="G716" s="105">
        <v>8.0</v>
      </c>
      <c r="H716" s="105">
        <v>0.0</v>
      </c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>
      <c r="A717" s="103">
        <v>715.0</v>
      </c>
      <c r="B717" s="104" t="s">
        <v>1903</v>
      </c>
      <c r="C717" s="104" t="s">
        <v>1898</v>
      </c>
      <c r="D717" s="103">
        <v>0.0</v>
      </c>
      <c r="E717" s="103">
        <v>0.0</v>
      </c>
      <c r="F717" s="103">
        <v>0.0</v>
      </c>
      <c r="G717" s="103">
        <v>8.0</v>
      </c>
      <c r="H717" s="103">
        <v>0.0</v>
      </c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>
      <c r="A718" s="105">
        <v>716.0</v>
      </c>
      <c r="B718" s="106" t="s">
        <v>1904</v>
      </c>
      <c r="C718" s="106" t="s">
        <v>1898</v>
      </c>
      <c r="D718" s="105">
        <v>0.0</v>
      </c>
      <c r="E718" s="105">
        <v>0.0</v>
      </c>
      <c r="F718" s="105">
        <v>0.0</v>
      </c>
      <c r="G718" s="105">
        <v>8.0</v>
      </c>
      <c r="H718" s="105">
        <v>0.0</v>
      </c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>
      <c r="A719" s="103">
        <v>717.0</v>
      </c>
      <c r="B719" s="104" t="s">
        <v>1905</v>
      </c>
      <c r="C719" s="104" t="s">
        <v>1898</v>
      </c>
      <c r="D719" s="103">
        <v>0.0</v>
      </c>
      <c r="E719" s="103">
        <v>0.0</v>
      </c>
      <c r="F719" s="103">
        <v>0.0</v>
      </c>
      <c r="G719" s="103">
        <v>8.0</v>
      </c>
      <c r="H719" s="103">
        <v>0.0</v>
      </c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>
      <c r="A720" s="105">
        <v>718.0</v>
      </c>
      <c r="B720" s="106" t="s">
        <v>1906</v>
      </c>
      <c r="C720" s="106" t="s">
        <v>1898</v>
      </c>
      <c r="D720" s="105">
        <v>0.0</v>
      </c>
      <c r="E720" s="105">
        <v>0.0</v>
      </c>
      <c r="F720" s="105">
        <v>0.0</v>
      </c>
      <c r="G720" s="105">
        <v>8.0</v>
      </c>
      <c r="H720" s="105">
        <v>0.0</v>
      </c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>
      <c r="A721" s="103">
        <v>719.0</v>
      </c>
      <c r="B721" s="104" t="s">
        <v>1907</v>
      </c>
      <c r="C721" s="104" t="s">
        <v>1898</v>
      </c>
      <c r="D721" s="103">
        <v>1.0</v>
      </c>
      <c r="E721" s="103">
        <v>0.0</v>
      </c>
      <c r="F721" s="103">
        <v>0.0</v>
      </c>
      <c r="G721" s="103">
        <v>7.0</v>
      </c>
      <c r="H721" s="103">
        <v>0.0</v>
      </c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>
      <c r="A722" s="105">
        <v>720.0</v>
      </c>
      <c r="B722" s="106" t="s">
        <v>1908</v>
      </c>
      <c r="C722" s="106" t="s">
        <v>1898</v>
      </c>
      <c r="D722" s="105">
        <v>0.0</v>
      </c>
      <c r="E722" s="105">
        <v>0.0</v>
      </c>
      <c r="F722" s="105">
        <v>0.0</v>
      </c>
      <c r="G722" s="105">
        <v>8.0</v>
      </c>
      <c r="H722" s="105">
        <v>0.0</v>
      </c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>
      <c r="A723" s="103">
        <v>721.0</v>
      </c>
      <c r="B723" s="104" t="s">
        <v>1909</v>
      </c>
      <c r="C723" s="104" t="s">
        <v>1898</v>
      </c>
      <c r="D723" s="103">
        <v>0.0</v>
      </c>
      <c r="E723" s="103">
        <v>0.0</v>
      </c>
      <c r="F723" s="103">
        <v>0.0</v>
      </c>
      <c r="G723" s="103">
        <v>8.0</v>
      </c>
      <c r="H723" s="103">
        <v>0.0</v>
      </c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>
      <c r="A724" s="105">
        <v>722.0</v>
      </c>
      <c r="B724" s="106" t="s">
        <v>1910</v>
      </c>
      <c r="C724" s="106" t="s">
        <v>1898</v>
      </c>
      <c r="D724" s="105">
        <v>0.0</v>
      </c>
      <c r="E724" s="105">
        <v>0.0</v>
      </c>
      <c r="F724" s="105">
        <v>0.0</v>
      </c>
      <c r="G724" s="105">
        <v>8.0</v>
      </c>
      <c r="H724" s="105">
        <v>0.0</v>
      </c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>
      <c r="A725" s="103">
        <v>723.0</v>
      </c>
      <c r="B725" s="104" t="s">
        <v>1911</v>
      </c>
      <c r="C725" s="104" t="s">
        <v>1898</v>
      </c>
      <c r="D725" s="103">
        <v>0.0</v>
      </c>
      <c r="E725" s="103">
        <v>0.0</v>
      </c>
      <c r="F725" s="103">
        <v>0.0</v>
      </c>
      <c r="G725" s="103">
        <v>8.0</v>
      </c>
      <c r="H725" s="103">
        <v>0.0</v>
      </c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>
      <c r="A726" s="105">
        <v>724.0</v>
      </c>
      <c r="B726" s="106" t="s">
        <v>1912</v>
      </c>
      <c r="C726" s="106" t="s">
        <v>1898</v>
      </c>
      <c r="D726" s="105">
        <v>1.0</v>
      </c>
      <c r="E726" s="105">
        <v>0.0</v>
      </c>
      <c r="F726" s="105">
        <v>0.0</v>
      </c>
      <c r="G726" s="105">
        <v>7.0</v>
      </c>
      <c r="H726" s="105">
        <v>0.0</v>
      </c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>
      <c r="A727" s="103">
        <v>725.0</v>
      </c>
      <c r="B727" s="104" t="s">
        <v>1913</v>
      </c>
      <c r="C727" s="104" t="s">
        <v>1898</v>
      </c>
      <c r="D727" s="103">
        <v>0.0</v>
      </c>
      <c r="E727" s="103">
        <v>0.0</v>
      </c>
      <c r="F727" s="103">
        <v>0.0</v>
      </c>
      <c r="G727" s="103">
        <v>8.0</v>
      </c>
      <c r="H727" s="103">
        <v>0.0</v>
      </c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>
      <c r="A728" s="105">
        <v>726.0</v>
      </c>
      <c r="B728" s="106" t="s">
        <v>1914</v>
      </c>
      <c r="C728" s="106" t="s">
        <v>1898</v>
      </c>
      <c r="D728" s="105">
        <v>0.0</v>
      </c>
      <c r="E728" s="105">
        <v>0.0</v>
      </c>
      <c r="F728" s="105">
        <v>0.0</v>
      </c>
      <c r="G728" s="105">
        <v>8.0</v>
      </c>
      <c r="H728" s="105">
        <v>0.0</v>
      </c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>
      <c r="A729" s="103">
        <v>727.0</v>
      </c>
      <c r="B729" s="104" t="s">
        <v>1915</v>
      </c>
      <c r="C729" s="104" t="s">
        <v>1898</v>
      </c>
      <c r="D729" s="103">
        <v>0.0</v>
      </c>
      <c r="E729" s="103">
        <v>0.0</v>
      </c>
      <c r="F729" s="103">
        <v>0.0</v>
      </c>
      <c r="G729" s="103">
        <v>8.0</v>
      </c>
      <c r="H729" s="103">
        <v>0.0</v>
      </c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>
      <c r="A730" s="105">
        <v>728.0</v>
      </c>
      <c r="B730" s="106" t="s">
        <v>1916</v>
      </c>
      <c r="C730" s="106" t="s">
        <v>1898</v>
      </c>
      <c r="D730" s="105">
        <v>3.0</v>
      </c>
      <c r="E730" s="105">
        <v>0.0</v>
      </c>
      <c r="F730" s="105">
        <v>0.0</v>
      </c>
      <c r="G730" s="105">
        <v>5.0</v>
      </c>
      <c r="H730" s="105">
        <v>0.0</v>
      </c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>
      <c r="A731" s="103">
        <v>729.0</v>
      </c>
      <c r="B731" s="104" t="s">
        <v>1917</v>
      </c>
      <c r="C731" s="104" t="s">
        <v>1898</v>
      </c>
      <c r="D731" s="103">
        <v>0.0</v>
      </c>
      <c r="E731" s="103">
        <v>0.0</v>
      </c>
      <c r="F731" s="103">
        <v>0.0</v>
      </c>
      <c r="G731" s="103">
        <v>8.0</v>
      </c>
      <c r="H731" s="103">
        <v>0.0</v>
      </c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>
      <c r="A732" s="105">
        <v>730.0</v>
      </c>
      <c r="B732" s="106" t="s">
        <v>1918</v>
      </c>
      <c r="C732" s="106" t="s">
        <v>1898</v>
      </c>
      <c r="D732" s="105">
        <v>0.0</v>
      </c>
      <c r="E732" s="105">
        <v>0.0</v>
      </c>
      <c r="F732" s="105">
        <v>0.0</v>
      </c>
      <c r="G732" s="105">
        <v>8.0</v>
      </c>
      <c r="H732" s="105">
        <v>0.0</v>
      </c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>
      <c r="A733" s="103">
        <v>731.0</v>
      </c>
      <c r="B733" s="104" t="s">
        <v>1919</v>
      </c>
      <c r="C733" s="104" t="s">
        <v>1898</v>
      </c>
      <c r="D733" s="103">
        <v>0.0</v>
      </c>
      <c r="E733" s="103">
        <v>0.0</v>
      </c>
      <c r="F733" s="103">
        <v>0.0</v>
      </c>
      <c r="G733" s="103">
        <v>8.0</v>
      </c>
      <c r="H733" s="103">
        <v>0.0</v>
      </c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>
      <c r="A734" s="105">
        <v>732.0</v>
      </c>
      <c r="B734" s="106" t="s">
        <v>1920</v>
      </c>
      <c r="C734" s="106" t="s">
        <v>1898</v>
      </c>
      <c r="D734" s="105">
        <v>0.0</v>
      </c>
      <c r="E734" s="105">
        <v>0.0</v>
      </c>
      <c r="F734" s="105">
        <v>0.0</v>
      </c>
      <c r="G734" s="105">
        <v>8.0</v>
      </c>
      <c r="H734" s="105">
        <v>0.0</v>
      </c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>
      <c r="A735" s="103">
        <v>733.0</v>
      </c>
      <c r="B735" s="104" t="s">
        <v>1921</v>
      </c>
      <c r="C735" s="104" t="s">
        <v>1898</v>
      </c>
      <c r="D735" s="103">
        <v>0.0</v>
      </c>
      <c r="E735" s="103">
        <v>0.0</v>
      </c>
      <c r="F735" s="103">
        <v>0.0</v>
      </c>
      <c r="G735" s="103">
        <v>8.0</v>
      </c>
      <c r="H735" s="103">
        <v>0.0</v>
      </c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>
      <c r="A736" s="105">
        <v>734.0</v>
      </c>
      <c r="B736" s="106" t="s">
        <v>1922</v>
      </c>
      <c r="C736" s="106" t="s">
        <v>1898</v>
      </c>
      <c r="D736" s="105">
        <v>2.0</v>
      </c>
      <c r="E736" s="105">
        <v>0.0</v>
      </c>
      <c r="F736" s="105">
        <v>0.0</v>
      </c>
      <c r="G736" s="105">
        <v>6.0</v>
      </c>
      <c r="H736" s="105">
        <v>0.0</v>
      </c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>
      <c r="A737" s="103">
        <v>735.0</v>
      </c>
      <c r="B737" s="104" t="s">
        <v>1923</v>
      </c>
      <c r="C737" s="104" t="s">
        <v>1898</v>
      </c>
      <c r="D737" s="103">
        <v>0.0</v>
      </c>
      <c r="E737" s="103">
        <v>0.0</v>
      </c>
      <c r="F737" s="103">
        <v>0.0</v>
      </c>
      <c r="G737" s="103">
        <v>8.0</v>
      </c>
      <c r="H737" s="103">
        <v>0.0</v>
      </c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>
      <c r="A738" s="105">
        <v>736.0</v>
      </c>
      <c r="B738" s="106" t="s">
        <v>1924</v>
      </c>
      <c r="C738" s="106" t="s">
        <v>1898</v>
      </c>
      <c r="D738" s="105">
        <v>0.0</v>
      </c>
      <c r="E738" s="105">
        <v>0.0</v>
      </c>
      <c r="F738" s="105">
        <v>0.0</v>
      </c>
      <c r="G738" s="105">
        <v>8.0</v>
      </c>
      <c r="H738" s="105">
        <v>0.0</v>
      </c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>
      <c r="A739" s="103">
        <v>737.0</v>
      </c>
      <c r="B739" s="104" t="s">
        <v>1925</v>
      </c>
      <c r="C739" s="104" t="s">
        <v>1898</v>
      </c>
      <c r="D739" s="103">
        <v>0.0</v>
      </c>
      <c r="E739" s="103">
        <v>0.0</v>
      </c>
      <c r="F739" s="103">
        <v>0.0</v>
      </c>
      <c r="G739" s="103">
        <v>8.0</v>
      </c>
      <c r="H739" s="103">
        <v>0.0</v>
      </c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>
      <c r="A740" s="105">
        <v>738.0</v>
      </c>
      <c r="B740" s="106" t="s">
        <v>1926</v>
      </c>
      <c r="C740" s="106" t="s">
        <v>1898</v>
      </c>
      <c r="D740" s="105">
        <v>0.0</v>
      </c>
      <c r="E740" s="105">
        <v>0.0</v>
      </c>
      <c r="F740" s="105">
        <v>0.0</v>
      </c>
      <c r="G740" s="105">
        <v>8.0</v>
      </c>
      <c r="H740" s="105">
        <v>0.0</v>
      </c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>
      <c r="A741" s="103">
        <v>739.0</v>
      </c>
      <c r="B741" s="104" t="s">
        <v>1927</v>
      </c>
      <c r="C741" s="104" t="s">
        <v>1898</v>
      </c>
      <c r="D741" s="103">
        <v>0.0</v>
      </c>
      <c r="E741" s="103">
        <v>0.0</v>
      </c>
      <c r="F741" s="103">
        <v>0.0</v>
      </c>
      <c r="G741" s="103">
        <v>8.0</v>
      </c>
      <c r="H741" s="103">
        <v>0.0</v>
      </c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>
      <c r="A742" s="105">
        <v>740.0</v>
      </c>
      <c r="B742" s="106" t="s">
        <v>1928</v>
      </c>
      <c r="C742" s="106" t="s">
        <v>1898</v>
      </c>
      <c r="D742" s="105">
        <v>1.0</v>
      </c>
      <c r="E742" s="105">
        <v>0.0</v>
      </c>
      <c r="F742" s="105">
        <v>0.0</v>
      </c>
      <c r="G742" s="105">
        <v>7.0</v>
      </c>
      <c r="H742" s="105">
        <v>0.0</v>
      </c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>
      <c r="A743" s="103">
        <v>741.0</v>
      </c>
      <c r="B743" s="104" t="s">
        <v>1929</v>
      </c>
      <c r="C743" s="104" t="s">
        <v>1898</v>
      </c>
      <c r="D743" s="103">
        <v>0.0</v>
      </c>
      <c r="E743" s="103">
        <v>0.0</v>
      </c>
      <c r="F743" s="103">
        <v>0.0</v>
      </c>
      <c r="G743" s="103">
        <v>8.0</v>
      </c>
      <c r="H743" s="103">
        <v>0.0</v>
      </c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>
      <c r="A744" s="105">
        <v>742.0</v>
      </c>
      <c r="B744" s="106" t="s">
        <v>1930</v>
      </c>
      <c r="C744" s="106" t="s">
        <v>1898</v>
      </c>
      <c r="D744" s="105">
        <v>1.0</v>
      </c>
      <c r="E744" s="105">
        <v>0.0</v>
      </c>
      <c r="F744" s="105">
        <v>0.0</v>
      </c>
      <c r="G744" s="105">
        <v>7.0</v>
      </c>
      <c r="H744" s="105">
        <v>0.0</v>
      </c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>
      <c r="A745" s="103">
        <v>743.0</v>
      </c>
      <c r="B745" s="104" t="s">
        <v>1931</v>
      </c>
      <c r="C745" s="104" t="s">
        <v>1898</v>
      </c>
      <c r="D745" s="103">
        <v>0.0</v>
      </c>
      <c r="E745" s="103">
        <v>0.0</v>
      </c>
      <c r="F745" s="103">
        <v>0.0</v>
      </c>
      <c r="G745" s="103">
        <v>8.0</v>
      </c>
      <c r="H745" s="103">
        <v>0.0</v>
      </c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>
      <c r="A746" s="105">
        <v>744.0</v>
      </c>
      <c r="B746" s="106" t="s">
        <v>1932</v>
      </c>
      <c r="C746" s="106" t="s">
        <v>1898</v>
      </c>
      <c r="D746" s="105">
        <v>0.0</v>
      </c>
      <c r="E746" s="105">
        <v>0.0</v>
      </c>
      <c r="F746" s="105">
        <v>0.0</v>
      </c>
      <c r="G746" s="105">
        <v>8.0</v>
      </c>
      <c r="H746" s="105">
        <v>0.0</v>
      </c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>
      <c r="A747" s="103">
        <v>745.0</v>
      </c>
      <c r="B747" s="104" t="s">
        <v>1933</v>
      </c>
      <c r="C747" s="104" t="s">
        <v>1898</v>
      </c>
      <c r="D747" s="103">
        <v>0.0</v>
      </c>
      <c r="E747" s="103">
        <v>0.0</v>
      </c>
      <c r="F747" s="103">
        <v>0.0</v>
      </c>
      <c r="G747" s="103">
        <v>8.0</v>
      </c>
      <c r="H747" s="103">
        <v>0.0</v>
      </c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>
      <c r="A748" s="105">
        <v>746.0</v>
      </c>
      <c r="B748" s="106" t="s">
        <v>1934</v>
      </c>
      <c r="C748" s="106" t="s">
        <v>1935</v>
      </c>
      <c r="D748" s="105">
        <v>0.0</v>
      </c>
      <c r="E748" s="105">
        <v>0.0</v>
      </c>
      <c r="F748" s="105">
        <v>0.0</v>
      </c>
      <c r="G748" s="105">
        <v>8.0</v>
      </c>
      <c r="H748" s="105">
        <v>0.0</v>
      </c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>
      <c r="A749" s="103">
        <v>747.0</v>
      </c>
      <c r="B749" s="104" t="s">
        <v>1936</v>
      </c>
      <c r="C749" s="104" t="s">
        <v>1935</v>
      </c>
      <c r="D749" s="103">
        <v>2.0</v>
      </c>
      <c r="E749" s="103">
        <v>0.0</v>
      </c>
      <c r="F749" s="103">
        <v>0.0</v>
      </c>
      <c r="G749" s="103">
        <v>6.0</v>
      </c>
      <c r="H749" s="103">
        <v>0.0</v>
      </c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>
      <c r="A750" s="105">
        <v>748.0</v>
      </c>
      <c r="B750" s="106" t="s">
        <v>1937</v>
      </c>
      <c r="C750" s="106" t="s">
        <v>1935</v>
      </c>
      <c r="D750" s="105">
        <v>0.0</v>
      </c>
      <c r="E750" s="105">
        <v>0.0</v>
      </c>
      <c r="F750" s="105">
        <v>0.0</v>
      </c>
      <c r="G750" s="105">
        <v>8.0</v>
      </c>
      <c r="H750" s="105">
        <v>0.0</v>
      </c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>
      <c r="A751" s="103">
        <v>749.0</v>
      </c>
      <c r="B751" s="104" t="s">
        <v>1938</v>
      </c>
      <c r="C751" s="104" t="s">
        <v>1935</v>
      </c>
      <c r="D751" s="103">
        <v>0.0</v>
      </c>
      <c r="E751" s="103">
        <v>0.0</v>
      </c>
      <c r="F751" s="103">
        <v>0.0</v>
      </c>
      <c r="G751" s="103">
        <v>8.0</v>
      </c>
      <c r="H751" s="103">
        <v>0.0</v>
      </c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>
      <c r="A752" s="105">
        <v>750.0</v>
      </c>
      <c r="B752" s="106" t="s">
        <v>1939</v>
      </c>
      <c r="C752" s="106" t="s">
        <v>1935</v>
      </c>
      <c r="D752" s="105">
        <v>0.0</v>
      </c>
      <c r="E752" s="105">
        <v>0.0</v>
      </c>
      <c r="F752" s="105">
        <v>0.0</v>
      </c>
      <c r="G752" s="105">
        <v>8.0</v>
      </c>
      <c r="H752" s="105">
        <v>0.0</v>
      </c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>
      <c r="A753" s="103">
        <v>751.0</v>
      </c>
      <c r="B753" s="104" t="s">
        <v>1940</v>
      </c>
      <c r="C753" s="104" t="s">
        <v>1935</v>
      </c>
      <c r="D753" s="103">
        <v>2.0</v>
      </c>
      <c r="E753" s="103">
        <v>0.0</v>
      </c>
      <c r="F753" s="103">
        <v>0.0</v>
      </c>
      <c r="G753" s="103">
        <v>6.0</v>
      </c>
      <c r="H753" s="103">
        <v>0.0</v>
      </c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>
      <c r="A754" s="105">
        <v>752.0</v>
      </c>
      <c r="B754" s="106" t="s">
        <v>1941</v>
      </c>
      <c r="C754" s="106" t="s">
        <v>1935</v>
      </c>
      <c r="D754" s="105">
        <v>2.0</v>
      </c>
      <c r="E754" s="105">
        <v>0.0</v>
      </c>
      <c r="F754" s="105">
        <v>0.0</v>
      </c>
      <c r="G754" s="105">
        <v>6.0</v>
      </c>
      <c r="H754" s="105">
        <v>0.0</v>
      </c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>
      <c r="A755" s="103">
        <v>753.0</v>
      </c>
      <c r="B755" s="104" t="s">
        <v>1942</v>
      </c>
      <c r="C755" s="104" t="s">
        <v>1935</v>
      </c>
      <c r="D755" s="103">
        <v>0.0</v>
      </c>
      <c r="E755" s="103">
        <v>0.0</v>
      </c>
      <c r="F755" s="103">
        <v>0.0</v>
      </c>
      <c r="G755" s="103">
        <v>8.0</v>
      </c>
      <c r="H755" s="103">
        <v>0.0</v>
      </c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>
      <c r="A756" s="105">
        <v>754.0</v>
      </c>
      <c r="B756" s="106" t="s">
        <v>1943</v>
      </c>
      <c r="C756" s="106" t="s">
        <v>1935</v>
      </c>
      <c r="D756" s="105">
        <v>0.0</v>
      </c>
      <c r="E756" s="105">
        <v>0.0</v>
      </c>
      <c r="F756" s="105">
        <v>0.0</v>
      </c>
      <c r="G756" s="105">
        <v>8.0</v>
      </c>
      <c r="H756" s="105">
        <v>0.0</v>
      </c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>
      <c r="A757" s="103">
        <v>755.0</v>
      </c>
      <c r="B757" s="104" t="s">
        <v>1944</v>
      </c>
      <c r="C757" s="104" t="s">
        <v>1935</v>
      </c>
      <c r="D757" s="103">
        <v>0.0</v>
      </c>
      <c r="E757" s="103">
        <v>0.0</v>
      </c>
      <c r="F757" s="103">
        <v>0.0</v>
      </c>
      <c r="G757" s="103">
        <v>8.0</v>
      </c>
      <c r="H757" s="103">
        <v>0.0</v>
      </c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>
      <c r="A758" s="105">
        <v>756.0</v>
      </c>
      <c r="B758" s="106" t="s">
        <v>1945</v>
      </c>
      <c r="C758" s="106" t="s">
        <v>1935</v>
      </c>
      <c r="D758" s="105">
        <v>0.0</v>
      </c>
      <c r="E758" s="105">
        <v>0.0</v>
      </c>
      <c r="F758" s="105">
        <v>0.0</v>
      </c>
      <c r="G758" s="105">
        <v>8.0</v>
      </c>
      <c r="H758" s="105">
        <v>0.0</v>
      </c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>
      <c r="A759" s="103">
        <v>757.0</v>
      </c>
      <c r="B759" s="104" t="s">
        <v>1946</v>
      </c>
      <c r="C759" s="104" t="s">
        <v>1935</v>
      </c>
      <c r="D759" s="103">
        <v>0.0</v>
      </c>
      <c r="E759" s="103">
        <v>0.0</v>
      </c>
      <c r="F759" s="103">
        <v>0.0</v>
      </c>
      <c r="G759" s="103">
        <v>8.0</v>
      </c>
      <c r="H759" s="103">
        <v>0.0</v>
      </c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>
      <c r="A760" s="105">
        <v>758.0</v>
      </c>
      <c r="B760" s="106" t="s">
        <v>1947</v>
      </c>
      <c r="C760" s="106" t="s">
        <v>1935</v>
      </c>
      <c r="D760" s="105">
        <v>0.0</v>
      </c>
      <c r="E760" s="105">
        <v>0.0</v>
      </c>
      <c r="F760" s="105">
        <v>0.0</v>
      </c>
      <c r="G760" s="105">
        <v>8.0</v>
      </c>
      <c r="H760" s="105">
        <v>0.0</v>
      </c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>
      <c r="A761" s="103">
        <v>759.0</v>
      </c>
      <c r="B761" s="104" t="s">
        <v>1948</v>
      </c>
      <c r="C761" s="104" t="s">
        <v>1935</v>
      </c>
      <c r="D761" s="103">
        <v>0.0</v>
      </c>
      <c r="E761" s="103">
        <v>0.0</v>
      </c>
      <c r="F761" s="103">
        <v>0.0</v>
      </c>
      <c r="G761" s="103">
        <v>8.0</v>
      </c>
      <c r="H761" s="103">
        <v>0.0</v>
      </c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>
      <c r="A762" s="105">
        <v>760.0</v>
      </c>
      <c r="B762" s="106" t="s">
        <v>1949</v>
      </c>
      <c r="C762" s="106" t="s">
        <v>1935</v>
      </c>
      <c r="D762" s="105">
        <v>0.0</v>
      </c>
      <c r="E762" s="105">
        <v>0.0</v>
      </c>
      <c r="F762" s="105">
        <v>0.0</v>
      </c>
      <c r="G762" s="105">
        <v>8.0</v>
      </c>
      <c r="H762" s="105">
        <v>0.0</v>
      </c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>
      <c r="A763" s="103">
        <v>761.0</v>
      </c>
      <c r="B763" s="104" t="s">
        <v>1950</v>
      </c>
      <c r="C763" s="104" t="s">
        <v>1935</v>
      </c>
      <c r="D763" s="103">
        <v>0.0</v>
      </c>
      <c r="E763" s="103">
        <v>0.0</v>
      </c>
      <c r="F763" s="103">
        <v>0.0</v>
      </c>
      <c r="G763" s="103">
        <v>8.0</v>
      </c>
      <c r="H763" s="103">
        <v>0.0</v>
      </c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>
      <c r="A764" s="105">
        <v>762.0</v>
      </c>
      <c r="B764" s="106" t="s">
        <v>1951</v>
      </c>
      <c r="C764" s="106" t="s">
        <v>1935</v>
      </c>
      <c r="D764" s="105">
        <v>0.0</v>
      </c>
      <c r="E764" s="105">
        <v>0.0</v>
      </c>
      <c r="F764" s="105">
        <v>0.0</v>
      </c>
      <c r="G764" s="105">
        <v>8.0</v>
      </c>
      <c r="H764" s="105">
        <v>0.0</v>
      </c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>
      <c r="A765" s="103">
        <v>763.0</v>
      </c>
      <c r="B765" s="104" t="s">
        <v>1952</v>
      </c>
      <c r="C765" s="104" t="s">
        <v>1935</v>
      </c>
      <c r="D765" s="103">
        <v>1.0</v>
      </c>
      <c r="E765" s="103">
        <v>0.0</v>
      </c>
      <c r="F765" s="103">
        <v>0.0</v>
      </c>
      <c r="G765" s="103">
        <v>7.0</v>
      </c>
      <c r="H765" s="103">
        <v>0.0</v>
      </c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>
      <c r="A766" s="105">
        <v>764.0</v>
      </c>
      <c r="B766" s="106" t="s">
        <v>1953</v>
      </c>
      <c r="C766" s="106" t="s">
        <v>1935</v>
      </c>
      <c r="D766" s="105">
        <v>0.0</v>
      </c>
      <c r="E766" s="105">
        <v>0.0</v>
      </c>
      <c r="F766" s="105">
        <v>0.0</v>
      </c>
      <c r="G766" s="105">
        <v>8.0</v>
      </c>
      <c r="H766" s="105">
        <v>0.0</v>
      </c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>
      <c r="A767" s="103">
        <v>765.0</v>
      </c>
      <c r="B767" s="104" t="s">
        <v>1954</v>
      </c>
      <c r="C767" s="104" t="s">
        <v>1935</v>
      </c>
      <c r="D767" s="103">
        <v>0.0</v>
      </c>
      <c r="E767" s="103">
        <v>0.0</v>
      </c>
      <c r="F767" s="103">
        <v>4.0</v>
      </c>
      <c r="G767" s="103">
        <v>4.0</v>
      </c>
      <c r="H767" s="103">
        <v>0.0</v>
      </c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>
      <c r="A768" s="105">
        <v>766.0</v>
      </c>
      <c r="B768" s="106" t="s">
        <v>1955</v>
      </c>
      <c r="C768" s="106" t="s">
        <v>1935</v>
      </c>
      <c r="D768" s="105">
        <v>0.0</v>
      </c>
      <c r="E768" s="105">
        <v>0.0</v>
      </c>
      <c r="F768" s="105">
        <v>0.0</v>
      </c>
      <c r="G768" s="105">
        <v>8.0</v>
      </c>
      <c r="H768" s="105">
        <v>0.0</v>
      </c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>
      <c r="A769" s="103">
        <v>767.0</v>
      </c>
      <c r="B769" s="104" t="s">
        <v>1956</v>
      </c>
      <c r="C769" s="104" t="s">
        <v>1935</v>
      </c>
      <c r="D769" s="103">
        <v>2.0</v>
      </c>
      <c r="E769" s="103">
        <v>0.0</v>
      </c>
      <c r="F769" s="103">
        <v>2.0</v>
      </c>
      <c r="G769" s="103">
        <v>4.0</v>
      </c>
      <c r="H769" s="103">
        <v>0.0</v>
      </c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>
      <c r="A770" s="105">
        <v>768.0</v>
      </c>
      <c r="B770" s="106" t="s">
        <v>1957</v>
      </c>
      <c r="C770" s="106" t="s">
        <v>1935</v>
      </c>
      <c r="D770" s="105">
        <v>0.0</v>
      </c>
      <c r="E770" s="105">
        <v>0.0</v>
      </c>
      <c r="F770" s="105">
        <v>0.0</v>
      </c>
      <c r="G770" s="105">
        <v>8.0</v>
      </c>
      <c r="H770" s="105">
        <v>0.0</v>
      </c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>
      <c r="A771" s="103">
        <v>769.0</v>
      </c>
      <c r="B771" s="104" t="s">
        <v>1958</v>
      </c>
      <c r="C771" s="104" t="s">
        <v>1935</v>
      </c>
      <c r="D771" s="103">
        <v>2.0</v>
      </c>
      <c r="E771" s="103">
        <v>0.0</v>
      </c>
      <c r="F771" s="103">
        <v>0.0</v>
      </c>
      <c r="G771" s="103">
        <v>6.0</v>
      </c>
      <c r="H771" s="103">
        <v>0.0</v>
      </c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>
      <c r="A772" s="105">
        <v>770.0</v>
      </c>
      <c r="B772" s="106" t="s">
        <v>1959</v>
      </c>
      <c r="C772" s="106" t="s">
        <v>1935</v>
      </c>
      <c r="D772" s="105">
        <v>0.0</v>
      </c>
      <c r="E772" s="105">
        <v>0.0</v>
      </c>
      <c r="F772" s="105">
        <v>0.0</v>
      </c>
      <c r="G772" s="105">
        <v>8.0</v>
      </c>
      <c r="H772" s="105">
        <v>0.0</v>
      </c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>
      <c r="A773" s="103">
        <v>771.0</v>
      </c>
      <c r="B773" s="104" t="s">
        <v>1960</v>
      </c>
      <c r="C773" s="104" t="s">
        <v>1935</v>
      </c>
      <c r="D773" s="103">
        <v>0.0</v>
      </c>
      <c r="E773" s="103">
        <v>0.0</v>
      </c>
      <c r="F773" s="103">
        <v>0.0</v>
      </c>
      <c r="G773" s="103">
        <v>8.0</v>
      </c>
      <c r="H773" s="103">
        <v>0.0</v>
      </c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>
      <c r="A774" s="105">
        <v>772.0</v>
      </c>
      <c r="B774" s="106" t="s">
        <v>1961</v>
      </c>
      <c r="C774" s="106" t="s">
        <v>1935</v>
      </c>
      <c r="D774" s="105">
        <v>0.0</v>
      </c>
      <c r="E774" s="105">
        <v>0.0</v>
      </c>
      <c r="F774" s="105">
        <v>0.0</v>
      </c>
      <c r="G774" s="105">
        <v>8.0</v>
      </c>
      <c r="H774" s="105">
        <v>0.0</v>
      </c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>
      <c r="A775" s="103">
        <v>773.0</v>
      </c>
      <c r="B775" s="104" t="s">
        <v>1962</v>
      </c>
      <c r="C775" s="104" t="s">
        <v>1935</v>
      </c>
      <c r="D775" s="103">
        <v>2.0</v>
      </c>
      <c r="E775" s="103">
        <v>0.0</v>
      </c>
      <c r="F775" s="103">
        <v>0.0</v>
      </c>
      <c r="G775" s="103">
        <v>6.0</v>
      </c>
      <c r="H775" s="103">
        <v>0.0</v>
      </c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>
      <c r="A776" s="105">
        <v>774.0</v>
      </c>
      <c r="B776" s="106" t="s">
        <v>1963</v>
      </c>
      <c r="C776" s="106" t="s">
        <v>1935</v>
      </c>
      <c r="D776" s="105">
        <v>0.0</v>
      </c>
      <c r="E776" s="105">
        <v>0.0</v>
      </c>
      <c r="F776" s="105">
        <v>0.0</v>
      </c>
      <c r="G776" s="105">
        <v>8.0</v>
      </c>
      <c r="H776" s="105">
        <v>0.0</v>
      </c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>
      <c r="A777" s="103">
        <v>775.0</v>
      </c>
      <c r="B777" s="104" t="s">
        <v>1964</v>
      </c>
      <c r="C777" s="104" t="s">
        <v>1935</v>
      </c>
      <c r="D777" s="103">
        <v>0.0</v>
      </c>
      <c r="E777" s="103">
        <v>0.0</v>
      </c>
      <c r="F777" s="103">
        <v>0.0</v>
      </c>
      <c r="G777" s="103">
        <v>8.0</v>
      </c>
      <c r="H777" s="103">
        <v>0.0</v>
      </c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>
      <c r="A778" s="105">
        <v>776.0</v>
      </c>
      <c r="B778" s="106" t="s">
        <v>1965</v>
      </c>
      <c r="C778" s="106" t="s">
        <v>1935</v>
      </c>
      <c r="D778" s="105">
        <v>1.0</v>
      </c>
      <c r="E778" s="105">
        <v>0.0</v>
      </c>
      <c r="F778" s="105">
        <v>0.0</v>
      </c>
      <c r="G778" s="105">
        <v>7.0</v>
      </c>
      <c r="H778" s="105">
        <v>0.0</v>
      </c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>
      <c r="A779" s="103">
        <v>777.0</v>
      </c>
      <c r="B779" s="104" t="s">
        <v>1966</v>
      </c>
      <c r="C779" s="104" t="s">
        <v>1935</v>
      </c>
      <c r="D779" s="103">
        <v>0.0</v>
      </c>
      <c r="E779" s="103">
        <v>0.0</v>
      </c>
      <c r="F779" s="103">
        <v>0.0</v>
      </c>
      <c r="G779" s="103">
        <v>8.0</v>
      </c>
      <c r="H779" s="103">
        <v>0.0</v>
      </c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>
      <c r="A780" s="105">
        <v>778.0</v>
      </c>
      <c r="B780" s="106" t="s">
        <v>1967</v>
      </c>
      <c r="C780" s="106" t="s">
        <v>1935</v>
      </c>
      <c r="D780" s="105">
        <v>2.0</v>
      </c>
      <c r="E780" s="105">
        <v>0.0</v>
      </c>
      <c r="F780" s="105">
        <v>0.0</v>
      </c>
      <c r="G780" s="105">
        <v>6.0</v>
      </c>
      <c r="H780" s="105">
        <v>0.0</v>
      </c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>
      <c r="A781" s="103">
        <v>779.0</v>
      </c>
      <c r="B781" s="104" t="s">
        <v>1968</v>
      </c>
      <c r="C781" s="104" t="s">
        <v>1935</v>
      </c>
      <c r="D781" s="103">
        <v>0.0</v>
      </c>
      <c r="E781" s="103">
        <v>0.0</v>
      </c>
      <c r="F781" s="103">
        <v>0.0</v>
      </c>
      <c r="G781" s="103">
        <v>8.0</v>
      </c>
      <c r="H781" s="103">
        <v>0.0</v>
      </c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>
      <c r="A782" s="105">
        <v>780.0</v>
      </c>
      <c r="B782" s="106" t="s">
        <v>1969</v>
      </c>
      <c r="C782" s="106" t="s">
        <v>1935</v>
      </c>
      <c r="D782" s="105">
        <v>0.0</v>
      </c>
      <c r="E782" s="105">
        <v>0.0</v>
      </c>
      <c r="F782" s="105">
        <v>0.0</v>
      </c>
      <c r="G782" s="105">
        <v>8.0</v>
      </c>
      <c r="H782" s="105">
        <v>0.0</v>
      </c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>
      <c r="A783" s="103">
        <v>781.0</v>
      </c>
      <c r="B783" s="104" t="s">
        <v>1970</v>
      </c>
      <c r="C783" s="104" t="s">
        <v>1935</v>
      </c>
      <c r="D783" s="103">
        <v>0.0</v>
      </c>
      <c r="E783" s="103">
        <v>0.0</v>
      </c>
      <c r="F783" s="103">
        <v>0.0</v>
      </c>
      <c r="G783" s="103">
        <v>8.0</v>
      </c>
      <c r="H783" s="103">
        <v>0.0</v>
      </c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>
      <c r="A784" s="105">
        <v>782.0</v>
      </c>
      <c r="B784" s="106" t="s">
        <v>1971</v>
      </c>
      <c r="C784" s="106" t="s">
        <v>1972</v>
      </c>
      <c r="D784" s="105">
        <v>0.0</v>
      </c>
      <c r="E784" s="105">
        <v>0.0</v>
      </c>
      <c r="F784" s="105">
        <v>0.0</v>
      </c>
      <c r="G784" s="105">
        <v>8.0</v>
      </c>
      <c r="H784" s="105">
        <v>0.0</v>
      </c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>
      <c r="A785" s="103">
        <v>783.0</v>
      </c>
      <c r="B785" s="104" t="s">
        <v>1973</v>
      </c>
      <c r="C785" s="104" t="s">
        <v>1972</v>
      </c>
      <c r="D785" s="103">
        <v>0.0</v>
      </c>
      <c r="E785" s="103">
        <v>0.0</v>
      </c>
      <c r="F785" s="103">
        <v>0.0</v>
      </c>
      <c r="G785" s="103">
        <v>8.0</v>
      </c>
      <c r="H785" s="103">
        <v>0.0</v>
      </c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>
      <c r="A786" s="105">
        <v>784.0</v>
      </c>
      <c r="B786" s="106" t="s">
        <v>1974</v>
      </c>
      <c r="C786" s="106" t="s">
        <v>1972</v>
      </c>
      <c r="D786" s="105">
        <v>2.0</v>
      </c>
      <c r="E786" s="105">
        <v>0.0</v>
      </c>
      <c r="F786" s="105">
        <v>0.0</v>
      </c>
      <c r="G786" s="105">
        <v>6.0</v>
      </c>
      <c r="H786" s="105">
        <v>0.0</v>
      </c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>
      <c r="A787" s="103">
        <v>785.0</v>
      </c>
      <c r="B787" s="104" t="s">
        <v>1975</v>
      </c>
      <c r="C787" s="104" t="s">
        <v>1972</v>
      </c>
      <c r="D787" s="103">
        <v>0.0</v>
      </c>
      <c r="E787" s="103">
        <v>0.0</v>
      </c>
      <c r="F787" s="103">
        <v>0.0</v>
      </c>
      <c r="G787" s="103">
        <v>8.0</v>
      </c>
      <c r="H787" s="103">
        <v>0.0</v>
      </c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>
      <c r="A788" s="105">
        <v>786.0</v>
      </c>
      <c r="B788" s="106" t="s">
        <v>1976</v>
      </c>
      <c r="C788" s="106" t="s">
        <v>1972</v>
      </c>
      <c r="D788" s="105">
        <v>0.0</v>
      </c>
      <c r="E788" s="105">
        <v>0.0</v>
      </c>
      <c r="F788" s="105">
        <v>0.0</v>
      </c>
      <c r="G788" s="105">
        <v>8.0</v>
      </c>
      <c r="H788" s="105">
        <v>0.0</v>
      </c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>
      <c r="A789" s="103">
        <v>787.0</v>
      </c>
      <c r="B789" s="104" t="s">
        <v>1977</v>
      </c>
      <c r="C789" s="104" t="s">
        <v>1972</v>
      </c>
      <c r="D789" s="103">
        <v>0.0</v>
      </c>
      <c r="E789" s="103">
        <v>0.0</v>
      </c>
      <c r="F789" s="103">
        <v>0.0</v>
      </c>
      <c r="G789" s="103">
        <v>8.0</v>
      </c>
      <c r="H789" s="103">
        <v>0.0</v>
      </c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>
      <c r="A790" s="105">
        <v>788.0</v>
      </c>
      <c r="B790" s="106" t="s">
        <v>1978</v>
      </c>
      <c r="C790" s="106" t="s">
        <v>1972</v>
      </c>
      <c r="D790" s="105">
        <v>0.0</v>
      </c>
      <c r="E790" s="105">
        <v>0.0</v>
      </c>
      <c r="F790" s="105">
        <v>0.0</v>
      </c>
      <c r="G790" s="105">
        <v>8.0</v>
      </c>
      <c r="H790" s="105">
        <v>0.0</v>
      </c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>
      <c r="A791" s="103">
        <v>789.0</v>
      </c>
      <c r="B791" s="104" t="s">
        <v>1979</v>
      </c>
      <c r="C791" s="104" t="s">
        <v>1972</v>
      </c>
      <c r="D791" s="103">
        <v>0.0</v>
      </c>
      <c r="E791" s="103">
        <v>0.0</v>
      </c>
      <c r="F791" s="103">
        <v>0.0</v>
      </c>
      <c r="G791" s="103">
        <v>8.0</v>
      </c>
      <c r="H791" s="103">
        <v>0.0</v>
      </c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>
      <c r="A792" s="105">
        <v>790.0</v>
      </c>
      <c r="B792" s="106" t="s">
        <v>1980</v>
      </c>
      <c r="C792" s="106" t="s">
        <v>1972</v>
      </c>
      <c r="D792" s="105">
        <v>2.0</v>
      </c>
      <c r="E792" s="105">
        <v>0.0</v>
      </c>
      <c r="F792" s="105">
        <v>0.0</v>
      </c>
      <c r="G792" s="105">
        <v>6.0</v>
      </c>
      <c r="H792" s="105">
        <v>0.0</v>
      </c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>
      <c r="A793" s="103">
        <v>791.0</v>
      </c>
      <c r="B793" s="104" t="s">
        <v>1981</v>
      </c>
      <c r="C793" s="104" t="s">
        <v>1972</v>
      </c>
      <c r="D793" s="103">
        <v>0.0</v>
      </c>
      <c r="E793" s="103">
        <v>0.0</v>
      </c>
      <c r="F793" s="103">
        <v>0.0</v>
      </c>
      <c r="G793" s="103">
        <v>8.0</v>
      </c>
      <c r="H793" s="103">
        <v>0.0</v>
      </c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>
      <c r="A794" s="105">
        <v>792.0</v>
      </c>
      <c r="B794" s="106" t="s">
        <v>1982</v>
      </c>
      <c r="C794" s="106" t="s">
        <v>1972</v>
      </c>
      <c r="D794" s="105">
        <v>3.0</v>
      </c>
      <c r="E794" s="105">
        <v>0.0</v>
      </c>
      <c r="F794" s="105">
        <v>0.0</v>
      </c>
      <c r="G794" s="105">
        <v>5.0</v>
      </c>
      <c r="H794" s="105">
        <v>0.0</v>
      </c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>
      <c r="A795" s="103">
        <v>793.0</v>
      </c>
      <c r="B795" s="104" t="s">
        <v>1983</v>
      </c>
      <c r="C795" s="104" t="s">
        <v>1972</v>
      </c>
      <c r="D795" s="103">
        <v>0.0</v>
      </c>
      <c r="E795" s="103">
        <v>0.0</v>
      </c>
      <c r="F795" s="103">
        <v>0.0</v>
      </c>
      <c r="G795" s="103">
        <v>8.0</v>
      </c>
      <c r="H795" s="103">
        <v>0.0</v>
      </c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>
      <c r="A796" s="105">
        <v>794.0</v>
      </c>
      <c r="B796" s="106" t="s">
        <v>1984</v>
      </c>
      <c r="C796" s="106" t="s">
        <v>1972</v>
      </c>
      <c r="D796" s="105">
        <v>0.0</v>
      </c>
      <c r="E796" s="105">
        <v>0.0</v>
      </c>
      <c r="F796" s="105">
        <v>0.0</v>
      </c>
      <c r="G796" s="105">
        <v>8.0</v>
      </c>
      <c r="H796" s="105">
        <v>0.0</v>
      </c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>
      <c r="A797" s="103">
        <v>795.0</v>
      </c>
      <c r="B797" s="104" t="s">
        <v>1985</v>
      </c>
      <c r="C797" s="104" t="s">
        <v>1972</v>
      </c>
      <c r="D797" s="103">
        <v>0.0</v>
      </c>
      <c r="E797" s="103">
        <v>0.0</v>
      </c>
      <c r="F797" s="103">
        <v>0.0</v>
      </c>
      <c r="G797" s="103">
        <v>8.0</v>
      </c>
      <c r="H797" s="103">
        <v>0.0</v>
      </c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>
      <c r="A798" s="105">
        <v>796.0</v>
      </c>
      <c r="B798" s="106" t="s">
        <v>1986</v>
      </c>
      <c r="C798" s="106" t="s">
        <v>1972</v>
      </c>
      <c r="D798" s="105">
        <v>0.0</v>
      </c>
      <c r="E798" s="105">
        <v>0.0</v>
      </c>
      <c r="F798" s="105">
        <v>0.0</v>
      </c>
      <c r="G798" s="105">
        <v>8.0</v>
      </c>
      <c r="H798" s="105">
        <v>0.0</v>
      </c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>
      <c r="A799" s="103">
        <v>797.0</v>
      </c>
      <c r="B799" s="104" t="s">
        <v>1987</v>
      </c>
      <c r="C799" s="104" t="s">
        <v>1972</v>
      </c>
      <c r="D799" s="103">
        <v>0.0</v>
      </c>
      <c r="E799" s="103">
        <v>0.0</v>
      </c>
      <c r="F799" s="103">
        <v>0.0</v>
      </c>
      <c r="G799" s="103">
        <v>8.0</v>
      </c>
      <c r="H799" s="103">
        <v>0.0</v>
      </c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>
      <c r="A800" s="105">
        <v>798.0</v>
      </c>
      <c r="B800" s="106" t="s">
        <v>1988</v>
      </c>
      <c r="C800" s="106" t="s">
        <v>1972</v>
      </c>
      <c r="D800" s="105">
        <v>2.0</v>
      </c>
      <c r="E800" s="105">
        <v>0.0</v>
      </c>
      <c r="F800" s="105">
        <v>0.0</v>
      </c>
      <c r="G800" s="105">
        <v>6.0</v>
      </c>
      <c r="H800" s="105">
        <v>0.0</v>
      </c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>
      <c r="A801" s="103">
        <v>799.0</v>
      </c>
      <c r="B801" s="104" t="s">
        <v>1989</v>
      </c>
      <c r="C801" s="104" t="s">
        <v>1972</v>
      </c>
      <c r="D801" s="103">
        <v>2.0</v>
      </c>
      <c r="E801" s="103">
        <v>0.0</v>
      </c>
      <c r="F801" s="103">
        <v>0.0</v>
      </c>
      <c r="G801" s="103">
        <v>6.0</v>
      </c>
      <c r="H801" s="103">
        <v>0.0</v>
      </c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>
      <c r="A802" s="105">
        <v>800.0</v>
      </c>
      <c r="B802" s="106" t="s">
        <v>1990</v>
      </c>
      <c r="C802" s="106" t="s">
        <v>1972</v>
      </c>
      <c r="D802" s="105">
        <v>0.0</v>
      </c>
      <c r="E802" s="105">
        <v>0.0</v>
      </c>
      <c r="F802" s="105">
        <v>0.0</v>
      </c>
      <c r="G802" s="105">
        <v>8.0</v>
      </c>
      <c r="H802" s="105">
        <v>0.0</v>
      </c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>
      <c r="A803" s="103">
        <v>801.0</v>
      </c>
      <c r="B803" s="104" t="s">
        <v>1991</v>
      </c>
      <c r="C803" s="104" t="s">
        <v>1972</v>
      </c>
      <c r="D803" s="103">
        <v>0.0</v>
      </c>
      <c r="E803" s="103">
        <v>0.0</v>
      </c>
      <c r="F803" s="103">
        <v>0.0</v>
      </c>
      <c r="G803" s="103">
        <v>8.0</v>
      </c>
      <c r="H803" s="103">
        <v>0.0</v>
      </c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>
      <c r="A804" s="105">
        <v>802.0</v>
      </c>
      <c r="B804" s="106" t="s">
        <v>1992</v>
      </c>
      <c r="C804" s="106" t="s">
        <v>1972</v>
      </c>
      <c r="D804" s="105">
        <v>2.0</v>
      </c>
      <c r="E804" s="105">
        <v>0.0</v>
      </c>
      <c r="F804" s="105">
        <v>1.0</v>
      </c>
      <c r="G804" s="105">
        <v>4.0</v>
      </c>
      <c r="H804" s="105">
        <v>1.0</v>
      </c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>
      <c r="A805" s="103">
        <v>803.0</v>
      </c>
      <c r="B805" s="104" t="s">
        <v>1993</v>
      </c>
      <c r="C805" s="104" t="s">
        <v>1972</v>
      </c>
      <c r="D805" s="103">
        <v>0.0</v>
      </c>
      <c r="E805" s="103">
        <v>0.0</v>
      </c>
      <c r="F805" s="103">
        <v>0.0</v>
      </c>
      <c r="G805" s="103">
        <v>8.0</v>
      </c>
      <c r="H805" s="103">
        <v>0.0</v>
      </c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>
      <c r="A806" s="105">
        <v>804.0</v>
      </c>
      <c r="B806" s="106" t="s">
        <v>1994</v>
      </c>
      <c r="C806" s="106" t="s">
        <v>1972</v>
      </c>
      <c r="D806" s="105">
        <v>0.0</v>
      </c>
      <c r="E806" s="105">
        <v>0.0</v>
      </c>
      <c r="F806" s="105">
        <v>0.0</v>
      </c>
      <c r="G806" s="105">
        <v>8.0</v>
      </c>
      <c r="H806" s="105">
        <v>0.0</v>
      </c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>
      <c r="A807" s="103">
        <v>805.0</v>
      </c>
      <c r="B807" s="104" t="s">
        <v>1995</v>
      </c>
      <c r="C807" s="104" t="s">
        <v>1972</v>
      </c>
      <c r="D807" s="103">
        <v>0.0</v>
      </c>
      <c r="E807" s="103">
        <v>0.0</v>
      </c>
      <c r="F807" s="103">
        <v>0.0</v>
      </c>
      <c r="G807" s="103">
        <v>8.0</v>
      </c>
      <c r="H807" s="103">
        <v>0.0</v>
      </c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>
      <c r="A808" s="105">
        <v>806.0</v>
      </c>
      <c r="B808" s="106" t="s">
        <v>1996</v>
      </c>
      <c r="C808" s="106" t="s">
        <v>1972</v>
      </c>
      <c r="D808" s="105">
        <v>0.0</v>
      </c>
      <c r="E808" s="105">
        <v>0.0</v>
      </c>
      <c r="F808" s="105">
        <v>0.0</v>
      </c>
      <c r="G808" s="105">
        <v>8.0</v>
      </c>
      <c r="H808" s="105">
        <v>0.0</v>
      </c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>
      <c r="A809" s="103">
        <v>807.0</v>
      </c>
      <c r="B809" s="104" t="s">
        <v>1997</v>
      </c>
      <c r="C809" s="104" t="s">
        <v>1972</v>
      </c>
      <c r="D809" s="103">
        <v>0.0</v>
      </c>
      <c r="E809" s="103">
        <v>0.0</v>
      </c>
      <c r="F809" s="103">
        <v>0.0</v>
      </c>
      <c r="G809" s="103">
        <v>8.0</v>
      </c>
      <c r="H809" s="103">
        <v>0.0</v>
      </c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>
      <c r="A810" s="105">
        <v>808.0</v>
      </c>
      <c r="B810" s="106" t="s">
        <v>1998</v>
      </c>
      <c r="C810" s="106" t="s">
        <v>1972</v>
      </c>
      <c r="D810" s="105">
        <v>0.0</v>
      </c>
      <c r="E810" s="105">
        <v>0.0</v>
      </c>
      <c r="F810" s="105">
        <v>0.0</v>
      </c>
      <c r="G810" s="105">
        <v>8.0</v>
      </c>
      <c r="H810" s="105">
        <v>0.0</v>
      </c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>
      <c r="A811" s="103">
        <v>809.0</v>
      </c>
      <c r="B811" s="104" t="s">
        <v>1999</v>
      </c>
      <c r="C811" s="104" t="s">
        <v>1972</v>
      </c>
      <c r="D811" s="103">
        <v>3.0</v>
      </c>
      <c r="E811" s="103">
        <v>0.0</v>
      </c>
      <c r="F811" s="103">
        <v>0.0</v>
      </c>
      <c r="G811" s="103">
        <v>5.0</v>
      </c>
      <c r="H811" s="103">
        <v>0.0</v>
      </c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>
      <c r="A812" s="105">
        <v>810.0</v>
      </c>
      <c r="B812" s="106" t="s">
        <v>2000</v>
      </c>
      <c r="C812" s="106" t="s">
        <v>1972</v>
      </c>
      <c r="D812" s="105">
        <v>0.0</v>
      </c>
      <c r="E812" s="105">
        <v>0.0</v>
      </c>
      <c r="F812" s="105">
        <v>0.0</v>
      </c>
      <c r="G812" s="105">
        <v>8.0</v>
      </c>
      <c r="H812" s="105">
        <v>0.0</v>
      </c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>
      <c r="A813" s="103">
        <v>811.0</v>
      </c>
      <c r="B813" s="104" t="s">
        <v>2001</v>
      </c>
      <c r="C813" s="104" t="s">
        <v>1972</v>
      </c>
      <c r="D813" s="103">
        <v>0.0</v>
      </c>
      <c r="E813" s="103">
        <v>0.0</v>
      </c>
      <c r="F813" s="103">
        <v>0.0</v>
      </c>
      <c r="G813" s="103">
        <v>8.0</v>
      </c>
      <c r="H813" s="103">
        <v>0.0</v>
      </c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>
      <c r="A814" s="105">
        <v>812.0</v>
      </c>
      <c r="B814" s="106" t="s">
        <v>2002</v>
      </c>
      <c r="C814" s="106" t="s">
        <v>1972</v>
      </c>
      <c r="D814" s="105">
        <v>0.0</v>
      </c>
      <c r="E814" s="105">
        <v>0.0</v>
      </c>
      <c r="F814" s="105">
        <v>0.0</v>
      </c>
      <c r="G814" s="105">
        <v>8.0</v>
      </c>
      <c r="H814" s="105">
        <v>0.0</v>
      </c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>
      <c r="A815" s="103">
        <v>813.0</v>
      </c>
      <c r="B815" s="104" t="s">
        <v>2003</v>
      </c>
      <c r="C815" s="104" t="s">
        <v>1972</v>
      </c>
      <c r="D815" s="103">
        <v>0.0</v>
      </c>
      <c r="E815" s="103">
        <v>0.0</v>
      </c>
      <c r="F815" s="103">
        <v>0.0</v>
      </c>
      <c r="G815" s="103">
        <v>8.0</v>
      </c>
      <c r="H815" s="103">
        <v>0.0</v>
      </c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>
      <c r="A816" s="105">
        <v>814.0</v>
      </c>
      <c r="B816" s="106" t="s">
        <v>2004</v>
      </c>
      <c r="C816" s="106" t="s">
        <v>1972</v>
      </c>
      <c r="D816" s="105">
        <v>0.0</v>
      </c>
      <c r="E816" s="105">
        <v>0.0</v>
      </c>
      <c r="F816" s="105">
        <v>0.0</v>
      </c>
      <c r="G816" s="105">
        <v>8.0</v>
      </c>
      <c r="H816" s="105">
        <v>0.0</v>
      </c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>
      <c r="A817" s="103">
        <v>815.0</v>
      </c>
      <c r="B817" s="104" t="s">
        <v>2005</v>
      </c>
      <c r="C817" s="104" t="s">
        <v>1972</v>
      </c>
      <c r="D817" s="103">
        <v>1.0</v>
      </c>
      <c r="E817" s="103">
        <v>0.0</v>
      </c>
      <c r="F817" s="103">
        <v>0.0</v>
      </c>
      <c r="G817" s="103">
        <v>7.0</v>
      </c>
      <c r="H817" s="103">
        <v>0.0</v>
      </c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>
      <c r="A818" s="105">
        <v>816.0</v>
      </c>
      <c r="B818" s="106" t="s">
        <v>2006</v>
      </c>
      <c r="C818" s="106" t="s">
        <v>1972</v>
      </c>
      <c r="D818" s="105">
        <v>2.0</v>
      </c>
      <c r="E818" s="105">
        <v>0.0</v>
      </c>
      <c r="F818" s="105">
        <v>0.0</v>
      </c>
      <c r="G818" s="105">
        <v>6.0</v>
      </c>
      <c r="H818" s="105">
        <v>0.0</v>
      </c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>
      <c r="A819" s="103">
        <v>817.0</v>
      </c>
      <c r="B819" s="104" t="s">
        <v>2007</v>
      </c>
      <c r="C819" s="104" t="s">
        <v>1972</v>
      </c>
      <c r="D819" s="103">
        <v>0.0</v>
      </c>
      <c r="E819" s="103">
        <v>0.0</v>
      </c>
      <c r="F819" s="103">
        <v>0.0</v>
      </c>
      <c r="G819" s="103">
        <v>8.0</v>
      </c>
      <c r="H819" s="103">
        <v>0.0</v>
      </c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>
      <c r="A820" s="105">
        <v>818.0</v>
      </c>
      <c r="B820" s="106" t="s">
        <v>2008</v>
      </c>
      <c r="C820" s="106" t="s">
        <v>2009</v>
      </c>
      <c r="D820" s="105">
        <v>0.0</v>
      </c>
      <c r="E820" s="105">
        <v>0.0</v>
      </c>
      <c r="F820" s="105">
        <v>0.0</v>
      </c>
      <c r="G820" s="105">
        <v>8.0</v>
      </c>
      <c r="H820" s="105">
        <v>0.0</v>
      </c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>
      <c r="A821" s="103">
        <v>819.0</v>
      </c>
      <c r="B821" s="104" t="s">
        <v>2010</v>
      </c>
      <c r="C821" s="104" t="s">
        <v>2009</v>
      </c>
      <c r="D821" s="103">
        <v>0.0</v>
      </c>
      <c r="E821" s="103">
        <v>0.0</v>
      </c>
      <c r="F821" s="103">
        <v>0.0</v>
      </c>
      <c r="G821" s="103">
        <v>8.0</v>
      </c>
      <c r="H821" s="103">
        <v>0.0</v>
      </c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>
      <c r="A822" s="105">
        <v>820.0</v>
      </c>
      <c r="B822" s="106" t="s">
        <v>2011</v>
      </c>
      <c r="C822" s="106" t="s">
        <v>2009</v>
      </c>
      <c r="D822" s="105">
        <v>0.0</v>
      </c>
      <c r="E822" s="105">
        <v>0.0</v>
      </c>
      <c r="F822" s="105">
        <v>0.0</v>
      </c>
      <c r="G822" s="105">
        <v>8.0</v>
      </c>
      <c r="H822" s="105">
        <v>0.0</v>
      </c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>
      <c r="A823" s="103">
        <v>821.0</v>
      </c>
      <c r="B823" s="104" t="s">
        <v>2012</v>
      </c>
      <c r="C823" s="104" t="s">
        <v>2009</v>
      </c>
      <c r="D823" s="103">
        <v>0.0</v>
      </c>
      <c r="E823" s="103">
        <v>0.0</v>
      </c>
      <c r="F823" s="103">
        <v>0.0</v>
      </c>
      <c r="G823" s="103">
        <v>8.0</v>
      </c>
      <c r="H823" s="103">
        <v>0.0</v>
      </c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>
      <c r="A824" s="105">
        <v>822.0</v>
      </c>
      <c r="B824" s="106" t="s">
        <v>2013</v>
      </c>
      <c r="C824" s="106" t="s">
        <v>2009</v>
      </c>
      <c r="D824" s="105">
        <v>0.0</v>
      </c>
      <c r="E824" s="105">
        <v>0.0</v>
      </c>
      <c r="F824" s="105">
        <v>0.0</v>
      </c>
      <c r="G824" s="105">
        <v>8.0</v>
      </c>
      <c r="H824" s="105">
        <v>0.0</v>
      </c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>
      <c r="A825" s="103">
        <v>823.0</v>
      </c>
      <c r="B825" s="104" t="s">
        <v>2014</v>
      </c>
      <c r="C825" s="104" t="s">
        <v>2009</v>
      </c>
      <c r="D825" s="103">
        <v>0.0</v>
      </c>
      <c r="E825" s="103">
        <v>0.0</v>
      </c>
      <c r="F825" s="103">
        <v>0.0</v>
      </c>
      <c r="G825" s="103">
        <v>8.0</v>
      </c>
      <c r="H825" s="103">
        <v>0.0</v>
      </c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>
      <c r="A826" s="105">
        <v>824.0</v>
      </c>
      <c r="B826" s="106" t="s">
        <v>2015</v>
      </c>
      <c r="C826" s="106" t="s">
        <v>2009</v>
      </c>
      <c r="D826" s="105">
        <v>3.0</v>
      </c>
      <c r="E826" s="105">
        <v>0.0</v>
      </c>
      <c r="F826" s="105">
        <v>0.0</v>
      </c>
      <c r="G826" s="105">
        <v>5.0</v>
      </c>
      <c r="H826" s="105">
        <v>0.0</v>
      </c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>
      <c r="A827" s="103">
        <v>825.0</v>
      </c>
      <c r="B827" s="104" t="s">
        <v>2016</v>
      </c>
      <c r="C827" s="104" t="s">
        <v>2009</v>
      </c>
      <c r="D827" s="103">
        <v>0.0</v>
      </c>
      <c r="E827" s="103">
        <v>0.0</v>
      </c>
      <c r="F827" s="103">
        <v>0.0</v>
      </c>
      <c r="G827" s="103">
        <v>8.0</v>
      </c>
      <c r="H827" s="103">
        <v>0.0</v>
      </c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>
      <c r="A828" s="105">
        <v>826.0</v>
      </c>
      <c r="B828" s="106" t="s">
        <v>2017</v>
      </c>
      <c r="C828" s="106" t="s">
        <v>2009</v>
      </c>
      <c r="D828" s="105">
        <v>0.0</v>
      </c>
      <c r="E828" s="105">
        <v>0.0</v>
      </c>
      <c r="F828" s="105">
        <v>0.0</v>
      </c>
      <c r="G828" s="105">
        <v>8.0</v>
      </c>
      <c r="H828" s="105">
        <v>0.0</v>
      </c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>
      <c r="A829" s="103">
        <v>827.0</v>
      </c>
      <c r="B829" s="104" t="s">
        <v>2018</v>
      </c>
      <c r="C829" s="104" t="s">
        <v>2009</v>
      </c>
      <c r="D829" s="103">
        <v>2.0</v>
      </c>
      <c r="E829" s="103">
        <v>0.0</v>
      </c>
      <c r="F829" s="103">
        <v>0.0</v>
      </c>
      <c r="G829" s="103">
        <v>6.0</v>
      </c>
      <c r="H829" s="103">
        <v>0.0</v>
      </c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>
      <c r="A830" s="105">
        <v>828.0</v>
      </c>
      <c r="B830" s="106" t="s">
        <v>2019</v>
      </c>
      <c r="C830" s="106" t="s">
        <v>2009</v>
      </c>
      <c r="D830" s="105">
        <v>0.0</v>
      </c>
      <c r="E830" s="105">
        <v>0.0</v>
      </c>
      <c r="F830" s="105">
        <v>0.0</v>
      </c>
      <c r="G830" s="105">
        <v>8.0</v>
      </c>
      <c r="H830" s="105">
        <v>0.0</v>
      </c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>
      <c r="A831" s="103">
        <v>829.0</v>
      </c>
      <c r="B831" s="104" t="s">
        <v>2020</v>
      </c>
      <c r="C831" s="104" t="s">
        <v>2009</v>
      </c>
      <c r="D831" s="103">
        <v>1.0</v>
      </c>
      <c r="E831" s="103">
        <v>0.0</v>
      </c>
      <c r="F831" s="103">
        <v>0.0</v>
      </c>
      <c r="G831" s="103">
        <v>7.0</v>
      </c>
      <c r="H831" s="103">
        <v>0.0</v>
      </c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>
      <c r="A832" s="105">
        <v>830.0</v>
      </c>
      <c r="B832" s="106" t="s">
        <v>2021</v>
      </c>
      <c r="C832" s="106" t="s">
        <v>2009</v>
      </c>
      <c r="D832" s="105">
        <v>0.0</v>
      </c>
      <c r="E832" s="105">
        <v>0.0</v>
      </c>
      <c r="F832" s="105">
        <v>0.0</v>
      </c>
      <c r="G832" s="105">
        <v>8.0</v>
      </c>
      <c r="H832" s="105">
        <v>0.0</v>
      </c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>
      <c r="A833" s="103">
        <v>831.0</v>
      </c>
      <c r="B833" s="104" t="s">
        <v>2022</v>
      </c>
      <c r="C833" s="104" t="s">
        <v>2009</v>
      </c>
      <c r="D833" s="103">
        <v>0.0</v>
      </c>
      <c r="E833" s="103">
        <v>0.0</v>
      </c>
      <c r="F833" s="103">
        <v>0.0</v>
      </c>
      <c r="G833" s="103">
        <v>8.0</v>
      </c>
      <c r="H833" s="103">
        <v>0.0</v>
      </c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>
      <c r="A834" s="105">
        <v>832.0</v>
      </c>
      <c r="B834" s="106" t="s">
        <v>2023</v>
      </c>
      <c r="C834" s="106" t="s">
        <v>2009</v>
      </c>
      <c r="D834" s="105">
        <v>0.0</v>
      </c>
      <c r="E834" s="105">
        <v>0.0</v>
      </c>
      <c r="F834" s="105">
        <v>0.0</v>
      </c>
      <c r="G834" s="105">
        <v>8.0</v>
      </c>
      <c r="H834" s="105">
        <v>0.0</v>
      </c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>
      <c r="A835" s="103">
        <v>833.0</v>
      </c>
      <c r="B835" s="104" t="s">
        <v>2024</v>
      </c>
      <c r="C835" s="104" t="s">
        <v>2009</v>
      </c>
      <c r="D835" s="103">
        <v>1.0</v>
      </c>
      <c r="E835" s="103">
        <v>0.0</v>
      </c>
      <c r="F835" s="103">
        <v>0.0</v>
      </c>
      <c r="G835" s="103">
        <v>7.0</v>
      </c>
      <c r="H835" s="103">
        <v>0.0</v>
      </c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>
      <c r="A836" s="105">
        <v>834.0</v>
      </c>
      <c r="B836" s="106" t="s">
        <v>2025</v>
      </c>
      <c r="C836" s="106" t="s">
        <v>2009</v>
      </c>
      <c r="D836" s="105">
        <v>0.0</v>
      </c>
      <c r="E836" s="105">
        <v>0.0</v>
      </c>
      <c r="F836" s="105">
        <v>0.0</v>
      </c>
      <c r="G836" s="105">
        <v>8.0</v>
      </c>
      <c r="H836" s="105">
        <v>0.0</v>
      </c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>
      <c r="A837" s="103">
        <v>835.0</v>
      </c>
      <c r="B837" s="104" t="s">
        <v>2026</v>
      </c>
      <c r="C837" s="104" t="s">
        <v>2009</v>
      </c>
      <c r="D837" s="103">
        <v>1.0</v>
      </c>
      <c r="E837" s="103">
        <v>0.0</v>
      </c>
      <c r="F837" s="103">
        <v>0.0</v>
      </c>
      <c r="G837" s="103">
        <v>7.0</v>
      </c>
      <c r="H837" s="103">
        <v>0.0</v>
      </c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>
      <c r="A838" s="105">
        <v>836.0</v>
      </c>
      <c r="B838" s="106" t="s">
        <v>2027</v>
      </c>
      <c r="C838" s="106" t="s">
        <v>2009</v>
      </c>
      <c r="D838" s="105">
        <v>0.0</v>
      </c>
      <c r="E838" s="105">
        <v>0.0</v>
      </c>
      <c r="F838" s="105">
        <v>0.0</v>
      </c>
      <c r="G838" s="105">
        <v>8.0</v>
      </c>
      <c r="H838" s="105">
        <v>0.0</v>
      </c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>
      <c r="A839" s="103">
        <v>837.0</v>
      </c>
      <c r="B839" s="104" t="s">
        <v>2028</v>
      </c>
      <c r="C839" s="104" t="s">
        <v>2009</v>
      </c>
      <c r="D839" s="103">
        <v>0.0</v>
      </c>
      <c r="E839" s="103">
        <v>0.0</v>
      </c>
      <c r="F839" s="103">
        <v>0.0</v>
      </c>
      <c r="G839" s="103">
        <v>8.0</v>
      </c>
      <c r="H839" s="103">
        <v>0.0</v>
      </c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>
      <c r="A840" s="105">
        <v>838.0</v>
      </c>
      <c r="B840" s="106" t="s">
        <v>2029</v>
      </c>
      <c r="C840" s="106" t="s">
        <v>2009</v>
      </c>
      <c r="D840" s="105">
        <v>0.0</v>
      </c>
      <c r="E840" s="105">
        <v>0.0</v>
      </c>
      <c r="F840" s="105">
        <v>0.0</v>
      </c>
      <c r="G840" s="105">
        <v>8.0</v>
      </c>
      <c r="H840" s="105">
        <v>0.0</v>
      </c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>
      <c r="A841" s="103">
        <v>839.0</v>
      </c>
      <c r="B841" s="104" t="s">
        <v>2030</v>
      </c>
      <c r="C841" s="104" t="s">
        <v>2009</v>
      </c>
      <c r="D841" s="103">
        <v>0.0</v>
      </c>
      <c r="E841" s="103">
        <v>0.0</v>
      </c>
      <c r="F841" s="103">
        <v>0.0</v>
      </c>
      <c r="G841" s="103">
        <v>8.0</v>
      </c>
      <c r="H841" s="103">
        <v>0.0</v>
      </c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>
      <c r="A842" s="105">
        <v>840.0</v>
      </c>
      <c r="B842" s="106" t="s">
        <v>2031</v>
      </c>
      <c r="C842" s="106" t="s">
        <v>2009</v>
      </c>
      <c r="D842" s="105">
        <v>0.0</v>
      </c>
      <c r="E842" s="105">
        <v>0.0</v>
      </c>
      <c r="F842" s="105">
        <v>1.0</v>
      </c>
      <c r="G842" s="105">
        <v>7.0</v>
      </c>
      <c r="H842" s="105">
        <v>0.0</v>
      </c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>
      <c r="A843" s="103">
        <v>841.0</v>
      </c>
      <c r="B843" s="104" t="s">
        <v>2032</v>
      </c>
      <c r="C843" s="104" t="s">
        <v>2009</v>
      </c>
      <c r="D843" s="103">
        <v>0.0</v>
      </c>
      <c r="E843" s="103">
        <v>0.0</v>
      </c>
      <c r="F843" s="103">
        <v>0.0</v>
      </c>
      <c r="G843" s="103">
        <v>8.0</v>
      </c>
      <c r="H843" s="103">
        <v>0.0</v>
      </c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>
      <c r="A844" s="105">
        <v>842.0</v>
      </c>
      <c r="B844" s="106" t="s">
        <v>2033</v>
      </c>
      <c r="C844" s="106" t="s">
        <v>2009</v>
      </c>
      <c r="D844" s="105">
        <v>0.0</v>
      </c>
      <c r="E844" s="105">
        <v>0.0</v>
      </c>
      <c r="F844" s="105">
        <v>0.0</v>
      </c>
      <c r="G844" s="105">
        <v>8.0</v>
      </c>
      <c r="H844" s="105">
        <v>0.0</v>
      </c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>
      <c r="A845" s="103">
        <v>843.0</v>
      </c>
      <c r="B845" s="104" t="s">
        <v>2034</v>
      </c>
      <c r="C845" s="104" t="s">
        <v>2009</v>
      </c>
      <c r="D845" s="103">
        <v>2.0</v>
      </c>
      <c r="E845" s="103">
        <v>0.0</v>
      </c>
      <c r="F845" s="103">
        <v>0.0</v>
      </c>
      <c r="G845" s="103">
        <v>6.0</v>
      </c>
      <c r="H845" s="103">
        <v>0.0</v>
      </c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>
      <c r="A846" s="105">
        <v>844.0</v>
      </c>
      <c r="B846" s="106" t="s">
        <v>2035</v>
      </c>
      <c r="C846" s="106" t="s">
        <v>2009</v>
      </c>
      <c r="D846" s="105">
        <v>0.0</v>
      </c>
      <c r="E846" s="105">
        <v>0.0</v>
      </c>
      <c r="F846" s="105">
        <v>0.0</v>
      </c>
      <c r="G846" s="105">
        <v>8.0</v>
      </c>
      <c r="H846" s="105">
        <v>0.0</v>
      </c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>
      <c r="A847" s="103">
        <v>845.0</v>
      </c>
      <c r="B847" s="104" t="s">
        <v>2036</v>
      </c>
      <c r="C847" s="104" t="s">
        <v>2009</v>
      </c>
      <c r="D847" s="103">
        <v>0.0</v>
      </c>
      <c r="E847" s="103">
        <v>0.0</v>
      </c>
      <c r="F847" s="103">
        <v>0.0</v>
      </c>
      <c r="G847" s="103">
        <v>8.0</v>
      </c>
      <c r="H847" s="103">
        <v>0.0</v>
      </c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>
      <c r="A848" s="105">
        <v>846.0</v>
      </c>
      <c r="B848" s="106" t="s">
        <v>2037</v>
      </c>
      <c r="C848" s="106" t="s">
        <v>2009</v>
      </c>
      <c r="D848" s="105">
        <v>0.0</v>
      </c>
      <c r="E848" s="105">
        <v>0.0</v>
      </c>
      <c r="F848" s="105">
        <v>0.0</v>
      </c>
      <c r="G848" s="105">
        <v>8.0</v>
      </c>
      <c r="H848" s="105">
        <v>0.0</v>
      </c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>
      <c r="A849" s="103">
        <v>847.0</v>
      </c>
      <c r="B849" s="104" t="s">
        <v>2038</v>
      </c>
      <c r="C849" s="104" t="s">
        <v>2009</v>
      </c>
      <c r="D849" s="103">
        <v>0.0</v>
      </c>
      <c r="E849" s="103">
        <v>0.0</v>
      </c>
      <c r="F849" s="103">
        <v>0.0</v>
      </c>
      <c r="G849" s="103">
        <v>8.0</v>
      </c>
      <c r="H849" s="103">
        <v>0.0</v>
      </c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>
      <c r="A850" s="105">
        <v>848.0</v>
      </c>
      <c r="B850" s="106" t="s">
        <v>2039</v>
      </c>
      <c r="C850" s="106" t="s">
        <v>2009</v>
      </c>
      <c r="D850" s="105">
        <v>0.0</v>
      </c>
      <c r="E850" s="105">
        <v>0.0</v>
      </c>
      <c r="F850" s="105">
        <v>0.0</v>
      </c>
      <c r="G850" s="105">
        <v>8.0</v>
      </c>
      <c r="H850" s="105">
        <v>0.0</v>
      </c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>
      <c r="A851" s="103">
        <v>849.0</v>
      </c>
      <c r="B851" s="104" t="s">
        <v>2040</v>
      </c>
      <c r="C851" s="104" t="s">
        <v>2009</v>
      </c>
      <c r="D851" s="103">
        <v>0.0</v>
      </c>
      <c r="E851" s="103">
        <v>0.0</v>
      </c>
      <c r="F851" s="103">
        <v>0.0</v>
      </c>
      <c r="G851" s="103">
        <v>8.0</v>
      </c>
      <c r="H851" s="103">
        <v>0.0</v>
      </c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>
      <c r="A852" s="105">
        <v>850.0</v>
      </c>
      <c r="B852" s="106" t="s">
        <v>2041</v>
      </c>
      <c r="C852" s="106" t="s">
        <v>2009</v>
      </c>
      <c r="D852" s="105">
        <v>0.0</v>
      </c>
      <c r="E852" s="105">
        <v>0.0</v>
      </c>
      <c r="F852" s="105">
        <v>0.0</v>
      </c>
      <c r="G852" s="105">
        <v>8.0</v>
      </c>
      <c r="H852" s="105">
        <v>0.0</v>
      </c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>
      <c r="A853" s="103">
        <v>851.0</v>
      </c>
      <c r="B853" s="104" t="s">
        <v>2042</v>
      </c>
      <c r="C853" s="104" t="s">
        <v>2009</v>
      </c>
      <c r="D853" s="103">
        <v>0.0</v>
      </c>
      <c r="E853" s="103">
        <v>0.0</v>
      </c>
      <c r="F853" s="103">
        <v>0.0</v>
      </c>
      <c r="G853" s="103">
        <v>8.0</v>
      </c>
      <c r="H853" s="103">
        <v>0.0</v>
      </c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>
      <c r="A854" s="105">
        <v>852.0</v>
      </c>
      <c r="B854" s="106" t="s">
        <v>2043</v>
      </c>
      <c r="C854" s="106" t="s">
        <v>2009</v>
      </c>
      <c r="D854" s="105">
        <v>0.0</v>
      </c>
      <c r="E854" s="105">
        <v>0.0</v>
      </c>
      <c r="F854" s="105">
        <v>0.0</v>
      </c>
      <c r="G854" s="105">
        <v>8.0</v>
      </c>
      <c r="H854" s="105">
        <v>0.0</v>
      </c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>
      <c r="A855" s="103">
        <v>853.0</v>
      </c>
      <c r="B855" s="104" t="s">
        <v>2044</v>
      </c>
      <c r="C855" s="104" t="s">
        <v>2009</v>
      </c>
      <c r="D855" s="103">
        <v>0.0</v>
      </c>
      <c r="E855" s="103">
        <v>0.0</v>
      </c>
      <c r="F855" s="103">
        <v>0.0</v>
      </c>
      <c r="G855" s="103">
        <v>8.0</v>
      </c>
      <c r="H855" s="103">
        <v>0.0</v>
      </c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>
      <c r="A856" s="105">
        <v>854.0</v>
      </c>
      <c r="B856" s="106" t="s">
        <v>2045</v>
      </c>
      <c r="C856" s="106" t="s">
        <v>2046</v>
      </c>
      <c r="D856" s="105">
        <v>0.0</v>
      </c>
      <c r="E856" s="105">
        <v>0.0</v>
      </c>
      <c r="F856" s="105">
        <v>0.0</v>
      </c>
      <c r="G856" s="105">
        <v>8.0</v>
      </c>
      <c r="H856" s="105">
        <v>0.0</v>
      </c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>
      <c r="A857" s="103">
        <v>855.0</v>
      </c>
      <c r="B857" s="104" t="s">
        <v>2047</v>
      </c>
      <c r="C857" s="104" t="s">
        <v>2046</v>
      </c>
      <c r="D857" s="103">
        <v>0.0</v>
      </c>
      <c r="E857" s="103">
        <v>0.0</v>
      </c>
      <c r="F857" s="103">
        <v>0.0</v>
      </c>
      <c r="G857" s="103">
        <v>8.0</v>
      </c>
      <c r="H857" s="103">
        <v>0.0</v>
      </c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>
      <c r="A858" s="105">
        <v>856.0</v>
      </c>
      <c r="B858" s="106" t="s">
        <v>2048</v>
      </c>
      <c r="C858" s="106" t="s">
        <v>2046</v>
      </c>
      <c r="D858" s="105">
        <v>0.0</v>
      </c>
      <c r="E858" s="105">
        <v>0.0</v>
      </c>
      <c r="F858" s="105">
        <v>0.0</v>
      </c>
      <c r="G858" s="105">
        <v>8.0</v>
      </c>
      <c r="H858" s="105">
        <v>0.0</v>
      </c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>
      <c r="A859" s="103">
        <v>857.0</v>
      </c>
      <c r="B859" s="104" t="s">
        <v>2049</v>
      </c>
      <c r="C859" s="104" t="s">
        <v>2046</v>
      </c>
      <c r="D859" s="103">
        <v>0.0</v>
      </c>
      <c r="E859" s="103">
        <v>0.0</v>
      </c>
      <c r="F859" s="103">
        <v>0.0</v>
      </c>
      <c r="G859" s="103">
        <v>8.0</v>
      </c>
      <c r="H859" s="103">
        <v>0.0</v>
      </c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>
      <c r="A860" s="105">
        <v>858.0</v>
      </c>
      <c r="B860" s="106" t="s">
        <v>2050</v>
      </c>
      <c r="C860" s="106" t="s">
        <v>2046</v>
      </c>
      <c r="D860" s="105">
        <v>0.0</v>
      </c>
      <c r="E860" s="105">
        <v>0.0</v>
      </c>
      <c r="F860" s="105">
        <v>0.0</v>
      </c>
      <c r="G860" s="105">
        <v>8.0</v>
      </c>
      <c r="H860" s="105">
        <v>0.0</v>
      </c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>
      <c r="A861" s="103">
        <v>859.0</v>
      </c>
      <c r="B861" s="104" t="s">
        <v>2051</v>
      </c>
      <c r="C861" s="104" t="s">
        <v>2046</v>
      </c>
      <c r="D861" s="103">
        <v>0.0</v>
      </c>
      <c r="E861" s="103">
        <v>0.0</v>
      </c>
      <c r="F861" s="103">
        <v>0.0</v>
      </c>
      <c r="G861" s="103">
        <v>8.0</v>
      </c>
      <c r="H861" s="103">
        <v>0.0</v>
      </c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>
      <c r="A862" s="105">
        <v>860.0</v>
      </c>
      <c r="B862" s="106" t="s">
        <v>2052</v>
      </c>
      <c r="C862" s="106" t="s">
        <v>2046</v>
      </c>
      <c r="D862" s="105">
        <v>1.0</v>
      </c>
      <c r="E862" s="105">
        <v>0.0</v>
      </c>
      <c r="F862" s="105">
        <v>0.0</v>
      </c>
      <c r="G862" s="105">
        <v>7.0</v>
      </c>
      <c r="H862" s="105">
        <v>0.0</v>
      </c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>
      <c r="A863" s="103">
        <v>861.0</v>
      </c>
      <c r="B863" s="104" t="s">
        <v>2053</v>
      </c>
      <c r="C863" s="104" t="s">
        <v>2046</v>
      </c>
      <c r="D863" s="103">
        <v>0.0</v>
      </c>
      <c r="E863" s="103">
        <v>0.0</v>
      </c>
      <c r="F863" s="103">
        <v>0.0</v>
      </c>
      <c r="G863" s="103">
        <v>8.0</v>
      </c>
      <c r="H863" s="103">
        <v>0.0</v>
      </c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>
      <c r="A864" s="105">
        <v>862.0</v>
      </c>
      <c r="B864" s="106" t="s">
        <v>2054</v>
      </c>
      <c r="C864" s="106" t="s">
        <v>2046</v>
      </c>
      <c r="D864" s="105">
        <v>0.0</v>
      </c>
      <c r="E864" s="105">
        <v>0.0</v>
      </c>
      <c r="F864" s="105">
        <v>0.0</v>
      </c>
      <c r="G864" s="105">
        <v>8.0</v>
      </c>
      <c r="H864" s="105">
        <v>0.0</v>
      </c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>
      <c r="A865" s="103">
        <v>863.0</v>
      </c>
      <c r="B865" s="104" t="s">
        <v>2055</v>
      </c>
      <c r="C865" s="104" t="s">
        <v>2046</v>
      </c>
      <c r="D865" s="103">
        <v>0.0</v>
      </c>
      <c r="E865" s="103">
        <v>0.0</v>
      </c>
      <c r="F865" s="103">
        <v>0.0</v>
      </c>
      <c r="G865" s="103">
        <v>8.0</v>
      </c>
      <c r="H865" s="103">
        <v>0.0</v>
      </c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>
      <c r="A866" s="105">
        <v>864.0</v>
      </c>
      <c r="B866" s="106" t="s">
        <v>2056</v>
      </c>
      <c r="C866" s="106" t="s">
        <v>2046</v>
      </c>
      <c r="D866" s="105">
        <v>0.0</v>
      </c>
      <c r="E866" s="105">
        <v>0.0</v>
      </c>
      <c r="F866" s="105">
        <v>0.0</v>
      </c>
      <c r="G866" s="105">
        <v>8.0</v>
      </c>
      <c r="H866" s="105">
        <v>0.0</v>
      </c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>
      <c r="A867" s="103">
        <v>865.0</v>
      </c>
      <c r="B867" s="104" t="s">
        <v>2057</v>
      </c>
      <c r="C867" s="104" t="s">
        <v>2046</v>
      </c>
      <c r="D867" s="103">
        <v>0.0</v>
      </c>
      <c r="E867" s="103">
        <v>0.0</v>
      </c>
      <c r="F867" s="103">
        <v>0.0</v>
      </c>
      <c r="G867" s="103">
        <v>8.0</v>
      </c>
      <c r="H867" s="103">
        <v>0.0</v>
      </c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>
      <c r="A868" s="105">
        <v>866.0</v>
      </c>
      <c r="B868" s="106" t="s">
        <v>2058</v>
      </c>
      <c r="C868" s="106" t="s">
        <v>2046</v>
      </c>
      <c r="D868" s="105">
        <v>0.0</v>
      </c>
      <c r="E868" s="105">
        <v>0.0</v>
      </c>
      <c r="F868" s="105">
        <v>0.0</v>
      </c>
      <c r="G868" s="105">
        <v>8.0</v>
      </c>
      <c r="H868" s="105">
        <v>0.0</v>
      </c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>
      <c r="A869" s="103">
        <v>867.0</v>
      </c>
      <c r="B869" s="104" t="s">
        <v>2059</v>
      </c>
      <c r="C869" s="104" t="s">
        <v>2046</v>
      </c>
      <c r="D869" s="103">
        <v>0.0</v>
      </c>
      <c r="E869" s="103">
        <v>0.0</v>
      </c>
      <c r="F869" s="103">
        <v>0.0</v>
      </c>
      <c r="G869" s="103">
        <v>8.0</v>
      </c>
      <c r="H869" s="103">
        <v>0.0</v>
      </c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>
      <c r="A870" s="105">
        <v>868.0</v>
      </c>
      <c r="B870" s="106" t="s">
        <v>2060</v>
      </c>
      <c r="C870" s="106" t="s">
        <v>2046</v>
      </c>
      <c r="D870" s="105">
        <v>2.0</v>
      </c>
      <c r="E870" s="105">
        <v>0.0</v>
      </c>
      <c r="F870" s="105">
        <v>0.0</v>
      </c>
      <c r="G870" s="105">
        <v>6.0</v>
      </c>
      <c r="H870" s="105">
        <v>0.0</v>
      </c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>
      <c r="A871" s="103">
        <v>869.0</v>
      </c>
      <c r="B871" s="104" t="s">
        <v>2061</v>
      </c>
      <c r="C871" s="104" t="s">
        <v>2046</v>
      </c>
      <c r="D871" s="103">
        <v>2.0</v>
      </c>
      <c r="E871" s="103">
        <v>0.0</v>
      </c>
      <c r="F871" s="103">
        <v>0.0</v>
      </c>
      <c r="G871" s="103">
        <v>6.0</v>
      </c>
      <c r="H871" s="103">
        <v>0.0</v>
      </c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>
      <c r="A872" s="105">
        <v>870.0</v>
      </c>
      <c r="B872" s="106" t="s">
        <v>2062</v>
      </c>
      <c r="C872" s="106" t="s">
        <v>2046</v>
      </c>
      <c r="D872" s="105">
        <v>0.0</v>
      </c>
      <c r="E872" s="105">
        <v>0.0</v>
      </c>
      <c r="F872" s="105">
        <v>0.0</v>
      </c>
      <c r="G872" s="105">
        <v>8.0</v>
      </c>
      <c r="H872" s="105">
        <v>0.0</v>
      </c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>
      <c r="A873" s="103">
        <v>871.0</v>
      </c>
      <c r="B873" s="104" t="s">
        <v>2063</v>
      </c>
      <c r="C873" s="104" t="s">
        <v>2046</v>
      </c>
      <c r="D873" s="103">
        <v>0.0</v>
      </c>
      <c r="E873" s="103">
        <v>0.0</v>
      </c>
      <c r="F873" s="103">
        <v>0.0</v>
      </c>
      <c r="G873" s="103">
        <v>8.0</v>
      </c>
      <c r="H873" s="103">
        <v>0.0</v>
      </c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>
      <c r="A874" s="105">
        <v>872.0</v>
      </c>
      <c r="B874" s="106" t="s">
        <v>2064</v>
      </c>
      <c r="C874" s="106" t="s">
        <v>2046</v>
      </c>
      <c r="D874" s="105">
        <v>0.0</v>
      </c>
      <c r="E874" s="105">
        <v>0.0</v>
      </c>
      <c r="F874" s="105">
        <v>0.0</v>
      </c>
      <c r="G874" s="105">
        <v>8.0</v>
      </c>
      <c r="H874" s="105">
        <v>0.0</v>
      </c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>
      <c r="A875" s="103">
        <v>873.0</v>
      </c>
      <c r="B875" s="104" t="s">
        <v>2065</v>
      </c>
      <c r="C875" s="104" t="s">
        <v>2046</v>
      </c>
      <c r="D875" s="103">
        <v>0.0</v>
      </c>
      <c r="E875" s="103">
        <v>0.0</v>
      </c>
      <c r="F875" s="103">
        <v>0.0</v>
      </c>
      <c r="G875" s="103">
        <v>8.0</v>
      </c>
      <c r="H875" s="103">
        <v>0.0</v>
      </c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>
      <c r="A876" s="105">
        <v>874.0</v>
      </c>
      <c r="B876" s="106" t="s">
        <v>2066</v>
      </c>
      <c r="C876" s="106" t="s">
        <v>2046</v>
      </c>
      <c r="D876" s="105">
        <v>0.0</v>
      </c>
      <c r="E876" s="105">
        <v>0.0</v>
      </c>
      <c r="F876" s="105">
        <v>0.0</v>
      </c>
      <c r="G876" s="105">
        <v>8.0</v>
      </c>
      <c r="H876" s="105">
        <v>0.0</v>
      </c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>
      <c r="A877" s="103">
        <v>875.0</v>
      </c>
      <c r="B877" s="104" t="s">
        <v>2067</v>
      </c>
      <c r="C877" s="104" t="s">
        <v>2046</v>
      </c>
      <c r="D877" s="103">
        <v>0.0</v>
      </c>
      <c r="E877" s="103">
        <v>0.0</v>
      </c>
      <c r="F877" s="103">
        <v>0.0</v>
      </c>
      <c r="G877" s="103">
        <v>8.0</v>
      </c>
      <c r="H877" s="103">
        <v>0.0</v>
      </c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>
      <c r="A878" s="105">
        <v>876.0</v>
      </c>
      <c r="B878" s="106" t="s">
        <v>2068</v>
      </c>
      <c r="C878" s="106" t="s">
        <v>2046</v>
      </c>
      <c r="D878" s="105">
        <v>0.0</v>
      </c>
      <c r="E878" s="105">
        <v>0.0</v>
      </c>
      <c r="F878" s="105">
        <v>0.0</v>
      </c>
      <c r="G878" s="105">
        <v>8.0</v>
      </c>
      <c r="H878" s="105">
        <v>0.0</v>
      </c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>
      <c r="A879" s="103">
        <v>877.0</v>
      </c>
      <c r="B879" s="104" t="s">
        <v>2069</v>
      </c>
      <c r="C879" s="104" t="s">
        <v>2046</v>
      </c>
      <c r="D879" s="103">
        <v>0.0</v>
      </c>
      <c r="E879" s="103">
        <v>0.0</v>
      </c>
      <c r="F879" s="103">
        <v>0.0</v>
      </c>
      <c r="G879" s="103">
        <v>8.0</v>
      </c>
      <c r="H879" s="103">
        <v>0.0</v>
      </c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>
      <c r="A880" s="105">
        <v>878.0</v>
      </c>
      <c r="B880" s="106" t="s">
        <v>2070</v>
      </c>
      <c r="C880" s="106" t="s">
        <v>2046</v>
      </c>
      <c r="D880" s="105">
        <v>0.0</v>
      </c>
      <c r="E880" s="105">
        <v>0.0</v>
      </c>
      <c r="F880" s="105">
        <v>0.0</v>
      </c>
      <c r="G880" s="105">
        <v>8.0</v>
      </c>
      <c r="H880" s="105">
        <v>0.0</v>
      </c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>
      <c r="A881" s="103">
        <v>879.0</v>
      </c>
      <c r="B881" s="104" t="s">
        <v>2071</v>
      </c>
      <c r="C881" s="104" t="s">
        <v>2046</v>
      </c>
      <c r="D881" s="103">
        <v>0.0</v>
      </c>
      <c r="E881" s="103">
        <v>0.0</v>
      </c>
      <c r="F881" s="103">
        <v>0.0</v>
      </c>
      <c r="G881" s="103">
        <v>8.0</v>
      </c>
      <c r="H881" s="103">
        <v>0.0</v>
      </c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>
      <c r="A882" s="105">
        <v>880.0</v>
      </c>
      <c r="B882" s="106" t="s">
        <v>2072</v>
      </c>
      <c r="C882" s="106" t="s">
        <v>2046</v>
      </c>
      <c r="D882" s="105">
        <v>2.0</v>
      </c>
      <c r="E882" s="105">
        <v>0.0</v>
      </c>
      <c r="F882" s="105">
        <v>0.0</v>
      </c>
      <c r="G882" s="105">
        <v>6.0</v>
      </c>
      <c r="H882" s="105">
        <v>0.0</v>
      </c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>
      <c r="A883" s="103">
        <v>881.0</v>
      </c>
      <c r="B883" s="104" t="s">
        <v>2073</v>
      </c>
      <c r="C883" s="104" t="s">
        <v>2046</v>
      </c>
      <c r="D883" s="103">
        <v>0.0</v>
      </c>
      <c r="E883" s="103">
        <v>0.0</v>
      </c>
      <c r="F883" s="103">
        <v>0.0</v>
      </c>
      <c r="G883" s="103">
        <v>8.0</v>
      </c>
      <c r="H883" s="103">
        <v>0.0</v>
      </c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>
      <c r="A884" s="105">
        <v>882.0</v>
      </c>
      <c r="B884" s="106" t="s">
        <v>2074</v>
      </c>
      <c r="C884" s="106" t="s">
        <v>2046</v>
      </c>
      <c r="D884" s="105">
        <v>0.0</v>
      </c>
      <c r="E884" s="105">
        <v>0.0</v>
      </c>
      <c r="F884" s="105">
        <v>0.0</v>
      </c>
      <c r="G884" s="105">
        <v>8.0</v>
      </c>
      <c r="H884" s="105">
        <v>0.0</v>
      </c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>
      <c r="A885" s="103">
        <v>883.0</v>
      </c>
      <c r="B885" s="104" t="s">
        <v>2075</v>
      </c>
      <c r="C885" s="104" t="s">
        <v>2046</v>
      </c>
      <c r="D885" s="103">
        <v>0.0</v>
      </c>
      <c r="E885" s="103">
        <v>0.0</v>
      </c>
      <c r="F885" s="103">
        <v>0.0</v>
      </c>
      <c r="G885" s="103">
        <v>8.0</v>
      </c>
      <c r="H885" s="103">
        <v>0.0</v>
      </c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>
      <c r="A886" s="105">
        <v>884.0</v>
      </c>
      <c r="B886" s="106" t="s">
        <v>2076</v>
      </c>
      <c r="C886" s="106" t="s">
        <v>2046</v>
      </c>
      <c r="D886" s="105">
        <v>0.0</v>
      </c>
      <c r="E886" s="105">
        <v>0.0</v>
      </c>
      <c r="F886" s="105">
        <v>0.0</v>
      </c>
      <c r="G886" s="105">
        <v>8.0</v>
      </c>
      <c r="H886" s="105">
        <v>0.0</v>
      </c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>
      <c r="A887" s="103">
        <v>885.0</v>
      </c>
      <c r="B887" s="104" t="s">
        <v>2077</v>
      </c>
      <c r="C887" s="104" t="s">
        <v>2046</v>
      </c>
      <c r="D887" s="103">
        <v>2.0</v>
      </c>
      <c r="E887" s="103">
        <v>0.0</v>
      </c>
      <c r="F887" s="103">
        <v>0.0</v>
      </c>
      <c r="G887" s="103">
        <v>6.0</v>
      </c>
      <c r="H887" s="103">
        <v>0.0</v>
      </c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>
      <c r="A888" s="105">
        <v>886.0</v>
      </c>
      <c r="B888" s="106" t="s">
        <v>2078</v>
      </c>
      <c r="C888" s="106" t="s">
        <v>2046</v>
      </c>
      <c r="D888" s="105">
        <v>0.0</v>
      </c>
      <c r="E888" s="105">
        <v>0.0</v>
      </c>
      <c r="F888" s="105">
        <v>0.0</v>
      </c>
      <c r="G888" s="105">
        <v>8.0</v>
      </c>
      <c r="H888" s="105">
        <v>0.0</v>
      </c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>
      <c r="A889" s="103">
        <v>887.0</v>
      </c>
      <c r="B889" s="104" t="s">
        <v>2079</v>
      </c>
      <c r="C889" s="104" t="s">
        <v>2046</v>
      </c>
      <c r="D889" s="103">
        <v>0.0</v>
      </c>
      <c r="E889" s="103">
        <v>0.0</v>
      </c>
      <c r="F889" s="103">
        <v>0.0</v>
      </c>
      <c r="G889" s="103">
        <v>8.0</v>
      </c>
      <c r="H889" s="103">
        <v>0.0</v>
      </c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>
      <c r="A890" s="105">
        <v>888.0</v>
      </c>
      <c r="B890" s="106" t="s">
        <v>2080</v>
      </c>
      <c r="C890" s="106" t="s">
        <v>2046</v>
      </c>
      <c r="D890" s="105">
        <v>4.0</v>
      </c>
      <c r="E890" s="105">
        <v>0.0</v>
      </c>
      <c r="F890" s="105">
        <v>0.0</v>
      </c>
      <c r="G890" s="105">
        <v>4.0</v>
      </c>
      <c r="H890" s="105">
        <v>0.0</v>
      </c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>
      <c r="A891" s="103">
        <v>889.0</v>
      </c>
      <c r="B891" s="104" t="s">
        <v>2081</v>
      </c>
      <c r="C891" s="104" t="s">
        <v>2046</v>
      </c>
      <c r="D891" s="103">
        <v>0.0</v>
      </c>
      <c r="E891" s="103">
        <v>0.0</v>
      </c>
      <c r="F891" s="103">
        <v>0.0</v>
      </c>
      <c r="G891" s="103">
        <v>8.0</v>
      </c>
      <c r="H891" s="103">
        <v>0.0</v>
      </c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>
      <c r="A892" s="105">
        <v>890.0</v>
      </c>
      <c r="B892" s="106" t="s">
        <v>2082</v>
      </c>
      <c r="C892" s="106" t="s">
        <v>2083</v>
      </c>
      <c r="D892" s="105">
        <v>0.0</v>
      </c>
      <c r="E892" s="105">
        <v>0.0</v>
      </c>
      <c r="F892" s="105">
        <v>0.0</v>
      </c>
      <c r="G892" s="105">
        <v>8.0</v>
      </c>
      <c r="H892" s="105">
        <v>0.0</v>
      </c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>
      <c r="A893" s="103">
        <v>891.0</v>
      </c>
      <c r="B893" s="104" t="s">
        <v>2084</v>
      </c>
      <c r="C893" s="104" t="s">
        <v>2083</v>
      </c>
      <c r="D893" s="103">
        <v>0.0</v>
      </c>
      <c r="E893" s="103">
        <v>0.0</v>
      </c>
      <c r="F893" s="103">
        <v>0.0</v>
      </c>
      <c r="G893" s="103">
        <v>8.0</v>
      </c>
      <c r="H893" s="103">
        <v>0.0</v>
      </c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>
      <c r="A894" s="105">
        <v>892.0</v>
      </c>
      <c r="B894" s="106" t="s">
        <v>2085</v>
      </c>
      <c r="C894" s="106" t="s">
        <v>2083</v>
      </c>
      <c r="D894" s="105">
        <v>2.0</v>
      </c>
      <c r="E894" s="105">
        <v>0.0</v>
      </c>
      <c r="F894" s="105">
        <v>0.0</v>
      </c>
      <c r="G894" s="105">
        <v>6.0</v>
      </c>
      <c r="H894" s="105">
        <v>0.0</v>
      </c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>
      <c r="A895" s="103">
        <v>893.0</v>
      </c>
      <c r="B895" s="104" t="s">
        <v>2086</v>
      </c>
      <c r="C895" s="104" t="s">
        <v>2083</v>
      </c>
      <c r="D895" s="103">
        <v>0.0</v>
      </c>
      <c r="E895" s="103">
        <v>0.0</v>
      </c>
      <c r="F895" s="103">
        <v>0.0</v>
      </c>
      <c r="G895" s="103">
        <v>8.0</v>
      </c>
      <c r="H895" s="103">
        <v>0.0</v>
      </c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>
      <c r="A896" s="105">
        <v>894.0</v>
      </c>
      <c r="B896" s="106" t="s">
        <v>2087</v>
      </c>
      <c r="C896" s="106" t="s">
        <v>2083</v>
      </c>
      <c r="D896" s="105">
        <v>2.0</v>
      </c>
      <c r="E896" s="105">
        <v>0.0</v>
      </c>
      <c r="F896" s="105">
        <v>1.0</v>
      </c>
      <c r="G896" s="105">
        <v>5.0</v>
      </c>
      <c r="H896" s="105">
        <v>0.0</v>
      </c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>
      <c r="A897" s="103">
        <v>895.0</v>
      </c>
      <c r="B897" s="104" t="s">
        <v>2088</v>
      </c>
      <c r="C897" s="104" t="s">
        <v>2083</v>
      </c>
      <c r="D897" s="103">
        <v>0.0</v>
      </c>
      <c r="E897" s="103">
        <v>0.0</v>
      </c>
      <c r="F897" s="103">
        <v>0.0</v>
      </c>
      <c r="G897" s="103">
        <v>8.0</v>
      </c>
      <c r="H897" s="103">
        <v>0.0</v>
      </c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>
      <c r="A898" s="105">
        <v>896.0</v>
      </c>
      <c r="B898" s="106" t="s">
        <v>2089</v>
      </c>
      <c r="C898" s="106" t="s">
        <v>2083</v>
      </c>
      <c r="D898" s="105">
        <v>0.0</v>
      </c>
      <c r="E898" s="105">
        <v>0.0</v>
      </c>
      <c r="F898" s="105">
        <v>0.0</v>
      </c>
      <c r="G898" s="105">
        <v>8.0</v>
      </c>
      <c r="H898" s="105">
        <v>0.0</v>
      </c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>
      <c r="A899" s="103">
        <v>897.0</v>
      </c>
      <c r="B899" s="104" t="s">
        <v>2090</v>
      </c>
      <c r="C899" s="104" t="s">
        <v>2083</v>
      </c>
      <c r="D899" s="103">
        <v>0.0</v>
      </c>
      <c r="E899" s="103">
        <v>0.0</v>
      </c>
      <c r="F899" s="103">
        <v>0.0</v>
      </c>
      <c r="G899" s="103">
        <v>8.0</v>
      </c>
      <c r="H899" s="103">
        <v>0.0</v>
      </c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>
      <c r="A900" s="105">
        <v>898.0</v>
      </c>
      <c r="B900" s="106" t="s">
        <v>2091</v>
      </c>
      <c r="C900" s="106" t="s">
        <v>2083</v>
      </c>
      <c r="D900" s="105">
        <v>0.0</v>
      </c>
      <c r="E900" s="105">
        <v>0.0</v>
      </c>
      <c r="F900" s="105">
        <v>0.0</v>
      </c>
      <c r="G900" s="105">
        <v>8.0</v>
      </c>
      <c r="H900" s="105">
        <v>0.0</v>
      </c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>
      <c r="A901" s="103">
        <v>899.0</v>
      </c>
      <c r="B901" s="104" t="s">
        <v>2092</v>
      </c>
      <c r="C901" s="104" t="s">
        <v>2083</v>
      </c>
      <c r="D901" s="103">
        <v>0.0</v>
      </c>
      <c r="E901" s="103">
        <v>0.0</v>
      </c>
      <c r="F901" s="103">
        <v>0.0</v>
      </c>
      <c r="G901" s="103">
        <v>8.0</v>
      </c>
      <c r="H901" s="103">
        <v>0.0</v>
      </c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>
      <c r="A902" s="105">
        <v>900.0</v>
      </c>
      <c r="B902" s="106" t="s">
        <v>2093</v>
      </c>
      <c r="C902" s="106" t="s">
        <v>2083</v>
      </c>
      <c r="D902" s="105">
        <v>0.0</v>
      </c>
      <c r="E902" s="105">
        <v>0.0</v>
      </c>
      <c r="F902" s="105">
        <v>0.0</v>
      </c>
      <c r="G902" s="105">
        <v>8.0</v>
      </c>
      <c r="H902" s="105">
        <v>0.0</v>
      </c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>
      <c r="A903" s="103">
        <v>901.0</v>
      </c>
      <c r="B903" s="104" t="s">
        <v>2094</v>
      </c>
      <c r="C903" s="104" t="s">
        <v>2083</v>
      </c>
      <c r="D903" s="103">
        <v>0.0</v>
      </c>
      <c r="E903" s="103">
        <v>0.0</v>
      </c>
      <c r="F903" s="103">
        <v>0.0</v>
      </c>
      <c r="G903" s="103">
        <v>8.0</v>
      </c>
      <c r="H903" s="103">
        <v>0.0</v>
      </c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>
      <c r="A904" s="105">
        <v>902.0</v>
      </c>
      <c r="B904" s="106" t="s">
        <v>2095</v>
      </c>
      <c r="C904" s="106" t="s">
        <v>2083</v>
      </c>
      <c r="D904" s="105">
        <v>1.0</v>
      </c>
      <c r="E904" s="105">
        <v>0.0</v>
      </c>
      <c r="F904" s="105">
        <v>0.0</v>
      </c>
      <c r="G904" s="105">
        <v>7.0</v>
      </c>
      <c r="H904" s="105">
        <v>0.0</v>
      </c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>
      <c r="A905" s="103">
        <v>903.0</v>
      </c>
      <c r="B905" s="104" t="s">
        <v>2096</v>
      </c>
      <c r="C905" s="104" t="s">
        <v>2083</v>
      </c>
      <c r="D905" s="103">
        <v>1.0</v>
      </c>
      <c r="E905" s="103">
        <v>0.0</v>
      </c>
      <c r="F905" s="103">
        <v>0.0</v>
      </c>
      <c r="G905" s="103">
        <v>7.0</v>
      </c>
      <c r="H905" s="103">
        <v>0.0</v>
      </c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>
      <c r="A906" s="105">
        <v>904.0</v>
      </c>
      <c r="B906" s="106" t="s">
        <v>2097</v>
      </c>
      <c r="C906" s="106" t="s">
        <v>2083</v>
      </c>
      <c r="D906" s="105">
        <v>0.0</v>
      </c>
      <c r="E906" s="105">
        <v>0.0</v>
      </c>
      <c r="F906" s="105">
        <v>0.0</v>
      </c>
      <c r="G906" s="105">
        <v>8.0</v>
      </c>
      <c r="H906" s="105">
        <v>0.0</v>
      </c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>
      <c r="A907" s="103">
        <v>905.0</v>
      </c>
      <c r="B907" s="104" t="s">
        <v>2098</v>
      </c>
      <c r="C907" s="104" t="s">
        <v>2083</v>
      </c>
      <c r="D907" s="103">
        <v>3.0</v>
      </c>
      <c r="E907" s="103">
        <v>0.0</v>
      </c>
      <c r="F907" s="103">
        <v>1.0</v>
      </c>
      <c r="G907" s="103">
        <v>4.0</v>
      </c>
      <c r="H907" s="103">
        <v>0.0</v>
      </c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>
      <c r="A908" s="105">
        <v>906.0</v>
      </c>
      <c r="B908" s="106" t="s">
        <v>2099</v>
      </c>
      <c r="C908" s="106" t="s">
        <v>2083</v>
      </c>
      <c r="D908" s="105">
        <v>0.0</v>
      </c>
      <c r="E908" s="105">
        <v>0.0</v>
      </c>
      <c r="F908" s="105">
        <v>0.0</v>
      </c>
      <c r="G908" s="105">
        <v>8.0</v>
      </c>
      <c r="H908" s="105">
        <v>0.0</v>
      </c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>
      <c r="A909" s="103">
        <v>907.0</v>
      </c>
      <c r="B909" s="104" t="s">
        <v>2100</v>
      </c>
      <c r="C909" s="104" t="s">
        <v>2083</v>
      </c>
      <c r="D909" s="103">
        <v>0.0</v>
      </c>
      <c r="E909" s="103">
        <v>0.0</v>
      </c>
      <c r="F909" s="103">
        <v>0.0</v>
      </c>
      <c r="G909" s="103">
        <v>8.0</v>
      </c>
      <c r="H909" s="103">
        <v>0.0</v>
      </c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>
      <c r="A910" s="105">
        <v>908.0</v>
      </c>
      <c r="B910" s="106" t="s">
        <v>2101</v>
      </c>
      <c r="C910" s="106" t="s">
        <v>2083</v>
      </c>
      <c r="D910" s="105">
        <v>0.0</v>
      </c>
      <c r="E910" s="105">
        <v>0.0</v>
      </c>
      <c r="F910" s="105">
        <v>0.0</v>
      </c>
      <c r="G910" s="105">
        <v>8.0</v>
      </c>
      <c r="H910" s="105">
        <v>0.0</v>
      </c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>
      <c r="A911" s="103">
        <v>909.0</v>
      </c>
      <c r="B911" s="104" t="s">
        <v>2102</v>
      </c>
      <c r="C911" s="104" t="s">
        <v>2083</v>
      </c>
      <c r="D911" s="103">
        <v>0.0</v>
      </c>
      <c r="E911" s="103">
        <v>0.0</v>
      </c>
      <c r="F911" s="103">
        <v>0.0</v>
      </c>
      <c r="G911" s="103">
        <v>8.0</v>
      </c>
      <c r="H911" s="103">
        <v>0.0</v>
      </c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>
      <c r="A912" s="105">
        <v>910.0</v>
      </c>
      <c r="B912" s="106" t="s">
        <v>2103</v>
      </c>
      <c r="C912" s="106" t="s">
        <v>2083</v>
      </c>
      <c r="D912" s="105">
        <v>0.0</v>
      </c>
      <c r="E912" s="105">
        <v>0.0</v>
      </c>
      <c r="F912" s="105">
        <v>0.0</v>
      </c>
      <c r="G912" s="105">
        <v>8.0</v>
      </c>
      <c r="H912" s="105">
        <v>0.0</v>
      </c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>
      <c r="A913" s="103">
        <v>911.0</v>
      </c>
      <c r="B913" s="104" t="s">
        <v>2104</v>
      </c>
      <c r="C913" s="104" t="s">
        <v>2083</v>
      </c>
      <c r="D913" s="103">
        <v>0.0</v>
      </c>
      <c r="E913" s="103">
        <v>0.0</v>
      </c>
      <c r="F913" s="103">
        <v>0.0</v>
      </c>
      <c r="G913" s="103">
        <v>8.0</v>
      </c>
      <c r="H913" s="103">
        <v>0.0</v>
      </c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>
      <c r="A914" s="105">
        <v>912.0</v>
      </c>
      <c r="B914" s="106" t="s">
        <v>2105</v>
      </c>
      <c r="C914" s="106" t="s">
        <v>2083</v>
      </c>
      <c r="D914" s="105">
        <v>0.0</v>
      </c>
      <c r="E914" s="105">
        <v>0.0</v>
      </c>
      <c r="F914" s="105">
        <v>0.0</v>
      </c>
      <c r="G914" s="105">
        <v>8.0</v>
      </c>
      <c r="H914" s="105">
        <v>0.0</v>
      </c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>
      <c r="A915" s="103">
        <v>913.0</v>
      </c>
      <c r="B915" s="104" t="s">
        <v>2106</v>
      </c>
      <c r="C915" s="104" t="s">
        <v>2083</v>
      </c>
      <c r="D915" s="103">
        <v>2.0</v>
      </c>
      <c r="E915" s="103">
        <v>0.0</v>
      </c>
      <c r="F915" s="103">
        <v>0.0</v>
      </c>
      <c r="G915" s="103">
        <v>6.0</v>
      </c>
      <c r="H915" s="103">
        <v>0.0</v>
      </c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>
      <c r="A916" s="105">
        <v>914.0</v>
      </c>
      <c r="B916" s="106" t="s">
        <v>2107</v>
      </c>
      <c r="C916" s="106" t="s">
        <v>2083</v>
      </c>
      <c r="D916" s="105">
        <v>0.0</v>
      </c>
      <c r="E916" s="105">
        <v>0.0</v>
      </c>
      <c r="F916" s="105">
        <v>0.0</v>
      </c>
      <c r="G916" s="105">
        <v>8.0</v>
      </c>
      <c r="H916" s="105">
        <v>0.0</v>
      </c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>
      <c r="A917" s="103">
        <v>915.0</v>
      </c>
      <c r="B917" s="104" t="s">
        <v>2108</v>
      </c>
      <c r="C917" s="104" t="s">
        <v>2083</v>
      </c>
      <c r="D917" s="103">
        <v>0.0</v>
      </c>
      <c r="E917" s="103">
        <v>0.0</v>
      </c>
      <c r="F917" s="103">
        <v>0.0</v>
      </c>
      <c r="G917" s="103">
        <v>8.0</v>
      </c>
      <c r="H917" s="103">
        <v>0.0</v>
      </c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>
      <c r="A918" s="105">
        <v>916.0</v>
      </c>
      <c r="B918" s="106" t="s">
        <v>2109</v>
      </c>
      <c r="C918" s="106" t="s">
        <v>2083</v>
      </c>
      <c r="D918" s="105">
        <v>0.0</v>
      </c>
      <c r="E918" s="105">
        <v>0.0</v>
      </c>
      <c r="F918" s="105">
        <v>0.0</v>
      </c>
      <c r="G918" s="105">
        <v>8.0</v>
      </c>
      <c r="H918" s="105">
        <v>0.0</v>
      </c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>
      <c r="A919" s="103">
        <v>917.0</v>
      </c>
      <c r="B919" s="104" t="s">
        <v>2110</v>
      </c>
      <c r="C919" s="104" t="s">
        <v>2083</v>
      </c>
      <c r="D919" s="103">
        <v>0.0</v>
      </c>
      <c r="E919" s="103">
        <v>0.0</v>
      </c>
      <c r="F919" s="103">
        <v>0.0</v>
      </c>
      <c r="G919" s="103">
        <v>8.0</v>
      </c>
      <c r="H919" s="103">
        <v>0.0</v>
      </c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>
      <c r="A920" s="105">
        <v>918.0</v>
      </c>
      <c r="B920" s="106" t="s">
        <v>2111</v>
      </c>
      <c r="C920" s="106" t="s">
        <v>2083</v>
      </c>
      <c r="D920" s="105">
        <v>0.0</v>
      </c>
      <c r="E920" s="105">
        <v>0.0</v>
      </c>
      <c r="F920" s="105">
        <v>0.0</v>
      </c>
      <c r="G920" s="105">
        <v>8.0</v>
      </c>
      <c r="H920" s="105">
        <v>0.0</v>
      </c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>
      <c r="A921" s="103">
        <v>919.0</v>
      </c>
      <c r="B921" s="104" t="s">
        <v>2112</v>
      </c>
      <c r="C921" s="104" t="s">
        <v>2083</v>
      </c>
      <c r="D921" s="103">
        <v>0.0</v>
      </c>
      <c r="E921" s="103">
        <v>0.0</v>
      </c>
      <c r="F921" s="103">
        <v>0.0</v>
      </c>
      <c r="G921" s="103">
        <v>8.0</v>
      </c>
      <c r="H921" s="103">
        <v>0.0</v>
      </c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>
      <c r="A922" s="105">
        <v>920.0</v>
      </c>
      <c r="B922" s="106" t="s">
        <v>2113</v>
      </c>
      <c r="C922" s="106" t="s">
        <v>2083</v>
      </c>
      <c r="D922" s="105">
        <v>0.0</v>
      </c>
      <c r="E922" s="105">
        <v>0.0</v>
      </c>
      <c r="F922" s="105">
        <v>0.0</v>
      </c>
      <c r="G922" s="105">
        <v>8.0</v>
      </c>
      <c r="H922" s="105">
        <v>0.0</v>
      </c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>
      <c r="A923" s="103">
        <v>921.0</v>
      </c>
      <c r="B923" s="104" t="s">
        <v>2114</v>
      </c>
      <c r="C923" s="104" t="s">
        <v>2083</v>
      </c>
      <c r="D923" s="103">
        <v>0.0</v>
      </c>
      <c r="E923" s="103">
        <v>0.0</v>
      </c>
      <c r="F923" s="103">
        <v>0.0</v>
      </c>
      <c r="G923" s="103">
        <v>8.0</v>
      </c>
      <c r="H923" s="103">
        <v>0.0</v>
      </c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>
      <c r="A924" s="105">
        <v>922.0</v>
      </c>
      <c r="B924" s="106" t="s">
        <v>2115</v>
      </c>
      <c r="C924" s="106" t="s">
        <v>2083</v>
      </c>
      <c r="D924" s="105">
        <v>0.0</v>
      </c>
      <c r="E924" s="105">
        <v>0.0</v>
      </c>
      <c r="F924" s="105">
        <v>0.0</v>
      </c>
      <c r="G924" s="105">
        <v>8.0</v>
      </c>
      <c r="H924" s="105">
        <v>0.0</v>
      </c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>
      <c r="A925" s="103">
        <v>923.0</v>
      </c>
      <c r="B925" s="104" t="s">
        <v>2116</v>
      </c>
      <c r="C925" s="104" t="s">
        <v>2083</v>
      </c>
      <c r="D925" s="103">
        <v>0.0</v>
      </c>
      <c r="E925" s="103">
        <v>0.0</v>
      </c>
      <c r="F925" s="103">
        <v>0.0</v>
      </c>
      <c r="G925" s="103">
        <v>8.0</v>
      </c>
      <c r="H925" s="103">
        <v>0.0</v>
      </c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>
      <c r="A926" s="105">
        <v>924.0</v>
      </c>
      <c r="B926" s="106" t="s">
        <v>2117</v>
      </c>
      <c r="C926" s="106" t="s">
        <v>2083</v>
      </c>
      <c r="D926" s="105">
        <v>0.0</v>
      </c>
      <c r="E926" s="105">
        <v>0.0</v>
      </c>
      <c r="F926" s="105">
        <v>0.0</v>
      </c>
      <c r="G926" s="105">
        <v>8.0</v>
      </c>
      <c r="H926" s="105">
        <v>0.0</v>
      </c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>
      <c r="A927" s="103">
        <v>925.0</v>
      </c>
      <c r="B927" s="104" t="s">
        <v>2118</v>
      </c>
      <c r="C927" s="104" t="s">
        <v>2083</v>
      </c>
      <c r="D927" s="103">
        <v>0.0</v>
      </c>
      <c r="E927" s="103">
        <v>0.0</v>
      </c>
      <c r="F927" s="103">
        <v>0.0</v>
      </c>
      <c r="G927" s="103">
        <v>8.0</v>
      </c>
      <c r="H927" s="103">
        <v>0.0</v>
      </c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>
      <c r="A928" s="105">
        <v>926.0</v>
      </c>
      <c r="B928" s="106" t="s">
        <v>2119</v>
      </c>
      <c r="C928" s="106" t="s">
        <v>2120</v>
      </c>
      <c r="D928" s="105">
        <v>0.0</v>
      </c>
      <c r="E928" s="105">
        <v>0.0</v>
      </c>
      <c r="F928" s="105">
        <v>0.0</v>
      </c>
      <c r="G928" s="105">
        <v>8.0</v>
      </c>
      <c r="H928" s="105">
        <v>0.0</v>
      </c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>
      <c r="A929" s="103">
        <v>927.0</v>
      </c>
      <c r="B929" s="104" t="s">
        <v>2121</v>
      </c>
      <c r="C929" s="104" t="s">
        <v>2120</v>
      </c>
      <c r="D929" s="103">
        <v>0.0</v>
      </c>
      <c r="E929" s="103">
        <v>0.0</v>
      </c>
      <c r="F929" s="103">
        <v>0.0</v>
      </c>
      <c r="G929" s="103">
        <v>8.0</v>
      </c>
      <c r="H929" s="103">
        <v>0.0</v>
      </c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>
      <c r="A930" s="105">
        <v>928.0</v>
      </c>
      <c r="B930" s="106" t="s">
        <v>2122</v>
      </c>
      <c r="C930" s="106" t="s">
        <v>2120</v>
      </c>
      <c r="D930" s="105">
        <v>0.0</v>
      </c>
      <c r="E930" s="105">
        <v>0.0</v>
      </c>
      <c r="F930" s="105">
        <v>0.0</v>
      </c>
      <c r="G930" s="105">
        <v>8.0</v>
      </c>
      <c r="H930" s="105">
        <v>0.0</v>
      </c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>
      <c r="A931" s="103">
        <v>929.0</v>
      </c>
      <c r="B931" s="104" t="s">
        <v>2123</v>
      </c>
      <c r="C931" s="104" t="s">
        <v>2120</v>
      </c>
      <c r="D931" s="103">
        <v>1.0</v>
      </c>
      <c r="E931" s="103">
        <v>0.0</v>
      </c>
      <c r="F931" s="103">
        <v>0.0</v>
      </c>
      <c r="G931" s="103">
        <v>7.0</v>
      </c>
      <c r="H931" s="103">
        <v>0.0</v>
      </c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>
      <c r="A932" s="105">
        <v>930.0</v>
      </c>
      <c r="B932" s="106" t="s">
        <v>2124</v>
      </c>
      <c r="C932" s="106" t="s">
        <v>2120</v>
      </c>
      <c r="D932" s="105">
        <v>0.0</v>
      </c>
      <c r="E932" s="105">
        <v>0.0</v>
      </c>
      <c r="F932" s="105">
        <v>0.0</v>
      </c>
      <c r="G932" s="105">
        <v>8.0</v>
      </c>
      <c r="H932" s="105">
        <v>0.0</v>
      </c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>
      <c r="A933" s="103">
        <v>931.0</v>
      </c>
      <c r="B933" s="104" t="s">
        <v>2125</v>
      </c>
      <c r="C933" s="104" t="s">
        <v>2120</v>
      </c>
      <c r="D933" s="103">
        <v>0.0</v>
      </c>
      <c r="E933" s="103">
        <v>0.0</v>
      </c>
      <c r="F933" s="103">
        <v>0.0</v>
      </c>
      <c r="G933" s="103">
        <v>8.0</v>
      </c>
      <c r="H933" s="103">
        <v>0.0</v>
      </c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>
      <c r="A934" s="105">
        <v>932.0</v>
      </c>
      <c r="B934" s="106" t="s">
        <v>2126</v>
      </c>
      <c r="C934" s="106" t="s">
        <v>2120</v>
      </c>
      <c r="D934" s="105">
        <v>0.0</v>
      </c>
      <c r="E934" s="105">
        <v>0.0</v>
      </c>
      <c r="F934" s="105">
        <v>0.0</v>
      </c>
      <c r="G934" s="105">
        <v>8.0</v>
      </c>
      <c r="H934" s="105">
        <v>0.0</v>
      </c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>
      <c r="A935" s="103">
        <v>933.0</v>
      </c>
      <c r="B935" s="104" t="s">
        <v>2127</v>
      </c>
      <c r="C935" s="104" t="s">
        <v>2120</v>
      </c>
      <c r="D935" s="103">
        <v>0.0</v>
      </c>
      <c r="E935" s="103">
        <v>0.0</v>
      </c>
      <c r="F935" s="103">
        <v>0.0</v>
      </c>
      <c r="G935" s="103">
        <v>8.0</v>
      </c>
      <c r="H935" s="103">
        <v>0.0</v>
      </c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>
      <c r="A936" s="105">
        <v>934.0</v>
      </c>
      <c r="B936" s="106" t="s">
        <v>2128</v>
      </c>
      <c r="C936" s="106" t="s">
        <v>2120</v>
      </c>
      <c r="D936" s="105">
        <v>0.0</v>
      </c>
      <c r="E936" s="105">
        <v>0.0</v>
      </c>
      <c r="F936" s="105">
        <v>0.0</v>
      </c>
      <c r="G936" s="105">
        <v>8.0</v>
      </c>
      <c r="H936" s="105">
        <v>0.0</v>
      </c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>
      <c r="A937" s="103">
        <v>935.0</v>
      </c>
      <c r="B937" s="104" t="s">
        <v>2129</v>
      </c>
      <c r="C937" s="104" t="s">
        <v>2120</v>
      </c>
      <c r="D937" s="103">
        <v>0.0</v>
      </c>
      <c r="E937" s="103">
        <v>0.0</v>
      </c>
      <c r="F937" s="103">
        <v>0.0</v>
      </c>
      <c r="G937" s="103">
        <v>8.0</v>
      </c>
      <c r="H937" s="103">
        <v>0.0</v>
      </c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>
      <c r="A938" s="105">
        <v>936.0</v>
      </c>
      <c r="B938" s="106" t="s">
        <v>2130</v>
      </c>
      <c r="C938" s="106" t="s">
        <v>2120</v>
      </c>
      <c r="D938" s="105">
        <v>0.0</v>
      </c>
      <c r="E938" s="105">
        <v>0.0</v>
      </c>
      <c r="F938" s="105">
        <v>0.0</v>
      </c>
      <c r="G938" s="105">
        <v>8.0</v>
      </c>
      <c r="H938" s="105">
        <v>0.0</v>
      </c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>
      <c r="A939" s="103">
        <v>937.0</v>
      </c>
      <c r="B939" s="104" t="s">
        <v>2131</v>
      </c>
      <c r="C939" s="104" t="s">
        <v>2120</v>
      </c>
      <c r="D939" s="103">
        <v>0.0</v>
      </c>
      <c r="E939" s="103">
        <v>0.0</v>
      </c>
      <c r="F939" s="103">
        <v>0.0</v>
      </c>
      <c r="G939" s="103">
        <v>8.0</v>
      </c>
      <c r="H939" s="103">
        <v>0.0</v>
      </c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>
      <c r="A940" s="105">
        <v>938.0</v>
      </c>
      <c r="B940" s="106" t="s">
        <v>2132</v>
      </c>
      <c r="C940" s="106" t="s">
        <v>2120</v>
      </c>
      <c r="D940" s="105">
        <v>0.0</v>
      </c>
      <c r="E940" s="105">
        <v>0.0</v>
      </c>
      <c r="F940" s="105">
        <v>0.0</v>
      </c>
      <c r="G940" s="105">
        <v>8.0</v>
      </c>
      <c r="H940" s="105">
        <v>0.0</v>
      </c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>
      <c r="A941" s="103">
        <v>939.0</v>
      </c>
      <c r="B941" s="104" t="s">
        <v>2133</v>
      </c>
      <c r="C941" s="104" t="s">
        <v>2120</v>
      </c>
      <c r="D941" s="103">
        <v>0.0</v>
      </c>
      <c r="E941" s="103">
        <v>0.0</v>
      </c>
      <c r="F941" s="103">
        <v>0.0</v>
      </c>
      <c r="G941" s="103">
        <v>8.0</v>
      </c>
      <c r="H941" s="103">
        <v>0.0</v>
      </c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>
      <c r="A942" s="105">
        <v>940.0</v>
      </c>
      <c r="B942" s="106" t="s">
        <v>2134</v>
      </c>
      <c r="C942" s="106" t="s">
        <v>2120</v>
      </c>
      <c r="D942" s="105">
        <v>0.0</v>
      </c>
      <c r="E942" s="105">
        <v>0.0</v>
      </c>
      <c r="F942" s="105">
        <v>0.0</v>
      </c>
      <c r="G942" s="105">
        <v>8.0</v>
      </c>
      <c r="H942" s="105">
        <v>0.0</v>
      </c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>
      <c r="A943" s="103">
        <v>941.0</v>
      </c>
      <c r="B943" s="104" t="s">
        <v>2135</v>
      </c>
      <c r="C943" s="104" t="s">
        <v>2120</v>
      </c>
      <c r="D943" s="103">
        <v>0.0</v>
      </c>
      <c r="E943" s="103">
        <v>0.0</v>
      </c>
      <c r="F943" s="103">
        <v>0.0</v>
      </c>
      <c r="G943" s="103">
        <v>8.0</v>
      </c>
      <c r="H943" s="103">
        <v>0.0</v>
      </c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>
      <c r="A944" s="105">
        <v>942.0</v>
      </c>
      <c r="B944" s="106" t="s">
        <v>2136</v>
      </c>
      <c r="C944" s="106" t="s">
        <v>2120</v>
      </c>
      <c r="D944" s="105">
        <v>3.0</v>
      </c>
      <c r="E944" s="105">
        <v>0.0</v>
      </c>
      <c r="F944" s="105">
        <v>0.0</v>
      </c>
      <c r="G944" s="105">
        <v>5.0</v>
      </c>
      <c r="H944" s="105">
        <v>0.0</v>
      </c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>
      <c r="A945" s="103">
        <v>943.0</v>
      </c>
      <c r="B945" s="104" t="s">
        <v>2137</v>
      </c>
      <c r="C945" s="104" t="s">
        <v>2120</v>
      </c>
      <c r="D945" s="103">
        <v>0.0</v>
      </c>
      <c r="E945" s="103">
        <v>0.0</v>
      </c>
      <c r="F945" s="103">
        <v>0.0</v>
      </c>
      <c r="G945" s="103">
        <v>8.0</v>
      </c>
      <c r="H945" s="103">
        <v>0.0</v>
      </c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>
      <c r="A946" s="105">
        <v>944.0</v>
      </c>
      <c r="B946" s="106" t="s">
        <v>2138</v>
      </c>
      <c r="C946" s="106" t="s">
        <v>2120</v>
      </c>
      <c r="D946" s="105">
        <v>0.0</v>
      </c>
      <c r="E946" s="105">
        <v>0.0</v>
      </c>
      <c r="F946" s="105">
        <v>0.0</v>
      </c>
      <c r="G946" s="105">
        <v>8.0</v>
      </c>
      <c r="H946" s="105">
        <v>0.0</v>
      </c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>
      <c r="A947" s="103">
        <v>945.0</v>
      </c>
      <c r="B947" s="104" t="s">
        <v>2139</v>
      </c>
      <c r="C947" s="104" t="s">
        <v>2120</v>
      </c>
      <c r="D947" s="103">
        <v>0.0</v>
      </c>
      <c r="E947" s="103">
        <v>0.0</v>
      </c>
      <c r="F947" s="103">
        <v>0.0</v>
      </c>
      <c r="G947" s="103">
        <v>8.0</v>
      </c>
      <c r="H947" s="103">
        <v>0.0</v>
      </c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>
      <c r="A948" s="105">
        <v>946.0</v>
      </c>
      <c r="B948" s="106" t="s">
        <v>2140</v>
      </c>
      <c r="C948" s="106" t="s">
        <v>2120</v>
      </c>
      <c r="D948" s="105">
        <v>0.0</v>
      </c>
      <c r="E948" s="105">
        <v>0.0</v>
      </c>
      <c r="F948" s="105">
        <v>0.0</v>
      </c>
      <c r="G948" s="105">
        <v>8.0</v>
      </c>
      <c r="H948" s="105">
        <v>0.0</v>
      </c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>
      <c r="A949" s="103">
        <v>947.0</v>
      </c>
      <c r="B949" s="104" t="s">
        <v>2141</v>
      </c>
      <c r="C949" s="104" t="s">
        <v>2120</v>
      </c>
      <c r="D949" s="103">
        <v>0.0</v>
      </c>
      <c r="E949" s="103">
        <v>0.0</v>
      </c>
      <c r="F949" s="103">
        <v>0.0</v>
      </c>
      <c r="G949" s="103">
        <v>8.0</v>
      </c>
      <c r="H949" s="103">
        <v>0.0</v>
      </c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>
      <c r="A950" s="105">
        <v>948.0</v>
      </c>
      <c r="B950" s="106" t="s">
        <v>2142</v>
      </c>
      <c r="C950" s="106" t="s">
        <v>2120</v>
      </c>
      <c r="D950" s="105">
        <v>0.0</v>
      </c>
      <c r="E950" s="105">
        <v>0.0</v>
      </c>
      <c r="F950" s="105">
        <v>0.0</v>
      </c>
      <c r="G950" s="105">
        <v>8.0</v>
      </c>
      <c r="H950" s="105">
        <v>0.0</v>
      </c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>
      <c r="A951" s="103">
        <v>949.0</v>
      </c>
      <c r="B951" s="104" t="s">
        <v>2143</v>
      </c>
      <c r="C951" s="104" t="s">
        <v>2120</v>
      </c>
      <c r="D951" s="103">
        <v>0.0</v>
      </c>
      <c r="E951" s="103">
        <v>0.0</v>
      </c>
      <c r="F951" s="103">
        <v>0.0</v>
      </c>
      <c r="G951" s="103">
        <v>8.0</v>
      </c>
      <c r="H951" s="103">
        <v>0.0</v>
      </c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>
      <c r="A952" s="105">
        <v>950.0</v>
      </c>
      <c r="B952" s="106" t="s">
        <v>2144</v>
      </c>
      <c r="C952" s="106" t="s">
        <v>2120</v>
      </c>
      <c r="D952" s="105">
        <v>0.0</v>
      </c>
      <c r="E952" s="105">
        <v>0.0</v>
      </c>
      <c r="F952" s="105">
        <v>0.0</v>
      </c>
      <c r="G952" s="105">
        <v>8.0</v>
      </c>
      <c r="H952" s="105">
        <v>0.0</v>
      </c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>
      <c r="A953" s="103">
        <v>951.0</v>
      </c>
      <c r="B953" s="104" t="s">
        <v>2145</v>
      </c>
      <c r="C953" s="104" t="s">
        <v>2120</v>
      </c>
      <c r="D953" s="103">
        <v>0.0</v>
      </c>
      <c r="E953" s="103">
        <v>0.0</v>
      </c>
      <c r="F953" s="103">
        <v>0.0</v>
      </c>
      <c r="G953" s="103">
        <v>8.0</v>
      </c>
      <c r="H953" s="103">
        <v>0.0</v>
      </c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>
      <c r="A954" s="105">
        <v>952.0</v>
      </c>
      <c r="B954" s="106" t="s">
        <v>2146</v>
      </c>
      <c r="C954" s="106" t="s">
        <v>2120</v>
      </c>
      <c r="D954" s="105">
        <v>0.0</v>
      </c>
      <c r="E954" s="105">
        <v>0.0</v>
      </c>
      <c r="F954" s="105">
        <v>0.0</v>
      </c>
      <c r="G954" s="105">
        <v>8.0</v>
      </c>
      <c r="H954" s="105">
        <v>0.0</v>
      </c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>
      <c r="A955" s="103">
        <v>953.0</v>
      </c>
      <c r="B955" s="104" t="s">
        <v>2147</v>
      </c>
      <c r="C955" s="104" t="s">
        <v>2120</v>
      </c>
      <c r="D955" s="103">
        <v>0.0</v>
      </c>
      <c r="E955" s="103">
        <v>0.0</v>
      </c>
      <c r="F955" s="103">
        <v>0.0</v>
      </c>
      <c r="G955" s="103">
        <v>8.0</v>
      </c>
      <c r="H955" s="103">
        <v>0.0</v>
      </c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>
      <c r="A956" s="105">
        <v>954.0</v>
      </c>
      <c r="B956" s="106" t="s">
        <v>2148</v>
      </c>
      <c r="C956" s="106" t="s">
        <v>2120</v>
      </c>
      <c r="D956" s="105">
        <v>0.0</v>
      </c>
      <c r="E956" s="105">
        <v>0.0</v>
      </c>
      <c r="F956" s="105">
        <v>0.0</v>
      </c>
      <c r="G956" s="105">
        <v>8.0</v>
      </c>
      <c r="H956" s="105">
        <v>0.0</v>
      </c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>
      <c r="A957" s="103">
        <v>955.0</v>
      </c>
      <c r="B957" s="104" t="s">
        <v>2149</v>
      </c>
      <c r="C957" s="104" t="s">
        <v>2120</v>
      </c>
      <c r="D957" s="103">
        <v>0.0</v>
      </c>
      <c r="E957" s="103">
        <v>0.0</v>
      </c>
      <c r="F957" s="103">
        <v>0.0</v>
      </c>
      <c r="G957" s="103">
        <v>8.0</v>
      </c>
      <c r="H957" s="103">
        <v>0.0</v>
      </c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>
      <c r="A958" s="105">
        <v>956.0</v>
      </c>
      <c r="B958" s="106" t="s">
        <v>2150</v>
      </c>
      <c r="C958" s="106" t="s">
        <v>2120</v>
      </c>
      <c r="D958" s="105">
        <v>0.0</v>
      </c>
      <c r="E958" s="105">
        <v>0.0</v>
      </c>
      <c r="F958" s="105">
        <v>0.0</v>
      </c>
      <c r="G958" s="105">
        <v>8.0</v>
      </c>
      <c r="H958" s="105">
        <v>0.0</v>
      </c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>
      <c r="A959" s="103">
        <v>957.0</v>
      </c>
      <c r="B959" s="104" t="s">
        <v>2151</v>
      </c>
      <c r="C959" s="104" t="s">
        <v>2120</v>
      </c>
      <c r="D959" s="103">
        <v>0.0</v>
      </c>
      <c r="E959" s="103">
        <v>0.0</v>
      </c>
      <c r="F959" s="103">
        <v>0.0</v>
      </c>
      <c r="G959" s="103">
        <v>8.0</v>
      </c>
      <c r="H959" s="103">
        <v>0.0</v>
      </c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>
      <c r="A960" s="105">
        <v>958.0</v>
      </c>
      <c r="B960" s="106" t="s">
        <v>2152</v>
      </c>
      <c r="C960" s="106" t="s">
        <v>2120</v>
      </c>
      <c r="D960" s="105">
        <v>0.0</v>
      </c>
      <c r="E960" s="105">
        <v>0.0</v>
      </c>
      <c r="F960" s="105">
        <v>0.0</v>
      </c>
      <c r="G960" s="105">
        <v>8.0</v>
      </c>
      <c r="H960" s="105">
        <v>0.0</v>
      </c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>
      <c r="A961" s="103">
        <v>959.0</v>
      </c>
      <c r="B961" s="104" t="s">
        <v>2153</v>
      </c>
      <c r="C961" s="104" t="s">
        <v>2120</v>
      </c>
      <c r="D961" s="103">
        <v>0.0</v>
      </c>
      <c r="E961" s="103">
        <v>0.0</v>
      </c>
      <c r="F961" s="103">
        <v>0.0</v>
      </c>
      <c r="G961" s="103">
        <v>8.0</v>
      </c>
      <c r="H961" s="103">
        <v>0.0</v>
      </c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>
      <c r="A962" s="105">
        <v>960.0</v>
      </c>
      <c r="B962" s="106" t="s">
        <v>2154</v>
      </c>
      <c r="C962" s="106" t="s">
        <v>2120</v>
      </c>
      <c r="D962" s="105">
        <v>0.0</v>
      </c>
      <c r="E962" s="105">
        <v>0.0</v>
      </c>
      <c r="F962" s="105">
        <v>0.0</v>
      </c>
      <c r="G962" s="105">
        <v>8.0</v>
      </c>
      <c r="H962" s="105">
        <v>0.0</v>
      </c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>
      <c r="A963" s="103">
        <v>961.0</v>
      </c>
      <c r="B963" s="104" t="s">
        <v>2155</v>
      </c>
      <c r="C963" s="104" t="s">
        <v>2120</v>
      </c>
      <c r="D963" s="103">
        <v>0.0</v>
      </c>
      <c r="E963" s="103">
        <v>0.0</v>
      </c>
      <c r="F963" s="103">
        <v>0.0</v>
      </c>
      <c r="G963" s="103">
        <v>8.0</v>
      </c>
      <c r="H963" s="103">
        <v>0.0</v>
      </c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>
      <c r="A964" s="105">
        <v>962.0</v>
      </c>
      <c r="B964" s="106" t="s">
        <v>2156</v>
      </c>
      <c r="C964" s="106" t="s">
        <v>2157</v>
      </c>
      <c r="D964" s="105">
        <v>0.0</v>
      </c>
      <c r="E964" s="105">
        <v>0.0</v>
      </c>
      <c r="F964" s="105">
        <v>0.0</v>
      </c>
      <c r="G964" s="105">
        <v>8.0</v>
      </c>
      <c r="H964" s="105">
        <v>0.0</v>
      </c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>
      <c r="A965" s="103">
        <v>963.0</v>
      </c>
      <c r="B965" s="104" t="s">
        <v>2158</v>
      </c>
      <c r="C965" s="104" t="s">
        <v>2157</v>
      </c>
      <c r="D965" s="103">
        <v>0.0</v>
      </c>
      <c r="E965" s="103">
        <v>0.0</v>
      </c>
      <c r="F965" s="103">
        <v>0.0</v>
      </c>
      <c r="G965" s="103">
        <v>8.0</v>
      </c>
      <c r="H965" s="103">
        <v>0.0</v>
      </c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>
      <c r="A966" s="105">
        <v>964.0</v>
      </c>
      <c r="B966" s="106" t="s">
        <v>2159</v>
      </c>
      <c r="C966" s="106" t="s">
        <v>2157</v>
      </c>
      <c r="D966" s="105">
        <v>0.0</v>
      </c>
      <c r="E966" s="105">
        <v>0.0</v>
      </c>
      <c r="F966" s="105">
        <v>0.0</v>
      </c>
      <c r="G966" s="105">
        <v>8.0</v>
      </c>
      <c r="H966" s="105">
        <v>0.0</v>
      </c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>
      <c r="A967" s="103">
        <v>965.0</v>
      </c>
      <c r="B967" s="104" t="s">
        <v>2160</v>
      </c>
      <c r="C967" s="104" t="s">
        <v>2157</v>
      </c>
      <c r="D967" s="103">
        <v>0.0</v>
      </c>
      <c r="E967" s="103">
        <v>0.0</v>
      </c>
      <c r="F967" s="103">
        <v>0.0</v>
      </c>
      <c r="G967" s="103">
        <v>8.0</v>
      </c>
      <c r="H967" s="103">
        <v>0.0</v>
      </c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>
      <c r="A968" s="105">
        <v>966.0</v>
      </c>
      <c r="B968" s="106" t="s">
        <v>2161</v>
      </c>
      <c r="C968" s="106" t="s">
        <v>2157</v>
      </c>
      <c r="D968" s="105">
        <v>0.0</v>
      </c>
      <c r="E968" s="105">
        <v>0.0</v>
      </c>
      <c r="F968" s="105">
        <v>0.0</v>
      </c>
      <c r="G968" s="105">
        <v>8.0</v>
      </c>
      <c r="H968" s="105">
        <v>0.0</v>
      </c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>
      <c r="A969" s="103">
        <v>967.0</v>
      </c>
      <c r="B969" s="104" t="s">
        <v>2162</v>
      </c>
      <c r="C969" s="104" t="s">
        <v>2157</v>
      </c>
      <c r="D969" s="103">
        <v>0.0</v>
      </c>
      <c r="E969" s="103">
        <v>0.0</v>
      </c>
      <c r="F969" s="103">
        <v>0.0</v>
      </c>
      <c r="G969" s="103">
        <v>8.0</v>
      </c>
      <c r="H969" s="103">
        <v>0.0</v>
      </c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>
      <c r="A970" s="105">
        <v>968.0</v>
      </c>
      <c r="B970" s="106" t="s">
        <v>2163</v>
      </c>
      <c r="C970" s="106" t="s">
        <v>2157</v>
      </c>
      <c r="D970" s="105">
        <v>0.0</v>
      </c>
      <c r="E970" s="105">
        <v>0.0</v>
      </c>
      <c r="F970" s="105">
        <v>0.0</v>
      </c>
      <c r="G970" s="105">
        <v>8.0</v>
      </c>
      <c r="H970" s="105">
        <v>0.0</v>
      </c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>
      <c r="A971" s="103">
        <v>969.0</v>
      </c>
      <c r="B971" s="104" t="s">
        <v>2164</v>
      </c>
      <c r="C971" s="104" t="s">
        <v>2157</v>
      </c>
      <c r="D971" s="103">
        <v>1.0</v>
      </c>
      <c r="E971" s="103">
        <v>0.0</v>
      </c>
      <c r="F971" s="103">
        <v>0.0</v>
      </c>
      <c r="G971" s="103">
        <v>7.0</v>
      </c>
      <c r="H971" s="103">
        <v>0.0</v>
      </c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>
      <c r="A972" s="105">
        <v>970.0</v>
      </c>
      <c r="B972" s="106" t="s">
        <v>2165</v>
      </c>
      <c r="C972" s="106" t="s">
        <v>2157</v>
      </c>
      <c r="D972" s="105">
        <v>0.0</v>
      </c>
      <c r="E972" s="105">
        <v>0.0</v>
      </c>
      <c r="F972" s="105">
        <v>0.0</v>
      </c>
      <c r="G972" s="105">
        <v>8.0</v>
      </c>
      <c r="H972" s="105">
        <v>0.0</v>
      </c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>
      <c r="A973" s="103">
        <v>971.0</v>
      </c>
      <c r="B973" s="104" t="s">
        <v>2166</v>
      </c>
      <c r="C973" s="104" t="s">
        <v>2157</v>
      </c>
      <c r="D973" s="103">
        <v>0.0</v>
      </c>
      <c r="E973" s="103">
        <v>0.0</v>
      </c>
      <c r="F973" s="103">
        <v>0.0</v>
      </c>
      <c r="G973" s="103">
        <v>8.0</v>
      </c>
      <c r="H973" s="103">
        <v>0.0</v>
      </c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>
      <c r="A974" s="105">
        <v>972.0</v>
      </c>
      <c r="B974" s="106" t="s">
        <v>2167</v>
      </c>
      <c r="C974" s="106" t="s">
        <v>2157</v>
      </c>
      <c r="D974" s="105">
        <v>0.0</v>
      </c>
      <c r="E974" s="105">
        <v>0.0</v>
      </c>
      <c r="F974" s="105">
        <v>0.0</v>
      </c>
      <c r="G974" s="105">
        <v>8.0</v>
      </c>
      <c r="H974" s="105">
        <v>0.0</v>
      </c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>
      <c r="A975" s="103">
        <v>973.0</v>
      </c>
      <c r="B975" s="104" t="s">
        <v>2168</v>
      </c>
      <c r="C975" s="104" t="s">
        <v>2157</v>
      </c>
      <c r="D975" s="103">
        <v>0.0</v>
      </c>
      <c r="E975" s="103">
        <v>0.0</v>
      </c>
      <c r="F975" s="103">
        <v>0.0</v>
      </c>
      <c r="G975" s="103">
        <v>8.0</v>
      </c>
      <c r="H975" s="103">
        <v>0.0</v>
      </c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>
      <c r="A976" s="105">
        <v>974.0</v>
      </c>
      <c r="B976" s="106" t="s">
        <v>2169</v>
      </c>
      <c r="C976" s="106" t="s">
        <v>2157</v>
      </c>
      <c r="D976" s="105">
        <v>0.0</v>
      </c>
      <c r="E976" s="105">
        <v>0.0</v>
      </c>
      <c r="F976" s="105">
        <v>0.0</v>
      </c>
      <c r="G976" s="105">
        <v>8.0</v>
      </c>
      <c r="H976" s="105">
        <v>0.0</v>
      </c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>
      <c r="A977" s="103">
        <v>975.0</v>
      </c>
      <c r="B977" s="104" t="s">
        <v>2170</v>
      </c>
      <c r="C977" s="104" t="s">
        <v>2157</v>
      </c>
      <c r="D977" s="103">
        <v>0.0</v>
      </c>
      <c r="E977" s="103">
        <v>0.0</v>
      </c>
      <c r="F977" s="103">
        <v>0.0</v>
      </c>
      <c r="G977" s="103">
        <v>8.0</v>
      </c>
      <c r="H977" s="103">
        <v>0.0</v>
      </c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>
      <c r="A978" s="105">
        <v>976.0</v>
      </c>
      <c r="B978" s="106" t="s">
        <v>2171</v>
      </c>
      <c r="C978" s="106" t="s">
        <v>2157</v>
      </c>
      <c r="D978" s="105">
        <v>0.0</v>
      </c>
      <c r="E978" s="105">
        <v>0.0</v>
      </c>
      <c r="F978" s="105">
        <v>0.0</v>
      </c>
      <c r="G978" s="105">
        <v>8.0</v>
      </c>
      <c r="H978" s="105">
        <v>0.0</v>
      </c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>
      <c r="A979" s="103">
        <v>977.0</v>
      </c>
      <c r="B979" s="104" t="s">
        <v>2172</v>
      </c>
      <c r="C979" s="104" t="s">
        <v>2157</v>
      </c>
      <c r="D979" s="103">
        <v>0.0</v>
      </c>
      <c r="E979" s="103">
        <v>0.0</v>
      </c>
      <c r="F979" s="103">
        <v>0.0</v>
      </c>
      <c r="G979" s="103">
        <v>8.0</v>
      </c>
      <c r="H979" s="103">
        <v>0.0</v>
      </c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>
      <c r="A980" s="105">
        <v>978.0</v>
      </c>
      <c r="B980" s="106" t="s">
        <v>2173</v>
      </c>
      <c r="C980" s="106" t="s">
        <v>2157</v>
      </c>
      <c r="D980" s="105">
        <v>1.0</v>
      </c>
      <c r="E980" s="105">
        <v>0.0</v>
      </c>
      <c r="F980" s="105">
        <v>0.0</v>
      </c>
      <c r="G980" s="105">
        <v>7.0</v>
      </c>
      <c r="H980" s="105">
        <v>0.0</v>
      </c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>
      <c r="A981" s="103">
        <v>979.0</v>
      </c>
      <c r="B981" s="104" t="s">
        <v>2174</v>
      </c>
      <c r="C981" s="104" t="s">
        <v>2157</v>
      </c>
      <c r="D981" s="103">
        <v>0.0</v>
      </c>
      <c r="E981" s="103">
        <v>0.0</v>
      </c>
      <c r="F981" s="103">
        <v>0.0</v>
      </c>
      <c r="G981" s="103">
        <v>8.0</v>
      </c>
      <c r="H981" s="103">
        <v>0.0</v>
      </c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>
      <c r="A982" s="105">
        <v>980.0</v>
      </c>
      <c r="B982" s="106" t="s">
        <v>2175</v>
      </c>
      <c r="C982" s="106" t="s">
        <v>2157</v>
      </c>
      <c r="D982" s="105">
        <v>0.0</v>
      </c>
      <c r="E982" s="105">
        <v>0.0</v>
      </c>
      <c r="F982" s="105">
        <v>0.0</v>
      </c>
      <c r="G982" s="105">
        <v>8.0</v>
      </c>
      <c r="H982" s="105">
        <v>0.0</v>
      </c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>
      <c r="A983" s="103">
        <v>981.0</v>
      </c>
      <c r="B983" s="104" t="s">
        <v>2176</v>
      </c>
      <c r="C983" s="104" t="s">
        <v>2157</v>
      </c>
      <c r="D983" s="103">
        <v>1.0</v>
      </c>
      <c r="E983" s="103">
        <v>0.0</v>
      </c>
      <c r="F983" s="103">
        <v>0.0</v>
      </c>
      <c r="G983" s="103">
        <v>7.0</v>
      </c>
      <c r="H983" s="103">
        <v>0.0</v>
      </c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>
      <c r="A984" s="105">
        <v>982.0</v>
      </c>
      <c r="B984" s="106" t="s">
        <v>2177</v>
      </c>
      <c r="C984" s="106" t="s">
        <v>2157</v>
      </c>
      <c r="D984" s="105">
        <v>0.0</v>
      </c>
      <c r="E984" s="105">
        <v>0.0</v>
      </c>
      <c r="F984" s="105">
        <v>0.0</v>
      </c>
      <c r="G984" s="105">
        <v>8.0</v>
      </c>
      <c r="H984" s="105">
        <v>0.0</v>
      </c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>
      <c r="A985" s="103">
        <v>983.0</v>
      </c>
      <c r="B985" s="104" t="s">
        <v>2178</v>
      </c>
      <c r="C985" s="104" t="s">
        <v>2157</v>
      </c>
      <c r="D985" s="103">
        <v>0.0</v>
      </c>
      <c r="E985" s="103">
        <v>0.0</v>
      </c>
      <c r="F985" s="103">
        <v>0.0</v>
      </c>
      <c r="G985" s="103">
        <v>8.0</v>
      </c>
      <c r="H985" s="103">
        <v>0.0</v>
      </c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>
      <c r="A986" s="105">
        <v>984.0</v>
      </c>
      <c r="B986" s="106" t="s">
        <v>2179</v>
      </c>
      <c r="C986" s="106" t="s">
        <v>2157</v>
      </c>
      <c r="D986" s="105">
        <v>0.0</v>
      </c>
      <c r="E986" s="105">
        <v>0.0</v>
      </c>
      <c r="F986" s="105">
        <v>0.0</v>
      </c>
      <c r="G986" s="105">
        <v>8.0</v>
      </c>
      <c r="H986" s="105">
        <v>0.0</v>
      </c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>
      <c r="A987" s="103">
        <v>985.0</v>
      </c>
      <c r="B987" s="104" t="s">
        <v>2180</v>
      </c>
      <c r="C987" s="104" t="s">
        <v>2157</v>
      </c>
      <c r="D987" s="103">
        <v>0.0</v>
      </c>
      <c r="E987" s="103">
        <v>0.0</v>
      </c>
      <c r="F987" s="103">
        <v>0.0</v>
      </c>
      <c r="G987" s="103">
        <v>8.0</v>
      </c>
      <c r="H987" s="103">
        <v>0.0</v>
      </c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>
      <c r="A988" s="105">
        <v>986.0</v>
      </c>
      <c r="B988" s="106" t="s">
        <v>2181</v>
      </c>
      <c r="C988" s="106" t="s">
        <v>2157</v>
      </c>
      <c r="D988" s="105">
        <v>0.0</v>
      </c>
      <c r="E988" s="105">
        <v>0.0</v>
      </c>
      <c r="F988" s="105">
        <v>0.0</v>
      </c>
      <c r="G988" s="105">
        <v>8.0</v>
      </c>
      <c r="H988" s="105">
        <v>0.0</v>
      </c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>
      <c r="A989" s="103">
        <v>987.0</v>
      </c>
      <c r="B989" s="104" t="s">
        <v>2182</v>
      </c>
      <c r="C989" s="104" t="s">
        <v>2157</v>
      </c>
      <c r="D989" s="103">
        <v>0.0</v>
      </c>
      <c r="E989" s="103">
        <v>0.0</v>
      </c>
      <c r="F989" s="103">
        <v>0.0</v>
      </c>
      <c r="G989" s="103">
        <v>8.0</v>
      </c>
      <c r="H989" s="103">
        <v>0.0</v>
      </c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>
      <c r="A990" s="105">
        <v>988.0</v>
      </c>
      <c r="B990" s="106" t="s">
        <v>2183</v>
      </c>
      <c r="C990" s="106" t="s">
        <v>2157</v>
      </c>
      <c r="D990" s="105">
        <v>0.0</v>
      </c>
      <c r="E990" s="105">
        <v>0.0</v>
      </c>
      <c r="F990" s="105">
        <v>0.0</v>
      </c>
      <c r="G990" s="105">
        <v>8.0</v>
      </c>
      <c r="H990" s="105">
        <v>0.0</v>
      </c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>
      <c r="A991" s="103">
        <v>989.0</v>
      </c>
      <c r="B991" s="104" t="s">
        <v>2184</v>
      </c>
      <c r="C991" s="104" t="s">
        <v>2157</v>
      </c>
      <c r="D991" s="103">
        <v>0.0</v>
      </c>
      <c r="E991" s="103">
        <v>0.0</v>
      </c>
      <c r="F991" s="103">
        <v>0.0</v>
      </c>
      <c r="G991" s="103">
        <v>8.0</v>
      </c>
      <c r="H991" s="103">
        <v>0.0</v>
      </c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>
      <c r="A992" s="105">
        <v>990.0</v>
      </c>
      <c r="B992" s="106" t="s">
        <v>2185</v>
      </c>
      <c r="C992" s="106" t="s">
        <v>2157</v>
      </c>
      <c r="D992" s="105">
        <v>0.0</v>
      </c>
      <c r="E992" s="105">
        <v>0.0</v>
      </c>
      <c r="F992" s="105">
        <v>0.0</v>
      </c>
      <c r="G992" s="105">
        <v>8.0</v>
      </c>
      <c r="H992" s="105">
        <v>0.0</v>
      </c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>
      <c r="A993" s="103">
        <v>991.0</v>
      </c>
      <c r="B993" s="104" t="s">
        <v>2186</v>
      </c>
      <c r="C993" s="104" t="s">
        <v>2157</v>
      </c>
      <c r="D993" s="103">
        <v>0.0</v>
      </c>
      <c r="E993" s="103">
        <v>0.0</v>
      </c>
      <c r="F993" s="103">
        <v>0.0</v>
      </c>
      <c r="G993" s="103">
        <v>8.0</v>
      </c>
      <c r="H993" s="103">
        <v>0.0</v>
      </c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>
      <c r="A994" s="105">
        <v>992.0</v>
      </c>
      <c r="B994" s="106" t="s">
        <v>2187</v>
      </c>
      <c r="C994" s="106" t="s">
        <v>2157</v>
      </c>
      <c r="D994" s="105">
        <v>0.0</v>
      </c>
      <c r="E994" s="105">
        <v>0.0</v>
      </c>
      <c r="F994" s="105">
        <v>0.0</v>
      </c>
      <c r="G994" s="105">
        <v>8.0</v>
      </c>
      <c r="H994" s="105">
        <v>0.0</v>
      </c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>
      <c r="A995" s="103">
        <v>993.0</v>
      </c>
      <c r="B995" s="104" t="s">
        <v>2188</v>
      </c>
      <c r="C995" s="104" t="s">
        <v>2157</v>
      </c>
      <c r="D995" s="103">
        <v>0.0</v>
      </c>
      <c r="E995" s="103">
        <v>0.0</v>
      </c>
      <c r="F995" s="103">
        <v>0.0</v>
      </c>
      <c r="G995" s="103">
        <v>8.0</v>
      </c>
      <c r="H995" s="103">
        <v>0.0</v>
      </c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>
      <c r="A996" s="105">
        <v>994.0</v>
      </c>
      <c r="B996" s="106" t="s">
        <v>2189</v>
      </c>
      <c r="C996" s="106" t="s">
        <v>2157</v>
      </c>
      <c r="D996" s="105">
        <v>0.0</v>
      </c>
      <c r="E996" s="105">
        <v>0.0</v>
      </c>
      <c r="F996" s="105">
        <v>0.0</v>
      </c>
      <c r="G996" s="105">
        <v>8.0</v>
      </c>
      <c r="H996" s="105">
        <v>0.0</v>
      </c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>
      <c r="A997" s="103">
        <v>995.0</v>
      </c>
      <c r="B997" s="104" t="s">
        <v>2190</v>
      </c>
      <c r="C997" s="104" t="s">
        <v>2157</v>
      </c>
      <c r="D997" s="103">
        <v>0.0</v>
      </c>
      <c r="E997" s="103">
        <v>0.0</v>
      </c>
      <c r="F997" s="103">
        <v>0.0</v>
      </c>
      <c r="G997" s="103">
        <v>8.0</v>
      </c>
      <c r="H997" s="103">
        <v>0.0</v>
      </c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>
      <c r="A998" s="105">
        <v>996.0</v>
      </c>
      <c r="B998" s="106" t="s">
        <v>2191</v>
      </c>
      <c r="C998" s="106" t="s">
        <v>2157</v>
      </c>
      <c r="D998" s="105">
        <v>0.0</v>
      </c>
      <c r="E998" s="105">
        <v>0.0</v>
      </c>
      <c r="F998" s="105">
        <v>0.0</v>
      </c>
      <c r="G998" s="105">
        <v>8.0</v>
      </c>
      <c r="H998" s="105">
        <v>0.0</v>
      </c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  <row r="999">
      <c r="A999" s="103">
        <v>997.0</v>
      </c>
      <c r="B999" s="104" t="s">
        <v>2192</v>
      </c>
      <c r="C999" s="104" t="s">
        <v>2157</v>
      </c>
      <c r="D999" s="103">
        <v>1.0</v>
      </c>
      <c r="E999" s="103">
        <v>0.0</v>
      </c>
      <c r="F999" s="103">
        <v>0.0</v>
      </c>
      <c r="G999" s="103">
        <v>7.0</v>
      </c>
      <c r="H999" s="103">
        <v>0.0</v>
      </c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</row>
    <row r="1000">
      <c r="A1000" s="105">
        <v>998.0</v>
      </c>
      <c r="B1000" s="106" t="s">
        <v>2193</v>
      </c>
      <c r="C1000" s="106" t="s">
        <v>2194</v>
      </c>
      <c r="D1000" s="105">
        <v>0.0</v>
      </c>
      <c r="E1000" s="105">
        <v>0.0</v>
      </c>
      <c r="F1000" s="105">
        <v>0.0</v>
      </c>
      <c r="G1000" s="105">
        <v>8.0</v>
      </c>
      <c r="H1000" s="105">
        <v>0.0</v>
      </c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  <row r="1001">
      <c r="A1001" s="103">
        <v>999.0</v>
      </c>
      <c r="B1001" s="104" t="s">
        <v>2195</v>
      </c>
      <c r="C1001" s="104" t="s">
        <v>2194</v>
      </c>
      <c r="D1001" s="103">
        <v>0.0</v>
      </c>
      <c r="E1001" s="103">
        <v>0.0</v>
      </c>
      <c r="F1001" s="103">
        <v>0.0</v>
      </c>
      <c r="G1001" s="103">
        <v>8.0</v>
      </c>
      <c r="H1001" s="103">
        <v>0.0</v>
      </c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01"/>
      <c r="Z1001" s="101"/>
    </row>
    <row r="1002">
      <c r="A1002" s="105">
        <v>1000.0</v>
      </c>
      <c r="B1002" s="106" t="s">
        <v>2196</v>
      </c>
      <c r="C1002" s="106" t="s">
        <v>2194</v>
      </c>
      <c r="D1002" s="105">
        <v>0.0</v>
      </c>
      <c r="E1002" s="105">
        <v>0.0</v>
      </c>
      <c r="F1002" s="105">
        <v>0.0</v>
      </c>
      <c r="G1002" s="105">
        <v>8.0</v>
      </c>
      <c r="H1002" s="105">
        <v>0.0</v>
      </c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  <c r="Y1002" s="101"/>
      <c r="Z1002" s="101"/>
    </row>
    <row r="1003">
      <c r="A1003" s="103">
        <v>1001.0</v>
      </c>
      <c r="B1003" s="104" t="s">
        <v>2197</v>
      </c>
      <c r="C1003" s="104" t="s">
        <v>2194</v>
      </c>
      <c r="D1003" s="103">
        <v>1.0</v>
      </c>
      <c r="E1003" s="103">
        <v>0.0</v>
      </c>
      <c r="F1003" s="103">
        <v>0.0</v>
      </c>
      <c r="G1003" s="103">
        <v>7.0</v>
      </c>
      <c r="H1003" s="103">
        <v>0.0</v>
      </c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  <c r="Y1003" s="101"/>
      <c r="Z1003" s="101"/>
    </row>
    <row r="1004">
      <c r="A1004" s="105">
        <v>1002.0</v>
      </c>
      <c r="B1004" s="106" t="s">
        <v>2198</v>
      </c>
      <c r="C1004" s="106" t="s">
        <v>2194</v>
      </c>
      <c r="D1004" s="105">
        <v>0.0</v>
      </c>
      <c r="E1004" s="105">
        <v>0.0</v>
      </c>
      <c r="F1004" s="105">
        <v>0.0</v>
      </c>
      <c r="G1004" s="105">
        <v>8.0</v>
      </c>
      <c r="H1004" s="105">
        <v>0.0</v>
      </c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  <c r="Y1004" s="101"/>
      <c r="Z1004" s="101"/>
    </row>
    <row r="1005">
      <c r="A1005" s="103">
        <v>1003.0</v>
      </c>
      <c r="B1005" s="104" t="s">
        <v>2199</v>
      </c>
      <c r="C1005" s="104" t="s">
        <v>2194</v>
      </c>
      <c r="D1005" s="103">
        <v>0.0</v>
      </c>
      <c r="E1005" s="103">
        <v>0.0</v>
      </c>
      <c r="F1005" s="103">
        <v>0.0</v>
      </c>
      <c r="G1005" s="103">
        <v>8.0</v>
      </c>
      <c r="H1005" s="103">
        <v>0.0</v>
      </c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  <c r="Y1005" s="101"/>
      <c r="Z1005" s="101"/>
    </row>
    <row r="1006">
      <c r="A1006" s="105">
        <v>1004.0</v>
      </c>
      <c r="B1006" s="106" t="s">
        <v>2200</v>
      </c>
      <c r="C1006" s="106" t="s">
        <v>2194</v>
      </c>
      <c r="D1006" s="105">
        <v>0.0</v>
      </c>
      <c r="E1006" s="105">
        <v>0.0</v>
      </c>
      <c r="F1006" s="105">
        <v>0.0</v>
      </c>
      <c r="G1006" s="105">
        <v>8.0</v>
      </c>
      <c r="H1006" s="105">
        <v>0.0</v>
      </c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  <c r="Y1006" s="101"/>
      <c r="Z1006" s="101"/>
    </row>
    <row r="1007">
      <c r="A1007" s="103">
        <v>1005.0</v>
      </c>
      <c r="B1007" s="104" t="s">
        <v>2201</v>
      </c>
      <c r="C1007" s="104" t="s">
        <v>2194</v>
      </c>
      <c r="D1007" s="103">
        <v>0.0</v>
      </c>
      <c r="E1007" s="103">
        <v>0.0</v>
      </c>
      <c r="F1007" s="103">
        <v>0.0</v>
      </c>
      <c r="G1007" s="103">
        <v>8.0</v>
      </c>
      <c r="H1007" s="103">
        <v>0.0</v>
      </c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  <c r="X1007" s="101"/>
      <c r="Y1007" s="101"/>
      <c r="Z1007" s="101"/>
    </row>
    <row r="1008">
      <c r="A1008" s="105">
        <v>1006.0</v>
      </c>
      <c r="B1008" s="106" t="s">
        <v>2202</v>
      </c>
      <c r="C1008" s="106" t="s">
        <v>2194</v>
      </c>
      <c r="D1008" s="105">
        <v>0.0</v>
      </c>
      <c r="E1008" s="105">
        <v>0.0</v>
      </c>
      <c r="F1008" s="105">
        <v>0.0</v>
      </c>
      <c r="G1008" s="105">
        <v>8.0</v>
      </c>
      <c r="H1008" s="105">
        <v>0.0</v>
      </c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  <c r="X1008" s="101"/>
      <c r="Y1008" s="101"/>
      <c r="Z1008" s="101"/>
    </row>
    <row r="1009">
      <c r="A1009" s="103">
        <v>1007.0</v>
      </c>
      <c r="B1009" s="104" t="s">
        <v>2203</v>
      </c>
      <c r="C1009" s="104" t="s">
        <v>2194</v>
      </c>
      <c r="D1009" s="103">
        <v>0.0</v>
      </c>
      <c r="E1009" s="103">
        <v>0.0</v>
      </c>
      <c r="F1009" s="103">
        <v>0.0</v>
      </c>
      <c r="G1009" s="103">
        <v>8.0</v>
      </c>
      <c r="H1009" s="103">
        <v>0.0</v>
      </c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1"/>
      <c r="U1009" s="101"/>
      <c r="V1009" s="101"/>
      <c r="W1009" s="101"/>
      <c r="X1009" s="101"/>
      <c r="Y1009" s="101"/>
      <c r="Z1009" s="101"/>
    </row>
    <row r="1010">
      <c r="A1010" s="105">
        <v>1008.0</v>
      </c>
      <c r="B1010" s="106" t="s">
        <v>2204</v>
      </c>
      <c r="C1010" s="106" t="s">
        <v>2194</v>
      </c>
      <c r="D1010" s="105">
        <v>0.0</v>
      </c>
      <c r="E1010" s="105">
        <v>0.0</v>
      </c>
      <c r="F1010" s="105">
        <v>0.0</v>
      </c>
      <c r="G1010" s="105">
        <v>8.0</v>
      </c>
      <c r="H1010" s="105">
        <v>0.0</v>
      </c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1"/>
      <c r="U1010" s="101"/>
      <c r="V1010" s="101"/>
      <c r="W1010" s="101"/>
      <c r="X1010" s="101"/>
      <c r="Y1010" s="101"/>
      <c r="Z1010" s="101"/>
    </row>
    <row r="1011">
      <c r="A1011" s="103">
        <v>1009.0</v>
      </c>
      <c r="B1011" s="104" t="s">
        <v>2205</v>
      </c>
      <c r="C1011" s="104" t="s">
        <v>2194</v>
      </c>
      <c r="D1011" s="103">
        <v>0.0</v>
      </c>
      <c r="E1011" s="103">
        <v>0.0</v>
      </c>
      <c r="F1011" s="103">
        <v>0.0</v>
      </c>
      <c r="G1011" s="103">
        <v>8.0</v>
      </c>
      <c r="H1011" s="103">
        <v>0.0</v>
      </c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1"/>
      <c r="U1011" s="101"/>
      <c r="V1011" s="101"/>
      <c r="W1011" s="101"/>
      <c r="X1011" s="101"/>
      <c r="Y1011" s="101"/>
      <c r="Z1011" s="101"/>
    </row>
    <row r="1012">
      <c r="A1012" s="105">
        <v>1010.0</v>
      </c>
      <c r="B1012" s="106" t="s">
        <v>2206</v>
      </c>
      <c r="C1012" s="106" t="s">
        <v>2194</v>
      </c>
      <c r="D1012" s="105">
        <v>0.0</v>
      </c>
      <c r="E1012" s="105">
        <v>0.0</v>
      </c>
      <c r="F1012" s="105">
        <v>0.0</v>
      </c>
      <c r="G1012" s="105">
        <v>8.0</v>
      </c>
      <c r="H1012" s="105">
        <v>0.0</v>
      </c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1"/>
      <c r="U1012" s="101"/>
      <c r="V1012" s="101"/>
      <c r="W1012" s="101"/>
      <c r="X1012" s="101"/>
      <c r="Y1012" s="101"/>
      <c r="Z1012" s="101"/>
    </row>
    <row r="1013">
      <c r="A1013" s="103">
        <v>1011.0</v>
      </c>
      <c r="B1013" s="104" t="s">
        <v>2207</v>
      </c>
      <c r="C1013" s="104" t="s">
        <v>2194</v>
      </c>
      <c r="D1013" s="103">
        <v>0.0</v>
      </c>
      <c r="E1013" s="103">
        <v>0.0</v>
      </c>
      <c r="F1013" s="103">
        <v>0.0</v>
      </c>
      <c r="G1013" s="103">
        <v>8.0</v>
      </c>
      <c r="H1013" s="103">
        <v>0.0</v>
      </c>
      <c r="I1013" s="101"/>
      <c r="J1013" s="101"/>
      <c r="K1013" s="101"/>
      <c r="L1013" s="101"/>
      <c r="M1013" s="101"/>
      <c r="N1013" s="101"/>
      <c r="O1013" s="101"/>
      <c r="P1013" s="101"/>
      <c r="Q1013" s="101"/>
      <c r="R1013" s="101"/>
      <c r="S1013" s="101"/>
      <c r="T1013" s="101"/>
      <c r="U1013" s="101"/>
      <c r="V1013" s="101"/>
      <c r="W1013" s="101"/>
      <c r="X1013" s="101"/>
      <c r="Y1013" s="101"/>
      <c r="Z1013" s="101"/>
    </row>
    <row r="1014">
      <c r="A1014" s="105">
        <v>1012.0</v>
      </c>
      <c r="B1014" s="106" t="s">
        <v>2208</v>
      </c>
      <c r="C1014" s="106" t="s">
        <v>2194</v>
      </c>
      <c r="D1014" s="105">
        <v>0.0</v>
      </c>
      <c r="E1014" s="105">
        <v>0.0</v>
      </c>
      <c r="F1014" s="105">
        <v>0.0</v>
      </c>
      <c r="G1014" s="105">
        <v>8.0</v>
      </c>
      <c r="H1014" s="105">
        <v>0.0</v>
      </c>
      <c r="I1014" s="101"/>
      <c r="J1014" s="101"/>
      <c r="K1014" s="101"/>
      <c r="L1014" s="101"/>
      <c r="M1014" s="101"/>
      <c r="N1014" s="101"/>
      <c r="O1014" s="101"/>
      <c r="P1014" s="101"/>
      <c r="Q1014" s="101"/>
      <c r="R1014" s="101"/>
      <c r="S1014" s="101"/>
      <c r="T1014" s="101"/>
      <c r="U1014" s="101"/>
      <c r="V1014" s="101"/>
      <c r="W1014" s="101"/>
      <c r="X1014" s="101"/>
      <c r="Y1014" s="101"/>
      <c r="Z1014" s="101"/>
    </row>
    <row r="1015">
      <c r="A1015" s="103">
        <v>1013.0</v>
      </c>
      <c r="B1015" s="104" t="s">
        <v>2209</v>
      </c>
      <c r="C1015" s="104" t="s">
        <v>2194</v>
      </c>
      <c r="D1015" s="103">
        <v>0.0</v>
      </c>
      <c r="E1015" s="103">
        <v>0.0</v>
      </c>
      <c r="F1015" s="103">
        <v>0.0</v>
      </c>
      <c r="G1015" s="103">
        <v>8.0</v>
      </c>
      <c r="H1015" s="103">
        <v>0.0</v>
      </c>
      <c r="I1015" s="101"/>
      <c r="J1015" s="101"/>
      <c r="K1015" s="101"/>
      <c r="L1015" s="101"/>
      <c r="M1015" s="101"/>
      <c r="N1015" s="101"/>
      <c r="O1015" s="101"/>
      <c r="P1015" s="101"/>
      <c r="Q1015" s="101"/>
      <c r="R1015" s="101"/>
      <c r="S1015" s="101"/>
      <c r="T1015" s="101"/>
      <c r="U1015" s="101"/>
      <c r="V1015" s="101"/>
      <c r="W1015" s="101"/>
      <c r="X1015" s="101"/>
      <c r="Y1015" s="101"/>
      <c r="Z1015" s="101"/>
    </row>
    <row r="1016">
      <c r="A1016" s="105">
        <v>1014.0</v>
      </c>
      <c r="B1016" s="106" t="s">
        <v>2210</v>
      </c>
      <c r="C1016" s="106" t="s">
        <v>2194</v>
      </c>
      <c r="D1016" s="105">
        <v>0.0</v>
      </c>
      <c r="E1016" s="105">
        <v>0.0</v>
      </c>
      <c r="F1016" s="105">
        <v>0.0</v>
      </c>
      <c r="G1016" s="105">
        <v>8.0</v>
      </c>
      <c r="H1016" s="105">
        <v>0.0</v>
      </c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101"/>
      <c r="U1016" s="101"/>
      <c r="V1016" s="101"/>
      <c r="W1016" s="101"/>
      <c r="X1016" s="101"/>
      <c r="Y1016" s="101"/>
      <c r="Z1016" s="101"/>
    </row>
    <row r="1017">
      <c r="A1017" s="103">
        <v>1015.0</v>
      </c>
      <c r="B1017" s="104" t="s">
        <v>2211</v>
      </c>
      <c r="C1017" s="104" t="s">
        <v>2194</v>
      </c>
      <c r="D1017" s="103">
        <v>0.0</v>
      </c>
      <c r="E1017" s="103">
        <v>0.0</v>
      </c>
      <c r="F1017" s="103">
        <v>0.0</v>
      </c>
      <c r="G1017" s="103">
        <v>8.0</v>
      </c>
      <c r="H1017" s="103">
        <v>0.0</v>
      </c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101"/>
      <c r="U1017" s="101"/>
      <c r="V1017" s="101"/>
      <c r="W1017" s="101"/>
      <c r="X1017" s="101"/>
      <c r="Y1017" s="101"/>
      <c r="Z1017" s="101"/>
    </row>
    <row r="1018">
      <c r="A1018" s="105">
        <v>1016.0</v>
      </c>
      <c r="B1018" s="106" t="s">
        <v>2212</v>
      </c>
      <c r="C1018" s="106" t="s">
        <v>2194</v>
      </c>
      <c r="D1018" s="105">
        <v>0.0</v>
      </c>
      <c r="E1018" s="105">
        <v>0.0</v>
      </c>
      <c r="F1018" s="105">
        <v>0.0</v>
      </c>
      <c r="G1018" s="105">
        <v>8.0</v>
      </c>
      <c r="H1018" s="105">
        <v>0.0</v>
      </c>
      <c r="I1018" s="101"/>
      <c r="J1018" s="101"/>
      <c r="K1018" s="101"/>
      <c r="L1018" s="101"/>
      <c r="M1018" s="101"/>
      <c r="N1018" s="101"/>
      <c r="O1018" s="101"/>
      <c r="P1018" s="101"/>
      <c r="Q1018" s="101"/>
      <c r="R1018" s="101"/>
      <c r="S1018" s="101"/>
      <c r="T1018" s="101"/>
      <c r="U1018" s="101"/>
      <c r="V1018" s="101"/>
      <c r="W1018" s="101"/>
      <c r="X1018" s="101"/>
      <c r="Y1018" s="101"/>
      <c r="Z1018" s="101"/>
    </row>
    <row r="1019">
      <c r="A1019" s="103">
        <v>1017.0</v>
      </c>
      <c r="B1019" s="104" t="s">
        <v>2213</v>
      </c>
      <c r="C1019" s="104" t="s">
        <v>2194</v>
      </c>
      <c r="D1019" s="103">
        <v>0.0</v>
      </c>
      <c r="E1019" s="103">
        <v>0.0</v>
      </c>
      <c r="F1019" s="103">
        <v>0.0</v>
      </c>
      <c r="G1019" s="103">
        <v>8.0</v>
      </c>
      <c r="H1019" s="103">
        <v>0.0</v>
      </c>
      <c r="I1019" s="101"/>
      <c r="J1019" s="101"/>
      <c r="K1019" s="101"/>
      <c r="L1019" s="101"/>
      <c r="M1019" s="101"/>
      <c r="N1019" s="101"/>
      <c r="O1019" s="101"/>
      <c r="P1019" s="101"/>
      <c r="Q1019" s="101"/>
      <c r="R1019" s="101"/>
      <c r="S1019" s="101"/>
      <c r="T1019" s="101"/>
      <c r="U1019" s="101"/>
      <c r="V1019" s="101"/>
      <c r="W1019" s="101"/>
      <c r="X1019" s="101"/>
      <c r="Y1019" s="101"/>
      <c r="Z1019" s="101"/>
    </row>
    <row r="1020">
      <c r="A1020" s="105">
        <v>1018.0</v>
      </c>
      <c r="B1020" s="106" t="s">
        <v>2214</v>
      </c>
      <c r="C1020" s="106" t="s">
        <v>2194</v>
      </c>
      <c r="D1020" s="105">
        <v>0.0</v>
      </c>
      <c r="E1020" s="105">
        <v>0.0</v>
      </c>
      <c r="F1020" s="105">
        <v>0.0</v>
      </c>
      <c r="G1020" s="105">
        <v>8.0</v>
      </c>
      <c r="H1020" s="105">
        <v>0.0</v>
      </c>
      <c r="I1020" s="101"/>
      <c r="J1020" s="101"/>
      <c r="K1020" s="101"/>
      <c r="L1020" s="101"/>
      <c r="M1020" s="101"/>
      <c r="N1020" s="101"/>
      <c r="O1020" s="101"/>
      <c r="P1020" s="101"/>
      <c r="Q1020" s="101"/>
      <c r="R1020" s="101"/>
      <c r="S1020" s="101"/>
      <c r="T1020" s="101"/>
      <c r="U1020" s="101"/>
      <c r="V1020" s="101"/>
      <c r="W1020" s="101"/>
      <c r="X1020" s="101"/>
      <c r="Y1020" s="101"/>
      <c r="Z1020" s="101"/>
    </row>
    <row r="1021">
      <c r="A1021" s="103">
        <v>1019.0</v>
      </c>
      <c r="B1021" s="104" t="s">
        <v>2215</v>
      </c>
      <c r="C1021" s="104" t="s">
        <v>2194</v>
      </c>
      <c r="D1021" s="103">
        <v>0.0</v>
      </c>
      <c r="E1021" s="103">
        <v>0.0</v>
      </c>
      <c r="F1021" s="103">
        <v>0.0</v>
      </c>
      <c r="G1021" s="103">
        <v>8.0</v>
      </c>
      <c r="H1021" s="103">
        <v>0.0</v>
      </c>
      <c r="I1021" s="101"/>
      <c r="J1021" s="101"/>
      <c r="K1021" s="101"/>
      <c r="L1021" s="101"/>
      <c r="M1021" s="101"/>
      <c r="N1021" s="101"/>
      <c r="O1021" s="101"/>
      <c r="P1021" s="101"/>
      <c r="Q1021" s="101"/>
      <c r="R1021" s="101"/>
      <c r="S1021" s="101"/>
      <c r="T1021" s="101"/>
      <c r="U1021" s="101"/>
      <c r="V1021" s="101"/>
      <c r="W1021" s="101"/>
      <c r="X1021" s="101"/>
      <c r="Y1021" s="101"/>
      <c r="Z1021" s="101"/>
    </row>
    <row r="1022">
      <c r="A1022" s="105">
        <v>1020.0</v>
      </c>
      <c r="B1022" s="106" t="s">
        <v>2216</v>
      </c>
      <c r="C1022" s="106" t="s">
        <v>2194</v>
      </c>
      <c r="D1022" s="105">
        <v>0.0</v>
      </c>
      <c r="E1022" s="105">
        <v>0.0</v>
      </c>
      <c r="F1022" s="105">
        <v>0.0</v>
      </c>
      <c r="G1022" s="105">
        <v>8.0</v>
      </c>
      <c r="H1022" s="105">
        <v>0.0</v>
      </c>
      <c r="I1022" s="101"/>
      <c r="J1022" s="101"/>
      <c r="K1022" s="101"/>
      <c r="L1022" s="101"/>
      <c r="M1022" s="101"/>
      <c r="N1022" s="101"/>
      <c r="O1022" s="101"/>
      <c r="P1022" s="101"/>
      <c r="Q1022" s="101"/>
      <c r="R1022" s="101"/>
      <c r="S1022" s="101"/>
      <c r="T1022" s="101"/>
      <c r="U1022" s="101"/>
      <c r="V1022" s="101"/>
      <c r="W1022" s="101"/>
      <c r="X1022" s="101"/>
      <c r="Y1022" s="101"/>
      <c r="Z1022" s="101"/>
    </row>
    <row r="1023">
      <c r="A1023" s="103">
        <v>1021.0</v>
      </c>
      <c r="B1023" s="104" t="s">
        <v>2217</v>
      </c>
      <c r="C1023" s="104" t="s">
        <v>2194</v>
      </c>
      <c r="D1023" s="103">
        <v>0.0</v>
      </c>
      <c r="E1023" s="103">
        <v>0.0</v>
      </c>
      <c r="F1023" s="103">
        <v>0.0</v>
      </c>
      <c r="G1023" s="103">
        <v>8.0</v>
      </c>
      <c r="H1023" s="103">
        <v>0.0</v>
      </c>
      <c r="I1023" s="101"/>
      <c r="J1023" s="101"/>
      <c r="K1023" s="101"/>
      <c r="L1023" s="101"/>
      <c r="M1023" s="101"/>
      <c r="N1023" s="101"/>
      <c r="O1023" s="101"/>
      <c r="P1023" s="101"/>
      <c r="Q1023" s="101"/>
      <c r="R1023" s="101"/>
      <c r="S1023" s="101"/>
      <c r="T1023" s="101"/>
      <c r="U1023" s="101"/>
      <c r="V1023" s="101"/>
      <c r="W1023" s="101"/>
      <c r="X1023" s="101"/>
      <c r="Y1023" s="101"/>
      <c r="Z1023" s="101"/>
    </row>
    <row r="1024">
      <c r="A1024" s="105">
        <v>1022.0</v>
      </c>
      <c r="B1024" s="106" t="s">
        <v>2218</v>
      </c>
      <c r="C1024" s="106" t="s">
        <v>2194</v>
      </c>
      <c r="D1024" s="105">
        <v>0.0</v>
      </c>
      <c r="E1024" s="105">
        <v>0.0</v>
      </c>
      <c r="F1024" s="105">
        <v>0.0</v>
      </c>
      <c r="G1024" s="105">
        <v>8.0</v>
      </c>
      <c r="H1024" s="105">
        <v>0.0</v>
      </c>
      <c r="I1024" s="101"/>
      <c r="J1024" s="101"/>
      <c r="K1024" s="101"/>
      <c r="L1024" s="101"/>
      <c r="M1024" s="101"/>
      <c r="N1024" s="101"/>
      <c r="O1024" s="101"/>
      <c r="P1024" s="101"/>
      <c r="Q1024" s="101"/>
      <c r="R1024" s="101"/>
      <c r="S1024" s="101"/>
      <c r="T1024" s="101"/>
      <c r="U1024" s="101"/>
      <c r="V1024" s="101"/>
      <c r="W1024" s="101"/>
      <c r="X1024" s="101"/>
      <c r="Y1024" s="101"/>
      <c r="Z1024" s="101"/>
    </row>
    <row r="1025">
      <c r="A1025" s="103">
        <v>1023.0</v>
      </c>
      <c r="B1025" s="104" t="s">
        <v>2219</v>
      </c>
      <c r="C1025" s="104" t="s">
        <v>2194</v>
      </c>
      <c r="D1025" s="103">
        <v>0.0</v>
      </c>
      <c r="E1025" s="103">
        <v>0.0</v>
      </c>
      <c r="F1025" s="103">
        <v>0.0</v>
      </c>
      <c r="G1025" s="103">
        <v>8.0</v>
      </c>
      <c r="H1025" s="103">
        <v>0.0</v>
      </c>
      <c r="I1025" s="101"/>
      <c r="J1025" s="101"/>
      <c r="K1025" s="101"/>
      <c r="L1025" s="101"/>
      <c r="M1025" s="101"/>
      <c r="N1025" s="101"/>
      <c r="O1025" s="101"/>
      <c r="P1025" s="101"/>
      <c r="Q1025" s="101"/>
      <c r="R1025" s="101"/>
      <c r="S1025" s="101"/>
      <c r="T1025" s="101"/>
      <c r="U1025" s="101"/>
      <c r="V1025" s="101"/>
      <c r="W1025" s="101"/>
      <c r="X1025" s="101"/>
      <c r="Y1025" s="101"/>
      <c r="Z1025" s="101"/>
    </row>
    <row r="1026">
      <c r="A1026" s="105">
        <v>1024.0</v>
      </c>
      <c r="B1026" s="106" t="s">
        <v>2220</v>
      </c>
      <c r="C1026" s="106" t="s">
        <v>2194</v>
      </c>
      <c r="D1026" s="105">
        <v>0.0</v>
      </c>
      <c r="E1026" s="105">
        <v>0.0</v>
      </c>
      <c r="F1026" s="105">
        <v>0.0</v>
      </c>
      <c r="G1026" s="105">
        <v>8.0</v>
      </c>
      <c r="H1026" s="105">
        <v>0.0</v>
      </c>
      <c r="I1026" s="101"/>
      <c r="J1026" s="101"/>
      <c r="K1026" s="101"/>
      <c r="L1026" s="101"/>
      <c r="M1026" s="101"/>
      <c r="N1026" s="101"/>
      <c r="O1026" s="101"/>
      <c r="P1026" s="101"/>
      <c r="Q1026" s="101"/>
      <c r="R1026" s="101"/>
      <c r="S1026" s="101"/>
      <c r="T1026" s="101"/>
      <c r="U1026" s="101"/>
      <c r="V1026" s="101"/>
      <c r="W1026" s="101"/>
      <c r="X1026" s="101"/>
      <c r="Y1026" s="101"/>
      <c r="Z1026" s="101"/>
    </row>
    <row r="1027">
      <c r="A1027" s="103">
        <v>1025.0</v>
      </c>
      <c r="B1027" s="104" t="s">
        <v>2221</v>
      </c>
      <c r="C1027" s="104" t="s">
        <v>2194</v>
      </c>
      <c r="D1027" s="103">
        <v>0.0</v>
      </c>
      <c r="E1027" s="103">
        <v>0.0</v>
      </c>
      <c r="F1027" s="103">
        <v>0.0</v>
      </c>
      <c r="G1027" s="103">
        <v>8.0</v>
      </c>
      <c r="H1027" s="103">
        <v>0.0</v>
      </c>
      <c r="I1027" s="101"/>
      <c r="J1027" s="101"/>
      <c r="K1027" s="101"/>
      <c r="L1027" s="101"/>
      <c r="M1027" s="101"/>
      <c r="N1027" s="101"/>
      <c r="O1027" s="101"/>
      <c r="P1027" s="101"/>
      <c r="Q1027" s="101"/>
      <c r="R1027" s="101"/>
      <c r="S1027" s="101"/>
      <c r="T1027" s="101"/>
      <c r="U1027" s="101"/>
      <c r="V1027" s="101"/>
      <c r="W1027" s="101"/>
      <c r="X1027" s="101"/>
      <c r="Y1027" s="101"/>
      <c r="Z1027" s="101"/>
    </row>
    <row r="1028">
      <c r="A1028" s="105">
        <v>1026.0</v>
      </c>
      <c r="B1028" s="106" t="s">
        <v>2222</v>
      </c>
      <c r="C1028" s="106" t="s">
        <v>2194</v>
      </c>
      <c r="D1028" s="105">
        <v>2.0</v>
      </c>
      <c r="E1028" s="105">
        <v>0.0</v>
      </c>
      <c r="F1028" s="105">
        <v>0.0</v>
      </c>
      <c r="G1028" s="105">
        <v>6.0</v>
      </c>
      <c r="H1028" s="105">
        <v>0.0</v>
      </c>
      <c r="I1028" s="101"/>
      <c r="J1028" s="101"/>
      <c r="K1028" s="101"/>
      <c r="L1028" s="101"/>
      <c r="M1028" s="101"/>
      <c r="N1028" s="101"/>
      <c r="O1028" s="101"/>
      <c r="P1028" s="101"/>
      <c r="Q1028" s="101"/>
      <c r="R1028" s="101"/>
      <c r="S1028" s="101"/>
      <c r="T1028" s="101"/>
      <c r="U1028" s="101"/>
      <c r="V1028" s="101"/>
      <c r="W1028" s="101"/>
      <c r="X1028" s="101"/>
      <c r="Y1028" s="101"/>
      <c r="Z1028" s="101"/>
    </row>
    <row r="1029">
      <c r="A1029" s="103">
        <v>1027.0</v>
      </c>
      <c r="B1029" s="104" t="s">
        <v>2223</v>
      </c>
      <c r="C1029" s="104" t="s">
        <v>2194</v>
      </c>
      <c r="D1029" s="103">
        <v>0.0</v>
      </c>
      <c r="E1029" s="103">
        <v>0.0</v>
      </c>
      <c r="F1029" s="103">
        <v>0.0</v>
      </c>
      <c r="G1029" s="103">
        <v>8.0</v>
      </c>
      <c r="H1029" s="103">
        <v>0.0</v>
      </c>
      <c r="I1029" s="101"/>
      <c r="J1029" s="101"/>
      <c r="K1029" s="101"/>
      <c r="L1029" s="101"/>
      <c r="M1029" s="101"/>
      <c r="N1029" s="101"/>
      <c r="O1029" s="101"/>
      <c r="P1029" s="101"/>
      <c r="Q1029" s="101"/>
      <c r="R1029" s="101"/>
      <c r="S1029" s="101"/>
      <c r="T1029" s="101"/>
      <c r="U1029" s="101"/>
      <c r="V1029" s="101"/>
      <c r="W1029" s="101"/>
      <c r="X1029" s="101"/>
      <c r="Y1029" s="101"/>
      <c r="Z1029" s="101"/>
    </row>
    <row r="1030">
      <c r="A1030" s="105">
        <v>1028.0</v>
      </c>
      <c r="B1030" s="106" t="s">
        <v>2224</v>
      </c>
      <c r="C1030" s="106" t="s">
        <v>2194</v>
      </c>
      <c r="D1030" s="105">
        <v>0.0</v>
      </c>
      <c r="E1030" s="105">
        <v>0.0</v>
      </c>
      <c r="F1030" s="105">
        <v>0.0</v>
      </c>
      <c r="G1030" s="105">
        <v>8.0</v>
      </c>
      <c r="H1030" s="105">
        <v>0.0</v>
      </c>
      <c r="I1030" s="101"/>
      <c r="J1030" s="101"/>
      <c r="K1030" s="101"/>
      <c r="L1030" s="101"/>
      <c r="M1030" s="101"/>
      <c r="N1030" s="101"/>
      <c r="O1030" s="101"/>
      <c r="P1030" s="101"/>
      <c r="Q1030" s="101"/>
      <c r="R1030" s="101"/>
      <c r="S1030" s="101"/>
      <c r="T1030" s="101"/>
      <c r="U1030" s="101"/>
      <c r="V1030" s="101"/>
      <c r="W1030" s="101"/>
      <c r="X1030" s="101"/>
      <c r="Y1030" s="101"/>
      <c r="Z1030" s="101"/>
    </row>
    <row r="1031">
      <c r="A1031" s="103">
        <v>1029.0</v>
      </c>
      <c r="B1031" s="104" t="s">
        <v>2225</v>
      </c>
      <c r="C1031" s="104" t="s">
        <v>2194</v>
      </c>
      <c r="D1031" s="103">
        <v>0.0</v>
      </c>
      <c r="E1031" s="103">
        <v>0.0</v>
      </c>
      <c r="F1031" s="103">
        <v>0.0</v>
      </c>
      <c r="G1031" s="103">
        <v>8.0</v>
      </c>
      <c r="H1031" s="103">
        <v>0.0</v>
      </c>
      <c r="I1031" s="101"/>
      <c r="J1031" s="101"/>
      <c r="K1031" s="101"/>
      <c r="L1031" s="101"/>
      <c r="M1031" s="101"/>
      <c r="N1031" s="101"/>
      <c r="O1031" s="101"/>
      <c r="P1031" s="101"/>
      <c r="Q1031" s="101"/>
      <c r="R1031" s="101"/>
      <c r="S1031" s="101"/>
      <c r="T1031" s="101"/>
      <c r="U1031" s="101"/>
      <c r="V1031" s="101"/>
      <c r="W1031" s="101"/>
      <c r="X1031" s="101"/>
      <c r="Y1031" s="101"/>
      <c r="Z1031" s="101"/>
    </row>
    <row r="1032">
      <c r="A1032" s="105">
        <v>1030.0</v>
      </c>
      <c r="B1032" s="106" t="s">
        <v>2226</v>
      </c>
      <c r="C1032" s="106" t="s">
        <v>2194</v>
      </c>
      <c r="D1032" s="105">
        <v>0.0</v>
      </c>
      <c r="E1032" s="105">
        <v>0.0</v>
      </c>
      <c r="F1032" s="105">
        <v>0.0</v>
      </c>
      <c r="G1032" s="105">
        <v>8.0</v>
      </c>
      <c r="H1032" s="105">
        <v>0.0</v>
      </c>
      <c r="I1032" s="101"/>
      <c r="J1032" s="101"/>
      <c r="K1032" s="101"/>
      <c r="L1032" s="101"/>
      <c r="M1032" s="101"/>
      <c r="N1032" s="101"/>
      <c r="O1032" s="101"/>
      <c r="P1032" s="101"/>
      <c r="Q1032" s="101"/>
      <c r="R1032" s="101"/>
      <c r="S1032" s="101"/>
      <c r="T1032" s="101"/>
      <c r="U1032" s="101"/>
      <c r="V1032" s="101"/>
      <c r="W1032" s="101"/>
      <c r="X1032" s="101"/>
      <c r="Y1032" s="101"/>
      <c r="Z1032" s="101"/>
    </row>
    <row r="1033">
      <c r="A1033" s="103">
        <v>1031.0</v>
      </c>
      <c r="B1033" s="104" t="s">
        <v>2227</v>
      </c>
      <c r="C1033" s="104" t="s">
        <v>2194</v>
      </c>
      <c r="D1033" s="103">
        <v>0.0</v>
      </c>
      <c r="E1033" s="103">
        <v>0.0</v>
      </c>
      <c r="F1033" s="103">
        <v>0.0</v>
      </c>
      <c r="G1033" s="103">
        <v>8.0</v>
      </c>
      <c r="H1033" s="103">
        <v>0.0</v>
      </c>
      <c r="I1033" s="101"/>
      <c r="J1033" s="101"/>
      <c r="K1033" s="101"/>
      <c r="L1033" s="101"/>
      <c r="M1033" s="101"/>
      <c r="N1033" s="101"/>
      <c r="O1033" s="101"/>
      <c r="P1033" s="101"/>
      <c r="Q1033" s="101"/>
      <c r="R1033" s="101"/>
      <c r="S1033" s="101"/>
      <c r="T1033" s="101"/>
      <c r="U1033" s="101"/>
      <c r="V1033" s="101"/>
      <c r="W1033" s="101"/>
      <c r="X1033" s="101"/>
      <c r="Y1033" s="101"/>
      <c r="Z1033" s="101"/>
    </row>
    <row r="1034">
      <c r="A1034" s="105">
        <v>1032.0</v>
      </c>
      <c r="B1034" s="106" t="s">
        <v>2228</v>
      </c>
      <c r="C1034" s="106" t="s">
        <v>2194</v>
      </c>
      <c r="D1034" s="105">
        <v>0.0</v>
      </c>
      <c r="E1034" s="105">
        <v>0.0</v>
      </c>
      <c r="F1034" s="105">
        <v>0.0</v>
      </c>
      <c r="G1034" s="105">
        <v>8.0</v>
      </c>
      <c r="H1034" s="105">
        <v>0.0</v>
      </c>
      <c r="I1034" s="101"/>
      <c r="J1034" s="101"/>
      <c r="K1034" s="101"/>
      <c r="L1034" s="101"/>
      <c r="M1034" s="101"/>
      <c r="N1034" s="101"/>
      <c r="O1034" s="101"/>
      <c r="P1034" s="101"/>
      <c r="Q1034" s="101"/>
      <c r="R1034" s="101"/>
      <c r="S1034" s="101"/>
      <c r="T1034" s="101"/>
      <c r="U1034" s="101"/>
      <c r="V1034" s="101"/>
      <c r="W1034" s="101"/>
      <c r="X1034" s="101"/>
      <c r="Y1034" s="101"/>
      <c r="Z1034" s="101"/>
    </row>
    <row r="1035">
      <c r="A1035" s="103">
        <v>1033.0</v>
      </c>
      <c r="B1035" s="104" t="s">
        <v>2229</v>
      </c>
      <c r="C1035" s="104" t="s">
        <v>2194</v>
      </c>
      <c r="D1035" s="103">
        <v>0.0</v>
      </c>
      <c r="E1035" s="103">
        <v>0.0</v>
      </c>
      <c r="F1035" s="103">
        <v>0.0</v>
      </c>
      <c r="G1035" s="103">
        <v>8.0</v>
      </c>
      <c r="H1035" s="103">
        <v>0.0</v>
      </c>
      <c r="I1035" s="101"/>
      <c r="J1035" s="101"/>
      <c r="K1035" s="101"/>
      <c r="L1035" s="101"/>
      <c r="M1035" s="101"/>
      <c r="N1035" s="101"/>
      <c r="O1035" s="101"/>
      <c r="P1035" s="101"/>
      <c r="Q1035" s="101"/>
      <c r="R1035" s="101"/>
      <c r="S1035" s="101"/>
      <c r="T1035" s="101"/>
      <c r="U1035" s="101"/>
      <c r="V1035" s="101"/>
      <c r="W1035" s="101"/>
      <c r="X1035" s="101"/>
      <c r="Y1035" s="101"/>
      <c r="Z1035" s="101"/>
    </row>
    <row r="1036">
      <c r="A1036" s="105">
        <v>1034.0</v>
      </c>
      <c r="B1036" s="106" t="s">
        <v>2230</v>
      </c>
      <c r="C1036" s="106" t="s">
        <v>2231</v>
      </c>
      <c r="D1036" s="105">
        <v>0.0</v>
      </c>
      <c r="E1036" s="105">
        <v>0.0</v>
      </c>
      <c r="F1036" s="105">
        <v>0.0</v>
      </c>
      <c r="G1036" s="105">
        <v>8.0</v>
      </c>
      <c r="H1036" s="105">
        <v>0.0</v>
      </c>
      <c r="I1036" s="101"/>
      <c r="J1036" s="101"/>
      <c r="K1036" s="101"/>
      <c r="L1036" s="101"/>
      <c r="M1036" s="101"/>
      <c r="N1036" s="101"/>
      <c r="O1036" s="101"/>
      <c r="P1036" s="101"/>
      <c r="Q1036" s="101"/>
      <c r="R1036" s="101"/>
      <c r="S1036" s="101"/>
      <c r="T1036" s="101"/>
      <c r="U1036" s="101"/>
      <c r="V1036" s="101"/>
      <c r="W1036" s="101"/>
      <c r="X1036" s="101"/>
      <c r="Y1036" s="101"/>
      <c r="Z1036" s="101"/>
    </row>
    <row r="1037">
      <c r="A1037" s="103">
        <v>1035.0</v>
      </c>
      <c r="B1037" s="104" t="s">
        <v>2232</v>
      </c>
      <c r="C1037" s="104" t="s">
        <v>2231</v>
      </c>
      <c r="D1037" s="103">
        <v>0.0</v>
      </c>
      <c r="E1037" s="103">
        <v>0.0</v>
      </c>
      <c r="F1037" s="103">
        <v>0.0</v>
      </c>
      <c r="G1037" s="103">
        <v>8.0</v>
      </c>
      <c r="H1037" s="103">
        <v>0.0</v>
      </c>
      <c r="I1037" s="101"/>
      <c r="J1037" s="101"/>
      <c r="K1037" s="101"/>
      <c r="L1037" s="101"/>
      <c r="M1037" s="101"/>
      <c r="N1037" s="101"/>
      <c r="O1037" s="101"/>
      <c r="P1037" s="101"/>
      <c r="Q1037" s="101"/>
      <c r="R1037" s="101"/>
      <c r="S1037" s="101"/>
      <c r="T1037" s="101"/>
      <c r="U1037" s="101"/>
      <c r="V1037" s="101"/>
      <c r="W1037" s="101"/>
      <c r="X1037" s="101"/>
      <c r="Y1037" s="101"/>
      <c r="Z1037" s="101"/>
    </row>
    <row r="1038">
      <c r="A1038" s="105">
        <v>1036.0</v>
      </c>
      <c r="B1038" s="106" t="s">
        <v>2233</v>
      </c>
      <c r="C1038" s="106" t="s">
        <v>2231</v>
      </c>
      <c r="D1038" s="105">
        <v>0.0</v>
      </c>
      <c r="E1038" s="105">
        <v>0.0</v>
      </c>
      <c r="F1038" s="105">
        <v>0.0</v>
      </c>
      <c r="G1038" s="105">
        <v>8.0</v>
      </c>
      <c r="H1038" s="105">
        <v>0.0</v>
      </c>
      <c r="I1038" s="101"/>
      <c r="J1038" s="101"/>
      <c r="K1038" s="101"/>
      <c r="L1038" s="101"/>
      <c r="M1038" s="101"/>
      <c r="N1038" s="101"/>
      <c r="O1038" s="101"/>
      <c r="P1038" s="101"/>
      <c r="Q1038" s="101"/>
      <c r="R1038" s="101"/>
      <c r="S1038" s="101"/>
      <c r="T1038" s="101"/>
      <c r="U1038" s="101"/>
      <c r="V1038" s="101"/>
      <c r="W1038" s="101"/>
      <c r="X1038" s="101"/>
      <c r="Y1038" s="101"/>
      <c r="Z1038" s="101"/>
    </row>
    <row r="1039">
      <c r="A1039" s="103">
        <v>1037.0</v>
      </c>
      <c r="B1039" s="104" t="s">
        <v>2234</v>
      </c>
      <c r="C1039" s="104" t="s">
        <v>2231</v>
      </c>
      <c r="D1039" s="103">
        <v>0.0</v>
      </c>
      <c r="E1039" s="103">
        <v>0.0</v>
      </c>
      <c r="F1039" s="103">
        <v>0.0</v>
      </c>
      <c r="G1039" s="103">
        <v>8.0</v>
      </c>
      <c r="H1039" s="103">
        <v>0.0</v>
      </c>
      <c r="I1039" s="101"/>
      <c r="J1039" s="101"/>
      <c r="K1039" s="101"/>
      <c r="L1039" s="101"/>
      <c r="M1039" s="101"/>
      <c r="N1039" s="101"/>
      <c r="O1039" s="101"/>
      <c r="P1039" s="101"/>
      <c r="Q1039" s="101"/>
      <c r="R1039" s="101"/>
      <c r="S1039" s="101"/>
      <c r="T1039" s="101"/>
      <c r="U1039" s="101"/>
      <c r="V1039" s="101"/>
      <c r="W1039" s="101"/>
      <c r="X1039" s="101"/>
      <c r="Y1039" s="101"/>
      <c r="Z1039" s="101"/>
    </row>
    <row r="1040">
      <c r="A1040" s="105">
        <v>1038.0</v>
      </c>
      <c r="B1040" s="106" t="s">
        <v>2235</v>
      </c>
      <c r="C1040" s="106" t="s">
        <v>2231</v>
      </c>
      <c r="D1040" s="105">
        <v>0.0</v>
      </c>
      <c r="E1040" s="105">
        <v>0.0</v>
      </c>
      <c r="F1040" s="105">
        <v>0.0</v>
      </c>
      <c r="G1040" s="105">
        <v>8.0</v>
      </c>
      <c r="H1040" s="105">
        <v>0.0</v>
      </c>
      <c r="I1040" s="101"/>
      <c r="J1040" s="101"/>
      <c r="K1040" s="101"/>
      <c r="L1040" s="101"/>
      <c r="M1040" s="101"/>
      <c r="N1040" s="101"/>
      <c r="O1040" s="101"/>
      <c r="P1040" s="101"/>
      <c r="Q1040" s="101"/>
      <c r="R1040" s="101"/>
      <c r="S1040" s="101"/>
      <c r="T1040" s="101"/>
      <c r="U1040" s="101"/>
      <c r="V1040" s="101"/>
      <c r="W1040" s="101"/>
      <c r="X1040" s="101"/>
      <c r="Y1040" s="101"/>
      <c r="Z1040" s="101"/>
    </row>
    <row r="1041">
      <c r="A1041" s="103">
        <v>1039.0</v>
      </c>
      <c r="B1041" s="104" t="s">
        <v>2236</v>
      </c>
      <c r="C1041" s="104" t="s">
        <v>2231</v>
      </c>
      <c r="D1041" s="103">
        <v>0.0</v>
      </c>
      <c r="E1041" s="103">
        <v>0.0</v>
      </c>
      <c r="F1041" s="103">
        <v>0.0</v>
      </c>
      <c r="G1041" s="103">
        <v>8.0</v>
      </c>
      <c r="H1041" s="103">
        <v>0.0</v>
      </c>
      <c r="I1041" s="101"/>
      <c r="J1041" s="101"/>
      <c r="K1041" s="101"/>
      <c r="L1041" s="101"/>
      <c r="M1041" s="101"/>
      <c r="N1041" s="101"/>
      <c r="O1041" s="101"/>
      <c r="P1041" s="101"/>
      <c r="Q1041" s="101"/>
      <c r="R1041" s="101"/>
      <c r="S1041" s="101"/>
      <c r="T1041" s="101"/>
      <c r="U1041" s="101"/>
      <c r="V1041" s="101"/>
      <c r="W1041" s="101"/>
      <c r="X1041" s="101"/>
      <c r="Y1041" s="101"/>
      <c r="Z1041" s="101"/>
    </row>
    <row r="1042">
      <c r="A1042" s="105">
        <v>1040.0</v>
      </c>
      <c r="B1042" s="106" t="s">
        <v>2237</v>
      </c>
      <c r="C1042" s="106" t="s">
        <v>2238</v>
      </c>
      <c r="D1042" s="105">
        <v>1.0</v>
      </c>
      <c r="E1042" s="105">
        <v>0.0</v>
      </c>
      <c r="F1042" s="105">
        <v>0.0</v>
      </c>
      <c r="G1042" s="105">
        <v>7.0</v>
      </c>
      <c r="H1042" s="105">
        <v>0.0</v>
      </c>
      <c r="I1042" s="101"/>
      <c r="J1042" s="101"/>
      <c r="K1042" s="101"/>
      <c r="L1042" s="101"/>
      <c r="M1042" s="101"/>
      <c r="N1042" s="101"/>
      <c r="O1042" s="101"/>
      <c r="P1042" s="101"/>
      <c r="Q1042" s="101"/>
      <c r="R1042" s="101"/>
      <c r="S1042" s="101"/>
      <c r="T1042" s="101"/>
      <c r="U1042" s="101"/>
      <c r="V1042" s="101"/>
      <c r="W1042" s="101"/>
      <c r="X1042" s="101"/>
      <c r="Y1042" s="101"/>
      <c r="Z1042" s="101"/>
    </row>
    <row r="1043">
      <c r="A1043" s="103">
        <v>1041.0</v>
      </c>
      <c r="B1043" s="104" t="s">
        <v>2239</v>
      </c>
      <c r="C1043" s="104" t="s">
        <v>2231</v>
      </c>
      <c r="D1043" s="103">
        <v>0.0</v>
      </c>
      <c r="E1043" s="103">
        <v>0.0</v>
      </c>
      <c r="F1043" s="103">
        <v>0.0</v>
      </c>
      <c r="G1043" s="103">
        <v>8.0</v>
      </c>
      <c r="H1043" s="103">
        <v>0.0</v>
      </c>
      <c r="I1043" s="101"/>
      <c r="J1043" s="101"/>
      <c r="K1043" s="101"/>
      <c r="L1043" s="101"/>
      <c r="M1043" s="101"/>
      <c r="N1043" s="101"/>
      <c r="O1043" s="101"/>
      <c r="P1043" s="101"/>
      <c r="Q1043" s="101"/>
      <c r="R1043" s="101"/>
      <c r="S1043" s="101"/>
      <c r="T1043" s="101"/>
      <c r="U1043" s="101"/>
      <c r="V1043" s="101"/>
      <c r="W1043" s="101"/>
      <c r="X1043" s="101"/>
      <c r="Y1043" s="101"/>
      <c r="Z1043" s="101"/>
    </row>
    <row r="1044">
      <c r="A1044" s="105">
        <v>1042.0</v>
      </c>
      <c r="B1044" s="106" t="s">
        <v>2240</v>
      </c>
      <c r="C1044" s="106" t="s">
        <v>2231</v>
      </c>
      <c r="D1044" s="105">
        <v>0.0</v>
      </c>
      <c r="E1044" s="105">
        <v>0.0</v>
      </c>
      <c r="F1044" s="105">
        <v>0.0</v>
      </c>
      <c r="G1044" s="105">
        <v>8.0</v>
      </c>
      <c r="H1044" s="105">
        <v>0.0</v>
      </c>
      <c r="I1044" s="101"/>
      <c r="J1044" s="101"/>
      <c r="K1044" s="101"/>
      <c r="L1044" s="101"/>
      <c r="M1044" s="101"/>
      <c r="N1044" s="101"/>
      <c r="O1044" s="101"/>
      <c r="P1044" s="101"/>
      <c r="Q1044" s="101"/>
      <c r="R1044" s="101"/>
      <c r="S1044" s="101"/>
      <c r="T1044" s="101"/>
      <c r="U1044" s="101"/>
      <c r="V1044" s="101"/>
      <c r="W1044" s="101"/>
      <c r="X1044" s="101"/>
      <c r="Y1044" s="101"/>
      <c r="Z1044" s="101"/>
    </row>
    <row r="1045">
      <c r="A1045" s="103">
        <v>1043.0</v>
      </c>
      <c r="B1045" s="104" t="s">
        <v>2241</v>
      </c>
      <c r="C1045" s="104" t="s">
        <v>2231</v>
      </c>
      <c r="D1045" s="103">
        <v>0.0</v>
      </c>
      <c r="E1045" s="103">
        <v>0.0</v>
      </c>
      <c r="F1045" s="103">
        <v>0.0</v>
      </c>
      <c r="G1045" s="103">
        <v>8.0</v>
      </c>
      <c r="H1045" s="103">
        <v>0.0</v>
      </c>
      <c r="I1045" s="101"/>
      <c r="J1045" s="101"/>
      <c r="K1045" s="101"/>
      <c r="L1045" s="101"/>
      <c r="M1045" s="101"/>
      <c r="N1045" s="101"/>
      <c r="O1045" s="101"/>
      <c r="P1045" s="101"/>
      <c r="Q1045" s="101"/>
      <c r="R1045" s="101"/>
      <c r="S1045" s="101"/>
      <c r="T1045" s="101"/>
      <c r="U1045" s="101"/>
      <c r="V1045" s="101"/>
      <c r="W1045" s="101"/>
      <c r="X1045" s="101"/>
      <c r="Y1045" s="101"/>
      <c r="Z1045" s="101"/>
    </row>
    <row r="1046">
      <c r="A1046" s="105">
        <v>1044.0</v>
      </c>
      <c r="B1046" s="106" t="s">
        <v>2242</v>
      </c>
      <c r="C1046" s="106" t="s">
        <v>2231</v>
      </c>
      <c r="D1046" s="105">
        <v>0.0</v>
      </c>
      <c r="E1046" s="105">
        <v>0.0</v>
      </c>
      <c r="F1046" s="105">
        <v>0.0</v>
      </c>
      <c r="G1046" s="105">
        <v>8.0</v>
      </c>
      <c r="H1046" s="105">
        <v>0.0</v>
      </c>
      <c r="I1046" s="101"/>
      <c r="J1046" s="101"/>
      <c r="K1046" s="101"/>
      <c r="L1046" s="101"/>
      <c r="M1046" s="101"/>
      <c r="N1046" s="101"/>
      <c r="O1046" s="101"/>
      <c r="P1046" s="101"/>
      <c r="Q1046" s="101"/>
      <c r="R1046" s="101"/>
      <c r="S1046" s="101"/>
      <c r="T1046" s="101"/>
      <c r="U1046" s="101"/>
      <c r="V1046" s="101"/>
      <c r="W1046" s="101"/>
      <c r="X1046" s="101"/>
      <c r="Y1046" s="101"/>
      <c r="Z1046" s="101"/>
    </row>
    <row r="1047">
      <c r="A1047" s="103">
        <v>1045.0</v>
      </c>
      <c r="B1047" s="104" t="s">
        <v>2243</v>
      </c>
      <c r="C1047" s="104" t="s">
        <v>2231</v>
      </c>
      <c r="D1047" s="103">
        <v>0.0</v>
      </c>
      <c r="E1047" s="103">
        <v>0.0</v>
      </c>
      <c r="F1047" s="103">
        <v>0.0</v>
      </c>
      <c r="G1047" s="103">
        <v>8.0</v>
      </c>
      <c r="H1047" s="103">
        <v>0.0</v>
      </c>
      <c r="I1047" s="101"/>
      <c r="J1047" s="101"/>
      <c r="K1047" s="101"/>
      <c r="L1047" s="101"/>
      <c r="M1047" s="101"/>
      <c r="N1047" s="101"/>
      <c r="O1047" s="101"/>
      <c r="P1047" s="101"/>
      <c r="Q1047" s="101"/>
      <c r="R1047" s="101"/>
      <c r="S1047" s="101"/>
      <c r="T1047" s="101"/>
      <c r="U1047" s="101"/>
      <c r="V1047" s="101"/>
      <c r="W1047" s="101"/>
      <c r="X1047" s="101"/>
      <c r="Y1047" s="101"/>
      <c r="Z1047" s="101"/>
    </row>
    <row r="1048">
      <c r="A1048" s="105">
        <v>1046.0</v>
      </c>
      <c r="B1048" s="106" t="s">
        <v>2244</v>
      </c>
      <c r="C1048" s="106" t="s">
        <v>2231</v>
      </c>
      <c r="D1048" s="105">
        <v>0.0</v>
      </c>
      <c r="E1048" s="105">
        <v>0.0</v>
      </c>
      <c r="F1048" s="105">
        <v>0.0</v>
      </c>
      <c r="G1048" s="105">
        <v>8.0</v>
      </c>
      <c r="H1048" s="105">
        <v>0.0</v>
      </c>
      <c r="I1048" s="101"/>
      <c r="J1048" s="101"/>
      <c r="K1048" s="101"/>
      <c r="L1048" s="101"/>
      <c r="M1048" s="101"/>
      <c r="N1048" s="101"/>
      <c r="O1048" s="101"/>
      <c r="P1048" s="101"/>
      <c r="Q1048" s="101"/>
      <c r="R1048" s="101"/>
      <c r="S1048" s="101"/>
      <c r="T1048" s="101"/>
      <c r="U1048" s="101"/>
      <c r="V1048" s="101"/>
      <c r="W1048" s="101"/>
      <c r="X1048" s="101"/>
      <c r="Y1048" s="101"/>
      <c r="Z1048" s="101"/>
    </row>
    <row r="1049">
      <c r="A1049" s="103">
        <v>1047.0</v>
      </c>
      <c r="B1049" s="104" t="s">
        <v>2245</v>
      </c>
      <c r="C1049" s="104" t="s">
        <v>2231</v>
      </c>
      <c r="D1049" s="103">
        <v>0.0</v>
      </c>
      <c r="E1049" s="103">
        <v>0.0</v>
      </c>
      <c r="F1049" s="103">
        <v>0.0</v>
      </c>
      <c r="G1049" s="103">
        <v>8.0</v>
      </c>
      <c r="H1049" s="103">
        <v>0.0</v>
      </c>
      <c r="I1049" s="101"/>
      <c r="J1049" s="101"/>
      <c r="K1049" s="101"/>
      <c r="L1049" s="101"/>
      <c r="M1049" s="101"/>
      <c r="N1049" s="101"/>
      <c r="O1049" s="101"/>
      <c r="P1049" s="101"/>
      <c r="Q1049" s="101"/>
      <c r="R1049" s="101"/>
      <c r="S1049" s="101"/>
      <c r="T1049" s="101"/>
      <c r="U1049" s="101"/>
      <c r="V1049" s="101"/>
      <c r="W1049" s="101"/>
      <c r="X1049" s="101"/>
      <c r="Y1049" s="101"/>
      <c r="Z1049" s="101"/>
    </row>
    <row r="1050">
      <c r="A1050" s="105">
        <v>1048.0</v>
      </c>
      <c r="B1050" s="106" t="s">
        <v>2246</v>
      </c>
      <c r="C1050" s="106" t="s">
        <v>2231</v>
      </c>
      <c r="D1050" s="105">
        <v>0.0</v>
      </c>
      <c r="E1050" s="105">
        <v>0.0</v>
      </c>
      <c r="F1050" s="105">
        <v>0.0</v>
      </c>
      <c r="G1050" s="105">
        <v>8.0</v>
      </c>
      <c r="H1050" s="105">
        <v>0.0</v>
      </c>
      <c r="I1050" s="101"/>
      <c r="J1050" s="101"/>
      <c r="K1050" s="101"/>
      <c r="L1050" s="101"/>
      <c r="M1050" s="101"/>
      <c r="N1050" s="101"/>
      <c r="O1050" s="101"/>
      <c r="P1050" s="101"/>
      <c r="Q1050" s="101"/>
      <c r="R1050" s="101"/>
      <c r="S1050" s="101"/>
      <c r="T1050" s="101"/>
      <c r="U1050" s="101"/>
      <c r="V1050" s="101"/>
      <c r="W1050" s="101"/>
      <c r="X1050" s="101"/>
      <c r="Y1050" s="101"/>
      <c r="Z1050" s="101"/>
    </row>
    <row r="1051">
      <c r="A1051" s="103">
        <v>1049.0</v>
      </c>
      <c r="B1051" s="104" t="s">
        <v>2247</v>
      </c>
      <c r="C1051" s="104" t="s">
        <v>2231</v>
      </c>
      <c r="D1051" s="103">
        <v>0.0</v>
      </c>
      <c r="E1051" s="103">
        <v>0.0</v>
      </c>
      <c r="F1051" s="103">
        <v>0.0</v>
      </c>
      <c r="G1051" s="103">
        <v>8.0</v>
      </c>
      <c r="H1051" s="103">
        <v>0.0</v>
      </c>
      <c r="I1051" s="101"/>
      <c r="J1051" s="101"/>
      <c r="K1051" s="101"/>
      <c r="L1051" s="101"/>
      <c r="M1051" s="101"/>
      <c r="N1051" s="101"/>
      <c r="O1051" s="101"/>
      <c r="P1051" s="101"/>
      <c r="Q1051" s="101"/>
      <c r="R1051" s="101"/>
      <c r="S1051" s="101"/>
      <c r="T1051" s="101"/>
      <c r="U1051" s="101"/>
      <c r="V1051" s="101"/>
      <c r="W1051" s="101"/>
      <c r="X1051" s="101"/>
      <c r="Y1051" s="101"/>
      <c r="Z1051" s="101"/>
    </row>
    <row r="1052">
      <c r="A1052" s="105">
        <v>1050.0</v>
      </c>
      <c r="B1052" s="106" t="s">
        <v>2248</v>
      </c>
      <c r="C1052" s="106" t="s">
        <v>2231</v>
      </c>
      <c r="D1052" s="105">
        <v>0.0</v>
      </c>
      <c r="E1052" s="105">
        <v>0.0</v>
      </c>
      <c r="F1052" s="105">
        <v>0.0</v>
      </c>
      <c r="G1052" s="105">
        <v>8.0</v>
      </c>
      <c r="H1052" s="105">
        <v>0.0</v>
      </c>
      <c r="I1052" s="101"/>
      <c r="J1052" s="101"/>
      <c r="K1052" s="101"/>
      <c r="L1052" s="101"/>
      <c r="M1052" s="101"/>
      <c r="N1052" s="101"/>
      <c r="O1052" s="101"/>
      <c r="P1052" s="101"/>
      <c r="Q1052" s="101"/>
      <c r="R1052" s="101"/>
      <c r="S1052" s="101"/>
      <c r="T1052" s="101"/>
      <c r="U1052" s="101"/>
      <c r="V1052" s="101"/>
      <c r="W1052" s="101"/>
      <c r="X1052" s="101"/>
      <c r="Y1052" s="101"/>
      <c r="Z1052" s="101"/>
    </row>
    <row r="1053">
      <c r="A1053" s="103">
        <v>1051.0</v>
      </c>
      <c r="B1053" s="104" t="s">
        <v>2249</v>
      </c>
      <c r="C1053" s="104" t="s">
        <v>2231</v>
      </c>
      <c r="D1053" s="103">
        <v>0.0</v>
      </c>
      <c r="E1053" s="103">
        <v>0.0</v>
      </c>
      <c r="F1053" s="103">
        <v>0.0</v>
      </c>
      <c r="G1053" s="103">
        <v>8.0</v>
      </c>
      <c r="H1053" s="103">
        <v>0.0</v>
      </c>
      <c r="I1053" s="101"/>
      <c r="J1053" s="101"/>
      <c r="K1053" s="101"/>
      <c r="L1053" s="101"/>
      <c r="M1053" s="101"/>
      <c r="N1053" s="101"/>
      <c r="O1053" s="101"/>
      <c r="P1053" s="101"/>
      <c r="Q1053" s="101"/>
      <c r="R1053" s="101"/>
      <c r="S1053" s="101"/>
      <c r="T1053" s="101"/>
      <c r="U1053" s="101"/>
      <c r="V1053" s="101"/>
      <c r="W1053" s="101"/>
      <c r="X1053" s="101"/>
      <c r="Y1053" s="101"/>
      <c r="Z1053" s="101"/>
    </row>
    <row r="1054">
      <c r="A1054" s="105">
        <v>1052.0</v>
      </c>
      <c r="B1054" s="106" t="s">
        <v>2250</v>
      </c>
      <c r="C1054" s="106" t="s">
        <v>2231</v>
      </c>
      <c r="D1054" s="105">
        <v>0.0</v>
      </c>
      <c r="E1054" s="105">
        <v>0.0</v>
      </c>
      <c r="F1054" s="105">
        <v>0.0</v>
      </c>
      <c r="G1054" s="105">
        <v>8.0</v>
      </c>
      <c r="H1054" s="105">
        <v>0.0</v>
      </c>
      <c r="I1054" s="101"/>
      <c r="J1054" s="101"/>
      <c r="K1054" s="101"/>
      <c r="L1054" s="101"/>
      <c r="M1054" s="101"/>
      <c r="N1054" s="101"/>
      <c r="O1054" s="101"/>
      <c r="P1054" s="101"/>
      <c r="Q1054" s="101"/>
      <c r="R1054" s="101"/>
      <c r="S1054" s="101"/>
      <c r="T1054" s="101"/>
      <c r="U1054" s="101"/>
      <c r="V1054" s="101"/>
      <c r="W1054" s="101"/>
      <c r="X1054" s="101"/>
      <c r="Y1054" s="101"/>
      <c r="Z1054" s="101"/>
    </row>
    <row r="1055">
      <c r="A1055" s="103">
        <v>1053.0</v>
      </c>
      <c r="B1055" s="104" t="s">
        <v>2251</v>
      </c>
      <c r="C1055" s="104" t="s">
        <v>2231</v>
      </c>
      <c r="D1055" s="103">
        <v>0.0</v>
      </c>
      <c r="E1055" s="103">
        <v>0.0</v>
      </c>
      <c r="F1055" s="103">
        <v>0.0</v>
      </c>
      <c r="G1055" s="103">
        <v>8.0</v>
      </c>
      <c r="H1055" s="103">
        <v>0.0</v>
      </c>
      <c r="I1055" s="101"/>
      <c r="J1055" s="101"/>
      <c r="K1055" s="101"/>
      <c r="L1055" s="101"/>
      <c r="M1055" s="101"/>
      <c r="N1055" s="101"/>
      <c r="O1055" s="101"/>
      <c r="P1055" s="101"/>
      <c r="Q1055" s="101"/>
      <c r="R1055" s="101"/>
      <c r="S1055" s="101"/>
      <c r="T1055" s="101"/>
      <c r="U1055" s="101"/>
      <c r="V1055" s="101"/>
      <c r="W1055" s="101"/>
      <c r="X1055" s="101"/>
      <c r="Y1055" s="101"/>
      <c r="Z1055" s="101"/>
    </row>
    <row r="1056">
      <c r="A1056" s="105">
        <v>1054.0</v>
      </c>
      <c r="B1056" s="106" t="s">
        <v>2252</v>
      </c>
      <c r="C1056" s="106" t="s">
        <v>2231</v>
      </c>
      <c r="D1056" s="105">
        <v>0.0</v>
      </c>
      <c r="E1056" s="105">
        <v>0.0</v>
      </c>
      <c r="F1056" s="105">
        <v>0.0</v>
      </c>
      <c r="G1056" s="105">
        <v>8.0</v>
      </c>
      <c r="H1056" s="105">
        <v>0.0</v>
      </c>
      <c r="I1056" s="101"/>
      <c r="J1056" s="101"/>
      <c r="K1056" s="101"/>
      <c r="L1056" s="101"/>
      <c r="M1056" s="101"/>
      <c r="N1056" s="101"/>
      <c r="O1056" s="101"/>
      <c r="P1056" s="101"/>
      <c r="Q1056" s="101"/>
      <c r="R1056" s="101"/>
      <c r="S1056" s="101"/>
      <c r="T1056" s="101"/>
      <c r="U1056" s="101"/>
      <c r="V1056" s="101"/>
      <c r="W1056" s="101"/>
      <c r="X1056" s="101"/>
      <c r="Y1056" s="101"/>
      <c r="Z1056" s="101"/>
    </row>
    <row r="1057">
      <c r="A1057" s="103">
        <v>1055.0</v>
      </c>
      <c r="B1057" s="104" t="s">
        <v>2253</v>
      </c>
      <c r="C1057" s="104" t="s">
        <v>2231</v>
      </c>
      <c r="D1057" s="103">
        <v>0.0</v>
      </c>
      <c r="E1057" s="103">
        <v>0.0</v>
      </c>
      <c r="F1057" s="103">
        <v>0.0</v>
      </c>
      <c r="G1057" s="103">
        <v>8.0</v>
      </c>
      <c r="H1057" s="103">
        <v>0.0</v>
      </c>
      <c r="I1057" s="101"/>
      <c r="J1057" s="101"/>
      <c r="K1057" s="101"/>
      <c r="L1057" s="101"/>
      <c r="M1057" s="101"/>
      <c r="N1057" s="101"/>
      <c r="O1057" s="101"/>
      <c r="P1057" s="101"/>
      <c r="Q1057" s="101"/>
      <c r="R1057" s="101"/>
      <c r="S1057" s="101"/>
      <c r="T1057" s="101"/>
      <c r="U1057" s="101"/>
      <c r="V1057" s="101"/>
      <c r="W1057" s="101"/>
      <c r="X1057" s="101"/>
      <c r="Y1057" s="101"/>
      <c r="Z1057" s="101"/>
    </row>
    <row r="1058">
      <c r="A1058" s="105">
        <v>1056.0</v>
      </c>
      <c r="B1058" s="106" t="s">
        <v>2254</v>
      </c>
      <c r="C1058" s="106" t="s">
        <v>2231</v>
      </c>
      <c r="D1058" s="105">
        <v>0.0</v>
      </c>
      <c r="E1058" s="105">
        <v>0.0</v>
      </c>
      <c r="F1058" s="105">
        <v>0.0</v>
      </c>
      <c r="G1058" s="105">
        <v>8.0</v>
      </c>
      <c r="H1058" s="105">
        <v>0.0</v>
      </c>
      <c r="I1058" s="101"/>
      <c r="J1058" s="101"/>
      <c r="K1058" s="101"/>
      <c r="L1058" s="101"/>
      <c r="M1058" s="101"/>
      <c r="N1058" s="101"/>
      <c r="O1058" s="101"/>
      <c r="P1058" s="101"/>
      <c r="Q1058" s="101"/>
      <c r="R1058" s="101"/>
      <c r="S1058" s="101"/>
      <c r="T1058" s="101"/>
      <c r="U1058" s="101"/>
      <c r="V1058" s="101"/>
      <c r="W1058" s="101"/>
      <c r="X1058" s="101"/>
      <c r="Y1058" s="101"/>
      <c r="Z1058" s="101"/>
    </row>
    <row r="1059">
      <c r="A1059" s="103">
        <v>1057.0</v>
      </c>
      <c r="B1059" s="104" t="s">
        <v>2255</v>
      </c>
      <c r="C1059" s="104" t="s">
        <v>2231</v>
      </c>
      <c r="D1059" s="103">
        <v>0.0</v>
      </c>
      <c r="E1059" s="103">
        <v>0.0</v>
      </c>
      <c r="F1059" s="103">
        <v>0.0</v>
      </c>
      <c r="G1059" s="103">
        <v>8.0</v>
      </c>
      <c r="H1059" s="103">
        <v>0.0</v>
      </c>
      <c r="I1059" s="101"/>
      <c r="J1059" s="101"/>
      <c r="K1059" s="101"/>
      <c r="L1059" s="101"/>
      <c r="M1059" s="101"/>
      <c r="N1059" s="101"/>
      <c r="O1059" s="101"/>
      <c r="P1059" s="101"/>
      <c r="Q1059" s="101"/>
      <c r="R1059" s="101"/>
      <c r="S1059" s="101"/>
      <c r="T1059" s="101"/>
      <c r="U1059" s="101"/>
      <c r="V1059" s="101"/>
      <c r="W1059" s="101"/>
      <c r="X1059" s="101"/>
      <c r="Y1059" s="101"/>
      <c r="Z1059" s="101"/>
    </row>
    <row r="1060">
      <c r="A1060" s="105">
        <v>1058.0</v>
      </c>
      <c r="B1060" s="106" t="s">
        <v>2256</v>
      </c>
      <c r="C1060" s="106" t="s">
        <v>2231</v>
      </c>
      <c r="D1060" s="105">
        <v>0.0</v>
      </c>
      <c r="E1060" s="105">
        <v>0.0</v>
      </c>
      <c r="F1060" s="105">
        <v>0.0</v>
      </c>
      <c r="G1060" s="105">
        <v>8.0</v>
      </c>
      <c r="H1060" s="105">
        <v>0.0</v>
      </c>
      <c r="I1060" s="101"/>
      <c r="J1060" s="101"/>
      <c r="K1060" s="101"/>
      <c r="L1060" s="101"/>
      <c r="M1060" s="101"/>
      <c r="N1060" s="101"/>
      <c r="O1060" s="101"/>
      <c r="P1060" s="101"/>
      <c r="Q1060" s="101"/>
      <c r="R1060" s="101"/>
      <c r="S1060" s="101"/>
      <c r="T1060" s="101"/>
      <c r="U1060" s="101"/>
      <c r="V1060" s="101"/>
      <c r="W1060" s="101"/>
      <c r="X1060" s="101"/>
      <c r="Y1060" s="101"/>
      <c r="Z1060" s="101"/>
    </row>
    <row r="1061">
      <c r="A1061" s="103">
        <v>1059.0</v>
      </c>
      <c r="B1061" s="104" t="s">
        <v>2257</v>
      </c>
      <c r="C1061" s="104" t="s">
        <v>2231</v>
      </c>
      <c r="D1061" s="103">
        <v>0.0</v>
      </c>
      <c r="E1061" s="103">
        <v>0.0</v>
      </c>
      <c r="F1061" s="103">
        <v>0.0</v>
      </c>
      <c r="G1061" s="103">
        <v>8.0</v>
      </c>
      <c r="H1061" s="103">
        <v>0.0</v>
      </c>
      <c r="I1061" s="101"/>
      <c r="J1061" s="101"/>
      <c r="K1061" s="101"/>
      <c r="L1061" s="101"/>
      <c r="M1061" s="101"/>
      <c r="N1061" s="101"/>
      <c r="O1061" s="101"/>
      <c r="P1061" s="101"/>
      <c r="Q1061" s="101"/>
      <c r="R1061" s="101"/>
      <c r="S1061" s="101"/>
      <c r="T1061" s="101"/>
      <c r="U1061" s="101"/>
      <c r="V1061" s="101"/>
      <c r="W1061" s="101"/>
      <c r="X1061" s="101"/>
      <c r="Y1061" s="101"/>
      <c r="Z1061" s="101"/>
    </row>
    <row r="1062">
      <c r="A1062" s="105">
        <v>1060.0</v>
      </c>
      <c r="B1062" s="106" t="s">
        <v>2258</v>
      </c>
      <c r="C1062" s="106" t="s">
        <v>2231</v>
      </c>
      <c r="D1062" s="105">
        <v>0.0</v>
      </c>
      <c r="E1062" s="105">
        <v>0.0</v>
      </c>
      <c r="F1062" s="105">
        <v>0.0</v>
      </c>
      <c r="G1062" s="105">
        <v>8.0</v>
      </c>
      <c r="H1062" s="105">
        <v>0.0</v>
      </c>
      <c r="I1062" s="101"/>
      <c r="J1062" s="101"/>
      <c r="K1062" s="101"/>
      <c r="L1062" s="101"/>
      <c r="M1062" s="101"/>
      <c r="N1062" s="101"/>
      <c r="O1062" s="101"/>
      <c r="P1062" s="101"/>
      <c r="Q1062" s="101"/>
      <c r="R1062" s="101"/>
      <c r="S1062" s="101"/>
      <c r="T1062" s="101"/>
      <c r="U1062" s="101"/>
      <c r="V1062" s="101"/>
      <c r="W1062" s="101"/>
      <c r="X1062" s="101"/>
      <c r="Y1062" s="101"/>
      <c r="Z1062" s="101"/>
    </row>
    <row r="1063">
      <c r="A1063" s="103">
        <v>1061.0</v>
      </c>
      <c r="B1063" s="104" t="s">
        <v>2259</v>
      </c>
      <c r="C1063" s="104" t="s">
        <v>2231</v>
      </c>
      <c r="D1063" s="103">
        <v>0.0</v>
      </c>
      <c r="E1063" s="103">
        <v>0.0</v>
      </c>
      <c r="F1063" s="103">
        <v>0.0</v>
      </c>
      <c r="G1063" s="103">
        <v>8.0</v>
      </c>
      <c r="H1063" s="103">
        <v>0.0</v>
      </c>
      <c r="I1063" s="101"/>
      <c r="J1063" s="101"/>
      <c r="K1063" s="101"/>
      <c r="L1063" s="101"/>
      <c r="M1063" s="101"/>
      <c r="N1063" s="101"/>
      <c r="O1063" s="101"/>
      <c r="P1063" s="101"/>
      <c r="Q1063" s="101"/>
      <c r="R1063" s="101"/>
      <c r="S1063" s="101"/>
      <c r="T1063" s="101"/>
      <c r="U1063" s="101"/>
      <c r="V1063" s="101"/>
      <c r="W1063" s="101"/>
      <c r="X1063" s="101"/>
      <c r="Y1063" s="101"/>
      <c r="Z1063" s="101"/>
    </row>
    <row r="1064">
      <c r="A1064" s="105">
        <v>1062.0</v>
      </c>
      <c r="B1064" s="106" t="s">
        <v>2260</v>
      </c>
      <c r="C1064" s="106" t="s">
        <v>2231</v>
      </c>
      <c r="D1064" s="105">
        <v>0.0</v>
      </c>
      <c r="E1064" s="105">
        <v>0.0</v>
      </c>
      <c r="F1064" s="105">
        <v>0.0</v>
      </c>
      <c r="G1064" s="105">
        <v>8.0</v>
      </c>
      <c r="H1064" s="105">
        <v>0.0</v>
      </c>
      <c r="I1064" s="101"/>
      <c r="J1064" s="101"/>
      <c r="K1064" s="101"/>
      <c r="L1064" s="101"/>
      <c r="M1064" s="101"/>
      <c r="N1064" s="101"/>
      <c r="O1064" s="101"/>
      <c r="P1064" s="101"/>
      <c r="Q1064" s="101"/>
      <c r="R1064" s="101"/>
      <c r="S1064" s="101"/>
      <c r="T1064" s="101"/>
      <c r="U1064" s="101"/>
      <c r="V1064" s="101"/>
      <c r="W1064" s="101"/>
      <c r="X1064" s="101"/>
      <c r="Y1064" s="101"/>
      <c r="Z1064" s="101"/>
    </row>
    <row r="1065">
      <c r="A1065" s="103">
        <v>1063.0</v>
      </c>
      <c r="B1065" s="104" t="s">
        <v>2261</v>
      </c>
      <c r="C1065" s="104" t="s">
        <v>2231</v>
      </c>
      <c r="D1065" s="103">
        <v>0.0</v>
      </c>
      <c r="E1065" s="103">
        <v>0.0</v>
      </c>
      <c r="F1065" s="103">
        <v>0.0</v>
      </c>
      <c r="G1065" s="103">
        <v>8.0</v>
      </c>
      <c r="H1065" s="103">
        <v>0.0</v>
      </c>
      <c r="I1065" s="101"/>
      <c r="J1065" s="101"/>
      <c r="K1065" s="101"/>
      <c r="L1065" s="101"/>
      <c r="M1065" s="101"/>
      <c r="N1065" s="101"/>
      <c r="O1065" s="101"/>
      <c r="P1065" s="101"/>
      <c r="Q1065" s="101"/>
      <c r="R1065" s="101"/>
      <c r="S1065" s="101"/>
      <c r="T1065" s="101"/>
      <c r="U1065" s="101"/>
      <c r="V1065" s="101"/>
      <c r="W1065" s="101"/>
      <c r="X1065" s="101"/>
      <c r="Y1065" s="101"/>
      <c r="Z1065" s="101"/>
    </row>
    <row r="1066">
      <c r="A1066" s="105">
        <v>1064.0</v>
      </c>
      <c r="B1066" s="106" t="s">
        <v>2262</v>
      </c>
      <c r="C1066" s="106" t="s">
        <v>2231</v>
      </c>
      <c r="D1066" s="105">
        <v>0.0</v>
      </c>
      <c r="E1066" s="105">
        <v>0.0</v>
      </c>
      <c r="F1066" s="105">
        <v>0.0</v>
      </c>
      <c r="G1066" s="105">
        <v>8.0</v>
      </c>
      <c r="H1066" s="105">
        <v>0.0</v>
      </c>
      <c r="I1066" s="101"/>
      <c r="J1066" s="101"/>
      <c r="K1066" s="101"/>
      <c r="L1066" s="101"/>
      <c r="M1066" s="101"/>
      <c r="N1066" s="101"/>
      <c r="O1066" s="101"/>
      <c r="P1066" s="101"/>
      <c r="Q1066" s="101"/>
      <c r="R1066" s="101"/>
      <c r="S1066" s="101"/>
      <c r="T1066" s="101"/>
      <c r="U1066" s="101"/>
      <c r="V1066" s="101"/>
      <c r="W1066" s="101"/>
      <c r="X1066" s="101"/>
      <c r="Y1066" s="101"/>
      <c r="Z1066" s="101"/>
    </row>
    <row r="1067">
      <c r="A1067" s="103">
        <v>1065.0</v>
      </c>
      <c r="B1067" s="104" t="s">
        <v>2263</v>
      </c>
      <c r="C1067" s="104" t="s">
        <v>2231</v>
      </c>
      <c r="D1067" s="103">
        <v>0.0</v>
      </c>
      <c r="E1067" s="103">
        <v>0.0</v>
      </c>
      <c r="F1067" s="103">
        <v>0.0</v>
      </c>
      <c r="G1067" s="103">
        <v>8.0</v>
      </c>
      <c r="H1067" s="103">
        <v>0.0</v>
      </c>
      <c r="I1067" s="101"/>
      <c r="J1067" s="101"/>
      <c r="K1067" s="101"/>
      <c r="L1067" s="101"/>
      <c r="M1067" s="101"/>
      <c r="N1067" s="101"/>
      <c r="O1067" s="101"/>
      <c r="P1067" s="101"/>
      <c r="Q1067" s="101"/>
      <c r="R1067" s="101"/>
      <c r="S1067" s="101"/>
      <c r="T1067" s="101"/>
      <c r="U1067" s="101"/>
      <c r="V1067" s="101"/>
      <c r="W1067" s="101"/>
      <c r="X1067" s="101"/>
      <c r="Y1067" s="101"/>
      <c r="Z1067" s="101"/>
    </row>
    <row r="1068">
      <c r="A1068" s="105">
        <v>1066.0</v>
      </c>
      <c r="B1068" s="106" t="s">
        <v>2264</v>
      </c>
      <c r="C1068" s="106" t="s">
        <v>2231</v>
      </c>
      <c r="D1068" s="105">
        <v>0.0</v>
      </c>
      <c r="E1068" s="105">
        <v>0.0</v>
      </c>
      <c r="F1068" s="105">
        <v>0.0</v>
      </c>
      <c r="G1068" s="105">
        <v>8.0</v>
      </c>
      <c r="H1068" s="105">
        <v>0.0</v>
      </c>
      <c r="I1068" s="101"/>
      <c r="J1068" s="101"/>
      <c r="K1068" s="101"/>
      <c r="L1068" s="101"/>
      <c r="M1068" s="101"/>
      <c r="N1068" s="101"/>
      <c r="O1068" s="101"/>
      <c r="P1068" s="101"/>
      <c r="Q1068" s="101"/>
      <c r="R1068" s="101"/>
      <c r="S1068" s="101"/>
      <c r="T1068" s="101"/>
      <c r="U1068" s="101"/>
      <c r="V1068" s="101"/>
      <c r="W1068" s="101"/>
      <c r="X1068" s="101"/>
      <c r="Y1068" s="101"/>
      <c r="Z1068" s="101"/>
    </row>
    <row r="1069">
      <c r="A1069" s="103">
        <v>1067.0</v>
      </c>
      <c r="B1069" s="104" t="s">
        <v>2265</v>
      </c>
      <c r="C1069" s="104" t="s">
        <v>2231</v>
      </c>
      <c r="D1069" s="103">
        <v>0.0</v>
      </c>
      <c r="E1069" s="103">
        <v>0.0</v>
      </c>
      <c r="F1069" s="103">
        <v>0.0</v>
      </c>
      <c r="G1069" s="103">
        <v>8.0</v>
      </c>
      <c r="H1069" s="103">
        <v>0.0</v>
      </c>
      <c r="I1069" s="101"/>
      <c r="J1069" s="101"/>
      <c r="K1069" s="101"/>
      <c r="L1069" s="101"/>
      <c r="M1069" s="101"/>
      <c r="N1069" s="101"/>
      <c r="O1069" s="101"/>
      <c r="P1069" s="101"/>
      <c r="Q1069" s="101"/>
      <c r="R1069" s="101"/>
      <c r="S1069" s="101"/>
      <c r="T1069" s="101"/>
      <c r="U1069" s="101"/>
      <c r="V1069" s="101"/>
      <c r="W1069" s="101"/>
      <c r="X1069" s="101"/>
      <c r="Y1069" s="101"/>
      <c r="Z1069" s="101"/>
    </row>
    <row r="1070">
      <c r="A1070" s="105">
        <v>1068.0</v>
      </c>
      <c r="B1070" s="106" t="s">
        <v>2266</v>
      </c>
      <c r="C1070" s="106" t="s">
        <v>2231</v>
      </c>
      <c r="D1070" s="105">
        <v>0.0</v>
      </c>
      <c r="E1070" s="105">
        <v>0.0</v>
      </c>
      <c r="F1070" s="105">
        <v>0.0</v>
      </c>
      <c r="G1070" s="105">
        <v>8.0</v>
      </c>
      <c r="H1070" s="105">
        <v>0.0</v>
      </c>
      <c r="I1070" s="101"/>
      <c r="J1070" s="101"/>
      <c r="K1070" s="101"/>
      <c r="L1070" s="101"/>
      <c r="M1070" s="101"/>
      <c r="N1070" s="101"/>
      <c r="O1070" s="101"/>
      <c r="P1070" s="101"/>
      <c r="Q1070" s="101"/>
      <c r="R1070" s="101"/>
      <c r="S1070" s="101"/>
      <c r="T1070" s="101"/>
      <c r="U1070" s="101"/>
      <c r="V1070" s="101"/>
      <c r="W1070" s="101"/>
      <c r="X1070" s="101"/>
      <c r="Y1070" s="101"/>
      <c r="Z1070" s="101"/>
    </row>
    <row r="1071">
      <c r="A1071" s="103">
        <v>1069.0</v>
      </c>
      <c r="B1071" s="104" t="s">
        <v>2267</v>
      </c>
      <c r="C1071" s="104" t="s">
        <v>2268</v>
      </c>
      <c r="D1071" s="103">
        <v>0.0</v>
      </c>
      <c r="E1071" s="103">
        <v>0.0</v>
      </c>
      <c r="F1071" s="103">
        <v>0.0</v>
      </c>
      <c r="G1071" s="103">
        <v>8.0</v>
      </c>
      <c r="H1071" s="103">
        <v>0.0</v>
      </c>
      <c r="I1071" s="101"/>
      <c r="J1071" s="101"/>
      <c r="K1071" s="101"/>
      <c r="L1071" s="101"/>
      <c r="M1071" s="101"/>
      <c r="N1071" s="101"/>
      <c r="O1071" s="101"/>
      <c r="P1071" s="101"/>
      <c r="Q1071" s="101"/>
      <c r="R1071" s="101"/>
      <c r="S1071" s="101"/>
      <c r="T1071" s="101"/>
      <c r="U1071" s="101"/>
      <c r="V1071" s="101"/>
      <c r="W1071" s="101"/>
      <c r="X1071" s="101"/>
      <c r="Y1071" s="101"/>
      <c r="Z1071" s="101"/>
    </row>
    <row r="1072">
      <c r="A1072" s="105">
        <v>1070.0</v>
      </c>
      <c r="B1072" s="106" t="s">
        <v>2269</v>
      </c>
      <c r="C1072" s="106" t="s">
        <v>2268</v>
      </c>
      <c r="D1072" s="105">
        <v>0.0</v>
      </c>
      <c r="E1072" s="105">
        <v>0.0</v>
      </c>
      <c r="F1072" s="105">
        <v>0.0</v>
      </c>
      <c r="G1072" s="105">
        <v>8.0</v>
      </c>
      <c r="H1072" s="105">
        <v>0.0</v>
      </c>
      <c r="I1072" s="101"/>
      <c r="J1072" s="101"/>
      <c r="K1072" s="101"/>
      <c r="L1072" s="101"/>
      <c r="M1072" s="101"/>
      <c r="N1072" s="101"/>
      <c r="O1072" s="101"/>
      <c r="P1072" s="101"/>
      <c r="Q1072" s="101"/>
      <c r="R1072" s="101"/>
      <c r="S1072" s="101"/>
      <c r="T1072" s="101"/>
      <c r="U1072" s="101"/>
      <c r="V1072" s="101"/>
      <c r="W1072" s="101"/>
      <c r="X1072" s="101"/>
      <c r="Y1072" s="101"/>
      <c r="Z1072" s="101"/>
    </row>
    <row r="1073">
      <c r="A1073" s="103">
        <v>1071.0</v>
      </c>
      <c r="B1073" s="104" t="s">
        <v>2270</v>
      </c>
      <c r="C1073" s="104" t="s">
        <v>2268</v>
      </c>
      <c r="D1073" s="103">
        <v>0.0</v>
      </c>
      <c r="E1073" s="103">
        <v>0.0</v>
      </c>
      <c r="F1073" s="103">
        <v>0.0</v>
      </c>
      <c r="G1073" s="103">
        <v>8.0</v>
      </c>
      <c r="H1073" s="103">
        <v>0.0</v>
      </c>
      <c r="I1073" s="101"/>
      <c r="J1073" s="101"/>
      <c r="K1073" s="101"/>
      <c r="L1073" s="101"/>
      <c r="M1073" s="101"/>
      <c r="N1073" s="101"/>
      <c r="O1073" s="101"/>
      <c r="P1073" s="101"/>
      <c r="Q1073" s="101"/>
      <c r="R1073" s="101"/>
      <c r="S1073" s="101"/>
      <c r="T1073" s="101"/>
      <c r="U1073" s="101"/>
      <c r="V1073" s="101"/>
      <c r="W1073" s="101"/>
      <c r="X1073" s="101"/>
      <c r="Y1073" s="101"/>
      <c r="Z1073" s="101"/>
    </row>
    <row r="1074">
      <c r="A1074" s="105">
        <v>1072.0</v>
      </c>
      <c r="B1074" s="106" t="s">
        <v>2271</v>
      </c>
      <c r="C1074" s="106" t="s">
        <v>2268</v>
      </c>
      <c r="D1074" s="105">
        <v>0.0</v>
      </c>
      <c r="E1074" s="105">
        <v>0.0</v>
      </c>
      <c r="F1074" s="105">
        <v>0.0</v>
      </c>
      <c r="G1074" s="105">
        <v>8.0</v>
      </c>
      <c r="H1074" s="105">
        <v>0.0</v>
      </c>
      <c r="I1074" s="101"/>
      <c r="J1074" s="101"/>
      <c r="K1074" s="101"/>
      <c r="L1074" s="101"/>
      <c r="M1074" s="101"/>
      <c r="N1074" s="101"/>
      <c r="O1074" s="101"/>
      <c r="P1074" s="101"/>
      <c r="Q1074" s="101"/>
      <c r="R1074" s="101"/>
      <c r="S1074" s="101"/>
      <c r="T1074" s="101"/>
      <c r="U1074" s="101"/>
      <c r="V1074" s="101"/>
      <c r="W1074" s="101"/>
      <c r="X1074" s="101"/>
      <c r="Y1074" s="101"/>
      <c r="Z1074" s="101"/>
    </row>
    <row r="1075">
      <c r="A1075" s="103">
        <v>1073.0</v>
      </c>
      <c r="B1075" s="104" t="s">
        <v>2272</v>
      </c>
      <c r="C1075" s="104" t="s">
        <v>2268</v>
      </c>
      <c r="D1075" s="103">
        <v>0.0</v>
      </c>
      <c r="E1075" s="103">
        <v>0.0</v>
      </c>
      <c r="F1075" s="103">
        <v>0.0</v>
      </c>
      <c r="G1075" s="103">
        <v>8.0</v>
      </c>
      <c r="H1075" s="103">
        <v>0.0</v>
      </c>
      <c r="I1075" s="101"/>
      <c r="J1075" s="101"/>
      <c r="K1075" s="101"/>
      <c r="L1075" s="101"/>
      <c r="M1075" s="101"/>
      <c r="N1075" s="101"/>
      <c r="O1075" s="101"/>
      <c r="P1075" s="101"/>
      <c r="Q1075" s="101"/>
      <c r="R1075" s="101"/>
      <c r="S1075" s="101"/>
      <c r="T1075" s="101"/>
      <c r="U1075" s="101"/>
      <c r="V1075" s="101"/>
      <c r="W1075" s="101"/>
      <c r="X1075" s="101"/>
      <c r="Y1075" s="101"/>
      <c r="Z1075" s="101"/>
    </row>
    <row r="1076">
      <c r="A1076" s="105">
        <v>1074.0</v>
      </c>
      <c r="B1076" s="106" t="s">
        <v>2273</v>
      </c>
      <c r="C1076" s="106" t="s">
        <v>2268</v>
      </c>
      <c r="D1076" s="105">
        <v>0.0</v>
      </c>
      <c r="E1076" s="105">
        <v>0.0</v>
      </c>
      <c r="F1076" s="105">
        <v>0.0</v>
      </c>
      <c r="G1076" s="105">
        <v>8.0</v>
      </c>
      <c r="H1076" s="105">
        <v>0.0</v>
      </c>
      <c r="I1076" s="101"/>
      <c r="J1076" s="101"/>
      <c r="K1076" s="101"/>
      <c r="L1076" s="101"/>
      <c r="M1076" s="101"/>
      <c r="N1076" s="101"/>
      <c r="O1076" s="101"/>
      <c r="P1076" s="101"/>
      <c r="Q1076" s="101"/>
      <c r="R1076" s="101"/>
      <c r="S1076" s="101"/>
      <c r="T1076" s="101"/>
      <c r="U1076" s="101"/>
      <c r="V1076" s="101"/>
      <c r="W1076" s="101"/>
      <c r="X1076" s="101"/>
      <c r="Y1076" s="101"/>
      <c r="Z1076" s="101"/>
    </row>
    <row r="1077">
      <c r="A1077" s="103">
        <v>1075.0</v>
      </c>
      <c r="B1077" s="104" t="s">
        <v>2274</v>
      </c>
      <c r="C1077" s="104" t="s">
        <v>2268</v>
      </c>
      <c r="D1077" s="103">
        <v>0.0</v>
      </c>
      <c r="E1077" s="103">
        <v>0.0</v>
      </c>
      <c r="F1077" s="103">
        <v>0.0</v>
      </c>
      <c r="G1077" s="103">
        <v>8.0</v>
      </c>
      <c r="H1077" s="103">
        <v>0.0</v>
      </c>
      <c r="I1077" s="101"/>
      <c r="J1077" s="101"/>
      <c r="K1077" s="101"/>
      <c r="L1077" s="101"/>
      <c r="M1077" s="101"/>
      <c r="N1077" s="101"/>
      <c r="O1077" s="101"/>
      <c r="P1077" s="101"/>
      <c r="Q1077" s="101"/>
      <c r="R1077" s="101"/>
      <c r="S1077" s="101"/>
      <c r="T1077" s="101"/>
      <c r="U1077" s="101"/>
      <c r="V1077" s="101"/>
      <c r="W1077" s="101"/>
      <c r="X1077" s="101"/>
      <c r="Y1077" s="101"/>
      <c r="Z1077" s="101"/>
    </row>
    <row r="1078">
      <c r="A1078" s="105">
        <v>1076.0</v>
      </c>
      <c r="B1078" s="106" t="s">
        <v>2275</v>
      </c>
      <c r="C1078" s="106" t="s">
        <v>2268</v>
      </c>
      <c r="D1078" s="105">
        <v>0.0</v>
      </c>
      <c r="E1078" s="105">
        <v>0.0</v>
      </c>
      <c r="F1078" s="105">
        <v>0.0</v>
      </c>
      <c r="G1078" s="105">
        <v>8.0</v>
      </c>
      <c r="H1078" s="105">
        <v>0.0</v>
      </c>
      <c r="I1078" s="101"/>
      <c r="J1078" s="101"/>
      <c r="K1078" s="101"/>
      <c r="L1078" s="101"/>
      <c r="M1078" s="101"/>
      <c r="N1078" s="101"/>
      <c r="O1078" s="101"/>
      <c r="P1078" s="101"/>
      <c r="Q1078" s="101"/>
      <c r="R1078" s="101"/>
      <c r="S1078" s="101"/>
      <c r="T1078" s="101"/>
      <c r="U1078" s="101"/>
      <c r="V1078" s="101"/>
      <c r="W1078" s="101"/>
      <c r="X1078" s="101"/>
      <c r="Y1078" s="101"/>
      <c r="Z1078" s="101"/>
    </row>
    <row r="1079">
      <c r="A1079" s="103">
        <v>1077.0</v>
      </c>
      <c r="B1079" s="104" t="s">
        <v>2276</v>
      </c>
      <c r="C1079" s="104" t="s">
        <v>2268</v>
      </c>
      <c r="D1079" s="103">
        <v>0.0</v>
      </c>
      <c r="E1079" s="103">
        <v>0.0</v>
      </c>
      <c r="F1079" s="103">
        <v>0.0</v>
      </c>
      <c r="G1079" s="103">
        <v>8.0</v>
      </c>
      <c r="H1079" s="103">
        <v>0.0</v>
      </c>
      <c r="I1079" s="101"/>
      <c r="J1079" s="101"/>
      <c r="K1079" s="101"/>
      <c r="L1079" s="101"/>
      <c r="M1079" s="101"/>
      <c r="N1079" s="101"/>
      <c r="O1079" s="101"/>
      <c r="P1079" s="101"/>
      <c r="Q1079" s="101"/>
      <c r="R1079" s="101"/>
      <c r="S1079" s="101"/>
      <c r="T1079" s="101"/>
      <c r="U1079" s="101"/>
      <c r="V1079" s="101"/>
      <c r="W1079" s="101"/>
      <c r="X1079" s="101"/>
      <c r="Y1079" s="101"/>
      <c r="Z1079" s="101"/>
    </row>
    <row r="1080">
      <c r="A1080" s="105">
        <v>1078.0</v>
      </c>
      <c r="B1080" s="106" t="s">
        <v>2277</v>
      </c>
      <c r="C1080" s="106" t="s">
        <v>2268</v>
      </c>
      <c r="D1080" s="105">
        <v>0.0</v>
      </c>
      <c r="E1080" s="105">
        <v>0.0</v>
      </c>
      <c r="F1080" s="105">
        <v>0.0</v>
      </c>
      <c r="G1080" s="105">
        <v>8.0</v>
      </c>
      <c r="H1080" s="105">
        <v>0.0</v>
      </c>
      <c r="I1080" s="101"/>
      <c r="J1080" s="101"/>
      <c r="K1080" s="101"/>
      <c r="L1080" s="101"/>
      <c r="M1080" s="101"/>
      <c r="N1080" s="101"/>
      <c r="O1080" s="101"/>
      <c r="P1080" s="101"/>
      <c r="Q1080" s="101"/>
      <c r="R1080" s="101"/>
      <c r="S1080" s="101"/>
      <c r="T1080" s="101"/>
      <c r="U1080" s="101"/>
      <c r="V1080" s="101"/>
      <c r="W1080" s="101"/>
      <c r="X1080" s="101"/>
      <c r="Y1080" s="101"/>
      <c r="Z1080" s="101"/>
    </row>
    <row r="1081">
      <c r="A1081" s="103">
        <v>1079.0</v>
      </c>
      <c r="B1081" s="104" t="s">
        <v>2278</v>
      </c>
      <c r="C1081" s="104" t="s">
        <v>2268</v>
      </c>
      <c r="D1081" s="103">
        <v>0.0</v>
      </c>
      <c r="E1081" s="103">
        <v>0.0</v>
      </c>
      <c r="F1081" s="103">
        <v>0.0</v>
      </c>
      <c r="G1081" s="103">
        <v>8.0</v>
      </c>
      <c r="H1081" s="103">
        <v>0.0</v>
      </c>
      <c r="I1081" s="101"/>
      <c r="J1081" s="101"/>
      <c r="K1081" s="101"/>
      <c r="L1081" s="101"/>
      <c r="M1081" s="101"/>
      <c r="N1081" s="101"/>
      <c r="O1081" s="101"/>
      <c r="P1081" s="101"/>
      <c r="Q1081" s="101"/>
      <c r="R1081" s="101"/>
      <c r="S1081" s="101"/>
      <c r="T1081" s="101"/>
      <c r="U1081" s="101"/>
      <c r="V1081" s="101"/>
      <c r="W1081" s="101"/>
      <c r="X1081" s="101"/>
      <c r="Y1081" s="101"/>
      <c r="Z1081" s="101"/>
    </row>
    <row r="1082">
      <c r="A1082" s="105">
        <v>1080.0</v>
      </c>
      <c r="B1082" s="106" t="s">
        <v>2279</v>
      </c>
      <c r="C1082" s="106" t="s">
        <v>2268</v>
      </c>
      <c r="D1082" s="105">
        <v>0.0</v>
      </c>
      <c r="E1082" s="105">
        <v>0.0</v>
      </c>
      <c r="F1082" s="105">
        <v>0.0</v>
      </c>
      <c r="G1082" s="105">
        <v>8.0</v>
      </c>
      <c r="H1082" s="105">
        <v>0.0</v>
      </c>
      <c r="I1082" s="101"/>
      <c r="J1082" s="101"/>
      <c r="K1082" s="101"/>
      <c r="L1082" s="101"/>
      <c r="M1082" s="101"/>
      <c r="N1082" s="101"/>
      <c r="O1082" s="101"/>
      <c r="P1082" s="101"/>
      <c r="Q1082" s="101"/>
      <c r="R1082" s="101"/>
      <c r="S1082" s="101"/>
      <c r="T1082" s="101"/>
      <c r="U1082" s="101"/>
      <c r="V1082" s="101"/>
      <c r="W1082" s="101"/>
      <c r="X1082" s="101"/>
      <c r="Y1082" s="101"/>
      <c r="Z1082" s="101"/>
    </row>
    <row r="1083">
      <c r="A1083" s="103">
        <v>1081.0</v>
      </c>
      <c r="B1083" s="104" t="s">
        <v>2280</v>
      </c>
      <c r="C1083" s="104" t="s">
        <v>2268</v>
      </c>
      <c r="D1083" s="103">
        <v>0.0</v>
      </c>
      <c r="E1083" s="103">
        <v>0.0</v>
      </c>
      <c r="F1083" s="103">
        <v>0.0</v>
      </c>
      <c r="G1083" s="103">
        <v>8.0</v>
      </c>
      <c r="H1083" s="103">
        <v>0.0</v>
      </c>
      <c r="I1083" s="101"/>
      <c r="J1083" s="101"/>
      <c r="K1083" s="101"/>
      <c r="L1083" s="101"/>
      <c r="M1083" s="101"/>
      <c r="N1083" s="101"/>
      <c r="O1083" s="101"/>
      <c r="P1083" s="101"/>
      <c r="Q1083" s="101"/>
      <c r="R1083" s="101"/>
      <c r="S1083" s="101"/>
      <c r="T1083" s="101"/>
      <c r="U1083" s="101"/>
      <c r="V1083" s="101"/>
      <c r="W1083" s="101"/>
      <c r="X1083" s="101"/>
      <c r="Y1083" s="101"/>
      <c r="Z1083" s="101"/>
    </row>
    <row r="1084">
      <c r="A1084" s="105">
        <v>1082.0</v>
      </c>
      <c r="B1084" s="106" t="s">
        <v>2281</v>
      </c>
      <c r="C1084" s="106" t="s">
        <v>2268</v>
      </c>
      <c r="D1084" s="105">
        <v>1.0</v>
      </c>
      <c r="E1084" s="105">
        <v>0.0</v>
      </c>
      <c r="F1084" s="105">
        <v>0.0</v>
      </c>
      <c r="G1084" s="105">
        <v>7.0</v>
      </c>
      <c r="H1084" s="105">
        <v>0.0</v>
      </c>
      <c r="I1084" s="101"/>
      <c r="J1084" s="101"/>
      <c r="K1084" s="101"/>
      <c r="L1084" s="101"/>
      <c r="M1084" s="101"/>
      <c r="N1084" s="101"/>
      <c r="O1084" s="101"/>
      <c r="P1084" s="101"/>
      <c r="Q1084" s="101"/>
      <c r="R1084" s="101"/>
      <c r="S1084" s="101"/>
      <c r="T1084" s="101"/>
      <c r="U1084" s="101"/>
      <c r="V1084" s="101"/>
      <c r="W1084" s="101"/>
      <c r="X1084" s="101"/>
      <c r="Y1084" s="101"/>
      <c r="Z1084" s="101"/>
    </row>
    <row r="1085">
      <c r="A1085" s="103">
        <v>1083.0</v>
      </c>
      <c r="B1085" s="104" t="s">
        <v>2282</v>
      </c>
      <c r="C1085" s="104" t="s">
        <v>2268</v>
      </c>
      <c r="D1085" s="103">
        <v>0.0</v>
      </c>
      <c r="E1085" s="103">
        <v>0.0</v>
      </c>
      <c r="F1085" s="103">
        <v>0.0</v>
      </c>
      <c r="G1085" s="103">
        <v>8.0</v>
      </c>
      <c r="H1085" s="103">
        <v>0.0</v>
      </c>
      <c r="I1085" s="101"/>
      <c r="J1085" s="101"/>
      <c r="K1085" s="101"/>
      <c r="L1085" s="101"/>
      <c r="M1085" s="101"/>
      <c r="N1085" s="101"/>
      <c r="O1085" s="101"/>
      <c r="P1085" s="101"/>
      <c r="Q1085" s="101"/>
      <c r="R1085" s="101"/>
      <c r="S1085" s="101"/>
      <c r="T1085" s="101"/>
      <c r="U1085" s="101"/>
      <c r="V1085" s="101"/>
      <c r="W1085" s="101"/>
      <c r="X1085" s="101"/>
      <c r="Y1085" s="101"/>
      <c r="Z1085" s="101"/>
    </row>
    <row r="1086">
      <c r="A1086" s="105">
        <v>1084.0</v>
      </c>
      <c r="B1086" s="106" t="s">
        <v>2283</v>
      </c>
      <c r="C1086" s="106" t="s">
        <v>2268</v>
      </c>
      <c r="D1086" s="105">
        <v>0.0</v>
      </c>
      <c r="E1086" s="105">
        <v>0.0</v>
      </c>
      <c r="F1086" s="105">
        <v>0.0</v>
      </c>
      <c r="G1086" s="105">
        <v>8.0</v>
      </c>
      <c r="H1086" s="105">
        <v>0.0</v>
      </c>
      <c r="I1086" s="101"/>
      <c r="J1086" s="101"/>
      <c r="K1086" s="101"/>
      <c r="L1086" s="101"/>
      <c r="M1086" s="101"/>
      <c r="N1086" s="101"/>
      <c r="O1086" s="101"/>
      <c r="P1086" s="101"/>
      <c r="Q1086" s="101"/>
      <c r="R1086" s="101"/>
      <c r="S1086" s="101"/>
      <c r="T1086" s="101"/>
      <c r="U1086" s="101"/>
      <c r="V1086" s="101"/>
      <c r="W1086" s="101"/>
      <c r="X1086" s="101"/>
      <c r="Y1086" s="101"/>
      <c r="Z1086" s="101"/>
    </row>
    <row r="1087">
      <c r="A1087" s="103">
        <v>1085.0</v>
      </c>
      <c r="B1087" s="104" t="s">
        <v>2284</v>
      </c>
      <c r="C1087" s="104" t="s">
        <v>2268</v>
      </c>
      <c r="D1087" s="103">
        <v>1.0</v>
      </c>
      <c r="E1087" s="103">
        <v>0.0</v>
      </c>
      <c r="F1087" s="103">
        <v>0.0</v>
      </c>
      <c r="G1087" s="103">
        <v>7.0</v>
      </c>
      <c r="H1087" s="103">
        <v>0.0</v>
      </c>
      <c r="I1087" s="101"/>
      <c r="J1087" s="101"/>
      <c r="K1087" s="101"/>
      <c r="L1087" s="101"/>
      <c r="M1087" s="101"/>
      <c r="N1087" s="101"/>
      <c r="O1087" s="101"/>
      <c r="P1087" s="101"/>
      <c r="Q1087" s="101"/>
      <c r="R1087" s="101"/>
      <c r="S1087" s="101"/>
      <c r="T1087" s="101"/>
      <c r="U1087" s="101"/>
      <c r="V1087" s="101"/>
      <c r="W1087" s="101"/>
      <c r="X1087" s="101"/>
      <c r="Y1087" s="101"/>
      <c r="Z1087" s="101"/>
    </row>
    <row r="1088">
      <c r="A1088" s="105">
        <v>1086.0</v>
      </c>
      <c r="B1088" s="106" t="s">
        <v>2285</v>
      </c>
      <c r="C1088" s="106" t="s">
        <v>2268</v>
      </c>
      <c r="D1088" s="105">
        <v>0.0</v>
      </c>
      <c r="E1088" s="105">
        <v>0.0</v>
      </c>
      <c r="F1088" s="105">
        <v>0.0</v>
      </c>
      <c r="G1088" s="105">
        <v>8.0</v>
      </c>
      <c r="H1088" s="105">
        <v>0.0</v>
      </c>
      <c r="I1088" s="101"/>
      <c r="J1088" s="101"/>
      <c r="K1088" s="101"/>
      <c r="L1088" s="101"/>
      <c r="M1088" s="101"/>
      <c r="N1088" s="101"/>
      <c r="O1088" s="101"/>
      <c r="P1088" s="101"/>
      <c r="Q1088" s="101"/>
      <c r="R1088" s="101"/>
      <c r="S1088" s="101"/>
      <c r="T1088" s="101"/>
      <c r="U1088" s="101"/>
      <c r="V1088" s="101"/>
      <c r="W1088" s="101"/>
      <c r="X1088" s="101"/>
      <c r="Y1088" s="101"/>
      <c r="Z1088" s="101"/>
    </row>
    <row r="1089">
      <c r="A1089" s="103">
        <v>1087.0</v>
      </c>
      <c r="B1089" s="104" t="s">
        <v>2286</v>
      </c>
      <c r="C1089" s="104" t="s">
        <v>2268</v>
      </c>
      <c r="D1089" s="103">
        <v>0.0</v>
      </c>
      <c r="E1089" s="103">
        <v>0.0</v>
      </c>
      <c r="F1089" s="103">
        <v>0.0</v>
      </c>
      <c r="G1089" s="103">
        <v>8.0</v>
      </c>
      <c r="H1089" s="103">
        <v>0.0</v>
      </c>
      <c r="I1089" s="101"/>
      <c r="J1089" s="101"/>
      <c r="K1089" s="101"/>
      <c r="L1089" s="101"/>
      <c r="M1089" s="101"/>
      <c r="N1089" s="101"/>
      <c r="O1089" s="101"/>
      <c r="P1089" s="101"/>
      <c r="Q1089" s="101"/>
      <c r="R1089" s="101"/>
      <c r="S1089" s="101"/>
      <c r="T1089" s="101"/>
      <c r="U1089" s="101"/>
      <c r="V1089" s="101"/>
      <c r="W1089" s="101"/>
      <c r="X1089" s="101"/>
      <c r="Y1089" s="101"/>
      <c r="Z1089" s="101"/>
    </row>
    <row r="1090">
      <c r="A1090" s="105">
        <v>1088.0</v>
      </c>
      <c r="B1090" s="106" t="s">
        <v>2287</v>
      </c>
      <c r="C1090" s="106" t="s">
        <v>2268</v>
      </c>
      <c r="D1090" s="105">
        <v>0.0</v>
      </c>
      <c r="E1090" s="105">
        <v>0.0</v>
      </c>
      <c r="F1090" s="105">
        <v>0.0</v>
      </c>
      <c r="G1090" s="105">
        <v>8.0</v>
      </c>
      <c r="H1090" s="105">
        <v>0.0</v>
      </c>
      <c r="I1090" s="101"/>
      <c r="J1090" s="101"/>
      <c r="K1090" s="101"/>
      <c r="L1090" s="101"/>
      <c r="M1090" s="101"/>
      <c r="N1090" s="101"/>
      <c r="O1090" s="101"/>
      <c r="P1090" s="101"/>
      <c r="Q1090" s="101"/>
      <c r="R1090" s="101"/>
      <c r="S1090" s="101"/>
      <c r="T1090" s="101"/>
      <c r="U1090" s="101"/>
      <c r="V1090" s="101"/>
      <c r="W1090" s="101"/>
      <c r="X1090" s="101"/>
      <c r="Y1090" s="101"/>
      <c r="Z1090" s="101"/>
    </row>
    <row r="1091">
      <c r="A1091" s="103">
        <v>1089.0</v>
      </c>
      <c r="B1091" s="104" t="s">
        <v>2288</v>
      </c>
      <c r="C1091" s="104" t="s">
        <v>2268</v>
      </c>
      <c r="D1091" s="103">
        <v>0.0</v>
      </c>
      <c r="E1091" s="103">
        <v>0.0</v>
      </c>
      <c r="F1091" s="103">
        <v>0.0</v>
      </c>
      <c r="G1091" s="103">
        <v>8.0</v>
      </c>
      <c r="H1091" s="103">
        <v>0.0</v>
      </c>
      <c r="I1091" s="101"/>
      <c r="J1091" s="101"/>
      <c r="K1091" s="101"/>
      <c r="L1091" s="101"/>
      <c r="M1091" s="101"/>
      <c r="N1091" s="101"/>
      <c r="O1091" s="101"/>
      <c r="P1091" s="101"/>
      <c r="Q1091" s="101"/>
      <c r="R1091" s="101"/>
      <c r="S1091" s="101"/>
      <c r="T1091" s="101"/>
      <c r="U1091" s="101"/>
      <c r="V1091" s="101"/>
      <c r="W1091" s="101"/>
      <c r="X1091" s="101"/>
      <c r="Y1091" s="101"/>
      <c r="Z1091" s="101"/>
    </row>
    <row r="1092">
      <c r="A1092" s="105">
        <v>1090.0</v>
      </c>
      <c r="B1092" s="106" t="s">
        <v>2289</v>
      </c>
      <c r="C1092" s="106" t="s">
        <v>2268</v>
      </c>
      <c r="D1092" s="105">
        <v>0.0</v>
      </c>
      <c r="E1092" s="105">
        <v>0.0</v>
      </c>
      <c r="F1092" s="105">
        <v>0.0</v>
      </c>
      <c r="G1092" s="105">
        <v>8.0</v>
      </c>
      <c r="H1092" s="105">
        <v>0.0</v>
      </c>
      <c r="I1092" s="101"/>
      <c r="J1092" s="101"/>
      <c r="K1092" s="101"/>
      <c r="L1092" s="101"/>
      <c r="M1092" s="101"/>
      <c r="N1092" s="101"/>
      <c r="O1092" s="101"/>
      <c r="P1092" s="101"/>
      <c r="Q1092" s="101"/>
      <c r="R1092" s="101"/>
      <c r="S1092" s="101"/>
      <c r="T1092" s="101"/>
      <c r="U1092" s="101"/>
      <c r="V1092" s="101"/>
      <c r="W1092" s="101"/>
      <c r="X1092" s="101"/>
      <c r="Y1092" s="101"/>
      <c r="Z1092" s="101"/>
    </row>
    <row r="1093">
      <c r="A1093" s="103">
        <v>1091.0</v>
      </c>
      <c r="B1093" s="104" t="s">
        <v>2290</v>
      </c>
      <c r="C1093" s="104" t="s">
        <v>2268</v>
      </c>
      <c r="D1093" s="103">
        <v>0.0</v>
      </c>
      <c r="E1093" s="103">
        <v>0.0</v>
      </c>
      <c r="F1093" s="103">
        <v>0.0</v>
      </c>
      <c r="G1093" s="103">
        <v>8.0</v>
      </c>
      <c r="H1093" s="103">
        <v>0.0</v>
      </c>
      <c r="I1093" s="101"/>
      <c r="J1093" s="101"/>
      <c r="K1093" s="101"/>
      <c r="L1093" s="101"/>
      <c r="M1093" s="101"/>
      <c r="N1093" s="101"/>
      <c r="O1093" s="101"/>
      <c r="P1093" s="101"/>
      <c r="Q1093" s="101"/>
      <c r="R1093" s="101"/>
      <c r="S1093" s="101"/>
      <c r="T1093" s="101"/>
      <c r="U1093" s="101"/>
      <c r="V1093" s="101"/>
      <c r="W1093" s="101"/>
      <c r="X1093" s="101"/>
      <c r="Y1093" s="101"/>
      <c r="Z1093" s="101"/>
    </row>
    <row r="1094">
      <c r="A1094" s="105">
        <v>1092.0</v>
      </c>
      <c r="B1094" s="106" t="s">
        <v>2291</v>
      </c>
      <c r="C1094" s="106" t="s">
        <v>2268</v>
      </c>
      <c r="D1094" s="105">
        <v>0.0</v>
      </c>
      <c r="E1094" s="105">
        <v>0.0</v>
      </c>
      <c r="F1094" s="105">
        <v>0.0</v>
      </c>
      <c r="G1094" s="105">
        <v>8.0</v>
      </c>
      <c r="H1094" s="105">
        <v>0.0</v>
      </c>
      <c r="I1094" s="101"/>
      <c r="J1094" s="101"/>
      <c r="K1094" s="101"/>
      <c r="L1094" s="101"/>
      <c r="M1094" s="101"/>
      <c r="N1094" s="101"/>
      <c r="O1094" s="101"/>
      <c r="P1094" s="101"/>
      <c r="Q1094" s="101"/>
      <c r="R1094" s="101"/>
      <c r="S1094" s="101"/>
      <c r="T1094" s="101"/>
      <c r="U1094" s="101"/>
      <c r="V1094" s="101"/>
      <c r="W1094" s="101"/>
      <c r="X1094" s="101"/>
      <c r="Y1094" s="101"/>
      <c r="Z1094" s="101"/>
    </row>
    <row r="1095">
      <c r="A1095" s="103">
        <v>1093.0</v>
      </c>
      <c r="B1095" s="104" t="s">
        <v>2292</v>
      </c>
      <c r="C1095" s="104" t="s">
        <v>2268</v>
      </c>
      <c r="D1095" s="103">
        <v>0.0</v>
      </c>
      <c r="E1095" s="103">
        <v>0.0</v>
      </c>
      <c r="F1095" s="103">
        <v>0.0</v>
      </c>
      <c r="G1095" s="103">
        <v>8.0</v>
      </c>
      <c r="H1095" s="103">
        <v>0.0</v>
      </c>
      <c r="I1095" s="101"/>
      <c r="J1095" s="101"/>
      <c r="K1095" s="101"/>
      <c r="L1095" s="101"/>
      <c r="M1095" s="101"/>
      <c r="N1095" s="101"/>
      <c r="O1095" s="101"/>
      <c r="P1095" s="101"/>
      <c r="Q1095" s="101"/>
      <c r="R1095" s="101"/>
      <c r="S1095" s="101"/>
      <c r="T1095" s="101"/>
      <c r="U1095" s="101"/>
      <c r="V1095" s="101"/>
      <c r="W1095" s="101"/>
      <c r="X1095" s="101"/>
      <c r="Y1095" s="101"/>
      <c r="Z1095" s="101"/>
    </row>
    <row r="1096">
      <c r="A1096" s="105">
        <v>1094.0</v>
      </c>
      <c r="B1096" s="106" t="s">
        <v>2293</v>
      </c>
      <c r="C1096" s="106" t="s">
        <v>2268</v>
      </c>
      <c r="D1096" s="105">
        <v>0.0</v>
      </c>
      <c r="E1096" s="105">
        <v>0.0</v>
      </c>
      <c r="F1096" s="105">
        <v>0.0</v>
      </c>
      <c r="G1096" s="105">
        <v>8.0</v>
      </c>
      <c r="H1096" s="105">
        <v>0.0</v>
      </c>
      <c r="I1096" s="101"/>
      <c r="J1096" s="101"/>
      <c r="K1096" s="101"/>
      <c r="L1096" s="101"/>
      <c r="M1096" s="101"/>
      <c r="N1096" s="101"/>
      <c r="O1096" s="101"/>
      <c r="P1096" s="101"/>
      <c r="Q1096" s="101"/>
      <c r="R1096" s="101"/>
      <c r="S1096" s="101"/>
      <c r="T1096" s="101"/>
      <c r="U1096" s="101"/>
      <c r="V1096" s="101"/>
      <c r="W1096" s="101"/>
      <c r="X1096" s="101"/>
      <c r="Y1096" s="101"/>
      <c r="Z1096" s="101"/>
    </row>
    <row r="1097">
      <c r="A1097" s="103">
        <v>1095.0</v>
      </c>
      <c r="B1097" s="104" t="s">
        <v>2294</v>
      </c>
      <c r="C1097" s="104" t="s">
        <v>2268</v>
      </c>
      <c r="D1097" s="103">
        <v>0.0</v>
      </c>
      <c r="E1097" s="103">
        <v>0.0</v>
      </c>
      <c r="F1097" s="103">
        <v>0.0</v>
      </c>
      <c r="G1097" s="103">
        <v>8.0</v>
      </c>
      <c r="H1097" s="103">
        <v>0.0</v>
      </c>
      <c r="I1097" s="101"/>
      <c r="J1097" s="101"/>
      <c r="K1097" s="101"/>
      <c r="L1097" s="101"/>
      <c r="M1097" s="101"/>
      <c r="N1097" s="101"/>
      <c r="O1097" s="101"/>
      <c r="P1097" s="101"/>
      <c r="Q1097" s="101"/>
      <c r="R1097" s="101"/>
      <c r="S1097" s="101"/>
      <c r="T1097" s="101"/>
      <c r="U1097" s="101"/>
      <c r="V1097" s="101"/>
      <c r="W1097" s="101"/>
      <c r="X1097" s="101"/>
      <c r="Y1097" s="101"/>
      <c r="Z1097" s="101"/>
    </row>
    <row r="1098">
      <c r="A1098" s="105">
        <v>1096.0</v>
      </c>
      <c r="B1098" s="106" t="s">
        <v>2295</v>
      </c>
      <c r="C1098" s="106" t="s">
        <v>2268</v>
      </c>
      <c r="D1098" s="105">
        <v>0.0</v>
      </c>
      <c r="E1098" s="105">
        <v>0.0</v>
      </c>
      <c r="F1098" s="105">
        <v>0.0</v>
      </c>
      <c r="G1098" s="105">
        <v>8.0</v>
      </c>
      <c r="H1098" s="105">
        <v>0.0</v>
      </c>
      <c r="I1098" s="101"/>
      <c r="J1098" s="101"/>
      <c r="K1098" s="101"/>
      <c r="L1098" s="101"/>
      <c r="M1098" s="101"/>
      <c r="N1098" s="101"/>
      <c r="O1098" s="101"/>
      <c r="P1098" s="101"/>
      <c r="Q1098" s="101"/>
      <c r="R1098" s="101"/>
      <c r="S1098" s="101"/>
      <c r="T1098" s="101"/>
      <c r="U1098" s="101"/>
      <c r="V1098" s="101"/>
      <c r="W1098" s="101"/>
      <c r="X1098" s="101"/>
      <c r="Y1098" s="101"/>
      <c r="Z1098" s="101"/>
    </row>
    <row r="1099">
      <c r="A1099" s="103">
        <v>1097.0</v>
      </c>
      <c r="B1099" s="104" t="s">
        <v>2296</v>
      </c>
      <c r="C1099" s="104" t="s">
        <v>2268</v>
      </c>
      <c r="D1099" s="103">
        <v>0.0</v>
      </c>
      <c r="E1099" s="103">
        <v>0.0</v>
      </c>
      <c r="F1099" s="103">
        <v>0.0</v>
      </c>
      <c r="G1099" s="103">
        <v>8.0</v>
      </c>
      <c r="H1099" s="103">
        <v>0.0</v>
      </c>
      <c r="I1099" s="101"/>
      <c r="J1099" s="101"/>
      <c r="K1099" s="101"/>
      <c r="L1099" s="101"/>
      <c r="M1099" s="101"/>
      <c r="N1099" s="101"/>
      <c r="O1099" s="101"/>
      <c r="P1099" s="101"/>
      <c r="Q1099" s="101"/>
      <c r="R1099" s="101"/>
      <c r="S1099" s="101"/>
      <c r="T1099" s="101"/>
      <c r="U1099" s="101"/>
      <c r="V1099" s="101"/>
      <c r="W1099" s="101"/>
      <c r="X1099" s="101"/>
      <c r="Y1099" s="101"/>
      <c r="Z1099" s="101"/>
    </row>
    <row r="1100">
      <c r="A1100" s="105">
        <v>1098.0</v>
      </c>
      <c r="B1100" s="106" t="s">
        <v>2297</v>
      </c>
      <c r="C1100" s="106" t="s">
        <v>2268</v>
      </c>
      <c r="D1100" s="105">
        <v>0.0</v>
      </c>
      <c r="E1100" s="105">
        <v>0.0</v>
      </c>
      <c r="F1100" s="105">
        <v>0.0</v>
      </c>
      <c r="G1100" s="105">
        <v>8.0</v>
      </c>
      <c r="H1100" s="105">
        <v>0.0</v>
      </c>
      <c r="I1100" s="101"/>
      <c r="J1100" s="101"/>
      <c r="K1100" s="101"/>
      <c r="L1100" s="101"/>
      <c r="M1100" s="101"/>
      <c r="N1100" s="101"/>
      <c r="O1100" s="101"/>
      <c r="P1100" s="101"/>
      <c r="Q1100" s="101"/>
      <c r="R1100" s="101"/>
      <c r="S1100" s="101"/>
      <c r="T1100" s="101"/>
      <c r="U1100" s="101"/>
      <c r="V1100" s="101"/>
      <c r="W1100" s="101"/>
      <c r="X1100" s="101"/>
      <c r="Y1100" s="101"/>
      <c r="Z1100" s="101"/>
    </row>
    <row r="1101">
      <c r="A1101" s="103">
        <v>1099.0</v>
      </c>
      <c r="B1101" s="104" t="s">
        <v>2298</v>
      </c>
      <c r="C1101" s="104" t="s">
        <v>2268</v>
      </c>
      <c r="D1101" s="103">
        <v>0.0</v>
      </c>
      <c r="E1101" s="103">
        <v>0.0</v>
      </c>
      <c r="F1101" s="103">
        <v>0.0</v>
      </c>
      <c r="G1101" s="103">
        <v>8.0</v>
      </c>
      <c r="H1101" s="103">
        <v>0.0</v>
      </c>
      <c r="I1101" s="101"/>
      <c r="J1101" s="101"/>
      <c r="K1101" s="101"/>
      <c r="L1101" s="101"/>
      <c r="M1101" s="101"/>
      <c r="N1101" s="101"/>
      <c r="O1101" s="101"/>
      <c r="P1101" s="101"/>
      <c r="Q1101" s="101"/>
      <c r="R1101" s="101"/>
      <c r="S1101" s="101"/>
      <c r="T1101" s="101"/>
      <c r="U1101" s="101"/>
      <c r="V1101" s="101"/>
      <c r="W1101" s="101"/>
      <c r="X1101" s="101"/>
      <c r="Y1101" s="101"/>
      <c r="Z1101" s="101"/>
    </row>
    <row r="1102">
      <c r="A1102" s="105">
        <v>1100.0</v>
      </c>
      <c r="B1102" s="106" t="s">
        <v>2299</v>
      </c>
      <c r="C1102" s="106" t="s">
        <v>2268</v>
      </c>
      <c r="D1102" s="105">
        <v>0.0</v>
      </c>
      <c r="E1102" s="105">
        <v>0.0</v>
      </c>
      <c r="F1102" s="105">
        <v>0.0</v>
      </c>
      <c r="G1102" s="105">
        <v>8.0</v>
      </c>
      <c r="H1102" s="105">
        <v>0.0</v>
      </c>
      <c r="I1102" s="101"/>
      <c r="J1102" s="101"/>
      <c r="K1102" s="101"/>
      <c r="L1102" s="101"/>
      <c r="M1102" s="101"/>
      <c r="N1102" s="101"/>
      <c r="O1102" s="101"/>
      <c r="P1102" s="101"/>
      <c r="Q1102" s="101"/>
      <c r="R1102" s="101"/>
      <c r="S1102" s="101"/>
      <c r="T1102" s="101"/>
      <c r="U1102" s="101"/>
      <c r="V1102" s="101"/>
      <c r="W1102" s="101"/>
      <c r="X1102" s="101"/>
      <c r="Y1102" s="101"/>
      <c r="Z1102" s="101"/>
    </row>
    <row r="1103">
      <c r="A1103" s="103">
        <v>1101.0</v>
      </c>
      <c r="B1103" s="104" t="s">
        <v>2300</v>
      </c>
      <c r="C1103" s="104" t="s">
        <v>2268</v>
      </c>
      <c r="D1103" s="103">
        <v>0.0</v>
      </c>
      <c r="E1103" s="103">
        <v>0.0</v>
      </c>
      <c r="F1103" s="103">
        <v>0.0</v>
      </c>
      <c r="G1103" s="103">
        <v>8.0</v>
      </c>
      <c r="H1103" s="103">
        <v>0.0</v>
      </c>
      <c r="I1103" s="101"/>
      <c r="J1103" s="101"/>
      <c r="K1103" s="101"/>
      <c r="L1103" s="101"/>
      <c r="M1103" s="101"/>
      <c r="N1103" s="101"/>
      <c r="O1103" s="101"/>
      <c r="P1103" s="101"/>
      <c r="Q1103" s="101"/>
      <c r="R1103" s="101"/>
      <c r="S1103" s="101"/>
      <c r="T1103" s="101"/>
      <c r="U1103" s="101"/>
      <c r="V1103" s="101"/>
      <c r="W1103" s="101"/>
      <c r="X1103" s="101"/>
      <c r="Y1103" s="101"/>
      <c r="Z1103" s="101"/>
    </row>
    <row r="1104">
      <c r="A1104" s="105">
        <v>1102.0</v>
      </c>
      <c r="B1104" s="106" t="s">
        <v>2301</v>
      </c>
      <c r="C1104" s="106" t="s">
        <v>2268</v>
      </c>
      <c r="D1104" s="105">
        <v>0.0</v>
      </c>
      <c r="E1104" s="105">
        <v>0.0</v>
      </c>
      <c r="F1104" s="105">
        <v>0.0</v>
      </c>
      <c r="G1104" s="105">
        <v>8.0</v>
      </c>
      <c r="H1104" s="105">
        <v>0.0</v>
      </c>
      <c r="I1104" s="101"/>
      <c r="J1104" s="101"/>
      <c r="K1104" s="101"/>
      <c r="L1104" s="101"/>
      <c r="M1104" s="101"/>
      <c r="N1104" s="101"/>
      <c r="O1104" s="101"/>
      <c r="P1104" s="101"/>
      <c r="Q1104" s="101"/>
      <c r="R1104" s="101"/>
      <c r="S1104" s="101"/>
      <c r="T1104" s="101"/>
      <c r="U1104" s="101"/>
      <c r="V1104" s="101"/>
      <c r="W1104" s="101"/>
      <c r="X1104" s="101"/>
      <c r="Y1104" s="101"/>
      <c r="Z1104" s="101"/>
    </row>
    <row r="1105">
      <c r="A1105" s="103">
        <v>1103.0</v>
      </c>
      <c r="B1105" s="104" t="s">
        <v>2302</v>
      </c>
      <c r="C1105" s="104" t="s">
        <v>2268</v>
      </c>
      <c r="D1105" s="103">
        <v>0.0</v>
      </c>
      <c r="E1105" s="103">
        <v>0.0</v>
      </c>
      <c r="F1105" s="103">
        <v>0.0</v>
      </c>
      <c r="G1105" s="103">
        <v>8.0</v>
      </c>
      <c r="H1105" s="103">
        <v>0.0</v>
      </c>
      <c r="I1105" s="101"/>
      <c r="J1105" s="101"/>
      <c r="K1105" s="101"/>
      <c r="L1105" s="101"/>
      <c r="M1105" s="101"/>
      <c r="N1105" s="101"/>
      <c r="O1105" s="101"/>
      <c r="P1105" s="101"/>
      <c r="Q1105" s="101"/>
      <c r="R1105" s="101"/>
      <c r="S1105" s="101"/>
      <c r="T1105" s="101"/>
      <c r="U1105" s="101"/>
      <c r="V1105" s="101"/>
      <c r="W1105" s="101"/>
      <c r="X1105" s="101"/>
      <c r="Y1105" s="101"/>
      <c r="Z1105" s="101"/>
    </row>
    <row r="1106">
      <c r="A1106" s="105">
        <v>1104.0</v>
      </c>
      <c r="B1106" s="106" t="s">
        <v>2303</v>
      </c>
      <c r="C1106" s="106" t="s">
        <v>2304</v>
      </c>
      <c r="D1106" s="105">
        <v>0.0</v>
      </c>
      <c r="E1106" s="105">
        <v>0.0</v>
      </c>
      <c r="F1106" s="105">
        <v>0.0</v>
      </c>
      <c r="G1106" s="105">
        <v>8.0</v>
      </c>
      <c r="H1106" s="105">
        <v>0.0</v>
      </c>
      <c r="I1106" s="101"/>
      <c r="J1106" s="101"/>
      <c r="K1106" s="101"/>
      <c r="L1106" s="101"/>
      <c r="M1106" s="101"/>
      <c r="N1106" s="101"/>
      <c r="O1106" s="101"/>
      <c r="P1106" s="101"/>
      <c r="Q1106" s="101"/>
      <c r="R1106" s="101"/>
      <c r="S1106" s="101"/>
      <c r="T1106" s="101"/>
      <c r="U1106" s="101"/>
      <c r="V1106" s="101"/>
      <c r="W1106" s="101"/>
      <c r="X1106" s="101"/>
      <c r="Y1106" s="101"/>
      <c r="Z1106" s="101"/>
    </row>
    <row r="1107">
      <c r="A1107" s="103">
        <v>1105.0</v>
      </c>
      <c r="B1107" s="104" t="s">
        <v>2305</v>
      </c>
      <c r="C1107" s="104" t="s">
        <v>2304</v>
      </c>
      <c r="D1107" s="103">
        <v>0.0</v>
      </c>
      <c r="E1107" s="103">
        <v>0.0</v>
      </c>
      <c r="F1107" s="103">
        <v>0.0</v>
      </c>
      <c r="G1107" s="103">
        <v>8.0</v>
      </c>
      <c r="H1107" s="103">
        <v>0.0</v>
      </c>
      <c r="I1107" s="101"/>
      <c r="J1107" s="101"/>
      <c r="K1107" s="101"/>
      <c r="L1107" s="101"/>
      <c r="M1107" s="101"/>
      <c r="N1107" s="101"/>
      <c r="O1107" s="101"/>
      <c r="P1107" s="101"/>
      <c r="Q1107" s="101"/>
      <c r="R1107" s="101"/>
      <c r="S1107" s="101"/>
      <c r="T1107" s="101"/>
      <c r="U1107" s="101"/>
      <c r="V1107" s="101"/>
      <c r="W1107" s="101"/>
      <c r="X1107" s="101"/>
      <c r="Y1107" s="101"/>
      <c r="Z1107" s="101"/>
    </row>
    <row r="1108">
      <c r="A1108" s="105">
        <v>1106.0</v>
      </c>
      <c r="B1108" s="106" t="s">
        <v>2306</v>
      </c>
      <c r="C1108" s="106" t="s">
        <v>2304</v>
      </c>
      <c r="D1108" s="105">
        <v>0.0</v>
      </c>
      <c r="E1108" s="105">
        <v>0.0</v>
      </c>
      <c r="F1108" s="105">
        <v>0.0</v>
      </c>
      <c r="G1108" s="105">
        <v>8.0</v>
      </c>
      <c r="H1108" s="105">
        <v>0.0</v>
      </c>
      <c r="I1108" s="101"/>
      <c r="J1108" s="101"/>
      <c r="K1108" s="101"/>
      <c r="L1108" s="101"/>
      <c r="M1108" s="101"/>
      <c r="N1108" s="101"/>
      <c r="O1108" s="101"/>
      <c r="P1108" s="101"/>
      <c r="Q1108" s="101"/>
      <c r="R1108" s="101"/>
      <c r="S1108" s="101"/>
      <c r="T1108" s="101"/>
      <c r="U1108" s="101"/>
      <c r="V1108" s="101"/>
      <c r="W1108" s="101"/>
      <c r="X1108" s="101"/>
      <c r="Y1108" s="101"/>
      <c r="Z1108" s="101"/>
    </row>
    <row r="1109">
      <c r="A1109" s="103">
        <v>1107.0</v>
      </c>
      <c r="B1109" s="104" t="s">
        <v>2307</v>
      </c>
      <c r="C1109" s="104" t="s">
        <v>2304</v>
      </c>
      <c r="D1109" s="103">
        <v>0.0</v>
      </c>
      <c r="E1109" s="103">
        <v>0.0</v>
      </c>
      <c r="F1109" s="103">
        <v>0.0</v>
      </c>
      <c r="G1109" s="103">
        <v>8.0</v>
      </c>
      <c r="H1109" s="103">
        <v>0.0</v>
      </c>
      <c r="I1109" s="101"/>
      <c r="J1109" s="101"/>
      <c r="K1109" s="101"/>
      <c r="L1109" s="101"/>
      <c r="M1109" s="101"/>
      <c r="N1109" s="101"/>
      <c r="O1109" s="101"/>
      <c r="P1109" s="101"/>
      <c r="Q1109" s="101"/>
      <c r="R1109" s="101"/>
      <c r="S1109" s="101"/>
      <c r="T1109" s="101"/>
      <c r="U1109" s="101"/>
      <c r="V1109" s="101"/>
      <c r="W1109" s="101"/>
      <c r="X1109" s="101"/>
      <c r="Y1109" s="101"/>
      <c r="Z1109" s="101"/>
    </row>
    <row r="1110">
      <c r="A1110" s="105">
        <v>1108.0</v>
      </c>
      <c r="B1110" s="106" t="s">
        <v>2308</v>
      </c>
      <c r="C1110" s="106" t="s">
        <v>2304</v>
      </c>
      <c r="D1110" s="105">
        <v>0.0</v>
      </c>
      <c r="E1110" s="105">
        <v>0.0</v>
      </c>
      <c r="F1110" s="105">
        <v>0.0</v>
      </c>
      <c r="G1110" s="105">
        <v>8.0</v>
      </c>
      <c r="H1110" s="105">
        <v>0.0</v>
      </c>
      <c r="I1110" s="101"/>
      <c r="J1110" s="101"/>
      <c r="K1110" s="101"/>
      <c r="L1110" s="101"/>
      <c r="M1110" s="101"/>
      <c r="N1110" s="101"/>
      <c r="O1110" s="101"/>
      <c r="P1110" s="101"/>
      <c r="Q1110" s="101"/>
      <c r="R1110" s="101"/>
      <c r="S1110" s="101"/>
      <c r="T1110" s="101"/>
      <c r="U1110" s="101"/>
      <c r="V1110" s="101"/>
      <c r="W1110" s="101"/>
      <c r="X1110" s="101"/>
      <c r="Y1110" s="101"/>
      <c r="Z1110" s="101"/>
    </row>
    <row r="1111">
      <c r="A1111" s="103">
        <v>1109.0</v>
      </c>
      <c r="B1111" s="104" t="s">
        <v>2309</v>
      </c>
      <c r="C1111" s="104" t="s">
        <v>2304</v>
      </c>
      <c r="D1111" s="103">
        <v>0.0</v>
      </c>
      <c r="E1111" s="103">
        <v>0.0</v>
      </c>
      <c r="F1111" s="103">
        <v>0.0</v>
      </c>
      <c r="G1111" s="103">
        <v>8.0</v>
      </c>
      <c r="H1111" s="103">
        <v>0.0</v>
      </c>
      <c r="I1111" s="101"/>
      <c r="J1111" s="101"/>
      <c r="K1111" s="101"/>
      <c r="L1111" s="101"/>
      <c r="M1111" s="101"/>
      <c r="N1111" s="101"/>
      <c r="O1111" s="101"/>
      <c r="P1111" s="101"/>
      <c r="Q1111" s="101"/>
      <c r="R1111" s="101"/>
      <c r="S1111" s="101"/>
      <c r="T1111" s="101"/>
      <c r="U1111" s="101"/>
      <c r="V1111" s="101"/>
      <c r="W1111" s="101"/>
      <c r="X1111" s="101"/>
      <c r="Y1111" s="101"/>
      <c r="Z1111" s="101"/>
    </row>
    <row r="1112">
      <c r="A1112" s="105">
        <v>1110.0</v>
      </c>
      <c r="B1112" s="106" t="s">
        <v>2310</v>
      </c>
      <c r="C1112" s="106" t="s">
        <v>2304</v>
      </c>
      <c r="D1112" s="105">
        <v>0.0</v>
      </c>
      <c r="E1112" s="105">
        <v>0.0</v>
      </c>
      <c r="F1112" s="105">
        <v>0.0</v>
      </c>
      <c r="G1112" s="105">
        <v>8.0</v>
      </c>
      <c r="H1112" s="105">
        <v>0.0</v>
      </c>
      <c r="I1112" s="101"/>
      <c r="J1112" s="101"/>
      <c r="K1112" s="101"/>
      <c r="L1112" s="101"/>
      <c r="M1112" s="101"/>
      <c r="N1112" s="101"/>
      <c r="O1112" s="101"/>
      <c r="P1112" s="101"/>
      <c r="Q1112" s="101"/>
      <c r="R1112" s="101"/>
      <c r="S1112" s="101"/>
      <c r="T1112" s="101"/>
      <c r="U1112" s="101"/>
      <c r="V1112" s="101"/>
      <c r="W1112" s="101"/>
      <c r="X1112" s="101"/>
      <c r="Y1112" s="101"/>
      <c r="Z1112" s="101"/>
    </row>
    <row r="1113">
      <c r="A1113" s="103">
        <v>1111.0</v>
      </c>
      <c r="B1113" s="104" t="s">
        <v>2311</v>
      </c>
      <c r="C1113" s="104" t="s">
        <v>2304</v>
      </c>
      <c r="D1113" s="103">
        <v>0.0</v>
      </c>
      <c r="E1113" s="103">
        <v>0.0</v>
      </c>
      <c r="F1113" s="103">
        <v>0.0</v>
      </c>
      <c r="G1113" s="103">
        <v>8.0</v>
      </c>
      <c r="H1113" s="103">
        <v>0.0</v>
      </c>
      <c r="I1113" s="101"/>
      <c r="J1113" s="101"/>
      <c r="K1113" s="101"/>
      <c r="L1113" s="101"/>
      <c r="M1113" s="101"/>
      <c r="N1113" s="101"/>
      <c r="O1113" s="101"/>
      <c r="P1113" s="101"/>
      <c r="Q1113" s="101"/>
      <c r="R1113" s="101"/>
      <c r="S1113" s="101"/>
      <c r="T1113" s="101"/>
      <c r="U1113" s="101"/>
      <c r="V1113" s="101"/>
      <c r="W1113" s="101"/>
      <c r="X1113" s="101"/>
      <c r="Y1113" s="101"/>
      <c r="Z1113" s="101"/>
    </row>
    <row r="1114">
      <c r="A1114" s="105">
        <v>1112.0</v>
      </c>
      <c r="B1114" s="106" t="s">
        <v>2312</v>
      </c>
      <c r="C1114" s="106" t="s">
        <v>2304</v>
      </c>
      <c r="D1114" s="105">
        <v>0.0</v>
      </c>
      <c r="E1114" s="105">
        <v>0.0</v>
      </c>
      <c r="F1114" s="105">
        <v>0.0</v>
      </c>
      <c r="G1114" s="105">
        <v>8.0</v>
      </c>
      <c r="H1114" s="105">
        <v>0.0</v>
      </c>
      <c r="I1114" s="101"/>
      <c r="J1114" s="101"/>
      <c r="K1114" s="101"/>
      <c r="L1114" s="101"/>
      <c r="M1114" s="101"/>
      <c r="N1114" s="101"/>
      <c r="O1114" s="101"/>
      <c r="P1114" s="101"/>
      <c r="Q1114" s="101"/>
      <c r="R1114" s="101"/>
      <c r="S1114" s="101"/>
      <c r="T1114" s="101"/>
      <c r="U1114" s="101"/>
      <c r="V1114" s="101"/>
      <c r="W1114" s="101"/>
      <c r="X1114" s="101"/>
      <c r="Y1114" s="101"/>
      <c r="Z1114" s="101"/>
    </row>
    <row r="1115">
      <c r="A1115" s="103">
        <v>1113.0</v>
      </c>
      <c r="B1115" s="104" t="s">
        <v>2313</v>
      </c>
      <c r="C1115" s="104" t="s">
        <v>2304</v>
      </c>
      <c r="D1115" s="103">
        <v>0.0</v>
      </c>
      <c r="E1115" s="103">
        <v>0.0</v>
      </c>
      <c r="F1115" s="103">
        <v>0.0</v>
      </c>
      <c r="G1115" s="103">
        <v>8.0</v>
      </c>
      <c r="H1115" s="103">
        <v>0.0</v>
      </c>
      <c r="I1115" s="101"/>
      <c r="J1115" s="101"/>
      <c r="K1115" s="101"/>
      <c r="L1115" s="101"/>
      <c r="M1115" s="101"/>
      <c r="N1115" s="101"/>
      <c r="O1115" s="101"/>
      <c r="P1115" s="101"/>
      <c r="Q1115" s="101"/>
      <c r="R1115" s="101"/>
      <c r="S1115" s="101"/>
      <c r="T1115" s="101"/>
      <c r="U1115" s="101"/>
      <c r="V1115" s="101"/>
      <c r="W1115" s="101"/>
      <c r="X1115" s="101"/>
      <c r="Y1115" s="101"/>
      <c r="Z1115" s="101"/>
    </row>
    <row r="1116">
      <c r="A1116" s="105">
        <v>1114.0</v>
      </c>
      <c r="B1116" s="106" t="s">
        <v>2314</v>
      </c>
      <c r="C1116" s="106" t="s">
        <v>2304</v>
      </c>
      <c r="D1116" s="105">
        <v>0.0</v>
      </c>
      <c r="E1116" s="105">
        <v>0.0</v>
      </c>
      <c r="F1116" s="105">
        <v>0.0</v>
      </c>
      <c r="G1116" s="105">
        <v>8.0</v>
      </c>
      <c r="H1116" s="105">
        <v>0.0</v>
      </c>
      <c r="I1116" s="101"/>
      <c r="J1116" s="101"/>
      <c r="K1116" s="101"/>
      <c r="L1116" s="101"/>
      <c r="M1116" s="101"/>
      <c r="N1116" s="101"/>
      <c r="O1116" s="101"/>
      <c r="P1116" s="101"/>
      <c r="Q1116" s="101"/>
      <c r="R1116" s="101"/>
      <c r="S1116" s="101"/>
      <c r="T1116" s="101"/>
      <c r="U1116" s="101"/>
      <c r="V1116" s="101"/>
      <c r="W1116" s="101"/>
      <c r="X1116" s="101"/>
      <c r="Y1116" s="101"/>
      <c r="Z1116" s="101"/>
    </row>
    <row r="1117">
      <c r="A1117" s="103">
        <v>1115.0</v>
      </c>
      <c r="B1117" s="104" t="s">
        <v>2315</v>
      </c>
      <c r="C1117" s="104" t="s">
        <v>2304</v>
      </c>
      <c r="D1117" s="103">
        <v>0.0</v>
      </c>
      <c r="E1117" s="103">
        <v>0.0</v>
      </c>
      <c r="F1117" s="103">
        <v>0.0</v>
      </c>
      <c r="G1117" s="103">
        <v>8.0</v>
      </c>
      <c r="H1117" s="103">
        <v>0.0</v>
      </c>
      <c r="I1117" s="101"/>
      <c r="J1117" s="101"/>
      <c r="K1117" s="101"/>
      <c r="L1117" s="101"/>
      <c r="M1117" s="101"/>
      <c r="N1117" s="101"/>
      <c r="O1117" s="101"/>
      <c r="P1117" s="101"/>
      <c r="Q1117" s="101"/>
      <c r="R1117" s="101"/>
      <c r="S1117" s="101"/>
      <c r="T1117" s="101"/>
      <c r="U1117" s="101"/>
      <c r="V1117" s="101"/>
      <c r="W1117" s="101"/>
      <c r="X1117" s="101"/>
      <c r="Y1117" s="101"/>
      <c r="Z1117" s="101"/>
    </row>
    <row r="1118">
      <c r="A1118" s="105">
        <v>1116.0</v>
      </c>
      <c r="B1118" s="106" t="s">
        <v>2316</v>
      </c>
      <c r="C1118" s="106" t="s">
        <v>2304</v>
      </c>
      <c r="D1118" s="105">
        <v>0.0</v>
      </c>
      <c r="E1118" s="105">
        <v>0.0</v>
      </c>
      <c r="F1118" s="105">
        <v>0.0</v>
      </c>
      <c r="G1118" s="105">
        <v>8.0</v>
      </c>
      <c r="H1118" s="105">
        <v>0.0</v>
      </c>
      <c r="I1118" s="101"/>
      <c r="J1118" s="101"/>
      <c r="K1118" s="101"/>
      <c r="L1118" s="101"/>
      <c r="M1118" s="101"/>
      <c r="N1118" s="101"/>
      <c r="O1118" s="101"/>
      <c r="P1118" s="101"/>
      <c r="Q1118" s="101"/>
      <c r="R1118" s="101"/>
      <c r="S1118" s="101"/>
      <c r="T1118" s="101"/>
      <c r="U1118" s="101"/>
      <c r="V1118" s="101"/>
      <c r="W1118" s="101"/>
      <c r="X1118" s="101"/>
      <c r="Y1118" s="101"/>
      <c r="Z1118" s="101"/>
    </row>
    <row r="1119">
      <c r="A1119" s="103">
        <v>1117.0</v>
      </c>
      <c r="B1119" s="104" t="s">
        <v>2317</v>
      </c>
      <c r="C1119" s="104" t="s">
        <v>2304</v>
      </c>
      <c r="D1119" s="103">
        <v>0.0</v>
      </c>
      <c r="E1119" s="103">
        <v>0.0</v>
      </c>
      <c r="F1119" s="103">
        <v>0.0</v>
      </c>
      <c r="G1119" s="103">
        <v>8.0</v>
      </c>
      <c r="H1119" s="103">
        <v>0.0</v>
      </c>
      <c r="I1119" s="101"/>
      <c r="J1119" s="101"/>
      <c r="K1119" s="101"/>
      <c r="L1119" s="101"/>
      <c r="M1119" s="101"/>
      <c r="N1119" s="101"/>
      <c r="O1119" s="101"/>
      <c r="P1119" s="101"/>
      <c r="Q1119" s="101"/>
      <c r="R1119" s="101"/>
      <c r="S1119" s="101"/>
      <c r="T1119" s="101"/>
      <c r="U1119" s="101"/>
      <c r="V1119" s="101"/>
      <c r="W1119" s="101"/>
      <c r="X1119" s="101"/>
      <c r="Y1119" s="101"/>
      <c r="Z1119" s="101"/>
    </row>
    <row r="1120">
      <c r="A1120" s="105">
        <v>1118.0</v>
      </c>
      <c r="B1120" s="106" t="s">
        <v>2318</v>
      </c>
      <c r="C1120" s="106" t="s">
        <v>2304</v>
      </c>
      <c r="D1120" s="105">
        <v>0.0</v>
      </c>
      <c r="E1120" s="105">
        <v>0.0</v>
      </c>
      <c r="F1120" s="105">
        <v>0.0</v>
      </c>
      <c r="G1120" s="105">
        <v>8.0</v>
      </c>
      <c r="H1120" s="105">
        <v>0.0</v>
      </c>
      <c r="I1120" s="101"/>
      <c r="J1120" s="101"/>
      <c r="K1120" s="101"/>
      <c r="L1120" s="101"/>
      <c r="M1120" s="101"/>
      <c r="N1120" s="101"/>
      <c r="O1120" s="101"/>
      <c r="P1120" s="101"/>
      <c r="Q1120" s="101"/>
      <c r="R1120" s="101"/>
      <c r="S1120" s="101"/>
      <c r="T1120" s="101"/>
      <c r="U1120" s="101"/>
      <c r="V1120" s="101"/>
      <c r="W1120" s="101"/>
      <c r="X1120" s="101"/>
      <c r="Y1120" s="101"/>
      <c r="Z1120" s="101"/>
    </row>
    <row r="1121">
      <c r="A1121" s="103">
        <v>1119.0</v>
      </c>
      <c r="B1121" s="104" t="s">
        <v>2319</v>
      </c>
      <c r="C1121" s="104" t="s">
        <v>2304</v>
      </c>
      <c r="D1121" s="103">
        <v>0.0</v>
      </c>
      <c r="E1121" s="103">
        <v>0.0</v>
      </c>
      <c r="F1121" s="103">
        <v>0.0</v>
      </c>
      <c r="G1121" s="103">
        <v>8.0</v>
      </c>
      <c r="H1121" s="103">
        <v>0.0</v>
      </c>
      <c r="I1121" s="101"/>
      <c r="J1121" s="101"/>
      <c r="K1121" s="101"/>
      <c r="L1121" s="101"/>
      <c r="M1121" s="101"/>
      <c r="N1121" s="101"/>
      <c r="O1121" s="101"/>
      <c r="P1121" s="101"/>
      <c r="Q1121" s="101"/>
      <c r="R1121" s="101"/>
      <c r="S1121" s="101"/>
      <c r="T1121" s="101"/>
      <c r="U1121" s="101"/>
      <c r="V1121" s="101"/>
      <c r="W1121" s="101"/>
      <c r="X1121" s="101"/>
      <c r="Y1121" s="101"/>
      <c r="Z1121" s="101"/>
    </row>
    <row r="1122">
      <c r="A1122" s="105">
        <v>1120.0</v>
      </c>
      <c r="B1122" s="106" t="s">
        <v>2320</v>
      </c>
      <c r="C1122" s="106" t="s">
        <v>2304</v>
      </c>
      <c r="D1122" s="105">
        <v>0.0</v>
      </c>
      <c r="E1122" s="105">
        <v>0.0</v>
      </c>
      <c r="F1122" s="105">
        <v>0.0</v>
      </c>
      <c r="G1122" s="105">
        <v>8.0</v>
      </c>
      <c r="H1122" s="105">
        <v>0.0</v>
      </c>
      <c r="I1122" s="101"/>
      <c r="J1122" s="101"/>
      <c r="K1122" s="101"/>
      <c r="L1122" s="101"/>
      <c r="M1122" s="101"/>
      <c r="N1122" s="101"/>
      <c r="O1122" s="101"/>
      <c r="P1122" s="101"/>
      <c r="Q1122" s="101"/>
      <c r="R1122" s="101"/>
      <c r="S1122" s="101"/>
      <c r="T1122" s="101"/>
      <c r="U1122" s="101"/>
      <c r="V1122" s="101"/>
      <c r="W1122" s="101"/>
      <c r="X1122" s="101"/>
      <c r="Y1122" s="101"/>
      <c r="Z1122" s="101"/>
    </row>
    <row r="1123">
      <c r="A1123" s="103">
        <v>1121.0</v>
      </c>
      <c r="B1123" s="104" t="s">
        <v>2321</v>
      </c>
      <c r="C1123" s="104" t="s">
        <v>2304</v>
      </c>
      <c r="D1123" s="103">
        <v>0.0</v>
      </c>
      <c r="E1123" s="103">
        <v>0.0</v>
      </c>
      <c r="F1123" s="103">
        <v>0.0</v>
      </c>
      <c r="G1123" s="103">
        <v>8.0</v>
      </c>
      <c r="H1123" s="103">
        <v>0.0</v>
      </c>
      <c r="I1123" s="101"/>
      <c r="J1123" s="101"/>
      <c r="K1123" s="101"/>
      <c r="L1123" s="101"/>
      <c r="M1123" s="101"/>
      <c r="N1123" s="101"/>
      <c r="O1123" s="101"/>
      <c r="P1123" s="101"/>
      <c r="Q1123" s="101"/>
      <c r="R1123" s="101"/>
      <c r="S1123" s="101"/>
      <c r="T1123" s="101"/>
      <c r="U1123" s="101"/>
      <c r="V1123" s="101"/>
      <c r="W1123" s="101"/>
      <c r="X1123" s="101"/>
      <c r="Y1123" s="101"/>
      <c r="Z1123" s="101"/>
    </row>
    <row r="1124">
      <c r="A1124" s="105">
        <v>1122.0</v>
      </c>
      <c r="B1124" s="106" t="s">
        <v>2322</v>
      </c>
      <c r="C1124" s="106" t="s">
        <v>2304</v>
      </c>
      <c r="D1124" s="105">
        <v>0.0</v>
      </c>
      <c r="E1124" s="105">
        <v>0.0</v>
      </c>
      <c r="F1124" s="105">
        <v>0.0</v>
      </c>
      <c r="G1124" s="105">
        <v>8.0</v>
      </c>
      <c r="H1124" s="105">
        <v>0.0</v>
      </c>
      <c r="I1124" s="101"/>
      <c r="J1124" s="101"/>
      <c r="K1124" s="101"/>
      <c r="L1124" s="101"/>
      <c r="M1124" s="101"/>
      <c r="N1124" s="101"/>
      <c r="O1124" s="101"/>
      <c r="P1124" s="101"/>
      <c r="Q1124" s="101"/>
      <c r="R1124" s="101"/>
      <c r="S1124" s="101"/>
      <c r="T1124" s="101"/>
      <c r="U1124" s="101"/>
      <c r="V1124" s="101"/>
      <c r="W1124" s="101"/>
      <c r="X1124" s="101"/>
      <c r="Y1124" s="101"/>
      <c r="Z1124" s="101"/>
    </row>
    <row r="1125">
      <c r="A1125" s="103">
        <v>1123.0</v>
      </c>
      <c r="B1125" s="104" t="s">
        <v>2323</v>
      </c>
      <c r="C1125" s="104" t="s">
        <v>2304</v>
      </c>
      <c r="D1125" s="103">
        <v>0.0</v>
      </c>
      <c r="E1125" s="103">
        <v>0.0</v>
      </c>
      <c r="F1125" s="103">
        <v>0.0</v>
      </c>
      <c r="G1125" s="103">
        <v>8.0</v>
      </c>
      <c r="H1125" s="103">
        <v>0.0</v>
      </c>
      <c r="I1125" s="101"/>
      <c r="J1125" s="101"/>
      <c r="K1125" s="101"/>
      <c r="L1125" s="101"/>
      <c r="M1125" s="101"/>
      <c r="N1125" s="101"/>
      <c r="O1125" s="101"/>
      <c r="P1125" s="101"/>
      <c r="Q1125" s="101"/>
      <c r="R1125" s="101"/>
      <c r="S1125" s="101"/>
      <c r="T1125" s="101"/>
      <c r="U1125" s="101"/>
      <c r="V1125" s="101"/>
      <c r="W1125" s="101"/>
      <c r="X1125" s="101"/>
      <c r="Y1125" s="101"/>
      <c r="Z1125" s="101"/>
    </row>
    <row r="1126">
      <c r="A1126" s="105">
        <v>1124.0</v>
      </c>
      <c r="B1126" s="106" t="s">
        <v>2324</v>
      </c>
      <c r="C1126" s="106" t="s">
        <v>2304</v>
      </c>
      <c r="D1126" s="105">
        <v>0.0</v>
      </c>
      <c r="E1126" s="105">
        <v>0.0</v>
      </c>
      <c r="F1126" s="105">
        <v>0.0</v>
      </c>
      <c r="G1126" s="105">
        <v>8.0</v>
      </c>
      <c r="H1126" s="105">
        <v>0.0</v>
      </c>
      <c r="I1126" s="101"/>
      <c r="J1126" s="101"/>
      <c r="K1126" s="101"/>
      <c r="L1126" s="101"/>
      <c r="M1126" s="101"/>
      <c r="N1126" s="101"/>
      <c r="O1126" s="101"/>
      <c r="P1126" s="101"/>
      <c r="Q1126" s="101"/>
      <c r="R1126" s="101"/>
      <c r="S1126" s="101"/>
      <c r="T1126" s="101"/>
      <c r="U1126" s="101"/>
      <c r="V1126" s="101"/>
      <c r="W1126" s="101"/>
      <c r="X1126" s="101"/>
      <c r="Y1126" s="101"/>
      <c r="Z1126" s="101"/>
    </row>
    <row r="1127">
      <c r="A1127" s="103">
        <v>1125.0</v>
      </c>
      <c r="B1127" s="104" t="s">
        <v>2325</v>
      </c>
      <c r="C1127" s="104" t="s">
        <v>2304</v>
      </c>
      <c r="D1127" s="103">
        <v>0.0</v>
      </c>
      <c r="E1127" s="103">
        <v>0.0</v>
      </c>
      <c r="F1127" s="103">
        <v>0.0</v>
      </c>
      <c r="G1127" s="103">
        <v>8.0</v>
      </c>
      <c r="H1127" s="103">
        <v>0.0</v>
      </c>
      <c r="I1127" s="101"/>
      <c r="J1127" s="101"/>
      <c r="K1127" s="101"/>
      <c r="L1127" s="101"/>
      <c r="M1127" s="101"/>
      <c r="N1127" s="101"/>
      <c r="O1127" s="101"/>
      <c r="P1127" s="101"/>
      <c r="Q1127" s="101"/>
      <c r="R1127" s="101"/>
      <c r="S1127" s="101"/>
      <c r="T1127" s="101"/>
      <c r="U1127" s="101"/>
      <c r="V1127" s="101"/>
      <c r="W1127" s="101"/>
      <c r="X1127" s="101"/>
      <c r="Y1127" s="101"/>
      <c r="Z1127" s="101"/>
    </row>
    <row r="1128">
      <c r="A1128" s="105">
        <v>1126.0</v>
      </c>
      <c r="B1128" s="106" t="s">
        <v>2326</v>
      </c>
      <c r="C1128" s="106" t="s">
        <v>2304</v>
      </c>
      <c r="D1128" s="105">
        <v>0.0</v>
      </c>
      <c r="E1128" s="105">
        <v>0.0</v>
      </c>
      <c r="F1128" s="105">
        <v>0.0</v>
      </c>
      <c r="G1128" s="105">
        <v>8.0</v>
      </c>
      <c r="H1128" s="105">
        <v>0.0</v>
      </c>
      <c r="I1128" s="101"/>
      <c r="J1128" s="101"/>
      <c r="K1128" s="101"/>
      <c r="L1128" s="101"/>
      <c r="M1128" s="101"/>
      <c r="N1128" s="101"/>
      <c r="O1128" s="101"/>
      <c r="P1128" s="101"/>
      <c r="Q1128" s="101"/>
      <c r="R1128" s="101"/>
      <c r="S1128" s="101"/>
      <c r="T1128" s="101"/>
      <c r="U1128" s="101"/>
      <c r="V1128" s="101"/>
      <c r="W1128" s="101"/>
      <c r="X1128" s="101"/>
      <c r="Y1128" s="101"/>
      <c r="Z1128" s="101"/>
    </row>
    <row r="1129">
      <c r="A1129" s="103">
        <v>1127.0</v>
      </c>
      <c r="B1129" s="104" t="s">
        <v>2327</v>
      </c>
      <c r="C1129" s="104" t="s">
        <v>2304</v>
      </c>
      <c r="D1129" s="103">
        <v>0.0</v>
      </c>
      <c r="E1129" s="103">
        <v>0.0</v>
      </c>
      <c r="F1129" s="103">
        <v>0.0</v>
      </c>
      <c r="G1129" s="103">
        <v>8.0</v>
      </c>
      <c r="H1129" s="103">
        <v>0.0</v>
      </c>
      <c r="I1129" s="101"/>
      <c r="J1129" s="101"/>
      <c r="K1129" s="101"/>
      <c r="L1129" s="101"/>
      <c r="M1129" s="101"/>
      <c r="N1129" s="101"/>
      <c r="O1129" s="101"/>
      <c r="P1129" s="101"/>
      <c r="Q1129" s="101"/>
      <c r="R1129" s="101"/>
      <c r="S1129" s="101"/>
      <c r="T1129" s="101"/>
      <c r="U1129" s="101"/>
      <c r="V1129" s="101"/>
      <c r="W1129" s="101"/>
      <c r="X1129" s="101"/>
      <c r="Y1129" s="101"/>
      <c r="Z1129" s="101"/>
    </row>
    <row r="1130">
      <c r="A1130" s="105">
        <v>1128.0</v>
      </c>
      <c r="B1130" s="106" t="s">
        <v>2328</v>
      </c>
      <c r="C1130" s="106" t="s">
        <v>2304</v>
      </c>
      <c r="D1130" s="105">
        <v>0.0</v>
      </c>
      <c r="E1130" s="105">
        <v>0.0</v>
      </c>
      <c r="F1130" s="105">
        <v>0.0</v>
      </c>
      <c r="G1130" s="105">
        <v>8.0</v>
      </c>
      <c r="H1130" s="105">
        <v>0.0</v>
      </c>
      <c r="I1130" s="101"/>
      <c r="J1130" s="101"/>
      <c r="K1130" s="101"/>
      <c r="L1130" s="101"/>
      <c r="M1130" s="101"/>
      <c r="N1130" s="101"/>
      <c r="O1130" s="101"/>
      <c r="P1130" s="101"/>
      <c r="Q1130" s="101"/>
      <c r="R1130" s="101"/>
      <c r="S1130" s="101"/>
      <c r="T1130" s="101"/>
      <c r="U1130" s="101"/>
      <c r="V1130" s="101"/>
      <c r="W1130" s="101"/>
      <c r="X1130" s="101"/>
      <c r="Y1130" s="101"/>
      <c r="Z1130" s="101"/>
    </row>
    <row r="1131">
      <c r="A1131" s="103">
        <v>1129.0</v>
      </c>
      <c r="B1131" s="104" t="s">
        <v>2329</v>
      </c>
      <c r="C1131" s="104" t="s">
        <v>2304</v>
      </c>
      <c r="D1131" s="103">
        <v>0.0</v>
      </c>
      <c r="E1131" s="103">
        <v>0.0</v>
      </c>
      <c r="F1131" s="103">
        <v>0.0</v>
      </c>
      <c r="G1131" s="103">
        <v>8.0</v>
      </c>
      <c r="H1131" s="103">
        <v>0.0</v>
      </c>
      <c r="I1131" s="101"/>
      <c r="J1131" s="101"/>
      <c r="K1131" s="101"/>
      <c r="L1131" s="101"/>
      <c r="M1131" s="101"/>
      <c r="N1131" s="101"/>
      <c r="O1131" s="101"/>
      <c r="P1131" s="101"/>
      <c r="Q1131" s="101"/>
      <c r="R1131" s="101"/>
      <c r="S1131" s="101"/>
      <c r="T1131" s="101"/>
      <c r="U1131" s="101"/>
      <c r="V1131" s="101"/>
      <c r="W1131" s="101"/>
      <c r="X1131" s="101"/>
      <c r="Y1131" s="101"/>
      <c r="Z1131" s="101"/>
    </row>
    <row r="1132">
      <c r="A1132" s="105">
        <v>1130.0</v>
      </c>
      <c r="B1132" s="106" t="s">
        <v>2330</v>
      </c>
      <c r="C1132" s="106" t="s">
        <v>2304</v>
      </c>
      <c r="D1132" s="105">
        <v>0.0</v>
      </c>
      <c r="E1132" s="105">
        <v>0.0</v>
      </c>
      <c r="F1132" s="105">
        <v>0.0</v>
      </c>
      <c r="G1132" s="105">
        <v>8.0</v>
      </c>
      <c r="H1132" s="105">
        <v>0.0</v>
      </c>
      <c r="I1132" s="101"/>
      <c r="J1132" s="101"/>
      <c r="K1132" s="101"/>
      <c r="L1132" s="101"/>
      <c r="M1132" s="101"/>
      <c r="N1132" s="101"/>
      <c r="O1132" s="101"/>
      <c r="P1132" s="101"/>
      <c r="Q1132" s="101"/>
      <c r="R1132" s="101"/>
      <c r="S1132" s="101"/>
      <c r="T1132" s="101"/>
      <c r="U1132" s="101"/>
      <c r="V1132" s="101"/>
      <c r="W1132" s="101"/>
      <c r="X1132" s="101"/>
      <c r="Y1132" s="101"/>
      <c r="Z1132" s="101"/>
    </row>
    <row r="1133">
      <c r="A1133" s="103">
        <v>1131.0</v>
      </c>
      <c r="B1133" s="104" t="s">
        <v>2331</v>
      </c>
      <c r="C1133" s="104" t="s">
        <v>2304</v>
      </c>
      <c r="D1133" s="103">
        <v>0.0</v>
      </c>
      <c r="E1133" s="103">
        <v>0.0</v>
      </c>
      <c r="F1133" s="103">
        <v>0.0</v>
      </c>
      <c r="G1133" s="103">
        <v>8.0</v>
      </c>
      <c r="H1133" s="103">
        <v>0.0</v>
      </c>
      <c r="I1133" s="101"/>
      <c r="J1133" s="101"/>
      <c r="K1133" s="101"/>
      <c r="L1133" s="101"/>
      <c r="M1133" s="101"/>
      <c r="N1133" s="101"/>
      <c r="O1133" s="101"/>
      <c r="P1133" s="101"/>
      <c r="Q1133" s="101"/>
      <c r="R1133" s="101"/>
      <c r="S1133" s="101"/>
      <c r="T1133" s="101"/>
      <c r="U1133" s="101"/>
      <c r="V1133" s="101"/>
      <c r="W1133" s="101"/>
      <c r="X1133" s="101"/>
      <c r="Y1133" s="101"/>
      <c r="Z1133" s="101"/>
    </row>
    <row r="1134">
      <c r="A1134" s="105">
        <v>1132.0</v>
      </c>
      <c r="B1134" s="106" t="s">
        <v>2332</v>
      </c>
      <c r="C1134" s="106" t="s">
        <v>2304</v>
      </c>
      <c r="D1134" s="105">
        <v>0.0</v>
      </c>
      <c r="E1134" s="105">
        <v>0.0</v>
      </c>
      <c r="F1134" s="105">
        <v>0.0</v>
      </c>
      <c r="G1134" s="105">
        <v>8.0</v>
      </c>
      <c r="H1134" s="105">
        <v>0.0</v>
      </c>
      <c r="I1134" s="101"/>
      <c r="J1134" s="101"/>
      <c r="K1134" s="101"/>
      <c r="L1134" s="101"/>
      <c r="M1134" s="101"/>
      <c r="N1134" s="101"/>
      <c r="O1134" s="101"/>
      <c r="P1134" s="101"/>
      <c r="Q1134" s="101"/>
      <c r="R1134" s="101"/>
      <c r="S1134" s="101"/>
      <c r="T1134" s="101"/>
      <c r="U1134" s="101"/>
      <c r="V1134" s="101"/>
      <c r="W1134" s="101"/>
      <c r="X1134" s="101"/>
      <c r="Y1134" s="101"/>
      <c r="Z1134" s="101"/>
    </row>
    <row r="1135">
      <c r="A1135" s="103">
        <v>1133.0</v>
      </c>
      <c r="B1135" s="104" t="s">
        <v>2333</v>
      </c>
      <c r="C1135" s="104" t="s">
        <v>2304</v>
      </c>
      <c r="D1135" s="103">
        <v>0.0</v>
      </c>
      <c r="E1135" s="103">
        <v>0.0</v>
      </c>
      <c r="F1135" s="103">
        <v>0.0</v>
      </c>
      <c r="G1135" s="103">
        <v>8.0</v>
      </c>
      <c r="H1135" s="103">
        <v>0.0</v>
      </c>
      <c r="I1135" s="101"/>
      <c r="J1135" s="101"/>
      <c r="K1135" s="101"/>
      <c r="L1135" s="101"/>
      <c r="M1135" s="101"/>
      <c r="N1135" s="101"/>
      <c r="O1135" s="101"/>
      <c r="P1135" s="101"/>
      <c r="Q1135" s="101"/>
      <c r="R1135" s="101"/>
      <c r="S1135" s="101"/>
      <c r="T1135" s="101"/>
      <c r="U1135" s="101"/>
      <c r="V1135" s="101"/>
      <c r="W1135" s="101"/>
      <c r="X1135" s="101"/>
      <c r="Y1135" s="101"/>
      <c r="Z1135" s="101"/>
    </row>
    <row r="1136">
      <c r="A1136" s="105">
        <v>1134.0</v>
      </c>
      <c r="B1136" s="106" t="s">
        <v>2334</v>
      </c>
      <c r="C1136" s="106" t="s">
        <v>2304</v>
      </c>
      <c r="D1136" s="105">
        <v>0.0</v>
      </c>
      <c r="E1136" s="105">
        <v>0.0</v>
      </c>
      <c r="F1136" s="105">
        <v>0.0</v>
      </c>
      <c r="G1136" s="105">
        <v>8.0</v>
      </c>
      <c r="H1136" s="105">
        <v>0.0</v>
      </c>
      <c r="I1136" s="101"/>
      <c r="J1136" s="101"/>
      <c r="K1136" s="101"/>
      <c r="L1136" s="101"/>
      <c r="M1136" s="101"/>
      <c r="N1136" s="101"/>
      <c r="O1136" s="101"/>
      <c r="P1136" s="101"/>
      <c r="Q1136" s="101"/>
      <c r="R1136" s="101"/>
      <c r="S1136" s="101"/>
      <c r="T1136" s="101"/>
      <c r="U1136" s="101"/>
      <c r="V1136" s="101"/>
      <c r="W1136" s="101"/>
      <c r="X1136" s="101"/>
      <c r="Y1136" s="101"/>
      <c r="Z1136" s="101"/>
    </row>
    <row r="1137">
      <c r="A1137" s="103">
        <v>1135.0</v>
      </c>
      <c r="B1137" s="104" t="s">
        <v>2335</v>
      </c>
      <c r="C1137" s="104" t="s">
        <v>2304</v>
      </c>
      <c r="D1137" s="103">
        <v>0.0</v>
      </c>
      <c r="E1137" s="103">
        <v>0.0</v>
      </c>
      <c r="F1137" s="103">
        <v>0.0</v>
      </c>
      <c r="G1137" s="103">
        <v>8.0</v>
      </c>
      <c r="H1137" s="103">
        <v>0.0</v>
      </c>
      <c r="I1137" s="101"/>
      <c r="J1137" s="101"/>
      <c r="K1137" s="101"/>
      <c r="L1137" s="101"/>
      <c r="M1137" s="101"/>
      <c r="N1137" s="101"/>
      <c r="O1137" s="101"/>
      <c r="P1137" s="101"/>
      <c r="Q1137" s="101"/>
      <c r="R1137" s="101"/>
      <c r="S1137" s="101"/>
      <c r="T1137" s="101"/>
      <c r="U1137" s="101"/>
      <c r="V1137" s="101"/>
      <c r="W1137" s="101"/>
      <c r="X1137" s="101"/>
      <c r="Y1137" s="101"/>
      <c r="Z1137" s="101"/>
    </row>
    <row r="1138">
      <c r="A1138" s="105">
        <v>1136.0</v>
      </c>
      <c r="B1138" s="106" t="s">
        <v>2336</v>
      </c>
      <c r="C1138" s="106" t="s">
        <v>2304</v>
      </c>
      <c r="D1138" s="105">
        <v>0.0</v>
      </c>
      <c r="E1138" s="105">
        <v>0.0</v>
      </c>
      <c r="F1138" s="105">
        <v>0.0</v>
      </c>
      <c r="G1138" s="105">
        <v>8.0</v>
      </c>
      <c r="H1138" s="105">
        <v>0.0</v>
      </c>
      <c r="I1138" s="101"/>
      <c r="J1138" s="101"/>
      <c r="K1138" s="101"/>
      <c r="L1138" s="101"/>
      <c r="M1138" s="101"/>
      <c r="N1138" s="101"/>
      <c r="O1138" s="101"/>
      <c r="P1138" s="101"/>
      <c r="Q1138" s="101"/>
      <c r="R1138" s="101"/>
      <c r="S1138" s="101"/>
      <c r="T1138" s="101"/>
      <c r="U1138" s="101"/>
      <c r="V1138" s="101"/>
      <c r="W1138" s="101"/>
      <c r="X1138" s="101"/>
      <c r="Y1138" s="101"/>
      <c r="Z1138" s="101"/>
    </row>
    <row r="1139">
      <c r="A1139" s="103">
        <v>1137.0</v>
      </c>
      <c r="B1139" s="104" t="s">
        <v>2337</v>
      </c>
      <c r="C1139" s="104" t="s">
        <v>2304</v>
      </c>
      <c r="D1139" s="103">
        <v>0.0</v>
      </c>
      <c r="E1139" s="103">
        <v>0.0</v>
      </c>
      <c r="F1139" s="103">
        <v>0.0</v>
      </c>
      <c r="G1139" s="103">
        <v>8.0</v>
      </c>
      <c r="H1139" s="103">
        <v>0.0</v>
      </c>
      <c r="I1139" s="101"/>
      <c r="J1139" s="101"/>
      <c r="K1139" s="101"/>
      <c r="L1139" s="101"/>
      <c r="M1139" s="101"/>
      <c r="N1139" s="101"/>
      <c r="O1139" s="101"/>
      <c r="P1139" s="101"/>
      <c r="Q1139" s="101"/>
      <c r="R1139" s="101"/>
      <c r="S1139" s="101"/>
      <c r="T1139" s="101"/>
      <c r="U1139" s="101"/>
      <c r="V1139" s="101"/>
      <c r="W1139" s="101"/>
      <c r="X1139" s="101"/>
      <c r="Y1139" s="101"/>
      <c r="Z1139" s="101"/>
    </row>
    <row r="1140">
      <c r="A1140" s="105">
        <v>1138.0</v>
      </c>
      <c r="B1140" s="106" t="s">
        <v>2338</v>
      </c>
      <c r="C1140" s="106" t="s">
        <v>2304</v>
      </c>
      <c r="D1140" s="105">
        <v>0.0</v>
      </c>
      <c r="E1140" s="105">
        <v>0.0</v>
      </c>
      <c r="F1140" s="105">
        <v>0.0</v>
      </c>
      <c r="G1140" s="105">
        <v>8.0</v>
      </c>
      <c r="H1140" s="105">
        <v>0.0</v>
      </c>
      <c r="I1140" s="101"/>
      <c r="J1140" s="101"/>
      <c r="K1140" s="101"/>
      <c r="L1140" s="101"/>
      <c r="M1140" s="101"/>
      <c r="N1140" s="101"/>
      <c r="O1140" s="101"/>
      <c r="P1140" s="101"/>
      <c r="Q1140" s="101"/>
      <c r="R1140" s="101"/>
      <c r="S1140" s="101"/>
      <c r="T1140" s="101"/>
      <c r="U1140" s="101"/>
      <c r="V1140" s="101"/>
      <c r="W1140" s="101"/>
      <c r="X1140" s="101"/>
      <c r="Y1140" s="101"/>
      <c r="Z1140" s="101"/>
    </row>
    <row r="1141">
      <c r="A1141" s="103">
        <v>1139.0</v>
      </c>
      <c r="B1141" s="104" t="s">
        <v>2339</v>
      </c>
      <c r="C1141" s="104" t="s">
        <v>2340</v>
      </c>
      <c r="D1141" s="103">
        <v>0.0</v>
      </c>
      <c r="E1141" s="103">
        <v>0.0</v>
      </c>
      <c r="F1141" s="103">
        <v>0.0</v>
      </c>
      <c r="G1141" s="103">
        <v>8.0</v>
      </c>
      <c r="H1141" s="103">
        <v>0.0</v>
      </c>
      <c r="I1141" s="101"/>
      <c r="J1141" s="101"/>
      <c r="K1141" s="101"/>
      <c r="L1141" s="101"/>
      <c r="M1141" s="101"/>
      <c r="N1141" s="101"/>
      <c r="O1141" s="101"/>
      <c r="P1141" s="101"/>
      <c r="Q1141" s="101"/>
      <c r="R1141" s="101"/>
      <c r="S1141" s="101"/>
      <c r="T1141" s="101"/>
      <c r="U1141" s="101"/>
      <c r="V1141" s="101"/>
      <c r="W1141" s="101"/>
      <c r="X1141" s="101"/>
      <c r="Y1141" s="101"/>
      <c r="Z1141" s="101"/>
    </row>
    <row r="1142">
      <c r="A1142" s="105">
        <v>1140.0</v>
      </c>
      <c r="B1142" s="106" t="s">
        <v>2341</v>
      </c>
      <c r="C1142" s="106" t="s">
        <v>2340</v>
      </c>
      <c r="D1142" s="105">
        <v>0.0</v>
      </c>
      <c r="E1142" s="105">
        <v>0.0</v>
      </c>
      <c r="F1142" s="105">
        <v>0.0</v>
      </c>
      <c r="G1142" s="105">
        <v>8.0</v>
      </c>
      <c r="H1142" s="105">
        <v>0.0</v>
      </c>
      <c r="I1142" s="101"/>
      <c r="J1142" s="101"/>
      <c r="K1142" s="101"/>
      <c r="L1142" s="101"/>
      <c r="M1142" s="101"/>
      <c r="N1142" s="101"/>
      <c r="O1142" s="101"/>
      <c r="P1142" s="101"/>
      <c r="Q1142" s="101"/>
      <c r="R1142" s="101"/>
      <c r="S1142" s="101"/>
      <c r="T1142" s="101"/>
      <c r="U1142" s="101"/>
      <c r="V1142" s="101"/>
      <c r="W1142" s="101"/>
      <c r="X1142" s="101"/>
      <c r="Y1142" s="101"/>
      <c r="Z1142" s="101"/>
    </row>
    <row r="1143">
      <c r="A1143" s="103">
        <v>1141.0</v>
      </c>
      <c r="B1143" s="104" t="s">
        <v>2342</v>
      </c>
      <c r="C1143" s="104" t="s">
        <v>2340</v>
      </c>
      <c r="D1143" s="103">
        <v>0.0</v>
      </c>
      <c r="E1143" s="103">
        <v>0.0</v>
      </c>
      <c r="F1143" s="103">
        <v>0.0</v>
      </c>
      <c r="G1143" s="103">
        <v>8.0</v>
      </c>
      <c r="H1143" s="103">
        <v>0.0</v>
      </c>
      <c r="I1143" s="101"/>
      <c r="J1143" s="101"/>
      <c r="K1143" s="101"/>
      <c r="L1143" s="101"/>
      <c r="M1143" s="101"/>
      <c r="N1143" s="101"/>
      <c r="O1143" s="101"/>
      <c r="P1143" s="101"/>
      <c r="Q1143" s="101"/>
      <c r="R1143" s="101"/>
      <c r="S1143" s="101"/>
      <c r="T1143" s="101"/>
      <c r="U1143" s="101"/>
      <c r="V1143" s="101"/>
      <c r="W1143" s="101"/>
      <c r="X1143" s="101"/>
      <c r="Y1143" s="101"/>
      <c r="Z1143" s="101"/>
    </row>
    <row r="1144">
      <c r="A1144" s="105">
        <v>1142.0</v>
      </c>
      <c r="B1144" s="106" t="s">
        <v>2343</v>
      </c>
      <c r="C1144" s="106" t="s">
        <v>2340</v>
      </c>
      <c r="D1144" s="105">
        <v>0.0</v>
      </c>
      <c r="E1144" s="105">
        <v>0.0</v>
      </c>
      <c r="F1144" s="105">
        <v>0.0</v>
      </c>
      <c r="G1144" s="105">
        <v>8.0</v>
      </c>
      <c r="H1144" s="105">
        <v>0.0</v>
      </c>
      <c r="I1144" s="101"/>
      <c r="J1144" s="101"/>
      <c r="K1144" s="101"/>
      <c r="L1144" s="101"/>
      <c r="M1144" s="101"/>
      <c r="N1144" s="101"/>
      <c r="O1144" s="101"/>
      <c r="P1144" s="101"/>
      <c r="Q1144" s="101"/>
      <c r="R1144" s="101"/>
      <c r="S1144" s="101"/>
      <c r="T1144" s="101"/>
      <c r="U1144" s="101"/>
      <c r="V1144" s="101"/>
      <c r="W1144" s="101"/>
      <c r="X1144" s="101"/>
      <c r="Y1144" s="101"/>
      <c r="Z1144" s="101"/>
    </row>
    <row r="1145">
      <c r="A1145" s="103">
        <v>1143.0</v>
      </c>
      <c r="B1145" s="104" t="s">
        <v>2344</v>
      </c>
      <c r="C1145" s="104" t="s">
        <v>2340</v>
      </c>
      <c r="D1145" s="103">
        <v>0.0</v>
      </c>
      <c r="E1145" s="103">
        <v>0.0</v>
      </c>
      <c r="F1145" s="103">
        <v>0.0</v>
      </c>
      <c r="G1145" s="103">
        <v>8.0</v>
      </c>
      <c r="H1145" s="103">
        <v>0.0</v>
      </c>
      <c r="I1145" s="101"/>
      <c r="J1145" s="101"/>
      <c r="K1145" s="101"/>
      <c r="L1145" s="101"/>
      <c r="M1145" s="101"/>
      <c r="N1145" s="101"/>
      <c r="O1145" s="101"/>
      <c r="P1145" s="101"/>
      <c r="Q1145" s="101"/>
      <c r="R1145" s="101"/>
      <c r="S1145" s="101"/>
      <c r="T1145" s="101"/>
      <c r="U1145" s="101"/>
      <c r="V1145" s="101"/>
      <c r="W1145" s="101"/>
      <c r="X1145" s="101"/>
      <c r="Y1145" s="101"/>
      <c r="Z1145" s="101"/>
    </row>
    <row r="1146">
      <c r="A1146" s="105">
        <v>1144.0</v>
      </c>
      <c r="B1146" s="106" t="s">
        <v>2345</v>
      </c>
      <c r="C1146" s="106" t="s">
        <v>2340</v>
      </c>
      <c r="D1146" s="105">
        <v>0.0</v>
      </c>
      <c r="E1146" s="105">
        <v>0.0</v>
      </c>
      <c r="F1146" s="105">
        <v>0.0</v>
      </c>
      <c r="G1146" s="105">
        <v>8.0</v>
      </c>
      <c r="H1146" s="105">
        <v>0.0</v>
      </c>
      <c r="I1146" s="101"/>
      <c r="J1146" s="101"/>
      <c r="K1146" s="101"/>
      <c r="L1146" s="101"/>
      <c r="M1146" s="101"/>
      <c r="N1146" s="101"/>
      <c r="O1146" s="101"/>
      <c r="P1146" s="101"/>
      <c r="Q1146" s="101"/>
      <c r="R1146" s="101"/>
      <c r="S1146" s="101"/>
      <c r="T1146" s="101"/>
      <c r="U1146" s="101"/>
      <c r="V1146" s="101"/>
      <c r="W1146" s="101"/>
      <c r="X1146" s="101"/>
      <c r="Y1146" s="101"/>
      <c r="Z1146" s="101"/>
    </row>
    <row r="1147">
      <c r="A1147" s="103">
        <v>1145.0</v>
      </c>
      <c r="B1147" s="104" t="s">
        <v>2346</v>
      </c>
      <c r="C1147" s="104" t="s">
        <v>2340</v>
      </c>
      <c r="D1147" s="103">
        <v>0.0</v>
      </c>
      <c r="E1147" s="103">
        <v>0.0</v>
      </c>
      <c r="F1147" s="103">
        <v>0.0</v>
      </c>
      <c r="G1147" s="103">
        <v>8.0</v>
      </c>
      <c r="H1147" s="103">
        <v>0.0</v>
      </c>
      <c r="I1147" s="101"/>
      <c r="J1147" s="101"/>
      <c r="K1147" s="101"/>
      <c r="L1147" s="101"/>
      <c r="M1147" s="101"/>
      <c r="N1147" s="101"/>
      <c r="O1147" s="101"/>
      <c r="P1147" s="101"/>
      <c r="Q1147" s="101"/>
      <c r="R1147" s="101"/>
      <c r="S1147" s="101"/>
      <c r="T1147" s="101"/>
      <c r="U1147" s="101"/>
      <c r="V1147" s="101"/>
      <c r="W1147" s="101"/>
      <c r="X1147" s="101"/>
      <c r="Y1147" s="101"/>
      <c r="Z1147" s="101"/>
    </row>
    <row r="1148">
      <c r="A1148" s="105">
        <v>1146.0</v>
      </c>
      <c r="B1148" s="106" t="s">
        <v>2347</v>
      </c>
      <c r="C1148" s="106" t="s">
        <v>2340</v>
      </c>
      <c r="D1148" s="105">
        <v>0.0</v>
      </c>
      <c r="E1148" s="105">
        <v>0.0</v>
      </c>
      <c r="F1148" s="105">
        <v>0.0</v>
      </c>
      <c r="G1148" s="105">
        <v>8.0</v>
      </c>
      <c r="H1148" s="105">
        <v>0.0</v>
      </c>
      <c r="I1148" s="101"/>
      <c r="J1148" s="101"/>
      <c r="K1148" s="101"/>
      <c r="L1148" s="101"/>
      <c r="M1148" s="101"/>
      <c r="N1148" s="101"/>
      <c r="O1148" s="101"/>
      <c r="P1148" s="101"/>
      <c r="Q1148" s="101"/>
      <c r="R1148" s="101"/>
      <c r="S1148" s="101"/>
      <c r="T1148" s="101"/>
      <c r="U1148" s="101"/>
      <c r="V1148" s="101"/>
      <c r="W1148" s="101"/>
      <c r="X1148" s="101"/>
      <c r="Y1148" s="101"/>
      <c r="Z1148" s="101"/>
    </row>
    <row r="1149">
      <c r="A1149" s="103">
        <v>1147.0</v>
      </c>
      <c r="B1149" s="104" t="s">
        <v>2348</v>
      </c>
      <c r="C1149" s="104" t="s">
        <v>2340</v>
      </c>
      <c r="D1149" s="103">
        <v>0.0</v>
      </c>
      <c r="E1149" s="103">
        <v>0.0</v>
      </c>
      <c r="F1149" s="103">
        <v>0.0</v>
      </c>
      <c r="G1149" s="103">
        <v>8.0</v>
      </c>
      <c r="H1149" s="103">
        <v>0.0</v>
      </c>
      <c r="I1149" s="101"/>
      <c r="J1149" s="101"/>
      <c r="K1149" s="101"/>
      <c r="L1149" s="101"/>
      <c r="M1149" s="101"/>
      <c r="N1149" s="101"/>
      <c r="O1149" s="101"/>
      <c r="P1149" s="101"/>
      <c r="Q1149" s="101"/>
      <c r="R1149" s="101"/>
      <c r="S1149" s="101"/>
      <c r="T1149" s="101"/>
      <c r="U1149" s="101"/>
      <c r="V1149" s="101"/>
      <c r="W1149" s="101"/>
      <c r="X1149" s="101"/>
      <c r="Y1149" s="101"/>
      <c r="Z1149" s="101"/>
    </row>
    <row r="1150">
      <c r="A1150" s="105">
        <v>1148.0</v>
      </c>
      <c r="B1150" s="106" t="s">
        <v>2349</v>
      </c>
      <c r="C1150" s="106" t="s">
        <v>2340</v>
      </c>
      <c r="D1150" s="105">
        <v>0.0</v>
      </c>
      <c r="E1150" s="105">
        <v>0.0</v>
      </c>
      <c r="F1150" s="105">
        <v>0.0</v>
      </c>
      <c r="G1150" s="105">
        <v>8.0</v>
      </c>
      <c r="H1150" s="105">
        <v>0.0</v>
      </c>
      <c r="I1150" s="101"/>
      <c r="J1150" s="101"/>
      <c r="K1150" s="101"/>
      <c r="L1150" s="101"/>
      <c r="M1150" s="101"/>
      <c r="N1150" s="101"/>
      <c r="O1150" s="101"/>
      <c r="P1150" s="101"/>
      <c r="Q1150" s="101"/>
      <c r="R1150" s="101"/>
      <c r="S1150" s="101"/>
      <c r="T1150" s="101"/>
      <c r="U1150" s="101"/>
      <c r="V1150" s="101"/>
      <c r="W1150" s="101"/>
      <c r="X1150" s="101"/>
      <c r="Y1150" s="101"/>
      <c r="Z1150" s="101"/>
    </row>
    <row r="1151">
      <c r="A1151" s="103">
        <v>1149.0</v>
      </c>
      <c r="B1151" s="104" t="s">
        <v>2350</v>
      </c>
      <c r="C1151" s="104" t="s">
        <v>2340</v>
      </c>
      <c r="D1151" s="103">
        <v>0.0</v>
      </c>
      <c r="E1151" s="103">
        <v>0.0</v>
      </c>
      <c r="F1151" s="103">
        <v>0.0</v>
      </c>
      <c r="G1151" s="103">
        <v>8.0</v>
      </c>
      <c r="H1151" s="103">
        <v>0.0</v>
      </c>
      <c r="I1151" s="101"/>
      <c r="J1151" s="101"/>
      <c r="K1151" s="101"/>
      <c r="L1151" s="101"/>
      <c r="M1151" s="101"/>
      <c r="N1151" s="101"/>
      <c r="O1151" s="101"/>
      <c r="P1151" s="101"/>
      <c r="Q1151" s="101"/>
      <c r="R1151" s="101"/>
      <c r="S1151" s="101"/>
      <c r="T1151" s="101"/>
      <c r="U1151" s="101"/>
      <c r="V1151" s="101"/>
      <c r="W1151" s="101"/>
      <c r="X1151" s="101"/>
      <c r="Y1151" s="101"/>
      <c r="Z1151" s="101"/>
    </row>
    <row r="1152">
      <c r="A1152" s="105">
        <v>1150.0</v>
      </c>
      <c r="B1152" s="106" t="s">
        <v>2351</v>
      </c>
      <c r="C1152" s="106" t="s">
        <v>2340</v>
      </c>
      <c r="D1152" s="105">
        <v>0.0</v>
      </c>
      <c r="E1152" s="105">
        <v>0.0</v>
      </c>
      <c r="F1152" s="105">
        <v>0.0</v>
      </c>
      <c r="G1152" s="105">
        <v>8.0</v>
      </c>
      <c r="H1152" s="105">
        <v>0.0</v>
      </c>
      <c r="I1152" s="101"/>
      <c r="J1152" s="101"/>
      <c r="K1152" s="101"/>
      <c r="L1152" s="101"/>
      <c r="M1152" s="101"/>
      <c r="N1152" s="101"/>
      <c r="O1152" s="101"/>
      <c r="P1152" s="101"/>
      <c r="Q1152" s="101"/>
      <c r="R1152" s="101"/>
      <c r="S1152" s="101"/>
      <c r="T1152" s="101"/>
      <c r="U1152" s="101"/>
      <c r="V1152" s="101"/>
      <c r="W1152" s="101"/>
      <c r="X1152" s="101"/>
      <c r="Y1152" s="101"/>
      <c r="Z1152" s="101"/>
    </row>
    <row r="1153">
      <c r="A1153" s="103">
        <v>1151.0</v>
      </c>
      <c r="B1153" s="104" t="s">
        <v>2352</v>
      </c>
      <c r="C1153" s="104" t="s">
        <v>2340</v>
      </c>
      <c r="D1153" s="103">
        <v>0.0</v>
      </c>
      <c r="E1153" s="103">
        <v>0.0</v>
      </c>
      <c r="F1153" s="103">
        <v>0.0</v>
      </c>
      <c r="G1153" s="103">
        <v>8.0</v>
      </c>
      <c r="H1153" s="103">
        <v>0.0</v>
      </c>
      <c r="I1153" s="101"/>
      <c r="J1153" s="101"/>
      <c r="K1153" s="101"/>
      <c r="L1153" s="101"/>
      <c r="M1153" s="101"/>
      <c r="N1153" s="101"/>
      <c r="O1153" s="101"/>
      <c r="P1153" s="101"/>
      <c r="Q1153" s="101"/>
      <c r="R1153" s="101"/>
      <c r="S1153" s="101"/>
      <c r="T1153" s="101"/>
      <c r="U1153" s="101"/>
      <c r="V1153" s="101"/>
      <c r="W1153" s="101"/>
      <c r="X1153" s="101"/>
      <c r="Y1153" s="101"/>
      <c r="Z1153" s="101"/>
    </row>
    <row r="1154">
      <c r="A1154" s="105">
        <v>1152.0</v>
      </c>
      <c r="B1154" s="106" t="s">
        <v>2353</v>
      </c>
      <c r="C1154" s="106" t="s">
        <v>2340</v>
      </c>
      <c r="D1154" s="105">
        <v>0.0</v>
      </c>
      <c r="E1154" s="105">
        <v>0.0</v>
      </c>
      <c r="F1154" s="105">
        <v>0.0</v>
      </c>
      <c r="G1154" s="105">
        <v>8.0</v>
      </c>
      <c r="H1154" s="105">
        <v>0.0</v>
      </c>
      <c r="I1154" s="101"/>
      <c r="J1154" s="101"/>
      <c r="K1154" s="101"/>
      <c r="L1154" s="101"/>
      <c r="M1154" s="101"/>
      <c r="N1154" s="101"/>
      <c r="O1154" s="101"/>
      <c r="P1154" s="101"/>
      <c r="Q1154" s="101"/>
      <c r="R1154" s="101"/>
      <c r="S1154" s="101"/>
      <c r="T1154" s="101"/>
      <c r="U1154" s="101"/>
      <c r="V1154" s="101"/>
      <c r="W1154" s="101"/>
      <c r="X1154" s="101"/>
      <c r="Y1154" s="101"/>
      <c r="Z1154" s="101"/>
    </row>
    <row r="1155">
      <c r="A1155" s="103">
        <v>1153.0</v>
      </c>
      <c r="B1155" s="104" t="s">
        <v>2354</v>
      </c>
      <c r="C1155" s="104" t="s">
        <v>2340</v>
      </c>
      <c r="D1155" s="103">
        <v>0.0</v>
      </c>
      <c r="E1155" s="103">
        <v>0.0</v>
      </c>
      <c r="F1155" s="103">
        <v>0.0</v>
      </c>
      <c r="G1155" s="103">
        <v>8.0</v>
      </c>
      <c r="H1155" s="103">
        <v>0.0</v>
      </c>
      <c r="I1155" s="101"/>
      <c r="J1155" s="101"/>
      <c r="K1155" s="101"/>
      <c r="L1155" s="101"/>
      <c r="M1155" s="101"/>
      <c r="N1155" s="101"/>
      <c r="O1155" s="101"/>
      <c r="P1155" s="101"/>
      <c r="Q1155" s="101"/>
      <c r="R1155" s="101"/>
      <c r="S1155" s="101"/>
      <c r="T1155" s="101"/>
      <c r="U1155" s="101"/>
      <c r="V1155" s="101"/>
      <c r="W1155" s="101"/>
      <c r="X1155" s="101"/>
      <c r="Y1155" s="101"/>
      <c r="Z1155" s="101"/>
    </row>
    <row r="1156">
      <c r="A1156" s="105">
        <v>1154.0</v>
      </c>
      <c r="B1156" s="106" t="s">
        <v>2355</v>
      </c>
      <c r="C1156" s="106" t="s">
        <v>2340</v>
      </c>
      <c r="D1156" s="105">
        <v>0.0</v>
      </c>
      <c r="E1156" s="105">
        <v>0.0</v>
      </c>
      <c r="F1156" s="105">
        <v>0.0</v>
      </c>
      <c r="G1156" s="105">
        <v>8.0</v>
      </c>
      <c r="H1156" s="105">
        <v>0.0</v>
      </c>
      <c r="I1156" s="101"/>
      <c r="J1156" s="101"/>
      <c r="K1156" s="101"/>
      <c r="L1156" s="101"/>
      <c r="M1156" s="101"/>
      <c r="N1156" s="101"/>
      <c r="O1156" s="101"/>
      <c r="P1156" s="101"/>
      <c r="Q1156" s="101"/>
      <c r="R1156" s="101"/>
      <c r="S1156" s="101"/>
      <c r="T1156" s="101"/>
      <c r="U1156" s="101"/>
      <c r="V1156" s="101"/>
      <c r="W1156" s="101"/>
      <c r="X1156" s="101"/>
      <c r="Y1156" s="101"/>
      <c r="Z1156" s="101"/>
    </row>
    <row r="1157">
      <c r="A1157" s="103">
        <v>1155.0</v>
      </c>
      <c r="B1157" s="104" t="s">
        <v>2356</v>
      </c>
      <c r="C1157" s="104" t="s">
        <v>2340</v>
      </c>
      <c r="D1157" s="103">
        <v>0.0</v>
      </c>
      <c r="E1157" s="103">
        <v>0.0</v>
      </c>
      <c r="F1157" s="103">
        <v>0.0</v>
      </c>
      <c r="G1157" s="103">
        <v>8.0</v>
      </c>
      <c r="H1157" s="103">
        <v>0.0</v>
      </c>
      <c r="I1157" s="101"/>
      <c r="J1157" s="101"/>
      <c r="K1157" s="101"/>
      <c r="L1157" s="101"/>
      <c r="M1157" s="101"/>
      <c r="N1157" s="101"/>
      <c r="O1157" s="101"/>
      <c r="P1157" s="101"/>
      <c r="Q1157" s="101"/>
      <c r="R1157" s="101"/>
      <c r="S1157" s="101"/>
      <c r="T1157" s="101"/>
      <c r="U1157" s="101"/>
      <c r="V1157" s="101"/>
      <c r="W1157" s="101"/>
      <c r="X1157" s="101"/>
      <c r="Y1157" s="101"/>
      <c r="Z1157" s="101"/>
    </row>
    <row r="1158">
      <c r="A1158" s="105">
        <v>1156.0</v>
      </c>
      <c r="B1158" s="106" t="s">
        <v>2357</v>
      </c>
      <c r="C1158" s="106" t="s">
        <v>2340</v>
      </c>
      <c r="D1158" s="105">
        <v>0.0</v>
      </c>
      <c r="E1158" s="105">
        <v>0.0</v>
      </c>
      <c r="F1158" s="105">
        <v>0.0</v>
      </c>
      <c r="G1158" s="105">
        <v>8.0</v>
      </c>
      <c r="H1158" s="105">
        <v>0.0</v>
      </c>
      <c r="I1158" s="101"/>
      <c r="J1158" s="101"/>
      <c r="K1158" s="101"/>
      <c r="L1158" s="101"/>
      <c r="M1158" s="101"/>
      <c r="N1158" s="101"/>
      <c r="O1158" s="101"/>
      <c r="P1158" s="101"/>
      <c r="Q1158" s="101"/>
      <c r="R1158" s="101"/>
      <c r="S1158" s="101"/>
      <c r="T1158" s="101"/>
      <c r="U1158" s="101"/>
      <c r="V1158" s="101"/>
      <c r="W1158" s="101"/>
      <c r="X1158" s="101"/>
      <c r="Y1158" s="101"/>
      <c r="Z1158" s="101"/>
    </row>
    <row r="1159">
      <c r="A1159" s="103">
        <v>1157.0</v>
      </c>
      <c r="B1159" s="104" t="s">
        <v>2358</v>
      </c>
      <c r="C1159" s="104" t="s">
        <v>2340</v>
      </c>
      <c r="D1159" s="103">
        <v>0.0</v>
      </c>
      <c r="E1159" s="103">
        <v>0.0</v>
      </c>
      <c r="F1159" s="103">
        <v>0.0</v>
      </c>
      <c r="G1159" s="103">
        <v>8.0</v>
      </c>
      <c r="H1159" s="103">
        <v>0.0</v>
      </c>
      <c r="I1159" s="101"/>
      <c r="J1159" s="101"/>
      <c r="K1159" s="101"/>
      <c r="L1159" s="101"/>
      <c r="M1159" s="101"/>
      <c r="N1159" s="101"/>
      <c r="O1159" s="101"/>
      <c r="P1159" s="101"/>
      <c r="Q1159" s="101"/>
      <c r="R1159" s="101"/>
      <c r="S1159" s="101"/>
      <c r="T1159" s="101"/>
      <c r="U1159" s="101"/>
      <c r="V1159" s="101"/>
      <c r="W1159" s="101"/>
      <c r="X1159" s="101"/>
      <c r="Y1159" s="101"/>
      <c r="Z1159" s="101"/>
    </row>
    <row r="1160">
      <c r="A1160" s="105">
        <v>1158.0</v>
      </c>
      <c r="B1160" s="106" t="s">
        <v>2359</v>
      </c>
      <c r="C1160" s="106" t="s">
        <v>2340</v>
      </c>
      <c r="D1160" s="105">
        <v>0.0</v>
      </c>
      <c r="E1160" s="105">
        <v>0.0</v>
      </c>
      <c r="F1160" s="105">
        <v>0.0</v>
      </c>
      <c r="G1160" s="105">
        <v>8.0</v>
      </c>
      <c r="H1160" s="105">
        <v>0.0</v>
      </c>
      <c r="I1160" s="101"/>
      <c r="J1160" s="101"/>
      <c r="K1160" s="101"/>
      <c r="L1160" s="101"/>
      <c r="M1160" s="101"/>
      <c r="N1160" s="101"/>
      <c r="O1160" s="101"/>
      <c r="P1160" s="101"/>
      <c r="Q1160" s="101"/>
      <c r="R1160" s="101"/>
      <c r="S1160" s="101"/>
      <c r="T1160" s="101"/>
      <c r="U1160" s="101"/>
      <c r="V1160" s="101"/>
      <c r="W1160" s="101"/>
      <c r="X1160" s="101"/>
      <c r="Y1160" s="101"/>
      <c r="Z1160" s="101"/>
    </row>
    <row r="1161">
      <c r="A1161" s="103">
        <v>1159.0</v>
      </c>
      <c r="B1161" s="104" t="s">
        <v>2360</v>
      </c>
      <c r="C1161" s="104" t="s">
        <v>2340</v>
      </c>
      <c r="D1161" s="103">
        <v>0.0</v>
      </c>
      <c r="E1161" s="103">
        <v>0.0</v>
      </c>
      <c r="F1161" s="103">
        <v>0.0</v>
      </c>
      <c r="G1161" s="103">
        <v>8.0</v>
      </c>
      <c r="H1161" s="103">
        <v>0.0</v>
      </c>
      <c r="I1161" s="101"/>
      <c r="J1161" s="101"/>
      <c r="K1161" s="101"/>
      <c r="L1161" s="101"/>
      <c r="M1161" s="101"/>
      <c r="N1161" s="101"/>
      <c r="O1161" s="101"/>
      <c r="P1161" s="101"/>
      <c r="Q1161" s="101"/>
      <c r="R1161" s="101"/>
      <c r="S1161" s="101"/>
      <c r="T1161" s="101"/>
      <c r="U1161" s="101"/>
      <c r="V1161" s="101"/>
      <c r="W1161" s="101"/>
      <c r="X1161" s="101"/>
      <c r="Y1161" s="101"/>
      <c r="Z1161" s="101"/>
    </row>
    <row r="1162">
      <c r="A1162" s="105">
        <v>1160.0</v>
      </c>
      <c r="B1162" s="106" t="s">
        <v>2361</v>
      </c>
      <c r="C1162" s="106" t="s">
        <v>2340</v>
      </c>
      <c r="D1162" s="105">
        <v>0.0</v>
      </c>
      <c r="E1162" s="105">
        <v>0.0</v>
      </c>
      <c r="F1162" s="105">
        <v>0.0</v>
      </c>
      <c r="G1162" s="105">
        <v>8.0</v>
      </c>
      <c r="H1162" s="105">
        <v>0.0</v>
      </c>
      <c r="I1162" s="101"/>
      <c r="J1162" s="101"/>
      <c r="K1162" s="101"/>
      <c r="L1162" s="101"/>
      <c r="M1162" s="101"/>
      <c r="N1162" s="101"/>
      <c r="O1162" s="101"/>
      <c r="P1162" s="101"/>
      <c r="Q1162" s="101"/>
      <c r="R1162" s="101"/>
      <c r="S1162" s="101"/>
      <c r="T1162" s="101"/>
      <c r="U1162" s="101"/>
      <c r="V1162" s="101"/>
      <c r="W1162" s="101"/>
      <c r="X1162" s="101"/>
      <c r="Y1162" s="101"/>
      <c r="Z1162" s="101"/>
    </row>
    <row r="1163">
      <c r="A1163" s="103">
        <v>1161.0</v>
      </c>
      <c r="B1163" s="104" t="s">
        <v>2362</v>
      </c>
      <c r="C1163" s="104" t="s">
        <v>2340</v>
      </c>
      <c r="D1163" s="103">
        <v>0.0</v>
      </c>
      <c r="E1163" s="103">
        <v>0.0</v>
      </c>
      <c r="F1163" s="103">
        <v>0.0</v>
      </c>
      <c r="G1163" s="103">
        <v>8.0</v>
      </c>
      <c r="H1163" s="103">
        <v>0.0</v>
      </c>
      <c r="I1163" s="101"/>
      <c r="J1163" s="101"/>
      <c r="K1163" s="101"/>
      <c r="L1163" s="101"/>
      <c r="M1163" s="101"/>
      <c r="N1163" s="101"/>
      <c r="O1163" s="101"/>
      <c r="P1163" s="101"/>
      <c r="Q1163" s="101"/>
      <c r="R1163" s="101"/>
      <c r="S1163" s="101"/>
      <c r="T1163" s="101"/>
      <c r="U1163" s="101"/>
      <c r="V1163" s="101"/>
      <c r="W1163" s="101"/>
      <c r="X1163" s="101"/>
      <c r="Y1163" s="101"/>
      <c r="Z1163" s="101"/>
    </row>
    <row r="1164">
      <c r="A1164" s="105">
        <v>1162.0</v>
      </c>
      <c r="B1164" s="106" t="s">
        <v>2363</v>
      </c>
      <c r="C1164" s="106" t="s">
        <v>2340</v>
      </c>
      <c r="D1164" s="105">
        <v>0.0</v>
      </c>
      <c r="E1164" s="105">
        <v>0.0</v>
      </c>
      <c r="F1164" s="105">
        <v>0.0</v>
      </c>
      <c r="G1164" s="105">
        <v>8.0</v>
      </c>
      <c r="H1164" s="105">
        <v>0.0</v>
      </c>
      <c r="I1164" s="101"/>
      <c r="J1164" s="101"/>
      <c r="K1164" s="101"/>
      <c r="L1164" s="101"/>
      <c r="M1164" s="101"/>
      <c r="N1164" s="101"/>
      <c r="O1164" s="101"/>
      <c r="P1164" s="101"/>
      <c r="Q1164" s="101"/>
      <c r="R1164" s="101"/>
      <c r="S1164" s="101"/>
      <c r="T1164" s="101"/>
      <c r="U1164" s="101"/>
      <c r="V1164" s="101"/>
      <c r="W1164" s="101"/>
      <c r="X1164" s="101"/>
      <c r="Y1164" s="101"/>
      <c r="Z1164" s="101"/>
    </row>
    <row r="1165">
      <c r="A1165" s="103">
        <v>1163.0</v>
      </c>
      <c r="B1165" s="104" t="s">
        <v>2364</v>
      </c>
      <c r="C1165" s="104" t="s">
        <v>2340</v>
      </c>
      <c r="D1165" s="103">
        <v>0.0</v>
      </c>
      <c r="E1165" s="103">
        <v>0.0</v>
      </c>
      <c r="F1165" s="103">
        <v>0.0</v>
      </c>
      <c r="G1165" s="103">
        <v>8.0</v>
      </c>
      <c r="H1165" s="103">
        <v>0.0</v>
      </c>
      <c r="I1165" s="101"/>
      <c r="J1165" s="101"/>
      <c r="K1165" s="101"/>
      <c r="L1165" s="101"/>
      <c r="M1165" s="101"/>
      <c r="N1165" s="101"/>
      <c r="O1165" s="101"/>
      <c r="P1165" s="101"/>
      <c r="Q1165" s="101"/>
      <c r="R1165" s="101"/>
      <c r="S1165" s="101"/>
      <c r="T1165" s="101"/>
      <c r="U1165" s="101"/>
      <c r="V1165" s="101"/>
      <c r="W1165" s="101"/>
      <c r="X1165" s="101"/>
      <c r="Y1165" s="101"/>
      <c r="Z1165" s="101"/>
    </row>
    <row r="1166">
      <c r="A1166" s="105">
        <v>1164.0</v>
      </c>
      <c r="B1166" s="106" t="s">
        <v>2365</v>
      </c>
      <c r="C1166" s="106" t="s">
        <v>2340</v>
      </c>
      <c r="D1166" s="105">
        <v>0.0</v>
      </c>
      <c r="E1166" s="105">
        <v>0.0</v>
      </c>
      <c r="F1166" s="105">
        <v>0.0</v>
      </c>
      <c r="G1166" s="105">
        <v>8.0</v>
      </c>
      <c r="H1166" s="105">
        <v>0.0</v>
      </c>
      <c r="I1166" s="101"/>
      <c r="J1166" s="101"/>
      <c r="K1166" s="101"/>
      <c r="L1166" s="101"/>
      <c r="M1166" s="101"/>
      <c r="N1166" s="101"/>
      <c r="O1166" s="101"/>
      <c r="P1166" s="101"/>
      <c r="Q1166" s="101"/>
      <c r="R1166" s="101"/>
      <c r="S1166" s="101"/>
      <c r="T1166" s="101"/>
      <c r="U1166" s="101"/>
      <c r="V1166" s="101"/>
      <c r="W1166" s="101"/>
      <c r="X1166" s="101"/>
      <c r="Y1166" s="101"/>
      <c r="Z1166" s="101"/>
    </row>
    <row r="1167">
      <c r="A1167" s="103">
        <v>1165.0</v>
      </c>
      <c r="B1167" s="104" t="s">
        <v>2366</v>
      </c>
      <c r="C1167" s="104" t="s">
        <v>2340</v>
      </c>
      <c r="D1167" s="103">
        <v>0.0</v>
      </c>
      <c r="E1167" s="103">
        <v>0.0</v>
      </c>
      <c r="F1167" s="103">
        <v>0.0</v>
      </c>
      <c r="G1167" s="103">
        <v>8.0</v>
      </c>
      <c r="H1167" s="103">
        <v>0.0</v>
      </c>
      <c r="I1167" s="101"/>
      <c r="J1167" s="101"/>
      <c r="K1167" s="101"/>
      <c r="L1167" s="101"/>
      <c r="M1167" s="101"/>
      <c r="N1167" s="101"/>
      <c r="O1167" s="101"/>
      <c r="P1167" s="101"/>
      <c r="Q1167" s="101"/>
      <c r="R1167" s="101"/>
      <c r="S1167" s="101"/>
      <c r="T1167" s="101"/>
      <c r="U1167" s="101"/>
      <c r="V1167" s="101"/>
      <c r="W1167" s="101"/>
      <c r="X1167" s="101"/>
      <c r="Y1167" s="101"/>
      <c r="Z1167" s="101"/>
    </row>
    <row r="1168">
      <c r="A1168" s="105">
        <v>1166.0</v>
      </c>
      <c r="B1168" s="106" t="s">
        <v>2367</v>
      </c>
      <c r="C1168" s="106" t="s">
        <v>2340</v>
      </c>
      <c r="D1168" s="105">
        <v>0.0</v>
      </c>
      <c r="E1168" s="105">
        <v>0.0</v>
      </c>
      <c r="F1168" s="105">
        <v>0.0</v>
      </c>
      <c r="G1168" s="105">
        <v>8.0</v>
      </c>
      <c r="H1168" s="105">
        <v>0.0</v>
      </c>
      <c r="I1168" s="101"/>
      <c r="J1168" s="101"/>
      <c r="K1168" s="101"/>
      <c r="L1168" s="101"/>
      <c r="M1168" s="101"/>
      <c r="N1168" s="101"/>
      <c r="O1168" s="101"/>
      <c r="P1168" s="101"/>
      <c r="Q1168" s="101"/>
      <c r="R1168" s="101"/>
      <c r="S1168" s="101"/>
      <c r="T1168" s="101"/>
      <c r="U1168" s="101"/>
      <c r="V1168" s="101"/>
      <c r="W1168" s="101"/>
      <c r="X1168" s="101"/>
      <c r="Y1168" s="101"/>
      <c r="Z1168" s="101"/>
    </row>
    <row r="1169">
      <c r="A1169" s="103">
        <v>1167.0</v>
      </c>
      <c r="B1169" s="104" t="s">
        <v>2368</v>
      </c>
      <c r="C1169" s="104" t="s">
        <v>2340</v>
      </c>
      <c r="D1169" s="103">
        <v>0.0</v>
      </c>
      <c r="E1169" s="103">
        <v>0.0</v>
      </c>
      <c r="F1169" s="103">
        <v>0.0</v>
      </c>
      <c r="G1169" s="103">
        <v>8.0</v>
      </c>
      <c r="H1169" s="103">
        <v>0.0</v>
      </c>
      <c r="I1169" s="101"/>
      <c r="J1169" s="101"/>
      <c r="K1169" s="101"/>
      <c r="L1169" s="101"/>
      <c r="M1169" s="101"/>
      <c r="N1169" s="101"/>
      <c r="O1169" s="101"/>
      <c r="P1169" s="101"/>
      <c r="Q1169" s="101"/>
      <c r="R1169" s="101"/>
      <c r="S1169" s="101"/>
      <c r="T1169" s="101"/>
      <c r="U1169" s="101"/>
      <c r="V1169" s="101"/>
      <c r="W1169" s="101"/>
      <c r="X1169" s="101"/>
      <c r="Y1169" s="101"/>
      <c r="Z1169" s="101"/>
    </row>
    <row r="1170">
      <c r="A1170" s="105">
        <v>1168.0</v>
      </c>
      <c r="B1170" s="106" t="s">
        <v>2369</v>
      </c>
      <c r="C1170" s="106" t="s">
        <v>2340</v>
      </c>
      <c r="D1170" s="105">
        <v>0.0</v>
      </c>
      <c r="E1170" s="105">
        <v>0.0</v>
      </c>
      <c r="F1170" s="105">
        <v>0.0</v>
      </c>
      <c r="G1170" s="105">
        <v>8.0</v>
      </c>
      <c r="H1170" s="105">
        <v>0.0</v>
      </c>
      <c r="I1170" s="101"/>
      <c r="J1170" s="101"/>
      <c r="K1170" s="101"/>
      <c r="L1170" s="101"/>
      <c r="M1170" s="101"/>
      <c r="N1170" s="101"/>
      <c r="O1170" s="101"/>
      <c r="P1170" s="101"/>
      <c r="Q1170" s="101"/>
      <c r="R1170" s="101"/>
      <c r="S1170" s="101"/>
      <c r="T1170" s="101"/>
      <c r="U1170" s="101"/>
      <c r="V1170" s="101"/>
      <c r="W1170" s="101"/>
      <c r="X1170" s="101"/>
      <c r="Y1170" s="101"/>
      <c r="Z1170" s="101"/>
    </row>
    <row r="1171">
      <c r="A1171" s="103">
        <v>1169.0</v>
      </c>
      <c r="B1171" s="104" t="s">
        <v>2370</v>
      </c>
      <c r="C1171" s="104" t="s">
        <v>2340</v>
      </c>
      <c r="D1171" s="103">
        <v>0.0</v>
      </c>
      <c r="E1171" s="103">
        <v>0.0</v>
      </c>
      <c r="F1171" s="103">
        <v>0.0</v>
      </c>
      <c r="G1171" s="103">
        <v>8.0</v>
      </c>
      <c r="H1171" s="103">
        <v>0.0</v>
      </c>
      <c r="I1171" s="101"/>
      <c r="J1171" s="101"/>
      <c r="K1171" s="101"/>
      <c r="L1171" s="101"/>
      <c r="M1171" s="101"/>
      <c r="N1171" s="101"/>
      <c r="O1171" s="101"/>
      <c r="P1171" s="101"/>
      <c r="Q1171" s="101"/>
      <c r="R1171" s="101"/>
      <c r="S1171" s="101"/>
      <c r="T1171" s="101"/>
      <c r="U1171" s="101"/>
      <c r="V1171" s="101"/>
      <c r="W1171" s="101"/>
      <c r="X1171" s="101"/>
      <c r="Y1171" s="101"/>
      <c r="Z1171" s="101"/>
    </row>
    <row r="1172">
      <c r="A1172" s="105">
        <v>1170.0</v>
      </c>
      <c r="B1172" s="106" t="s">
        <v>2371</v>
      </c>
      <c r="C1172" s="106" t="s">
        <v>2340</v>
      </c>
      <c r="D1172" s="105">
        <v>0.0</v>
      </c>
      <c r="E1172" s="105">
        <v>0.0</v>
      </c>
      <c r="F1172" s="105">
        <v>0.0</v>
      </c>
      <c r="G1172" s="105">
        <v>8.0</v>
      </c>
      <c r="H1172" s="105">
        <v>0.0</v>
      </c>
      <c r="I1172" s="101"/>
      <c r="J1172" s="101"/>
      <c r="K1172" s="101"/>
      <c r="L1172" s="101"/>
      <c r="M1172" s="101"/>
      <c r="N1172" s="101"/>
      <c r="O1172" s="101"/>
      <c r="P1172" s="101"/>
      <c r="Q1172" s="101"/>
      <c r="R1172" s="101"/>
      <c r="S1172" s="101"/>
      <c r="T1172" s="101"/>
      <c r="U1172" s="101"/>
      <c r="V1172" s="101"/>
      <c r="W1172" s="101"/>
      <c r="X1172" s="101"/>
      <c r="Y1172" s="101"/>
      <c r="Z1172" s="101"/>
    </row>
    <row r="1173">
      <c r="A1173" s="103">
        <v>1171.0</v>
      </c>
      <c r="B1173" s="104" t="s">
        <v>2372</v>
      </c>
      <c r="C1173" s="104" t="s">
        <v>2340</v>
      </c>
      <c r="D1173" s="103">
        <v>0.0</v>
      </c>
      <c r="E1173" s="103">
        <v>0.0</v>
      </c>
      <c r="F1173" s="103">
        <v>0.0</v>
      </c>
      <c r="G1173" s="103">
        <v>8.0</v>
      </c>
      <c r="H1173" s="103">
        <v>0.0</v>
      </c>
      <c r="I1173" s="101"/>
      <c r="J1173" s="101"/>
      <c r="K1173" s="101"/>
      <c r="L1173" s="101"/>
      <c r="M1173" s="101"/>
      <c r="N1173" s="101"/>
      <c r="O1173" s="101"/>
      <c r="P1173" s="101"/>
      <c r="Q1173" s="101"/>
      <c r="R1173" s="101"/>
      <c r="S1173" s="101"/>
      <c r="T1173" s="101"/>
      <c r="U1173" s="101"/>
      <c r="V1173" s="101"/>
      <c r="W1173" s="101"/>
      <c r="X1173" s="101"/>
      <c r="Y1173" s="101"/>
      <c r="Z1173" s="101"/>
    </row>
    <row r="1174">
      <c r="A1174" s="105">
        <v>1172.0</v>
      </c>
      <c r="B1174" s="106" t="s">
        <v>2373</v>
      </c>
      <c r="C1174" s="106" t="s">
        <v>2340</v>
      </c>
      <c r="D1174" s="105">
        <v>0.0</v>
      </c>
      <c r="E1174" s="105">
        <v>0.0</v>
      </c>
      <c r="F1174" s="105">
        <v>0.0</v>
      </c>
      <c r="G1174" s="105">
        <v>8.0</v>
      </c>
      <c r="H1174" s="105">
        <v>0.0</v>
      </c>
      <c r="I1174" s="101"/>
      <c r="J1174" s="101"/>
      <c r="K1174" s="101"/>
      <c r="L1174" s="101"/>
      <c r="M1174" s="101"/>
      <c r="N1174" s="101"/>
      <c r="O1174" s="101"/>
      <c r="P1174" s="101"/>
      <c r="Q1174" s="101"/>
      <c r="R1174" s="101"/>
      <c r="S1174" s="101"/>
      <c r="T1174" s="101"/>
      <c r="U1174" s="101"/>
      <c r="V1174" s="101"/>
      <c r="W1174" s="101"/>
      <c r="X1174" s="101"/>
      <c r="Y1174" s="101"/>
      <c r="Z1174" s="101"/>
    </row>
    <row r="1175">
      <c r="A1175" s="103">
        <v>1173.0</v>
      </c>
      <c r="B1175" s="104" t="s">
        <v>2374</v>
      </c>
      <c r="C1175" s="104" t="s">
        <v>2340</v>
      </c>
      <c r="D1175" s="103">
        <v>0.0</v>
      </c>
      <c r="E1175" s="103">
        <v>0.0</v>
      </c>
      <c r="F1175" s="103">
        <v>0.0</v>
      </c>
      <c r="G1175" s="103">
        <v>8.0</v>
      </c>
      <c r="H1175" s="103">
        <v>0.0</v>
      </c>
      <c r="I1175" s="101"/>
      <c r="J1175" s="101"/>
      <c r="K1175" s="101"/>
      <c r="L1175" s="101"/>
      <c r="M1175" s="101"/>
      <c r="N1175" s="101"/>
      <c r="O1175" s="101"/>
      <c r="P1175" s="101"/>
      <c r="Q1175" s="101"/>
      <c r="R1175" s="101"/>
      <c r="S1175" s="101"/>
      <c r="T1175" s="101"/>
      <c r="U1175" s="101"/>
      <c r="V1175" s="101"/>
      <c r="W1175" s="101"/>
      <c r="X1175" s="101"/>
      <c r="Y1175" s="101"/>
      <c r="Z1175" s="101"/>
    </row>
    <row r="1176">
      <c r="A1176" s="105">
        <v>1174.0</v>
      </c>
      <c r="B1176" s="106" t="s">
        <v>2375</v>
      </c>
      <c r="C1176" s="106" t="s">
        <v>2340</v>
      </c>
      <c r="D1176" s="105">
        <v>0.0</v>
      </c>
      <c r="E1176" s="105">
        <v>0.0</v>
      </c>
      <c r="F1176" s="105">
        <v>0.0</v>
      </c>
      <c r="G1176" s="105">
        <v>8.0</v>
      </c>
      <c r="H1176" s="105">
        <v>0.0</v>
      </c>
      <c r="I1176" s="101"/>
      <c r="J1176" s="101"/>
      <c r="K1176" s="101"/>
      <c r="L1176" s="101"/>
      <c r="M1176" s="101"/>
      <c r="N1176" s="101"/>
      <c r="O1176" s="101"/>
      <c r="P1176" s="101"/>
      <c r="Q1176" s="101"/>
      <c r="R1176" s="101"/>
      <c r="S1176" s="101"/>
      <c r="T1176" s="101"/>
      <c r="U1176" s="101"/>
      <c r="V1176" s="101"/>
      <c r="W1176" s="101"/>
      <c r="X1176" s="101"/>
      <c r="Y1176" s="101"/>
      <c r="Z1176" s="101"/>
    </row>
    <row r="1177">
      <c r="A1177" s="103">
        <v>1175.0</v>
      </c>
      <c r="B1177" s="104" t="s">
        <v>2376</v>
      </c>
      <c r="C1177" s="104" t="s">
        <v>2377</v>
      </c>
      <c r="D1177" s="103">
        <v>0.0</v>
      </c>
      <c r="E1177" s="103">
        <v>0.0</v>
      </c>
      <c r="F1177" s="103">
        <v>0.0</v>
      </c>
      <c r="G1177" s="103">
        <v>8.0</v>
      </c>
      <c r="H1177" s="103">
        <v>0.0</v>
      </c>
      <c r="I1177" s="101"/>
      <c r="J1177" s="101"/>
      <c r="K1177" s="101"/>
      <c r="L1177" s="101"/>
      <c r="M1177" s="101"/>
      <c r="N1177" s="101"/>
      <c r="O1177" s="101"/>
      <c r="P1177" s="101"/>
      <c r="Q1177" s="101"/>
      <c r="R1177" s="101"/>
      <c r="S1177" s="101"/>
      <c r="T1177" s="101"/>
      <c r="U1177" s="101"/>
      <c r="V1177" s="101"/>
      <c r="W1177" s="101"/>
      <c r="X1177" s="101"/>
      <c r="Y1177" s="101"/>
      <c r="Z1177" s="101"/>
    </row>
    <row r="1178">
      <c r="A1178" s="105">
        <v>1176.0</v>
      </c>
      <c r="B1178" s="106" t="s">
        <v>2378</v>
      </c>
      <c r="C1178" s="106" t="s">
        <v>2377</v>
      </c>
      <c r="D1178" s="105">
        <v>0.0</v>
      </c>
      <c r="E1178" s="105">
        <v>0.0</v>
      </c>
      <c r="F1178" s="105">
        <v>0.0</v>
      </c>
      <c r="G1178" s="105">
        <v>8.0</v>
      </c>
      <c r="H1178" s="105">
        <v>0.0</v>
      </c>
      <c r="I1178" s="101"/>
      <c r="J1178" s="101"/>
      <c r="K1178" s="101"/>
      <c r="L1178" s="101"/>
      <c r="M1178" s="101"/>
      <c r="N1178" s="101"/>
      <c r="O1178" s="101"/>
      <c r="P1178" s="101"/>
      <c r="Q1178" s="101"/>
      <c r="R1178" s="101"/>
      <c r="S1178" s="101"/>
      <c r="T1178" s="101"/>
      <c r="U1178" s="101"/>
      <c r="V1178" s="101"/>
      <c r="W1178" s="101"/>
      <c r="X1178" s="101"/>
      <c r="Y1178" s="101"/>
      <c r="Z1178" s="101"/>
    </row>
    <row r="1179">
      <c r="A1179" s="103">
        <v>1177.0</v>
      </c>
      <c r="B1179" s="104" t="s">
        <v>2379</v>
      </c>
      <c r="C1179" s="104" t="s">
        <v>2377</v>
      </c>
      <c r="D1179" s="103">
        <v>0.0</v>
      </c>
      <c r="E1179" s="103">
        <v>0.0</v>
      </c>
      <c r="F1179" s="103">
        <v>0.0</v>
      </c>
      <c r="G1179" s="103">
        <v>8.0</v>
      </c>
      <c r="H1179" s="103">
        <v>0.0</v>
      </c>
      <c r="I1179" s="101"/>
      <c r="J1179" s="101"/>
      <c r="K1179" s="101"/>
      <c r="L1179" s="101"/>
      <c r="M1179" s="101"/>
      <c r="N1179" s="101"/>
      <c r="O1179" s="101"/>
      <c r="P1179" s="101"/>
      <c r="Q1179" s="101"/>
      <c r="R1179" s="101"/>
      <c r="S1179" s="101"/>
      <c r="T1179" s="101"/>
      <c r="U1179" s="101"/>
      <c r="V1179" s="101"/>
      <c r="W1179" s="101"/>
      <c r="X1179" s="101"/>
      <c r="Y1179" s="101"/>
      <c r="Z1179" s="101"/>
    </row>
    <row r="1180">
      <c r="A1180" s="105">
        <v>1178.0</v>
      </c>
      <c r="B1180" s="106" t="s">
        <v>2380</v>
      </c>
      <c r="C1180" s="106" t="s">
        <v>2377</v>
      </c>
      <c r="D1180" s="105">
        <v>0.0</v>
      </c>
      <c r="E1180" s="105">
        <v>0.0</v>
      </c>
      <c r="F1180" s="105">
        <v>0.0</v>
      </c>
      <c r="G1180" s="105">
        <v>8.0</v>
      </c>
      <c r="H1180" s="105">
        <v>0.0</v>
      </c>
      <c r="I1180" s="101"/>
      <c r="J1180" s="101"/>
      <c r="K1180" s="101"/>
      <c r="L1180" s="101"/>
      <c r="M1180" s="101"/>
      <c r="N1180" s="101"/>
      <c r="O1180" s="101"/>
      <c r="P1180" s="101"/>
      <c r="Q1180" s="101"/>
      <c r="R1180" s="101"/>
      <c r="S1180" s="101"/>
      <c r="T1180" s="101"/>
      <c r="U1180" s="101"/>
      <c r="V1180" s="101"/>
      <c r="W1180" s="101"/>
      <c r="X1180" s="101"/>
      <c r="Y1180" s="101"/>
      <c r="Z1180" s="101"/>
    </row>
    <row r="1181">
      <c r="A1181" s="103">
        <v>1179.0</v>
      </c>
      <c r="B1181" s="104" t="s">
        <v>2381</v>
      </c>
      <c r="C1181" s="104" t="s">
        <v>2377</v>
      </c>
      <c r="D1181" s="103">
        <v>0.0</v>
      </c>
      <c r="E1181" s="103">
        <v>0.0</v>
      </c>
      <c r="F1181" s="103">
        <v>0.0</v>
      </c>
      <c r="G1181" s="103">
        <v>8.0</v>
      </c>
      <c r="H1181" s="103">
        <v>0.0</v>
      </c>
      <c r="I1181" s="101"/>
      <c r="J1181" s="101"/>
      <c r="K1181" s="101"/>
      <c r="L1181" s="101"/>
      <c r="M1181" s="101"/>
      <c r="N1181" s="101"/>
      <c r="O1181" s="101"/>
      <c r="P1181" s="101"/>
      <c r="Q1181" s="101"/>
      <c r="R1181" s="101"/>
      <c r="S1181" s="101"/>
      <c r="T1181" s="101"/>
      <c r="U1181" s="101"/>
      <c r="V1181" s="101"/>
      <c r="W1181" s="101"/>
      <c r="X1181" s="101"/>
      <c r="Y1181" s="101"/>
      <c r="Z1181" s="101"/>
    </row>
    <row r="1182">
      <c r="A1182" s="105">
        <v>1180.0</v>
      </c>
      <c r="B1182" s="106" t="s">
        <v>2382</v>
      </c>
      <c r="C1182" s="106" t="s">
        <v>2377</v>
      </c>
      <c r="D1182" s="105">
        <v>0.0</v>
      </c>
      <c r="E1182" s="105">
        <v>0.0</v>
      </c>
      <c r="F1182" s="105">
        <v>0.0</v>
      </c>
      <c r="G1182" s="105">
        <v>8.0</v>
      </c>
      <c r="H1182" s="105">
        <v>0.0</v>
      </c>
      <c r="I1182" s="101"/>
      <c r="J1182" s="101"/>
      <c r="K1182" s="101"/>
      <c r="L1182" s="101"/>
      <c r="M1182" s="101"/>
      <c r="N1182" s="101"/>
      <c r="O1182" s="101"/>
      <c r="P1182" s="101"/>
      <c r="Q1182" s="101"/>
      <c r="R1182" s="101"/>
      <c r="S1182" s="101"/>
      <c r="T1182" s="101"/>
      <c r="U1182" s="101"/>
      <c r="V1182" s="101"/>
      <c r="W1182" s="101"/>
      <c r="X1182" s="101"/>
      <c r="Y1182" s="101"/>
      <c r="Z1182" s="101"/>
    </row>
    <row r="1183">
      <c r="A1183" s="103">
        <v>1181.0</v>
      </c>
      <c r="B1183" s="104" t="s">
        <v>2383</v>
      </c>
      <c r="C1183" s="104" t="s">
        <v>2377</v>
      </c>
      <c r="D1183" s="103">
        <v>0.0</v>
      </c>
      <c r="E1183" s="103">
        <v>0.0</v>
      </c>
      <c r="F1183" s="103">
        <v>0.0</v>
      </c>
      <c r="G1183" s="103">
        <v>8.0</v>
      </c>
      <c r="H1183" s="103">
        <v>0.0</v>
      </c>
      <c r="I1183" s="101"/>
      <c r="J1183" s="101"/>
      <c r="K1183" s="101"/>
      <c r="L1183" s="101"/>
      <c r="M1183" s="101"/>
      <c r="N1183" s="101"/>
      <c r="O1183" s="101"/>
      <c r="P1183" s="101"/>
      <c r="Q1183" s="101"/>
      <c r="R1183" s="101"/>
      <c r="S1183" s="101"/>
      <c r="T1183" s="101"/>
      <c r="U1183" s="101"/>
      <c r="V1183" s="101"/>
      <c r="W1183" s="101"/>
      <c r="X1183" s="101"/>
      <c r="Y1183" s="101"/>
      <c r="Z1183" s="101"/>
    </row>
    <row r="1184">
      <c r="A1184" s="105">
        <v>1182.0</v>
      </c>
      <c r="B1184" s="106" t="s">
        <v>2384</v>
      </c>
      <c r="C1184" s="106" t="s">
        <v>2377</v>
      </c>
      <c r="D1184" s="105">
        <v>0.0</v>
      </c>
      <c r="E1184" s="105">
        <v>0.0</v>
      </c>
      <c r="F1184" s="105">
        <v>0.0</v>
      </c>
      <c r="G1184" s="105">
        <v>8.0</v>
      </c>
      <c r="H1184" s="105">
        <v>0.0</v>
      </c>
      <c r="I1184" s="101"/>
      <c r="J1184" s="101"/>
      <c r="K1184" s="101"/>
      <c r="L1184" s="101"/>
      <c r="M1184" s="101"/>
      <c r="N1184" s="101"/>
      <c r="O1184" s="101"/>
      <c r="P1184" s="101"/>
      <c r="Q1184" s="101"/>
      <c r="R1184" s="101"/>
      <c r="S1184" s="101"/>
      <c r="T1184" s="101"/>
      <c r="U1184" s="101"/>
      <c r="V1184" s="101"/>
      <c r="W1184" s="101"/>
      <c r="X1184" s="101"/>
      <c r="Y1184" s="101"/>
      <c r="Z1184" s="101"/>
    </row>
    <row r="1185">
      <c r="A1185" s="103">
        <v>1183.0</v>
      </c>
      <c r="B1185" s="104" t="s">
        <v>2385</v>
      </c>
      <c r="C1185" s="104" t="s">
        <v>2377</v>
      </c>
      <c r="D1185" s="103">
        <v>0.0</v>
      </c>
      <c r="E1185" s="103">
        <v>0.0</v>
      </c>
      <c r="F1185" s="103">
        <v>0.0</v>
      </c>
      <c r="G1185" s="103">
        <v>8.0</v>
      </c>
      <c r="H1185" s="103">
        <v>0.0</v>
      </c>
      <c r="I1185" s="101"/>
      <c r="J1185" s="101"/>
      <c r="K1185" s="101"/>
      <c r="L1185" s="101"/>
      <c r="M1185" s="101"/>
      <c r="N1185" s="101"/>
      <c r="O1185" s="101"/>
      <c r="P1185" s="101"/>
      <c r="Q1185" s="101"/>
      <c r="R1185" s="101"/>
      <c r="S1185" s="101"/>
      <c r="T1185" s="101"/>
      <c r="U1185" s="101"/>
      <c r="V1185" s="101"/>
      <c r="W1185" s="101"/>
      <c r="X1185" s="101"/>
      <c r="Y1185" s="101"/>
      <c r="Z1185" s="101"/>
    </row>
    <row r="1186">
      <c r="A1186" s="105">
        <v>1184.0</v>
      </c>
      <c r="B1186" s="106" t="s">
        <v>2386</v>
      </c>
      <c r="C1186" s="106" t="s">
        <v>2377</v>
      </c>
      <c r="D1186" s="105">
        <v>0.0</v>
      </c>
      <c r="E1186" s="105">
        <v>0.0</v>
      </c>
      <c r="F1186" s="105">
        <v>0.0</v>
      </c>
      <c r="G1186" s="105">
        <v>8.0</v>
      </c>
      <c r="H1186" s="105">
        <v>0.0</v>
      </c>
      <c r="I1186" s="101"/>
      <c r="J1186" s="101"/>
      <c r="K1186" s="101"/>
      <c r="L1186" s="101"/>
      <c r="M1186" s="101"/>
      <c r="N1186" s="101"/>
      <c r="O1186" s="101"/>
      <c r="P1186" s="101"/>
      <c r="Q1186" s="101"/>
      <c r="R1186" s="101"/>
      <c r="S1186" s="101"/>
      <c r="T1186" s="101"/>
      <c r="U1186" s="101"/>
      <c r="V1186" s="101"/>
      <c r="W1186" s="101"/>
      <c r="X1186" s="101"/>
      <c r="Y1186" s="101"/>
      <c r="Z1186" s="101"/>
    </row>
    <row r="1187">
      <c r="A1187" s="103">
        <v>1185.0</v>
      </c>
      <c r="B1187" s="104" t="s">
        <v>2387</v>
      </c>
      <c r="C1187" s="104" t="s">
        <v>2377</v>
      </c>
      <c r="D1187" s="103">
        <v>0.0</v>
      </c>
      <c r="E1187" s="103">
        <v>0.0</v>
      </c>
      <c r="F1187" s="103">
        <v>0.0</v>
      </c>
      <c r="G1187" s="103">
        <v>8.0</v>
      </c>
      <c r="H1187" s="103">
        <v>0.0</v>
      </c>
      <c r="I1187" s="101"/>
      <c r="J1187" s="101"/>
      <c r="K1187" s="101"/>
      <c r="L1187" s="101"/>
      <c r="M1187" s="101"/>
      <c r="N1187" s="101"/>
      <c r="O1187" s="101"/>
      <c r="P1187" s="101"/>
      <c r="Q1187" s="101"/>
      <c r="R1187" s="101"/>
      <c r="S1187" s="101"/>
      <c r="T1187" s="101"/>
      <c r="U1187" s="101"/>
      <c r="V1187" s="101"/>
      <c r="W1187" s="101"/>
      <c r="X1187" s="101"/>
      <c r="Y1187" s="101"/>
      <c r="Z1187" s="101"/>
    </row>
    <row r="1188">
      <c r="A1188" s="105">
        <v>1186.0</v>
      </c>
      <c r="B1188" s="106" t="s">
        <v>2388</v>
      </c>
      <c r="C1188" s="106" t="s">
        <v>2377</v>
      </c>
      <c r="D1188" s="105">
        <v>0.0</v>
      </c>
      <c r="E1188" s="105">
        <v>0.0</v>
      </c>
      <c r="F1188" s="105">
        <v>0.0</v>
      </c>
      <c r="G1188" s="105">
        <v>8.0</v>
      </c>
      <c r="H1188" s="105">
        <v>0.0</v>
      </c>
      <c r="I1188" s="101"/>
      <c r="J1188" s="101"/>
      <c r="K1188" s="101"/>
      <c r="L1188" s="101"/>
      <c r="M1188" s="101"/>
      <c r="N1188" s="101"/>
      <c r="O1188" s="101"/>
      <c r="P1188" s="101"/>
      <c r="Q1188" s="101"/>
      <c r="R1188" s="101"/>
      <c r="S1188" s="101"/>
      <c r="T1188" s="101"/>
      <c r="U1188" s="101"/>
      <c r="V1188" s="101"/>
      <c r="W1188" s="101"/>
      <c r="X1188" s="101"/>
      <c r="Y1188" s="101"/>
      <c r="Z1188" s="101"/>
    </row>
    <row r="1189">
      <c r="A1189" s="103">
        <v>1187.0</v>
      </c>
      <c r="B1189" s="104" t="s">
        <v>2389</v>
      </c>
      <c r="C1189" s="104" t="s">
        <v>2377</v>
      </c>
      <c r="D1189" s="103">
        <v>0.0</v>
      </c>
      <c r="E1189" s="103">
        <v>0.0</v>
      </c>
      <c r="F1189" s="103">
        <v>0.0</v>
      </c>
      <c r="G1189" s="103">
        <v>8.0</v>
      </c>
      <c r="H1189" s="103">
        <v>0.0</v>
      </c>
      <c r="I1189" s="101"/>
      <c r="J1189" s="101"/>
      <c r="K1189" s="101"/>
      <c r="L1189" s="101"/>
      <c r="M1189" s="101"/>
      <c r="N1189" s="101"/>
      <c r="O1189" s="101"/>
      <c r="P1189" s="101"/>
      <c r="Q1189" s="101"/>
      <c r="R1189" s="101"/>
      <c r="S1189" s="101"/>
      <c r="T1189" s="101"/>
      <c r="U1189" s="101"/>
      <c r="V1189" s="101"/>
      <c r="W1189" s="101"/>
      <c r="X1189" s="101"/>
      <c r="Y1189" s="101"/>
      <c r="Z1189" s="101"/>
    </row>
    <row r="1190">
      <c r="A1190" s="105">
        <v>1188.0</v>
      </c>
      <c r="B1190" s="106" t="s">
        <v>2390</v>
      </c>
      <c r="C1190" s="106" t="s">
        <v>2377</v>
      </c>
      <c r="D1190" s="105">
        <v>0.0</v>
      </c>
      <c r="E1190" s="105">
        <v>0.0</v>
      </c>
      <c r="F1190" s="105">
        <v>0.0</v>
      </c>
      <c r="G1190" s="105">
        <v>8.0</v>
      </c>
      <c r="H1190" s="105">
        <v>0.0</v>
      </c>
      <c r="I1190" s="101"/>
      <c r="J1190" s="101"/>
      <c r="K1190" s="101"/>
      <c r="L1190" s="101"/>
      <c r="M1190" s="101"/>
      <c r="N1190" s="101"/>
      <c r="O1190" s="101"/>
      <c r="P1190" s="101"/>
      <c r="Q1190" s="101"/>
      <c r="R1190" s="101"/>
      <c r="S1190" s="101"/>
      <c r="T1190" s="101"/>
      <c r="U1190" s="101"/>
      <c r="V1190" s="101"/>
      <c r="W1190" s="101"/>
      <c r="X1190" s="101"/>
      <c r="Y1190" s="101"/>
      <c r="Z1190" s="101"/>
    </row>
    <row r="1191">
      <c r="A1191" s="103">
        <v>1189.0</v>
      </c>
      <c r="B1191" s="104" t="s">
        <v>2391</v>
      </c>
      <c r="C1191" s="104" t="s">
        <v>2377</v>
      </c>
      <c r="D1191" s="103">
        <v>0.0</v>
      </c>
      <c r="E1191" s="103">
        <v>0.0</v>
      </c>
      <c r="F1191" s="103">
        <v>0.0</v>
      </c>
      <c r="G1191" s="103">
        <v>8.0</v>
      </c>
      <c r="H1191" s="103">
        <v>0.0</v>
      </c>
      <c r="I1191" s="101"/>
      <c r="J1191" s="101"/>
      <c r="K1191" s="101"/>
      <c r="L1191" s="101"/>
      <c r="M1191" s="101"/>
      <c r="N1191" s="101"/>
      <c r="O1191" s="101"/>
      <c r="P1191" s="101"/>
      <c r="Q1191" s="101"/>
      <c r="R1191" s="101"/>
      <c r="S1191" s="101"/>
      <c r="T1191" s="101"/>
      <c r="U1191" s="101"/>
      <c r="V1191" s="101"/>
      <c r="W1191" s="101"/>
      <c r="X1191" s="101"/>
      <c r="Y1191" s="101"/>
      <c r="Z1191" s="101"/>
    </row>
    <row r="1192">
      <c r="A1192" s="105">
        <v>1190.0</v>
      </c>
      <c r="B1192" s="106" t="s">
        <v>2392</v>
      </c>
      <c r="C1192" s="106" t="s">
        <v>2377</v>
      </c>
      <c r="D1192" s="105">
        <v>0.0</v>
      </c>
      <c r="E1192" s="105">
        <v>0.0</v>
      </c>
      <c r="F1192" s="105">
        <v>0.0</v>
      </c>
      <c r="G1192" s="105">
        <v>8.0</v>
      </c>
      <c r="H1192" s="105">
        <v>0.0</v>
      </c>
      <c r="I1192" s="101"/>
      <c r="J1192" s="101"/>
      <c r="K1192" s="101"/>
      <c r="L1192" s="101"/>
      <c r="M1192" s="101"/>
      <c r="N1192" s="101"/>
      <c r="O1192" s="101"/>
      <c r="P1192" s="101"/>
      <c r="Q1192" s="101"/>
      <c r="R1192" s="101"/>
      <c r="S1192" s="101"/>
      <c r="T1192" s="101"/>
      <c r="U1192" s="101"/>
      <c r="V1192" s="101"/>
      <c r="W1192" s="101"/>
      <c r="X1192" s="101"/>
      <c r="Y1192" s="101"/>
      <c r="Z1192" s="101"/>
    </row>
    <row r="1193">
      <c r="A1193" s="103">
        <v>1191.0</v>
      </c>
      <c r="B1193" s="104" t="s">
        <v>2393</v>
      </c>
      <c r="C1193" s="104" t="s">
        <v>2377</v>
      </c>
      <c r="D1193" s="103">
        <v>0.0</v>
      </c>
      <c r="E1193" s="103">
        <v>0.0</v>
      </c>
      <c r="F1193" s="103">
        <v>0.0</v>
      </c>
      <c r="G1193" s="103">
        <v>8.0</v>
      </c>
      <c r="H1193" s="103">
        <v>0.0</v>
      </c>
      <c r="I1193" s="101"/>
      <c r="J1193" s="101"/>
      <c r="K1193" s="101"/>
      <c r="L1193" s="101"/>
      <c r="M1193" s="101"/>
      <c r="N1193" s="101"/>
      <c r="O1193" s="101"/>
      <c r="P1193" s="101"/>
      <c r="Q1193" s="101"/>
      <c r="R1193" s="101"/>
      <c r="S1193" s="101"/>
      <c r="T1193" s="101"/>
      <c r="U1193" s="101"/>
      <c r="V1193" s="101"/>
      <c r="W1193" s="101"/>
      <c r="X1193" s="101"/>
      <c r="Y1193" s="101"/>
      <c r="Z1193" s="101"/>
    </row>
    <row r="1194">
      <c r="A1194" s="105">
        <v>1192.0</v>
      </c>
      <c r="B1194" s="106" t="s">
        <v>2394</v>
      </c>
      <c r="C1194" s="106" t="s">
        <v>2377</v>
      </c>
      <c r="D1194" s="105">
        <v>0.0</v>
      </c>
      <c r="E1194" s="105">
        <v>0.0</v>
      </c>
      <c r="F1194" s="105">
        <v>0.0</v>
      </c>
      <c r="G1194" s="105">
        <v>8.0</v>
      </c>
      <c r="H1194" s="105">
        <v>0.0</v>
      </c>
      <c r="I1194" s="101"/>
      <c r="J1194" s="101"/>
      <c r="K1194" s="101"/>
      <c r="L1194" s="101"/>
      <c r="M1194" s="101"/>
      <c r="N1194" s="101"/>
      <c r="O1194" s="101"/>
      <c r="P1194" s="101"/>
      <c r="Q1194" s="101"/>
      <c r="R1194" s="101"/>
      <c r="S1194" s="101"/>
      <c r="T1194" s="101"/>
      <c r="U1194" s="101"/>
      <c r="V1194" s="101"/>
      <c r="W1194" s="101"/>
      <c r="X1194" s="101"/>
      <c r="Y1194" s="101"/>
      <c r="Z1194" s="101"/>
    </row>
    <row r="1195">
      <c r="A1195" s="103">
        <v>1193.0</v>
      </c>
      <c r="B1195" s="104" t="s">
        <v>2395</v>
      </c>
      <c r="C1195" s="104" t="s">
        <v>2377</v>
      </c>
      <c r="D1195" s="103">
        <v>0.0</v>
      </c>
      <c r="E1195" s="103">
        <v>0.0</v>
      </c>
      <c r="F1195" s="103">
        <v>0.0</v>
      </c>
      <c r="G1195" s="103">
        <v>8.0</v>
      </c>
      <c r="H1195" s="103">
        <v>0.0</v>
      </c>
      <c r="I1195" s="101"/>
      <c r="J1195" s="101"/>
      <c r="K1195" s="101"/>
      <c r="L1195" s="101"/>
      <c r="M1195" s="101"/>
      <c r="N1195" s="101"/>
      <c r="O1195" s="101"/>
      <c r="P1195" s="101"/>
      <c r="Q1195" s="101"/>
      <c r="R1195" s="101"/>
      <c r="S1195" s="101"/>
      <c r="T1195" s="101"/>
      <c r="U1195" s="101"/>
      <c r="V1195" s="101"/>
      <c r="W1195" s="101"/>
      <c r="X1195" s="101"/>
      <c r="Y1195" s="101"/>
      <c r="Z1195" s="101"/>
    </row>
    <row r="1196">
      <c r="A1196" s="105">
        <v>1194.0</v>
      </c>
      <c r="B1196" s="106" t="s">
        <v>2396</v>
      </c>
      <c r="C1196" s="106" t="s">
        <v>2377</v>
      </c>
      <c r="D1196" s="105">
        <v>0.0</v>
      </c>
      <c r="E1196" s="105">
        <v>0.0</v>
      </c>
      <c r="F1196" s="105">
        <v>0.0</v>
      </c>
      <c r="G1196" s="105">
        <v>8.0</v>
      </c>
      <c r="H1196" s="105">
        <v>0.0</v>
      </c>
      <c r="I1196" s="101"/>
      <c r="J1196" s="101"/>
      <c r="K1196" s="101"/>
      <c r="L1196" s="101"/>
      <c r="M1196" s="101"/>
      <c r="N1196" s="101"/>
      <c r="O1196" s="101"/>
      <c r="P1196" s="101"/>
      <c r="Q1196" s="101"/>
      <c r="R1196" s="101"/>
      <c r="S1196" s="101"/>
      <c r="T1196" s="101"/>
      <c r="U1196" s="101"/>
      <c r="V1196" s="101"/>
      <c r="W1196" s="101"/>
      <c r="X1196" s="101"/>
      <c r="Y1196" s="101"/>
      <c r="Z1196" s="101"/>
    </row>
    <row r="1197">
      <c r="A1197" s="103">
        <v>1195.0</v>
      </c>
      <c r="B1197" s="104" t="s">
        <v>2397</v>
      </c>
      <c r="C1197" s="104" t="s">
        <v>2377</v>
      </c>
      <c r="D1197" s="103">
        <v>0.0</v>
      </c>
      <c r="E1197" s="103">
        <v>0.0</v>
      </c>
      <c r="F1197" s="103">
        <v>0.0</v>
      </c>
      <c r="G1197" s="103">
        <v>8.0</v>
      </c>
      <c r="H1197" s="103">
        <v>0.0</v>
      </c>
      <c r="I1197" s="101"/>
      <c r="J1197" s="101"/>
      <c r="K1197" s="101"/>
      <c r="L1197" s="101"/>
      <c r="M1197" s="101"/>
      <c r="N1197" s="101"/>
      <c r="O1197" s="101"/>
      <c r="P1197" s="101"/>
      <c r="Q1197" s="101"/>
      <c r="R1197" s="101"/>
      <c r="S1197" s="101"/>
      <c r="T1197" s="101"/>
      <c r="U1197" s="101"/>
      <c r="V1197" s="101"/>
      <c r="W1197" s="101"/>
      <c r="X1197" s="101"/>
      <c r="Y1197" s="101"/>
      <c r="Z1197" s="101"/>
    </row>
    <row r="1198">
      <c r="A1198" s="105">
        <v>1196.0</v>
      </c>
      <c r="B1198" s="106" t="s">
        <v>2398</v>
      </c>
      <c r="C1198" s="106" t="s">
        <v>2377</v>
      </c>
      <c r="D1198" s="105">
        <v>0.0</v>
      </c>
      <c r="E1198" s="105">
        <v>0.0</v>
      </c>
      <c r="F1198" s="105">
        <v>0.0</v>
      </c>
      <c r="G1198" s="105">
        <v>8.0</v>
      </c>
      <c r="H1198" s="105">
        <v>0.0</v>
      </c>
      <c r="I1198" s="101"/>
      <c r="J1198" s="101"/>
      <c r="K1198" s="101"/>
      <c r="L1198" s="101"/>
      <c r="M1198" s="101"/>
      <c r="N1198" s="101"/>
      <c r="O1198" s="101"/>
      <c r="P1198" s="101"/>
      <c r="Q1198" s="101"/>
      <c r="R1198" s="101"/>
      <c r="S1198" s="101"/>
      <c r="T1198" s="101"/>
      <c r="U1198" s="101"/>
      <c r="V1198" s="101"/>
      <c r="W1198" s="101"/>
      <c r="X1198" s="101"/>
      <c r="Y1198" s="101"/>
      <c r="Z1198" s="101"/>
    </row>
    <row r="1199">
      <c r="A1199" s="103">
        <v>1197.0</v>
      </c>
      <c r="B1199" s="104" t="s">
        <v>2399</v>
      </c>
      <c r="C1199" s="104" t="s">
        <v>2377</v>
      </c>
      <c r="D1199" s="103">
        <v>0.0</v>
      </c>
      <c r="E1199" s="103">
        <v>0.0</v>
      </c>
      <c r="F1199" s="103">
        <v>0.0</v>
      </c>
      <c r="G1199" s="103">
        <v>8.0</v>
      </c>
      <c r="H1199" s="103">
        <v>0.0</v>
      </c>
      <c r="I1199" s="101"/>
      <c r="J1199" s="101"/>
      <c r="K1199" s="101"/>
      <c r="L1199" s="101"/>
      <c r="M1199" s="101"/>
      <c r="N1199" s="101"/>
      <c r="O1199" s="101"/>
      <c r="P1199" s="101"/>
      <c r="Q1199" s="101"/>
      <c r="R1199" s="101"/>
      <c r="S1199" s="101"/>
      <c r="T1199" s="101"/>
      <c r="U1199" s="101"/>
      <c r="V1199" s="101"/>
      <c r="W1199" s="101"/>
      <c r="X1199" s="101"/>
      <c r="Y1199" s="101"/>
      <c r="Z1199" s="101"/>
    </row>
    <row r="1200">
      <c r="A1200" s="105">
        <v>1198.0</v>
      </c>
      <c r="B1200" s="106" t="s">
        <v>2400</v>
      </c>
      <c r="C1200" s="106" t="s">
        <v>2377</v>
      </c>
      <c r="D1200" s="105">
        <v>0.0</v>
      </c>
      <c r="E1200" s="105">
        <v>0.0</v>
      </c>
      <c r="F1200" s="105">
        <v>0.0</v>
      </c>
      <c r="G1200" s="105">
        <v>8.0</v>
      </c>
      <c r="H1200" s="105">
        <v>0.0</v>
      </c>
      <c r="I1200" s="101"/>
      <c r="J1200" s="101"/>
      <c r="K1200" s="101"/>
      <c r="L1200" s="101"/>
      <c r="M1200" s="101"/>
      <c r="N1200" s="101"/>
      <c r="O1200" s="101"/>
      <c r="P1200" s="101"/>
      <c r="Q1200" s="101"/>
      <c r="R1200" s="101"/>
      <c r="S1200" s="101"/>
      <c r="T1200" s="101"/>
      <c r="U1200" s="101"/>
      <c r="V1200" s="101"/>
      <c r="W1200" s="101"/>
      <c r="X1200" s="101"/>
      <c r="Y1200" s="101"/>
      <c r="Z1200" s="101"/>
    </row>
    <row r="1201">
      <c r="A1201" s="103">
        <v>1199.0</v>
      </c>
      <c r="B1201" s="104" t="s">
        <v>2401</v>
      </c>
      <c r="C1201" s="104" t="s">
        <v>2377</v>
      </c>
      <c r="D1201" s="103">
        <v>0.0</v>
      </c>
      <c r="E1201" s="103">
        <v>0.0</v>
      </c>
      <c r="F1201" s="103">
        <v>0.0</v>
      </c>
      <c r="G1201" s="103">
        <v>8.0</v>
      </c>
      <c r="H1201" s="103">
        <v>0.0</v>
      </c>
      <c r="I1201" s="101"/>
      <c r="J1201" s="101"/>
      <c r="K1201" s="101"/>
      <c r="L1201" s="101"/>
      <c r="M1201" s="101"/>
      <c r="N1201" s="101"/>
      <c r="O1201" s="101"/>
      <c r="P1201" s="101"/>
      <c r="Q1201" s="101"/>
      <c r="R1201" s="101"/>
      <c r="S1201" s="101"/>
      <c r="T1201" s="101"/>
      <c r="U1201" s="101"/>
      <c r="V1201" s="101"/>
      <c r="W1201" s="101"/>
      <c r="X1201" s="101"/>
      <c r="Y1201" s="101"/>
      <c r="Z1201" s="101"/>
    </row>
    <row r="1202">
      <c r="A1202" s="105">
        <v>1200.0</v>
      </c>
      <c r="B1202" s="106" t="s">
        <v>2402</v>
      </c>
      <c r="C1202" s="106" t="s">
        <v>2377</v>
      </c>
      <c r="D1202" s="105">
        <v>0.0</v>
      </c>
      <c r="E1202" s="105">
        <v>0.0</v>
      </c>
      <c r="F1202" s="105">
        <v>0.0</v>
      </c>
      <c r="G1202" s="105">
        <v>8.0</v>
      </c>
      <c r="H1202" s="105">
        <v>0.0</v>
      </c>
      <c r="I1202" s="101"/>
      <c r="J1202" s="101"/>
      <c r="K1202" s="101"/>
      <c r="L1202" s="101"/>
      <c r="M1202" s="101"/>
      <c r="N1202" s="101"/>
      <c r="O1202" s="101"/>
      <c r="P1202" s="101"/>
      <c r="Q1202" s="101"/>
      <c r="R1202" s="101"/>
      <c r="S1202" s="101"/>
      <c r="T1202" s="101"/>
      <c r="U1202" s="101"/>
      <c r="V1202" s="101"/>
      <c r="W1202" s="101"/>
      <c r="X1202" s="101"/>
      <c r="Y1202" s="101"/>
      <c r="Z1202" s="101"/>
    </row>
    <row r="1203">
      <c r="A1203" s="103">
        <v>1201.0</v>
      </c>
      <c r="B1203" s="104" t="s">
        <v>2403</v>
      </c>
      <c r="C1203" s="104" t="s">
        <v>2377</v>
      </c>
      <c r="D1203" s="103">
        <v>0.0</v>
      </c>
      <c r="E1203" s="103">
        <v>0.0</v>
      </c>
      <c r="F1203" s="103">
        <v>0.0</v>
      </c>
      <c r="G1203" s="103">
        <v>8.0</v>
      </c>
      <c r="H1203" s="103">
        <v>0.0</v>
      </c>
      <c r="I1203" s="101"/>
      <c r="J1203" s="101"/>
      <c r="K1203" s="101"/>
      <c r="L1203" s="101"/>
      <c r="M1203" s="101"/>
      <c r="N1203" s="101"/>
      <c r="O1203" s="101"/>
      <c r="P1203" s="101"/>
      <c r="Q1203" s="101"/>
      <c r="R1203" s="101"/>
      <c r="S1203" s="101"/>
      <c r="T1203" s="101"/>
      <c r="U1203" s="101"/>
      <c r="V1203" s="101"/>
      <c r="W1203" s="101"/>
      <c r="X1203" s="101"/>
      <c r="Y1203" s="101"/>
      <c r="Z1203" s="101"/>
    </row>
    <row r="1204">
      <c r="A1204" s="105">
        <v>1202.0</v>
      </c>
      <c r="B1204" s="106" t="s">
        <v>2404</v>
      </c>
      <c r="C1204" s="106" t="s">
        <v>2377</v>
      </c>
      <c r="D1204" s="105">
        <v>0.0</v>
      </c>
      <c r="E1204" s="105">
        <v>0.0</v>
      </c>
      <c r="F1204" s="105">
        <v>0.0</v>
      </c>
      <c r="G1204" s="105">
        <v>8.0</v>
      </c>
      <c r="H1204" s="105">
        <v>0.0</v>
      </c>
      <c r="I1204" s="101"/>
      <c r="J1204" s="101"/>
      <c r="K1204" s="101"/>
      <c r="L1204" s="101"/>
      <c r="M1204" s="101"/>
      <c r="N1204" s="101"/>
      <c r="O1204" s="101"/>
      <c r="P1204" s="101"/>
      <c r="Q1204" s="101"/>
      <c r="R1204" s="101"/>
      <c r="S1204" s="101"/>
      <c r="T1204" s="101"/>
      <c r="U1204" s="101"/>
      <c r="V1204" s="101"/>
      <c r="W1204" s="101"/>
      <c r="X1204" s="101"/>
      <c r="Y1204" s="101"/>
      <c r="Z1204" s="101"/>
    </row>
    <row r="1205">
      <c r="A1205" s="103">
        <v>1203.0</v>
      </c>
      <c r="B1205" s="104" t="s">
        <v>2405</v>
      </c>
      <c r="C1205" s="104" t="s">
        <v>2377</v>
      </c>
      <c r="D1205" s="103">
        <v>0.0</v>
      </c>
      <c r="E1205" s="103">
        <v>0.0</v>
      </c>
      <c r="F1205" s="103">
        <v>0.0</v>
      </c>
      <c r="G1205" s="103">
        <v>8.0</v>
      </c>
      <c r="H1205" s="103">
        <v>0.0</v>
      </c>
      <c r="I1205" s="101"/>
      <c r="J1205" s="101"/>
      <c r="K1205" s="101"/>
      <c r="L1205" s="101"/>
      <c r="M1205" s="101"/>
      <c r="N1205" s="101"/>
      <c r="O1205" s="101"/>
      <c r="P1205" s="101"/>
      <c r="Q1205" s="101"/>
      <c r="R1205" s="101"/>
      <c r="S1205" s="101"/>
      <c r="T1205" s="101"/>
      <c r="U1205" s="101"/>
      <c r="V1205" s="101"/>
      <c r="W1205" s="101"/>
      <c r="X1205" s="101"/>
      <c r="Y1205" s="101"/>
      <c r="Z1205" s="101"/>
    </row>
    <row r="1206">
      <c r="A1206" s="105">
        <v>1204.0</v>
      </c>
      <c r="B1206" s="106" t="s">
        <v>2406</v>
      </c>
      <c r="C1206" s="106" t="s">
        <v>2377</v>
      </c>
      <c r="D1206" s="105">
        <v>0.0</v>
      </c>
      <c r="E1206" s="105">
        <v>0.0</v>
      </c>
      <c r="F1206" s="105">
        <v>0.0</v>
      </c>
      <c r="G1206" s="105">
        <v>8.0</v>
      </c>
      <c r="H1206" s="105">
        <v>0.0</v>
      </c>
      <c r="I1206" s="101"/>
      <c r="J1206" s="101"/>
      <c r="K1206" s="101"/>
      <c r="L1206" s="101"/>
      <c r="M1206" s="101"/>
      <c r="N1206" s="101"/>
      <c r="O1206" s="101"/>
      <c r="P1206" s="101"/>
      <c r="Q1206" s="101"/>
      <c r="R1206" s="101"/>
      <c r="S1206" s="101"/>
      <c r="T1206" s="101"/>
      <c r="U1206" s="101"/>
      <c r="V1206" s="101"/>
      <c r="W1206" s="101"/>
      <c r="X1206" s="101"/>
      <c r="Y1206" s="101"/>
      <c r="Z1206" s="101"/>
    </row>
    <row r="1207">
      <c r="A1207" s="103">
        <v>1205.0</v>
      </c>
      <c r="B1207" s="104" t="s">
        <v>2407</v>
      </c>
      <c r="C1207" s="104" t="s">
        <v>2377</v>
      </c>
      <c r="D1207" s="103">
        <v>0.0</v>
      </c>
      <c r="E1207" s="103">
        <v>0.0</v>
      </c>
      <c r="F1207" s="103">
        <v>0.0</v>
      </c>
      <c r="G1207" s="103">
        <v>8.0</v>
      </c>
      <c r="H1207" s="103">
        <v>0.0</v>
      </c>
      <c r="I1207" s="101"/>
      <c r="J1207" s="101"/>
      <c r="K1207" s="101"/>
      <c r="L1207" s="101"/>
      <c r="M1207" s="101"/>
      <c r="N1207" s="101"/>
      <c r="O1207" s="101"/>
      <c r="P1207" s="101"/>
      <c r="Q1207" s="101"/>
      <c r="R1207" s="101"/>
      <c r="S1207" s="101"/>
      <c r="T1207" s="101"/>
      <c r="U1207" s="101"/>
      <c r="V1207" s="101"/>
      <c r="W1207" s="101"/>
      <c r="X1207" s="101"/>
      <c r="Y1207" s="101"/>
      <c r="Z1207" s="101"/>
    </row>
    <row r="1208">
      <c r="A1208" s="105">
        <v>1206.0</v>
      </c>
      <c r="B1208" s="106" t="s">
        <v>2408</v>
      </c>
      <c r="C1208" s="106" t="s">
        <v>2377</v>
      </c>
      <c r="D1208" s="105">
        <v>0.0</v>
      </c>
      <c r="E1208" s="105">
        <v>0.0</v>
      </c>
      <c r="F1208" s="105">
        <v>0.0</v>
      </c>
      <c r="G1208" s="105">
        <v>8.0</v>
      </c>
      <c r="H1208" s="105">
        <v>0.0</v>
      </c>
      <c r="I1208" s="101"/>
      <c r="J1208" s="101"/>
      <c r="K1208" s="101"/>
      <c r="L1208" s="101"/>
      <c r="M1208" s="101"/>
      <c r="N1208" s="101"/>
      <c r="O1208" s="101"/>
      <c r="P1208" s="101"/>
      <c r="Q1208" s="101"/>
      <c r="R1208" s="101"/>
      <c r="S1208" s="101"/>
      <c r="T1208" s="101"/>
      <c r="U1208" s="101"/>
      <c r="V1208" s="101"/>
      <c r="W1208" s="101"/>
      <c r="X1208" s="101"/>
      <c r="Y1208" s="101"/>
      <c r="Z1208" s="101"/>
    </row>
    <row r="1209">
      <c r="A1209" s="103">
        <v>1207.0</v>
      </c>
      <c r="B1209" s="104" t="s">
        <v>2409</v>
      </c>
      <c r="C1209" s="104" t="s">
        <v>2377</v>
      </c>
      <c r="D1209" s="103">
        <v>0.0</v>
      </c>
      <c r="E1209" s="103">
        <v>0.0</v>
      </c>
      <c r="F1209" s="103">
        <v>0.0</v>
      </c>
      <c r="G1209" s="103">
        <v>8.0</v>
      </c>
      <c r="H1209" s="103">
        <v>0.0</v>
      </c>
      <c r="I1209" s="101"/>
      <c r="J1209" s="101"/>
      <c r="K1209" s="101"/>
      <c r="L1209" s="101"/>
      <c r="M1209" s="101"/>
      <c r="N1209" s="101"/>
      <c r="O1209" s="101"/>
      <c r="P1209" s="101"/>
      <c r="Q1209" s="101"/>
      <c r="R1209" s="101"/>
      <c r="S1209" s="101"/>
      <c r="T1209" s="101"/>
      <c r="U1209" s="101"/>
      <c r="V1209" s="101"/>
      <c r="W1209" s="101"/>
      <c r="X1209" s="101"/>
      <c r="Y1209" s="101"/>
      <c r="Z1209" s="101"/>
    </row>
    <row r="1210">
      <c r="A1210" s="105">
        <v>1208.0</v>
      </c>
      <c r="B1210" s="106" t="s">
        <v>2410</v>
      </c>
      <c r="C1210" s="106" t="s">
        <v>2377</v>
      </c>
      <c r="D1210" s="105">
        <v>0.0</v>
      </c>
      <c r="E1210" s="105">
        <v>0.0</v>
      </c>
      <c r="F1210" s="105">
        <v>0.0</v>
      </c>
      <c r="G1210" s="105">
        <v>8.0</v>
      </c>
      <c r="H1210" s="105">
        <v>0.0</v>
      </c>
      <c r="I1210" s="101"/>
      <c r="J1210" s="101"/>
      <c r="K1210" s="101"/>
      <c r="L1210" s="101"/>
      <c r="M1210" s="101"/>
      <c r="N1210" s="101"/>
      <c r="O1210" s="101"/>
      <c r="P1210" s="101"/>
      <c r="Q1210" s="101"/>
      <c r="R1210" s="101"/>
      <c r="S1210" s="101"/>
      <c r="T1210" s="101"/>
      <c r="U1210" s="101"/>
      <c r="V1210" s="101"/>
      <c r="W1210" s="101"/>
      <c r="X1210" s="101"/>
      <c r="Y1210" s="101"/>
      <c r="Z1210" s="101"/>
    </row>
    <row r="1211">
      <c r="A1211" s="103">
        <v>1209.0</v>
      </c>
      <c r="B1211" s="104" t="s">
        <v>2411</v>
      </c>
      <c r="C1211" s="104" t="s">
        <v>2377</v>
      </c>
      <c r="D1211" s="103">
        <v>0.0</v>
      </c>
      <c r="E1211" s="103">
        <v>0.0</v>
      </c>
      <c r="F1211" s="103">
        <v>0.0</v>
      </c>
      <c r="G1211" s="103">
        <v>8.0</v>
      </c>
      <c r="H1211" s="103">
        <v>0.0</v>
      </c>
      <c r="I1211" s="101"/>
      <c r="J1211" s="101"/>
      <c r="K1211" s="101"/>
      <c r="L1211" s="101"/>
      <c r="M1211" s="101"/>
      <c r="N1211" s="101"/>
      <c r="O1211" s="101"/>
      <c r="P1211" s="101"/>
      <c r="Q1211" s="101"/>
      <c r="R1211" s="101"/>
      <c r="S1211" s="101"/>
      <c r="T1211" s="101"/>
      <c r="U1211" s="101"/>
      <c r="V1211" s="101"/>
      <c r="W1211" s="101"/>
      <c r="X1211" s="101"/>
      <c r="Y1211" s="101"/>
      <c r="Z1211" s="101"/>
    </row>
    <row r="1212">
      <c r="A1212" s="105">
        <v>1210.0</v>
      </c>
      <c r="B1212" s="106" t="s">
        <v>2412</v>
      </c>
      <c r="C1212" s="106" t="s">
        <v>2377</v>
      </c>
      <c r="D1212" s="105">
        <v>0.0</v>
      </c>
      <c r="E1212" s="105">
        <v>0.0</v>
      </c>
      <c r="F1212" s="105">
        <v>0.0</v>
      </c>
      <c r="G1212" s="105">
        <v>8.0</v>
      </c>
      <c r="H1212" s="105">
        <v>0.0</v>
      </c>
      <c r="I1212" s="101"/>
      <c r="J1212" s="101"/>
      <c r="K1212" s="101"/>
      <c r="L1212" s="101"/>
      <c r="M1212" s="101"/>
      <c r="N1212" s="101"/>
      <c r="O1212" s="101"/>
      <c r="P1212" s="101"/>
      <c r="Q1212" s="101"/>
      <c r="R1212" s="101"/>
      <c r="S1212" s="101"/>
      <c r="T1212" s="101"/>
      <c r="U1212" s="101"/>
      <c r="V1212" s="101"/>
      <c r="W1212" s="101"/>
      <c r="X1212" s="101"/>
      <c r="Y1212" s="101"/>
      <c r="Z1212" s="101"/>
    </row>
    <row r="1213">
      <c r="A1213" s="103">
        <v>1211.0</v>
      </c>
      <c r="B1213" s="104" t="s">
        <v>2413</v>
      </c>
      <c r="C1213" s="104" t="s">
        <v>2414</v>
      </c>
      <c r="D1213" s="103">
        <v>0.0</v>
      </c>
      <c r="E1213" s="103">
        <v>0.0</v>
      </c>
      <c r="F1213" s="103">
        <v>0.0</v>
      </c>
      <c r="G1213" s="103">
        <v>8.0</v>
      </c>
      <c r="H1213" s="103">
        <v>0.0</v>
      </c>
      <c r="I1213" s="101"/>
      <c r="J1213" s="101"/>
      <c r="K1213" s="101"/>
      <c r="L1213" s="101"/>
      <c r="M1213" s="101"/>
      <c r="N1213" s="101"/>
      <c r="O1213" s="101"/>
      <c r="P1213" s="101"/>
      <c r="Q1213" s="101"/>
      <c r="R1213" s="101"/>
      <c r="S1213" s="101"/>
      <c r="T1213" s="101"/>
      <c r="U1213" s="101"/>
      <c r="V1213" s="101"/>
      <c r="W1213" s="101"/>
      <c r="X1213" s="101"/>
      <c r="Y1213" s="101"/>
      <c r="Z1213" s="101"/>
    </row>
    <row r="1214">
      <c r="A1214" s="105">
        <v>1212.0</v>
      </c>
      <c r="B1214" s="106" t="s">
        <v>2415</v>
      </c>
      <c r="C1214" s="106" t="s">
        <v>2414</v>
      </c>
      <c r="D1214" s="105">
        <v>0.0</v>
      </c>
      <c r="E1214" s="105">
        <v>0.0</v>
      </c>
      <c r="F1214" s="105">
        <v>0.0</v>
      </c>
      <c r="G1214" s="105">
        <v>8.0</v>
      </c>
      <c r="H1214" s="105">
        <v>0.0</v>
      </c>
      <c r="I1214" s="101"/>
      <c r="J1214" s="101"/>
      <c r="K1214" s="101"/>
      <c r="L1214" s="101"/>
      <c r="M1214" s="101"/>
      <c r="N1214" s="101"/>
      <c r="O1214" s="101"/>
      <c r="P1214" s="101"/>
      <c r="Q1214" s="101"/>
      <c r="R1214" s="101"/>
      <c r="S1214" s="101"/>
      <c r="T1214" s="101"/>
      <c r="U1214" s="101"/>
      <c r="V1214" s="101"/>
      <c r="W1214" s="101"/>
      <c r="X1214" s="101"/>
      <c r="Y1214" s="101"/>
      <c r="Z1214" s="101"/>
    </row>
    <row r="1215">
      <c r="A1215" s="103">
        <v>1213.0</v>
      </c>
      <c r="B1215" s="104" t="s">
        <v>2416</v>
      </c>
      <c r="C1215" s="104" t="s">
        <v>2414</v>
      </c>
      <c r="D1215" s="103">
        <v>0.0</v>
      </c>
      <c r="E1215" s="103">
        <v>0.0</v>
      </c>
      <c r="F1215" s="103">
        <v>0.0</v>
      </c>
      <c r="G1215" s="103">
        <v>8.0</v>
      </c>
      <c r="H1215" s="103">
        <v>0.0</v>
      </c>
      <c r="I1215" s="101"/>
      <c r="J1215" s="101"/>
      <c r="K1215" s="101"/>
      <c r="L1215" s="101"/>
      <c r="M1215" s="101"/>
      <c r="N1215" s="101"/>
      <c r="O1215" s="101"/>
      <c r="P1215" s="101"/>
      <c r="Q1215" s="101"/>
      <c r="R1215" s="101"/>
      <c r="S1215" s="101"/>
      <c r="T1215" s="101"/>
      <c r="U1215" s="101"/>
      <c r="V1215" s="101"/>
      <c r="W1215" s="101"/>
      <c r="X1215" s="101"/>
      <c r="Y1215" s="101"/>
      <c r="Z1215" s="101"/>
    </row>
    <row r="1216">
      <c r="A1216" s="105">
        <v>1214.0</v>
      </c>
      <c r="B1216" s="106" t="s">
        <v>2417</v>
      </c>
      <c r="C1216" s="106" t="s">
        <v>2414</v>
      </c>
      <c r="D1216" s="105">
        <v>0.0</v>
      </c>
      <c r="E1216" s="105">
        <v>0.0</v>
      </c>
      <c r="F1216" s="105">
        <v>0.0</v>
      </c>
      <c r="G1216" s="105">
        <v>8.0</v>
      </c>
      <c r="H1216" s="105">
        <v>0.0</v>
      </c>
      <c r="I1216" s="101"/>
      <c r="J1216" s="101"/>
      <c r="K1216" s="101"/>
      <c r="L1216" s="101"/>
      <c r="M1216" s="101"/>
      <c r="N1216" s="101"/>
      <c r="O1216" s="101"/>
      <c r="P1216" s="101"/>
      <c r="Q1216" s="101"/>
      <c r="R1216" s="101"/>
      <c r="S1216" s="101"/>
      <c r="T1216" s="101"/>
      <c r="U1216" s="101"/>
      <c r="V1216" s="101"/>
      <c r="W1216" s="101"/>
      <c r="X1216" s="101"/>
      <c r="Y1216" s="101"/>
      <c r="Z1216" s="101"/>
    </row>
    <row r="1217">
      <c r="A1217" s="103">
        <v>1215.0</v>
      </c>
      <c r="B1217" s="104" t="s">
        <v>2418</v>
      </c>
      <c r="C1217" s="104" t="s">
        <v>2414</v>
      </c>
      <c r="D1217" s="103">
        <v>0.0</v>
      </c>
      <c r="E1217" s="103">
        <v>0.0</v>
      </c>
      <c r="F1217" s="103">
        <v>0.0</v>
      </c>
      <c r="G1217" s="103">
        <v>8.0</v>
      </c>
      <c r="H1217" s="103">
        <v>0.0</v>
      </c>
      <c r="I1217" s="101"/>
      <c r="J1217" s="101"/>
      <c r="K1217" s="101"/>
      <c r="L1217" s="101"/>
      <c r="M1217" s="101"/>
      <c r="N1217" s="101"/>
      <c r="O1217" s="101"/>
      <c r="P1217" s="101"/>
      <c r="Q1217" s="101"/>
      <c r="R1217" s="101"/>
      <c r="S1217" s="101"/>
      <c r="T1217" s="101"/>
      <c r="U1217" s="101"/>
      <c r="V1217" s="101"/>
      <c r="W1217" s="101"/>
      <c r="X1217" s="101"/>
      <c r="Y1217" s="101"/>
      <c r="Z1217" s="101"/>
    </row>
    <row r="1218">
      <c r="A1218" s="105">
        <v>1216.0</v>
      </c>
      <c r="B1218" s="106" t="s">
        <v>2419</v>
      </c>
      <c r="C1218" s="106" t="s">
        <v>2414</v>
      </c>
      <c r="D1218" s="105">
        <v>0.0</v>
      </c>
      <c r="E1218" s="105">
        <v>0.0</v>
      </c>
      <c r="F1218" s="105">
        <v>0.0</v>
      </c>
      <c r="G1218" s="105">
        <v>8.0</v>
      </c>
      <c r="H1218" s="105">
        <v>0.0</v>
      </c>
      <c r="I1218" s="101"/>
      <c r="J1218" s="101"/>
      <c r="K1218" s="101"/>
      <c r="L1218" s="101"/>
      <c r="M1218" s="101"/>
      <c r="N1218" s="101"/>
      <c r="O1218" s="101"/>
      <c r="P1218" s="101"/>
      <c r="Q1218" s="101"/>
      <c r="R1218" s="101"/>
      <c r="S1218" s="101"/>
      <c r="T1218" s="101"/>
      <c r="U1218" s="101"/>
      <c r="V1218" s="101"/>
      <c r="W1218" s="101"/>
      <c r="X1218" s="101"/>
      <c r="Y1218" s="101"/>
      <c r="Z1218" s="101"/>
    </row>
    <row r="1219">
      <c r="A1219" s="103">
        <v>1217.0</v>
      </c>
      <c r="B1219" s="104" t="s">
        <v>2420</v>
      </c>
      <c r="C1219" s="104" t="s">
        <v>2414</v>
      </c>
      <c r="D1219" s="103">
        <v>0.0</v>
      </c>
      <c r="E1219" s="103">
        <v>0.0</v>
      </c>
      <c r="F1219" s="103">
        <v>0.0</v>
      </c>
      <c r="G1219" s="103">
        <v>8.0</v>
      </c>
      <c r="H1219" s="103">
        <v>0.0</v>
      </c>
      <c r="I1219" s="101"/>
      <c r="J1219" s="101"/>
      <c r="K1219" s="101"/>
      <c r="L1219" s="101"/>
      <c r="M1219" s="101"/>
      <c r="N1219" s="101"/>
      <c r="O1219" s="101"/>
      <c r="P1219" s="101"/>
      <c r="Q1219" s="101"/>
      <c r="R1219" s="101"/>
      <c r="S1219" s="101"/>
      <c r="T1219" s="101"/>
      <c r="U1219" s="101"/>
      <c r="V1219" s="101"/>
      <c r="W1219" s="101"/>
      <c r="X1219" s="101"/>
      <c r="Y1219" s="101"/>
      <c r="Z1219" s="101"/>
    </row>
    <row r="1220">
      <c r="A1220" s="105">
        <v>1218.0</v>
      </c>
      <c r="B1220" s="106" t="s">
        <v>2421</v>
      </c>
      <c r="C1220" s="106" t="s">
        <v>2414</v>
      </c>
      <c r="D1220" s="105">
        <v>0.0</v>
      </c>
      <c r="E1220" s="105">
        <v>0.0</v>
      </c>
      <c r="F1220" s="105">
        <v>0.0</v>
      </c>
      <c r="G1220" s="105">
        <v>8.0</v>
      </c>
      <c r="H1220" s="105">
        <v>0.0</v>
      </c>
      <c r="I1220" s="101"/>
      <c r="J1220" s="101"/>
      <c r="K1220" s="101"/>
      <c r="L1220" s="101"/>
      <c r="M1220" s="101"/>
      <c r="N1220" s="101"/>
      <c r="O1220" s="101"/>
      <c r="P1220" s="101"/>
      <c r="Q1220" s="101"/>
      <c r="R1220" s="101"/>
      <c r="S1220" s="101"/>
      <c r="T1220" s="101"/>
      <c r="U1220" s="101"/>
      <c r="V1220" s="101"/>
      <c r="W1220" s="101"/>
      <c r="X1220" s="101"/>
      <c r="Y1220" s="101"/>
      <c r="Z1220" s="101"/>
    </row>
    <row r="1221">
      <c r="A1221" s="103">
        <v>1219.0</v>
      </c>
      <c r="B1221" s="104" t="s">
        <v>2422</v>
      </c>
      <c r="C1221" s="104" t="s">
        <v>2414</v>
      </c>
      <c r="D1221" s="103">
        <v>0.0</v>
      </c>
      <c r="E1221" s="103">
        <v>0.0</v>
      </c>
      <c r="F1221" s="103">
        <v>0.0</v>
      </c>
      <c r="G1221" s="103">
        <v>8.0</v>
      </c>
      <c r="H1221" s="103">
        <v>0.0</v>
      </c>
      <c r="I1221" s="101"/>
      <c r="J1221" s="101"/>
      <c r="K1221" s="101"/>
      <c r="L1221" s="101"/>
      <c r="M1221" s="101"/>
      <c r="N1221" s="101"/>
      <c r="O1221" s="101"/>
      <c r="P1221" s="101"/>
      <c r="Q1221" s="101"/>
      <c r="R1221" s="101"/>
      <c r="S1221" s="101"/>
      <c r="T1221" s="101"/>
      <c r="U1221" s="101"/>
      <c r="V1221" s="101"/>
      <c r="W1221" s="101"/>
      <c r="X1221" s="101"/>
      <c r="Y1221" s="101"/>
      <c r="Z1221" s="101"/>
    </row>
    <row r="1222">
      <c r="A1222" s="105">
        <v>1220.0</v>
      </c>
      <c r="B1222" s="106" t="s">
        <v>2423</v>
      </c>
      <c r="C1222" s="106" t="s">
        <v>2414</v>
      </c>
      <c r="D1222" s="105">
        <v>0.0</v>
      </c>
      <c r="E1222" s="105">
        <v>0.0</v>
      </c>
      <c r="F1222" s="105">
        <v>0.0</v>
      </c>
      <c r="G1222" s="105">
        <v>8.0</v>
      </c>
      <c r="H1222" s="105">
        <v>0.0</v>
      </c>
      <c r="I1222" s="101"/>
      <c r="J1222" s="101"/>
      <c r="K1222" s="101"/>
      <c r="L1222" s="101"/>
      <c r="M1222" s="101"/>
      <c r="N1222" s="101"/>
      <c r="O1222" s="101"/>
      <c r="P1222" s="101"/>
      <c r="Q1222" s="101"/>
      <c r="R1222" s="101"/>
      <c r="S1222" s="101"/>
      <c r="T1222" s="101"/>
      <c r="U1222" s="101"/>
      <c r="V1222" s="101"/>
      <c r="W1222" s="101"/>
      <c r="X1222" s="101"/>
      <c r="Y1222" s="101"/>
      <c r="Z1222" s="101"/>
    </row>
    <row r="1223">
      <c r="A1223" s="103">
        <v>1221.0</v>
      </c>
      <c r="B1223" s="104" t="s">
        <v>2424</v>
      </c>
      <c r="C1223" s="104" t="s">
        <v>2414</v>
      </c>
      <c r="D1223" s="103">
        <v>0.0</v>
      </c>
      <c r="E1223" s="103">
        <v>0.0</v>
      </c>
      <c r="F1223" s="103">
        <v>0.0</v>
      </c>
      <c r="G1223" s="103">
        <v>8.0</v>
      </c>
      <c r="H1223" s="103">
        <v>0.0</v>
      </c>
      <c r="I1223" s="101"/>
      <c r="J1223" s="101"/>
      <c r="K1223" s="101"/>
      <c r="L1223" s="101"/>
      <c r="M1223" s="101"/>
      <c r="N1223" s="101"/>
      <c r="O1223" s="101"/>
      <c r="P1223" s="101"/>
      <c r="Q1223" s="101"/>
      <c r="R1223" s="101"/>
      <c r="S1223" s="101"/>
      <c r="T1223" s="101"/>
      <c r="U1223" s="101"/>
      <c r="V1223" s="101"/>
      <c r="W1223" s="101"/>
      <c r="X1223" s="101"/>
      <c r="Y1223" s="101"/>
      <c r="Z1223" s="101"/>
    </row>
    <row r="1224">
      <c r="A1224" s="105">
        <v>1222.0</v>
      </c>
      <c r="B1224" s="106" t="s">
        <v>2425</v>
      </c>
      <c r="C1224" s="106" t="s">
        <v>2414</v>
      </c>
      <c r="D1224" s="105">
        <v>0.0</v>
      </c>
      <c r="E1224" s="105">
        <v>0.0</v>
      </c>
      <c r="F1224" s="105">
        <v>0.0</v>
      </c>
      <c r="G1224" s="105">
        <v>8.0</v>
      </c>
      <c r="H1224" s="105">
        <v>0.0</v>
      </c>
      <c r="I1224" s="101"/>
      <c r="J1224" s="101"/>
      <c r="K1224" s="101"/>
      <c r="L1224" s="101"/>
      <c r="M1224" s="101"/>
      <c r="N1224" s="101"/>
      <c r="O1224" s="101"/>
      <c r="P1224" s="101"/>
      <c r="Q1224" s="101"/>
      <c r="R1224" s="101"/>
      <c r="S1224" s="101"/>
      <c r="T1224" s="101"/>
      <c r="U1224" s="101"/>
      <c r="V1224" s="101"/>
      <c r="W1224" s="101"/>
      <c r="X1224" s="101"/>
      <c r="Y1224" s="101"/>
      <c r="Z1224" s="101"/>
    </row>
    <row r="1225">
      <c r="A1225" s="103">
        <v>1223.0</v>
      </c>
      <c r="B1225" s="104" t="s">
        <v>2426</v>
      </c>
      <c r="C1225" s="104" t="s">
        <v>2414</v>
      </c>
      <c r="D1225" s="103">
        <v>0.0</v>
      </c>
      <c r="E1225" s="103">
        <v>0.0</v>
      </c>
      <c r="F1225" s="103">
        <v>0.0</v>
      </c>
      <c r="G1225" s="103">
        <v>8.0</v>
      </c>
      <c r="H1225" s="103">
        <v>0.0</v>
      </c>
      <c r="I1225" s="101"/>
      <c r="J1225" s="101"/>
      <c r="K1225" s="101"/>
      <c r="L1225" s="101"/>
      <c r="M1225" s="101"/>
      <c r="N1225" s="101"/>
      <c r="O1225" s="101"/>
      <c r="P1225" s="101"/>
      <c r="Q1225" s="101"/>
      <c r="R1225" s="101"/>
      <c r="S1225" s="101"/>
      <c r="T1225" s="101"/>
      <c r="U1225" s="101"/>
      <c r="V1225" s="101"/>
      <c r="W1225" s="101"/>
      <c r="X1225" s="101"/>
      <c r="Y1225" s="101"/>
      <c r="Z1225" s="101"/>
    </row>
    <row r="1226">
      <c r="A1226" s="105">
        <v>1224.0</v>
      </c>
      <c r="B1226" s="106" t="s">
        <v>2427</v>
      </c>
      <c r="C1226" s="106" t="s">
        <v>2414</v>
      </c>
      <c r="D1226" s="105">
        <v>0.0</v>
      </c>
      <c r="E1226" s="105">
        <v>0.0</v>
      </c>
      <c r="F1226" s="105">
        <v>0.0</v>
      </c>
      <c r="G1226" s="105">
        <v>8.0</v>
      </c>
      <c r="H1226" s="105">
        <v>0.0</v>
      </c>
      <c r="I1226" s="101"/>
      <c r="J1226" s="101"/>
      <c r="K1226" s="101"/>
      <c r="L1226" s="101"/>
      <c r="M1226" s="101"/>
      <c r="N1226" s="101"/>
      <c r="O1226" s="101"/>
      <c r="P1226" s="101"/>
      <c r="Q1226" s="101"/>
      <c r="R1226" s="101"/>
      <c r="S1226" s="101"/>
      <c r="T1226" s="101"/>
      <c r="U1226" s="101"/>
      <c r="V1226" s="101"/>
      <c r="W1226" s="101"/>
      <c r="X1226" s="101"/>
      <c r="Y1226" s="101"/>
      <c r="Z1226" s="101"/>
    </row>
    <row r="1227">
      <c r="A1227" s="103">
        <v>1225.0</v>
      </c>
      <c r="B1227" s="104" t="s">
        <v>2428</v>
      </c>
      <c r="C1227" s="104" t="s">
        <v>2414</v>
      </c>
      <c r="D1227" s="103">
        <v>0.0</v>
      </c>
      <c r="E1227" s="103">
        <v>0.0</v>
      </c>
      <c r="F1227" s="103">
        <v>0.0</v>
      </c>
      <c r="G1227" s="103">
        <v>8.0</v>
      </c>
      <c r="H1227" s="103">
        <v>0.0</v>
      </c>
      <c r="I1227" s="101"/>
      <c r="J1227" s="101"/>
      <c r="K1227" s="101"/>
      <c r="L1227" s="101"/>
      <c r="M1227" s="101"/>
      <c r="N1227" s="101"/>
      <c r="O1227" s="101"/>
      <c r="P1227" s="101"/>
      <c r="Q1227" s="101"/>
      <c r="R1227" s="101"/>
      <c r="S1227" s="101"/>
      <c r="T1227" s="101"/>
      <c r="U1227" s="101"/>
      <c r="V1227" s="101"/>
      <c r="W1227" s="101"/>
      <c r="X1227" s="101"/>
      <c r="Y1227" s="101"/>
      <c r="Z1227" s="101"/>
    </row>
    <row r="1228">
      <c r="A1228" s="105">
        <v>1226.0</v>
      </c>
      <c r="B1228" s="106" t="s">
        <v>2429</v>
      </c>
      <c r="C1228" s="106" t="s">
        <v>2414</v>
      </c>
      <c r="D1228" s="105">
        <v>0.0</v>
      </c>
      <c r="E1228" s="105">
        <v>0.0</v>
      </c>
      <c r="F1228" s="105">
        <v>0.0</v>
      </c>
      <c r="G1228" s="105">
        <v>8.0</v>
      </c>
      <c r="H1228" s="105">
        <v>0.0</v>
      </c>
      <c r="I1228" s="101"/>
      <c r="J1228" s="101"/>
      <c r="K1228" s="101"/>
      <c r="L1228" s="101"/>
      <c r="M1228" s="101"/>
      <c r="N1228" s="101"/>
      <c r="O1228" s="101"/>
      <c r="P1228" s="101"/>
      <c r="Q1228" s="101"/>
      <c r="R1228" s="101"/>
      <c r="S1228" s="101"/>
      <c r="T1228" s="101"/>
      <c r="U1228" s="101"/>
      <c r="V1228" s="101"/>
      <c r="W1228" s="101"/>
      <c r="X1228" s="101"/>
      <c r="Y1228" s="101"/>
      <c r="Z1228" s="101"/>
    </row>
    <row r="1229">
      <c r="A1229" s="103">
        <v>1227.0</v>
      </c>
      <c r="B1229" s="104" t="s">
        <v>2430</v>
      </c>
      <c r="C1229" s="104" t="s">
        <v>2414</v>
      </c>
      <c r="D1229" s="103">
        <v>0.0</v>
      </c>
      <c r="E1229" s="103">
        <v>0.0</v>
      </c>
      <c r="F1229" s="103">
        <v>0.0</v>
      </c>
      <c r="G1229" s="103">
        <v>8.0</v>
      </c>
      <c r="H1229" s="103">
        <v>0.0</v>
      </c>
      <c r="I1229" s="101"/>
      <c r="J1229" s="101"/>
      <c r="K1229" s="101"/>
      <c r="L1229" s="101"/>
      <c r="M1229" s="101"/>
      <c r="N1229" s="101"/>
      <c r="O1229" s="101"/>
      <c r="P1229" s="101"/>
      <c r="Q1229" s="101"/>
      <c r="R1229" s="101"/>
      <c r="S1229" s="101"/>
      <c r="T1229" s="101"/>
      <c r="U1229" s="101"/>
      <c r="V1229" s="101"/>
      <c r="W1229" s="101"/>
      <c r="X1229" s="101"/>
      <c r="Y1229" s="101"/>
      <c r="Z1229" s="101"/>
    </row>
    <row r="1230">
      <c r="A1230" s="105">
        <v>1228.0</v>
      </c>
      <c r="B1230" s="106" t="s">
        <v>2431</v>
      </c>
      <c r="C1230" s="106" t="s">
        <v>2414</v>
      </c>
      <c r="D1230" s="105">
        <v>0.0</v>
      </c>
      <c r="E1230" s="105">
        <v>0.0</v>
      </c>
      <c r="F1230" s="105">
        <v>0.0</v>
      </c>
      <c r="G1230" s="105">
        <v>8.0</v>
      </c>
      <c r="H1230" s="105">
        <v>0.0</v>
      </c>
      <c r="I1230" s="101"/>
      <c r="J1230" s="101"/>
      <c r="K1230" s="101"/>
      <c r="L1230" s="101"/>
      <c r="M1230" s="101"/>
      <c r="N1230" s="101"/>
      <c r="O1230" s="101"/>
      <c r="P1230" s="101"/>
      <c r="Q1230" s="101"/>
      <c r="R1230" s="101"/>
      <c r="S1230" s="101"/>
      <c r="T1230" s="101"/>
      <c r="U1230" s="101"/>
      <c r="V1230" s="101"/>
      <c r="W1230" s="101"/>
      <c r="X1230" s="101"/>
      <c r="Y1230" s="101"/>
      <c r="Z1230" s="101"/>
    </row>
    <row r="1231">
      <c r="A1231" s="103">
        <v>1229.0</v>
      </c>
      <c r="B1231" s="104" t="s">
        <v>2432</v>
      </c>
      <c r="C1231" s="104" t="s">
        <v>2414</v>
      </c>
      <c r="D1231" s="103">
        <v>0.0</v>
      </c>
      <c r="E1231" s="103">
        <v>0.0</v>
      </c>
      <c r="F1231" s="103">
        <v>0.0</v>
      </c>
      <c r="G1231" s="103">
        <v>8.0</v>
      </c>
      <c r="H1231" s="103">
        <v>0.0</v>
      </c>
      <c r="I1231" s="101"/>
      <c r="J1231" s="101"/>
      <c r="K1231" s="101"/>
      <c r="L1231" s="101"/>
      <c r="M1231" s="101"/>
      <c r="N1231" s="101"/>
      <c r="O1231" s="101"/>
      <c r="P1231" s="101"/>
      <c r="Q1231" s="101"/>
      <c r="R1231" s="101"/>
      <c r="S1231" s="101"/>
      <c r="T1231" s="101"/>
      <c r="U1231" s="101"/>
      <c r="V1231" s="101"/>
      <c r="W1231" s="101"/>
      <c r="X1231" s="101"/>
      <c r="Y1231" s="101"/>
      <c r="Z1231" s="101"/>
    </row>
    <row r="1232">
      <c r="A1232" s="105">
        <v>1230.0</v>
      </c>
      <c r="B1232" s="106" t="s">
        <v>2433</v>
      </c>
      <c r="C1232" s="106" t="s">
        <v>2414</v>
      </c>
      <c r="D1232" s="105">
        <v>0.0</v>
      </c>
      <c r="E1232" s="105">
        <v>0.0</v>
      </c>
      <c r="F1232" s="105">
        <v>0.0</v>
      </c>
      <c r="G1232" s="105">
        <v>8.0</v>
      </c>
      <c r="H1232" s="105">
        <v>0.0</v>
      </c>
      <c r="I1232" s="101"/>
      <c r="J1232" s="101"/>
      <c r="K1232" s="101"/>
      <c r="L1232" s="101"/>
      <c r="M1232" s="101"/>
      <c r="N1232" s="101"/>
      <c r="O1232" s="101"/>
      <c r="P1232" s="101"/>
      <c r="Q1232" s="101"/>
      <c r="R1232" s="101"/>
      <c r="S1232" s="101"/>
      <c r="T1232" s="101"/>
      <c r="U1232" s="101"/>
      <c r="V1232" s="101"/>
      <c r="W1232" s="101"/>
      <c r="X1232" s="101"/>
      <c r="Y1232" s="101"/>
      <c r="Z1232" s="101"/>
    </row>
    <row r="1233">
      <c r="A1233" s="103">
        <v>1231.0</v>
      </c>
      <c r="B1233" s="104" t="s">
        <v>2434</v>
      </c>
      <c r="C1233" s="104" t="s">
        <v>2414</v>
      </c>
      <c r="D1233" s="103">
        <v>0.0</v>
      </c>
      <c r="E1233" s="103">
        <v>0.0</v>
      </c>
      <c r="F1233" s="103">
        <v>0.0</v>
      </c>
      <c r="G1233" s="103">
        <v>8.0</v>
      </c>
      <c r="H1233" s="103">
        <v>0.0</v>
      </c>
      <c r="I1233" s="101"/>
      <c r="J1233" s="101"/>
      <c r="K1233" s="101"/>
      <c r="L1233" s="101"/>
      <c r="M1233" s="101"/>
      <c r="N1233" s="101"/>
      <c r="O1233" s="101"/>
      <c r="P1233" s="101"/>
      <c r="Q1233" s="101"/>
      <c r="R1233" s="101"/>
      <c r="S1233" s="101"/>
      <c r="T1233" s="101"/>
      <c r="U1233" s="101"/>
      <c r="V1233" s="101"/>
      <c r="W1233" s="101"/>
      <c r="X1233" s="101"/>
      <c r="Y1233" s="101"/>
      <c r="Z1233" s="101"/>
    </row>
    <row r="1234">
      <c r="A1234" s="105">
        <v>1232.0</v>
      </c>
      <c r="B1234" s="106" t="s">
        <v>2435</v>
      </c>
      <c r="C1234" s="106" t="s">
        <v>2414</v>
      </c>
      <c r="D1234" s="105">
        <v>0.0</v>
      </c>
      <c r="E1234" s="105">
        <v>0.0</v>
      </c>
      <c r="F1234" s="105">
        <v>0.0</v>
      </c>
      <c r="G1234" s="105">
        <v>8.0</v>
      </c>
      <c r="H1234" s="105">
        <v>0.0</v>
      </c>
      <c r="I1234" s="101"/>
      <c r="J1234" s="101"/>
      <c r="K1234" s="101"/>
      <c r="L1234" s="101"/>
      <c r="M1234" s="101"/>
      <c r="N1234" s="101"/>
      <c r="O1234" s="101"/>
      <c r="P1234" s="101"/>
      <c r="Q1234" s="101"/>
      <c r="R1234" s="101"/>
      <c r="S1234" s="101"/>
      <c r="T1234" s="101"/>
      <c r="U1234" s="101"/>
      <c r="V1234" s="101"/>
      <c r="W1234" s="101"/>
      <c r="X1234" s="101"/>
      <c r="Y1234" s="101"/>
      <c r="Z1234" s="101"/>
    </row>
    <row r="1235">
      <c r="A1235" s="103">
        <v>1233.0</v>
      </c>
      <c r="B1235" s="104" t="s">
        <v>2436</v>
      </c>
      <c r="C1235" s="104" t="s">
        <v>2414</v>
      </c>
      <c r="D1235" s="103">
        <v>0.0</v>
      </c>
      <c r="E1235" s="103">
        <v>0.0</v>
      </c>
      <c r="F1235" s="103">
        <v>0.0</v>
      </c>
      <c r="G1235" s="103">
        <v>8.0</v>
      </c>
      <c r="H1235" s="103">
        <v>0.0</v>
      </c>
      <c r="I1235" s="101"/>
      <c r="J1235" s="101"/>
      <c r="K1235" s="101"/>
      <c r="L1235" s="101"/>
      <c r="M1235" s="101"/>
      <c r="N1235" s="101"/>
      <c r="O1235" s="101"/>
      <c r="P1235" s="101"/>
      <c r="Q1235" s="101"/>
      <c r="R1235" s="101"/>
      <c r="S1235" s="101"/>
      <c r="T1235" s="101"/>
      <c r="U1235" s="101"/>
      <c r="V1235" s="101"/>
      <c r="W1235" s="101"/>
      <c r="X1235" s="101"/>
      <c r="Y1235" s="101"/>
      <c r="Z1235" s="101"/>
    </row>
    <row r="1236">
      <c r="A1236" s="105">
        <v>1234.0</v>
      </c>
      <c r="B1236" s="106" t="s">
        <v>2437</v>
      </c>
      <c r="C1236" s="106" t="s">
        <v>2414</v>
      </c>
      <c r="D1236" s="105">
        <v>0.0</v>
      </c>
      <c r="E1236" s="105">
        <v>0.0</v>
      </c>
      <c r="F1236" s="105">
        <v>0.0</v>
      </c>
      <c r="G1236" s="105">
        <v>8.0</v>
      </c>
      <c r="H1236" s="105">
        <v>0.0</v>
      </c>
      <c r="I1236" s="101"/>
      <c r="J1236" s="101"/>
      <c r="K1236" s="101"/>
      <c r="L1236" s="101"/>
      <c r="M1236" s="101"/>
      <c r="N1236" s="101"/>
      <c r="O1236" s="101"/>
      <c r="P1236" s="101"/>
      <c r="Q1236" s="101"/>
      <c r="R1236" s="101"/>
      <c r="S1236" s="101"/>
      <c r="T1236" s="101"/>
      <c r="U1236" s="101"/>
      <c r="V1236" s="101"/>
      <c r="W1236" s="101"/>
      <c r="X1236" s="101"/>
      <c r="Y1236" s="101"/>
      <c r="Z1236" s="101"/>
    </row>
    <row r="1237">
      <c r="A1237" s="103">
        <v>1235.0</v>
      </c>
      <c r="B1237" s="104" t="s">
        <v>2438</v>
      </c>
      <c r="C1237" s="104" t="s">
        <v>2414</v>
      </c>
      <c r="D1237" s="103">
        <v>0.0</v>
      </c>
      <c r="E1237" s="103">
        <v>0.0</v>
      </c>
      <c r="F1237" s="103">
        <v>0.0</v>
      </c>
      <c r="G1237" s="103">
        <v>8.0</v>
      </c>
      <c r="H1237" s="103">
        <v>0.0</v>
      </c>
      <c r="I1237" s="101"/>
      <c r="J1237" s="101"/>
      <c r="K1237" s="101"/>
      <c r="L1237" s="101"/>
      <c r="M1237" s="101"/>
      <c r="N1237" s="101"/>
      <c r="O1237" s="101"/>
      <c r="P1237" s="101"/>
      <c r="Q1237" s="101"/>
      <c r="R1237" s="101"/>
      <c r="S1237" s="101"/>
      <c r="T1237" s="101"/>
      <c r="U1237" s="101"/>
      <c r="V1237" s="101"/>
      <c r="W1237" s="101"/>
      <c r="X1237" s="101"/>
      <c r="Y1237" s="101"/>
      <c r="Z1237" s="101"/>
    </row>
    <row r="1238">
      <c r="A1238" s="105">
        <v>1236.0</v>
      </c>
      <c r="B1238" s="106" t="s">
        <v>2439</v>
      </c>
      <c r="C1238" s="106" t="s">
        <v>2414</v>
      </c>
      <c r="D1238" s="105">
        <v>0.0</v>
      </c>
      <c r="E1238" s="105">
        <v>0.0</v>
      </c>
      <c r="F1238" s="105">
        <v>0.0</v>
      </c>
      <c r="G1238" s="105">
        <v>8.0</v>
      </c>
      <c r="H1238" s="105">
        <v>0.0</v>
      </c>
      <c r="I1238" s="101"/>
      <c r="J1238" s="101"/>
      <c r="K1238" s="101"/>
      <c r="L1238" s="101"/>
      <c r="M1238" s="101"/>
      <c r="N1238" s="101"/>
      <c r="O1238" s="101"/>
      <c r="P1238" s="101"/>
      <c r="Q1238" s="101"/>
      <c r="R1238" s="101"/>
      <c r="S1238" s="101"/>
      <c r="T1238" s="101"/>
      <c r="U1238" s="101"/>
      <c r="V1238" s="101"/>
      <c r="W1238" s="101"/>
      <c r="X1238" s="101"/>
      <c r="Y1238" s="101"/>
      <c r="Z1238" s="101"/>
    </row>
    <row r="1239">
      <c r="A1239" s="103">
        <v>1237.0</v>
      </c>
      <c r="B1239" s="104" t="s">
        <v>2440</v>
      </c>
      <c r="C1239" s="104" t="s">
        <v>2414</v>
      </c>
      <c r="D1239" s="103">
        <v>0.0</v>
      </c>
      <c r="E1239" s="103">
        <v>0.0</v>
      </c>
      <c r="F1239" s="103">
        <v>0.0</v>
      </c>
      <c r="G1239" s="103">
        <v>8.0</v>
      </c>
      <c r="H1239" s="103">
        <v>0.0</v>
      </c>
      <c r="I1239" s="101"/>
      <c r="J1239" s="101"/>
      <c r="K1239" s="101"/>
      <c r="L1239" s="101"/>
      <c r="M1239" s="101"/>
      <c r="N1239" s="101"/>
      <c r="O1239" s="101"/>
      <c r="P1239" s="101"/>
      <c r="Q1239" s="101"/>
      <c r="R1239" s="101"/>
      <c r="S1239" s="101"/>
      <c r="T1239" s="101"/>
      <c r="U1239" s="101"/>
      <c r="V1239" s="101"/>
      <c r="W1239" s="101"/>
      <c r="X1239" s="101"/>
      <c r="Y1239" s="101"/>
      <c r="Z1239" s="101"/>
    </row>
    <row r="1240">
      <c r="A1240" s="105">
        <v>1238.0</v>
      </c>
      <c r="B1240" s="106" t="s">
        <v>2441</v>
      </c>
      <c r="C1240" s="106" t="s">
        <v>2414</v>
      </c>
      <c r="D1240" s="105">
        <v>0.0</v>
      </c>
      <c r="E1240" s="105">
        <v>0.0</v>
      </c>
      <c r="F1240" s="105">
        <v>0.0</v>
      </c>
      <c r="G1240" s="105">
        <v>8.0</v>
      </c>
      <c r="H1240" s="105">
        <v>0.0</v>
      </c>
      <c r="I1240" s="101"/>
      <c r="J1240" s="101"/>
      <c r="K1240" s="101"/>
      <c r="L1240" s="101"/>
      <c r="M1240" s="101"/>
      <c r="N1240" s="101"/>
      <c r="O1240" s="101"/>
      <c r="P1240" s="101"/>
      <c r="Q1240" s="101"/>
      <c r="R1240" s="101"/>
      <c r="S1240" s="101"/>
      <c r="T1240" s="101"/>
      <c r="U1240" s="101"/>
      <c r="V1240" s="101"/>
      <c r="W1240" s="101"/>
      <c r="X1240" s="101"/>
      <c r="Y1240" s="101"/>
      <c r="Z1240" s="101"/>
    </row>
    <row r="1241">
      <c r="A1241" s="103">
        <v>1239.0</v>
      </c>
      <c r="B1241" s="104" t="s">
        <v>2442</v>
      </c>
      <c r="C1241" s="104" t="s">
        <v>2414</v>
      </c>
      <c r="D1241" s="103">
        <v>0.0</v>
      </c>
      <c r="E1241" s="103">
        <v>0.0</v>
      </c>
      <c r="F1241" s="103">
        <v>0.0</v>
      </c>
      <c r="G1241" s="103">
        <v>8.0</v>
      </c>
      <c r="H1241" s="103">
        <v>0.0</v>
      </c>
      <c r="I1241" s="101"/>
      <c r="J1241" s="101"/>
      <c r="K1241" s="101"/>
      <c r="L1241" s="101"/>
      <c r="M1241" s="101"/>
      <c r="N1241" s="101"/>
      <c r="O1241" s="101"/>
      <c r="P1241" s="101"/>
      <c r="Q1241" s="101"/>
      <c r="R1241" s="101"/>
      <c r="S1241" s="101"/>
      <c r="T1241" s="101"/>
      <c r="U1241" s="101"/>
      <c r="V1241" s="101"/>
      <c r="W1241" s="101"/>
      <c r="X1241" s="101"/>
      <c r="Y1241" s="101"/>
      <c r="Z1241" s="101"/>
    </row>
    <row r="1242">
      <c r="A1242" s="105">
        <v>1240.0</v>
      </c>
      <c r="B1242" s="106" t="s">
        <v>2443</v>
      </c>
      <c r="C1242" s="106" t="s">
        <v>2414</v>
      </c>
      <c r="D1242" s="105">
        <v>0.0</v>
      </c>
      <c r="E1242" s="105">
        <v>0.0</v>
      </c>
      <c r="F1242" s="105">
        <v>0.0</v>
      </c>
      <c r="G1242" s="105">
        <v>8.0</v>
      </c>
      <c r="H1242" s="105">
        <v>0.0</v>
      </c>
      <c r="I1242" s="101"/>
      <c r="J1242" s="101"/>
      <c r="K1242" s="101"/>
      <c r="L1242" s="101"/>
      <c r="M1242" s="101"/>
      <c r="N1242" s="101"/>
      <c r="O1242" s="101"/>
      <c r="P1242" s="101"/>
      <c r="Q1242" s="101"/>
      <c r="R1242" s="101"/>
      <c r="S1242" s="101"/>
      <c r="T1242" s="101"/>
      <c r="U1242" s="101"/>
      <c r="V1242" s="101"/>
      <c r="W1242" s="101"/>
      <c r="X1242" s="101"/>
      <c r="Y1242" s="101"/>
      <c r="Z1242" s="101"/>
    </row>
    <row r="1243">
      <c r="A1243" s="103">
        <v>1241.0</v>
      </c>
      <c r="B1243" s="104" t="s">
        <v>2444</v>
      </c>
      <c r="C1243" s="104" t="s">
        <v>2414</v>
      </c>
      <c r="D1243" s="103">
        <v>0.0</v>
      </c>
      <c r="E1243" s="103">
        <v>0.0</v>
      </c>
      <c r="F1243" s="103">
        <v>0.0</v>
      </c>
      <c r="G1243" s="103">
        <v>8.0</v>
      </c>
      <c r="H1243" s="103">
        <v>0.0</v>
      </c>
      <c r="I1243" s="101"/>
      <c r="J1243" s="101"/>
      <c r="K1243" s="101"/>
      <c r="L1243" s="101"/>
      <c r="M1243" s="101"/>
      <c r="N1243" s="101"/>
      <c r="O1243" s="101"/>
      <c r="P1243" s="101"/>
      <c r="Q1243" s="101"/>
      <c r="R1243" s="101"/>
      <c r="S1243" s="101"/>
      <c r="T1243" s="101"/>
      <c r="U1243" s="101"/>
      <c r="V1243" s="101"/>
      <c r="W1243" s="101"/>
      <c r="X1243" s="101"/>
      <c r="Y1243" s="101"/>
      <c r="Z1243" s="101"/>
    </row>
    <row r="1244">
      <c r="A1244" s="105">
        <v>1242.0</v>
      </c>
      <c r="B1244" s="106" t="s">
        <v>2445</v>
      </c>
      <c r="C1244" s="106" t="s">
        <v>2414</v>
      </c>
      <c r="D1244" s="105">
        <v>0.0</v>
      </c>
      <c r="E1244" s="105">
        <v>0.0</v>
      </c>
      <c r="F1244" s="105">
        <v>0.0</v>
      </c>
      <c r="G1244" s="105">
        <v>8.0</v>
      </c>
      <c r="H1244" s="105">
        <v>0.0</v>
      </c>
      <c r="I1244" s="101"/>
      <c r="J1244" s="101"/>
      <c r="K1244" s="101"/>
      <c r="L1244" s="101"/>
      <c r="M1244" s="101"/>
      <c r="N1244" s="101"/>
      <c r="O1244" s="101"/>
      <c r="P1244" s="101"/>
      <c r="Q1244" s="101"/>
      <c r="R1244" s="101"/>
      <c r="S1244" s="101"/>
      <c r="T1244" s="101"/>
      <c r="U1244" s="101"/>
      <c r="V1244" s="101"/>
      <c r="W1244" s="101"/>
      <c r="X1244" s="101"/>
      <c r="Y1244" s="101"/>
      <c r="Z1244" s="101"/>
    </row>
    <row r="1245">
      <c r="A1245" s="103">
        <v>1243.0</v>
      </c>
      <c r="B1245" s="104" t="s">
        <v>2446</v>
      </c>
      <c r="C1245" s="104" t="s">
        <v>2414</v>
      </c>
      <c r="D1245" s="103">
        <v>0.0</v>
      </c>
      <c r="E1245" s="103">
        <v>0.0</v>
      </c>
      <c r="F1245" s="103">
        <v>0.0</v>
      </c>
      <c r="G1245" s="103">
        <v>8.0</v>
      </c>
      <c r="H1245" s="103">
        <v>0.0</v>
      </c>
      <c r="I1245" s="101"/>
      <c r="J1245" s="101"/>
      <c r="K1245" s="101"/>
      <c r="L1245" s="101"/>
      <c r="M1245" s="101"/>
      <c r="N1245" s="101"/>
      <c r="O1245" s="101"/>
      <c r="P1245" s="101"/>
      <c r="Q1245" s="101"/>
      <c r="R1245" s="101"/>
      <c r="S1245" s="101"/>
      <c r="T1245" s="101"/>
      <c r="U1245" s="101"/>
      <c r="V1245" s="101"/>
      <c r="W1245" s="101"/>
      <c r="X1245" s="101"/>
      <c r="Y1245" s="101"/>
      <c r="Z1245" s="101"/>
    </row>
    <row r="1246">
      <c r="A1246" s="105">
        <v>1244.0</v>
      </c>
      <c r="B1246" s="106" t="s">
        <v>2447</v>
      </c>
      <c r="C1246" s="106" t="s">
        <v>2414</v>
      </c>
      <c r="D1246" s="105">
        <v>1.0</v>
      </c>
      <c r="E1246" s="105">
        <v>0.0</v>
      </c>
      <c r="F1246" s="105">
        <v>0.0</v>
      </c>
      <c r="G1246" s="105">
        <v>7.0</v>
      </c>
      <c r="H1246" s="105">
        <v>0.0</v>
      </c>
      <c r="I1246" s="101"/>
      <c r="J1246" s="101"/>
      <c r="K1246" s="101"/>
      <c r="L1246" s="101"/>
      <c r="M1246" s="101"/>
      <c r="N1246" s="101"/>
      <c r="O1246" s="101"/>
      <c r="P1246" s="101"/>
      <c r="Q1246" s="101"/>
      <c r="R1246" s="101"/>
      <c r="S1246" s="101"/>
      <c r="T1246" s="101"/>
      <c r="U1246" s="101"/>
      <c r="V1246" s="101"/>
      <c r="W1246" s="101"/>
      <c r="X1246" s="101"/>
      <c r="Y1246" s="101"/>
      <c r="Z1246" s="101"/>
    </row>
    <row r="1247">
      <c r="A1247" s="103">
        <v>1245.0</v>
      </c>
      <c r="B1247" s="104" t="s">
        <v>2448</v>
      </c>
      <c r="C1247" s="104" t="s">
        <v>2414</v>
      </c>
      <c r="D1247" s="103">
        <v>0.0</v>
      </c>
      <c r="E1247" s="103">
        <v>0.0</v>
      </c>
      <c r="F1247" s="103">
        <v>0.0</v>
      </c>
      <c r="G1247" s="103">
        <v>8.0</v>
      </c>
      <c r="H1247" s="103">
        <v>0.0</v>
      </c>
      <c r="I1247" s="101"/>
      <c r="J1247" s="101"/>
      <c r="K1247" s="101"/>
      <c r="L1247" s="101"/>
      <c r="M1247" s="101"/>
      <c r="N1247" s="101"/>
      <c r="O1247" s="101"/>
      <c r="P1247" s="101"/>
      <c r="Q1247" s="101"/>
      <c r="R1247" s="101"/>
      <c r="S1247" s="101"/>
      <c r="T1247" s="101"/>
      <c r="U1247" s="101"/>
      <c r="V1247" s="101"/>
      <c r="W1247" s="101"/>
      <c r="X1247" s="101"/>
      <c r="Y1247" s="101"/>
      <c r="Z1247" s="101"/>
    </row>
    <row r="1248">
      <c r="A1248" s="105">
        <v>1246.0</v>
      </c>
      <c r="B1248" s="106" t="s">
        <v>2449</v>
      </c>
      <c r="C1248" s="106" t="s">
        <v>2414</v>
      </c>
      <c r="D1248" s="105">
        <v>0.0</v>
      </c>
      <c r="E1248" s="105">
        <v>0.0</v>
      </c>
      <c r="F1248" s="105">
        <v>0.0</v>
      </c>
      <c r="G1248" s="105">
        <v>8.0</v>
      </c>
      <c r="H1248" s="105">
        <v>0.0</v>
      </c>
      <c r="I1248" s="101"/>
      <c r="J1248" s="101"/>
      <c r="K1248" s="101"/>
      <c r="L1248" s="101"/>
      <c r="M1248" s="101"/>
      <c r="N1248" s="101"/>
      <c r="O1248" s="101"/>
      <c r="P1248" s="101"/>
      <c r="Q1248" s="101"/>
      <c r="R1248" s="101"/>
      <c r="S1248" s="101"/>
      <c r="T1248" s="101"/>
      <c r="U1248" s="101"/>
      <c r="V1248" s="101"/>
      <c r="W1248" s="101"/>
      <c r="X1248" s="101"/>
      <c r="Y1248" s="101"/>
      <c r="Z1248" s="101"/>
    </row>
    <row r="1249">
      <c r="A1249" s="103">
        <v>1247.0</v>
      </c>
      <c r="B1249" s="104" t="s">
        <v>2450</v>
      </c>
      <c r="C1249" s="104" t="s">
        <v>2238</v>
      </c>
      <c r="D1249" s="103">
        <v>0.0</v>
      </c>
      <c r="E1249" s="103">
        <v>0.0</v>
      </c>
      <c r="F1249" s="103">
        <v>0.0</v>
      </c>
      <c r="G1249" s="103">
        <v>8.0</v>
      </c>
      <c r="H1249" s="103">
        <v>0.0</v>
      </c>
      <c r="I1249" s="101"/>
      <c r="J1249" s="101"/>
      <c r="K1249" s="101"/>
      <c r="L1249" s="101"/>
      <c r="M1249" s="101"/>
      <c r="N1249" s="101"/>
      <c r="O1249" s="101"/>
      <c r="P1249" s="101"/>
      <c r="Q1249" s="101"/>
      <c r="R1249" s="101"/>
      <c r="S1249" s="101"/>
      <c r="T1249" s="101"/>
      <c r="U1249" s="101"/>
      <c r="V1249" s="101"/>
      <c r="W1249" s="101"/>
      <c r="X1249" s="101"/>
      <c r="Y1249" s="101"/>
      <c r="Z1249" s="101"/>
    </row>
    <row r="1250">
      <c r="A1250" s="105">
        <v>1248.0</v>
      </c>
      <c r="B1250" s="106" t="s">
        <v>2451</v>
      </c>
      <c r="C1250" s="106" t="s">
        <v>2238</v>
      </c>
      <c r="D1250" s="105">
        <v>0.0</v>
      </c>
      <c r="E1250" s="105">
        <v>0.0</v>
      </c>
      <c r="F1250" s="105">
        <v>0.0</v>
      </c>
      <c r="G1250" s="105">
        <v>8.0</v>
      </c>
      <c r="H1250" s="105">
        <v>0.0</v>
      </c>
      <c r="I1250" s="101"/>
      <c r="J1250" s="101"/>
      <c r="K1250" s="101"/>
      <c r="L1250" s="101"/>
      <c r="M1250" s="101"/>
      <c r="N1250" s="101"/>
      <c r="O1250" s="101"/>
      <c r="P1250" s="101"/>
      <c r="Q1250" s="101"/>
      <c r="R1250" s="101"/>
      <c r="S1250" s="101"/>
      <c r="T1250" s="101"/>
      <c r="U1250" s="101"/>
      <c r="V1250" s="101"/>
      <c r="W1250" s="101"/>
      <c r="X1250" s="101"/>
      <c r="Y1250" s="101"/>
      <c r="Z1250" s="101"/>
    </row>
    <row r="1251">
      <c r="A1251" s="103">
        <v>1249.0</v>
      </c>
      <c r="B1251" s="104" t="s">
        <v>2452</v>
      </c>
      <c r="C1251" s="104" t="s">
        <v>2238</v>
      </c>
      <c r="D1251" s="103">
        <v>0.0</v>
      </c>
      <c r="E1251" s="103">
        <v>0.0</v>
      </c>
      <c r="F1251" s="103">
        <v>0.0</v>
      </c>
      <c r="G1251" s="103">
        <v>8.0</v>
      </c>
      <c r="H1251" s="103">
        <v>0.0</v>
      </c>
      <c r="I1251" s="101"/>
      <c r="J1251" s="101"/>
      <c r="K1251" s="101"/>
      <c r="L1251" s="101"/>
      <c r="M1251" s="101"/>
      <c r="N1251" s="101"/>
      <c r="O1251" s="101"/>
      <c r="P1251" s="101"/>
      <c r="Q1251" s="101"/>
      <c r="R1251" s="101"/>
      <c r="S1251" s="101"/>
      <c r="T1251" s="101"/>
      <c r="U1251" s="101"/>
      <c r="V1251" s="101"/>
      <c r="W1251" s="101"/>
      <c r="X1251" s="101"/>
      <c r="Y1251" s="101"/>
      <c r="Z1251" s="101"/>
    </row>
    <row r="1252">
      <c r="A1252" s="105">
        <v>1250.0</v>
      </c>
      <c r="B1252" s="106" t="s">
        <v>2453</v>
      </c>
      <c r="C1252" s="106" t="s">
        <v>2238</v>
      </c>
      <c r="D1252" s="105">
        <v>0.0</v>
      </c>
      <c r="E1252" s="105">
        <v>0.0</v>
      </c>
      <c r="F1252" s="105">
        <v>0.0</v>
      </c>
      <c r="G1252" s="105">
        <v>8.0</v>
      </c>
      <c r="H1252" s="105">
        <v>0.0</v>
      </c>
      <c r="I1252" s="101"/>
      <c r="J1252" s="101"/>
      <c r="K1252" s="101"/>
      <c r="L1252" s="101"/>
      <c r="M1252" s="101"/>
      <c r="N1252" s="101"/>
      <c r="O1252" s="101"/>
      <c r="P1252" s="101"/>
      <c r="Q1252" s="101"/>
      <c r="R1252" s="101"/>
      <c r="S1252" s="101"/>
      <c r="T1252" s="101"/>
      <c r="U1252" s="101"/>
      <c r="V1252" s="101"/>
      <c r="W1252" s="101"/>
      <c r="X1252" s="101"/>
      <c r="Y1252" s="101"/>
      <c r="Z1252" s="101"/>
    </row>
    <row r="1253">
      <c r="A1253" s="103">
        <v>1251.0</v>
      </c>
      <c r="B1253" s="104" t="s">
        <v>2454</v>
      </c>
      <c r="C1253" s="104" t="s">
        <v>2238</v>
      </c>
      <c r="D1253" s="103">
        <v>0.0</v>
      </c>
      <c r="E1253" s="103">
        <v>0.0</v>
      </c>
      <c r="F1253" s="103">
        <v>0.0</v>
      </c>
      <c r="G1253" s="103">
        <v>8.0</v>
      </c>
      <c r="H1253" s="103">
        <v>0.0</v>
      </c>
      <c r="I1253" s="101"/>
      <c r="J1253" s="101"/>
      <c r="K1253" s="101"/>
      <c r="L1253" s="101"/>
      <c r="M1253" s="101"/>
      <c r="N1253" s="101"/>
      <c r="O1253" s="101"/>
      <c r="P1253" s="101"/>
      <c r="Q1253" s="101"/>
      <c r="R1253" s="101"/>
      <c r="S1253" s="101"/>
      <c r="T1253" s="101"/>
      <c r="U1253" s="101"/>
      <c r="V1253" s="101"/>
      <c r="W1253" s="101"/>
      <c r="X1253" s="101"/>
      <c r="Y1253" s="101"/>
      <c r="Z1253" s="101"/>
    </row>
    <row r="1254">
      <c r="A1254" s="105">
        <v>1252.0</v>
      </c>
      <c r="B1254" s="106" t="s">
        <v>2455</v>
      </c>
      <c r="C1254" s="106" t="s">
        <v>2238</v>
      </c>
      <c r="D1254" s="105">
        <v>0.0</v>
      </c>
      <c r="E1254" s="105">
        <v>0.0</v>
      </c>
      <c r="F1254" s="105">
        <v>0.0</v>
      </c>
      <c r="G1254" s="105">
        <v>8.0</v>
      </c>
      <c r="H1254" s="105">
        <v>0.0</v>
      </c>
      <c r="I1254" s="101"/>
      <c r="J1254" s="101"/>
      <c r="K1254" s="101"/>
      <c r="L1254" s="101"/>
      <c r="M1254" s="101"/>
      <c r="N1254" s="101"/>
      <c r="O1254" s="101"/>
      <c r="P1254" s="101"/>
      <c r="Q1254" s="101"/>
      <c r="R1254" s="101"/>
      <c r="S1254" s="101"/>
      <c r="T1254" s="101"/>
      <c r="U1254" s="101"/>
      <c r="V1254" s="101"/>
      <c r="W1254" s="101"/>
      <c r="X1254" s="101"/>
      <c r="Y1254" s="101"/>
      <c r="Z1254" s="101"/>
    </row>
    <row r="1255">
      <c r="A1255" s="103">
        <v>1253.0</v>
      </c>
      <c r="B1255" s="104" t="s">
        <v>2456</v>
      </c>
      <c r="C1255" s="104" t="s">
        <v>2238</v>
      </c>
      <c r="D1255" s="103">
        <v>0.0</v>
      </c>
      <c r="E1255" s="103">
        <v>0.0</v>
      </c>
      <c r="F1255" s="103">
        <v>0.0</v>
      </c>
      <c r="G1255" s="103">
        <v>8.0</v>
      </c>
      <c r="H1255" s="103">
        <v>0.0</v>
      </c>
      <c r="I1255" s="101"/>
      <c r="J1255" s="101"/>
      <c r="K1255" s="101"/>
      <c r="L1255" s="101"/>
      <c r="M1255" s="101"/>
      <c r="N1255" s="101"/>
      <c r="O1255" s="101"/>
      <c r="P1255" s="101"/>
      <c r="Q1255" s="101"/>
      <c r="R1255" s="101"/>
      <c r="S1255" s="101"/>
      <c r="T1255" s="101"/>
      <c r="U1255" s="101"/>
      <c r="V1255" s="101"/>
      <c r="W1255" s="101"/>
      <c r="X1255" s="101"/>
      <c r="Y1255" s="101"/>
      <c r="Z1255" s="101"/>
    </row>
    <row r="1256">
      <c r="A1256" s="105">
        <v>1254.0</v>
      </c>
      <c r="B1256" s="106" t="s">
        <v>2457</v>
      </c>
      <c r="C1256" s="106" t="s">
        <v>2238</v>
      </c>
      <c r="D1256" s="105">
        <v>0.0</v>
      </c>
      <c r="E1256" s="105">
        <v>0.0</v>
      </c>
      <c r="F1256" s="105">
        <v>0.0</v>
      </c>
      <c r="G1256" s="105">
        <v>8.0</v>
      </c>
      <c r="H1256" s="105">
        <v>0.0</v>
      </c>
      <c r="I1256" s="101"/>
      <c r="J1256" s="101"/>
      <c r="K1256" s="101"/>
      <c r="L1256" s="101"/>
      <c r="M1256" s="101"/>
      <c r="N1256" s="101"/>
      <c r="O1256" s="101"/>
      <c r="P1256" s="101"/>
      <c r="Q1256" s="101"/>
      <c r="R1256" s="101"/>
      <c r="S1256" s="101"/>
      <c r="T1256" s="101"/>
      <c r="U1256" s="101"/>
      <c r="V1256" s="101"/>
      <c r="W1256" s="101"/>
      <c r="X1256" s="101"/>
      <c r="Y1256" s="101"/>
      <c r="Z1256" s="101"/>
    </row>
    <row r="1257">
      <c r="A1257" s="103">
        <v>1255.0</v>
      </c>
      <c r="B1257" s="104" t="s">
        <v>2458</v>
      </c>
      <c r="C1257" s="104" t="s">
        <v>2238</v>
      </c>
      <c r="D1257" s="103">
        <v>0.0</v>
      </c>
      <c r="E1257" s="103">
        <v>0.0</v>
      </c>
      <c r="F1257" s="103">
        <v>0.0</v>
      </c>
      <c r="G1257" s="103">
        <v>8.0</v>
      </c>
      <c r="H1257" s="103">
        <v>0.0</v>
      </c>
      <c r="I1257" s="101"/>
      <c r="J1257" s="101"/>
      <c r="K1257" s="101"/>
      <c r="L1257" s="101"/>
      <c r="M1257" s="101"/>
      <c r="N1257" s="101"/>
      <c r="O1257" s="101"/>
      <c r="P1257" s="101"/>
      <c r="Q1257" s="101"/>
      <c r="R1257" s="101"/>
      <c r="S1257" s="101"/>
      <c r="T1257" s="101"/>
      <c r="U1257" s="101"/>
      <c r="V1257" s="101"/>
      <c r="W1257" s="101"/>
      <c r="X1257" s="101"/>
      <c r="Y1257" s="101"/>
      <c r="Z1257" s="101"/>
    </row>
    <row r="1258">
      <c r="A1258" s="105">
        <v>1256.0</v>
      </c>
      <c r="B1258" s="106" t="s">
        <v>2459</v>
      </c>
      <c r="C1258" s="106" t="s">
        <v>2238</v>
      </c>
      <c r="D1258" s="105">
        <v>0.0</v>
      </c>
      <c r="E1258" s="105">
        <v>0.0</v>
      </c>
      <c r="F1258" s="105">
        <v>0.0</v>
      </c>
      <c r="G1258" s="105">
        <v>8.0</v>
      </c>
      <c r="H1258" s="105">
        <v>0.0</v>
      </c>
      <c r="I1258" s="101"/>
      <c r="J1258" s="101"/>
      <c r="K1258" s="101"/>
      <c r="L1258" s="101"/>
      <c r="M1258" s="101"/>
      <c r="N1258" s="101"/>
      <c r="O1258" s="101"/>
      <c r="P1258" s="101"/>
      <c r="Q1258" s="101"/>
      <c r="R1258" s="101"/>
      <c r="S1258" s="101"/>
      <c r="T1258" s="101"/>
      <c r="U1258" s="101"/>
      <c r="V1258" s="101"/>
      <c r="W1258" s="101"/>
      <c r="X1258" s="101"/>
      <c r="Y1258" s="101"/>
      <c r="Z1258" s="101"/>
    </row>
    <row r="1259">
      <c r="A1259" s="103">
        <v>1257.0</v>
      </c>
      <c r="B1259" s="104" t="s">
        <v>2460</v>
      </c>
      <c r="C1259" s="104" t="s">
        <v>2238</v>
      </c>
      <c r="D1259" s="103">
        <v>0.0</v>
      </c>
      <c r="E1259" s="103">
        <v>0.0</v>
      </c>
      <c r="F1259" s="103">
        <v>0.0</v>
      </c>
      <c r="G1259" s="103">
        <v>8.0</v>
      </c>
      <c r="H1259" s="103">
        <v>0.0</v>
      </c>
      <c r="I1259" s="101"/>
      <c r="J1259" s="101"/>
      <c r="K1259" s="101"/>
      <c r="L1259" s="101"/>
      <c r="M1259" s="101"/>
      <c r="N1259" s="101"/>
      <c r="O1259" s="101"/>
      <c r="P1259" s="101"/>
      <c r="Q1259" s="101"/>
      <c r="R1259" s="101"/>
      <c r="S1259" s="101"/>
      <c r="T1259" s="101"/>
      <c r="U1259" s="101"/>
      <c r="V1259" s="101"/>
      <c r="W1259" s="101"/>
      <c r="X1259" s="101"/>
      <c r="Y1259" s="101"/>
      <c r="Z1259" s="101"/>
    </row>
    <row r="1260">
      <c r="A1260" s="105">
        <v>1258.0</v>
      </c>
      <c r="B1260" s="106" t="s">
        <v>2461</v>
      </c>
      <c r="C1260" s="106" t="s">
        <v>2238</v>
      </c>
      <c r="D1260" s="105">
        <v>0.0</v>
      </c>
      <c r="E1260" s="105">
        <v>0.0</v>
      </c>
      <c r="F1260" s="105">
        <v>0.0</v>
      </c>
      <c r="G1260" s="105">
        <v>8.0</v>
      </c>
      <c r="H1260" s="105">
        <v>0.0</v>
      </c>
      <c r="I1260" s="101"/>
      <c r="J1260" s="101"/>
      <c r="K1260" s="101"/>
      <c r="L1260" s="101"/>
      <c r="M1260" s="101"/>
      <c r="N1260" s="101"/>
      <c r="O1260" s="101"/>
      <c r="P1260" s="101"/>
      <c r="Q1260" s="101"/>
      <c r="R1260" s="101"/>
      <c r="S1260" s="101"/>
      <c r="T1260" s="101"/>
      <c r="U1260" s="101"/>
      <c r="V1260" s="101"/>
      <c r="W1260" s="101"/>
      <c r="X1260" s="101"/>
      <c r="Y1260" s="101"/>
      <c r="Z1260" s="101"/>
    </row>
    <row r="1261">
      <c r="A1261" s="103">
        <v>1259.0</v>
      </c>
      <c r="B1261" s="104" t="s">
        <v>2462</v>
      </c>
      <c r="C1261" s="104" t="s">
        <v>2238</v>
      </c>
      <c r="D1261" s="103">
        <v>0.0</v>
      </c>
      <c r="E1261" s="103">
        <v>0.0</v>
      </c>
      <c r="F1261" s="103">
        <v>0.0</v>
      </c>
      <c r="G1261" s="103">
        <v>8.0</v>
      </c>
      <c r="H1261" s="103">
        <v>0.0</v>
      </c>
      <c r="I1261" s="101"/>
      <c r="J1261" s="101"/>
      <c r="K1261" s="101"/>
      <c r="L1261" s="101"/>
      <c r="M1261" s="101"/>
      <c r="N1261" s="101"/>
      <c r="O1261" s="101"/>
      <c r="P1261" s="101"/>
      <c r="Q1261" s="101"/>
      <c r="R1261" s="101"/>
      <c r="S1261" s="101"/>
      <c r="T1261" s="101"/>
      <c r="U1261" s="101"/>
      <c r="V1261" s="101"/>
      <c r="W1261" s="101"/>
      <c r="X1261" s="101"/>
      <c r="Y1261" s="101"/>
      <c r="Z1261" s="101"/>
    </row>
    <row r="1262">
      <c r="A1262" s="105">
        <v>1260.0</v>
      </c>
      <c r="B1262" s="106" t="s">
        <v>2463</v>
      </c>
      <c r="C1262" s="106" t="s">
        <v>2238</v>
      </c>
      <c r="D1262" s="105">
        <v>0.0</v>
      </c>
      <c r="E1262" s="105">
        <v>0.0</v>
      </c>
      <c r="F1262" s="105">
        <v>0.0</v>
      </c>
      <c r="G1262" s="105">
        <v>8.0</v>
      </c>
      <c r="H1262" s="105">
        <v>0.0</v>
      </c>
      <c r="I1262" s="101"/>
      <c r="J1262" s="101"/>
      <c r="K1262" s="101"/>
      <c r="L1262" s="101"/>
      <c r="M1262" s="101"/>
      <c r="N1262" s="101"/>
      <c r="O1262" s="101"/>
      <c r="P1262" s="101"/>
      <c r="Q1262" s="101"/>
      <c r="R1262" s="101"/>
      <c r="S1262" s="101"/>
      <c r="T1262" s="101"/>
      <c r="U1262" s="101"/>
      <c r="V1262" s="101"/>
      <c r="W1262" s="101"/>
      <c r="X1262" s="101"/>
      <c r="Y1262" s="101"/>
      <c r="Z1262" s="101"/>
    </row>
    <row r="1263">
      <c r="A1263" s="103">
        <v>1261.0</v>
      </c>
      <c r="B1263" s="104" t="s">
        <v>2464</v>
      </c>
      <c r="C1263" s="104" t="s">
        <v>2238</v>
      </c>
      <c r="D1263" s="103">
        <v>0.0</v>
      </c>
      <c r="E1263" s="103">
        <v>0.0</v>
      </c>
      <c r="F1263" s="103">
        <v>0.0</v>
      </c>
      <c r="G1263" s="103">
        <v>8.0</v>
      </c>
      <c r="H1263" s="103">
        <v>0.0</v>
      </c>
      <c r="I1263" s="101"/>
      <c r="J1263" s="101"/>
      <c r="K1263" s="101"/>
      <c r="L1263" s="101"/>
      <c r="M1263" s="101"/>
      <c r="N1263" s="101"/>
      <c r="O1263" s="101"/>
      <c r="P1263" s="101"/>
      <c r="Q1263" s="101"/>
      <c r="R1263" s="101"/>
      <c r="S1263" s="101"/>
      <c r="T1263" s="101"/>
      <c r="U1263" s="101"/>
      <c r="V1263" s="101"/>
      <c r="W1263" s="101"/>
      <c r="X1263" s="101"/>
      <c r="Y1263" s="101"/>
      <c r="Z1263" s="101"/>
    </row>
    <row r="1264">
      <c r="A1264" s="105">
        <v>1262.0</v>
      </c>
      <c r="B1264" s="106" t="s">
        <v>2465</v>
      </c>
      <c r="C1264" s="106" t="s">
        <v>2238</v>
      </c>
      <c r="D1264" s="105">
        <v>0.0</v>
      </c>
      <c r="E1264" s="105">
        <v>0.0</v>
      </c>
      <c r="F1264" s="105">
        <v>0.0</v>
      </c>
      <c r="G1264" s="105">
        <v>8.0</v>
      </c>
      <c r="H1264" s="105">
        <v>0.0</v>
      </c>
      <c r="I1264" s="101"/>
      <c r="J1264" s="101"/>
      <c r="K1264" s="101"/>
      <c r="L1264" s="101"/>
      <c r="M1264" s="101"/>
      <c r="N1264" s="101"/>
      <c r="O1264" s="101"/>
      <c r="P1264" s="101"/>
      <c r="Q1264" s="101"/>
      <c r="R1264" s="101"/>
      <c r="S1264" s="101"/>
      <c r="T1264" s="101"/>
      <c r="U1264" s="101"/>
      <c r="V1264" s="101"/>
      <c r="W1264" s="101"/>
      <c r="X1264" s="101"/>
      <c r="Y1264" s="101"/>
      <c r="Z1264" s="101"/>
    </row>
    <row r="1265">
      <c r="A1265" s="103">
        <v>1263.0</v>
      </c>
      <c r="B1265" s="104" t="s">
        <v>2466</v>
      </c>
      <c r="C1265" s="104" t="s">
        <v>2238</v>
      </c>
      <c r="D1265" s="103">
        <v>0.0</v>
      </c>
      <c r="E1265" s="103">
        <v>0.0</v>
      </c>
      <c r="F1265" s="103">
        <v>0.0</v>
      </c>
      <c r="G1265" s="103">
        <v>8.0</v>
      </c>
      <c r="H1265" s="103">
        <v>0.0</v>
      </c>
      <c r="I1265" s="101"/>
      <c r="J1265" s="101"/>
      <c r="K1265" s="101"/>
      <c r="L1265" s="101"/>
      <c r="M1265" s="101"/>
      <c r="N1265" s="101"/>
      <c r="O1265" s="101"/>
      <c r="P1265" s="101"/>
      <c r="Q1265" s="101"/>
      <c r="R1265" s="101"/>
      <c r="S1265" s="101"/>
      <c r="T1265" s="101"/>
      <c r="U1265" s="101"/>
      <c r="V1265" s="101"/>
      <c r="W1265" s="101"/>
      <c r="X1265" s="101"/>
      <c r="Y1265" s="101"/>
      <c r="Z1265" s="101"/>
    </row>
    <row r="1266">
      <c r="A1266" s="105">
        <v>1264.0</v>
      </c>
      <c r="B1266" s="106" t="s">
        <v>2467</v>
      </c>
      <c r="C1266" s="106" t="s">
        <v>2238</v>
      </c>
      <c r="D1266" s="105">
        <v>0.0</v>
      </c>
      <c r="E1266" s="105">
        <v>0.0</v>
      </c>
      <c r="F1266" s="105">
        <v>0.0</v>
      </c>
      <c r="G1266" s="105">
        <v>8.0</v>
      </c>
      <c r="H1266" s="105">
        <v>0.0</v>
      </c>
      <c r="I1266" s="101"/>
      <c r="J1266" s="101"/>
      <c r="K1266" s="101"/>
      <c r="L1266" s="101"/>
      <c r="M1266" s="101"/>
      <c r="N1266" s="101"/>
      <c r="O1266" s="101"/>
      <c r="P1266" s="101"/>
      <c r="Q1266" s="101"/>
      <c r="R1266" s="101"/>
      <c r="S1266" s="101"/>
      <c r="T1266" s="101"/>
      <c r="U1266" s="101"/>
      <c r="V1266" s="101"/>
      <c r="W1266" s="101"/>
      <c r="X1266" s="101"/>
      <c r="Y1266" s="101"/>
      <c r="Z1266" s="101"/>
    </row>
    <row r="1267">
      <c r="A1267" s="103">
        <v>1265.0</v>
      </c>
      <c r="B1267" s="104" t="s">
        <v>2468</v>
      </c>
      <c r="C1267" s="104" t="s">
        <v>2238</v>
      </c>
      <c r="D1267" s="103">
        <v>0.0</v>
      </c>
      <c r="E1267" s="103">
        <v>0.0</v>
      </c>
      <c r="F1267" s="103">
        <v>0.0</v>
      </c>
      <c r="G1267" s="103">
        <v>8.0</v>
      </c>
      <c r="H1267" s="103">
        <v>0.0</v>
      </c>
      <c r="I1267" s="101"/>
      <c r="J1267" s="101"/>
      <c r="K1267" s="101"/>
      <c r="L1267" s="101"/>
      <c r="M1267" s="101"/>
      <c r="N1267" s="101"/>
      <c r="O1267" s="101"/>
      <c r="P1267" s="101"/>
      <c r="Q1267" s="101"/>
      <c r="R1267" s="101"/>
      <c r="S1267" s="101"/>
      <c r="T1267" s="101"/>
      <c r="U1267" s="101"/>
      <c r="V1267" s="101"/>
      <c r="W1267" s="101"/>
      <c r="X1267" s="101"/>
      <c r="Y1267" s="101"/>
      <c r="Z1267" s="101"/>
    </row>
    <row r="1268">
      <c r="A1268" s="105">
        <v>1266.0</v>
      </c>
      <c r="B1268" s="106" t="s">
        <v>2469</v>
      </c>
      <c r="C1268" s="106" t="s">
        <v>2238</v>
      </c>
      <c r="D1268" s="105">
        <v>0.0</v>
      </c>
      <c r="E1268" s="105">
        <v>0.0</v>
      </c>
      <c r="F1268" s="105">
        <v>0.0</v>
      </c>
      <c r="G1268" s="105">
        <v>8.0</v>
      </c>
      <c r="H1268" s="105">
        <v>0.0</v>
      </c>
      <c r="I1268" s="101"/>
      <c r="J1268" s="101"/>
      <c r="K1268" s="101"/>
      <c r="L1268" s="101"/>
      <c r="M1268" s="101"/>
      <c r="N1268" s="101"/>
      <c r="O1268" s="101"/>
      <c r="P1268" s="101"/>
      <c r="Q1268" s="101"/>
      <c r="R1268" s="101"/>
      <c r="S1268" s="101"/>
      <c r="T1268" s="101"/>
      <c r="U1268" s="101"/>
      <c r="V1268" s="101"/>
      <c r="W1268" s="101"/>
      <c r="X1268" s="101"/>
      <c r="Y1268" s="101"/>
      <c r="Z1268" s="101"/>
    </row>
    <row r="1269">
      <c r="A1269" s="103">
        <v>1267.0</v>
      </c>
      <c r="B1269" s="104" t="s">
        <v>2470</v>
      </c>
      <c r="C1269" s="104" t="s">
        <v>2238</v>
      </c>
      <c r="D1269" s="103">
        <v>0.0</v>
      </c>
      <c r="E1269" s="103">
        <v>0.0</v>
      </c>
      <c r="F1269" s="103">
        <v>0.0</v>
      </c>
      <c r="G1269" s="103">
        <v>8.0</v>
      </c>
      <c r="H1269" s="103">
        <v>0.0</v>
      </c>
      <c r="I1269" s="101"/>
      <c r="J1269" s="101"/>
      <c r="K1269" s="101"/>
      <c r="L1269" s="101"/>
      <c r="M1269" s="101"/>
      <c r="N1269" s="101"/>
      <c r="O1269" s="101"/>
      <c r="P1269" s="101"/>
      <c r="Q1269" s="101"/>
      <c r="R1269" s="101"/>
      <c r="S1269" s="101"/>
      <c r="T1269" s="101"/>
      <c r="U1269" s="101"/>
      <c r="V1269" s="101"/>
      <c r="W1269" s="101"/>
      <c r="X1269" s="101"/>
      <c r="Y1269" s="101"/>
      <c r="Z1269" s="101"/>
    </row>
    <row r="1270">
      <c r="A1270" s="105">
        <v>1268.0</v>
      </c>
      <c r="B1270" s="106" t="s">
        <v>2471</v>
      </c>
      <c r="C1270" s="106" t="s">
        <v>2238</v>
      </c>
      <c r="D1270" s="105">
        <v>0.0</v>
      </c>
      <c r="E1270" s="105">
        <v>0.0</v>
      </c>
      <c r="F1270" s="105">
        <v>0.0</v>
      </c>
      <c r="G1270" s="105">
        <v>8.0</v>
      </c>
      <c r="H1270" s="105">
        <v>0.0</v>
      </c>
      <c r="I1270" s="101"/>
      <c r="J1270" s="101"/>
      <c r="K1270" s="101"/>
      <c r="L1270" s="101"/>
      <c r="M1270" s="101"/>
      <c r="N1270" s="101"/>
      <c r="O1270" s="101"/>
      <c r="P1270" s="101"/>
      <c r="Q1270" s="101"/>
      <c r="R1270" s="101"/>
      <c r="S1270" s="101"/>
      <c r="T1270" s="101"/>
      <c r="U1270" s="101"/>
      <c r="V1270" s="101"/>
      <c r="W1270" s="101"/>
      <c r="X1270" s="101"/>
      <c r="Y1270" s="101"/>
      <c r="Z1270" s="101"/>
    </row>
    <row r="1271">
      <c r="A1271" s="103">
        <v>1269.0</v>
      </c>
      <c r="B1271" s="104" t="s">
        <v>2472</v>
      </c>
      <c r="C1271" s="104" t="s">
        <v>2238</v>
      </c>
      <c r="D1271" s="103">
        <v>0.0</v>
      </c>
      <c r="E1271" s="103">
        <v>0.0</v>
      </c>
      <c r="F1271" s="103">
        <v>0.0</v>
      </c>
      <c r="G1271" s="103">
        <v>8.0</v>
      </c>
      <c r="H1271" s="103">
        <v>0.0</v>
      </c>
      <c r="I1271" s="101"/>
      <c r="J1271" s="101"/>
      <c r="K1271" s="101"/>
      <c r="L1271" s="101"/>
      <c r="M1271" s="101"/>
      <c r="N1271" s="101"/>
      <c r="O1271" s="101"/>
      <c r="P1271" s="101"/>
      <c r="Q1271" s="101"/>
      <c r="R1271" s="101"/>
      <c r="S1271" s="101"/>
      <c r="T1271" s="101"/>
      <c r="U1271" s="101"/>
      <c r="V1271" s="101"/>
      <c r="W1271" s="101"/>
      <c r="X1271" s="101"/>
      <c r="Y1271" s="101"/>
      <c r="Z1271" s="101"/>
    </row>
    <row r="1272">
      <c r="A1272" s="105">
        <v>1270.0</v>
      </c>
      <c r="B1272" s="106" t="s">
        <v>2473</v>
      </c>
      <c r="C1272" s="106" t="s">
        <v>2238</v>
      </c>
      <c r="D1272" s="105">
        <v>0.0</v>
      </c>
      <c r="E1272" s="105">
        <v>0.0</v>
      </c>
      <c r="F1272" s="105">
        <v>0.0</v>
      </c>
      <c r="G1272" s="105">
        <v>8.0</v>
      </c>
      <c r="H1272" s="105">
        <v>0.0</v>
      </c>
      <c r="I1272" s="101"/>
      <c r="J1272" s="101"/>
      <c r="K1272" s="101"/>
      <c r="L1272" s="101"/>
      <c r="M1272" s="101"/>
      <c r="N1272" s="101"/>
      <c r="O1272" s="101"/>
      <c r="P1272" s="101"/>
      <c r="Q1272" s="101"/>
      <c r="R1272" s="101"/>
      <c r="S1272" s="101"/>
      <c r="T1272" s="101"/>
      <c r="U1272" s="101"/>
      <c r="V1272" s="101"/>
      <c r="W1272" s="101"/>
      <c r="X1272" s="101"/>
      <c r="Y1272" s="101"/>
      <c r="Z1272" s="101"/>
    </row>
    <row r="1273">
      <c r="A1273" s="103">
        <v>1271.0</v>
      </c>
      <c r="B1273" s="104" t="s">
        <v>2474</v>
      </c>
      <c r="C1273" s="104" t="s">
        <v>2238</v>
      </c>
      <c r="D1273" s="103">
        <v>0.0</v>
      </c>
      <c r="E1273" s="103">
        <v>0.0</v>
      </c>
      <c r="F1273" s="103">
        <v>0.0</v>
      </c>
      <c r="G1273" s="103">
        <v>8.0</v>
      </c>
      <c r="H1273" s="103">
        <v>0.0</v>
      </c>
      <c r="I1273" s="101"/>
      <c r="J1273" s="101"/>
      <c r="K1273" s="101"/>
      <c r="L1273" s="101"/>
      <c r="M1273" s="101"/>
      <c r="N1273" s="101"/>
      <c r="O1273" s="101"/>
      <c r="P1273" s="101"/>
      <c r="Q1273" s="101"/>
      <c r="R1273" s="101"/>
      <c r="S1273" s="101"/>
      <c r="T1273" s="101"/>
      <c r="U1273" s="101"/>
      <c r="V1273" s="101"/>
      <c r="W1273" s="101"/>
      <c r="X1273" s="101"/>
      <c r="Y1273" s="101"/>
      <c r="Z1273" s="101"/>
    </row>
    <row r="1274">
      <c r="A1274" s="105">
        <v>1272.0</v>
      </c>
      <c r="B1274" s="106" t="s">
        <v>2475</v>
      </c>
      <c r="C1274" s="106" t="s">
        <v>2238</v>
      </c>
      <c r="D1274" s="105">
        <v>0.0</v>
      </c>
      <c r="E1274" s="105">
        <v>0.0</v>
      </c>
      <c r="F1274" s="105">
        <v>0.0</v>
      </c>
      <c r="G1274" s="105">
        <v>8.0</v>
      </c>
      <c r="H1274" s="105">
        <v>0.0</v>
      </c>
      <c r="I1274" s="101"/>
      <c r="J1274" s="101"/>
      <c r="K1274" s="101"/>
      <c r="L1274" s="101"/>
      <c r="M1274" s="101"/>
      <c r="N1274" s="101"/>
      <c r="O1274" s="101"/>
      <c r="P1274" s="101"/>
      <c r="Q1274" s="101"/>
      <c r="R1274" s="101"/>
      <c r="S1274" s="101"/>
      <c r="T1274" s="101"/>
      <c r="U1274" s="101"/>
      <c r="V1274" s="101"/>
      <c r="W1274" s="101"/>
      <c r="X1274" s="101"/>
      <c r="Y1274" s="101"/>
      <c r="Z1274" s="101"/>
    </row>
    <row r="1275">
      <c r="A1275" s="103">
        <v>1273.0</v>
      </c>
      <c r="B1275" s="104" t="s">
        <v>2476</v>
      </c>
      <c r="C1275" s="104" t="s">
        <v>2238</v>
      </c>
      <c r="D1275" s="103">
        <v>0.0</v>
      </c>
      <c r="E1275" s="103">
        <v>0.0</v>
      </c>
      <c r="F1275" s="103">
        <v>0.0</v>
      </c>
      <c r="G1275" s="103">
        <v>8.0</v>
      </c>
      <c r="H1275" s="103">
        <v>0.0</v>
      </c>
      <c r="I1275" s="101"/>
      <c r="J1275" s="101"/>
      <c r="K1275" s="101"/>
      <c r="L1275" s="101"/>
      <c r="M1275" s="101"/>
      <c r="N1275" s="101"/>
      <c r="O1275" s="101"/>
      <c r="P1275" s="101"/>
      <c r="Q1275" s="101"/>
      <c r="R1275" s="101"/>
      <c r="S1275" s="101"/>
      <c r="T1275" s="101"/>
      <c r="U1275" s="101"/>
      <c r="V1275" s="101"/>
      <c r="W1275" s="101"/>
      <c r="X1275" s="101"/>
      <c r="Y1275" s="101"/>
      <c r="Z1275" s="101"/>
    </row>
    <row r="1276">
      <c r="A1276" s="105">
        <v>1274.0</v>
      </c>
      <c r="B1276" s="106" t="s">
        <v>2477</v>
      </c>
      <c r="C1276" s="106" t="s">
        <v>2238</v>
      </c>
      <c r="D1276" s="105">
        <v>0.0</v>
      </c>
      <c r="E1276" s="105">
        <v>0.0</v>
      </c>
      <c r="F1276" s="105">
        <v>0.0</v>
      </c>
      <c r="G1276" s="105">
        <v>8.0</v>
      </c>
      <c r="H1276" s="105">
        <v>0.0</v>
      </c>
      <c r="I1276" s="101"/>
      <c r="J1276" s="101"/>
      <c r="K1276" s="101"/>
      <c r="L1276" s="101"/>
      <c r="M1276" s="101"/>
      <c r="N1276" s="101"/>
      <c r="O1276" s="101"/>
      <c r="P1276" s="101"/>
      <c r="Q1276" s="101"/>
      <c r="R1276" s="101"/>
      <c r="S1276" s="101"/>
      <c r="T1276" s="101"/>
      <c r="U1276" s="101"/>
      <c r="V1276" s="101"/>
      <c r="W1276" s="101"/>
      <c r="X1276" s="101"/>
      <c r="Y1276" s="101"/>
      <c r="Z1276" s="101"/>
    </row>
    <row r="1277">
      <c r="A1277" s="103">
        <v>1275.0</v>
      </c>
      <c r="B1277" s="104" t="s">
        <v>2478</v>
      </c>
      <c r="C1277" s="104" t="s">
        <v>2238</v>
      </c>
      <c r="D1277" s="103">
        <v>0.0</v>
      </c>
      <c r="E1277" s="103">
        <v>0.0</v>
      </c>
      <c r="F1277" s="103">
        <v>0.0</v>
      </c>
      <c r="G1277" s="103">
        <v>8.0</v>
      </c>
      <c r="H1277" s="103">
        <v>0.0</v>
      </c>
      <c r="I1277" s="101"/>
      <c r="J1277" s="101"/>
      <c r="K1277" s="101"/>
      <c r="L1277" s="101"/>
      <c r="M1277" s="101"/>
      <c r="N1277" s="101"/>
      <c r="O1277" s="101"/>
      <c r="P1277" s="101"/>
      <c r="Q1277" s="101"/>
      <c r="R1277" s="101"/>
      <c r="S1277" s="101"/>
      <c r="T1277" s="101"/>
      <c r="U1277" s="101"/>
      <c r="V1277" s="101"/>
      <c r="W1277" s="101"/>
      <c r="X1277" s="101"/>
      <c r="Y1277" s="101"/>
      <c r="Z1277" s="101"/>
    </row>
    <row r="1278">
      <c r="A1278" s="105">
        <v>1276.0</v>
      </c>
      <c r="B1278" s="106" t="s">
        <v>2479</v>
      </c>
      <c r="C1278" s="106" t="s">
        <v>2238</v>
      </c>
      <c r="D1278" s="105">
        <v>0.0</v>
      </c>
      <c r="E1278" s="105">
        <v>0.0</v>
      </c>
      <c r="F1278" s="105">
        <v>0.0</v>
      </c>
      <c r="G1278" s="105">
        <v>8.0</v>
      </c>
      <c r="H1278" s="105">
        <v>0.0</v>
      </c>
      <c r="I1278" s="101"/>
      <c r="J1278" s="101"/>
      <c r="K1278" s="101"/>
      <c r="L1278" s="101"/>
      <c r="M1278" s="101"/>
      <c r="N1278" s="101"/>
      <c r="O1278" s="101"/>
      <c r="P1278" s="101"/>
      <c r="Q1278" s="101"/>
      <c r="R1278" s="101"/>
      <c r="S1278" s="101"/>
      <c r="T1278" s="101"/>
      <c r="U1278" s="101"/>
      <c r="V1278" s="101"/>
      <c r="W1278" s="101"/>
      <c r="X1278" s="101"/>
      <c r="Y1278" s="101"/>
      <c r="Z1278" s="101"/>
    </row>
    <row r="1279">
      <c r="A1279" s="103">
        <v>1277.0</v>
      </c>
      <c r="B1279" s="104" t="s">
        <v>2480</v>
      </c>
      <c r="C1279" s="104" t="s">
        <v>2238</v>
      </c>
      <c r="D1279" s="103">
        <v>0.0</v>
      </c>
      <c r="E1279" s="103">
        <v>0.0</v>
      </c>
      <c r="F1279" s="103">
        <v>0.0</v>
      </c>
      <c r="G1279" s="103">
        <v>8.0</v>
      </c>
      <c r="H1279" s="103">
        <v>0.0</v>
      </c>
      <c r="I1279" s="101"/>
      <c r="J1279" s="101"/>
      <c r="K1279" s="101"/>
      <c r="L1279" s="101"/>
      <c r="M1279" s="101"/>
      <c r="N1279" s="101"/>
      <c r="O1279" s="101"/>
      <c r="P1279" s="101"/>
      <c r="Q1279" s="101"/>
      <c r="R1279" s="101"/>
      <c r="S1279" s="101"/>
      <c r="T1279" s="101"/>
      <c r="U1279" s="101"/>
      <c r="V1279" s="101"/>
      <c r="W1279" s="101"/>
      <c r="X1279" s="101"/>
      <c r="Y1279" s="101"/>
      <c r="Z1279" s="101"/>
    </row>
    <row r="1280">
      <c r="A1280" s="105">
        <v>1278.0</v>
      </c>
      <c r="B1280" s="106" t="s">
        <v>2481</v>
      </c>
      <c r="C1280" s="106" t="s">
        <v>2238</v>
      </c>
      <c r="D1280" s="105">
        <v>0.0</v>
      </c>
      <c r="E1280" s="105">
        <v>0.0</v>
      </c>
      <c r="F1280" s="105">
        <v>0.0</v>
      </c>
      <c r="G1280" s="105">
        <v>8.0</v>
      </c>
      <c r="H1280" s="105">
        <v>0.0</v>
      </c>
      <c r="I1280" s="101"/>
      <c r="J1280" s="101"/>
      <c r="K1280" s="101"/>
      <c r="L1280" s="101"/>
      <c r="M1280" s="101"/>
      <c r="N1280" s="101"/>
      <c r="O1280" s="101"/>
      <c r="P1280" s="101"/>
      <c r="Q1280" s="101"/>
      <c r="R1280" s="101"/>
      <c r="S1280" s="101"/>
      <c r="T1280" s="101"/>
      <c r="U1280" s="101"/>
      <c r="V1280" s="101"/>
      <c r="W1280" s="101"/>
      <c r="X1280" s="101"/>
      <c r="Y1280" s="101"/>
      <c r="Z1280" s="101"/>
    </row>
    <row r="1281">
      <c r="A1281" s="103">
        <v>1279.0</v>
      </c>
      <c r="B1281" s="104" t="s">
        <v>2482</v>
      </c>
      <c r="C1281" s="104" t="s">
        <v>2238</v>
      </c>
      <c r="D1281" s="103">
        <v>0.0</v>
      </c>
      <c r="E1281" s="103">
        <v>0.0</v>
      </c>
      <c r="F1281" s="103">
        <v>0.0</v>
      </c>
      <c r="G1281" s="103">
        <v>8.0</v>
      </c>
      <c r="H1281" s="103">
        <v>0.0</v>
      </c>
      <c r="I1281" s="101"/>
      <c r="J1281" s="101"/>
      <c r="K1281" s="101"/>
      <c r="L1281" s="101"/>
      <c r="M1281" s="101"/>
      <c r="N1281" s="101"/>
      <c r="O1281" s="101"/>
      <c r="P1281" s="101"/>
      <c r="Q1281" s="101"/>
      <c r="R1281" s="101"/>
      <c r="S1281" s="101"/>
      <c r="T1281" s="101"/>
      <c r="U1281" s="101"/>
      <c r="V1281" s="101"/>
      <c r="W1281" s="101"/>
      <c r="X1281" s="101"/>
      <c r="Y1281" s="101"/>
      <c r="Z1281" s="101"/>
    </row>
    <row r="1282">
      <c r="A1282" s="105">
        <v>1280.0</v>
      </c>
      <c r="B1282" s="106" t="s">
        <v>2483</v>
      </c>
      <c r="C1282" s="106" t="s">
        <v>2238</v>
      </c>
      <c r="D1282" s="105">
        <v>0.0</v>
      </c>
      <c r="E1282" s="105">
        <v>0.0</v>
      </c>
      <c r="F1282" s="105">
        <v>0.0</v>
      </c>
      <c r="G1282" s="105">
        <v>8.0</v>
      </c>
      <c r="H1282" s="105">
        <v>0.0</v>
      </c>
      <c r="I1282" s="101"/>
      <c r="J1282" s="101"/>
      <c r="K1282" s="101"/>
      <c r="L1282" s="101"/>
      <c r="M1282" s="101"/>
      <c r="N1282" s="101"/>
      <c r="O1282" s="101"/>
      <c r="P1282" s="101"/>
      <c r="Q1282" s="101"/>
      <c r="R1282" s="101"/>
      <c r="S1282" s="101"/>
      <c r="T1282" s="101"/>
      <c r="U1282" s="101"/>
      <c r="V1282" s="101"/>
      <c r="W1282" s="101"/>
      <c r="X1282" s="101"/>
      <c r="Y1282" s="101"/>
      <c r="Z1282" s="101"/>
    </row>
    <row r="1283">
      <c r="A1283" s="103">
        <v>1281.0</v>
      </c>
      <c r="B1283" s="104" t="s">
        <v>2484</v>
      </c>
      <c r="C1283" s="104" t="s">
        <v>2485</v>
      </c>
      <c r="D1283" s="103">
        <v>0.0</v>
      </c>
      <c r="E1283" s="103">
        <v>0.0</v>
      </c>
      <c r="F1283" s="103">
        <v>0.0</v>
      </c>
      <c r="G1283" s="103">
        <v>8.0</v>
      </c>
      <c r="H1283" s="103">
        <v>0.0</v>
      </c>
      <c r="I1283" s="101"/>
      <c r="J1283" s="101"/>
      <c r="K1283" s="101"/>
      <c r="L1283" s="101"/>
      <c r="M1283" s="101"/>
      <c r="N1283" s="101"/>
      <c r="O1283" s="101"/>
      <c r="P1283" s="101"/>
      <c r="Q1283" s="101"/>
      <c r="R1283" s="101"/>
      <c r="S1283" s="101"/>
      <c r="T1283" s="101"/>
      <c r="U1283" s="101"/>
      <c r="V1283" s="101"/>
      <c r="W1283" s="101"/>
      <c r="X1283" s="101"/>
      <c r="Y1283" s="101"/>
      <c r="Z1283" s="101"/>
    </row>
    <row r="1284">
      <c r="A1284" s="105">
        <v>1282.0</v>
      </c>
      <c r="B1284" s="106" t="s">
        <v>2486</v>
      </c>
      <c r="C1284" s="106" t="s">
        <v>2485</v>
      </c>
      <c r="D1284" s="105">
        <v>0.0</v>
      </c>
      <c r="E1284" s="105">
        <v>0.0</v>
      </c>
      <c r="F1284" s="105">
        <v>0.0</v>
      </c>
      <c r="G1284" s="105">
        <v>8.0</v>
      </c>
      <c r="H1284" s="105">
        <v>0.0</v>
      </c>
      <c r="I1284" s="101"/>
      <c r="J1284" s="101"/>
      <c r="K1284" s="101"/>
      <c r="L1284" s="101"/>
      <c r="M1284" s="101"/>
      <c r="N1284" s="101"/>
      <c r="O1284" s="101"/>
      <c r="P1284" s="101"/>
      <c r="Q1284" s="101"/>
      <c r="R1284" s="101"/>
      <c r="S1284" s="101"/>
      <c r="T1284" s="101"/>
      <c r="U1284" s="101"/>
      <c r="V1284" s="101"/>
      <c r="W1284" s="101"/>
      <c r="X1284" s="101"/>
      <c r="Y1284" s="101"/>
      <c r="Z1284" s="101"/>
    </row>
    <row r="1285">
      <c r="A1285" s="103">
        <v>1283.0</v>
      </c>
      <c r="B1285" s="104" t="s">
        <v>2487</v>
      </c>
      <c r="C1285" s="104" t="s">
        <v>2485</v>
      </c>
      <c r="D1285" s="103">
        <v>0.0</v>
      </c>
      <c r="E1285" s="103">
        <v>0.0</v>
      </c>
      <c r="F1285" s="103">
        <v>0.0</v>
      </c>
      <c r="G1285" s="103">
        <v>8.0</v>
      </c>
      <c r="H1285" s="103">
        <v>0.0</v>
      </c>
      <c r="I1285" s="101"/>
      <c r="J1285" s="101"/>
      <c r="K1285" s="101"/>
      <c r="L1285" s="101"/>
      <c r="M1285" s="101"/>
      <c r="N1285" s="101"/>
      <c r="O1285" s="101"/>
      <c r="P1285" s="101"/>
      <c r="Q1285" s="101"/>
      <c r="R1285" s="101"/>
      <c r="S1285" s="101"/>
      <c r="T1285" s="101"/>
      <c r="U1285" s="101"/>
      <c r="V1285" s="101"/>
      <c r="W1285" s="101"/>
      <c r="X1285" s="101"/>
      <c r="Y1285" s="101"/>
      <c r="Z1285" s="101"/>
    </row>
    <row r="1286">
      <c r="A1286" s="105">
        <v>1284.0</v>
      </c>
      <c r="B1286" s="106" t="s">
        <v>2488</v>
      </c>
      <c r="C1286" s="106" t="s">
        <v>2485</v>
      </c>
      <c r="D1286" s="105">
        <v>0.0</v>
      </c>
      <c r="E1286" s="105">
        <v>0.0</v>
      </c>
      <c r="F1286" s="105">
        <v>0.0</v>
      </c>
      <c r="G1286" s="105">
        <v>8.0</v>
      </c>
      <c r="H1286" s="105">
        <v>0.0</v>
      </c>
      <c r="I1286" s="101"/>
      <c r="J1286" s="101"/>
      <c r="K1286" s="101"/>
      <c r="L1286" s="101"/>
      <c r="M1286" s="101"/>
      <c r="N1286" s="101"/>
      <c r="O1286" s="101"/>
      <c r="P1286" s="101"/>
      <c r="Q1286" s="101"/>
      <c r="R1286" s="101"/>
      <c r="S1286" s="101"/>
      <c r="T1286" s="101"/>
      <c r="U1286" s="101"/>
      <c r="V1286" s="101"/>
      <c r="W1286" s="101"/>
      <c r="X1286" s="101"/>
      <c r="Y1286" s="101"/>
      <c r="Z1286" s="101"/>
    </row>
    <row r="1287">
      <c r="A1287" s="103">
        <v>1285.0</v>
      </c>
      <c r="B1287" s="104" t="s">
        <v>2489</v>
      </c>
      <c r="C1287" s="104" t="s">
        <v>2485</v>
      </c>
      <c r="D1287" s="103">
        <v>0.0</v>
      </c>
      <c r="E1287" s="103">
        <v>0.0</v>
      </c>
      <c r="F1287" s="103">
        <v>0.0</v>
      </c>
      <c r="G1287" s="103">
        <v>8.0</v>
      </c>
      <c r="H1287" s="103">
        <v>0.0</v>
      </c>
      <c r="I1287" s="101"/>
      <c r="J1287" s="101"/>
      <c r="K1287" s="101"/>
      <c r="L1287" s="101"/>
      <c r="M1287" s="101"/>
      <c r="N1287" s="101"/>
      <c r="O1287" s="101"/>
      <c r="P1287" s="101"/>
      <c r="Q1287" s="101"/>
      <c r="R1287" s="101"/>
      <c r="S1287" s="101"/>
      <c r="T1287" s="101"/>
      <c r="U1287" s="101"/>
      <c r="V1287" s="101"/>
      <c r="W1287" s="101"/>
      <c r="X1287" s="101"/>
      <c r="Y1287" s="101"/>
      <c r="Z1287" s="101"/>
    </row>
    <row r="1288">
      <c r="A1288" s="105">
        <v>1286.0</v>
      </c>
      <c r="B1288" s="106" t="s">
        <v>2490</v>
      </c>
      <c r="C1288" s="106" t="s">
        <v>2485</v>
      </c>
      <c r="D1288" s="105">
        <v>0.0</v>
      </c>
      <c r="E1288" s="105">
        <v>0.0</v>
      </c>
      <c r="F1288" s="105">
        <v>0.0</v>
      </c>
      <c r="G1288" s="105">
        <v>8.0</v>
      </c>
      <c r="H1288" s="105">
        <v>0.0</v>
      </c>
      <c r="I1288" s="101"/>
      <c r="J1288" s="101"/>
      <c r="K1288" s="101"/>
      <c r="L1288" s="101"/>
      <c r="M1288" s="101"/>
      <c r="N1288" s="101"/>
      <c r="O1288" s="101"/>
      <c r="P1288" s="101"/>
      <c r="Q1288" s="101"/>
      <c r="R1288" s="101"/>
      <c r="S1288" s="101"/>
      <c r="T1288" s="101"/>
      <c r="U1288" s="101"/>
      <c r="V1288" s="101"/>
      <c r="W1288" s="101"/>
      <c r="X1288" s="101"/>
      <c r="Y1288" s="101"/>
      <c r="Z1288" s="101"/>
    </row>
    <row r="1289">
      <c r="A1289" s="103">
        <v>1287.0</v>
      </c>
      <c r="B1289" s="104" t="s">
        <v>2491</v>
      </c>
      <c r="C1289" s="104" t="s">
        <v>2485</v>
      </c>
      <c r="D1289" s="103">
        <v>0.0</v>
      </c>
      <c r="E1289" s="103">
        <v>0.0</v>
      </c>
      <c r="F1289" s="103">
        <v>0.0</v>
      </c>
      <c r="G1289" s="103">
        <v>8.0</v>
      </c>
      <c r="H1289" s="103">
        <v>0.0</v>
      </c>
      <c r="I1289" s="101"/>
      <c r="J1289" s="101"/>
      <c r="K1289" s="101"/>
      <c r="L1289" s="101"/>
      <c r="M1289" s="101"/>
      <c r="N1289" s="101"/>
      <c r="O1289" s="101"/>
      <c r="P1289" s="101"/>
      <c r="Q1289" s="101"/>
      <c r="R1289" s="101"/>
      <c r="S1289" s="101"/>
      <c r="T1289" s="101"/>
      <c r="U1289" s="101"/>
      <c r="V1289" s="101"/>
      <c r="W1289" s="101"/>
      <c r="X1289" s="101"/>
      <c r="Y1289" s="101"/>
      <c r="Z1289" s="101"/>
    </row>
    <row r="1290">
      <c r="A1290" s="105">
        <v>1288.0</v>
      </c>
      <c r="B1290" s="106" t="s">
        <v>2492</v>
      </c>
      <c r="C1290" s="106" t="s">
        <v>2485</v>
      </c>
      <c r="D1290" s="105">
        <v>0.0</v>
      </c>
      <c r="E1290" s="105">
        <v>0.0</v>
      </c>
      <c r="F1290" s="105">
        <v>0.0</v>
      </c>
      <c r="G1290" s="105">
        <v>8.0</v>
      </c>
      <c r="H1290" s="105">
        <v>0.0</v>
      </c>
      <c r="I1290" s="101"/>
      <c r="J1290" s="101"/>
      <c r="K1290" s="101"/>
      <c r="L1290" s="101"/>
      <c r="M1290" s="101"/>
      <c r="N1290" s="101"/>
      <c r="O1290" s="101"/>
      <c r="P1290" s="101"/>
      <c r="Q1290" s="101"/>
      <c r="R1290" s="101"/>
      <c r="S1290" s="101"/>
      <c r="T1290" s="101"/>
      <c r="U1290" s="101"/>
      <c r="V1290" s="101"/>
      <c r="W1290" s="101"/>
      <c r="X1290" s="101"/>
      <c r="Y1290" s="101"/>
      <c r="Z1290" s="101"/>
    </row>
    <row r="1291">
      <c r="A1291" s="103">
        <v>1289.0</v>
      </c>
      <c r="B1291" s="104" t="s">
        <v>2493</v>
      </c>
      <c r="C1291" s="104" t="s">
        <v>2485</v>
      </c>
      <c r="D1291" s="103">
        <v>0.0</v>
      </c>
      <c r="E1291" s="103">
        <v>0.0</v>
      </c>
      <c r="F1291" s="103">
        <v>0.0</v>
      </c>
      <c r="G1291" s="103">
        <v>8.0</v>
      </c>
      <c r="H1291" s="103">
        <v>0.0</v>
      </c>
      <c r="I1291" s="101"/>
      <c r="J1291" s="101"/>
      <c r="K1291" s="101"/>
      <c r="L1291" s="101"/>
      <c r="M1291" s="101"/>
      <c r="N1291" s="101"/>
      <c r="O1291" s="101"/>
      <c r="P1291" s="101"/>
      <c r="Q1291" s="101"/>
      <c r="R1291" s="101"/>
      <c r="S1291" s="101"/>
      <c r="T1291" s="101"/>
      <c r="U1291" s="101"/>
      <c r="V1291" s="101"/>
      <c r="W1291" s="101"/>
      <c r="X1291" s="101"/>
      <c r="Y1291" s="101"/>
      <c r="Z1291" s="101"/>
    </row>
    <row r="1292">
      <c r="A1292" s="105">
        <v>1290.0</v>
      </c>
      <c r="B1292" s="106" t="s">
        <v>2494</v>
      </c>
      <c r="C1292" s="106" t="s">
        <v>2485</v>
      </c>
      <c r="D1292" s="105">
        <v>0.0</v>
      </c>
      <c r="E1292" s="105">
        <v>0.0</v>
      </c>
      <c r="F1292" s="105">
        <v>0.0</v>
      </c>
      <c r="G1292" s="105">
        <v>8.0</v>
      </c>
      <c r="H1292" s="105">
        <v>0.0</v>
      </c>
      <c r="I1292" s="101"/>
      <c r="J1292" s="101"/>
      <c r="K1292" s="101"/>
      <c r="L1292" s="101"/>
      <c r="M1292" s="101"/>
      <c r="N1292" s="101"/>
      <c r="O1292" s="101"/>
      <c r="P1292" s="101"/>
      <c r="Q1292" s="101"/>
      <c r="R1292" s="101"/>
      <c r="S1292" s="101"/>
      <c r="T1292" s="101"/>
      <c r="U1292" s="101"/>
      <c r="V1292" s="101"/>
      <c r="W1292" s="101"/>
      <c r="X1292" s="101"/>
      <c r="Y1292" s="101"/>
      <c r="Z1292" s="101"/>
    </row>
    <row r="1293">
      <c r="A1293" s="103">
        <v>1291.0</v>
      </c>
      <c r="B1293" s="104" t="s">
        <v>2495</v>
      </c>
      <c r="C1293" s="104" t="s">
        <v>2485</v>
      </c>
      <c r="D1293" s="103">
        <v>0.0</v>
      </c>
      <c r="E1293" s="103">
        <v>0.0</v>
      </c>
      <c r="F1293" s="103">
        <v>0.0</v>
      </c>
      <c r="G1293" s="103">
        <v>8.0</v>
      </c>
      <c r="H1293" s="103">
        <v>0.0</v>
      </c>
      <c r="I1293" s="101"/>
      <c r="J1293" s="101"/>
      <c r="K1293" s="101"/>
      <c r="L1293" s="101"/>
      <c r="M1293" s="101"/>
      <c r="N1293" s="101"/>
      <c r="O1293" s="101"/>
      <c r="P1293" s="101"/>
      <c r="Q1293" s="101"/>
      <c r="R1293" s="101"/>
      <c r="S1293" s="101"/>
      <c r="T1293" s="101"/>
      <c r="U1293" s="101"/>
      <c r="V1293" s="101"/>
      <c r="W1293" s="101"/>
      <c r="X1293" s="101"/>
      <c r="Y1293" s="101"/>
      <c r="Z1293" s="101"/>
    </row>
    <row r="1294">
      <c r="A1294" s="105">
        <v>1292.0</v>
      </c>
      <c r="B1294" s="106" t="s">
        <v>2496</v>
      </c>
      <c r="C1294" s="106" t="s">
        <v>2485</v>
      </c>
      <c r="D1294" s="105">
        <v>0.0</v>
      </c>
      <c r="E1294" s="105">
        <v>0.0</v>
      </c>
      <c r="F1294" s="105">
        <v>0.0</v>
      </c>
      <c r="G1294" s="105">
        <v>8.0</v>
      </c>
      <c r="H1294" s="105">
        <v>0.0</v>
      </c>
      <c r="I1294" s="101"/>
      <c r="J1294" s="101"/>
      <c r="K1294" s="101"/>
      <c r="L1294" s="101"/>
      <c r="M1294" s="101"/>
      <c r="N1294" s="101"/>
      <c r="O1294" s="101"/>
      <c r="P1294" s="101"/>
      <c r="Q1294" s="101"/>
      <c r="R1294" s="101"/>
      <c r="S1294" s="101"/>
      <c r="T1294" s="101"/>
      <c r="U1294" s="101"/>
      <c r="V1294" s="101"/>
      <c r="W1294" s="101"/>
      <c r="X1294" s="101"/>
      <c r="Y1294" s="101"/>
      <c r="Z1294" s="101"/>
    </row>
    <row r="1295">
      <c r="A1295" s="103">
        <v>1293.0</v>
      </c>
      <c r="B1295" s="104" t="s">
        <v>2497</v>
      </c>
      <c r="C1295" s="104" t="s">
        <v>2485</v>
      </c>
      <c r="D1295" s="103">
        <v>0.0</v>
      </c>
      <c r="E1295" s="103">
        <v>0.0</v>
      </c>
      <c r="F1295" s="103">
        <v>0.0</v>
      </c>
      <c r="G1295" s="103">
        <v>8.0</v>
      </c>
      <c r="H1295" s="103">
        <v>0.0</v>
      </c>
      <c r="I1295" s="101"/>
      <c r="J1295" s="101"/>
      <c r="K1295" s="101"/>
      <c r="L1295" s="101"/>
      <c r="M1295" s="101"/>
      <c r="N1295" s="101"/>
      <c r="O1295" s="101"/>
      <c r="P1295" s="101"/>
      <c r="Q1295" s="101"/>
      <c r="R1295" s="101"/>
      <c r="S1295" s="101"/>
      <c r="T1295" s="101"/>
      <c r="U1295" s="101"/>
      <c r="V1295" s="101"/>
      <c r="W1295" s="101"/>
      <c r="X1295" s="101"/>
      <c r="Y1295" s="101"/>
      <c r="Z1295" s="101"/>
    </row>
    <row r="1296">
      <c r="A1296" s="105">
        <v>1294.0</v>
      </c>
      <c r="B1296" s="106" t="s">
        <v>2498</v>
      </c>
      <c r="C1296" s="106" t="s">
        <v>2485</v>
      </c>
      <c r="D1296" s="105">
        <v>0.0</v>
      </c>
      <c r="E1296" s="105">
        <v>0.0</v>
      </c>
      <c r="F1296" s="105">
        <v>0.0</v>
      </c>
      <c r="G1296" s="105">
        <v>8.0</v>
      </c>
      <c r="H1296" s="105">
        <v>0.0</v>
      </c>
      <c r="I1296" s="101"/>
      <c r="J1296" s="101"/>
      <c r="K1296" s="101"/>
      <c r="L1296" s="101"/>
      <c r="M1296" s="101"/>
      <c r="N1296" s="101"/>
      <c r="O1296" s="101"/>
      <c r="P1296" s="101"/>
      <c r="Q1296" s="101"/>
      <c r="R1296" s="101"/>
      <c r="S1296" s="101"/>
      <c r="T1296" s="101"/>
      <c r="U1296" s="101"/>
      <c r="V1296" s="101"/>
      <c r="W1296" s="101"/>
      <c r="X1296" s="101"/>
      <c r="Y1296" s="101"/>
      <c r="Z1296" s="101"/>
    </row>
    <row r="1297">
      <c r="A1297" s="103">
        <v>1295.0</v>
      </c>
      <c r="B1297" s="104" t="s">
        <v>2499</v>
      </c>
      <c r="C1297" s="104" t="s">
        <v>2485</v>
      </c>
      <c r="D1297" s="103">
        <v>0.0</v>
      </c>
      <c r="E1297" s="103">
        <v>0.0</v>
      </c>
      <c r="F1297" s="103">
        <v>0.0</v>
      </c>
      <c r="G1297" s="103">
        <v>8.0</v>
      </c>
      <c r="H1297" s="103">
        <v>0.0</v>
      </c>
      <c r="I1297" s="101"/>
      <c r="J1297" s="101"/>
      <c r="K1297" s="101"/>
      <c r="L1297" s="101"/>
      <c r="M1297" s="101"/>
      <c r="N1297" s="101"/>
      <c r="O1297" s="101"/>
      <c r="P1297" s="101"/>
      <c r="Q1297" s="101"/>
      <c r="R1297" s="101"/>
      <c r="S1297" s="101"/>
      <c r="T1297" s="101"/>
      <c r="U1297" s="101"/>
      <c r="V1297" s="101"/>
      <c r="W1297" s="101"/>
      <c r="X1297" s="101"/>
      <c r="Y1297" s="101"/>
      <c r="Z1297" s="101"/>
    </row>
    <row r="1298">
      <c r="A1298" s="105">
        <v>1296.0</v>
      </c>
      <c r="B1298" s="106" t="s">
        <v>2500</v>
      </c>
      <c r="C1298" s="106" t="s">
        <v>2485</v>
      </c>
      <c r="D1298" s="105">
        <v>0.0</v>
      </c>
      <c r="E1298" s="105">
        <v>0.0</v>
      </c>
      <c r="F1298" s="105">
        <v>0.0</v>
      </c>
      <c r="G1298" s="105">
        <v>8.0</v>
      </c>
      <c r="H1298" s="105">
        <v>0.0</v>
      </c>
      <c r="I1298" s="101"/>
      <c r="J1298" s="101"/>
      <c r="K1298" s="101"/>
      <c r="L1298" s="101"/>
      <c r="M1298" s="101"/>
      <c r="N1298" s="101"/>
      <c r="O1298" s="101"/>
      <c r="P1298" s="101"/>
      <c r="Q1298" s="101"/>
      <c r="R1298" s="101"/>
      <c r="S1298" s="101"/>
      <c r="T1298" s="101"/>
      <c r="U1298" s="101"/>
      <c r="V1298" s="101"/>
      <c r="W1298" s="101"/>
      <c r="X1298" s="101"/>
      <c r="Y1298" s="101"/>
      <c r="Z1298" s="101"/>
    </row>
    <row r="1299">
      <c r="A1299" s="103">
        <v>1297.0</v>
      </c>
      <c r="B1299" s="104" t="s">
        <v>2501</v>
      </c>
      <c r="C1299" s="104" t="s">
        <v>2485</v>
      </c>
      <c r="D1299" s="103">
        <v>0.0</v>
      </c>
      <c r="E1299" s="103">
        <v>0.0</v>
      </c>
      <c r="F1299" s="103">
        <v>0.0</v>
      </c>
      <c r="G1299" s="103">
        <v>8.0</v>
      </c>
      <c r="H1299" s="103">
        <v>0.0</v>
      </c>
      <c r="I1299" s="101"/>
      <c r="J1299" s="101"/>
      <c r="K1299" s="101"/>
      <c r="L1299" s="101"/>
      <c r="M1299" s="101"/>
      <c r="N1299" s="101"/>
      <c r="O1299" s="101"/>
      <c r="P1299" s="101"/>
      <c r="Q1299" s="101"/>
      <c r="R1299" s="101"/>
      <c r="S1299" s="101"/>
      <c r="T1299" s="101"/>
      <c r="U1299" s="101"/>
      <c r="V1299" s="101"/>
      <c r="W1299" s="101"/>
      <c r="X1299" s="101"/>
      <c r="Y1299" s="101"/>
      <c r="Z1299" s="101"/>
    </row>
    <row r="1300">
      <c r="A1300" s="105">
        <v>1298.0</v>
      </c>
      <c r="B1300" s="106" t="s">
        <v>2502</v>
      </c>
      <c r="C1300" s="106" t="s">
        <v>2485</v>
      </c>
      <c r="D1300" s="105">
        <v>0.0</v>
      </c>
      <c r="E1300" s="105">
        <v>0.0</v>
      </c>
      <c r="F1300" s="105">
        <v>0.0</v>
      </c>
      <c r="G1300" s="105">
        <v>8.0</v>
      </c>
      <c r="H1300" s="105">
        <v>0.0</v>
      </c>
      <c r="I1300" s="101"/>
      <c r="J1300" s="101"/>
      <c r="K1300" s="101"/>
      <c r="L1300" s="101"/>
      <c r="M1300" s="101"/>
      <c r="N1300" s="101"/>
      <c r="O1300" s="101"/>
      <c r="P1300" s="101"/>
      <c r="Q1300" s="101"/>
      <c r="R1300" s="101"/>
      <c r="S1300" s="101"/>
      <c r="T1300" s="101"/>
      <c r="U1300" s="101"/>
      <c r="V1300" s="101"/>
      <c r="W1300" s="101"/>
      <c r="X1300" s="101"/>
      <c r="Y1300" s="101"/>
      <c r="Z1300" s="101"/>
    </row>
    <row r="1301">
      <c r="A1301" s="103">
        <v>1299.0</v>
      </c>
      <c r="B1301" s="104" t="s">
        <v>2503</v>
      </c>
      <c r="C1301" s="104" t="s">
        <v>2485</v>
      </c>
      <c r="D1301" s="103">
        <v>0.0</v>
      </c>
      <c r="E1301" s="103">
        <v>0.0</v>
      </c>
      <c r="F1301" s="103">
        <v>0.0</v>
      </c>
      <c r="G1301" s="103">
        <v>8.0</v>
      </c>
      <c r="H1301" s="103">
        <v>0.0</v>
      </c>
      <c r="I1301" s="101"/>
      <c r="J1301" s="101"/>
      <c r="K1301" s="101"/>
      <c r="L1301" s="101"/>
      <c r="M1301" s="101"/>
      <c r="N1301" s="101"/>
      <c r="O1301" s="101"/>
      <c r="P1301" s="101"/>
      <c r="Q1301" s="101"/>
      <c r="R1301" s="101"/>
      <c r="S1301" s="101"/>
      <c r="T1301" s="101"/>
      <c r="U1301" s="101"/>
      <c r="V1301" s="101"/>
      <c r="W1301" s="101"/>
      <c r="X1301" s="101"/>
      <c r="Y1301" s="101"/>
      <c r="Z1301" s="101"/>
    </row>
    <row r="1302">
      <c r="A1302" s="105">
        <v>1300.0</v>
      </c>
      <c r="B1302" s="106" t="s">
        <v>2504</v>
      </c>
      <c r="C1302" s="106" t="s">
        <v>2485</v>
      </c>
      <c r="D1302" s="105">
        <v>0.0</v>
      </c>
      <c r="E1302" s="105">
        <v>0.0</v>
      </c>
      <c r="F1302" s="105">
        <v>0.0</v>
      </c>
      <c r="G1302" s="105">
        <v>8.0</v>
      </c>
      <c r="H1302" s="105">
        <v>0.0</v>
      </c>
      <c r="I1302" s="101"/>
      <c r="J1302" s="101"/>
      <c r="K1302" s="101"/>
      <c r="L1302" s="101"/>
      <c r="M1302" s="101"/>
      <c r="N1302" s="101"/>
      <c r="O1302" s="101"/>
      <c r="P1302" s="101"/>
      <c r="Q1302" s="101"/>
      <c r="R1302" s="101"/>
      <c r="S1302" s="101"/>
      <c r="T1302" s="101"/>
      <c r="U1302" s="101"/>
      <c r="V1302" s="101"/>
      <c r="W1302" s="101"/>
      <c r="X1302" s="101"/>
      <c r="Y1302" s="101"/>
      <c r="Z1302" s="101"/>
    </row>
    <row r="1303">
      <c r="A1303" s="103">
        <v>1301.0</v>
      </c>
      <c r="B1303" s="104" t="s">
        <v>2505</v>
      </c>
      <c r="C1303" s="104" t="s">
        <v>2485</v>
      </c>
      <c r="D1303" s="103">
        <v>0.0</v>
      </c>
      <c r="E1303" s="103">
        <v>0.0</v>
      </c>
      <c r="F1303" s="103">
        <v>0.0</v>
      </c>
      <c r="G1303" s="103">
        <v>8.0</v>
      </c>
      <c r="H1303" s="103">
        <v>0.0</v>
      </c>
      <c r="I1303" s="101"/>
      <c r="J1303" s="101"/>
      <c r="K1303" s="101"/>
      <c r="L1303" s="101"/>
      <c r="M1303" s="101"/>
      <c r="N1303" s="101"/>
      <c r="O1303" s="101"/>
      <c r="P1303" s="101"/>
      <c r="Q1303" s="101"/>
      <c r="R1303" s="101"/>
      <c r="S1303" s="101"/>
      <c r="T1303" s="101"/>
      <c r="U1303" s="101"/>
      <c r="V1303" s="101"/>
      <c r="W1303" s="101"/>
      <c r="X1303" s="101"/>
      <c r="Y1303" s="101"/>
      <c r="Z1303" s="101"/>
    </row>
    <row r="1304">
      <c r="A1304" s="105">
        <v>1302.0</v>
      </c>
      <c r="B1304" s="106" t="s">
        <v>2506</v>
      </c>
      <c r="C1304" s="106" t="s">
        <v>2485</v>
      </c>
      <c r="D1304" s="105">
        <v>0.0</v>
      </c>
      <c r="E1304" s="105">
        <v>0.0</v>
      </c>
      <c r="F1304" s="105">
        <v>0.0</v>
      </c>
      <c r="G1304" s="105">
        <v>8.0</v>
      </c>
      <c r="H1304" s="105">
        <v>0.0</v>
      </c>
      <c r="I1304" s="101"/>
      <c r="J1304" s="101"/>
      <c r="K1304" s="101"/>
      <c r="L1304" s="101"/>
      <c r="M1304" s="101"/>
      <c r="N1304" s="101"/>
      <c r="O1304" s="101"/>
      <c r="P1304" s="101"/>
      <c r="Q1304" s="101"/>
      <c r="R1304" s="101"/>
      <c r="S1304" s="101"/>
      <c r="T1304" s="101"/>
      <c r="U1304" s="101"/>
      <c r="V1304" s="101"/>
      <c r="W1304" s="101"/>
      <c r="X1304" s="101"/>
      <c r="Y1304" s="101"/>
      <c r="Z1304" s="101"/>
    </row>
    <row r="1305">
      <c r="A1305" s="103">
        <v>1303.0</v>
      </c>
      <c r="B1305" s="104" t="s">
        <v>2507</v>
      </c>
      <c r="C1305" s="104" t="s">
        <v>2485</v>
      </c>
      <c r="D1305" s="103">
        <v>0.0</v>
      </c>
      <c r="E1305" s="103">
        <v>0.0</v>
      </c>
      <c r="F1305" s="103">
        <v>0.0</v>
      </c>
      <c r="G1305" s="103">
        <v>8.0</v>
      </c>
      <c r="H1305" s="103">
        <v>0.0</v>
      </c>
      <c r="I1305" s="101"/>
      <c r="J1305" s="101"/>
      <c r="K1305" s="101"/>
      <c r="L1305" s="101"/>
      <c r="M1305" s="101"/>
      <c r="N1305" s="101"/>
      <c r="O1305" s="101"/>
      <c r="P1305" s="101"/>
      <c r="Q1305" s="101"/>
      <c r="R1305" s="101"/>
      <c r="S1305" s="101"/>
      <c r="T1305" s="101"/>
      <c r="U1305" s="101"/>
      <c r="V1305" s="101"/>
      <c r="W1305" s="101"/>
      <c r="X1305" s="101"/>
      <c r="Y1305" s="101"/>
      <c r="Z1305" s="101"/>
    </row>
    <row r="1306">
      <c r="A1306" s="105">
        <v>1304.0</v>
      </c>
      <c r="B1306" s="106" t="s">
        <v>2508</v>
      </c>
      <c r="C1306" s="106" t="s">
        <v>2485</v>
      </c>
      <c r="D1306" s="105">
        <v>2.0</v>
      </c>
      <c r="E1306" s="105">
        <v>0.0</v>
      </c>
      <c r="F1306" s="105">
        <v>0.0</v>
      </c>
      <c r="G1306" s="105">
        <v>6.0</v>
      </c>
      <c r="H1306" s="105">
        <v>0.0</v>
      </c>
      <c r="I1306" s="101"/>
      <c r="J1306" s="101"/>
      <c r="K1306" s="101"/>
      <c r="L1306" s="101"/>
      <c r="M1306" s="101"/>
      <c r="N1306" s="101"/>
      <c r="O1306" s="101"/>
      <c r="P1306" s="101"/>
      <c r="Q1306" s="101"/>
      <c r="R1306" s="101"/>
      <c r="S1306" s="101"/>
      <c r="T1306" s="101"/>
      <c r="U1306" s="101"/>
      <c r="V1306" s="101"/>
      <c r="W1306" s="101"/>
      <c r="X1306" s="101"/>
      <c r="Y1306" s="101"/>
      <c r="Z1306" s="101"/>
    </row>
    <row r="1307">
      <c r="A1307" s="103">
        <v>1305.0</v>
      </c>
      <c r="B1307" s="104" t="s">
        <v>2509</v>
      </c>
      <c r="C1307" s="104" t="s">
        <v>2485</v>
      </c>
      <c r="D1307" s="103">
        <v>0.0</v>
      </c>
      <c r="E1307" s="103">
        <v>0.0</v>
      </c>
      <c r="F1307" s="103">
        <v>0.0</v>
      </c>
      <c r="G1307" s="103">
        <v>8.0</v>
      </c>
      <c r="H1307" s="103">
        <v>0.0</v>
      </c>
      <c r="I1307" s="101"/>
      <c r="J1307" s="101"/>
      <c r="K1307" s="101"/>
      <c r="L1307" s="101"/>
      <c r="M1307" s="101"/>
      <c r="N1307" s="101"/>
      <c r="O1307" s="101"/>
      <c r="P1307" s="101"/>
      <c r="Q1307" s="101"/>
      <c r="R1307" s="101"/>
      <c r="S1307" s="101"/>
      <c r="T1307" s="101"/>
      <c r="U1307" s="101"/>
      <c r="V1307" s="101"/>
      <c r="W1307" s="101"/>
      <c r="X1307" s="101"/>
      <c r="Y1307" s="101"/>
      <c r="Z1307" s="101"/>
    </row>
    <row r="1308">
      <c r="A1308" s="105">
        <v>1306.0</v>
      </c>
      <c r="B1308" s="106" t="s">
        <v>2510</v>
      </c>
      <c r="C1308" s="106" t="s">
        <v>2485</v>
      </c>
      <c r="D1308" s="105">
        <v>0.0</v>
      </c>
      <c r="E1308" s="105">
        <v>0.0</v>
      </c>
      <c r="F1308" s="105">
        <v>0.0</v>
      </c>
      <c r="G1308" s="105">
        <v>8.0</v>
      </c>
      <c r="H1308" s="105">
        <v>0.0</v>
      </c>
      <c r="I1308" s="101"/>
      <c r="J1308" s="101"/>
      <c r="K1308" s="101"/>
      <c r="L1308" s="101"/>
      <c r="M1308" s="101"/>
      <c r="N1308" s="101"/>
      <c r="O1308" s="101"/>
      <c r="P1308" s="101"/>
      <c r="Q1308" s="101"/>
      <c r="R1308" s="101"/>
      <c r="S1308" s="101"/>
      <c r="T1308" s="101"/>
      <c r="U1308" s="101"/>
      <c r="V1308" s="101"/>
      <c r="W1308" s="101"/>
      <c r="X1308" s="101"/>
      <c r="Y1308" s="101"/>
      <c r="Z1308" s="101"/>
    </row>
    <row r="1309">
      <c r="A1309" s="103">
        <v>1307.0</v>
      </c>
      <c r="B1309" s="104" t="s">
        <v>2511</v>
      </c>
      <c r="C1309" s="104" t="s">
        <v>2485</v>
      </c>
      <c r="D1309" s="103">
        <v>0.0</v>
      </c>
      <c r="E1309" s="103">
        <v>0.0</v>
      </c>
      <c r="F1309" s="103">
        <v>0.0</v>
      </c>
      <c r="G1309" s="103">
        <v>8.0</v>
      </c>
      <c r="H1309" s="103">
        <v>0.0</v>
      </c>
      <c r="I1309" s="101"/>
      <c r="J1309" s="101"/>
      <c r="K1309" s="101"/>
      <c r="L1309" s="101"/>
      <c r="M1309" s="101"/>
      <c r="N1309" s="101"/>
      <c r="O1309" s="101"/>
      <c r="P1309" s="101"/>
      <c r="Q1309" s="101"/>
      <c r="R1309" s="101"/>
      <c r="S1309" s="101"/>
      <c r="T1309" s="101"/>
      <c r="U1309" s="101"/>
      <c r="V1309" s="101"/>
      <c r="W1309" s="101"/>
      <c r="X1309" s="101"/>
      <c r="Y1309" s="101"/>
      <c r="Z1309" s="101"/>
    </row>
    <row r="1310">
      <c r="A1310" s="105">
        <v>1308.0</v>
      </c>
      <c r="B1310" s="106" t="s">
        <v>2512</v>
      </c>
      <c r="C1310" s="106" t="s">
        <v>2485</v>
      </c>
      <c r="D1310" s="105">
        <v>0.0</v>
      </c>
      <c r="E1310" s="105">
        <v>0.0</v>
      </c>
      <c r="F1310" s="105">
        <v>0.0</v>
      </c>
      <c r="G1310" s="105">
        <v>8.0</v>
      </c>
      <c r="H1310" s="105">
        <v>0.0</v>
      </c>
      <c r="I1310" s="101"/>
      <c r="J1310" s="101"/>
      <c r="K1310" s="101"/>
      <c r="L1310" s="101"/>
      <c r="M1310" s="101"/>
      <c r="N1310" s="101"/>
      <c r="O1310" s="101"/>
      <c r="P1310" s="101"/>
      <c r="Q1310" s="101"/>
      <c r="R1310" s="101"/>
      <c r="S1310" s="101"/>
      <c r="T1310" s="101"/>
      <c r="U1310" s="101"/>
      <c r="V1310" s="101"/>
      <c r="W1310" s="101"/>
      <c r="X1310" s="101"/>
      <c r="Y1310" s="101"/>
      <c r="Z1310" s="101"/>
    </row>
    <row r="1311">
      <c r="A1311" s="103">
        <v>1309.0</v>
      </c>
      <c r="B1311" s="104" t="s">
        <v>2513</v>
      </c>
      <c r="C1311" s="104" t="s">
        <v>2485</v>
      </c>
      <c r="D1311" s="103">
        <v>0.0</v>
      </c>
      <c r="E1311" s="103">
        <v>0.0</v>
      </c>
      <c r="F1311" s="103">
        <v>0.0</v>
      </c>
      <c r="G1311" s="103">
        <v>8.0</v>
      </c>
      <c r="H1311" s="103">
        <v>0.0</v>
      </c>
      <c r="I1311" s="101"/>
      <c r="J1311" s="101"/>
      <c r="K1311" s="101"/>
      <c r="L1311" s="101"/>
      <c r="M1311" s="101"/>
      <c r="N1311" s="101"/>
      <c r="O1311" s="101"/>
      <c r="P1311" s="101"/>
      <c r="Q1311" s="101"/>
      <c r="R1311" s="101"/>
      <c r="S1311" s="101"/>
      <c r="T1311" s="101"/>
      <c r="U1311" s="101"/>
      <c r="V1311" s="101"/>
      <c r="W1311" s="101"/>
      <c r="X1311" s="101"/>
      <c r="Y1311" s="101"/>
      <c r="Z1311" s="101"/>
    </row>
    <row r="1312">
      <c r="A1312" s="105">
        <v>1310.0</v>
      </c>
      <c r="B1312" s="106" t="s">
        <v>2514</v>
      </c>
      <c r="C1312" s="106" t="s">
        <v>2485</v>
      </c>
      <c r="D1312" s="105">
        <v>0.0</v>
      </c>
      <c r="E1312" s="105">
        <v>0.0</v>
      </c>
      <c r="F1312" s="105">
        <v>0.0</v>
      </c>
      <c r="G1312" s="105">
        <v>8.0</v>
      </c>
      <c r="H1312" s="105">
        <v>0.0</v>
      </c>
      <c r="I1312" s="101"/>
      <c r="J1312" s="101"/>
      <c r="K1312" s="101"/>
      <c r="L1312" s="101"/>
      <c r="M1312" s="101"/>
      <c r="N1312" s="101"/>
      <c r="O1312" s="101"/>
      <c r="P1312" s="101"/>
      <c r="Q1312" s="101"/>
      <c r="R1312" s="101"/>
      <c r="S1312" s="101"/>
      <c r="T1312" s="101"/>
      <c r="U1312" s="101"/>
      <c r="V1312" s="101"/>
      <c r="W1312" s="101"/>
      <c r="X1312" s="101"/>
      <c r="Y1312" s="101"/>
      <c r="Z1312" s="101"/>
    </row>
    <row r="1313">
      <c r="A1313" s="103">
        <v>1311.0</v>
      </c>
      <c r="B1313" s="104" t="s">
        <v>2515</v>
      </c>
      <c r="C1313" s="104" t="s">
        <v>2485</v>
      </c>
      <c r="D1313" s="103">
        <v>0.0</v>
      </c>
      <c r="E1313" s="103">
        <v>0.0</v>
      </c>
      <c r="F1313" s="103">
        <v>0.0</v>
      </c>
      <c r="G1313" s="103">
        <v>8.0</v>
      </c>
      <c r="H1313" s="103">
        <v>0.0</v>
      </c>
      <c r="I1313" s="101"/>
      <c r="J1313" s="101"/>
      <c r="K1313" s="101"/>
      <c r="L1313" s="101"/>
      <c r="M1313" s="101"/>
      <c r="N1313" s="101"/>
      <c r="O1313" s="101"/>
      <c r="P1313" s="101"/>
      <c r="Q1313" s="101"/>
      <c r="R1313" s="101"/>
      <c r="S1313" s="101"/>
      <c r="T1313" s="101"/>
      <c r="U1313" s="101"/>
      <c r="V1313" s="101"/>
      <c r="W1313" s="101"/>
      <c r="X1313" s="101"/>
      <c r="Y1313" s="101"/>
      <c r="Z1313" s="101"/>
    </row>
    <row r="1314">
      <c r="A1314" s="105">
        <v>1312.0</v>
      </c>
      <c r="B1314" s="106" t="s">
        <v>2516</v>
      </c>
      <c r="C1314" s="106" t="s">
        <v>2485</v>
      </c>
      <c r="D1314" s="105">
        <v>0.0</v>
      </c>
      <c r="E1314" s="105">
        <v>0.0</v>
      </c>
      <c r="F1314" s="105">
        <v>0.0</v>
      </c>
      <c r="G1314" s="105">
        <v>8.0</v>
      </c>
      <c r="H1314" s="105">
        <v>0.0</v>
      </c>
      <c r="I1314" s="101"/>
      <c r="J1314" s="101"/>
      <c r="K1314" s="101"/>
      <c r="L1314" s="101"/>
      <c r="M1314" s="101"/>
      <c r="N1314" s="101"/>
      <c r="O1314" s="101"/>
      <c r="P1314" s="101"/>
      <c r="Q1314" s="101"/>
      <c r="R1314" s="101"/>
      <c r="S1314" s="101"/>
      <c r="T1314" s="101"/>
      <c r="U1314" s="101"/>
      <c r="V1314" s="101"/>
      <c r="W1314" s="101"/>
      <c r="X1314" s="101"/>
      <c r="Y1314" s="101"/>
      <c r="Z1314" s="101"/>
    </row>
    <row r="1315">
      <c r="A1315" s="103">
        <v>1313.0</v>
      </c>
      <c r="B1315" s="104" t="s">
        <v>2517</v>
      </c>
      <c r="C1315" s="104" t="s">
        <v>2485</v>
      </c>
      <c r="D1315" s="103">
        <v>0.0</v>
      </c>
      <c r="E1315" s="103">
        <v>0.0</v>
      </c>
      <c r="F1315" s="103">
        <v>0.0</v>
      </c>
      <c r="G1315" s="103">
        <v>8.0</v>
      </c>
      <c r="H1315" s="103">
        <v>0.0</v>
      </c>
      <c r="I1315" s="101"/>
      <c r="J1315" s="101"/>
      <c r="K1315" s="101"/>
      <c r="L1315" s="101"/>
      <c r="M1315" s="101"/>
      <c r="N1315" s="101"/>
      <c r="O1315" s="101"/>
      <c r="P1315" s="101"/>
      <c r="Q1315" s="101"/>
      <c r="R1315" s="101"/>
      <c r="S1315" s="101"/>
      <c r="T1315" s="101"/>
      <c r="U1315" s="101"/>
      <c r="V1315" s="101"/>
      <c r="W1315" s="101"/>
      <c r="X1315" s="101"/>
      <c r="Y1315" s="101"/>
      <c r="Z1315" s="101"/>
    </row>
    <row r="1316">
      <c r="A1316" s="105">
        <v>1314.0</v>
      </c>
      <c r="B1316" s="106" t="s">
        <v>2518</v>
      </c>
      <c r="C1316" s="106" t="s">
        <v>2485</v>
      </c>
      <c r="D1316" s="105">
        <v>0.0</v>
      </c>
      <c r="E1316" s="105">
        <v>0.0</v>
      </c>
      <c r="F1316" s="105">
        <v>0.0</v>
      </c>
      <c r="G1316" s="105">
        <v>8.0</v>
      </c>
      <c r="H1316" s="105">
        <v>0.0</v>
      </c>
      <c r="I1316" s="101"/>
      <c r="J1316" s="101"/>
      <c r="K1316" s="101"/>
      <c r="L1316" s="101"/>
      <c r="M1316" s="101"/>
      <c r="N1316" s="101"/>
      <c r="O1316" s="101"/>
      <c r="P1316" s="101"/>
      <c r="Q1316" s="101"/>
      <c r="R1316" s="101"/>
      <c r="S1316" s="101"/>
      <c r="T1316" s="101"/>
      <c r="U1316" s="101"/>
      <c r="V1316" s="101"/>
      <c r="W1316" s="101"/>
      <c r="X1316" s="101"/>
      <c r="Y1316" s="101"/>
      <c r="Z1316" s="101"/>
    </row>
    <row r="1317">
      <c r="A1317" s="103">
        <v>1315.0</v>
      </c>
      <c r="B1317" s="104" t="s">
        <v>2519</v>
      </c>
      <c r="C1317" s="104" t="s">
        <v>2485</v>
      </c>
      <c r="D1317" s="103">
        <v>0.0</v>
      </c>
      <c r="E1317" s="103">
        <v>0.0</v>
      </c>
      <c r="F1317" s="103">
        <v>0.0</v>
      </c>
      <c r="G1317" s="103">
        <v>8.0</v>
      </c>
      <c r="H1317" s="103">
        <v>0.0</v>
      </c>
      <c r="I1317" s="101"/>
      <c r="J1317" s="101"/>
      <c r="K1317" s="101"/>
      <c r="L1317" s="101"/>
      <c r="M1317" s="101"/>
      <c r="N1317" s="101"/>
      <c r="O1317" s="101"/>
      <c r="P1317" s="101"/>
      <c r="Q1317" s="101"/>
      <c r="R1317" s="101"/>
      <c r="S1317" s="101"/>
      <c r="T1317" s="101"/>
      <c r="U1317" s="101"/>
      <c r="V1317" s="101"/>
      <c r="W1317" s="101"/>
      <c r="X1317" s="101"/>
      <c r="Y1317" s="101"/>
      <c r="Z1317" s="101"/>
    </row>
    <row r="1318">
      <c r="A1318" s="105">
        <v>1316.0</v>
      </c>
      <c r="B1318" s="106" t="s">
        <v>2520</v>
      </c>
      <c r="C1318" s="106" t="s">
        <v>2521</v>
      </c>
      <c r="D1318" s="105">
        <v>0.0</v>
      </c>
      <c r="E1318" s="105">
        <v>0.0</v>
      </c>
      <c r="F1318" s="105">
        <v>0.0</v>
      </c>
      <c r="G1318" s="105">
        <v>8.0</v>
      </c>
      <c r="H1318" s="105">
        <v>0.0</v>
      </c>
      <c r="I1318" s="101"/>
      <c r="J1318" s="101"/>
      <c r="K1318" s="101"/>
      <c r="L1318" s="101"/>
      <c r="M1318" s="101"/>
      <c r="N1318" s="101"/>
      <c r="O1318" s="101"/>
      <c r="P1318" s="101"/>
      <c r="Q1318" s="101"/>
      <c r="R1318" s="101"/>
      <c r="S1318" s="101"/>
      <c r="T1318" s="101"/>
      <c r="U1318" s="101"/>
      <c r="V1318" s="101"/>
      <c r="W1318" s="101"/>
      <c r="X1318" s="101"/>
      <c r="Y1318" s="101"/>
      <c r="Z1318" s="101"/>
    </row>
    <row r="1319">
      <c r="A1319" s="103">
        <v>1317.0</v>
      </c>
      <c r="B1319" s="104" t="s">
        <v>2522</v>
      </c>
      <c r="C1319" s="104" t="s">
        <v>2521</v>
      </c>
      <c r="D1319" s="103">
        <v>0.0</v>
      </c>
      <c r="E1319" s="103">
        <v>0.0</v>
      </c>
      <c r="F1319" s="103">
        <v>0.0</v>
      </c>
      <c r="G1319" s="103">
        <v>8.0</v>
      </c>
      <c r="H1319" s="103">
        <v>0.0</v>
      </c>
      <c r="I1319" s="101"/>
      <c r="J1319" s="101"/>
      <c r="K1319" s="101"/>
      <c r="L1319" s="101"/>
      <c r="M1319" s="101"/>
      <c r="N1319" s="101"/>
      <c r="O1319" s="101"/>
      <c r="P1319" s="101"/>
      <c r="Q1319" s="101"/>
      <c r="R1319" s="101"/>
      <c r="S1319" s="101"/>
      <c r="T1319" s="101"/>
      <c r="U1319" s="101"/>
      <c r="V1319" s="101"/>
      <c r="W1319" s="101"/>
      <c r="X1319" s="101"/>
      <c r="Y1319" s="101"/>
      <c r="Z1319" s="101"/>
    </row>
    <row r="1320">
      <c r="A1320" s="105">
        <v>1318.0</v>
      </c>
      <c r="B1320" s="106" t="s">
        <v>2523</v>
      </c>
      <c r="C1320" s="106" t="s">
        <v>2521</v>
      </c>
      <c r="D1320" s="105">
        <v>0.0</v>
      </c>
      <c r="E1320" s="105">
        <v>0.0</v>
      </c>
      <c r="F1320" s="105">
        <v>0.0</v>
      </c>
      <c r="G1320" s="105">
        <v>8.0</v>
      </c>
      <c r="H1320" s="105">
        <v>0.0</v>
      </c>
      <c r="I1320" s="101"/>
      <c r="J1320" s="101"/>
      <c r="K1320" s="101"/>
      <c r="L1320" s="101"/>
      <c r="M1320" s="101"/>
      <c r="N1320" s="101"/>
      <c r="O1320" s="101"/>
      <c r="P1320" s="101"/>
      <c r="Q1320" s="101"/>
      <c r="R1320" s="101"/>
      <c r="S1320" s="101"/>
      <c r="T1320" s="101"/>
      <c r="U1320" s="101"/>
      <c r="V1320" s="101"/>
      <c r="W1320" s="101"/>
      <c r="X1320" s="101"/>
      <c r="Y1320" s="101"/>
      <c r="Z1320" s="101"/>
    </row>
    <row r="1321">
      <c r="A1321" s="103">
        <v>1319.0</v>
      </c>
      <c r="B1321" s="104" t="s">
        <v>2524</v>
      </c>
      <c r="C1321" s="104" t="s">
        <v>2521</v>
      </c>
      <c r="D1321" s="103">
        <v>0.0</v>
      </c>
      <c r="E1321" s="103">
        <v>0.0</v>
      </c>
      <c r="F1321" s="103">
        <v>0.0</v>
      </c>
      <c r="G1321" s="103">
        <v>8.0</v>
      </c>
      <c r="H1321" s="103">
        <v>0.0</v>
      </c>
      <c r="I1321" s="101"/>
      <c r="J1321" s="101"/>
      <c r="K1321" s="101"/>
      <c r="L1321" s="101"/>
      <c r="M1321" s="101"/>
      <c r="N1321" s="101"/>
      <c r="O1321" s="101"/>
      <c r="P1321" s="101"/>
      <c r="Q1321" s="101"/>
      <c r="R1321" s="101"/>
      <c r="S1321" s="101"/>
      <c r="T1321" s="101"/>
      <c r="U1321" s="101"/>
      <c r="V1321" s="101"/>
      <c r="W1321" s="101"/>
      <c r="X1321" s="101"/>
      <c r="Y1321" s="101"/>
      <c r="Z1321" s="101"/>
    </row>
    <row r="1322">
      <c r="A1322" s="105">
        <v>1320.0</v>
      </c>
      <c r="B1322" s="106" t="s">
        <v>2525</v>
      </c>
      <c r="C1322" s="106" t="s">
        <v>2521</v>
      </c>
      <c r="D1322" s="105">
        <v>0.0</v>
      </c>
      <c r="E1322" s="105">
        <v>0.0</v>
      </c>
      <c r="F1322" s="105">
        <v>0.0</v>
      </c>
      <c r="G1322" s="105">
        <v>8.0</v>
      </c>
      <c r="H1322" s="105">
        <v>0.0</v>
      </c>
      <c r="I1322" s="101"/>
      <c r="J1322" s="101"/>
      <c r="K1322" s="101"/>
      <c r="L1322" s="101"/>
      <c r="M1322" s="101"/>
      <c r="N1322" s="101"/>
      <c r="O1322" s="101"/>
      <c r="P1322" s="101"/>
      <c r="Q1322" s="101"/>
      <c r="R1322" s="101"/>
      <c r="S1322" s="101"/>
      <c r="T1322" s="101"/>
      <c r="U1322" s="101"/>
      <c r="V1322" s="101"/>
      <c r="W1322" s="101"/>
      <c r="X1322" s="101"/>
      <c r="Y1322" s="101"/>
      <c r="Z1322" s="101"/>
    </row>
    <row r="1323">
      <c r="A1323" s="103">
        <v>1321.0</v>
      </c>
      <c r="B1323" s="104" t="s">
        <v>2526</v>
      </c>
      <c r="C1323" s="104" t="s">
        <v>2521</v>
      </c>
      <c r="D1323" s="103">
        <v>0.0</v>
      </c>
      <c r="E1323" s="103">
        <v>0.0</v>
      </c>
      <c r="F1323" s="103">
        <v>0.0</v>
      </c>
      <c r="G1323" s="103">
        <v>8.0</v>
      </c>
      <c r="H1323" s="103">
        <v>0.0</v>
      </c>
      <c r="I1323" s="101"/>
      <c r="J1323" s="101"/>
      <c r="K1323" s="101"/>
      <c r="L1323" s="101"/>
      <c r="M1323" s="101"/>
      <c r="N1323" s="101"/>
      <c r="O1323" s="101"/>
      <c r="P1323" s="101"/>
      <c r="Q1323" s="101"/>
      <c r="R1323" s="101"/>
      <c r="S1323" s="101"/>
      <c r="T1323" s="101"/>
      <c r="U1323" s="101"/>
      <c r="V1323" s="101"/>
      <c r="W1323" s="101"/>
      <c r="X1323" s="101"/>
      <c r="Y1323" s="101"/>
      <c r="Z1323" s="101"/>
    </row>
    <row r="1324">
      <c r="A1324" s="105">
        <v>1322.0</v>
      </c>
      <c r="B1324" s="106" t="s">
        <v>2527</v>
      </c>
      <c r="C1324" s="106" t="s">
        <v>2521</v>
      </c>
      <c r="D1324" s="105">
        <v>0.0</v>
      </c>
      <c r="E1324" s="105">
        <v>0.0</v>
      </c>
      <c r="F1324" s="105">
        <v>0.0</v>
      </c>
      <c r="G1324" s="105">
        <v>8.0</v>
      </c>
      <c r="H1324" s="105">
        <v>0.0</v>
      </c>
      <c r="I1324" s="101"/>
      <c r="J1324" s="101"/>
      <c r="K1324" s="101"/>
      <c r="L1324" s="101"/>
      <c r="M1324" s="101"/>
      <c r="N1324" s="101"/>
      <c r="O1324" s="101"/>
      <c r="P1324" s="101"/>
      <c r="Q1324" s="101"/>
      <c r="R1324" s="101"/>
      <c r="S1324" s="101"/>
      <c r="T1324" s="101"/>
      <c r="U1324" s="101"/>
      <c r="V1324" s="101"/>
      <c r="W1324" s="101"/>
      <c r="X1324" s="101"/>
      <c r="Y1324" s="101"/>
      <c r="Z1324" s="101"/>
    </row>
    <row r="1325">
      <c r="A1325" s="103">
        <v>1323.0</v>
      </c>
      <c r="B1325" s="104" t="s">
        <v>2528</v>
      </c>
      <c r="C1325" s="104" t="s">
        <v>2521</v>
      </c>
      <c r="D1325" s="103">
        <v>0.0</v>
      </c>
      <c r="E1325" s="103">
        <v>0.0</v>
      </c>
      <c r="F1325" s="103">
        <v>0.0</v>
      </c>
      <c r="G1325" s="103">
        <v>8.0</v>
      </c>
      <c r="H1325" s="103">
        <v>0.0</v>
      </c>
      <c r="I1325" s="101"/>
      <c r="J1325" s="101"/>
      <c r="K1325" s="101"/>
      <c r="L1325" s="101"/>
      <c r="M1325" s="101"/>
      <c r="N1325" s="101"/>
      <c r="O1325" s="101"/>
      <c r="P1325" s="101"/>
      <c r="Q1325" s="101"/>
      <c r="R1325" s="101"/>
      <c r="S1325" s="101"/>
      <c r="T1325" s="101"/>
      <c r="U1325" s="101"/>
      <c r="V1325" s="101"/>
      <c r="W1325" s="101"/>
      <c r="X1325" s="101"/>
      <c r="Y1325" s="101"/>
      <c r="Z1325" s="101"/>
    </row>
    <row r="1326">
      <c r="A1326" s="105">
        <v>1324.0</v>
      </c>
      <c r="B1326" s="106" t="s">
        <v>2529</v>
      </c>
      <c r="C1326" s="106" t="s">
        <v>2521</v>
      </c>
      <c r="D1326" s="105">
        <v>0.0</v>
      </c>
      <c r="E1326" s="105">
        <v>0.0</v>
      </c>
      <c r="F1326" s="105">
        <v>0.0</v>
      </c>
      <c r="G1326" s="105">
        <v>8.0</v>
      </c>
      <c r="H1326" s="105">
        <v>0.0</v>
      </c>
      <c r="I1326" s="101"/>
      <c r="J1326" s="101"/>
      <c r="K1326" s="101"/>
      <c r="L1326" s="101"/>
      <c r="M1326" s="101"/>
      <c r="N1326" s="101"/>
      <c r="O1326" s="101"/>
      <c r="P1326" s="101"/>
      <c r="Q1326" s="101"/>
      <c r="R1326" s="101"/>
      <c r="S1326" s="101"/>
      <c r="T1326" s="101"/>
      <c r="U1326" s="101"/>
      <c r="V1326" s="101"/>
      <c r="W1326" s="101"/>
      <c r="X1326" s="101"/>
      <c r="Y1326" s="101"/>
      <c r="Z1326" s="101"/>
    </row>
    <row r="1327">
      <c r="A1327" s="103">
        <v>1325.0</v>
      </c>
      <c r="B1327" s="104" t="s">
        <v>2530</v>
      </c>
      <c r="C1327" s="104" t="s">
        <v>2521</v>
      </c>
      <c r="D1327" s="103">
        <v>0.0</v>
      </c>
      <c r="E1327" s="103">
        <v>0.0</v>
      </c>
      <c r="F1327" s="103">
        <v>0.0</v>
      </c>
      <c r="G1327" s="103">
        <v>8.0</v>
      </c>
      <c r="H1327" s="103">
        <v>0.0</v>
      </c>
      <c r="I1327" s="101"/>
      <c r="J1327" s="101"/>
      <c r="K1327" s="101"/>
      <c r="L1327" s="101"/>
      <c r="M1327" s="101"/>
      <c r="N1327" s="101"/>
      <c r="O1327" s="101"/>
      <c r="P1327" s="101"/>
      <c r="Q1327" s="101"/>
      <c r="R1327" s="101"/>
      <c r="S1327" s="101"/>
      <c r="T1327" s="101"/>
      <c r="U1327" s="101"/>
      <c r="V1327" s="101"/>
      <c r="W1327" s="101"/>
      <c r="X1327" s="101"/>
      <c r="Y1327" s="101"/>
      <c r="Z1327" s="101"/>
    </row>
    <row r="1328">
      <c r="A1328" s="105">
        <v>1326.0</v>
      </c>
      <c r="B1328" s="106" t="s">
        <v>2531</v>
      </c>
      <c r="C1328" s="106" t="s">
        <v>2521</v>
      </c>
      <c r="D1328" s="105">
        <v>0.0</v>
      </c>
      <c r="E1328" s="105">
        <v>0.0</v>
      </c>
      <c r="F1328" s="105">
        <v>0.0</v>
      </c>
      <c r="G1328" s="105">
        <v>8.0</v>
      </c>
      <c r="H1328" s="105">
        <v>0.0</v>
      </c>
      <c r="I1328" s="101"/>
      <c r="J1328" s="101"/>
      <c r="K1328" s="101"/>
      <c r="L1328" s="101"/>
      <c r="M1328" s="101"/>
      <c r="N1328" s="101"/>
      <c r="O1328" s="101"/>
      <c r="P1328" s="101"/>
      <c r="Q1328" s="101"/>
      <c r="R1328" s="101"/>
      <c r="S1328" s="101"/>
      <c r="T1328" s="101"/>
      <c r="U1328" s="101"/>
      <c r="V1328" s="101"/>
      <c r="W1328" s="101"/>
      <c r="X1328" s="101"/>
      <c r="Y1328" s="101"/>
      <c r="Z1328" s="101"/>
    </row>
    <row r="1329">
      <c r="A1329" s="103">
        <v>1327.0</v>
      </c>
      <c r="B1329" s="104" t="s">
        <v>2532</v>
      </c>
      <c r="C1329" s="104" t="s">
        <v>2521</v>
      </c>
      <c r="D1329" s="103">
        <v>0.0</v>
      </c>
      <c r="E1329" s="103">
        <v>0.0</v>
      </c>
      <c r="F1329" s="103">
        <v>0.0</v>
      </c>
      <c r="G1329" s="103">
        <v>8.0</v>
      </c>
      <c r="H1329" s="103">
        <v>0.0</v>
      </c>
      <c r="I1329" s="101"/>
      <c r="J1329" s="101"/>
      <c r="K1329" s="101"/>
      <c r="L1329" s="101"/>
      <c r="M1329" s="101"/>
      <c r="N1329" s="101"/>
      <c r="O1329" s="101"/>
      <c r="P1329" s="101"/>
      <c r="Q1329" s="101"/>
      <c r="R1329" s="101"/>
      <c r="S1329" s="101"/>
      <c r="T1329" s="101"/>
      <c r="U1329" s="101"/>
      <c r="V1329" s="101"/>
      <c r="W1329" s="101"/>
      <c r="X1329" s="101"/>
      <c r="Y1329" s="101"/>
      <c r="Z1329" s="101"/>
    </row>
    <row r="1330">
      <c r="A1330" s="105">
        <v>1328.0</v>
      </c>
      <c r="B1330" s="106" t="s">
        <v>2533</v>
      </c>
      <c r="C1330" s="106" t="s">
        <v>2521</v>
      </c>
      <c r="D1330" s="105">
        <v>0.0</v>
      </c>
      <c r="E1330" s="105">
        <v>0.0</v>
      </c>
      <c r="F1330" s="105">
        <v>0.0</v>
      </c>
      <c r="G1330" s="105">
        <v>8.0</v>
      </c>
      <c r="H1330" s="105">
        <v>0.0</v>
      </c>
      <c r="I1330" s="101"/>
      <c r="J1330" s="101"/>
      <c r="K1330" s="101"/>
      <c r="L1330" s="101"/>
      <c r="M1330" s="101"/>
      <c r="N1330" s="101"/>
      <c r="O1330" s="101"/>
      <c r="P1330" s="101"/>
      <c r="Q1330" s="101"/>
      <c r="R1330" s="101"/>
      <c r="S1330" s="101"/>
      <c r="T1330" s="101"/>
      <c r="U1330" s="101"/>
      <c r="V1330" s="101"/>
      <c r="W1330" s="101"/>
      <c r="X1330" s="101"/>
      <c r="Y1330" s="101"/>
      <c r="Z1330" s="101"/>
    </row>
    <row r="1331">
      <c r="A1331" s="103">
        <v>1329.0</v>
      </c>
      <c r="B1331" s="104" t="s">
        <v>2534</v>
      </c>
      <c r="C1331" s="104" t="s">
        <v>2521</v>
      </c>
      <c r="D1331" s="103">
        <v>0.0</v>
      </c>
      <c r="E1331" s="103">
        <v>0.0</v>
      </c>
      <c r="F1331" s="103">
        <v>0.0</v>
      </c>
      <c r="G1331" s="103">
        <v>8.0</v>
      </c>
      <c r="H1331" s="103">
        <v>0.0</v>
      </c>
      <c r="I1331" s="101"/>
      <c r="J1331" s="101"/>
      <c r="K1331" s="101"/>
      <c r="L1331" s="101"/>
      <c r="M1331" s="101"/>
      <c r="N1331" s="101"/>
      <c r="O1331" s="101"/>
      <c r="P1331" s="101"/>
      <c r="Q1331" s="101"/>
      <c r="R1331" s="101"/>
      <c r="S1331" s="101"/>
      <c r="T1331" s="101"/>
      <c r="U1331" s="101"/>
      <c r="V1331" s="101"/>
      <c r="W1331" s="101"/>
      <c r="X1331" s="101"/>
      <c r="Y1331" s="101"/>
      <c r="Z1331" s="101"/>
    </row>
    <row r="1332">
      <c r="A1332" s="105">
        <v>1330.0</v>
      </c>
      <c r="B1332" s="106" t="s">
        <v>2535</v>
      </c>
      <c r="C1332" s="106" t="s">
        <v>2521</v>
      </c>
      <c r="D1332" s="105">
        <v>0.0</v>
      </c>
      <c r="E1332" s="105">
        <v>0.0</v>
      </c>
      <c r="F1332" s="105">
        <v>0.0</v>
      </c>
      <c r="G1332" s="105">
        <v>8.0</v>
      </c>
      <c r="H1332" s="105">
        <v>0.0</v>
      </c>
      <c r="I1332" s="101"/>
      <c r="J1332" s="101"/>
      <c r="K1332" s="101"/>
      <c r="L1332" s="101"/>
      <c r="M1332" s="101"/>
      <c r="N1332" s="101"/>
      <c r="O1332" s="101"/>
      <c r="P1332" s="101"/>
      <c r="Q1332" s="101"/>
      <c r="R1332" s="101"/>
      <c r="S1332" s="101"/>
      <c r="T1332" s="101"/>
      <c r="U1332" s="101"/>
      <c r="V1332" s="101"/>
      <c r="W1332" s="101"/>
      <c r="X1332" s="101"/>
      <c r="Y1332" s="101"/>
      <c r="Z1332" s="101"/>
    </row>
    <row r="1333">
      <c r="A1333" s="103">
        <v>1331.0</v>
      </c>
      <c r="B1333" s="104" t="s">
        <v>2536</v>
      </c>
      <c r="C1333" s="104" t="s">
        <v>2521</v>
      </c>
      <c r="D1333" s="103">
        <v>0.0</v>
      </c>
      <c r="E1333" s="103">
        <v>0.0</v>
      </c>
      <c r="F1333" s="103">
        <v>0.0</v>
      </c>
      <c r="G1333" s="103">
        <v>8.0</v>
      </c>
      <c r="H1333" s="103">
        <v>0.0</v>
      </c>
      <c r="I1333" s="101"/>
      <c r="J1333" s="101"/>
      <c r="K1333" s="101"/>
      <c r="L1333" s="101"/>
      <c r="M1333" s="101"/>
      <c r="N1333" s="101"/>
      <c r="O1333" s="101"/>
      <c r="P1333" s="101"/>
      <c r="Q1333" s="101"/>
      <c r="R1333" s="101"/>
      <c r="S1333" s="101"/>
      <c r="T1333" s="101"/>
      <c r="U1333" s="101"/>
      <c r="V1333" s="101"/>
      <c r="W1333" s="101"/>
      <c r="X1333" s="101"/>
      <c r="Y1333" s="101"/>
      <c r="Z1333" s="101"/>
    </row>
    <row r="1334">
      <c r="A1334" s="105">
        <v>1332.0</v>
      </c>
      <c r="B1334" s="106" t="s">
        <v>2537</v>
      </c>
      <c r="C1334" s="106" t="s">
        <v>2521</v>
      </c>
      <c r="D1334" s="105">
        <v>0.0</v>
      </c>
      <c r="E1334" s="105">
        <v>0.0</v>
      </c>
      <c r="F1334" s="105">
        <v>0.0</v>
      </c>
      <c r="G1334" s="105">
        <v>8.0</v>
      </c>
      <c r="H1334" s="105">
        <v>0.0</v>
      </c>
      <c r="I1334" s="101"/>
      <c r="J1334" s="101"/>
      <c r="K1334" s="101"/>
      <c r="L1334" s="101"/>
      <c r="M1334" s="101"/>
      <c r="N1334" s="101"/>
      <c r="O1334" s="101"/>
      <c r="P1334" s="101"/>
      <c r="Q1334" s="101"/>
      <c r="R1334" s="101"/>
      <c r="S1334" s="101"/>
      <c r="T1334" s="101"/>
      <c r="U1334" s="101"/>
      <c r="V1334" s="101"/>
      <c r="W1334" s="101"/>
      <c r="X1334" s="101"/>
      <c r="Y1334" s="101"/>
      <c r="Z1334" s="101"/>
    </row>
    <row r="1335">
      <c r="A1335" s="103">
        <v>1333.0</v>
      </c>
      <c r="B1335" s="104" t="s">
        <v>2538</v>
      </c>
      <c r="C1335" s="104" t="s">
        <v>2521</v>
      </c>
      <c r="D1335" s="103">
        <v>0.0</v>
      </c>
      <c r="E1335" s="103">
        <v>0.0</v>
      </c>
      <c r="F1335" s="103">
        <v>0.0</v>
      </c>
      <c r="G1335" s="103">
        <v>8.0</v>
      </c>
      <c r="H1335" s="103">
        <v>0.0</v>
      </c>
      <c r="I1335" s="101"/>
      <c r="J1335" s="101"/>
      <c r="K1335" s="101"/>
      <c r="L1335" s="101"/>
      <c r="M1335" s="101"/>
      <c r="N1335" s="101"/>
      <c r="O1335" s="101"/>
      <c r="P1335" s="101"/>
      <c r="Q1335" s="101"/>
      <c r="R1335" s="101"/>
      <c r="S1335" s="101"/>
      <c r="T1335" s="101"/>
      <c r="U1335" s="101"/>
      <c r="V1335" s="101"/>
      <c r="W1335" s="101"/>
      <c r="X1335" s="101"/>
      <c r="Y1335" s="101"/>
      <c r="Z1335" s="101"/>
    </row>
    <row r="1336">
      <c r="A1336" s="105">
        <v>1334.0</v>
      </c>
      <c r="B1336" s="106" t="s">
        <v>2539</v>
      </c>
      <c r="C1336" s="106" t="s">
        <v>2521</v>
      </c>
      <c r="D1336" s="105">
        <v>0.0</v>
      </c>
      <c r="E1336" s="105">
        <v>0.0</v>
      </c>
      <c r="F1336" s="105">
        <v>0.0</v>
      </c>
      <c r="G1336" s="105">
        <v>8.0</v>
      </c>
      <c r="H1336" s="105">
        <v>0.0</v>
      </c>
      <c r="I1336" s="101"/>
      <c r="J1336" s="101"/>
      <c r="K1336" s="101"/>
      <c r="L1336" s="101"/>
      <c r="M1336" s="101"/>
      <c r="N1336" s="101"/>
      <c r="O1336" s="101"/>
      <c r="P1336" s="101"/>
      <c r="Q1336" s="101"/>
      <c r="R1336" s="101"/>
      <c r="S1336" s="101"/>
      <c r="T1336" s="101"/>
      <c r="U1336" s="101"/>
      <c r="V1336" s="101"/>
      <c r="W1336" s="101"/>
      <c r="X1336" s="101"/>
      <c r="Y1336" s="101"/>
      <c r="Z1336" s="101"/>
    </row>
    <row r="1337">
      <c r="A1337" s="103">
        <v>1335.0</v>
      </c>
      <c r="B1337" s="104" t="s">
        <v>2540</v>
      </c>
      <c r="C1337" s="104" t="s">
        <v>2521</v>
      </c>
      <c r="D1337" s="103">
        <v>0.0</v>
      </c>
      <c r="E1337" s="103">
        <v>0.0</v>
      </c>
      <c r="F1337" s="103">
        <v>0.0</v>
      </c>
      <c r="G1337" s="103">
        <v>8.0</v>
      </c>
      <c r="H1337" s="103">
        <v>0.0</v>
      </c>
      <c r="I1337" s="101"/>
      <c r="J1337" s="101"/>
      <c r="K1337" s="101"/>
      <c r="L1337" s="101"/>
      <c r="M1337" s="101"/>
      <c r="N1337" s="101"/>
      <c r="O1337" s="101"/>
      <c r="P1337" s="101"/>
      <c r="Q1337" s="101"/>
      <c r="R1337" s="101"/>
      <c r="S1337" s="101"/>
      <c r="T1337" s="101"/>
      <c r="U1337" s="101"/>
      <c r="V1337" s="101"/>
      <c r="W1337" s="101"/>
      <c r="X1337" s="101"/>
      <c r="Y1337" s="101"/>
      <c r="Z1337" s="101"/>
    </row>
    <row r="1338">
      <c r="A1338" s="105">
        <v>1336.0</v>
      </c>
      <c r="B1338" s="106" t="s">
        <v>2541</v>
      </c>
      <c r="C1338" s="106" t="s">
        <v>2521</v>
      </c>
      <c r="D1338" s="105">
        <v>0.0</v>
      </c>
      <c r="E1338" s="105">
        <v>0.0</v>
      </c>
      <c r="F1338" s="105">
        <v>0.0</v>
      </c>
      <c r="G1338" s="105">
        <v>8.0</v>
      </c>
      <c r="H1338" s="105">
        <v>0.0</v>
      </c>
      <c r="I1338" s="101"/>
      <c r="J1338" s="101"/>
      <c r="K1338" s="101"/>
      <c r="L1338" s="101"/>
      <c r="M1338" s="101"/>
      <c r="N1338" s="101"/>
      <c r="O1338" s="101"/>
      <c r="P1338" s="101"/>
      <c r="Q1338" s="101"/>
      <c r="R1338" s="101"/>
      <c r="S1338" s="101"/>
      <c r="T1338" s="101"/>
      <c r="U1338" s="101"/>
      <c r="V1338" s="101"/>
      <c r="W1338" s="101"/>
      <c r="X1338" s="101"/>
      <c r="Y1338" s="101"/>
      <c r="Z1338" s="101"/>
    </row>
    <row r="1339">
      <c r="A1339" s="103">
        <v>1337.0</v>
      </c>
      <c r="B1339" s="104" t="s">
        <v>2542</v>
      </c>
      <c r="C1339" s="104" t="s">
        <v>2521</v>
      </c>
      <c r="D1339" s="103">
        <v>0.0</v>
      </c>
      <c r="E1339" s="103">
        <v>0.0</v>
      </c>
      <c r="F1339" s="103">
        <v>0.0</v>
      </c>
      <c r="G1339" s="103">
        <v>8.0</v>
      </c>
      <c r="H1339" s="103">
        <v>0.0</v>
      </c>
      <c r="I1339" s="101"/>
      <c r="J1339" s="101"/>
      <c r="K1339" s="101"/>
      <c r="L1339" s="101"/>
      <c r="M1339" s="101"/>
      <c r="N1339" s="101"/>
      <c r="O1339" s="101"/>
      <c r="P1339" s="101"/>
      <c r="Q1339" s="101"/>
      <c r="R1339" s="101"/>
      <c r="S1339" s="101"/>
      <c r="T1339" s="101"/>
      <c r="U1339" s="101"/>
      <c r="V1339" s="101"/>
      <c r="W1339" s="101"/>
      <c r="X1339" s="101"/>
      <c r="Y1339" s="101"/>
      <c r="Z1339" s="101"/>
    </row>
    <row r="1340">
      <c r="A1340" s="105">
        <v>1338.0</v>
      </c>
      <c r="B1340" s="106" t="s">
        <v>2543</v>
      </c>
      <c r="C1340" s="106" t="s">
        <v>2521</v>
      </c>
      <c r="D1340" s="105">
        <v>0.0</v>
      </c>
      <c r="E1340" s="105">
        <v>0.0</v>
      </c>
      <c r="F1340" s="105">
        <v>0.0</v>
      </c>
      <c r="G1340" s="105">
        <v>8.0</v>
      </c>
      <c r="H1340" s="105">
        <v>0.0</v>
      </c>
      <c r="I1340" s="101"/>
      <c r="J1340" s="101"/>
      <c r="K1340" s="101"/>
      <c r="L1340" s="101"/>
      <c r="M1340" s="101"/>
      <c r="N1340" s="101"/>
      <c r="O1340" s="101"/>
      <c r="P1340" s="101"/>
      <c r="Q1340" s="101"/>
      <c r="R1340" s="101"/>
      <c r="S1340" s="101"/>
      <c r="T1340" s="101"/>
      <c r="U1340" s="101"/>
      <c r="V1340" s="101"/>
      <c r="W1340" s="101"/>
      <c r="X1340" s="101"/>
      <c r="Y1340" s="101"/>
      <c r="Z1340" s="101"/>
    </row>
    <row r="1341">
      <c r="A1341" s="103">
        <v>1339.0</v>
      </c>
      <c r="B1341" s="104" t="s">
        <v>2544</v>
      </c>
      <c r="C1341" s="104" t="s">
        <v>2521</v>
      </c>
      <c r="D1341" s="103">
        <v>0.0</v>
      </c>
      <c r="E1341" s="103">
        <v>0.0</v>
      </c>
      <c r="F1341" s="103">
        <v>0.0</v>
      </c>
      <c r="G1341" s="103">
        <v>8.0</v>
      </c>
      <c r="H1341" s="103">
        <v>0.0</v>
      </c>
      <c r="I1341" s="101"/>
      <c r="J1341" s="101"/>
      <c r="K1341" s="101"/>
      <c r="L1341" s="101"/>
      <c r="M1341" s="101"/>
      <c r="N1341" s="101"/>
      <c r="O1341" s="101"/>
      <c r="P1341" s="101"/>
      <c r="Q1341" s="101"/>
      <c r="R1341" s="101"/>
      <c r="S1341" s="101"/>
      <c r="T1341" s="101"/>
      <c r="U1341" s="101"/>
      <c r="V1341" s="101"/>
      <c r="W1341" s="101"/>
      <c r="X1341" s="101"/>
      <c r="Y1341" s="101"/>
      <c r="Z1341" s="101"/>
    </row>
    <row r="1342">
      <c r="A1342" s="105">
        <v>1340.0</v>
      </c>
      <c r="B1342" s="106" t="s">
        <v>2545</v>
      </c>
      <c r="C1342" s="106" t="s">
        <v>2521</v>
      </c>
      <c r="D1342" s="105">
        <v>0.0</v>
      </c>
      <c r="E1342" s="105">
        <v>0.0</v>
      </c>
      <c r="F1342" s="105">
        <v>0.0</v>
      </c>
      <c r="G1342" s="105">
        <v>8.0</v>
      </c>
      <c r="H1342" s="105">
        <v>0.0</v>
      </c>
      <c r="I1342" s="101"/>
      <c r="J1342" s="101"/>
      <c r="K1342" s="101"/>
      <c r="L1342" s="101"/>
      <c r="M1342" s="101"/>
      <c r="N1342" s="101"/>
      <c r="O1342" s="101"/>
      <c r="P1342" s="101"/>
      <c r="Q1342" s="101"/>
      <c r="R1342" s="101"/>
      <c r="S1342" s="101"/>
      <c r="T1342" s="101"/>
      <c r="U1342" s="101"/>
      <c r="V1342" s="101"/>
      <c r="W1342" s="101"/>
      <c r="X1342" s="101"/>
      <c r="Y1342" s="101"/>
      <c r="Z1342" s="101"/>
    </row>
    <row r="1343">
      <c r="A1343" s="103">
        <v>1341.0</v>
      </c>
      <c r="B1343" s="104" t="s">
        <v>2546</v>
      </c>
      <c r="C1343" s="104" t="s">
        <v>2521</v>
      </c>
      <c r="D1343" s="103">
        <v>0.0</v>
      </c>
      <c r="E1343" s="103">
        <v>0.0</v>
      </c>
      <c r="F1343" s="103">
        <v>0.0</v>
      </c>
      <c r="G1343" s="103">
        <v>8.0</v>
      </c>
      <c r="H1343" s="103">
        <v>0.0</v>
      </c>
      <c r="I1343" s="101"/>
      <c r="J1343" s="101"/>
      <c r="K1343" s="101"/>
      <c r="L1343" s="101"/>
      <c r="M1343" s="101"/>
      <c r="N1343" s="101"/>
      <c r="O1343" s="101"/>
      <c r="P1343" s="101"/>
      <c r="Q1343" s="101"/>
      <c r="R1343" s="101"/>
      <c r="S1343" s="101"/>
      <c r="T1343" s="101"/>
      <c r="U1343" s="101"/>
      <c r="V1343" s="101"/>
      <c r="W1343" s="101"/>
      <c r="X1343" s="101"/>
      <c r="Y1343" s="101"/>
      <c r="Z1343" s="101"/>
    </row>
    <row r="1344">
      <c r="A1344" s="105">
        <v>1342.0</v>
      </c>
      <c r="B1344" s="106" t="s">
        <v>2547</v>
      </c>
      <c r="C1344" s="106" t="s">
        <v>2521</v>
      </c>
      <c r="D1344" s="105">
        <v>0.0</v>
      </c>
      <c r="E1344" s="105">
        <v>0.0</v>
      </c>
      <c r="F1344" s="105">
        <v>0.0</v>
      </c>
      <c r="G1344" s="105">
        <v>8.0</v>
      </c>
      <c r="H1344" s="105">
        <v>0.0</v>
      </c>
      <c r="I1344" s="101"/>
      <c r="J1344" s="101"/>
      <c r="K1344" s="101"/>
      <c r="L1344" s="101"/>
      <c r="M1344" s="101"/>
      <c r="N1344" s="101"/>
      <c r="O1344" s="101"/>
      <c r="P1344" s="101"/>
      <c r="Q1344" s="101"/>
      <c r="R1344" s="101"/>
      <c r="S1344" s="101"/>
      <c r="T1344" s="101"/>
      <c r="U1344" s="101"/>
      <c r="V1344" s="101"/>
      <c r="W1344" s="101"/>
      <c r="X1344" s="101"/>
      <c r="Y1344" s="101"/>
      <c r="Z1344" s="101"/>
    </row>
    <row r="1345">
      <c r="A1345" s="103">
        <v>1343.0</v>
      </c>
      <c r="B1345" s="104" t="s">
        <v>2548</v>
      </c>
      <c r="C1345" s="104" t="s">
        <v>2521</v>
      </c>
      <c r="D1345" s="103">
        <v>0.0</v>
      </c>
      <c r="E1345" s="103">
        <v>0.0</v>
      </c>
      <c r="F1345" s="103">
        <v>0.0</v>
      </c>
      <c r="G1345" s="103">
        <v>8.0</v>
      </c>
      <c r="H1345" s="103">
        <v>0.0</v>
      </c>
      <c r="I1345" s="101"/>
      <c r="J1345" s="101"/>
      <c r="K1345" s="101"/>
      <c r="L1345" s="101"/>
      <c r="M1345" s="101"/>
      <c r="N1345" s="101"/>
      <c r="O1345" s="101"/>
      <c r="P1345" s="101"/>
      <c r="Q1345" s="101"/>
      <c r="R1345" s="101"/>
      <c r="S1345" s="101"/>
      <c r="T1345" s="101"/>
      <c r="U1345" s="101"/>
      <c r="V1345" s="101"/>
      <c r="W1345" s="101"/>
      <c r="X1345" s="101"/>
      <c r="Y1345" s="101"/>
      <c r="Z1345" s="101"/>
    </row>
    <row r="1346">
      <c r="A1346" s="105">
        <v>1344.0</v>
      </c>
      <c r="B1346" s="106" t="s">
        <v>2549</v>
      </c>
      <c r="C1346" s="106" t="s">
        <v>2521</v>
      </c>
      <c r="D1346" s="105">
        <v>0.0</v>
      </c>
      <c r="E1346" s="105">
        <v>0.0</v>
      </c>
      <c r="F1346" s="105">
        <v>0.0</v>
      </c>
      <c r="G1346" s="105">
        <v>8.0</v>
      </c>
      <c r="H1346" s="105">
        <v>0.0</v>
      </c>
      <c r="I1346" s="101"/>
      <c r="J1346" s="101"/>
      <c r="K1346" s="101"/>
      <c r="L1346" s="101"/>
      <c r="M1346" s="101"/>
      <c r="N1346" s="101"/>
      <c r="O1346" s="101"/>
      <c r="P1346" s="101"/>
      <c r="Q1346" s="101"/>
      <c r="R1346" s="101"/>
      <c r="S1346" s="101"/>
      <c r="T1346" s="101"/>
      <c r="U1346" s="101"/>
      <c r="V1346" s="101"/>
      <c r="W1346" s="101"/>
      <c r="X1346" s="101"/>
      <c r="Y1346" s="101"/>
      <c r="Z1346" s="101"/>
    </row>
    <row r="1347">
      <c r="A1347" s="103">
        <v>1345.0</v>
      </c>
      <c r="B1347" s="104" t="s">
        <v>2550</v>
      </c>
      <c r="C1347" s="104" t="s">
        <v>2521</v>
      </c>
      <c r="D1347" s="103">
        <v>0.0</v>
      </c>
      <c r="E1347" s="103">
        <v>0.0</v>
      </c>
      <c r="F1347" s="103">
        <v>0.0</v>
      </c>
      <c r="G1347" s="103">
        <v>8.0</v>
      </c>
      <c r="H1347" s="103">
        <v>0.0</v>
      </c>
      <c r="I1347" s="101"/>
      <c r="J1347" s="101"/>
      <c r="K1347" s="101"/>
      <c r="L1347" s="101"/>
      <c r="M1347" s="101"/>
      <c r="N1347" s="101"/>
      <c r="O1347" s="101"/>
      <c r="P1347" s="101"/>
      <c r="Q1347" s="101"/>
      <c r="R1347" s="101"/>
      <c r="S1347" s="101"/>
      <c r="T1347" s="101"/>
      <c r="U1347" s="101"/>
      <c r="V1347" s="101"/>
      <c r="W1347" s="101"/>
      <c r="X1347" s="101"/>
      <c r="Y1347" s="101"/>
      <c r="Z1347" s="101"/>
    </row>
    <row r="1348">
      <c r="A1348" s="105">
        <v>1346.0</v>
      </c>
      <c r="B1348" s="106" t="s">
        <v>2551</v>
      </c>
      <c r="C1348" s="106" t="s">
        <v>2521</v>
      </c>
      <c r="D1348" s="105">
        <v>0.0</v>
      </c>
      <c r="E1348" s="105">
        <v>0.0</v>
      </c>
      <c r="F1348" s="105">
        <v>0.0</v>
      </c>
      <c r="G1348" s="105">
        <v>8.0</v>
      </c>
      <c r="H1348" s="105">
        <v>0.0</v>
      </c>
      <c r="I1348" s="101"/>
      <c r="J1348" s="101"/>
      <c r="K1348" s="101"/>
      <c r="L1348" s="101"/>
      <c r="M1348" s="101"/>
      <c r="N1348" s="101"/>
      <c r="O1348" s="101"/>
      <c r="P1348" s="101"/>
      <c r="Q1348" s="101"/>
      <c r="R1348" s="101"/>
      <c r="S1348" s="101"/>
      <c r="T1348" s="101"/>
      <c r="U1348" s="101"/>
      <c r="V1348" s="101"/>
      <c r="W1348" s="101"/>
      <c r="X1348" s="101"/>
      <c r="Y1348" s="101"/>
      <c r="Z1348" s="101"/>
    </row>
    <row r="1349">
      <c r="A1349" s="103">
        <v>1347.0</v>
      </c>
      <c r="B1349" s="104" t="s">
        <v>2552</v>
      </c>
      <c r="C1349" s="104" t="s">
        <v>2521</v>
      </c>
      <c r="D1349" s="103">
        <v>0.0</v>
      </c>
      <c r="E1349" s="103">
        <v>0.0</v>
      </c>
      <c r="F1349" s="103">
        <v>0.0</v>
      </c>
      <c r="G1349" s="103">
        <v>8.0</v>
      </c>
      <c r="H1349" s="103">
        <v>0.0</v>
      </c>
      <c r="I1349" s="101"/>
      <c r="J1349" s="101"/>
      <c r="K1349" s="101"/>
      <c r="L1349" s="101"/>
      <c r="M1349" s="101"/>
      <c r="N1349" s="101"/>
      <c r="O1349" s="101"/>
      <c r="P1349" s="101"/>
      <c r="Q1349" s="101"/>
      <c r="R1349" s="101"/>
      <c r="S1349" s="101"/>
      <c r="T1349" s="101"/>
      <c r="U1349" s="101"/>
      <c r="V1349" s="101"/>
      <c r="W1349" s="101"/>
      <c r="X1349" s="101"/>
      <c r="Y1349" s="101"/>
      <c r="Z1349" s="101"/>
    </row>
    <row r="1350">
      <c r="A1350" s="105">
        <v>1348.0</v>
      </c>
      <c r="B1350" s="106" t="s">
        <v>2553</v>
      </c>
      <c r="C1350" s="106" t="s">
        <v>2521</v>
      </c>
      <c r="D1350" s="105">
        <v>0.0</v>
      </c>
      <c r="E1350" s="105">
        <v>0.0</v>
      </c>
      <c r="F1350" s="105">
        <v>0.0</v>
      </c>
      <c r="G1350" s="105">
        <v>8.0</v>
      </c>
      <c r="H1350" s="105">
        <v>0.0</v>
      </c>
      <c r="I1350" s="101"/>
      <c r="J1350" s="101"/>
      <c r="K1350" s="101"/>
      <c r="L1350" s="101"/>
      <c r="M1350" s="101"/>
      <c r="N1350" s="101"/>
      <c r="O1350" s="101"/>
      <c r="P1350" s="101"/>
      <c r="Q1350" s="101"/>
      <c r="R1350" s="101"/>
      <c r="S1350" s="101"/>
      <c r="T1350" s="101"/>
      <c r="U1350" s="101"/>
      <c r="V1350" s="101"/>
      <c r="W1350" s="101"/>
      <c r="X1350" s="101"/>
      <c r="Y1350" s="101"/>
      <c r="Z1350" s="101"/>
    </row>
    <row r="1351">
      <c r="A1351" s="103">
        <v>1349.0</v>
      </c>
      <c r="B1351" s="104" t="s">
        <v>2554</v>
      </c>
      <c r="C1351" s="104" t="s">
        <v>2521</v>
      </c>
      <c r="D1351" s="103">
        <v>0.0</v>
      </c>
      <c r="E1351" s="103">
        <v>0.0</v>
      </c>
      <c r="F1351" s="103">
        <v>0.0</v>
      </c>
      <c r="G1351" s="103">
        <v>8.0</v>
      </c>
      <c r="H1351" s="103">
        <v>0.0</v>
      </c>
      <c r="I1351" s="101"/>
      <c r="J1351" s="101"/>
      <c r="K1351" s="101"/>
      <c r="L1351" s="101"/>
      <c r="M1351" s="101"/>
      <c r="N1351" s="101"/>
      <c r="O1351" s="101"/>
      <c r="P1351" s="101"/>
      <c r="Q1351" s="101"/>
      <c r="R1351" s="101"/>
      <c r="S1351" s="101"/>
      <c r="T1351" s="101"/>
      <c r="U1351" s="101"/>
      <c r="V1351" s="101"/>
      <c r="W1351" s="101"/>
      <c r="X1351" s="101"/>
      <c r="Y1351" s="101"/>
      <c r="Z1351" s="101"/>
    </row>
    <row r="1352">
      <c r="A1352" s="105">
        <v>1350.0</v>
      </c>
      <c r="B1352" s="106" t="s">
        <v>2555</v>
      </c>
      <c r="C1352" s="106" t="s">
        <v>2521</v>
      </c>
      <c r="D1352" s="105">
        <v>0.0</v>
      </c>
      <c r="E1352" s="105">
        <v>0.0</v>
      </c>
      <c r="F1352" s="105">
        <v>0.0</v>
      </c>
      <c r="G1352" s="105">
        <v>8.0</v>
      </c>
      <c r="H1352" s="105">
        <v>0.0</v>
      </c>
      <c r="I1352" s="101"/>
      <c r="J1352" s="101"/>
      <c r="K1352" s="101"/>
      <c r="L1352" s="101"/>
      <c r="M1352" s="101"/>
      <c r="N1352" s="101"/>
      <c r="O1352" s="101"/>
      <c r="P1352" s="101"/>
      <c r="Q1352" s="101"/>
      <c r="R1352" s="101"/>
      <c r="S1352" s="101"/>
      <c r="T1352" s="101"/>
      <c r="U1352" s="101"/>
      <c r="V1352" s="101"/>
      <c r="W1352" s="101"/>
      <c r="X1352" s="101"/>
      <c r="Y1352" s="101"/>
      <c r="Z1352" s="101"/>
    </row>
    <row r="1353">
      <c r="A1353" s="103">
        <v>1351.0</v>
      </c>
      <c r="B1353" s="104" t="s">
        <v>2556</v>
      </c>
      <c r="C1353" s="104" t="s">
        <v>2521</v>
      </c>
      <c r="D1353" s="103">
        <v>0.0</v>
      </c>
      <c r="E1353" s="103">
        <v>0.0</v>
      </c>
      <c r="F1353" s="103">
        <v>0.0</v>
      </c>
      <c r="G1353" s="103">
        <v>8.0</v>
      </c>
      <c r="H1353" s="103">
        <v>0.0</v>
      </c>
      <c r="I1353" s="101"/>
      <c r="J1353" s="101"/>
      <c r="K1353" s="101"/>
      <c r="L1353" s="101"/>
      <c r="M1353" s="101"/>
      <c r="N1353" s="101"/>
      <c r="O1353" s="101"/>
      <c r="P1353" s="101"/>
      <c r="Q1353" s="101"/>
      <c r="R1353" s="101"/>
      <c r="S1353" s="101"/>
      <c r="T1353" s="101"/>
      <c r="U1353" s="101"/>
      <c r="V1353" s="101"/>
      <c r="W1353" s="101"/>
      <c r="X1353" s="101"/>
      <c r="Y1353" s="101"/>
      <c r="Z1353" s="101"/>
    </row>
    <row r="1354">
      <c r="A1354" s="105">
        <v>1352.0</v>
      </c>
      <c r="B1354" s="106" t="s">
        <v>2557</v>
      </c>
      <c r="C1354" s="106" t="s">
        <v>2558</v>
      </c>
      <c r="D1354" s="105">
        <v>0.0</v>
      </c>
      <c r="E1354" s="105">
        <v>0.0</v>
      </c>
      <c r="F1354" s="105">
        <v>0.0</v>
      </c>
      <c r="G1354" s="105">
        <v>8.0</v>
      </c>
      <c r="H1354" s="105">
        <v>0.0</v>
      </c>
      <c r="I1354" s="101"/>
      <c r="J1354" s="101"/>
      <c r="K1354" s="101"/>
      <c r="L1354" s="101"/>
      <c r="M1354" s="101"/>
      <c r="N1354" s="101"/>
      <c r="O1354" s="101"/>
      <c r="P1354" s="101"/>
      <c r="Q1354" s="101"/>
      <c r="R1354" s="101"/>
      <c r="S1354" s="101"/>
      <c r="T1354" s="101"/>
      <c r="U1354" s="101"/>
      <c r="V1354" s="101"/>
      <c r="W1354" s="101"/>
      <c r="X1354" s="101"/>
      <c r="Y1354" s="101"/>
      <c r="Z1354" s="101"/>
    </row>
    <row r="1355">
      <c r="A1355" s="103">
        <v>1353.0</v>
      </c>
      <c r="B1355" s="104" t="s">
        <v>2559</v>
      </c>
      <c r="C1355" s="104" t="s">
        <v>2558</v>
      </c>
      <c r="D1355" s="103">
        <v>0.0</v>
      </c>
      <c r="E1355" s="103">
        <v>0.0</v>
      </c>
      <c r="F1355" s="103">
        <v>0.0</v>
      </c>
      <c r="G1355" s="103">
        <v>8.0</v>
      </c>
      <c r="H1355" s="103">
        <v>0.0</v>
      </c>
      <c r="I1355" s="101"/>
      <c r="J1355" s="101"/>
      <c r="K1355" s="101"/>
      <c r="L1355" s="101"/>
      <c r="M1355" s="101"/>
      <c r="N1355" s="101"/>
      <c r="O1355" s="101"/>
      <c r="P1355" s="101"/>
      <c r="Q1355" s="101"/>
      <c r="R1355" s="101"/>
      <c r="S1355" s="101"/>
      <c r="T1355" s="101"/>
      <c r="U1355" s="101"/>
      <c r="V1355" s="101"/>
      <c r="W1355" s="101"/>
      <c r="X1355" s="101"/>
      <c r="Y1355" s="101"/>
      <c r="Z1355" s="101"/>
    </row>
    <row r="1356">
      <c r="A1356" s="105">
        <v>1354.0</v>
      </c>
      <c r="B1356" s="106" t="s">
        <v>2560</v>
      </c>
      <c r="C1356" s="106" t="s">
        <v>2558</v>
      </c>
      <c r="D1356" s="105">
        <v>0.0</v>
      </c>
      <c r="E1356" s="105">
        <v>0.0</v>
      </c>
      <c r="F1356" s="105">
        <v>0.0</v>
      </c>
      <c r="G1356" s="105">
        <v>8.0</v>
      </c>
      <c r="H1356" s="105">
        <v>0.0</v>
      </c>
      <c r="I1356" s="101"/>
      <c r="J1356" s="101"/>
      <c r="K1356" s="101"/>
      <c r="L1356" s="101"/>
      <c r="M1356" s="101"/>
      <c r="N1356" s="101"/>
      <c r="O1356" s="101"/>
      <c r="P1356" s="101"/>
      <c r="Q1356" s="101"/>
      <c r="R1356" s="101"/>
      <c r="S1356" s="101"/>
      <c r="T1356" s="101"/>
      <c r="U1356" s="101"/>
      <c r="V1356" s="101"/>
      <c r="W1356" s="101"/>
      <c r="X1356" s="101"/>
      <c r="Y1356" s="101"/>
      <c r="Z1356" s="101"/>
    </row>
    <row r="1357">
      <c r="A1357" s="103">
        <v>1355.0</v>
      </c>
      <c r="B1357" s="104" t="s">
        <v>2561</v>
      </c>
      <c r="C1357" s="104" t="s">
        <v>2558</v>
      </c>
      <c r="D1357" s="103">
        <v>0.0</v>
      </c>
      <c r="E1357" s="103">
        <v>0.0</v>
      </c>
      <c r="F1357" s="103">
        <v>0.0</v>
      </c>
      <c r="G1357" s="103">
        <v>8.0</v>
      </c>
      <c r="H1357" s="103">
        <v>0.0</v>
      </c>
      <c r="I1357" s="101"/>
      <c r="J1357" s="101"/>
      <c r="K1357" s="101"/>
      <c r="L1357" s="101"/>
      <c r="M1357" s="101"/>
      <c r="N1357" s="101"/>
      <c r="O1357" s="101"/>
      <c r="P1357" s="101"/>
      <c r="Q1357" s="101"/>
      <c r="R1357" s="101"/>
      <c r="S1357" s="101"/>
      <c r="T1357" s="101"/>
      <c r="U1357" s="101"/>
      <c r="V1357" s="101"/>
      <c r="W1357" s="101"/>
      <c r="X1357" s="101"/>
      <c r="Y1357" s="101"/>
      <c r="Z1357" s="101"/>
    </row>
    <row r="1358">
      <c r="A1358" s="105">
        <v>1356.0</v>
      </c>
      <c r="B1358" s="106" t="s">
        <v>2562</v>
      </c>
      <c r="C1358" s="106" t="s">
        <v>2558</v>
      </c>
      <c r="D1358" s="105">
        <v>0.0</v>
      </c>
      <c r="E1358" s="105">
        <v>0.0</v>
      </c>
      <c r="F1358" s="105">
        <v>0.0</v>
      </c>
      <c r="G1358" s="105">
        <v>8.0</v>
      </c>
      <c r="H1358" s="105">
        <v>0.0</v>
      </c>
      <c r="I1358" s="101"/>
      <c r="J1358" s="101"/>
      <c r="K1358" s="101"/>
      <c r="L1358" s="101"/>
      <c r="M1358" s="101"/>
      <c r="N1358" s="101"/>
      <c r="O1358" s="101"/>
      <c r="P1358" s="101"/>
      <c r="Q1358" s="101"/>
      <c r="R1358" s="101"/>
      <c r="S1358" s="101"/>
      <c r="T1358" s="101"/>
      <c r="U1358" s="101"/>
      <c r="V1358" s="101"/>
      <c r="W1358" s="101"/>
      <c r="X1358" s="101"/>
      <c r="Y1358" s="101"/>
      <c r="Z1358" s="101"/>
    </row>
    <row r="1359">
      <c r="A1359" s="103">
        <v>1357.0</v>
      </c>
      <c r="B1359" s="104" t="s">
        <v>2563</v>
      </c>
      <c r="C1359" s="104" t="s">
        <v>2558</v>
      </c>
      <c r="D1359" s="103">
        <v>0.0</v>
      </c>
      <c r="E1359" s="103">
        <v>0.0</v>
      </c>
      <c r="F1359" s="103">
        <v>0.0</v>
      </c>
      <c r="G1359" s="103">
        <v>8.0</v>
      </c>
      <c r="H1359" s="103">
        <v>0.0</v>
      </c>
      <c r="I1359" s="101"/>
      <c r="J1359" s="101"/>
      <c r="K1359" s="101"/>
      <c r="L1359" s="101"/>
      <c r="M1359" s="101"/>
      <c r="N1359" s="101"/>
      <c r="O1359" s="101"/>
      <c r="P1359" s="101"/>
      <c r="Q1359" s="101"/>
      <c r="R1359" s="101"/>
      <c r="S1359" s="101"/>
      <c r="T1359" s="101"/>
      <c r="U1359" s="101"/>
      <c r="V1359" s="101"/>
      <c r="W1359" s="101"/>
      <c r="X1359" s="101"/>
      <c r="Y1359" s="101"/>
      <c r="Z1359" s="101"/>
    </row>
    <row r="1360">
      <c r="A1360" s="105">
        <v>1358.0</v>
      </c>
      <c r="B1360" s="106" t="s">
        <v>2564</v>
      </c>
      <c r="C1360" s="106" t="s">
        <v>2558</v>
      </c>
      <c r="D1360" s="105">
        <v>0.0</v>
      </c>
      <c r="E1360" s="105">
        <v>0.0</v>
      </c>
      <c r="F1360" s="105">
        <v>0.0</v>
      </c>
      <c r="G1360" s="105">
        <v>8.0</v>
      </c>
      <c r="H1360" s="105">
        <v>0.0</v>
      </c>
      <c r="I1360" s="101"/>
      <c r="J1360" s="101"/>
      <c r="K1360" s="101"/>
      <c r="L1360" s="101"/>
      <c r="M1360" s="101"/>
      <c r="N1360" s="101"/>
      <c r="O1360" s="101"/>
      <c r="P1360" s="101"/>
      <c r="Q1360" s="101"/>
      <c r="R1360" s="101"/>
      <c r="S1360" s="101"/>
      <c r="T1360" s="101"/>
      <c r="U1360" s="101"/>
      <c r="V1360" s="101"/>
      <c r="W1360" s="101"/>
      <c r="X1360" s="101"/>
      <c r="Y1360" s="101"/>
      <c r="Z1360" s="101"/>
    </row>
    <row r="1361">
      <c r="A1361" s="103">
        <v>1359.0</v>
      </c>
      <c r="B1361" s="104" t="s">
        <v>2565</v>
      </c>
      <c r="C1361" s="104" t="s">
        <v>2558</v>
      </c>
      <c r="D1361" s="103">
        <v>0.0</v>
      </c>
      <c r="E1361" s="103">
        <v>0.0</v>
      </c>
      <c r="F1361" s="103">
        <v>0.0</v>
      </c>
      <c r="G1361" s="103">
        <v>8.0</v>
      </c>
      <c r="H1361" s="103">
        <v>0.0</v>
      </c>
      <c r="I1361" s="101"/>
      <c r="J1361" s="101"/>
      <c r="K1361" s="101"/>
      <c r="L1361" s="101"/>
      <c r="M1361" s="101"/>
      <c r="N1361" s="101"/>
      <c r="O1361" s="101"/>
      <c r="P1361" s="101"/>
      <c r="Q1361" s="101"/>
      <c r="R1361" s="101"/>
      <c r="S1361" s="101"/>
      <c r="T1361" s="101"/>
      <c r="U1361" s="101"/>
      <c r="V1361" s="101"/>
      <c r="W1361" s="101"/>
      <c r="X1361" s="101"/>
      <c r="Y1361" s="101"/>
      <c r="Z1361" s="101"/>
    </row>
    <row r="1362">
      <c r="A1362" s="105">
        <v>1360.0</v>
      </c>
      <c r="B1362" s="106" t="s">
        <v>2566</v>
      </c>
      <c r="C1362" s="106" t="s">
        <v>2558</v>
      </c>
      <c r="D1362" s="105">
        <v>0.0</v>
      </c>
      <c r="E1362" s="105">
        <v>0.0</v>
      </c>
      <c r="F1362" s="105">
        <v>0.0</v>
      </c>
      <c r="G1362" s="105">
        <v>8.0</v>
      </c>
      <c r="H1362" s="105">
        <v>0.0</v>
      </c>
      <c r="I1362" s="101"/>
      <c r="J1362" s="101"/>
      <c r="K1362" s="101"/>
      <c r="L1362" s="101"/>
      <c r="M1362" s="101"/>
      <c r="N1362" s="101"/>
      <c r="O1362" s="101"/>
      <c r="P1362" s="101"/>
      <c r="Q1362" s="101"/>
      <c r="R1362" s="101"/>
      <c r="S1362" s="101"/>
      <c r="T1362" s="101"/>
      <c r="U1362" s="101"/>
      <c r="V1362" s="101"/>
      <c r="W1362" s="101"/>
      <c r="X1362" s="101"/>
      <c r="Y1362" s="101"/>
      <c r="Z1362" s="101"/>
    </row>
    <row r="1363">
      <c r="A1363" s="103">
        <v>1361.0</v>
      </c>
      <c r="B1363" s="104" t="s">
        <v>2567</v>
      </c>
      <c r="C1363" s="104" t="s">
        <v>2558</v>
      </c>
      <c r="D1363" s="103">
        <v>0.0</v>
      </c>
      <c r="E1363" s="103">
        <v>0.0</v>
      </c>
      <c r="F1363" s="103">
        <v>0.0</v>
      </c>
      <c r="G1363" s="103">
        <v>8.0</v>
      </c>
      <c r="H1363" s="103">
        <v>0.0</v>
      </c>
      <c r="I1363" s="101"/>
      <c r="J1363" s="101"/>
      <c r="K1363" s="101"/>
      <c r="L1363" s="101"/>
      <c r="M1363" s="101"/>
      <c r="N1363" s="101"/>
      <c r="O1363" s="101"/>
      <c r="P1363" s="101"/>
      <c r="Q1363" s="101"/>
      <c r="R1363" s="101"/>
      <c r="S1363" s="101"/>
      <c r="T1363" s="101"/>
      <c r="U1363" s="101"/>
      <c r="V1363" s="101"/>
      <c r="W1363" s="101"/>
      <c r="X1363" s="101"/>
      <c r="Y1363" s="101"/>
      <c r="Z1363" s="101"/>
    </row>
    <row r="1364">
      <c r="A1364" s="105">
        <v>1362.0</v>
      </c>
      <c r="B1364" s="106" t="s">
        <v>2568</v>
      </c>
      <c r="C1364" s="106" t="s">
        <v>2558</v>
      </c>
      <c r="D1364" s="105">
        <v>0.0</v>
      </c>
      <c r="E1364" s="105">
        <v>0.0</v>
      </c>
      <c r="F1364" s="105">
        <v>0.0</v>
      </c>
      <c r="G1364" s="105">
        <v>8.0</v>
      </c>
      <c r="H1364" s="105">
        <v>0.0</v>
      </c>
      <c r="I1364" s="101"/>
      <c r="J1364" s="101"/>
      <c r="K1364" s="101"/>
      <c r="L1364" s="101"/>
      <c r="M1364" s="101"/>
      <c r="N1364" s="101"/>
      <c r="O1364" s="101"/>
      <c r="P1364" s="101"/>
      <c r="Q1364" s="101"/>
      <c r="R1364" s="101"/>
      <c r="S1364" s="101"/>
      <c r="T1364" s="101"/>
      <c r="U1364" s="101"/>
      <c r="V1364" s="101"/>
      <c r="W1364" s="101"/>
      <c r="X1364" s="101"/>
      <c r="Y1364" s="101"/>
      <c r="Z1364" s="101"/>
    </row>
    <row r="1365">
      <c r="A1365" s="103">
        <v>1363.0</v>
      </c>
      <c r="B1365" s="104" t="s">
        <v>2569</v>
      </c>
      <c r="C1365" s="104" t="s">
        <v>2558</v>
      </c>
      <c r="D1365" s="103">
        <v>0.0</v>
      </c>
      <c r="E1365" s="103">
        <v>0.0</v>
      </c>
      <c r="F1365" s="103">
        <v>0.0</v>
      </c>
      <c r="G1365" s="103">
        <v>8.0</v>
      </c>
      <c r="H1365" s="103">
        <v>0.0</v>
      </c>
      <c r="I1365" s="101"/>
      <c r="J1365" s="101"/>
      <c r="K1365" s="101"/>
      <c r="L1365" s="101"/>
      <c r="M1365" s="101"/>
      <c r="N1365" s="101"/>
      <c r="O1365" s="101"/>
      <c r="P1365" s="101"/>
      <c r="Q1365" s="101"/>
      <c r="R1365" s="101"/>
      <c r="S1365" s="101"/>
      <c r="T1365" s="101"/>
      <c r="U1365" s="101"/>
      <c r="V1365" s="101"/>
      <c r="W1365" s="101"/>
      <c r="X1365" s="101"/>
      <c r="Y1365" s="101"/>
      <c r="Z1365" s="101"/>
    </row>
    <row r="1366">
      <c r="A1366" s="105">
        <v>1364.0</v>
      </c>
      <c r="B1366" s="106" t="s">
        <v>2570</v>
      </c>
      <c r="C1366" s="106" t="s">
        <v>2558</v>
      </c>
      <c r="D1366" s="105">
        <v>0.0</v>
      </c>
      <c r="E1366" s="105">
        <v>0.0</v>
      </c>
      <c r="F1366" s="105">
        <v>0.0</v>
      </c>
      <c r="G1366" s="105">
        <v>8.0</v>
      </c>
      <c r="H1366" s="105">
        <v>0.0</v>
      </c>
      <c r="I1366" s="101"/>
      <c r="J1366" s="101"/>
      <c r="K1366" s="101"/>
      <c r="L1366" s="101"/>
      <c r="M1366" s="101"/>
      <c r="N1366" s="101"/>
      <c r="O1366" s="101"/>
      <c r="P1366" s="101"/>
      <c r="Q1366" s="101"/>
      <c r="R1366" s="101"/>
      <c r="S1366" s="101"/>
      <c r="T1366" s="101"/>
      <c r="U1366" s="101"/>
      <c r="V1366" s="101"/>
      <c r="W1366" s="101"/>
      <c r="X1366" s="101"/>
      <c r="Y1366" s="101"/>
      <c r="Z1366" s="101"/>
    </row>
    <row r="1367">
      <c r="A1367" s="103">
        <v>1365.0</v>
      </c>
      <c r="B1367" s="104" t="s">
        <v>2571</v>
      </c>
      <c r="C1367" s="104" t="s">
        <v>2558</v>
      </c>
      <c r="D1367" s="103">
        <v>0.0</v>
      </c>
      <c r="E1367" s="103">
        <v>0.0</v>
      </c>
      <c r="F1367" s="103">
        <v>0.0</v>
      </c>
      <c r="G1367" s="103">
        <v>8.0</v>
      </c>
      <c r="H1367" s="103">
        <v>0.0</v>
      </c>
      <c r="I1367" s="101"/>
      <c r="J1367" s="101"/>
      <c r="K1367" s="101"/>
      <c r="L1367" s="101"/>
      <c r="M1367" s="101"/>
      <c r="N1367" s="101"/>
      <c r="O1367" s="101"/>
      <c r="P1367" s="101"/>
      <c r="Q1367" s="101"/>
      <c r="R1367" s="101"/>
      <c r="S1367" s="101"/>
      <c r="T1367" s="101"/>
      <c r="U1367" s="101"/>
      <c r="V1367" s="101"/>
      <c r="W1367" s="101"/>
      <c r="X1367" s="101"/>
      <c r="Y1367" s="101"/>
      <c r="Z1367" s="101"/>
    </row>
    <row r="1368">
      <c r="A1368" s="105">
        <v>1366.0</v>
      </c>
      <c r="B1368" s="106" t="s">
        <v>2572</v>
      </c>
      <c r="C1368" s="106" t="s">
        <v>2558</v>
      </c>
      <c r="D1368" s="105">
        <v>0.0</v>
      </c>
      <c r="E1368" s="105">
        <v>0.0</v>
      </c>
      <c r="F1368" s="105">
        <v>0.0</v>
      </c>
      <c r="G1368" s="105">
        <v>8.0</v>
      </c>
      <c r="H1368" s="105">
        <v>0.0</v>
      </c>
      <c r="I1368" s="101"/>
      <c r="J1368" s="101"/>
      <c r="K1368" s="101"/>
      <c r="L1368" s="101"/>
      <c r="M1368" s="101"/>
      <c r="N1368" s="101"/>
      <c r="O1368" s="101"/>
      <c r="P1368" s="101"/>
      <c r="Q1368" s="101"/>
      <c r="R1368" s="101"/>
      <c r="S1368" s="101"/>
      <c r="T1368" s="101"/>
      <c r="U1368" s="101"/>
      <c r="V1368" s="101"/>
      <c r="W1368" s="101"/>
      <c r="X1368" s="101"/>
      <c r="Y1368" s="101"/>
      <c r="Z1368" s="101"/>
    </row>
    <row r="1369">
      <c r="A1369" s="103">
        <v>1367.0</v>
      </c>
      <c r="B1369" s="104" t="s">
        <v>2573</v>
      </c>
      <c r="C1369" s="104" t="s">
        <v>2558</v>
      </c>
      <c r="D1369" s="103">
        <v>0.0</v>
      </c>
      <c r="E1369" s="103">
        <v>0.0</v>
      </c>
      <c r="F1369" s="103">
        <v>0.0</v>
      </c>
      <c r="G1369" s="103">
        <v>8.0</v>
      </c>
      <c r="H1369" s="103">
        <v>0.0</v>
      </c>
      <c r="I1369" s="101"/>
      <c r="J1369" s="101"/>
      <c r="K1369" s="101"/>
      <c r="L1369" s="101"/>
      <c r="M1369" s="101"/>
      <c r="N1369" s="101"/>
      <c r="O1369" s="101"/>
      <c r="P1369" s="101"/>
      <c r="Q1369" s="101"/>
      <c r="R1369" s="101"/>
      <c r="S1369" s="101"/>
      <c r="T1369" s="101"/>
      <c r="U1369" s="101"/>
      <c r="V1369" s="101"/>
      <c r="W1369" s="101"/>
      <c r="X1369" s="101"/>
      <c r="Y1369" s="101"/>
      <c r="Z1369" s="101"/>
    </row>
    <row r="1370">
      <c r="A1370" s="105">
        <v>1368.0</v>
      </c>
      <c r="B1370" s="106" t="s">
        <v>2574</v>
      </c>
      <c r="C1370" s="106" t="s">
        <v>2558</v>
      </c>
      <c r="D1370" s="105">
        <v>0.0</v>
      </c>
      <c r="E1370" s="105">
        <v>0.0</v>
      </c>
      <c r="F1370" s="105">
        <v>0.0</v>
      </c>
      <c r="G1370" s="105">
        <v>8.0</v>
      </c>
      <c r="H1370" s="105">
        <v>0.0</v>
      </c>
      <c r="I1370" s="101"/>
      <c r="J1370" s="101"/>
      <c r="K1370" s="101"/>
      <c r="L1370" s="101"/>
      <c r="M1370" s="101"/>
      <c r="N1370" s="101"/>
      <c r="O1370" s="101"/>
      <c r="P1370" s="101"/>
      <c r="Q1370" s="101"/>
      <c r="R1370" s="101"/>
      <c r="S1370" s="101"/>
      <c r="T1370" s="101"/>
      <c r="U1370" s="101"/>
      <c r="V1370" s="101"/>
      <c r="W1370" s="101"/>
      <c r="X1370" s="101"/>
      <c r="Y1370" s="101"/>
      <c r="Z1370" s="101"/>
    </row>
    <row r="1371">
      <c r="A1371" s="103">
        <v>1369.0</v>
      </c>
      <c r="B1371" s="104" t="s">
        <v>2575</v>
      </c>
      <c r="C1371" s="104" t="s">
        <v>2558</v>
      </c>
      <c r="D1371" s="103">
        <v>0.0</v>
      </c>
      <c r="E1371" s="103">
        <v>0.0</v>
      </c>
      <c r="F1371" s="103">
        <v>0.0</v>
      </c>
      <c r="G1371" s="103">
        <v>8.0</v>
      </c>
      <c r="H1371" s="103">
        <v>0.0</v>
      </c>
      <c r="I1371" s="101"/>
      <c r="J1371" s="101"/>
      <c r="K1371" s="101"/>
      <c r="L1371" s="101"/>
      <c r="M1371" s="101"/>
      <c r="N1371" s="101"/>
      <c r="O1371" s="101"/>
      <c r="P1371" s="101"/>
      <c r="Q1371" s="101"/>
      <c r="R1371" s="101"/>
      <c r="S1371" s="101"/>
      <c r="T1371" s="101"/>
      <c r="U1371" s="101"/>
      <c r="V1371" s="101"/>
      <c r="W1371" s="101"/>
      <c r="X1371" s="101"/>
      <c r="Y1371" s="101"/>
      <c r="Z1371" s="101"/>
    </row>
    <row r="1372">
      <c r="A1372" s="105">
        <v>1370.0</v>
      </c>
      <c r="B1372" s="106" t="s">
        <v>2576</v>
      </c>
      <c r="C1372" s="106" t="s">
        <v>2558</v>
      </c>
      <c r="D1372" s="105">
        <v>0.0</v>
      </c>
      <c r="E1372" s="105">
        <v>0.0</v>
      </c>
      <c r="F1372" s="105">
        <v>0.0</v>
      </c>
      <c r="G1372" s="105">
        <v>8.0</v>
      </c>
      <c r="H1372" s="105">
        <v>0.0</v>
      </c>
      <c r="I1372" s="101"/>
      <c r="J1372" s="101"/>
      <c r="K1372" s="101"/>
      <c r="L1372" s="101"/>
      <c r="M1372" s="101"/>
      <c r="N1372" s="101"/>
      <c r="O1372" s="101"/>
      <c r="P1372" s="101"/>
      <c r="Q1372" s="101"/>
      <c r="R1372" s="101"/>
      <c r="S1372" s="101"/>
      <c r="T1372" s="101"/>
      <c r="U1372" s="101"/>
      <c r="V1372" s="101"/>
      <c r="W1372" s="101"/>
      <c r="X1372" s="101"/>
      <c r="Y1372" s="101"/>
      <c r="Z1372" s="101"/>
    </row>
    <row r="1373">
      <c r="A1373" s="103">
        <v>1371.0</v>
      </c>
      <c r="B1373" s="104" t="s">
        <v>2577</v>
      </c>
      <c r="C1373" s="104" t="s">
        <v>2558</v>
      </c>
      <c r="D1373" s="103">
        <v>0.0</v>
      </c>
      <c r="E1373" s="103">
        <v>0.0</v>
      </c>
      <c r="F1373" s="103">
        <v>0.0</v>
      </c>
      <c r="G1373" s="103">
        <v>8.0</v>
      </c>
      <c r="H1373" s="103">
        <v>0.0</v>
      </c>
      <c r="I1373" s="101"/>
      <c r="J1373" s="101"/>
      <c r="K1373" s="101"/>
      <c r="L1373" s="101"/>
      <c r="M1373" s="101"/>
      <c r="N1373" s="101"/>
      <c r="O1373" s="101"/>
      <c r="P1373" s="101"/>
      <c r="Q1373" s="101"/>
      <c r="R1373" s="101"/>
      <c r="S1373" s="101"/>
      <c r="T1373" s="101"/>
      <c r="U1373" s="101"/>
      <c r="V1373" s="101"/>
      <c r="W1373" s="101"/>
      <c r="X1373" s="101"/>
      <c r="Y1373" s="101"/>
      <c r="Z1373" s="101"/>
    </row>
    <row r="1374">
      <c r="A1374" s="105">
        <v>1372.0</v>
      </c>
      <c r="B1374" s="106" t="s">
        <v>2578</v>
      </c>
      <c r="C1374" s="106" t="s">
        <v>2558</v>
      </c>
      <c r="D1374" s="105">
        <v>0.0</v>
      </c>
      <c r="E1374" s="105">
        <v>0.0</v>
      </c>
      <c r="F1374" s="105">
        <v>0.0</v>
      </c>
      <c r="G1374" s="105">
        <v>8.0</v>
      </c>
      <c r="H1374" s="105">
        <v>0.0</v>
      </c>
      <c r="I1374" s="101"/>
      <c r="J1374" s="101"/>
      <c r="K1374" s="101"/>
      <c r="L1374" s="101"/>
      <c r="M1374" s="101"/>
      <c r="N1374" s="101"/>
      <c r="O1374" s="101"/>
      <c r="P1374" s="101"/>
      <c r="Q1374" s="101"/>
      <c r="R1374" s="101"/>
      <c r="S1374" s="101"/>
      <c r="T1374" s="101"/>
      <c r="U1374" s="101"/>
      <c r="V1374" s="101"/>
      <c r="W1374" s="101"/>
      <c r="X1374" s="101"/>
      <c r="Y1374" s="101"/>
      <c r="Z1374" s="101"/>
    </row>
    <row r="1375">
      <c r="A1375" s="103">
        <v>1373.0</v>
      </c>
      <c r="B1375" s="104" t="s">
        <v>2579</v>
      </c>
      <c r="C1375" s="104" t="s">
        <v>2558</v>
      </c>
      <c r="D1375" s="103">
        <v>0.0</v>
      </c>
      <c r="E1375" s="103">
        <v>0.0</v>
      </c>
      <c r="F1375" s="103">
        <v>0.0</v>
      </c>
      <c r="G1375" s="103">
        <v>8.0</v>
      </c>
      <c r="H1375" s="103">
        <v>0.0</v>
      </c>
      <c r="I1375" s="101"/>
      <c r="J1375" s="101"/>
      <c r="K1375" s="101"/>
      <c r="L1375" s="101"/>
      <c r="M1375" s="101"/>
      <c r="N1375" s="101"/>
      <c r="O1375" s="101"/>
      <c r="P1375" s="101"/>
      <c r="Q1375" s="101"/>
      <c r="R1375" s="101"/>
      <c r="S1375" s="101"/>
      <c r="T1375" s="101"/>
      <c r="U1375" s="101"/>
      <c r="V1375" s="101"/>
      <c r="W1375" s="101"/>
      <c r="X1375" s="101"/>
      <c r="Y1375" s="101"/>
      <c r="Z1375" s="101"/>
    </row>
    <row r="1376">
      <c r="A1376" s="105">
        <v>1374.0</v>
      </c>
      <c r="B1376" s="106" t="s">
        <v>2580</v>
      </c>
      <c r="C1376" s="106" t="s">
        <v>2558</v>
      </c>
      <c r="D1376" s="105">
        <v>0.0</v>
      </c>
      <c r="E1376" s="105">
        <v>0.0</v>
      </c>
      <c r="F1376" s="105">
        <v>0.0</v>
      </c>
      <c r="G1376" s="105">
        <v>8.0</v>
      </c>
      <c r="H1376" s="105">
        <v>0.0</v>
      </c>
      <c r="I1376" s="101"/>
      <c r="J1376" s="101"/>
      <c r="K1376" s="101"/>
      <c r="L1376" s="101"/>
      <c r="M1376" s="101"/>
      <c r="N1376" s="101"/>
      <c r="O1376" s="101"/>
      <c r="P1376" s="101"/>
      <c r="Q1376" s="101"/>
      <c r="R1376" s="101"/>
      <c r="S1376" s="101"/>
      <c r="T1376" s="101"/>
      <c r="U1376" s="101"/>
      <c r="V1376" s="101"/>
      <c r="W1376" s="101"/>
      <c r="X1376" s="101"/>
      <c r="Y1376" s="101"/>
      <c r="Z1376" s="101"/>
    </row>
    <row r="1377">
      <c r="A1377" s="103">
        <v>1375.0</v>
      </c>
      <c r="B1377" s="104" t="s">
        <v>2581</v>
      </c>
      <c r="C1377" s="104" t="s">
        <v>2558</v>
      </c>
      <c r="D1377" s="103">
        <v>0.0</v>
      </c>
      <c r="E1377" s="103">
        <v>0.0</v>
      </c>
      <c r="F1377" s="103">
        <v>0.0</v>
      </c>
      <c r="G1377" s="103">
        <v>8.0</v>
      </c>
      <c r="H1377" s="103">
        <v>0.0</v>
      </c>
      <c r="I1377" s="101"/>
      <c r="J1377" s="101"/>
      <c r="K1377" s="101"/>
      <c r="L1377" s="101"/>
      <c r="M1377" s="101"/>
      <c r="N1377" s="101"/>
      <c r="O1377" s="101"/>
      <c r="P1377" s="101"/>
      <c r="Q1377" s="101"/>
      <c r="R1377" s="101"/>
      <c r="S1377" s="101"/>
      <c r="T1377" s="101"/>
      <c r="U1377" s="101"/>
      <c r="V1377" s="101"/>
      <c r="W1377" s="101"/>
      <c r="X1377" s="101"/>
      <c r="Y1377" s="101"/>
      <c r="Z1377" s="101"/>
    </row>
    <row r="1378">
      <c r="A1378" s="105">
        <v>1376.0</v>
      </c>
      <c r="B1378" s="106" t="s">
        <v>2582</v>
      </c>
      <c r="C1378" s="106" t="s">
        <v>2558</v>
      </c>
      <c r="D1378" s="105">
        <v>0.0</v>
      </c>
      <c r="E1378" s="105">
        <v>0.0</v>
      </c>
      <c r="F1378" s="105">
        <v>0.0</v>
      </c>
      <c r="G1378" s="105">
        <v>8.0</v>
      </c>
      <c r="H1378" s="105">
        <v>0.0</v>
      </c>
      <c r="I1378" s="101"/>
      <c r="J1378" s="101"/>
      <c r="K1378" s="101"/>
      <c r="L1378" s="101"/>
      <c r="M1378" s="101"/>
      <c r="N1378" s="101"/>
      <c r="O1378" s="101"/>
      <c r="P1378" s="101"/>
      <c r="Q1378" s="101"/>
      <c r="R1378" s="101"/>
      <c r="S1378" s="101"/>
      <c r="T1378" s="101"/>
      <c r="U1378" s="101"/>
      <c r="V1378" s="101"/>
      <c r="W1378" s="101"/>
      <c r="X1378" s="101"/>
      <c r="Y1378" s="101"/>
      <c r="Z1378" s="101"/>
    </row>
    <row r="1379">
      <c r="A1379" s="103">
        <v>1377.0</v>
      </c>
      <c r="B1379" s="104" t="s">
        <v>2583</v>
      </c>
      <c r="C1379" s="104" t="s">
        <v>2558</v>
      </c>
      <c r="D1379" s="103">
        <v>0.0</v>
      </c>
      <c r="E1379" s="103">
        <v>0.0</v>
      </c>
      <c r="F1379" s="103">
        <v>0.0</v>
      </c>
      <c r="G1379" s="103">
        <v>8.0</v>
      </c>
      <c r="H1379" s="103">
        <v>0.0</v>
      </c>
      <c r="I1379" s="101"/>
      <c r="J1379" s="101"/>
      <c r="K1379" s="101"/>
      <c r="L1379" s="101"/>
      <c r="M1379" s="101"/>
      <c r="N1379" s="101"/>
      <c r="O1379" s="101"/>
      <c r="P1379" s="101"/>
      <c r="Q1379" s="101"/>
      <c r="R1379" s="101"/>
      <c r="S1379" s="101"/>
      <c r="T1379" s="101"/>
      <c r="U1379" s="101"/>
      <c r="V1379" s="101"/>
      <c r="W1379" s="101"/>
      <c r="X1379" s="101"/>
      <c r="Y1379" s="101"/>
      <c r="Z1379" s="101"/>
    </row>
    <row r="1380">
      <c r="A1380" s="105">
        <v>1378.0</v>
      </c>
      <c r="B1380" s="106" t="s">
        <v>2584</v>
      </c>
      <c r="C1380" s="106" t="s">
        <v>2558</v>
      </c>
      <c r="D1380" s="105">
        <v>0.0</v>
      </c>
      <c r="E1380" s="105">
        <v>0.0</v>
      </c>
      <c r="F1380" s="105">
        <v>0.0</v>
      </c>
      <c r="G1380" s="105">
        <v>8.0</v>
      </c>
      <c r="H1380" s="105">
        <v>0.0</v>
      </c>
      <c r="I1380" s="101"/>
      <c r="J1380" s="101"/>
      <c r="K1380" s="101"/>
      <c r="L1380" s="101"/>
      <c r="M1380" s="101"/>
      <c r="N1380" s="101"/>
      <c r="O1380" s="101"/>
      <c r="P1380" s="101"/>
      <c r="Q1380" s="101"/>
      <c r="R1380" s="101"/>
      <c r="S1380" s="101"/>
      <c r="T1380" s="101"/>
      <c r="U1380" s="101"/>
      <c r="V1380" s="101"/>
      <c r="W1380" s="101"/>
      <c r="X1380" s="101"/>
      <c r="Y1380" s="101"/>
      <c r="Z1380" s="101"/>
    </row>
    <row r="1381">
      <c r="A1381" s="103">
        <v>1379.0</v>
      </c>
      <c r="B1381" s="104" t="s">
        <v>2585</v>
      </c>
      <c r="C1381" s="104" t="s">
        <v>2558</v>
      </c>
      <c r="D1381" s="103">
        <v>0.0</v>
      </c>
      <c r="E1381" s="103">
        <v>0.0</v>
      </c>
      <c r="F1381" s="103">
        <v>0.0</v>
      </c>
      <c r="G1381" s="103">
        <v>8.0</v>
      </c>
      <c r="H1381" s="103">
        <v>0.0</v>
      </c>
      <c r="I1381" s="101"/>
      <c r="J1381" s="101"/>
      <c r="K1381" s="101"/>
      <c r="L1381" s="101"/>
      <c r="M1381" s="101"/>
      <c r="N1381" s="101"/>
      <c r="O1381" s="101"/>
      <c r="P1381" s="101"/>
      <c r="Q1381" s="101"/>
      <c r="R1381" s="101"/>
      <c r="S1381" s="101"/>
      <c r="T1381" s="101"/>
      <c r="U1381" s="101"/>
      <c r="V1381" s="101"/>
      <c r="W1381" s="101"/>
      <c r="X1381" s="101"/>
      <c r="Y1381" s="101"/>
      <c r="Z1381" s="101"/>
    </row>
    <row r="1382">
      <c r="A1382" s="105">
        <v>1380.0</v>
      </c>
      <c r="B1382" s="106" t="s">
        <v>2586</v>
      </c>
      <c r="C1382" s="106" t="s">
        <v>2558</v>
      </c>
      <c r="D1382" s="105">
        <v>0.0</v>
      </c>
      <c r="E1382" s="105">
        <v>0.0</v>
      </c>
      <c r="F1382" s="105">
        <v>0.0</v>
      </c>
      <c r="G1382" s="105">
        <v>8.0</v>
      </c>
      <c r="H1382" s="105">
        <v>0.0</v>
      </c>
      <c r="I1382" s="101"/>
      <c r="J1382" s="101"/>
      <c r="K1382" s="101"/>
      <c r="L1382" s="101"/>
      <c r="M1382" s="101"/>
      <c r="N1382" s="101"/>
      <c r="O1382" s="101"/>
      <c r="P1382" s="101"/>
      <c r="Q1382" s="101"/>
      <c r="R1382" s="101"/>
      <c r="S1382" s="101"/>
      <c r="T1382" s="101"/>
      <c r="U1382" s="101"/>
      <c r="V1382" s="101"/>
      <c r="W1382" s="101"/>
      <c r="X1382" s="101"/>
      <c r="Y1382" s="101"/>
      <c r="Z1382" s="101"/>
    </row>
    <row r="1383">
      <c r="A1383" s="103">
        <v>1381.0</v>
      </c>
      <c r="B1383" s="104" t="s">
        <v>2587</v>
      </c>
      <c r="C1383" s="104" t="s">
        <v>2558</v>
      </c>
      <c r="D1383" s="103">
        <v>0.0</v>
      </c>
      <c r="E1383" s="103">
        <v>0.0</v>
      </c>
      <c r="F1383" s="103">
        <v>0.0</v>
      </c>
      <c r="G1383" s="103">
        <v>8.0</v>
      </c>
      <c r="H1383" s="103">
        <v>0.0</v>
      </c>
      <c r="I1383" s="101"/>
      <c r="J1383" s="101"/>
      <c r="K1383" s="101"/>
      <c r="L1383" s="101"/>
      <c r="M1383" s="101"/>
      <c r="N1383" s="101"/>
      <c r="O1383" s="101"/>
      <c r="P1383" s="101"/>
      <c r="Q1383" s="101"/>
      <c r="R1383" s="101"/>
      <c r="S1383" s="101"/>
      <c r="T1383" s="101"/>
      <c r="U1383" s="101"/>
      <c r="V1383" s="101"/>
      <c r="W1383" s="101"/>
      <c r="X1383" s="101"/>
      <c r="Y1383" s="101"/>
      <c r="Z1383" s="101"/>
    </row>
    <row r="1384">
      <c r="A1384" s="105">
        <v>1382.0</v>
      </c>
      <c r="B1384" s="106" t="s">
        <v>2588</v>
      </c>
      <c r="C1384" s="106" t="s">
        <v>2558</v>
      </c>
      <c r="D1384" s="105">
        <v>0.0</v>
      </c>
      <c r="E1384" s="105">
        <v>0.0</v>
      </c>
      <c r="F1384" s="105">
        <v>0.0</v>
      </c>
      <c r="G1384" s="105">
        <v>8.0</v>
      </c>
      <c r="H1384" s="105">
        <v>0.0</v>
      </c>
      <c r="I1384" s="101"/>
      <c r="J1384" s="101"/>
      <c r="K1384" s="101"/>
      <c r="L1384" s="101"/>
      <c r="M1384" s="101"/>
      <c r="N1384" s="101"/>
      <c r="O1384" s="101"/>
      <c r="P1384" s="101"/>
      <c r="Q1384" s="101"/>
      <c r="R1384" s="101"/>
      <c r="S1384" s="101"/>
      <c r="T1384" s="101"/>
      <c r="U1384" s="101"/>
      <c r="V1384" s="101"/>
      <c r="W1384" s="101"/>
      <c r="X1384" s="101"/>
      <c r="Y1384" s="101"/>
      <c r="Z1384" s="101"/>
    </row>
    <row r="1385">
      <c r="A1385" s="103">
        <v>1383.0</v>
      </c>
      <c r="B1385" s="104" t="s">
        <v>2589</v>
      </c>
      <c r="C1385" s="104" t="s">
        <v>2558</v>
      </c>
      <c r="D1385" s="103">
        <v>0.0</v>
      </c>
      <c r="E1385" s="103">
        <v>0.0</v>
      </c>
      <c r="F1385" s="103">
        <v>0.0</v>
      </c>
      <c r="G1385" s="103">
        <v>8.0</v>
      </c>
      <c r="H1385" s="103">
        <v>0.0</v>
      </c>
      <c r="I1385" s="101"/>
      <c r="J1385" s="101"/>
      <c r="K1385" s="101"/>
      <c r="L1385" s="101"/>
      <c r="M1385" s="101"/>
      <c r="N1385" s="101"/>
      <c r="O1385" s="101"/>
      <c r="P1385" s="101"/>
      <c r="Q1385" s="101"/>
      <c r="R1385" s="101"/>
      <c r="S1385" s="101"/>
      <c r="T1385" s="101"/>
      <c r="U1385" s="101"/>
      <c r="V1385" s="101"/>
      <c r="W1385" s="101"/>
      <c r="X1385" s="101"/>
      <c r="Y1385" s="101"/>
      <c r="Z1385" s="101"/>
    </row>
    <row r="1386">
      <c r="A1386" s="105">
        <v>1384.0</v>
      </c>
      <c r="B1386" s="106" t="s">
        <v>2590</v>
      </c>
      <c r="C1386" s="106" t="s">
        <v>2558</v>
      </c>
      <c r="D1386" s="105">
        <v>0.0</v>
      </c>
      <c r="E1386" s="105">
        <v>0.0</v>
      </c>
      <c r="F1386" s="105">
        <v>0.0</v>
      </c>
      <c r="G1386" s="105">
        <v>8.0</v>
      </c>
      <c r="H1386" s="105">
        <v>0.0</v>
      </c>
      <c r="I1386" s="101"/>
      <c r="J1386" s="101"/>
      <c r="K1386" s="101"/>
      <c r="L1386" s="101"/>
      <c r="M1386" s="101"/>
      <c r="N1386" s="101"/>
      <c r="O1386" s="101"/>
      <c r="P1386" s="101"/>
      <c r="Q1386" s="101"/>
      <c r="R1386" s="101"/>
      <c r="S1386" s="101"/>
      <c r="T1386" s="101"/>
      <c r="U1386" s="101"/>
      <c r="V1386" s="101"/>
      <c r="W1386" s="101"/>
      <c r="X1386" s="101"/>
      <c r="Y1386" s="101"/>
      <c r="Z1386" s="101"/>
    </row>
    <row r="1387">
      <c r="A1387" s="103">
        <v>1385.0</v>
      </c>
      <c r="B1387" s="104" t="s">
        <v>2591</v>
      </c>
      <c r="C1387" s="104" t="s">
        <v>2558</v>
      </c>
      <c r="D1387" s="103">
        <v>0.0</v>
      </c>
      <c r="E1387" s="103">
        <v>0.0</v>
      </c>
      <c r="F1387" s="103">
        <v>0.0</v>
      </c>
      <c r="G1387" s="103">
        <v>8.0</v>
      </c>
      <c r="H1387" s="103">
        <v>0.0</v>
      </c>
      <c r="I1387" s="101"/>
      <c r="J1387" s="101"/>
      <c r="K1387" s="101"/>
      <c r="L1387" s="101"/>
      <c r="M1387" s="101"/>
      <c r="N1387" s="101"/>
      <c r="O1387" s="101"/>
      <c r="P1387" s="101"/>
      <c r="Q1387" s="101"/>
      <c r="R1387" s="101"/>
      <c r="S1387" s="101"/>
      <c r="T1387" s="101"/>
      <c r="U1387" s="101"/>
      <c r="V1387" s="101"/>
      <c r="W1387" s="101"/>
      <c r="X1387" s="101"/>
      <c r="Y1387" s="101"/>
      <c r="Z1387" s="101"/>
    </row>
    <row r="1388">
      <c r="A1388" s="105">
        <v>1386.0</v>
      </c>
      <c r="B1388" s="106" t="s">
        <v>2592</v>
      </c>
      <c r="C1388" s="106" t="s">
        <v>2558</v>
      </c>
      <c r="D1388" s="105">
        <v>0.0</v>
      </c>
      <c r="E1388" s="105">
        <v>0.0</v>
      </c>
      <c r="F1388" s="105">
        <v>0.0</v>
      </c>
      <c r="G1388" s="105">
        <v>8.0</v>
      </c>
      <c r="H1388" s="105">
        <v>0.0</v>
      </c>
      <c r="I1388" s="101"/>
      <c r="J1388" s="101"/>
      <c r="K1388" s="101"/>
      <c r="L1388" s="101"/>
      <c r="M1388" s="101"/>
      <c r="N1388" s="101"/>
      <c r="O1388" s="101"/>
      <c r="P1388" s="101"/>
      <c r="Q1388" s="101"/>
      <c r="R1388" s="101"/>
      <c r="S1388" s="101"/>
      <c r="T1388" s="101"/>
      <c r="U1388" s="101"/>
      <c r="V1388" s="101"/>
      <c r="W1388" s="101"/>
      <c r="X1388" s="101"/>
      <c r="Y1388" s="101"/>
      <c r="Z1388" s="101"/>
    </row>
    <row r="1389">
      <c r="A1389" s="103">
        <v>1387.0</v>
      </c>
      <c r="B1389" s="104" t="s">
        <v>2593</v>
      </c>
      <c r="C1389" s="104" t="s">
        <v>2558</v>
      </c>
      <c r="D1389" s="103">
        <v>0.0</v>
      </c>
      <c r="E1389" s="103">
        <v>0.0</v>
      </c>
      <c r="F1389" s="103">
        <v>0.0</v>
      </c>
      <c r="G1389" s="103">
        <v>8.0</v>
      </c>
      <c r="H1389" s="103">
        <v>0.0</v>
      </c>
      <c r="I1389" s="101"/>
      <c r="J1389" s="101"/>
      <c r="K1389" s="101"/>
      <c r="L1389" s="101"/>
      <c r="M1389" s="101"/>
      <c r="N1389" s="101"/>
      <c r="O1389" s="101"/>
      <c r="P1389" s="101"/>
      <c r="Q1389" s="101"/>
      <c r="R1389" s="101"/>
      <c r="S1389" s="101"/>
      <c r="T1389" s="101"/>
      <c r="U1389" s="101"/>
      <c r="V1389" s="101"/>
      <c r="W1389" s="101"/>
      <c r="X1389" s="101"/>
      <c r="Y1389" s="101"/>
      <c r="Z1389" s="101"/>
    </row>
    <row r="1390">
      <c r="A1390" s="105">
        <v>1388.0</v>
      </c>
      <c r="B1390" s="106" t="s">
        <v>2594</v>
      </c>
      <c r="C1390" s="106" t="s">
        <v>2595</v>
      </c>
      <c r="D1390" s="105">
        <v>1.0</v>
      </c>
      <c r="E1390" s="105">
        <v>0.0</v>
      </c>
      <c r="F1390" s="105">
        <v>0.0</v>
      </c>
      <c r="G1390" s="105">
        <v>7.0</v>
      </c>
      <c r="H1390" s="105">
        <v>0.0</v>
      </c>
      <c r="I1390" s="101"/>
      <c r="J1390" s="101"/>
      <c r="K1390" s="101"/>
      <c r="L1390" s="101"/>
      <c r="M1390" s="101"/>
      <c r="N1390" s="101"/>
      <c r="O1390" s="101"/>
      <c r="P1390" s="101"/>
      <c r="Q1390" s="101"/>
      <c r="R1390" s="101"/>
      <c r="S1390" s="101"/>
      <c r="T1390" s="101"/>
      <c r="U1390" s="101"/>
      <c r="V1390" s="101"/>
      <c r="W1390" s="101"/>
      <c r="X1390" s="101"/>
      <c r="Y1390" s="101"/>
      <c r="Z1390" s="101"/>
    </row>
    <row r="1391">
      <c r="A1391" s="103">
        <v>1389.0</v>
      </c>
      <c r="B1391" s="104" t="s">
        <v>2596</v>
      </c>
      <c r="C1391" s="104" t="s">
        <v>2595</v>
      </c>
      <c r="D1391" s="103">
        <v>0.0</v>
      </c>
      <c r="E1391" s="103">
        <v>0.0</v>
      </c>
      <c r="F1391" s="103">
        <v>0.0</v>
      </c>
      <c r="G1391" s="103">
        <v>8.0</v>
      </c>
      <c r="H1391" s="103">
        <v>0.0</v>
      </c>
      <c r="I1391" s="101"/>
      <c r="J1391" s="101"/>
      <c r="K1391" s="101"/>
      <c r="L1391" s="101"/>
      <c r="M1391" s="101"/>
      <c r="N1391" s="101"/>
      <c r="O1391" s="101"/>
      <c r="P1391" s="101"/>
      <c r="Q1391" s="101"/>
      <c r="R1391" s="101"/>
      <c r="S1391" s="101"/>
      <c r="T1391" s="101"/>
      <c r="U1391" s="101"/>
      <c r="V1391" s="101"/>
      <c r="W1391" s="101"/>
      <c r="X1391" s="101"/>
      <c r="Y1391" s="101"/>
      <c r="Z1391" s="101"/>
    </row>
    <row r="1392">
      <c r="A1392" s="105">
        <v>1390.0</v>
      </c>
      <c r="B1392" s="106" t="s">
        <v>2597</v>
      </c>
      <c r="C1392" s="106" t="s">
        <v>2595</v>
      </c>
      <c r="D1392" s="105">
        <v>0.0</v>
      </c>
      <c r="E1392" s="105">
        <v>0.0</v>
      </c>
      <c r="F1392" s="105">
        <v>0.0</v>
      </c>
      <c r="G1392" s="105">
        <v>8.0</v>
      </c>
      <c r="H1392" s="105">
        <v>0.0</v>
      </c>
      <c r="I1392" s="101"/>
      <c r="J1392" s="101"/>
      <c r="K1392" s="101"/>
      <c r="L1392" s="101"/>
      <c r="M1392" s="101"/>
      <c r="N1392" s="101"/>
      <c r="O1392" s="101"/>
      <c r="P1392" s="101"/>
      <c r="Q1392" s="101"/>
      <c r="R1392" s="101"/>
      <c r="S1392" s="101"/>
      <c r="T1392" s="101"/>
      <c r="U1392" s="101"/>
      <c r="V1392" s="101"/>
      <c r="W1392" s="101"/>
      <c r="X1392" s="101"/>
      <c r="Y1392" s="101"/>
      <c r="Z1392" s="101"/>
    </row>
    <row r="1393">
      <c r="A1393" s="103">
        <v>1391.0</v>
      </c>
      <c r="B1393" s="104" t="s">
        <v>2598</v>
      </c>
      <c r="C1393" s="104" t="s">
        <v>2595</v>
      </c>
      <c r="D1393" s="103">
        <v>0.0</v>
      </c>
      <c r="E1393" s="103">
        <v>0.0</v>
      </c>
      <c r="F1393" s="103">
        <v>0.0</v>
      </c>
      <c r="G1393" s="103">
        <v>8.0</v>
      </c>
      <c r="H1393" s="103">
        <v>0.0</v>
      </c>
      <c r="I1393" s="101"/>
      <c r="J1393" s="101"/>
      <c r="K1393" s="101"/>
      <c r="L1393" s="101"/>
      <c r="M1393" s="101"/>
      <c r="N1393" s="101"/>
      <c r="O1393" s="101"/>
      <c r="P1393" s="101"/>
      <c r="Q1393" s="101"/>
      <c r="R1393" s="101"/>
      <c r="S1393" s="101"/>
      <c r="T1393" s="101"/>
      <c r="U1393" s="101"/>
      <c r="V1393" s="101"/>
      <c r="W1393" s="101"/>
      <c r="X1393" s="101"/>
      <c r="Y1393" s="101"/>
      <c r="Z1393" s="101"/>
    </row>
    <row r="1394">
      <c r="A1394" s="105">
        <v>1392.0</v>
      </c>
      <c r="B1394" s="106" t="s">
        <v>2599</v>
      </c>
      <c r="C1394" s="106" t="s">
        <v>2595</v>
      </c>
      <c r="D1394" s="105">
        <v>0.0</v>
      </c>
      <c r="E1394" s="105">
        <v>0.0</v>
      </c>
      <c r="F1394" s="105">
        <v>0.0</v>
      </c>
      <c r="G1394" s="105">
        <v>8.0</v>
      </c>
      <c r="H1394" s="105">
        <v>0.0</v>
      </c>
      <c r="I1394" s="101"/>
      <c r="J1394" s="101"/>
      <c r="K1394" s="101"/>
      <c r="L1394" s="101"/>
      <c r="M1394" s="101"/>
      <c r="N1394" s="101"/>
      <c r="O1394" s="101"/>
      <c r="P1394" s="101"/>
      <c r="Q1394" s="101"/>
      <c r="R1394" s="101"/>
      <c r="S1394" s="101"/>
      <c r="T1394" s="101"/>
      <c r="U1394" s="101"/>
      <c r="V1394" s="101"/>
      <c r="W1394" s="101"/>
      <c r="X1394" s="101"/>
      <c r="Y1394" s="101"/>
      <c r="Z1394" s="101"/>
    </row>
    <row r="1395">
      <c r="A1395" s="103">
        <v>1393.0</v>
      </c>
      <c r="B1395" s="104" t="s">
        <v>2600</v>
      </c>
      <c r="C1395" s="104" t="s">
        <v>2595</v>
      </c>
      <c r="D1395" s="103">
        <v>0.0</v>
      </c>
      <c r="E1395" s="103">
        <v>0.0</v>
      </c>
      <c r="F1395" s="103">
        <v>0.0</v>
      </c>
      <c r="G1395" s="103">
        <v>8.0</v>
      </c>
      <c r="H1395" s="103">
        <v>0.0</v>
      </c>
      <c r="I1395" s="101"/>
      <c r="J1395" s="101"/>
      <c r="K1395" s="101"/>
      <c r="L1395" s="101"/>
      <c r="M1395" s="101"/>
      <c r="N1395" s="101"/>
      <c r="O1395" s="101"/>
      <c r="P1395" s="101"/>
      <c r="Q1395" s="101"/>
      <c r="R1395" s="101"/>
      <c r="S1395" s="101"/>
      <c r="T1395" s="101"/>
      <c r="U1395" s="101"/>
      <c r="V1395" s="101"/>
      <c r="W1395" s="101"/>
      <c r="X1395" s="101"/>
      <c r="Y1395" s="101"/>
      <c r="Z1395" s="101"/>
    </row>
    <row r="1396">
      <c r="A1396" s="105">
        <v>1394.0</v>
      </c>
      <c r="B1396" s="106" t="s">
        <v>2601</v>
      </c>
      <c r="C1396" s="106" t="s">
        <v>2595</v>
      </c>
      <c r="D1396" s="105">
        <v>0.0</v>
      </c>
      <c r="E1396" s="105">
        <v>0.0</v>
      </c>
      <c r="F1396" s="105">
        <v>0.0</v>
      </c>
      <c r="G1396" s="105">
        <v>8.0</v>
      </c>
      <c r="H1396" s="105">
        <v>0.0</v>
      </c>
      <c r="I1396" s="101"/>
      <c r="J1396" s="101"/>
      <c r="K1396" s="101"/>
      <c r="L1396" s="101"/>
      <c r="M1396" s="101"/>
      <c r="N1396" s="101"/>
      <c r="O1396" s="101"/>
      <c r="P1396" s="101"/>
      <c r="Q1396" s="101"/>
      <c r="R1396" s="101"/>
      <c r="S1396" s="101"/>
      <c r="T1396" s="101"/>
      <c r="U1396" s="101"/>
      <c r="V1396" s="101"/>
      <c r="W1396" s="101"/>
      <c r="X1396" s="101"/>
      <c r="Y1396" s="101"/>
      <c r="Z1396" s="101"/>
    </row>
    <row r="1397">
      <c r="A1397" s="103">
        <v>1395.0</v>
      </c>
      <c r="B1397" s="104" t="s">
        <v>2602</v>
      </c>
      <c r="C1397" s="104" t="s">
        <v>2595</v>
      </c>
      <c r="D1397" s="103">
        <v>0.0</v>
      </c>
      <c r="E1397" s="103">
        <v>0.0</v>
      </c>
      <c r="F1397" s="103">
        <v>0.0</v>
      </c>
      <c r="G1397" s="103">
        <v>8.0</v>
      </c>
      <c r="H1397" s="103">
        <v>0.0</v>
      </c>
      <c r="I1397" s="101"/>
      <c r="J1397" s="101"/>
      <c r="K1397" s="101"/>
      <c r="L1397" s="101"/>
      <c r="M1397" s="101"/>
      <c r="N1397" s="101"/>
      <c r="O1397" s="101"/>
      <c r="P1397" s="101"/>
      <c r="Q1397" s="101"/>
      <c r="R1397" s="101"/>
      <c r="S1397" s="101"/>
      <c r="T1397" s="101"/>
      <c r="U1397" s="101"/>
      <c r="V1397" s="101"/>
      <c r="W1397" s="101"/>
      <c r="X1397" s="101"/>
      <c r="Y1397" s="101"/>
      <c r="Z1397" s="101"/>
    </row>
    <row r="1398">
      <c r="A1398" s="105">
        <v>1396.0</v>
      </c>
      <c r="B1398" s="106" t="s">
        <v>2603</v>
      </c>
      <c r="C1398" s="106" t="s">
        <v>2595</v>
      </c>
      <c r="D1398" s="105">
        <v>0.0</v>
      </c>
      <c r="E1398" s="105">
        <v>0.0</v>
      </c>
      <c r="F1398" s="105">
        <v>0.0</v>
      </c>
      <c r="G1398" s="105">
        <v>8.0</v>
      </c>
      <c r="H1398" s="105">
        <v>0.0</v>
      </c>
      <c r="I1398" s="101"/>
      <c r="J1398" s="101"/>
      <c r="K1398" s="101"/>
      <c r="L1398" s="101"/>
      <c r="M1398" s="101"/>
      <c r="N1398" s="101"/>
      <c r="O1398" s="101"/>
      <c r="P1398" s="101"/>
      <c r="Q1398" s="101"/>
      <c r="R1398" s="101"/>
      <c r="S1398" s="101"/>
      <c r="T1398" s="101"/>
      <c r="U1398" s="101"/>
      <c r="V1398" s="101"/>
      <c r="W1398" s="101"/>
      <c r="X1398" s="101"/>
      <c r="Y1398" s="101"/>
      <c r="Z1398" s="101"/>
    </row>
    <row r="1399">
      <c r="A1399" s="103">
        <v>1397.0</v>
      </c>
      <c r="B1399" s="104" t="s">
        <v>2604</v>
      </c>
      <c r="C1399" s="104" t="s">
        <v>2595</v>
      </c>
      <c r="D1399" s="103">
        <v>0.0</v>
      </c>
      <c r="E1399" s="103">
        <v>0.0</v>
      </c>
      <c r="F1399" s="103">
        <v>0.0</v>
      </c>
      <c r="G1399" s="103">
        <v>8.0</v>
      </c>
      <c r="H1399" s="103">
        <v>0.0</v>
      </c>
      <c r="I1399" s="101"/>
      <c r="J1399" s="101"/>
      <c r="K1399" s="101"/>
      <c r="L1399" s="101"/>
      <c r="M1399" s="101"/>
      <c r="N1399" s="101"/>
      <c r="O1399" s="101"/>
      <c r="P1399" s="101"/>
      <c r="Q1399" s="101"/>
      <c r="R1399" s="101"/>
      <c r="S1399" s="101"/>
      <c r="T1399" s="101"/>
      <c r="U1399" s="101"/>
      <c r="V1399" s="101"/>
      <c r="W1399" s="101"/>
      <c r="X1399" s="101"/>
      <c r="Y1399" s="101"/>
      <c r="Z1399" s="101"/>
    </row>
    <row r="1400">
      <c r="A1400" s="105">
        <v>1398.0</v>
      </c>
      <c r="B1400" s="106" t="s">
        <v>2605</v>
      </c>
      <c r="C1400" s="106" t="s">
        <v>2595</v>
      </c>
      <c r="D1400" s="105">
        <v>0.0</v>
      </c>
      <c r="E1400" s="105">
        <v>0.0</v>
      </c>
      <c r="F1400" s="105">
        <v>0.0</v>
      </c>
      <c r="G1400" s="105">
        <v>8.0</v>
      </c>
      <c r="H1400" s="105">
        <v>0.0</v>
      </c>
      <c r="I1400" s="101"/>
      <c r="J1400" s="101"/>
      <c r="K1400" s="101"/>
      <c r="L1400" s="101"/>
      <c r="M1400" s="101"/>
      <c r="N1400" s="101"/>
      <c r="O1400" s="101"/>
      <c r="P1400" s="101"/>
      <c r="Q1400" s="101"/>
      <c r="R1400" s="101"/>
      <c r="S1400" s="101"/>
      <c r="T1400" s="101"/>
      <c r="U1400" s="101"/>
      <c r="V1400" s="101"/>
      <c r="W1400" s="101"/>
      <c r="X1400" s="101"/>
      <c r="Y1400" s="101"/>
      <c r="Z1400" s="101"/>
    </row>
    <row r="1401">
      <c r="A1401" s="103">
        <v>1399.0</v>
      </c>
      <c r="B1401" s="104" t="s">
        <v>2606</v>
      </c>
      <c r="C1401" s="104" t="s">
        <v>2595</v>
      </c>
      <c r="D1401" s="103">
        <v>0.0</v>
      </c>
      <c r="E1401" s="103">
        <v>0.0</v>
      </c>
      <c r="F1401" s="103">
        <v>0.0</v>
      </c>
      <c r="G1401" s="103">
        <v>8.0</v>
      </c>
      <c r="H1401" s="103">
        <v>0.0</v>
      </c>
      <c r="I1401" s="101"/>
      <c r="J1401" s="101"/>
      <c r="K1401" s="101"/>
      <c r="L1401" s="101"/>
      <c r="M1401" s="101"/>
      <c r="N1401" s="101"/>
      <c r="O1401" s="101"/>
      <c r="P1401" s="101"/>
      <c r="Q1401" s="101"/>
      <c r="R1401" s="101"/>
      <c r="S1401" s="101"/>
      <c r="T1401" s="101"/>
      <c r="U1401" s="101"/>
      <c r="V1401" s="101"/>
      <c r="W1401" s="101"/>
      <c r="X1401" s="101"/>
      <c r="Y1401" s="101"/>
      <c r="Z1401" s="101"/>
    </row>
    <row r="1402">
      <c r="A1402" s="105">
        <v>1400.0</v>
      </c>
      <c r="B1402" s="106" t="s">
        <v>2607</v>
      </c>
      <c r="C1402" s="106" t="s">
        <v>2595</v>
      </c>
      <c r="D1402" s="105">
        <v>0.0</v>
      </c>
      <c r="E1402" s="105">
        <v>0.0</v>
      </c>
      <c r="F1402" s="105">
        <v>0.0</v>
      </c>
      <c r="G1402" s="105">
        <v>8.0</v>
      </c>
      <c r="H1402" s="105">
        <v>0.0</v>
      </c>
      <c r="I1402" s="101"/>
      <c r="J1402" s="101"/>
      <c r="K1402" s="101"/>
      <c r="L1402" s="101"/>
      <c r="M1402" s="101"/>
      <c r="N1402" s="101"/>
      <c r="O1402" s="101"/>
      <c r="P1402" s="101"/>
      <c r="Q1402" s="101"/>
      <c r="R1402" s="101"/>
      <c r="S1402" s="101"/>
      <c r="T1402" s="101"/>
      <c r="U1402" s="101"/>
      <c r="V1402" s="101"/>
      <c r="W1402" s="101"/>
      <c r="X1402" s="101"/>
      <c r="Y1402" s="101"/>
      <c r="Z1402" s="101"/>
    </row>
    <row r="1403">
      <c r="A1403" s="103">
        <v>1401.0</v>
      </c>
      <c r="B1403" s="104" t="s">
        <v>2608</v>
      </c>
      <c r="C1403" s="104" t="s">
        <v>2595</v>
      </c>
      <c r="D1403" s="103">
        <v>0.0</v>
      </c>
      <c r="E1403" s="103">
        <v>0.0</v>
      </c>
      <c r="F1403" s="103">
        <v>0.0</v>
      </c>
      <c r="G1403" s="103">
        <v>8.0</v>
      </c>
      <c r="H1403" s="103">
        <v>0.0</v>
      </c>
      <c r="I1403" s="101"/>
      <c r="J1403" s="101"/>
      <c r="K1403" s="101"/>
      <c r="L1403" s="101"/>
      <c r="M1403" s="101"/>
      <c r="N1403" s="101"/>
      <c r="O1403" s="101"/>
      <c r="P1403" s="101"/>
      <c r="Q1403" s="101"/>
      <c r="R1403" s="101"/>
      <c r="S1403" s="101"/>
      <c r="T1403" s="101"/>
      <c r="U1403" s="101"/>
      <c r="V1403" s="101"/>
      <c r="W1403" s="101"/>
      <c r="X1403" s="101"/>
      <c r="Y1403" s="101"/>
      <c r="Z1403" s="101"/>
    </row>
    <row r="1404">
      <c r="A1404" s="105">
        <v>1402.0</v>
      </c>
      <c r="B1404" s="106" t="s">
        <v>2609</v>
      </c>
      <c r="C1404" s="106" t="s">
        <v>2595</v>
      </c>
      <c r="D1404" s="105">
        <v>0.0</v>
      </c>
      <c r="E1404" s="105">
        <v>0.0</v>
      </c>
      <c r="F1404" s="105">
        <v>0.0</v>
      </c>
      <c r="G1404" s="105">
        <v>8.0</v>
      </c>
      <c r="H1404" s="105">
        <v>0.0</v>
      </c>
      <c r="I1404" s="101"/>
      <c r="J1404" s="101"/>
      <c r="K1404" s="101"/>
      <c r="L1404" s="101"/>
      <c r="M1404" s="101"/>
      <c r="N1404" s="101"/>
      <c r="O1404" s="101"/>
      <c r="P1404" s="101"/>
      <c r="Q1404" s="101"/>
      <c r="R1404" s="101"/>
      <c r="S1404" s="101"/>
      <c r="T1404" s="101"/>
      <c r="U1404" s="101"/>
      <c r="V1404" s="101"/>
      <c r="W1404" s="101"/>
      <c r="X1404" s="101"/>
      <c r="Y1404" s="101"/>
      <c r="Z1404" s="101"/>
    </row>
    <row r="1405">
      <c r="A1405" s="103">
        <v>1403.0</v>
      </c>
      <c r="B1405" s="104" t="s">
        <v>2610</v>
      </c>
      <c r="C1405" s="104" t="s">
        <v>2595</v>
      </c>
      <c r="D1405" s="103">
        <v>0.0</v>
      </c>
      <c r="E1405" s="103">
        <v>0.0</v>
      </c>
      <c r="F1405" s="103">
        <v>0.0</v>
      </c>
      <c r="G1405" s="103">
        <v>8.0</v>
      </c>
      <c r="H1405" s="103">
        <v>0.0</v>
      </c>
      <c r="I1405" s="101"/>
      <c r="J1405" s="101"/>
      <c r="K1405" s="101"/>
      <c r="L1405" s="101"/>
      <c r="M1405" s="101"/>
      <c r="N1405" s="101"/>
      <c r="O1405" s="101"/>
      <c r="P1405" s="101"/>
      <c r="Q1405" s="101"/>
      <c r="R1405" s="101"/>
      <c r="S1405" s="101"/>
      <c r="T1405" s="101"/>
      <c r="U1405" s="101"/>
      <c r="V1405" s="101"/>
      <c r="W1405" s="101"/>
      <c r="X1405" s="101"/>
      <c r="Y1405" s="101"/>
      <c r="Z1405" s="101"/>
    </row>
    <row r="1406">
      <c r="A1406" s="105">
        <v>1404.0</v>
      </c>
      <c r="B1406" s="106" t="s">
        <v>2611</v>
      </c>
      <c r="C1406" s="106" t="s">
        <v>2595</v>
      </c>
      <c r="D1406" s="105">
        <v>0.0</v>
      </c>
      <c r="E1406" s="105">
        <v>0.0</v>
      </c>
      <c r="F1406" s="105">
        <v>0.0</v>
      </c>
      <c r="G1406" s="105">
        <v>8.0</v>
      </c>
      <c r="H1406" s="105">
        <v>0.0</v>
      </c>
      <c r="I1406" s="101"/>
      <c r="J1406" s="101"/>
      <c r="K1406" s="101"/>
      <c r="L1406" s="101"/>
      <c r="M1406" s="101"/>
      <c r="N1406" s="101"/>
      <c r="O1406" s="101"/>
      <c r="P1406" s="101"/>
      <c r="Q1406" s="101"/>
      <c r="R1406" s="101"/>
      <c r="S1406" s="101"/>
      <c r="T1406" s="101"/>
      <c r="U1406" s="101"/>
      <c r="V1406" s="101"/>
      <c r="W1406" s="101"/>
      <c r="X1406" s="101"/>
      <c r="Y1406" s="101"/>
      <c r="Z1406" s="101"/>
    </row>
    <row r="1407">
      <c r="A1407" s="103">
        <v>1405.0</v>
      </c>
      <c r="B1407" s="104" t="s">
        <v>2612</v>
      </c>
      <c r="C1407" s="104" t="s">
        <v>2595</v>
      </c>
      <c r="D1407" s="103">
        <v>0.0</v>
      </c>
      <c r="E1407" s="103">
        <v>0.0</v>
      </c>
      <c r="F1407" s="103">
        <v>0.0</v>
      </c>
      <c r="G1407" s="103">
        <v>8.0</v>
      </c>
      <c r="H1407" s="103">
        <v>0.0</v>
      </c>
      <c r="I1407" s="101"/>
      <c r="J1407" s="101"/>
      <c r="K1407" s="101"/>
      <c r="L1407" s="101"/>
      <c r="M1407" s="101"/>
      <c r="N1407" s="101"/>
      <c r="O1407" s="101"/>
      <c r="P1407" s="101"/>
      <c r="Q1407" s="101"/>
      <c r="R1407" s="101"/>
      <c r="S1407" s="101"/>
      <c r="T1407" s="101"/>
      <c r="U1407" s="101"/>
      <c r="V1407" s="101"/>
      <c r="W1407" s="101"/>
      <c r="X1407" s="101"/>
      <c r="Y1407" s="101"/>
      <c r="Z1407" s="101"/>
    </row>
    <row r="1408">
      <c r="A1408" s="105">
        <v>1406.0</v>
      </c>
      <c r="B1408" s="106" t="s">
        <v>2613</v>
      </c>
      <c r="C1408" s="106" t="s">
        <v>2595</v>
      </c>
      <c r="D1408" s="105">
        <v>0.0</v>
      </c>
      <c r="E1408" s="105">
        <v>0.0</v>
      </c>
      <c r="F1408" s="105">
        <v>0.0</v>
      </c>
      <c r="G1408" s="105">
        <v>8.0</v>
      </c>
      <c r="H1408" s="105">
        <v>0.0</v>
      </c>
      <c r="I1408" s="101"/>
      <c r="J1408" s="101"/>
      <c r="K1408" s="101"/>
      <c r="L1408" s="101"/>
      <c r="M1408" s="101"/>
      <c r="N1408" s="101"/>
      <c r="O1408" s="101"/>
      <c r="P1408" s="101"/>
      <c r="Q1408" s="101"/>
      <c r="R1408" s="101"/>
      <c r="S1408" s="101"/>
      <c r="T1408" s="101"/>
      <c r="U1408" s="101"/>
      <c r="V1408" s="101"/>
      <c r="W1408" s="101"/>
      <c r="X1408" s="101"/>
      <c r="Y1408" s="101"/>
      <c r="Z1408" s="101"/>
    </row>
    <row r="1409">
      <c r="A1409" s="103">
        <v>1407.0</v>
      </c>
      <c r="B1409" s="104" t="s">
        <v>2614</v>
      </c>
      <c r="C1409" s="104" t="s">
        <v>2595</v>
      </c>
      <c r="D1409" s="103">
        <v>0.0</v>
      </c>
      <c r="E1409" s="103">
        <v>0.0</v>
      </c>
      <c r="F1409" s="103">
        <v>0.0</v>
      </c>
      <c r="G1409" s="103">
        <v>8.0</v>
      </c>
      <c r="H1409" s="103">
        <v>0.0</v>
      </c>
      <c r="I1409" s="101"/>
      <c r="J1409" s="101"/>
      <c r="K1409" s="101"/>
      <c r="L1409" s="101"/>
      <c r="M1409" s="101"/>
      <c r="N1409" s="101"/>
      <c r="O1409" s="101"/>
      <c r="P1409" s="101"/>
      <c r="Q1409" s="101"/>
      <c r="R1409" s="101"/>
      <c r="S1409" s="101"/>
      <c r="T1409" s="101"/>
      <c r="U1409" s="101"/>
      <c r="V1409" s="101"/>
      <c r="W1409" s="101"/>
      <c r="X1409" s="101"/>
      <c r="Y1409" s="101"/>
      <c r="Z1409" s="101"/>
    </row>
    <row r="1410">
      <c r="A1410" s="105">
        <v>1408.0</v>
      </c>
      <c r="B1410" s="106" t="s">
        <v>2615</v>
      </c>
      <c r="C1410" s="106" t="s">
        <v>2595</v>
      </c>
      <c r="D1410" s="105">
        <v>0.0</v>
      </c>
      <c r="E1410" s="105">
        <v>0.0</v>
      </c>
      <c r="F1410" s="105">
        <v>0.0</v>
      </c>
      <c r="G1410" s="105">
        <v>8.0</v>
      </c>
      <c r="H1410" s="105">
        <v>0.0</v>
      </c>
      <c r="I1410" s="101"/>
      <c r="J1410" s="101"/>
      <c r="K1410" s="101"/>
      <c r="L1410" s="101"/>
      <c r="M1410" s="101"/>
      <c r="N1410" s="101"/>
      <c r="O1410" s="101"/>
      <c r="P1410" s="101"/>
      <c r="Q1410" s="101"/>
      <c r="R1410" s="101"/>
      <c r="S1410" s="101"/>
      <c r="T1410" s="101"/>
      <c r="U1410" s="101"/>
      <c r="V1410" s="101"/>
      <c r="W1410" s="101"/>
      <c r="X1410" s="101"/>
      <c r="Y1410" s="101"/>
      <c r="Z1410" s="101"/>
    </row>
    <row r="1411">
      <c r="A1411" s="103">
        <v>1409.0</v>
      </c>
      <c r="B1411" s="104" t="s">
        <v>2616</v>
      </c>
      <c r="C1411" s="104" t="s">
        <v>2595</v>
      </c>
      <c r="D1411" s="103">
        <v>0.0</v>
      </c>
      <c r="E1411" s="103">
        <v>0.0</v>
      </c>
      <c r="F1411" s="103">
        <v>0.0</v>
      </c>
      <c r="G1411" s="103">
        <v>8.0</v>
      </c>
      <c r="H1411" s="103">
        <v>0.0</v>
      </c>
      <c r="I1411" s="101"/>
      <c r="J1411" s="101"/>
      <c r="K1411" s="101"/>
      <c r="L1411" s="101"/>
      <c r="M1411" s="101"/>
      <c r="N1411" s="101"/>
      <c r="O1411" s="101"/>
      <c r="P1411" s="101"/>
      <c r="Q1411" s="101"/>
      <c r="R1411" s="101"/>
      <c r="S1411" s="101"/>
      <c r="T1411" s="101"/>
      <c r="U1411" s="101"/>
      <c r="V1411" s="101"/>
      <c r="W1411" s="101"/>
      <c r="X1411" s="101"/>
      <c r="Y1411" s="101"/>
      <c r="Z1411" s="101"/>
    </row>
    <row r="1412">
      <c r="A1412" s="105">
        <v>1410.0</v>
      </c>
      <c r="B1412" s="106" t="s">
        <v>2617</v>
      </c>
      <c r="C1412" s="106" t="s">
        <v>2595</v>
      </c>
      <c r="D1412" s="105">
        <v>1.0</v>
      </c>
      <c r="E1412" s="105">
        <v>0.0</v>
      </c>
      <c r="F1412" s="105">
        <v>0.0</v>
      </c>
      <c r="G1412" s="105">
        <v>7.0</v>
      </c>
      <c r="H1412" s="105">
        <v>0.0</v>
      </c>
      <c r="I1412" s="101"/>
      <c r="J1412" s="101"/>
      <c r="K1412" s="101"/>
      <c r="L1412" s="101"/>
      <c r="M1412" s="101"/>
      <c r="N1412" s="101"/>
      <c r="O1412" s="101"/>
      <c r="P1412" s="101"/>
      <c r="Q1412" s="101"/>
      <c r="R1412" s="101"/>
      <c r="S1412" s="101"/>
      <c r="T1412" s="101"/>
      <c r="U1412" s="101"/>
      <c r="V1412" s="101"/>
      <c r="W1412" s="101"/>
      <c r="X1412" s="101"/>
      <c r="Y1412" s="101"/>
      <c r="Z1412" s="101"/>
    </row>
    <row r="1413">
      <c r="A1413" s="103">
        <v>1411.0</v>
      </c>
      <c r="B1413" s="104" t="s">
        <v>2618</v>
      </c>
      <c r="C1413" s="104" t="s">
        <v>2595</v>
      </c>
      <c r="D1413" s="103">
        <v>0.0</v>
      </c>
      <c r="E1413" s="103">
        <v>0.0</v>
      </c>
      <c r="F1413" s="103">
        <v>0.0</v>
      </c>
      <c r="G1413" s="103">
        <v>8.0</v>
      </c>
      <c r="H1413" s="103">
        <v>0.0</v>
      </c>
      <c r="I1413" s="101"/>
      <c r="J1413" s="101"/>
      <c r="K1413" s="101"/>
      <c r="L1413" s="101"/>
      <c r="M1413" s="101"/>
      <c r="N1413" s="101"/>
      <c r="O1413" s="101"/>
      <c r="P1413" s="101"/>
      <c r="Q1413" s="101"/>
      <c r="R1413" s="101"/>
      <c r="S1413" s="101"/>
      <c r="T1413" s="101"/>
      <c r="U1413" s="101"/>
      <c r="V1413" s="101"/>
      <c r="W1413" s="101"/>
      <c r="X1413" s="101"/>
      <c r="Y1413" s="101"/>
      <c r="Z1413" s="101"/>
    </row>
    <row r="1414">
      <c r="A1414" s="105">
        <v>1412.0</v>
      </c>
      <c r="B1414" s="106" t="s">
        <v>2619</v>
      </c>
      <c r="C1414" s="106" t="s">
        <v>2595</v>
      </c>
      <c r="D1414" s="105">
        <v>0.0</v>
      </c>
      <c r="E1414" s="105">
        <v>0.0</v>
      </c>
      <c r="F1414" s="105">
        <v>0.0</v>
      </c>
      <c r="G1414" s="105">
        <v>8.0</v>
      </c>
      <c r="H1414" s="105">
        <v>0.0</v>
      </c>
      <c r="I1414" s="101"/>
      <c r="J1414" s="101"/>
      <c r="K1414" s="101"/>
      <c r="L1414" s="101"/>
      <c r="M1414" s="101"/>
      <c r="N1414" s="101"/>
      <c r="O1414" s="101"/>
      <c r="P1414" s="101"/>
      <c r="Q1414" s="101"/>
      <c r="R1414" s="101"/>
      <c r="S1414" s="101"/>
      <c r="T1414" s="101"/>
      <c r="U1414" s="101"/>
      <c r="V1414" s="101"/>
      <c r="W1414" s="101"/>
      <c r="X1414" s="101"/>
      <c r="Y1414" s="101"/>
      <c r="Z1414" s="101"/>
    </row>
    <row r="1415">
      <c r="A1415" s="103">
        <v>1413.0</v>
      </c>
      <c r="B1415" s="104" t="s">
        <v>2620</v>
      </c>
      <c r="C1415" s="104" t="s">
        <v>2595</v>
      </c>
      <c r="D1415" s="103">
        <v>0.0</v>
      </c>
      <c r="E1415" s="103">
        <v>0.0</v>
      </c>
      <c r="F1415" s="103">
        <v>0.0</v>
      </c>
      <c r="G1415" s="103">
        <v>8.0</v>
      </c>
      <c r="H1415" s="103">
        <v>0.0</v>
      </c>
      <c r="I1415" s="101"/>
      <c r="J1415" s="101"/>
      <c r="K1415" s="101"/>
      <c r="L1415" s="101"/>
      <c r="M1415" s="101"/>
      <c r="N1415" s="101"/>
      <c r="O1415" s="101"/>
      <c r="P1415" s="101"/>
      <c r="Q1415" s="101"/>
      <c r="R1415" s="101"/>
      <c r="S1415" s="101"/>
      <c r="T1415" s="101"/>
      <c r="U1415" s="101"/>
      <c r="V1415" s="101"/>
      <c r="W1415" s="101"/>
      <c r="X1415" s="101"/>
      <c r="Y1415" s="101"/>
      <c r="Z1415" s="101"/>
    </row>
    <row r="1416">
      <c r="A1416" s="105">
        <v>1414.0</v>
      </c>
      <c r="B1416" s="106" t="s">
        <v>2621</v>
      </c>
      <c r="C1416" s="106" t="s">
        <v>2595</v>
      </c>
      <c r="D1416" s="105">
        <v>0.0</v>
      </c>
      <c r="E1416" s="105">
        <v>0.0</v>
      </c>
      <c r="F1416" s="105">
        <v>0.0</v>
      </c>
      <c r="G1416" s="105">
        <v>8.0</v>
      </c>
      <c r="H1416" s="105">
        <v>0.0</v>
      </c>
      <c r="I1416" s="101"/>
      <c r="J1416" s="101"/>
      <c r="K1416" s="101"/>
      <c r="L1416" s="101"/>
      <c r="M1416" s="101"/>
      <c r="N1416" s="101"/>
      <c r="O1416" s="101"/>
      <c r="P1416" s="101"/>
      <c r="Q1416" s="101"/>
      <c r="R1416" s="101"/>
      <c r="S1416" s="101"/>
      <c r="T1416" s="101"/>
      <c r="U1416" s="101"/>
      <c r="V1416" s="101"/>
      <c r="W1416" s="101"/>
      <c r="X1416" s="101"/>
      <c r="Y1416" s="101"/>
      <c r="Z1416" s="101"/>
    </row>
    <row r="1417">
      <c r="A1417" s="103">
        <v>1415.0</v>
      </c>
      <c r="B1417" s="104" t="s">
        <v>2622</v>
      </c>
      <c r="C1417" s="104" t="s">
        <v>2595</v>
      </c>
      <c r="D1417" s="103">
        <v>0.0</v>
      </c>
      <c r="E1417" s="103">
        <v>0.0</v>
      </c>
      <c r="F1417" s="103">
        <v>0.0</v>
      </c>
      <c r="G1417" s="103">
        <v>8.0</v>
      </c>
      <c r="H1417" s="103">
        <v>0.0</v>
      </c>
      <c r="I1417" s="101"/>
      <c r="J1417" s="101"/>
      <c r="K1417" s="101"/>
      <c r="L1417" s="101"/>
      <c r="M1417" s="101"/>
      <c r="N1417" s="101"/>
      <c r="O1417" s="101"/>
      <c r="P1417" s="101"/>
      <c r="Q1417" s="101"/>
      <c r="R1417" s="101"/>
      <c r="S1417" s="101"/>
      <c r="T1417" s="101"/>
      <c r="U1417" s="101"/>
      <c r="V1417" s="101"/>
      <c r="W1417" s="101"/>
      <c r="X1417" s="101"/>
      <c r="Y1417" s="101"/>
      <c r="Z1417" s="101"/>
    </row>
    <row r="1418">
      <c r="A1418" s="105">
        <v>1416.0</v>
      </c>
      <c r="B1418" s="106" t="s">
        <v>2623</v>
      </c>
      <c r="C1418" s="106" t="s">
        <v>2595</v>
      </c>
      <c r="D1418" s="105">
        <v>0.0</v>
      </c>
      <c r="E1418" s="105">
        <v>0.0</v>
      </c>
      <c r="F1418" s="105">
        <v>0.0</v>
      </c>
      <c r="G1418" s="105">
        <v>8.0</v>
      </c>
      <c r="H1418" s="105">
        <v>0.0</v>
      </c>
      <c r="I1418" s="101"/>
      <c r="J1418" s="101"/>
      <c r="K1418" s="101"/>
      <c r="L1418" s="101"/>
      <c r="M1418" s="101"/>
      <c r="N1418" s="101"/>
      <c r="O1418" s="101"/>
      <c r="P1418" s="101"/>
      <c r="Q1418" s="101"/>
      <c r="R1418" s="101"/>
      <c r="S1418" s="101"/>
      <c r="T1418" s="101"/>
      <c r="U1418" s="101"/>
      <c r="V1418" s="101"/>
      <c r="W1418" s="101"/>
      <c r="X1418" s="101"/>
      <c r="Y1418" s="101"/>
      <c r="Z1418" s="101"/>
    </row>
    <row r="1419">
      <c r="A1419" s="103">
        <v>1417.0</v>
      </c>
      <c r="B1419" s="104" t="s">
        <v>2624</v>
      </c>
      <c r="C1419" s="104" t="s">
        <v>2595</v>
      </c>
      <c r="D1419" s="103">
        <v>0.0</v>
      </c>
      <c r="E1419" s="103">
        <v>0.0</v>
      </c>
      <c r="F1419" s="103">
        <v>0.0</v>
      </c>
      <c r="G1419" s="103">
        <v>8.0</v>
      </c>
      <c r="H1419" s="103">
        <v>0.0</v>
      </c>
      <c r="I1419" s="101"/>
      <c r="J1419" s="101"/>
      <c r="K1419" s="101"/>
      <c r="L1419" s="101"/>
      <c r="M1419" s="101"/>
      <c r="N1419" s="101"/>
      <c r="O1419" s="101"/>
      <c r="P1419" s="101"/>
      <c r="Q1419" s="101"/>
      <c r="R1419" s="101"/>
      <c r="S1419" s="101"/>
      <c r="T1419" s="101"/>
      <c r="U1419" s="101"/>
      <c r="V1419" s="101"/>
      <c r="W1419" s="101"/>
      <c r="X1419" s="101"/>
      <c r="Y1419" s="101"/>
      <c r="Z1419" s="101"/>
    </row>
    <row r="1420">
      <c r="A1420" s="105">
        <v>1418.0</v>
      </c>
      <c r="B1420" s="106" t="s">
        <v>2625</v>
      </c>
      <c r="C1420" s="106" t="s">
        <v>2595</v>
      </c>
      <c r="D1420" s="105">
        <v>0.0</v>
      </c>
      <c r="E1420" s="105">
        <v>0.0</v>
      </c>
      <c r="F1420" s="105">
        <v>0.0</v>
      </c>
      <c r="G1420" s="105">
        <v>8.0</v>
      </c>
      <c r="H1420" s="105">
        <v>0.0</v>
      </c>
      <c r="I1420" s="101"/>
      <c r="J1420" s="101"/>
      <c r="K1420" s="101"/>
      <c r="L1420" s="101"/>
      <c r="M1420" s="101"/>
      <c r="N1420" s="101"/>
      <c r="O1420" s="101"/>
      <c r="P1420" s="101"/>
      <c r="Q1420" s="101"/>
      <c r="R1420" s="101"/>
      <c r="S1420" s="101"/>
      <c r="T1420" s="101"/>
      <c r="U1420" s="101"/>
      <c r="V1420" s="101"/>
      <c r="W1420" s="101"/>
      <c r="X1420" s="101"/>
      <c r="Y1420" s="101"/>
      <c r="Z1420" s="101"/>
    </row>
    <row r="1421">
      <c r="A1421" s="103">
        <v>1419.0</v>
      </c>
      <c r="B1421" s="104" t="s">
        <v>2626</v>
      </c>
      <c r="C1421" s="104" t="s">
        <v>2595</v>
      </c>
      <c r="D1421" s="103">
        <v>0.0</v>
      </c>
      <c r="E1421" s="103">
        <v>0.0</v>
      </c>
      <c r="F1421" s="103">
        <v>0.0</v>
      </c>
      <c r="G1421" s="103">
        <v>8.0</v>
      </c>
      <c r="H1421" s="103">
        <v>0.0</v>
      </c>
      <c r="I1421" s="101"/>
      <c r="J1421" s="101"/>
      <c r="K1421" s="101"/>
      <c r="L1421" s="101"/>
      <c r="M1421" s="101"/>
      <c r="N1421" s="101"/>
      <c r="O1421" s="101"/>
      <c r="P1421" s="101"/>
      <c r="Q1421" s="101"/>
      <c r="R1421" s="101"/>
      <c r="S1421" s="101"/>
      <c r="T1421" s="101"/>
      <c r="U1421" s="101"/>
      <c r="V1421" s="101"/>
      <c r="W1421" s="101"/>
      <c r="X1421" s="101"/>
      <c r="Y1421" s="101"/>
      <c r="Z1421" s="101"/>
    </row>
    <row r="1422">
      <c r="A1422" s="105">
        <v>1420.0</v>
      </c>
      <c r="B1422" s="106" t="s">
        <v>2627</v>
      </c>
      <c r="C1422" s="106" t="s">
        <v>2595</v>
      </c>
      <c r="D1422" s="105">
        <v>0.0</v>
      </c>
      <c r="E1422" s="105">
        <v>0.0</v>
      </c>
      <c r="F1422" s="105">
        <v>0.0</v>
      </c>
      <c r="G1422" s="105">
        <v>8.0</v>
      </c>
      <c r="H1422" s="105">
        <v>0.0</v>
      </c>
      <c r="I1422" s="101"/>
      <c r="J1422" s="101"/>
      <c r="K1422" s="101"/>
      <c r="L1422" s="101"/>
      <c r="M1422" s="101"/>
      <c r="N1422" s="101"/>
      <c r="O1422" s="101"/>
      <c r="P1422" s="101"/>
      <c r="Q1422" s="101"/>
      <c r="R1422" s="101"/>
      <c r="S1422" s="101"/>
      <c r="T1422" s="101"/>
      <c r="U1422" s="101"/>
      <c r="V1422" s="101"/>
      <c r="W1422" s="101"/>
      <c r="X1422" s="101"/>
      <c r="Y1422" s="101"/>
      <c r="Z1422" s="101"/>
    </row>
    <row r="1423">
      <c r="A1423" s="103">
        <v>1421.0</v>
      </c>
      <c r="B1423" s="104" t="s">
        <v>2628</v>
      </c>
      <c r="C1423" s="104" t="s">
        <v>2595</v>
      </c>
      <c r="D1423" s="103">
        <v>0.0</v>
      </c>
      <c r="E1423" s="103">
        <v>0.0</v>
      </c>
      <c r="F1423" s="103">
        <v>0.0</v>
      </c>
      <c r="G1423" s="103">
        <v>8.0</v>
      </c>
      <c r="H1423" s="103">
        <v>0.0</v>
      </c>
      <c r="I1423" s="101"/>
      <c r="J1423" s="101"/>
      <c r="K1423" s="101"/>
      <c r="L1423" s="101"/>
      <c r="M1423" s="101"/>
      <c r="N1423" s="101"/>
      <c r="O1423" s="101"/>
      <c r="P1423" s="101"/>
      <c r="Q1423" s="101"/>
      <c r="R1423" s="101"/>
      <c r="S1423" s="101"/>
      <c r="T1423" s="101"/>
      <c r="U1423" s="101"/>
      <c r="V1423" s="101"/>
      <c r="W1423" s="101"/>
      <c r="X1423" s="101"/>
      <c r="Y1423" s="101"/>
      <c r="Z1423" s="101"/>
    </row>
    <row r="1424">
      <c r="A1424" s="105">
        <v>1422.0</v>
      </c>
      <c r="B1424" s="106" t="s">
        <v>2629</v>
      </c>
      <c r="C1424" s="106" t="s">
        <v>2595</v>
      </c>
      <c r="D1424" s="105">
        <v>0.0</v>
      </c>
      <c r="E1424" s="105">
        <v>0.0</v>
      </c>
      <c r="F1424" s="105">
        <v>0.0</v>
      </c>
      <c r="G1424" s="105">
        <v>8.0</v>
      </c>
      <c r="H1424" s="105">
        <v>0.0</v>
      </c>
      <c r="I1424" s="101"/>
      <c r="J1424" s="101"/>
      <c r="K1424" s="101"/>
      <c r="L1424" s="101"/>
      <c r="M1424" s="101"/>
      <c r="N1424" s="101"/>
      <c r="O1424" s="101"/>
      <c r="P1424" s="101"/>
      <c r="Q1424" s="101"/>
      <c r="R1424" s="101"/>
      <c r="S1424" s="101"/>
      <c r="T1424" s="101"/>
      <c r="U1424" s="101"/>
      <c r="V1424" s="101"/>
      <c r="W1424" s="101"/>
      <c r="X1424" s="101"/>
      <c r="Y1424" s="101"/>
      <c r="Z1424" s="101"/>
    </row>
  </sheetData>
  <mergeCells count="1">
    <mergeCell ref="A1:H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2025-07-22T09:21:35Z</dcterms:created>
  <dc:creator>kurikulum smavo</dc:creator>
</cp:coreProperties>
</file>