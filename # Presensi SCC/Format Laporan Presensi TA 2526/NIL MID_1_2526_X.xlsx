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RIKULUM 2023\1. MID 1 2026\FORM NIL MID_1_2526\"/>
    </mc:Choice>
  </mc:AlternateContent>
  <xr:revisionPtr revIDLastSave="0" documentId="13_ncr:1_{94EB70D4-9A2F-462D-BE89-D4EE7ECCE29A}" xr6:coauthVersionLast="47" xr6:coauthVersionMax="47" xr10:uidLastSave="{00000000-0000-0000-0000-000000000000}"/>
  <bookViews>
    <workbookView xWindow="-110" yWindow="-110" windowWidth="19420" windowHeight="10300" activeTab="11" xr2:uid="{C53B123B-6486-4917-B7F1-175CD5ED3E75}"/>
  </bookViews>
  <sheets>
    <sheet name="X 1" sheetId="14" r:id="rId1"/>
    <sheet name="X 2" sheetId="18" r:id="rId2"/>
    <sheet name="X 3" sheetId="19" r:id="rId3"/>
    <sheet name="X 4" sheetId="15" r:id="rId4"/>
    <sheet name="X 5" sheetId="16" r:id="rId5"/>
    <sheet name="X 6" sheetId="20" r:id="rId6"/>
    <sheet name="X 7" sheetId="1" r:id="rId7"/>
    <sheet name="X 8" sheetId="2" r:id="rId8"/>
    <sheet name="X 9" sheetId="3" r:id="rId9"/>
    <sheet name="X 10" sheetId="4" r:id="rId10"/>
    <sheet name="X 11" sheetId="5" r:id="rId11"/>
    <sheet name="X 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7" i="20" l="1"/>
  <c r="T57" i="20"/>
  <c r="S57" i="20"/>
  <c r="W57" i="20" s="1"/>
  <c r="X57" i="20" s="1"/>
  <c r="AA57" i="20" s="1"/>
  <c r="U56" i="20"/>
  <c r="T56" i="20"/>
  <c r="S56" i="20"/>
  <c r="W56" i="20" s="1"/>
  <c r="X56" i="20" s="1"/>
  <c r="AA56" i="20" s="1"/>
  <c r="U55" i="20"/>
  <c r="T55" i="20"/>
  <c r="S55" i="20"/>
  <c r="W55" i="20" s="1"/>
  <c r="X55" i="20" s="1"/>
  <c r="AA55" i="20" s="1"/>
  <c r="U54" i="20"/>
  <c r="T54" i="20"/>
  <c r="S54" i="20"/>
  <c r="W54" i="20" s="1"/>
  <c r="X54" i="20" s="1"/>
  <c r="AA54" i="20" s="1"/>
  <c r="U53" i="20"/>
  <c r="T53" i="20"/>
  <c r="S53" i="20"/>
  <c r="W53" i="20" s="1"/>
  <c r="X53" i="20" s="1"/>
  <c r="AA53" i="20" s="1"/>
  <c r="U52" i="20"/>
  <c r="T52" i="20"/>
  <c r="S52" i="20"/>
  <c r="W52" i="20" s="1"/>
  <c r="X52" i="20" s="1"/>
  <c r="AA52" i="20" s="1"/>
  <c r="U51" i="20"/>
  <c r="T51" i="20"/>
  <c r="S51" i="20"/>
  <c r="W51" i="20" s="1"/>
  <c r="X51" i="20" s="1"/>
  <c r="AA51" i="20" s="1"/>
  <c r="U50" i="20"/>
  <c r="T50" i="20"/>
  <c r="S50" i="20"/>
  <c r="W50" i="20" s="1"/>
  <c r="X50" i="20" s="1"/>
  <c r="AA50" i="20" s="1"/>
  <c r="U49" i="20"/>
  <c r="T49" i="20"/>
  <c r="S49" i="20"/>
  <c r="W49" i="20" s="1"/>
  <c r="X49" i="20" s="1"/>
  <c r="AA49" i="20" s="1"/>
  <c r="U48" i="20"/>
  <c r="T48" i="20"/>
  <c r="S48" i="20"/>
  <c r="W48" i="20" s="1"/>
  <c r="X48" i="20" s="1"/>
  <c r="AA48" i="20" s="1"/>
  <c r="U47" i="20"/>
  <c r="T47" i="20"/>
  <c r="S47" i="20"/>
  <c r="W47" i="20" s="1"/>
  <c r="X47" i="20" s="1"/>
  <c r="AA47" i="20" s="1"/>
  <c r="U46" i="20"/>
  <c r="T46" i="20"/>
  <c r="S46" i="20"/>
  <c r="W46" i="20" s="1"/>
  <c r="X46" i="20" s="1"/>
  <c r="AA46" i="20" s="1"/>
  <c r="U45" i="20"/>
  <c r="T45" i="20"/>
  <c r="S45" i="20"/>
  <c r="W45" i="20" s="1"/>
  <c r="X45" i="20" s="1"/>
  <c r="AA45" i="20" s="1"/>
  <c r="U44" i="20"/>
  <c r="T44" i="20"/>
  <c r="S44" i="20"/>
  <c r="W44" i="20" s="1"/>
  <c r="X44" i="20" s="1"/>
  <c r="AA44" i="20" s="1"/>
  <c r="U43" i="20"/>
  <c r="T43" i="20"/>
  <c r="S43" i="20"/>
  <c r="W43" i="20" s="1"/>
  <c r="X43" i="20" s="1"/>
  <c r="AA43" i="20" s="1"/>
  <c r="U42" i="20"/>
  <c r="T42" i="20"/>
  <c r="S42" i="20"/>
  <c r="W42" i="20" s="1"/>
  <c r="X42" i="20" s="1"/>
  <c r="AA42" i="20" s="1"/>
  <c r="U41" i="20"/>
  <c r="T41" i="20"/>
  <c r="S41" i="20"/>
  <c r="W41" i="20" s="1"/>
  <c r="X41" i="20" s="1"/>
  <c r="AA41" i="20" s="1"/>
  <c r="U40" i="20"/>
  <c r="T40" i="20"/>
  <c r="S40" i="20"/>
  <c r="W40" i="20" s="1"/>
  <c r="X40" i="20" s="1"/>
  <c r="AA40" i="20" s="1"/>
  <c r="U39" i="20"/>
  <c r="T39" i="20"/>
  <c r="S39" i="20"/>
  <c r="W39" i="20" s="1"/>
  <c r="X39" i="20" s="1"/>
  <c r="AA39" i="20" s="1"/>
  <c r="U38" i="20"/>
  <c r="T38" i="20"/>
  <c r="S38" i="20"/>
  <c r="W38" i="20" s="1"/>
  <c r="X38" i="20" s="1"/>
  <c r="AA38" i="20" s="1"/>
  <c r="U37" i="20"/>
  <c r="T37" i="20"/>
  <c r="S37" i="20"/>
  <c r="W37" i="20" s="1"/>
  <c r="X37" i="20" s="1"/>
  <c r="AA37" i="20" s="1"/>
  <c r="U36" i="20"/>
  <c r="T36" i="20"/>
  <c r="S36" i="20"/>
  <c r="W36" i="20" s="1"/>
  <c r="X36" i="20" s="1"/>
  <c r="AA36" i="20" s="1"/>
  <c r="U35" i="20"/>
  <c r="T35" i="20"/>
  <c r="S35" i="20"/>
  <c r="W35" i="20" s="1"/>
  <c r="X35" i="20" s="1"/>
  <c r="AA35" i="20" s="1"/>
  <c r="U34" i="20"/>
  <c r="T34" i="20"/>
  <c r="S34" i="20"/>
  <c r="W34" i="20" s="1"/>
  <c r="X34" i="20" s="1"/>
  <c r="AA34" i="20" s="1"/>
  <c r="U33" i="20"/>
  <c r="T33" i="20"/>
  <c r="S33" i="20"/>
  <c r="W33" i="20" s="1"/>
  <c r="X33" i="20" s="1"/>
  <c r="AA33" i="20" s="1"/>
  <c r="U32" i="20"/>
  <c r="T32" i="20"/>
  <c r="S32" i="20"/>
  <c r="W32" i="20" s="1"/>
  <c r="X32" i="20" s="1"/>
  <c r="AA32" i="20" s="1"/>
  <c r="U31" i="20"/>
  <c r="T31" i="20"/>
  <c r="S31" i="20"/>
  <c r="W31" i="20" s="1"/>
  <c r="X31" i="20" s="1"/>
  <c r="AA31" i="20" s="1"/>
  <c r="U30" i="20"/>
  <c r="T30" i="20"/>
  <c r="S30" i="20"/>
  <c r="W30" i="20" s="1"/>
  <c r="X30" i="20" s="1"/>
  <c r="AA30" i="20" s="1"/>
  <c r="U29" i="20"/>
  <c r="T29" i="20"/>
  <c r="S29" i="20"/>
  <c r="W29" i="20" s="1"/>
  <c r="X29" i="20" s="1"/>
  <c r="AA29" i="20" s="1"/>
  <c r="U28" i="20"/>
  <c r="T28" i="20"/>
  <c r="S28" i="20"/>
  <c r="W28" i="20" s="1"/>
  <c r="X28" i="20" s="1"/>
  <c r="AA28" i="20" s="1"/>
  <c r="U27" i="20"/>
  <c r="T27" i="20"/>
  <c r="S27" i="20"/>
  <c r="W27" i="20" s="1"/>
  <c r="X27" i="20" s="1"/>
  <c r="AA27" i="20" s="1"/>
  <c r="U26" i="20"/>
  <c r="T26" i="20"/>
  <c r="S26" i="20"/>
  <c r="W26" i="20" s="1"/>
  <c r="X26" i="20" s="1"/>
  <c r="AA26" i="20" s="1"/>
  <c r="U25" i="20"/>
  <c r="T25" i="20"/>
  <c r="S25" i="20"/>
  <c r="W25" i="20" s="1"/>
  <c r="X25" i="20" s="1"/>
  <c r="AA25" i="20" s="1"/>
  <c r="U24" i="20"/>
  <c r="T24" i="20"/>
  <c r="S24" i="20"/>
  <c r="W24" i="20" s="1"/>
  <c r="X24" i="20" s="1"/>
  <c r="AA24" i="20" s="1"/>
  <c r="U23" i="20"/>
  <c r="T23" i="20"/>
  <c r="S23" i="20"/>
  <c r="W23" i="20" s="1"/>
  <c r="X23" i="20" s="1"/>
  <c r="AA23" i="20" s="1"/>
  <c r="U22" i="20"/>
  <c r="T22" i="20"/>
  <c r="S22" i="20"/>
  <c r="W22" i="20" s="1"/>
  <c r="X22" i="20" s="1"/>
  <c r="AA22" i="20" s="1"/>
  <c r="U21" i="20"/>
  <c r="T21" i="20"/>
  <c r="S21" i="20"/>
  <c r="W21" i="20" s="1"/>
  <c r="X21" i="20" s="1"/>
  <c r="AA21" i="20" s="1"/>
  <c r="U20" i="20"/>
  <c r="T20" i="20"/>
  <c r="S20" i="20"/>
  <c r="W20" i="20" s="1"/>
  <c r="X20" i="20" s="1"/>
  <c r="AA20" i="20" s="1"/>
  <c r="U19" i="20"/>
  <c r="T19" i="20"/>
  <c r="S19" i="20"/>
  <c r="W19" i="20" s="1"/>
  <c r="X19" i="20" s="1"/>
  <c r="AA19" i="20" s="1"/>
  <c r="U18" i="20"/>
  <c r="T18" i="20"/>
  <c r="S18" i="20"/>
  <c r="W18" i="20" s="1"/>
  <c r="X18" i="20" s="1"/>
  <c r="AA18" i="20" s="1"/>
  <c r="U17" i="20"/>
  <c r="T17" i="20"/>
  <c r="S17" i="20"/>
  <c r="W17" i="20" s="1"/>
  <c r="X17" i="20" s="1"/>
  <c r="AA17" i="20" s="1"/>
  <c r="U16" i="20"/>
  <c r="T16" i="20"/>
  <c r="S16" i="20"/>
  <c r="W16" i="20" s="1"/>
  <c r="X16" i="20" s="1"/>
  <c r="AA16" i="20" s="1"/>
  <c r="U15" i="20"/>
  <c r="T15" i="20"/>
  <c r="S15" i="20"/>
  <c r="W15" i="20" s="1"/>
  <c r="X15" i="20" s="1"/>
  <c r="AA15" i="20" s="1"/>
  <c r="U14" i="20"/>
  <c r="T14" i="20"/>
  <c r="S14" i="20"/>
  <c r="W14" i="20" s="1"/>
  <c r="X14" i="20" s="1"/>
  <c r="AA14" i="20" s="1"/>
  <c r="U13" i="20"/>
  <c r="T13" i="20"/>
  <c r="S13" i="20"/>
  <c r="W13" i="20" s="1"/>
  <c r="X13" i="20" s="1"/>
  <c r="AA13" i="20" s="1"/>
  <c r="U57" i="16"/>
  <c r="T57" i="16"/>
  <c r="S57" i="16"/>
  <c r="W57" i="16" s="1"/>
  <c r="X57" i="16" s="1"/>
  <c r="AA57" i="16" s="1"/>
  <c r="U56" i="16"/>
  <c r="T56" i="16"/>
  <c r="S56" i="16"/>
  <c r="W56" i="16" s="1"/>
  <c r="X56" i="16" s="1"/>
  <c r="AA56" i="16" s="1"/>
  <c r="U55" i="16"/>
  <c r="T55" i="16"/>
  <c r="S55" i="16"/>
  <c r="W55" i="16" s="1"/>
  <c r="X55" i="16" s="1"/>
  <c r="AA55" i="16" s="1"/>
  <c r="U54" i="16"/>
  <c r="T54" i="16"/>
  <c r="S54" i="16"/>
  <c r="W54" i="16" s="1"/>
  <c r="X54" i="16" s="1"/>
  <c r="AA54" i="16" s="1"/>
  <c r="U53" i="16"/>
  <c r="T53" i="16"/>
  <c r="S53" i="16"/>
  <c r="W53" i="16" s="1"/>
  <c r="X53" i="16" s="1"/>
  <c r="AA53" i="16" s="1"/>
  <c r="U52" i="16"/>
  <c r="T52" i="16"/>
  <c r="S52" i="16"/>
  <c r="W52" i="16" s="1"/>
  <c r="X52" i="16" s="1"/>
  <c r="AA52" i="16" s="1"/>
  <c r="U51" i="16"/>
  <c r="T51" i="16"/>
  <c r="S51" i="16"/>
  <c r="W51" i="16" s="1"/>
  <c r="X51" i="16" s="1"/>
  <c r="AA51" i="16" s="1"/>
  <c r="U50" i="16"/>
  <c r="T50" i="16"/>
  <c r="S50" i="16"/>
  <c r="W50" i="16" s="1"/>
  <c r="X50" i="16" s="1"/>
  <c r="AA50" i="16" s="1"/>
  <c r="U49" i="16"/>
  <c r="T49" i="16"/>
  <c r="S49" i="16"/>
  <c r="W49" i="16" s="1"/>
  <c r="X49" i="16" s="1"/>
  <c r="AA49" i="16" s="1"/>
  <c r="U48" i="16"/>
  <c r="T48" i="16"/>
  <c r="S48" i="16"/>
  <c r="W48" i="16" s="1"/>
  <c r="X48" i="16" s="1"/>
  <c r="AA48" i="16" s="1"/>
  <c r="U47" i="16"/>
  <c r="T47" i="16"/>
  <c r="S47" i="16"/>
  <c r="W47" i="16" s="1"/>
  <c r="X47" i="16" s="1"/>
  <c r="AA47" i="16" s="1"/>
  <c r="U46" i="16"/>
  <c r="T46" i="16"/>
  <c r="S46" i="16"/>
  <c r="W46" i="16" s="1"/>
  <c r="X46" i="16" s="1"/>
  <c r="AA46" i="16" s="1"/>
  <c r="U45" i="16"/>
  <c r="T45" i="16"/>
  <c r="S45" i="16"/>
  <c r="W45" i="16" s="1"/>
  <c r="X45" i="16" s="1"/>
  <c r="AA45" i="16" s="1"/>
  <c r="U44" i="16"/>
  <c r="T44" i="16"/>
  <c r="S44" i="16"/>
  <c r="W44" i="16" s="1"/>
  <c r="X44" i="16" s="1"/>
  <c r="AA44" i="16" s="1"/>
  <c r="U43" i="16"/>
  <c r="T43" i="16"/>
  <c r="S43" i="16"/>
  <c r="W43" i="16" s="1"/>
  <c r="X43" i="16" s="1"/>
  <c r="AA43" i="16" s="1"/>
  <c r="U42" i="16"/>
  <c r="T42" i="16"/>
  <c r="S42" i="16"/>
  <c r="W42" i="16" s="1"/>
  <c r="X42" i="16" s="1"/>
  <c r="AA42" i="16" s="1"/>
  <c r="U41" i="16"/>
  <c r="T41" i="16"/>
  <c r="S41" i="16"/>
  <c r="W41" i="16" s="1"/>
  <c r="X41" i="16" s="1"/>
  <c r="AA41" i="16" s="1"/>
  <c r="U40" i="16"/>
  <c r="T40" i="16"/>
  <c r="S40" i="16"/>
  <c r="W40" i="16" s="1"/>
  <c r="X40" i="16" s="1"/>
  <c r="AA40" i="16" s="1"/>
  <c r="U39" i="16"/>
  <c r="T39" i="16"/>
  <c r="S39" i="16"/>
  <c r="W39" i="16" s="1"/>
  <c r="X39" i="16" s="1"/>
  <c r="AA39" i="16" s="1"/>
  <c r="U38" i="16"/>
  <c r="T38" i="16"/>
  <c r="S38" i="16"/>
  <c r="W38" i="16" s="1"/>
  <c r="X38" i="16" s="1"/>
  <c r="AA38" i="16" s="1"/>
  <c r="U37" i="16"/>
  <c r="T37" i="16"/>
  <c r="S37" i="16"/>
  <c r="W37" i="16" s="1"/>
  <c r="X37" i="16" s="1"/>
  <c r="AA37" i="16" s="1"/>
  <c r="U36" i="16"/>
  <c r="T36" i="16"/>
  <c r="S36" i="16"/>
  <c r="W36" i="16" s="1"/>
  <c r="X36" i="16" s="1"/>
  <c r="AA36" i="16" s="1"/>
  <c r="U35" i="16"/>
  <c r="T35" i="16"/>
  <c r="S35" i="16"/>
  <c r="W35" i="16" s="1"/>
  <c r="X35" i="16" s="1"/>
  <c r="AA35" i="16" s="1"/>
  <c r="U34" i="16"/>
  <c r="T34" i="16"/>
  <c r="S34" i="16"/>
  <c r="W34" i="16" s="1"/>
  <c r="X34" i="16" s="1"/>
  <c r="AA34" i="16" s="1"/>
  <c r="U33" i="16"/>
  <c r="T33" i="16"/>
  <c r="S33" i="16"/>
  <c r="W33" i="16" s="1"/>
  <c r="X33" i="16" s="1"/>
  <c r="AA33" i="16" s="1"/>
  <c r="U32" i="16"/>
  <c r="T32" i="16"/>
  <c r="S32" i="16"/>
  <c r="W32" i="16" s="1"/>
  <c r="X32" i="16" s="1"/>
  <c r="AA32" i="16" s="1"/>
  <c r="U31" i="16"/>
  <c r="T31" i="16"/>
  <c r="S31" i="16"/>
  <c r="W31" i="16" s="1"/>
  <c r="X31" i="16" s="1"/>
  <c r="AA31" i="16" s="1"/>
  <c r="U30" i="16"/>
  <c r="T30" i="16"/>
  <c r="S30" i="16"/>
  <c r="W30" i="16" s="1"/>
  <c r="X30" i="16" s="1"/>
  <c r="AA30" i="16" s="1"/>
  <c r="U29" i="16"/>
  <c r="T29" i="16"/>
  <c r="S29" i="16"/>
  <c r="W29" i="16" s="1"/>
  <c r="X29" i="16" s="1"/>
  <c r="AA29" i="16" s="1"/>
  <c r="U28" i="16"/>
  <c r="T28" i="16"/>
  <c r="S28" i="16"/>
  <c r="W28" i="16" s="1"/>
  <c r="X28" i="16" s="1"/>
  <c r="AA28" i="16" s="1"/>
  <c r="U27" i="16"/>
  <c r="T27" i="16"/>
  <c r="S27" i="16"/>
  <c r="W27" i="16" s="1"/>
  <c r="X27" i="16" s="1"/>
  <c r="AA27" i="16" s="1"/>
  <c r="U26" i="16"/>
  <c r="T26" i="16"/>
  <c r="S26" i="16"/>
  <c r="W26" i="16" s="1"/>
  <c r="X26" i="16" s="1"/>
  <c r="AA26" i="16" s="1"/>
  <c r="U25" i="16"/>
  <c r="T25" i="16"/>
  <c r="S25" i="16"/>
  <c r="W25" i="16" s="1"/>
  <c r="X25" i="16" s="1"/>
  <c r="AA25" i="16" s="1"/>
  <c r="U24" i="16"/>
  <c r="T24" i="16"/>
  <c r="S24" i="16"/>
  <c r="W24" i="16" s="1"/>
  <c r="X24" i="16" s="1"/>
  <c r="AA24" i="16" s="1"/>
  <c r="U23" i="16"/>
  <c r="T23" i="16"/>
  <c r="S23" i="16"/>
  <c r="W23" i="16" s="1"/>
  <c r="X23" i="16" s="1"/>
  <c r="AA23" i="16" s="1"/>
  <c r="U22" i="16"/>
  <c r="T22" i="16"/>
  <c r="S22" i="16"/>
  <c r="W22" i="16" s="1"/>
  <c r="X22" i="16" s="1"/>
  <c r="AA22" i="16" s="1"/>
  <c r="U21" i="16"/>
  <c r="T21" i="16"/>
  <c r="S21" i="16"/>
  <c r="W21" i="16" s="1"/>
  <c r="X21" i="16" s="1"/>
  <c r="AA21" i="16" s="1"/>
  <c r="U20" i="16"/>
  <c r="T20" i="16"/>
  <c r="S20" i="16"/>
  <c r="W20" i="16" s="1"/>
  <c r="X20" i="16" s="1"/>
  <c r="AA20" i="16" s="1"/>
  <c r="U19" i="16"/>
  <c r="T19" i="16"/>
  <c r="S19" i="16"/>
  <c r="W19" i="16" s="1"/>
  <c r="X19" i="16" s="1"/>
  <c r="AA19" i="16" s="1"/>
  <c r="U18" i="16"/>
  <c r="T18" i="16"/>
  <c r="S18" i="16"/>
  <c r="W18" i="16" s="1"/>
  <c r="X18" i="16" s="1"/>
  <c r="AA18" i="16" s="1"/>
  <c r="U17" i="16"/>
  <c r="T17" i="16"/>
  <c r="S17" i="16"/>
  <c r="W17" i="16" s="1"/>
  <c r="X17" i="16" s="1"/>
  <c r="AA17" i="16" s="1"/>
  <c r="U16" i="16"/>
  <c r="T16" i="16"/>
  <c r="S16" i="16"/>
  <c r="W16" i="16" s="1"/>
  <c r="X16" i="16" s="1"/>
  <c r="AA16" i="16" s="1"/>
  <c r="U15" i="16"/>
  <c r="T15" i="16"/>
  <c r="S15" i="16"/>
  <c r="W15" i="16" s="1"/>
  <c r="X15" i="16" s="1"/>
  <c r="AA15" i="16" s="1"/>
  <c r="U14" i="16"/>
  <c r="T14" i="16"/>
  <c r="S14" i="16"/>
  <c r="W14" i="16" s="1"/>
  <c r="X14" i="16" s="1"/>
  <c r="AA14" i="16" s="1"/>
  <c r="U13" i="16"/>
  <c r="T13" i="16"/>
  <c r="S13" i="16"/>
  <c r="W13" i="16" s="1"/>
  <c r="X13" i="16" s="1"/>
  <c r="AA13" i="16" s="1"/>
  <c r="U58" i="15"/>
  <c r="T58" i="15"/>
  <c r="S58" i="15"/>
  <c r="W58" i="15" s="1"/>
  <c r="X58" i="15" s="1"/>
  <c r="AA58" i="15" s="1"/>
  <c r="U57" i="15"/>
  <c r="T57" i="15"/>
  <c r="S57" i="15"/>
  <c r="W57" i="15" s="1"/>
  <c r="X57" i="15" s="1"/>
  <c r="AA57" i="15" s="1"/>
  <c r="U56" i="15"/>
  <c r="T56" i="15"/>
  <c r="S56" i="15"/>
  <c r="W56" i="15" s="1"/>
  <c r="X56" i="15" s="1"/>
  <c r="AA56" i="15" s="1"/>
  <c r="U55" i="15"/>
  <c r="T55" i="15"/>
  <c r="S55" i="15"/>
  <c r="W55" i="15" s="1"/>
  <c r="X55" i="15" s="1"/>
  <c r="AA55" i="15" s="1"/>
  <c r="U54" i="15"/>
  <c r="T54" i="15"/>
  <c r="S54" i="15"/>
  <c r="W54" i="15" s="1"/>
  <c r="X54" i="15" s="1"/>
  <c r="AA54" i="15" s="1"/>
  <c r="U53" i="15"/>
  <c r="T53" i="15"/>
  <c r="S53" i="15"/>
  <c r="W53" i="15" s="1"/>
  <c r="X53" i="15" s="1"/>
  <c r="AA53" i="15" s="1"/>
  <c r="U52" i="15"/>
  <c r="T52" i="15"/>
  <c r="S52" i="15"/>
  <c r="W52" i="15" s="1"/>
  <c r="X52" i="15" s="1"/>
  <c r="AA52" i="15" s="1"/>
  <c r="U51" i="15"/>
  <c r="T51" i="15"/>
  <c r="S51" i="15"/>
  <c r="W51" i="15" s="1"/>
  <c r="X51" i="15" s="1"/>
  <c r="AA51" i="15" s="1"/>
  <c r="U50" i="15"/>
  <c r="T50" i="15"/>
  <c r="S50" i="15"/>
  <c r="W50" i="15" s="1"/>
  <c r="X50" i="15" s="1"/>
  <c r="AA50" i="15" s="1"/>
  <c r="U49" i="15"/>
  <c r="T49" i="15"/>
  <c r="S49" i="15"/>
  <c r="W49" i="15" s="1"/>
  <c r="X49" i="15" s="1"/>
  <c r="AA49" i="15" s="1"/>
  <c r="U48" i="15"/>
  <c r="T48" i="15"/>
  <c r="S48" i="15"/>
  <c r="W48" i="15" s="1"/>
  <c r="X48" i="15" s="1"/>
  <c r="AA48" i="15" s="1"/>
  <c r="U47" i="15"/>
  <c r="T47" i="15"/>
  <c r="S47" i="15"/>
  <c r="W47" i="15" s="1"/>
  <c r="X47" i="15" s="1"/>
  <c r="AA47" i="15" s="1"/>
  <c r="U46" i="15"/>
  <c r="T46" i="15"/>
  <c r="S46" i="15"/>
  <c r="W46" i="15" s="1"/>
  <c r="X46" i="15" s="1"/>
  <c r="AA46" i="15" s="1"/>
  <c r="U45" i="15"/>
  <c r="T45" i="15"/>
  <c r="S45" i="15"/>
  <c r="W45" i="15" s="1"/>
  <c r="X45" i="15" s="1"/>
  <c r="AA45" i="15" s="1"/>
  <c r="U44" i="15"/>
  <c r="T44" i="15"/>
  <c r="S44" i="15"/>
  <c r="W44" i="15" s="1"/>
  <c r="X44" i="15" s="1"/>
  <c r="AA44" i="15" s="1"/>
  <c r="U43" i="15"/>
  <c r="T43" i="15"/>
  <c r="S43" i="15"/>
  <c r="W43" i="15" s="1"/>
  <c r="X43" i="15" s="1"/>
  <c r="AA43" i="15" s="1"/>
  <c r="U42" i="15"/>
  <c r="T42" i="15"/>
  <c r="S42" i="15"/>
  <c r="W42" i="15" s="1"/>
  <c r="X42" i="15" s="1"/>
  <c r="AA42" i="15" s="1"/>
  <c r="U41" i="15"/>
  <c r="T41" i="15"/>
  <c r="S41" i="15"/>
  <c r="W41" i="15" s="1"/>
  <c r="X41" i="15" s="1"/>
  <c r="AA41" i="15" s="1"/>
  <c r="U40" i="15"/>
  <c r="T40" i="15"/>
  <c r="S40" i="15"/>
  <c r="W40" i="15" s="1"/>
  <c r="X40" i="15" s="1"/>
  <c r="AA40" i="15" s="1"/>
  <c r="U39" i="15"/>
  <c r="T39" i="15"/>
  <c r="S39" i="15"/>
  <c r="W39" i="15" s="1"/>
  <c r="X39" i="15" s="1"/>
  <c r="AA39" i="15" s="1"/>
  <c r="U38" i="15"/>
  <c r="T38" i="15"/>
  <c r="S38" i="15"/>
  <c r="W38" i="15" s="1"/>
  <c r="X38" i="15" s="1"/>
  <c r="AA38" i="15" s="1"/>
  <c r="U37" i="15"/>
  <c r="T37" i="15"/>
  <c r="S37" i="15"/>
  <c r="W37" i="15" s="1"/>
  <c r="X37" i="15" s="1"/>
  <c r="AA37" i="15" s="1"/>
  <c r="U36" i="15"/>
  <c r="T36" i="15"/>
  <c r="S36" i="15"/>
  <c r="W36" i="15" s="1"/>
  <c r="X36" i="15" s="1"/>
  <c r="AA36" i="15" s="1"/>
  <c r="U35" i="15"/>
  <c r="T35" i="15"/>
  <c r="S35" i="15"/>
  <c r="W35" i="15" s="1"/>
  <c r="X35" i="15" s="1"/>
  <c r="AA35" i="15" s="1"/>
  <c r="U34" i="15"/>
  <c r="T34" i="15"/>
  <c r="S34" i="15"/>
  <c r="W34" i="15" s="1"/>
  <c r="X34" i="15" s="1"/>
  <c r="AA34" i="15" s="1"/>
  <c r="U33" i="15"/>
  <c r="T33" i="15"/>
  <c r="S33" i="15"/>
  <c r="W33" i="15" s="1"/>
  <c r="X33" i="15" s="1"/>
  <c r="AA33" i="15" s="1"/>
  <c r="U32" i="15"/>
  <c r="T32" i="15"/>
  <c r="S32" i="15"/>
  <c r="W32" i="15" s="1"/>
  <c r="X32" i="15" s="1"/>
  <c r="AA32" i="15" s="1"/>
  <c r="U31" i="15"/>
  <c r="T31" i="15"/>
  <c r="S31" i="15"/>
  <c r="W31" i="15" s="1"/>
  <c r="X31" i="15" s="1"/>
  <c r="AA31" i="15" s="1"/>
  <c r="U30" i="15"/>
  <c r="T30" i="15"/>
  <c r="S30" i="15"/>
  <c r="W30" i="15" s="1"/>
  <c r="X30" i="15" s="1"/>
  <c r="AA30" i="15" s="1"/>
  <c r="U29" i="15"/>
  <c r="T29" i="15"/>
  <c r="S29" i="15"/>
  <c r="W29" i="15" s="1"/>
  <c r="X29" i="15" s="1"/>
  <c r="AA29" i="15" s="1"/>
  <c r="U28" i="15"/>
  <c r="T28" i="15"/>
  <c r="S28" i="15"/>
  <c r="W28" i="15" s="1"/>
  <c r="X28" i="15" s="1"/>
  <c r="AA28" i="15" s="1"/>
  <c r="U27" i="15"/>
  <c r="T27" i="15"/>
  <c r="S27" i="15"/>
  <c r="W27" i="15" s="1"/>
  <c r="X27" i="15" s="1"/>
  <c r="AA27" i="15" s="1"/>
  <c r="U26" i="15"/>
  <c r="T26" i="15"/>
  <c r="S26" i="15"/>
  <c r="W26" i="15" s="1"/>
  <c r="X26" i="15" s="1"/>
  <c r="AA26" i="15" s="1"/>
  <c r="U25" i="15"/>
  <c r="T25" i="15"/>
  <c r="S25" i="15"/>
  <c r="W25" i="15" s="1"/>
  <c r="X25" i="15" s="1"/>
  <c r="AA25" i="15" s="1"/>
  <c r="U24" i="15"/>
  <c r="T24" i="15"/>
  <c r="S24" i="15"/>
  <c r="W24" i="15" s="1"/>
  <c r="X24" i="15" s="1"/>
  <c r="AA24" i="15" s="1"/>
  <c r="U23" i="15"/>
  <c r="T23" i="15"/>
  <c r="S23" i="15"/>
  <c r="W23" i="15" s="1"/>
  <c r="X23" i="15" s="1"/>
  <c r="AA23" i="15" s="1"/>
  <c r="U22" i="15"/>
  <c r="T22" i="15"/>
  <c r="S22" i="15"/>
  <c r="W22" i="15" s="1"/>
  <c r="X22" i="15" s="1"/>
  <c r="AA22" i="15" s="1"/>
  <c r="U21" i="15"/>
  <c r="T21" i="15"/>
  <c r="S21" i="15"/>
  <c r="W21" i="15" s="1"/>
  <c r="X21" i="15" s="1"/>
  <c r="AA21" i="15" s="1"/>
  <c r="U20" i="15"/>
  <c r="T20" i="15"/>
  <c r="S20" i="15"/>
  <c r="W20" i="15" s="1"/>
  <c r="X20" i="15" s="1"/>
  <c r="AA20" i="15" s="1"/>
  <c r="U19" i="15"/>
  <c r="T19" i="15"/>
  <c r="S19" i="15"/>
  <c r="W19" i="15" s="1"/>
  <c r="X19" i="15" s="1"/>
  <c r="AA19" i="15" s="1"/>
  <c r="U18" i="15"/>
  <c r="T18" i="15"/>
  <c r="S18" i="15"/>
  <c r="W18" i="15" s="1"/>
  <c r="X18" i="15" s="1"/>
  <c r="AA18" i="15" s="1"/>
  <c r="U17" i="15"/>
  <c r="T17" i="15"/>
  <c r="S17" i="15"/>
  <c r="W17" i="15" s="1"/>
  <c r="X17" i="15" s="1"/>
  <c r="AA17" i="15" s="1"/>
  <c r="U16" i="15"/>
  <c r="T16" i="15"/>
  <c r="S16" i="15"/>
  <c r="W16" i="15" s="1"/>
  <c r="X16" i="15" s="1"/>
  <c r="AA16" i="15" s="1"/>
  <c r="U15" i="15"/>
  <c r="T15" i="15"/>
  <c r="S15" i="15"/>
  <c r="W15" i="15" s="1"/>
  <c r="X15" i="15" s="1"/>
  <c r="AA15" i="15" s="1"/>
  <c r="U14" i="15"/>
  <c r="T14" i="15"/>
  <c r="S14" i="15"/>
  <c r="W14" i="15" s="1"/>
  <c r="X14" i="15" s="1"/>
  <c r="AA14" i="15" s="1"/>
  <c r="U13" i="15"/>
  <c r="T13" i="15"/>
  <c r="S13" i="15"/>
  <c r="W13" i="15" s="1"/>
  <c r="X13" i="15" s="1"/>
  <c r="AA13" i="15" s="1"/>
  <c r="U57" i="19"/>
  <c r="T57" i="19"/>
  <c r="S57" i="19"/>
  <c r="W57" i="19" s="1"/>
  <c r="X57" i="19" s="1"/>
  <c r="AA57" i="19" s="1"/>
  <c r="U56" i="19"/>
  <c r="T56" i="19"/>
  <c r="S56" i="19"/>
  <c r="W56" i="19" s="1"/>
  <c r="X56" i="19" s="1"/>
  <c r="AA56" i="19" s="1"/>
  <c r="U55" i="19"/>
  <c r="T55" i="19"/>
  <c r="S55" i="19"/>
  <c r="W55" i="19" s="1"/>
  <c r="X55" i="19" s="1"/>
  <c r="AA55" i="19" s="1"/>
  <c r="U54" i="19"/>
  <c r="T54" i="19"/>
  <c r="S54" i="19"/>
  <c r="W54" i="19" s="1"/>
  <c r="X54" i="19" s="1"/>
  <c r="AA54" i="19" s="1"/>
  <c r="U53" i="19"/>
  <c r="T53" i="19"/>
  <c r="S53" i="19"/>
  <c r="W53" i="19" s="1"/>
  <c r="X53" i="19" s="1"/>
  <c r="AA53" i="19" s="1"/>
  <c r="U52" i="19"/>
  <c r="T52" i="19"/>
  <c r="S52" i="19"/>
  <c r="W52" i="19" s="1"/>
  <c r="X52" i="19" s="1"/>
  <c r="AA52" i="19" s="1"/>
  <c r="U51" i="19"/>
  <c r="T51" i="19"/>
  <c r="S51" i="19"/>
  <c r="W51" i="19" s="1"/>
  <c r="X51" i="19" s="1"/>
  <c r="AA51" i="19" s="1"/>
  <c r="U50" i="19"/>
  <c r="T50" i="19"/>
  <c r="S50" i="19"/>
  <c r="W50" i="19" s="1"/>
  <c r="X50" i="19" s="1"/>
  <c r="AA50" i="19" s="1"/>
  <c r="U49" i="19"/>
  <c r="T49" i="19"/>
  <c r="S49" i="19"/>
  <c r="W49" i="19" s="1"/>
  <c r="X49" i="19" s="1"/>
  <c r="AA49" i="19" s="1"/>
  <c r="U48" i="19"/>
  <c r="T48" i="19"/>
  <c r="S48" i="19"/>
  <c r="W48" i="19" s="1"/>
  <c r="X48" i="19" s="1"/>
  <c r="AA48" i="19" s="1"/>
  <c r="U47" i="19"/>
  <c r="T47" i="19"/>
  <c r="S47" i="19"/>
  <c r="W47" i="19" s="1"/>
  <c r="X47" i="19" s="1"/>
  <c r="AA47" i="19" s="1"/>
  <c r="U46" i="19"/>
  <c r="T46" i="19"/>
  <c r="S46" i="19"/>
  <c r="W46" i="19" s="1"/>
  <c r="X46" i="19" s="1"/>
  <c r="AA46" i="19" s="1"/>
  <c r="U45" i="19"/>
  <c r="T45" i="19"/>
  <c r="S45" i="19"/>
  <c r="W45" i="19" s="1"/>
  <c r="X45" i="19" s="1"/>
  <c r="AA45" i="19" s="1"/>
  <c r="U44" i="19"/>
  <c r="T44" i="19"/>
  <c r="S44" i="19"/>
  <c r="W44" i="19" s="1"/>
  <c r="X44" i="19" s="1"/>
  <c r="AA44" i="19" s="1"/>
  <c r="U43" i="19"/>
  <c r="T43" i="19"/>
  <c r="S43" i="19"/>
  <c r="W43" i="19" s="1"/>
  <c r="X43" i="19" s="1"/>
  <c r="AA43" i="19" s="1"/>
  <c r="U42" i="19"/>
  <c r="T42" i="19"/>
  <c r="S42" i="19"/>
  <c r="W42" i="19" s="1"/>
  <c r="X42" i="19" s="1"/>
  <c r="AA42" i="19" s="1"/>
  <c r="U41" i="19"/>
  <c r="T41" i="19"/>
  <c r="S41" i="19"/>
  <c r="W41" i="19" s="1"/>
  <c r="X41" i="19" s="1"/>
  <c r="AA41" i="19" s="1"/>
  <c r="U40" i="19"/>
  <c r="T40" i="19"/>
  <c r="S40" i="19"/>
  <c r="W40" i="19" s="1"/>
  <c r="X40" i="19" s="1"/>
  <c r="AA40" i="19" s="1"/>
  <c r="U39" i="19"/>
  <c r="T39" i="19"/>
  <c r="S39" i="19"/>
  <c r="W39" i="19" s="1"/>
  <c r="X39" i="19" s="1"/>
  <c r="AA39" i="19" s="1"/>
  <c r="U38" i="19"/>
  <c r="T38" i="19"/>
  <c r="S38" i="19"/>
  <c r="W38" i="19" s="1"/>
  <c r="X38" i="19" s="1"/>
  <c r="AA38" i="19" s="1"/>
  <c r="U37" i="19"/>
  <c r="T37" i="19"/>
  <c r="S37" i="19"/>
  <c r="W37" i="19" s="1"/>
  <c r="X37" i="19" s="1"/>
  <c r="AA37" i="19" s="1"/>
  <c r="U36" i="19"/>
  <c r="T36" i="19"/>
  <c r="S36" i="19"/>
  <c r="W36" i="19" s="1"/>
  <c r="X36" i="19" s="1"/>
  <c r="AA36" i="19" s="1"/>
  <c r="U35" i="19"/>
  <c r="T35" i="19"/>
  <c r="S35" i="19"/>
  <c r="W35" i="19" s="1"/>
  <c r="X35" i="19" s="1"/>
  <c r="AA35" i="19" s="1"/>
  <c r="U34" i="19"/>
  <c r="T34" i="19"/>
  <c r="S34" i="19"/>
  <c r="W34" i="19" s="1"/>
  <c r="X34" i="19" s="1"/>
  <c r="AA34" i="19" s="1"/>
  <c r="U33" i="19"/>
  <c r="T33" i="19"/>
  <c r="S33" i="19"/>
  <c r="W33" i="19" s="1"/>
  <c r="X33" i="19" s="1"/>
  <c r="AA33" i="19" s="1"/>
  <c r="U32" i="19"/>
  <c r="T32" i="19"/>
  <c r="S32" i="19"/>
  <c r="W32" i="19" s="1"/>
  <c r="X32" i="19" s="1"/>
  <c r="AA32" i="19" s="1"/>
  <c r="U31" i="19"/>
  <c r="T31" i="19"/>
  <c r="S31" i="19"/>
  <c r="W31" i="19" s="1"/>
  <c r="X31" i="19" s="1"/>
  <c r="AA31" i="19" s="1"/>
  <c r="U30" i="19"/>
  <c r="T30" i="19"/>
  <c r="S30" i="19"/>
  <c r="W30" i="19" s="1"/>
  <c r="X30" i="19" s="1"/>
  <c r="AA30" i="19" s="1"/>
  <c r="U29" i="19"/>
  <c r="T29" i="19"/>
  <c r="S29" i="19"/>
  <c r="W29" i="19" s="1"/>
  <c r="X29" i="19" s="1"/>
  <c r="AA29" i="19" s="1"/>
  <c r="U28" i="19"/>
  <c r="T28" i="19"/>
  <c r="S28" i="19"/>
  <c r="W28" i="19" s="1"/>
  <c r="X28" i="19" s="1"/>
  <c r="AA28" i="19" s="1"/>
  <c r="U27" i="19"/>
  <c r="T27" i="19"/>
  <c r="S27" i="19"/>
  <c r="W27" i="19" s="1"/>
  <c r="X27" i="19" s="1"/>
  <c r="AA27" i="19" s="1"/>
  <c r="U26" i="19"/>
  <c r="T26" i="19"/>
  <c r="S26" i="19"/>
  <c r="W26" i="19" s="1"/>
  <c r="X26" i="19" s="1"/>
  <c r="AA26" i="19" s="1"/>
  <c r="U25" i="19"/>
  <c r="T25" i="19"/>
  <c r="S25" i="19"/>
  <c r="W25" i="19" s="1"/>
  <c r="X25" i="19" s="1"/>
  <c r="AA25" i="19" s="1"/>
  <c r="U24" i="19"/>
  <c r="T24" i="19"/>
  <c r="S24" i="19"/>
  <c r="W24" i="19" s="1"/>
  <c r="X24" i="19" s="1"/>
  <c r="AA24" i="19" s="1"/>
  <c r="U23" i="19"/>
  <c r="T23" i="19"/>
  <c r="S23" i="19"/>
  <c r="W23" i="19" s="1"/>
  <c r="X23" i="19" s="1"/>
  <c r="AA23" i="19" s="1"/>
  <c r="U22" i="19"/>
  <c r="T22" i="19"/>
  <c r="S22" i="19"/>
  <c r="W22" i="19" s="1"/>
  <c r="X22" i="19" s="1"/>
  <c r="AA22" i="19" s="1"/>
  <c r="U21" i="19"/>
  <c r="T21" i="19"/>
  <c r="S21" i="19"/>
  <c r="W21" i="19" s="1"/>
  <c r="X21" i="19" s="1"/>
  <c r="AA21" i="19" s="1"/>
  <c r="U20" i="19"/>
  <c r="T20" i="19"/>
  <c r="S20" i="19"/>
  <c r="W20" i="19" s="1"/>
  <c r="X20" i="19" s="1"/>
  <c r="AA20" i="19" s="1"/>
  <c r="U19" i="19"/>
  <c r="T19" i="19"/>
  <c r="S19" i="19"/>
  <c r="W19" i="19" s="1"/>
  <c r="X19" i="19" s="1"/>
  <c r="AA19" i="19" s="1"/>
  <c r="U18" i="19"/>
  <c r="T18" i="19"/>
  <c r="S18" i="19"/>
  <c r="W18" i="19" s="1"/>
  <c r="X18" i="19" s="1"/>
  <c r="AA18" i="19" s="1"/>
  <c r="U17" i="19"/>
  <c r="T17" i="19"/>
  <c r="S17" i="19"/>
  <c r="W17" i="19" s="1"/>
  <c r="X17" i="19" s="1"/>
  <c r="AA17" i="19" s="1"/>
  <c r="U16" i="19"/>
  <c r="T16" i="19"/>
  <c r="S16" i="19"/>
  <c r="W16" i="19" s="1"/>
  <c r="X16" i="19" s="1"/>
  <c r="AA16" i="19" s="1"/>
  <c r="U15" i="19"/>
  <c r="T15" i="19"/>
  <c r="S15" i="19"/>
  <c r="W15" i="19" s="1"/>
  <c r="X15" i="19" s="1"/>
  <c r="AA15" i="19" s="1"/>
  <c r="U14" i="19"/>
  <c r="T14" i="19"/>
  <c r="S14" i="19"/>
  <c r="W14" i="19" s="1"/>
  <c r="X14" i="19" s="1"/>
  <c r="AA14" i="19" s="1"/>
  <c r="U13" i="19"/>
  <c r="T13" i="19"/>
  <c r="S13" i="19"/>
  <c r="W13" i="19" s="1"/>
  <c r="X13" i="19" s="1"/>
  <c r="AA13" i="19" s="1"/>
  <c r="U59" i="18"/>
  <c r="T59" i="18"/>
  <c r="S59" i="18"/>
  <c r="W59" i="18" s="1"/>
  <c r="X59" i="18" s="1"/>
  <c r="AA59" i="18" s="1"/>
  <c r="U58" i="18"/>
  <c r="T58" i="18"/>
  <c r="S58" i="18"/>
  <c r="W58" i="18" s="1"/>
  <c r="X58" i="18" s="1"/>
  <c r="AA58" i="18" s="1"/>
  <c r="U57" i="18"/>
  <c r="T57" i="18"/>
  <c r="S57" i="18"/>
  <c r="W57" i="18" s="1"/>
  <c r="X57" i="18" s="1"/>
  <c r="AA57" i="18" s="1"/>
  <c r="U56" i="18"/>
  <c r="T56" i="18"/>
  <c r="S56" i="18"/>
  <c r="W56" i="18" s="1"/>
  <c r="X56" i="18" s="1"/>
  <c r="AA56" i="18" s="1"/>
  <c r="U55" i="18"/>
  <c r="T55" i="18"/>
  <c r="S55" i="18"/>
  <c r="W55" i="18" s="1"/>
  <c r="X55" i="18" s="1"/>
  <c r="AA55" i="18" s="1"/>
  <c r="U54" i="18"/>
  <c r="T54" i="18"/>
  <c r="S54" i="18"/>
  <c r="W54" i="18" s="1"/>
  <c r="X54" i="18" s="1"/>
  <c r="AA54" i="18" s="1"/>
  <c r="U53" i="18"/>
  <c r="T53" i="18"/>
  <c r="S53" i="18"/>
  <c r="W53" i="18" s="1"/>
  <c r="X53" i="18" s="1"/>
  <c r="AA53" i="18" s="1"/>
  <c r="U52" i="18"/>
  <c r="T52" i="18"/>
  <c r="S52" i="18"/>
  <c r="W52" i="18" s="1"/>
  <c r="X52" i="18" s="1"/>
  <c r="AA52" i="18" s="1"/>
  <c r="U51" i="18"/>
  <c r="T51" i="18"/>
  <c r="S51" i="18"/>
  <c r="W51" i="18" s="1"/>
  <c r="X51" i="18" s="1"/>
  <c r="AA51" i="18" s="1"/>
  <c r="U50" i="18"/>
  <c r="T50" i="18"/>
  <c r="S50" i="18"/>
  <c r="W50" i="18" s="1"/>
  <c r="X50" i="18" s="1"/>
  <c r="AA50" i="18" s="1"/>
  <c r="U49" i="18"/>
  <c r="T49" i="18"/>
  <c r="S49" i="18"/>
  <c r="W49" i="18" s="1"/>
  <c r="X49" i="18" s="1"/>
  <c r="AA49" i="18" s="1"/>
  <c r="U48" i="18"/>
  <c r="T48" i="18"/>
  <c r="S48" i="18"/>
  <c r="W48" i="18" s="1"/>
  <c r="X48" i="18" s="1"/>
  <c r="AA48" i="18" s="1"/>
  <c r="U47" i="18"/>
  <c r="T47" i="18"/>
  <c r="S47" i="18"/>
  <c r="W47" i="18" s="1"/>
  <c r="X47" i="18" s="1"/>
  <c r="AA47" i="18" s="1"/>
  <c r="U46" i="18"/>
  <c r="T46" i="18"/>
  <c r="S46" i="18"/>
  <c r="W46" i="18" s="1"/>
  <c r="X46" i="18" s="1"/>
  <c r="AA46" i="18" s="1"/>
  <c r="U45" i="18"/>
  <c r="T45" i="18"/>
  <c r="S45" i="18"/>
  <c r="W45" i="18" s="1"/>
  <c r="X45" i="18" s="1"/>
  <c r="AA45" i="18" s="1"/>
  <c r="U44" i="18"/>
  <c r="T44" i="18"/>
  <c r="S44" i="18"/>
  <c r="W44" i="18" s="1"/>
  <c r="X44" i="18" s="1"/>
  <c r="AA44" i="18" s="1"/>
  <c r="U43" i="18"/>
  <c r="T43" i="18"/>
  <c r="S43" i="18"/>
  <c r="W43" i="18" s="1"/>
  <c r="X43" i="18" s="1"/>
  <c r="AA43" i="18" s="1"/>
  <c r="U42" i="18"/>
  <c r="T42" i="18"/>
  <c r="S42" i="18"/>
  <c r="W42" i="18" s="1"/>
  <c r="X42" i="18" s="1"/>
  <c r="AA42" i="18" s="1"/>
  <c r="U41" i="18"/>
  <c r="T41" i="18"/>
  <c r="S41" i="18"/>
  <c r="W41" i="18" s="1"/>
  <c r="X41" i="18" s="1"/>
  <c r="AA41" i="18" s="1"/>
  <c r="U40" i="18"/>
  <c r="T40" i="18"/>
  <c r="S40" i="18"/>
  <c r="W40" i="18" s="1"/>
  <c r="X40" i="18" s="1"/>
  <c r="AA40" i="18" s="1"/>
  <c r="U39" i="18"/>
  <c r="T39" i="18"/>
  <c r="S39" i="18"/>
  <c r="W39" i="18" s="1"/>
  <c r="X39" i="18" s="1"/>
  <c r="AA39" i="18" s="1"/>
  <c r="U38" i="18"/>
  <c r="T38" i="18"/>
  <c r="S38" i="18"/>
  <c r="W38" i="18" s="1"/>
  <c r="X38" i="18" s="1"/>
  <c r="AA38" i="18" s="1"/>
  <c r="U37" i="18"/>
  <c r="T37" i="18"/>
  <c r="S37" i="18"/>
  <c r="W37" i="18" s="1"/>
  <c r="X37" i="18" s="1"/>
  <c r="AA37" i="18" s="1"/>
  <c r="U36" i="18"/>
  <c r="T36" i="18"/>
  <c r="S36" i="18"/>
  <c r="W36" i="18" s="1"/>
  <c r="X36" i="18" s="1"/>
  <c r="AA36" i="18" s="1"/>
  <c r="U35" i="18"/>
  <c r="T35" i="18"/>
  <c r="S35" i="18"/>
  <c r="W35" i="18" s="1"/>
  <c r="X35" i="18" s="1"/>
  <c r="AA35" i="18" s="1"/>
  <c r="U34" i="18"/>
  <c r="T34" i="18"/>
  <c r="S34" i="18"/>
  <c r="W34" i="18" s="1"/>
  <c r="X34" i="18" s="1"/>
  <c r="AA34" i="18" s="1"/>
  <c r="U33" i="18"/>
  <c r="T33" i="18"/>
  <c r="S33" i="18"/>
  <c r="W33" i="18" s="1"/>
  <c r="X33" i="18" s="1"/>
  <c r="AA33" i="18" s="1"/>
  <c r="U32" i="18"/>
  <c r="T32" i="18"/>
  <c r="S32" i="18"/>
  <c r="W32" i="18" s="1"/>
  <c r="X32" i="18" s="1"/>
  <c r="AA32" i="18" s="1"/>
  <c r="U31" i="18"/>
  <c r="T31" i="18"/>
  <c r="S31" i="18"/>
  <c r="W31" i="18" s="1"/>
  <c r="X31" i="18" s="1"/>
  <c r="AA31" i="18" s="1"/>
  <c r="U30" i="18"/>
  <c r="T30" i="18"/>
  <c r="S30" i="18"/>
  <c r="W30" i="18" s="1"/>
  <c r="X30" i="18" s="1"/>
  <c r="AA30" i="18" s="1"/>
  <c r="U29" i="18"/>
  <c r="T29" i="18"/>
  <c r="S29" i="18"/>
  <c r="W29" i="18" s="1"/>
  <c r="X29" i="18" s="1"/>
  <c r="AA29" i="18" s="1"/>
  <c r="U28" i="18"/>
  <c r="T28" i="18"/>
  <c r="S28" i="18"/>
  <c r="W28" i="18" s="1"/>
  <c r="X28" i="18" s="1"/>
  <c r="AA28" i="18" s="1"/>
  <c r="U27" i="18"/>
  <c r="T27" i="18"/>
  <c r="S27" i="18"/>
  <c r="W27" i="18" s="1"/>
  <c r="X27" i="18" s="1"/>
  <c r="AA27" i="18" s="1"/>
  <c r="U26" i="18"/>
  <c r="T26" i="18"/>
  <c r="S26" i="18"/>
  <c r="W26" i="18" s="1"/>
  <c r="X26" i="18" s="1"/>
  <c r="AA26" i="18" s="1"/>
  <c r="U25" i="18"/>
  <c r="T25" i="18"/>
  <c r="S25" i="18"/>
  <c r="W25" i="18" s="1"/>
  <c r="X25" i="18" s="1"/>
  <c r="AA25" i="18" s="1"/>
  <c r="U24" i="18"/>
  <c r="T24" i="18"/>
  <c r="S24" i="18"/>
  <c r="W24" i="18" s="1"/>
  <c r="X24" i="18" s="1"/>
  <c r="AA24" i="18" s="1"/>
  <c r="U23" i="18"/>
  <c r="T23" i="18"/>
  <c r="S23" i="18"/>
  <c r="W23" i="18" s="1"/>
  <c r="X23" i="18" s="1"/>
  <c r="AA23" i="18" s="1"/>
  <c r="U22" i="18"/>
  <c r="T22" i="18"/>
  <c r="S22" i="18"/>
  <c r="W22" i="18" s="1"/>
  <c r="X22" i="18" s="1"/>
  <c r="AA22" i="18" s="1"/>
  <c r="U21" i="18"/>
  <c r="T21" i="18"/>
  <c r="S21" i="18"/>
  <c r="W21" i="18" s="1"/>
  <c r="X21" i="18" s="1"/>
  <c r="AA21" i="18" s="1"/>
  <c r="U20" i="18"/>
  <c r="T20" i="18"/>
  <c r="S20" i="18"/>
  <c r="W20" i="18" s="1"/>
  <c r="X20" i="18" s="1"/>
  <c r="AA20" i="18" s="1"/>
  <c r="U19" i="18"/>
  <c r="T19" i="18"/>
  <c r="S19" i="18"/>
  <c r="W19" i="18" s="1"/>
  <c r="X19" i="18" s="1"/>
  <c r="AA19" i="18" s="1"/>
  <c r="U18" i="18"/>
  <c r="T18" i="18"/>
  <c r="S18" i="18"/>
  <c r="W18" i="18" s="1"/>
  <c r="X18" i="18" s="1"/>
  <c r="AA18" i="18" s="1"/>
  <c r="U17" i="18"/>
  <c r="T17" i="18"/>
  <c r="S17" i="18"/>
  <c r="W17" i="18" s="1"/>
  <c r="X17" i="18" s="1"/>
  <c r="AA17" i="18" s="1"/>
  <c r="U16" i="18"/>
  <c r="T16" i="18"/>
  <c r="S16" i="18"/>
  <c r="W16" i="18" s="1"/>
  <c r="X16" i="18" s="1"/>
  <c r="AA16" i="18" s="1"/>
  <c r="U15" i="18"/>
  <c r="T15" i="18"/>
  <c r="S15" i="18"/>
  <c r="W15" i="18" s="1"/>
  <c r="X15" i="18" s="1"/>
  <c r="AA15" i="18" s="1"/>
  <c r="U14" i="18"/>
  <c r="T14" i="18"/>
  <c r="S14" i="18"/>
  <c r="W14" i="18" s="1"/>
  <c r="X14" i="18" s="1"/>
  <c r="AA14" i="18" s="1"/>
  <c r="U13" i="18"/>
  <c r="T13" i="18"/>
  <c r="S13" i="18"/>
  <c r="W13" i="18" s="1"/>
  <c r="X13" i="18" s="1"/>
  <c r="AA13" i="18" s="1"/>
  <c r="U59" i="14"/>
  <c r="T59" i="14"/>
  <c r="S59" i="14"/>
  <c r="W59" i="14" s="1"/>
  <c r="X59" i="14" s="1"/>
  <c r="AA59" i="14" s="1"/>
  <c r="U58" i="14"/>
  <c r="T58" i="14"/>
  <c r="S58" i="14"/>
  <c r="W58" i="14" s="1"/>
  <c r="X58" i="14" s="1"/>
  <c r="AA58" i="14" s="1"/>
  <c r="U57" i="14"/>
  <c r="T57" i="14"/>
  <c r="S57" i="14"/>
  <c r="W57" i="14" s="1"/>
  <c r="X57" i="14" s="1"/>
  <c r="AA57" i="14" s="1"/>
  <c r="U56" i="14"/>
  <c r="T56" i="14"/>
  <c r="S56" i="14"/>
  <c r="W56" i="14" s="1"/>
  <c r="X56" i="14" s="1"/>
  <c r="AA56" i="14" s="1"/>
  <c r="U55" i="14"/>
  <c r="T55" i="14"/>
  <c r="S55" i="14"/>
  <c r="W55" i="14" s="1"/>
  <c r="X55" i="14" s="1"/>
  <c r="AA55" i="14" s="1"/>
  <c r="U54" i="14"/>
  <c r="T54" i="14"/>
  <c r="S54" i="14"/>
  <c r="W54" i="14" s="1"/>
  <c r="X54" i="14" s="1"/>
  <c r="AA54" i="14" s="1"/>
  <c r="U53" i="14"/>
  <c r="T53" i="14"/>
  <c r="S53" i="14"/>
  <c r="W53" i="14" s="1"/>
  <c r="X53" i="14" s="1"/>
  <c r="AA53" i="14" s="1"/>
  <c r="U52" i="14"/>
  <c r="T52" i="14"/>
  <c r="S52" i="14"/>
  <c r="W52" i="14" s="1"/>
  <c r="X52" i="14" s="1"/>
  <c r="AA52" i="14" s="1"/>
  <c r="U51" i="14"/>
  <c r="T51" i="14"/>
  <c r="S51" i="14"/>
  <c r="W51" i="14" s="1"/>
  <c r="X51" i="14" s="1"/>
  <c r="AA51" i="14" s="1"/>
  <c r="U50" i="14"/>
  <c r="T50" i="14"/>
  <c r="S50" i="14"/>
  <c r="W50" i="14" s="1"/>
  <c r="X50" i="14" s="1"/>
  <c r="AA50" i="14" s="1"/>
  <c r="U49" i="14"/>
  <c r="T49" i="14"/>
  <c r="S49" i="14"/>
  <c r="W49" i="14" s="1"/>
  <c r="X49" i="14" s="1"/>
  <c r="AA49" i="14" s="1"/>
  <c r="U48" i="14"/>
  <c r="T48" i="14"/>
  <c r="S48" i="14"/>
  <c r="W48" i="14" s="1"/>
  <c r="X48" i="14" s="1"/>
  <c r="AA48" i="14" s="1"/>
  <c r="U47" i="14"/>
  <c r="T47" i="14"/>
  <c r="S47" i="14"/>
  <c r="W47" i="14" s="1"/>
  <c r="X47" i="14" s="1"/>
  <c r="AA47" i="14" s="1"/>
  <c r="U46" i="14"/>
  <c r="T46" i="14"/>
  <c r="S46" i="14"/>
  <c r="W46" i="14" s="1"/>
  <c r="X46" i="14" s="1"/>
  <c r="AA46" i="14" s="1"/>
  <c r="U45" i="14"/>
  <c r="T45" i="14"/>
  <c r="S45" i="14"/>
  <c r="W45" i="14" s="1"/>
  <c r="X45" i="14" s="1"/>
  <c r="AA45" i="14" s="1"/>
  <c r="U44" i="14"/>
  <c r="T44" i="14"/>
  <c r="S44" i="14"/>
  <c r="W44" i="14" s="1"/>
  <c r="X44" i="14" s="1"/>
  <c r="AA44" i="14" s="1"/>
  <c r="U43" i="14"/>
  <c r="T43" i="14"/>
  <c r="S43" i="14"/>
  <c r="W43" i="14" s="1"/>
  <c r="X43" i="14" s="1"/>
  <c r="AA43" i="14" s="1"/>
  <c r="U42" i="14"/>
  <c r="T42" i="14"/>
  <c r="S42" i="14"/>
  <c r="W42" i="14" s="1"/>
  <c r="X42" i="14" s="1"/>
  <c r="AA42" i="14" s="1"/>
  <c r="U41" i="14"/>
  <c r="T41" i="14"/>
  <c r="S41" i="14"/>
  <c r="W41" i="14" s="1"/>
  <c r="X41" i="14" s="1"/>
  <c r="AA41" i="14" s="1"/>
  <c r="U40" i="14"/>
  <c r="T40" i="14"/>
  <c r="S40" i="14"/>
  <c r="W40" i="14" s="1"/>
  <c r="X40" i="14" s="1"/>
  <c r="AA40" i="14" s="1"/>
  <c r="U39" i="14"/>
  <c r="T39" i="14"/>
  <c r="S39" i="14"/>
  <c r="W39" i="14" s="1"/>
  <c r="X39" i="14" s="1"/>
  <c r="AA39" i="14" s="1"/>
  <c r="U38" i="14"/>
  <c r="T38" i="14"/>
  <c r="S38" i="14"/>
  <c r="W38" i="14" s="1"/>
  <c r="X38" i="14" s="1"/>
  <c r="AA38" i="14" s="1"/>
  <c r="U37" i="14"/>
  <c r="T37" i="14"/>
  <c r="S37" i="14"/>
  <c r="W37" i="14" s="1"/>
  <c r="X37" i="14" s="1"/>
  <c r="AA37" i="14" s="1"/>
  <c r="U36" i="14"/>
  <c r="T36" i="14"/>
  <c r="S36" i="14"/>
  <c r="W36" i="14" s="1"/>
  <c r="X36" i="14" s="1"/>
  <c r="AA36" i="14" s="1"/>
  <c r="U35" i="14"/>
  <c r="T35" i="14"/>
  <c r="S35" i="14"/>
  <c r="W35" i="14" s="1"/>
  <c r="X35" i="14" s="1"/>
  <c r="AA35" i="14" s="1"/>
  <c r="U34" i="14"/>
  <c r="T34" i="14"/>
  <c r="S34" i="14"/>
  <c r="W34" i="14" s="1"/>
  <c r="X34" i="14" s="1"/>
  <c r="AA34" i="14" s="1"/>
  <c r="U33" i="14"/>
  <c r="T33" i="14"/>
  <c r="S33" i="14"/>
  <c r="W33" i="14" s="1"/>
  <c r="X33" i="14" s="1"/>
  <c r="AA33" i="14" s="1"/>
  <c r="U32" i="14"/>
  <c r="T32" i="14"/>
  <c r="S32" i="14"/>
  <c r="W32" i="14" s="1"/>
  <c r="X32" i="14" s="1"/>
  <c r="AA32" i="14" s="1"/>
  <c r="U31" i="14"/>
  <c r="T31" i="14"/>
  <c r="S31" i="14"/>
  <c r="W31" i="14" s="1"/>
  <c r="X31" i="14" s="1"/>
  <c r="AA31" i="14" s="1"/>
  <c r="U30" i="14"/>
  <c r="T30" i="14"/>
  <c r="S30" i="14"/>
  <c r="W30" i="14" s="1"/>
  <c r="X30" i="14" s="1"/>
  <c r="AA30" i="14" s="1"/>
  <c r="U29" i="14"/>
  <c r="T29" i="14"/>
  <c r="S29" i="14"/>
  <c r="W29" i="14" s="1"/>
  <c r="X29" i="14" s="1"/>
  <c r="AA29" i="14" s="1"/>
  <c r="U28" i="14"/>
  <c r="T28" i="14"/>
  <c r="S28" i="14"/>
  <c r="W28" i="14" s="1"/>
  <c r="X28" i="14" s="1"/>
  <c r="AA28" i="14" s="1"/>
  <c r="U27" i="14"/>
  <c r="T27" i="14"/>
  <c r="S27" i="14"/>
  <c r="W27" i="14" s="1"/>
  <c r="X27" i="14" s="1"/>
  <c r="AA27" i="14" s="1"/>
  <c r="U26" i="14"/>
  <c r="T26" i="14"/>
  <c r="S26" i="14"/>
  <c r="W26" i="14" s="1"/>
  <c r="X26" i="14" s="1"/>
  <c r="AA26" i="14" s="1"/>
  <c r="U25" i="14"/>
  <c r="T25" i="14"/>
  <c r="S25" i="14"/>
  <c r="W25" i="14" s="1"/>
  <c r="X25" i="14" s="1"/>
  <c r="AA25" i="14" s="1"/>
  <c r="U24" i="14"/>
  <c r="T24" i="14"/>
  <c r="S24" i="14"/>
  <c r="W24" i="14" s="1"/>
  <c r="X24" i="14" s="1"/>
  <c r="AA24" i="14" s="1"/>
  <c r="U23" i="14"/>
  <c r="T23" i="14"/>
  <c r="S23" i="14"/>
  <c r="W23" i="14" s="1"/>
  <c r="X23" i="14" s="1"/>
  <c r="AA23" i="14" s="1"/>
  <c r="U22" i="14"/>
  <c r="T22" i="14"/>
  <c r="S22" i="14"/>
  <c r="W22" i="14" s="1"/>
  <c r="X22" i="14" s="1"/>
  <c r="AA22" i="14" s="1"/>
  <c r="U21" i="14"/>
  <c r="T21" i="14"/>
  <c r="S21" i="14"/>
  <c r="W21" i="14" s="1"/>
  <c r="X21" i="14" s="1"/>
  <c r="AA21" i="14" s="1"/>
  <c r="U20" i="14"/>
  <c r="T20" i="14"/>
  <c r="S20" i="14"/>
  <c r="W20" i="14" s="1"/>
  <c r="X20" i="14" s="1"/>
  <c r="AA20" i="14" s="1"/>
  <c r="U19" i="14"/>
  <c r="T19" i="14"/>
  <c r="S19" i="14"/>
  <c r="W19" i="14" s="1"/>
  <c r="X19" i="14" s="1"/>
  <c r="AA19" i="14" s="1"/>
  <c r="U18" i="14"/>
  <c r="T18" i="14"/>
  <c r="S18" i="14"/>
  <c r="W18" i="14" s="1"/>
  <c r="X18" i="14" s="1"/>
  <c r="AA18" i="14" s="1"/>
  <c r="U17" i="14"/>
  <c r="T17" i="14"/>
  <c r="S17" i="14"/>
  <c r="W17" i="14" s="1"/>
  <c r="X17" i="14" s="1"/>
  <c r="AA17" i="14" s="1"/>
  <c r="U16" i="14"/>
  <c r="T16" i="14"/>
  <c r="S16" i="14"/>
  <c r="W16" i="14" s="1"/>
  <c r="X16" i="14" s="1"/>
  <c r="AA16" i="14" s="1"/>
  <c r="U15" i="14"/>
  <c r="T15" i="14"/>
  <c r="S15" i="14"/>
  <c r="W15" i="14" s="1"/>
  <c r="X15" i="14" s="1"/>
  <c r="AA15" i="14" s="1"/>
  <c r="U14" i="14"/>
  <c r="T14" i="14"/>
  <c r="S14" i="14"/>
  <c r="W14" i="14" s="1"/>
  <c r="X14" i="14" s="1"/>
  <c r="AA14" i="14" s="1"/>
  <c r="U13" i="14"/>
  <c r="T13" i="14"/>
  <c r="S13" i="14"/>
  <c r="W13" i="14" s="1"/>
  <c r="X13" i="14" s="1"/>
  <c r="AA13" i="14" s="1"/>
  <c r="S50" i="13" l="1"/>
  <c r="W50" i="13" s="1"/>
  <c r="X50" i="13" s="1"/>
  <c r="AA50" i="13" s="1"/>
  <c r="T50" i="13"/>
  <c r="U50" i="13"/>
  <c r="S51" i="13"/>
  <c r="W51" i="13" s="1"/>
  <c r="X51" i="13" s="1"/>
  <c r="AA51" i="13" s="1"/>
  <c r="T51" i="13"/>
  <c r="U51" i="13"/>
  <c r="S52" i="13"/>
  <c r="W52" i="13" s="1"/>
  <c r="X52" i="13" s="1"/>
  <c r="AA52" i="13" s="1"/>
  <c r="T52" i="13"/>
  <c r="U52" i="13"/>
  <c r="S53" i="13"/>
  <c r="W53" i="13" s="1"/>
  <c r="X53" i="13" s="1"/>
  <c r="AA53" i="13" s="1"/>
  <c r="T53" i="13"/>
  <c r="U53" i="13"/>
  <c r="S54" i="13"/>
  <c r="W54" i="13" s="1"/>
  <c r="X54" i="13" s="1"/>
  <c r="AA54" i="13" s="1"/>
  <c r="T54" i="13"/>
  <c r="U54" i="13"/>
  <c r="S55" i="13"/>
  <c r="W55" i="13" s="1"/>
  <c r="X55" i="13" s="1"/>
  <c r="AA55" i="13" s="1"/>
  <c r="T55" i="13"/>
  <c r="U55" i="13"/>
  <c r="S56" i="13"/>
  <c r="W56" i="13" s="1"/>
  <c r="X56" i="13" s="1"/>
  <c r="AA56" i="13" s="1"/>
  <c r="T56" i="13"/>
  <c r="U56" i="13"/>
  <c r="S57" i="13"/>
  <c r="W57" i="13" s="1"/>
  <c r="X57" i="13" s="1"/>
  <c r="AA57" i="13" s="1"/>
  <c r="T57" i="13"/>
  <c r="U57" i="13"/>
  <c r="S58" i="13"/>
  <c r="W58" i="13" s="1"/>
  <c r="X58" i="13" s="1"/>
  <c r="AA58" i="13" s="1"/>
  <c r="T58" i="13"/>
  <c r="U58" i="13"/>
  <c r="S59" i="13"/>
  <c r="W59" i="13" s="1"/>
  <c r="X59" i="13" s="1"/>
  <c r="AA59" i="13" s="1"/>
  <c r="T59" i="13"/>
  <c r="U59" i="13"/>
  <c r="S60" i="13"/>
  <c r="W60" i="13" s="1"/>
  <c r="X60" i="13" s="1"/>
  <c r="AA60" i="13" s="1"/>
  <c r="T60" i="13"/>
  <c r="U60" i="13"/>
  <c r="S50" i="5"/>
  <c r="W50" i="5" s="1"/>
  <c r="X50" i="5" s="1"/>
  <c r="AA50" i="5" s="1"/>
  <c r="T50" i="5"/>
  <c r="U50" i="5"/>
  <c r="S51" i="5"/>
  <c r="W51" i="5" s="1"/>
  <c r="X51" i="5" s="1"/>
  <c r="AA51" i="5" s="1"/>
  <c r="T51" i="5"/>
  <c r="U51" i="5"/>
  <c r="S52" i="5"/>
  <c r="T52" i="5"/>
  <c r="U52" i="5"/>
  <c r="W52" i="5"/>
  <c r="X52" i="5"/>
  <c r="AA52" i="5" s="1"/>
  <c r="S53" i="5"/>
  <c r="W53" i="5" s="1"/>
  <c r="X53" i="5" s="1"/>
  <c r="AA53" i="5" s="1"/>
  <c r="T53" i="5"/>
  <c r="U53" i="5"/>
  <c r="S54" i="5"/>
  <c r="W54" i="5" s="1"/>
  <c r="X54" i="5" s="1"/>
  <c r="AA54" i="5" s="1"/>
  <c r="T54" i="5"/>
  <c r="U54" i="5"/>
  <c r="S55" i="5"/>
  <c r="W55" i="5" s="1"/>
  <c r="X55" i="5" s="1"/>
  <c r="AA55" i="5" s="1"/>
  <c r="T55" i="5"/>
  <c r="U55" i="5"/>
  <c r="S56" i="5"/>
  <c r="T56" i="5"/>
  <c r="U56" i="5"/>
  <c r="W56" i="5"/>
  <c r="X56" i="5"/>
  <c r="AA56" i="5" s="1"/>
  <c r="S57" i="5"/>
  <c r="W57" i="5" s="1"/>
  <c r="X57" i="5" s="1"/>
  <c r="AA57" i="5" s="1"/>
  <c r="T57" i="5"/>
  <c r="U57" i="5"/>
  <c r="S58" i="5"/>
  <c r="T58" i="5"/>
  <c r="U58" i="5"/>
  <c r="W58" i="5"/>
  <c r="X58" i="5"/>
  <c r="AA58" i="5" s="1"/>
  <c r="S59" i="5"/>
  <c r="W59" i="5" s="1"/>
  <c r="X59" i="5" s="1"/>
  <c r="AA59" i="5" s="1"/>
  <c r="T59" i="5"/>
  <c r="U59" i="5"/>
  <c r="S60" i="5"/>
  <c r="W60" i="5" s="1"/>
  <c r="X60" i="5" s="1"/>
  <c r="AA60" i="5" s="1"/>
  <c r="T60" i="5"/>
  <c r="U60" i="5"/>
  <c r="S50" i="4"/>
  <c r="W50" i="4" s="1"/>
  <c r="X50" i="4" s="1"/>
  <c r="AA50" i="4" s="1"/>
  <c r="T50" i="4"/>
  <c r="U50" i="4"/>
  <c r="S51" i="4"/>
  <c r="T51" i="4"/>
  <c r="U51" i="4"/>
  <c r="W51" i="4"/>
  <c r="X51" i="4"/>
  <c r="AA51" i="4" s="1"/>
  <c r="S52" i="4"/>
  <c r="W52" i="4" s="1"/>
  <c r="X52" i="4" s="1"/>
  <c r="AA52" i="4" s="1"/>
  <c r="T52" i="4"/>
  <c r="U52" i="4"/>
  <c r="S53" i="4"/>
  <c r="T53" i="4"/>
  <c r="U53" i="4"/>
  <c r="W53" i="4"/>
  <c r="X53" i="4"/>
  <c r="AA53" i="4"/>
  <c r="S54" i="4"/>
  <c r="W54" i="4" s="1"/>
  <c r="X54" i="4" s="1"/>
  <c r="AA54" i="4" s="1"/>
  <c r="T54" i="4"/>
  <c r="U54" i="4"/>
  <c r="S55" i="4"/>
  <c r="W55" i="4" s="1"/>
  <c r="X55" i="4" s="1"/>
  <c r="AA55" i="4" s="1"/>
  <c r="T55" i="4"/>
  <c r="U55" i="4"/>
  <c r="S56" i="4"/>
  <c r="W56" i="4" s="1"/>
  <c r="X56" i="4" s="1"/>
  <c r="AA56" i="4" s="1"/>
  <c r="T56" i="4"/>
  <c r="U56" i="4"/>
  <c r="S57" i="4"/>
  <c r="W57" i="4" s="1"/>
  <c r="X57" i="4" s="1"/>
  <c r="AA57" i="4" s="1"/>
  <c r="T57" i="4"/>
  <c r="U57" i="4"/>
  <c r="S58" i="4"/>
  <c r="W58" i="4" s="1"/>
  <c r="X58" i="4" s="1"/>
  <c r="AA58" i="4" s="1"/>
  <c r="T58" i="4"/>
  <c r="U58" i="4"/>
  <c r="S50" i="3"/>
  <c r="W50" i="3" s="1"/>
  <c r="X50" i="3" s="1"/>
  <c r="AA50" i="3" s="1"/>
  <c r="T50" i="3"/>
  <c r="U50" i="3"/>
  <c r="S51" i="3"/>
  <c r="W51" i="3" s="1"/>
  <c r="X51" i="3" s="1"/>
  <c r="AA51" i="3" s="1"/>
  <c r="T51" i="3"/>
  <c r="U51" i="3"/>
  <c r="S52" i="3"/>
  <c r="T52" i="3"/>
  <c r="U52" i="3"/>
  <c r="W52" i="3"/>
  <c r="X52" i="3"/>
  <c r="AA52" i="3" s="1"/>
  <c r="S53" i="3"/>
  <c r="W53" i="3" s="1"/>
  <c r="X53" i="3" s="1"/>
  <c r="AA53" i="3" s="1"/>
  <c r="T53" i="3"/>
  <c r="U53" i="3"/>
  <c r="S54" i="3"/>
  <c r="W54" i="3" s="1"/>
  <c r="X54" i="3" s="1"/>
  <c r="AA54" i="3" s="1"/>
  <c r="T54" i="3"/>
  <c r="U54" i="3"/>
  <c r="S55" i="3"/>
  <c r="W55" i="3" s="1"/>
  <c r="X55" i="3" s="1"/>
  <c r="AA55" i="3" s="1"/>
  <c r="T55" i="3"/>
  <c r="U55" i="3"/>
  <c r="S56" i="3"/>
  <c r="W56" i="3" s="1"/>
  <c r="X56" i="3" s="1"/>
  <c r="AA56" i="3" s="1"/>
  <c r="T56" i="3"/>
  <c r="U56" i="3"/>
  <c r="S57" i="3"/>
  <c r="W57" i="3" s="1"/>
  <c r="X57" i="3" s="1"/>
  <c r="AA57" i="3" s="1"/>
  <c r="T57" i="3"/>
  <c r="U57" i="3"/>
  <c r="S50" i="2"/>
  <c r="T50" i="2"/>
  <c r="U50" i="2"/>
  <c r="W50" i="2"/>
  <c r="X50" i="2" s="1"/>
  <c r="AA50" i="2" s="1"/>
  <c r="S51" i="2"/>
  <c r="W51" i="2" s="1"/>
  <c r="X51" i="2" s="1"/>
  <c r="AA51" i="2" s="1"/>
  <c r="T51" i="2"/>
  <c r="U51" i="2"/>
  <c r="S52" i="2"/>
  <c r="W52" i="2" s="1"/>
  <c r="X52" i="2" s="1"/>
  <c r="AA52" i="2" s="1"/>
  <c r="T52" i="2"/>
  <c r="U52" i="2"/>
  <c r="S53" i="2"/>
  <c r="W53" i="2" s="1"/>
  <c r="X53" i="2" s="1"/>
  <c r="AA53" i="2" s="1"/>
  <c r="T53" i="2"/>
  <c r="U53" i="2"/>
  <c r="S54" i="2"/>
  <c r="T54" i="2"/>
  <c r="U54" i="2"/>
  <c r="W54" i="2"/>
  <c r="X54" i="2" s="1"/>
  <c r="AA54" i="2" s="1"/>
  <c r="S55" i="2"/>
  <c r="W55" i="2" s="1"/>
  <c r="X55" i="2" s="1"/>
  <c r="AA55" i="2" s="1"/>
  <c r="T55" i="2"/>
  <c r="U55" i="2"/>
  <c r="S56" i="2"/>
  <c r="W56" i="2" s="1"/>
  <c r="X56" i="2" s="1"/>
  <c r="AA56" i="2" s="1"/>
  <c r="T56" i="2"/>
  <c r="U56" i="2"/>
  <c r="S57" i="2"/>
  <c r="W57" i="2" s="1"/>
  <c r="X57" i="2" s="1"/>
  <c r="AA57" i="2" s="1"/>
  <c r="T57" i="2"/>
  <c r="U57" i="2"/>
  <c r="S58" i="2"/>
  <c r="W58" i="2" s="1"/>
  <c r="X58" i="2" s="1"/>
  <c r="AA58" i="2" s="1"/>
  <c r="T58" i="2"/>
  <c r="U58" i="2"/>
  <c r="S59" i="2"/>
  <c r="T59" i="2"/>
  <c r="U59" i="2"/>
  <c r="W59" i="2"/>
  <c r="X59" i="2" s="1"/>
  <c r="AA59" i="2" s="1"/>
  <c r="U49" i="13"/>
  <c r="T49" i="13"/>
  <c r="S49" i="13"/>
  <c r="W49" i="13" s="1"/>
  <c r="X49" i="13" s="1"/>
  <c r="AA49" i="13" s="1"/>
  <c r="U48" i="13"/>
  <c r="T48" i="13"/>
  <c r="S48" i="13"/>
  <c r="W48" i="13" s="1"/>
  <c r="X48" i="13" s="1"/>
  <c r="AA48" i="13" s="1"/>
  <c r="U47" i="13"/>
  <c r="T47" i="13"/>
  <c r="S47" i="13"/>
  <c r="W47" i="13" s="1"/>
  <c r="X47" i="13" s="1"/>
  <c r="AA47" i="13" s="1"/>
  <c r="U46" i="13"/>
  <c r="T46" i="13"/>
  <c r="S46" i="13"/>
  <c r="W46" i="13" s="1"/>
  <c r="X46" i="13" s="1"/>
  <c r="AA46" i="13" s="1"/>
  <c r="U45" i="13"/>
  <c r="T45" i="13"/>
  <c r="S45" i="13"/>
  <c r="W45" i="13" s="1"/>
  <c r="X45" i="13" s="1"/>
  <c r="AA45" i="13" s="1"/>
  <c r="U44" i="13"/>
  <c r="T44" i="13"/>
  <c r="S44" i="13"/>
  <c r="W44" i="13" s="1"/>
  <c r="X44" i="13" s="1"/>
  <c r="AA44" i="13" s="1"/>
  <c r="U43" i="13"/>
  <c r="T43" i="13"/>
  <c r="S43" i="13"/>
  <c r="W43" i="13" s="1"/>
  <c r="X43" i="13" s="1"/>
  <c r="AA43" i="13" s="1"/>
  <c r="U42" i="13"/>
  <c r="T42" i="13"/>
  <c r="S42" i="13"/>
  <c r="W42" i="13" s="1"/>
  <c r="X42" i="13" s="1"/>
  <c r="AA42" i="13" s="1"/>
  <c r="U41" i="13"/>
  <c r="T41" i="13"/>
  <c r="S41" i="13"/>
  <c r="W41" i="13" s="1"/>
  <c r="X41" i="13" s="1"/>
  <c r="AA41" i="13" s="1"/>
  <c r="U40" i="13"/>
  <c r="T40" i="13"/>
  <c r="S40" i="13"/>
  <c r="W40" i="13" s="1"/>
  <c r="X40" i="13" s="1"/>
  <c r="AA40" i="13" s="1"/>
  <c r="U39" i="13"/>
  <c r="T39" i="13"/>
  <c r="S39" i="13"/>
  <c r="W39" i="13" s="1"/>
  <c r="X39" i="13" s="1"/>
  <c r="AA39" i="13" s="1"/>
  <c r="U38" i="13"/>
  <c r="T38" i="13"/>
  <c r="S38" i="13"/>
  <c r="W38" i="13" s="1"/>
  <c r="X38" i="13" s="1"/>
  <c r="AA38" i="13" s="1"/>
  <c r="U37" i="13"/>
  <c r="T37" i="13"/>
  <c r="S37" i="13"/>
  <c r="W37" i="13" s="1"/>
  <c r="X37" i="13" s="1"/>
  <c r="AA37" i="13" s="1"/>
  <c r="U36" i="13"/>
  <c r="T36" i="13"/>
  <c r="S36" i="13"/>
  <c r="W36" i="13" s="1"/>
  <c r="X36" i="13" s="1"/>
  <c r="AA36" i="13" s="1"/>
  <c r="U35" i="13"/>
  <c r="T35" i="13"/>
  <c r="S35" i="13"/>
  <c r="W35" i="13" s="1"/>
  <c r="X35" i="13" s="1"/>
  <c r="AA35" i="13" s="1"/>
  <c r="U34" i="13"/>
  <c r="T34" i="13"/>
  <c r="S34" i="13"/>
  <c r="W34" i="13" s="1"/>
  <c r="X34" i="13" s="1"/>
  <c r="AA34" i="13" s="1"/>
  <c r="U33" i="13"/>
  <c r="T33" i="13"/>
  <c r="S33" i="13"/>
  <c r="W33" i="13" s="1"/>
  <c r="X33" i="13" s="1"/>
  <c r="AA33" i="13" s="1"/>
  <c r="U32" i="13"/>
  <c r="T32" i="13"/>
  <c r="S32" i="13"/>
  <c r="W32" i="13" s="1"/>
  <c r="X32" i="13" s="1"/>
  <c r="AA32" i="13" s="1"/>
  <c r="U31" i="13"/>
  <c r="T31" i="13"/>
  <c r="S31" i="13"/>
  <c r="W31" i="13" s="1"/>
  <c r="X31" i="13" s="1"/>
  <c r="AA31" i="13" s="1"/>
  <c r="U30" i="13"/>
  <c r="T30" i="13"/>
  <c r="S30" i="13"/>
  <c r="W30" i="13" s="1"/>
  <c r="X30" i="13" s="1"/>
  <c r="AA30" i="13" s="1"/>
  <c r="U29" i="13"/>
  <c r="T29" i="13"/>
  <c r="S29" i="13"/>
  <c r="W29" i="13" s="1"/>
  <c r="X29" i="13" s="1"/>
  <c r="AA29" i="13" s="1"/>
  <c r="U28" i="13"/>
  <c r="T28" i="13"/>
  <c r="S28" i="13"/>
  <c r="W28" i="13" s="1"/>
  <c r="X28" i="13" s="1"/>
  <c r="AA28" i="13" s="1"/>
  <c r="U27" i="13"/>
  <c r="T27" i="13"/>
  <c r="S27" i="13"/>
  <c r="W27" i="13" s="1"/>
  <c r="X27" i="13" s="1"/>
  <c r="AA27" i="13" s="1"/>
  <c r="U26" i="13"/>
  <c r="T26" i="13"/>
  <c r="S26" i="13"/>
  <c r="W26" i="13" s="1"/>
  <c r="X26" i="13" s="1"/>
  <c r="AA26" i="13" s="1"/>
  <c r="U25" i="13"/>
  <c r="T25" i="13"/>
  <c r="S25" i="13"/>
  <c r="W25" i="13" s="1"/>
  <c r="X25" i="13" s="1"/>
  <c r="AA25" i="13" s="1"/>
  <c r="U24" i="13"/>
  <c r="T24" i="13"/>
  <c r="S24" i="13"/>
  <c r="W24" i="13" s="1"/>
  <c r="X24" i="13" s="1"/>
  <c r="AA24" i="13" s="1"/>
  <c r="U23" i="13"/>
  <c r="T23" i="13"/>
  <c r="S23" i="13"/>
  <c r="W23" i="13" s="1"/>
  <c r="X23" i="13" s="1"/>
  <c r="AA23" i="13" s="1"/>
  <c r="U22" i="13"/>
  <c r="T22" i="13"/>
  <c r="S22" i="13"/>
  <c r="W22" i="13" s="1"/>
  <c r="X22" i="13" s="1"/>
  <c r="AA22" i="13" s="1"/>
  <c r="U21" i="13"/>
  <c r="T21" i="13"/>
  <c r="S21" i="13"/>
  <c r="W21" i="13" s="1"/>
  <c r="X21" i="13" s="1"/>
  <c r="AA21" i="13" s="1"/>
  <c r="U20" i="13"/>
  <c r="T20" i="13"/>
  <c r="S20" i="13"/>
  <c r="W20" i="13" s="1"/>
  <c r="X20" i="13" s="1"/>
  <c r="AA20" i="13" s="1"/>
  <c r="U19" i="13"/>
  <c r="T19" i="13"/>
  <c r="S19" i="13"/>
  <c r="W19" i="13" s="1"/>
  <c r="X19" i="13" s="1"/>
  <c r="AA19" i="13" s="1"/>
  <c r="U18" i="13"/>
  <c r="T18" i="13"/>
  <c r="S18" i="13"/>
  <c r="W18" i="13" s="1"/>
  <c r="X18" i="13" s="1"/>
  <c r="AA18" i="13" s="1"/>
  <c r="U17" i="13"/>
  <c r="T17" i="13"/>
  <c r="S17" i="13"/>
  <c r="W17" i="13" s="1"/>
  <c r="X17" i="13" s="1"/>
  <c r="AA17" i="13" s="1"/>
  <c r="U16" i="13"/>
  <c r="T16" i="13"/>
  <c r="S16" i="13"/>
  <c r="W16" i="13" s="1"/>
  <c r="X16" i="13" s="1"/>
  <c r="AA16" i="13" s="1"/>
  <c r="U15" i="13"/>
  <c r="T15" i="13"/>
  <c r="S15" i="13"/>
  <c r="W15" i="13" s="1"/>
  <c r="X15" i="13" s="1"/>
  <c r="AA15" i="13" s="1"/>
  <c r="U14" i="13"/>
  <c r="T14" i="13"/>
  <c r="S14" i="13"/>
  <c r="W14" i="13" s="1"/>
  <c r="X14" i="13" s="1"/>
  <c r="AA14" i="13" s="1"/>
  <c r="U13" i="13"/>
  <c r="T13" i="13"/>
  <c r="S13" i="13"/>
  <c r="W13" i="13" s="1"/>
  <c r="X13" i="13" s="1"/>
  <c r="AA13" i="13" s="1"/>
  <c r="S49" i="1"/>
  <c r="W49" i="1" s="1"/>
  <c r="X49" i="1" s="1"/>
  <c r="AA49" i="1" s="1"/>
  <c r="T49" i="1"/>
  <c r="U49" i="1"/>
  <c r="S50" i="1"/>
  <c r="W50" i="1" s="1"/>
  <c r="X50" i="1" s="1"/>
  <c r="AA50" i="1" s="1"/>
  <c r="T50" i="1"/>
  <c r="U50" i="1"/>
  <c r="S51" i="1"/>
  <c r="W51" i="1" s="1"/>
  <c r="X51" i="1" s="1"/>
  <c r="AA51" i="1" s="1"/>
  <c r="T51" i="1"/>
  <c r="U51" i="1"/>
  <c r="S52" i="1"/>
  <c r="W52" i="1" s="1"/>
  <c r="X52" i="1" s="1"/>
  <c r="AA52" i="1" s="1"/>
  <c r="T52" i="1"/>
  <c r="U52" i="1"/>
  <c r="S53" i="1"/>
  <c r="W53" i="1" s="1"/>
  <c r="X53" i="1" s="1"/>
  <c r="AA53" i="1" s="1"/>
  <c r="T53" i="1"/>
  <c r="U53" i="1"/>
  <c r="S54" i="1"/>
  <c r="W54" i="1" s="1"/>
  <c r="X54" i="1" s="1"/>
  <c r="AA54" i="1" s="1"/>
  <c r="T54" i="1"/>
  <c r="U54" i="1"/>
  <c r="S55" i="1"/>
  <c r="W55" i="1" s="1"/>
  <c r="X55" i="1" s="1"/>
  <c r="AA55" i="1" s="1"/>
  <c r="T55" i="1"/>
  <c r="U55" i="1"/>
  <c r="S56" i="1"/>
  <c r="W56" i="1" s="1"/>
  <c r="X56" i="1" s="1"/>
  <c r="AA56" i="1" s="1"/>
  <c r="T56" i="1"/>
  <c r="U56" i="1"/>
  <c r="S57" i="1"/>
  <c r="W57" i="1" s="1"/>
  <c r="X57" i="1" s="1"/>
  <c r="AA57" i="1" s="1"/>
  <c r="T57" i="1"/>
  <c r="U57" i="1"/>
  <c r="S58" i="1"/>
  <c r="W58" i="1" s="1"/>
  <c r="X58" i="1" s="1"/>
  <c r="AA58" i="1" s="1"/>
  <c r="T58" i="1"/>
  <c r="U58" i="1"/>
  <c r="S14" i="1"/>
  <c r="S15" i="1"/>
  <c r="W15" i="1" s="1"/>
  <c r="X15" i="1" s="1"/>
  <c r="AA15" i="1" s="1"/>
  <c r="S16" i="1"/>
  <c r="W16" i="1" s="1"/>
  <c r="X16" i="1" s="1"/>
  <c r="AA16" i="1" s="1"/>
  <c r="S17" i="1"/>
  <c r="W17" i="1" s="1"/>
  <c r="X17" i="1" s="1"/>
  <c r="AA17" i="1" s="1"/>
  <c r="S18" i="1"/>
  <c r="W18" i="1" s="1"/>
  <c r="X18" i="1" s="1"/>
  <c r="AA18" i="1" s="1"/>
  <c r="S19" i="1"/>
  <c r="W19" i="1" s="1"/>
  <c r="X19" i="1" s="1"/>
  <c r="AA19" i="1" s="1"/>
  <c r="S20" i="1"/>
  <c r="W20" i="1" s="1"/>
  <c r="X20" i="1" s="1"/>
  <c r="AA20" i="1" s="1"/>
  <c r="S21" i="1"/>
  <c r="W21" i="1" s="1"/>
  <c r="X21" i="1" s="1"/>
  <c r="AA21" i="1" s="1"/>
  <c r="S22" i="1"/>
  <c r="W22" i="1" s="1"/>
  <c r="X22" i="1" s="1"/>
  <c r="AA22" i="1" s="1"/>
  <c r="S23" i="1"/>
  <c r="W23" i="1" s="1"/>
  <c r="X23" i="1" s="1"/>
  <c r="AA23" i="1" s="1"/>
  <c r="S24" i="1"/>
  <c r="W24" i="1" s="1"/>
  <c r="X24" i="1" s="1"/>
  <c r="AA24" i="1" s="1"/>
  <c r="S25" i="1"/>
  <c r="W25" i="1" s="1"/>
  <c r="X25" i="1" s="1"/>
  <c r="AA25" i="1" s="1"/>
  <c r="S26" i="1"/>
  <c r="W26" i="1" s="1"/>
  <c r="X26" i="1" s="1"/>
  <c r="AA26" i="1" s="1"/>
  <c r="S27" i="1"/>
  <c r="W27" i="1" s="1"/>
  <c r="X27" i="1" s="1"/>
  <c r="AA27" i="1" s="1"/>
  <c r="S28" i="1"/>
  <c r="W28" i="1" s="1"/>
  <c r="X28" i="1" s="1"/>
  <c r="AA28" i="1" s="1"/>
  <c r="S29" i="1"/>
  <c r="W29" i="1" s="1"/>
  <c r="X29" i="1" s="1"/>
  <c r="AA29" i="1" s="1"/>
  <c r="S30" i="1"/>
  <c r="W30" i="1" s="1"/>
  <c r="X30" i="1" s="1"/>
  <c r="AA30" i="1" s="1"/>
  <c r="S31" i="1"/>
  <c r="W31" i="1" s="1"/>
  <c r="X31" i="1" s="1"/>
  <c r="AA31" i="1" s="1"/>
  <c r="S32" i="1"/>
  <c r="W32" i="1" s="1"/>
  <c r="X32" i="1" s="1"/>
  <c r="AA32" i="1" s="1"/>
  <c r="S33" i="1"/>
  <c r="W33" i="1" s="1"/>
  <c r="X33" i="1" s="1"/>
  <c r="AA33" i="1" s="1"/>
  <c r="S34" i="1"/>
  <c r="W34" i="1" s="1"/>
  <c r="X34" i="1" s="1"/>
  <c r="AA34" i="1" s="1"/>
  <c r="S35" i="1"/>
  <c r="W35" i="1" s="1"/>
  <c r="X35" i="1" s="1"/>
  <c r="AA35" i="1" s="1"/>
  <c r="S36" i="1"/>
  <c r="W36" i="1" s="1"/>
  <c r="X36" i="1" s="1"/>
  <c r="AA36" i="1" s="1"/>
  <c r="S37" i="1"/>
  <c r="W37" i="1" s="1"/>
  <c r="X37" i="1" s="1"/>
  <c r="AA37" i="1" s="1"/>
  <c r="S38" i="1"/>
  <c r="W38" i="1" s="1"/>
  <c r="X38" i="1" s="1"/>
  <c r="AA38" i="1" s="1"/>
  <c r="S39" i="1"/>
  <c r="W39" i="1" s="1"/>
  <c r="X39" i="1" s="1"/>
  <c r="AA39" i="1" s="1"/>
  <c r="S40" i="1"/>
  <c r="W40" i="1" s="1"/>
  <c r="X40" i="1" s="1"/>
  <c r="AA40" i="1" s="1"/>
  <c r="S41" i="1"/>
  <c r="W41" i="1" s="1"/>
  <c r="X41" i="1" s="1"/>
  <c r="AA41" i="1" s="1"/>
  <c r="S42" i="1"/>
  <c r="W42" i="1" s="1"/>
  <c r="X42" i="1" s="1"/>
  <c r="AA42" i="1" s="1"/>
  <c r="S43" i="1"/>
  <c r="W43" i="1" s="1"/>
  <c r="X43" i="1" s="1"/>
  <c r="AA43" i="1" s="1"/>
  <c r="S44" i="1"/>
  <c r="W44" i="1" s="1"/>
  <c r="X44" i="1" s="1"/>
  <c r="AA44" i="1" s="1"/>
  <c r="S45" i="1"/>
  <c r="W45" i="1" s="1"/>
  <c r="X45" i="1" s="1"/>
  <c r="AA45" i="1" s="1"/>
  <c r="S46" i="1"/>
  <c r="W46" i="1" s="1"/>
  <c r="X46" i="1" s="1"/>
  <c r="AA46" i="1" s="1"/>
  <c r="S47" i="1"/>
  <c r="W47" i="1" s="1"/>
  <c r="X47" i="1" s="1"/>
  <c r="AA47" i="1" s="1"/>
  <c r="S48" i="1"/>
  <c r="W48" i="1" s="1"/>
  <c r="X48" i="1" s="1"/>
  <c r="AA48" i="1" s="1"/>
  <c r="S13" i="1"/>
  <c r="W13" i="1" s="1"/>
  <c r="X13" i="1" s="1"/>
  <c r="AA13" i="1" s="1"/>
  <c r="U49" i="5"/>
  <c r="T49" i="5"/>
  <c r="S49" i="5"/>
  <c r="W49" i="5" s="1"/>
  <c r="X49" i="5" s="1"/>
  <c r="AA49" i="5" s="1"/>
  <c r="U48" i="5"/>
  <c r="T48" i="5"/>
  <c r="S48" i="5"/>
  <c r="W48" i="5" s="1"/>
  <c r="X48" i="5" s="1"/>
  <c r="AA48" i="5" s="1"/>
  <c r="U47" i="5"/>
  <c r="T47" i="5"/>
  <c r="S47" i="5"/>
  <c r="W47" i="5" s="1"/>
  <c r="X47" i="5" s="1"/>
  <c r="AA47" i="5" s="1"/>
  <c r="U46" i="5"/>
  <c r="T46" i="5"/>
  <c r="S46" i="5"/>
  <c r="W46" i="5" s="1"/>
  <c r="X46" i="5" s="1"/>
  <c r="AA46" i="5" s="1"/>
  <c r="U45" i="5"/>
  <c r="T45" i="5"/>
  <c r="S45" i="5"/>
  <c r="W45" i="5" s="1"/>
  <c r="X45" i="5" s="1"/>
  <c r="AA45" i="5" s="1"/>
  <c r="U44" i="5"/>
  <c r="T44" i="5"/>
  <c r="S44" i="5"/>
  <c r="W44" i="5" s="1"/>
  <c r="X44" i="5" s="1"/>
  <c r="AA44" i="5" s="1"/>
  <c r="U43" i="5"/>
  <c r="T43" i="5"/>
  <c r="S43" i="5"/>
  <c r="W43" i="5" s="1"/>
  <c r="X43" i="5" s="1"/>
  <c r="AA43" i="5" s="1"/>
  <c r="U42" i="5"/>
  <c r="T42" i="5"/>
  <c r="S42" i="5"/>
  <c r="W42" i="5" s="1"/>
  <c r="X42" i="5" s="1"/>
  <c r="AA42" i="5" s="1"/>
  <c r="U41" i="5"/>
  <c r="T41" i="5"/>
  <c r="S41" i="5"/>
  <c r="W41" i="5" s="1"/>
  <c r="X41" i="5" s="1"/>
  <c r="AA41" i="5" s="1"/>
  <c r="U40" i="5"/>
  <c r="T40" i="5"/>
  <c r="S40" i="5"/>
  <c r="W40" i="5" s="1"/>
  <c r="X40" i="5" s="1"/>
  <c r="AA40" i="5" s="1"/>
  <c r="U39" i="5"/>
  <c r="T39" i="5"/>
  <c r="S39" i="5"/>
  <c r="W39" i="5" s="1"/>
  <c r="X39" i="5" s="1"/>
  <c r="AA39" i="5" s="1"/>
  <c r="U38" i="5"/>
  <c r="T38" i="5"/>
  <c r="S38" i="5"/>
  <c r="W38" i="5" s="1"/>
  <c r="X38" i="5" s="1"/>
  <c r="AA38" i="5" s="1"/>
  <c r="U37" i="5"/>
  <c r="T37" i="5"/>
  <c r="S37" i="5"/>
  <c r="W37" i="5" s="1"/>
  <c r="X37" i="5" s="1"/>
  <c r="AA37" i="5" s="1"/>
  <c r="U36" i="5"/>
  <c r="T36" i="5"/>
  <c r="S36" i="5"/>
  <c r="W36" i="5" s="1"/>
  <c r="X36" i="5" s="1"/>
  <c r="AA36" i="5" s="1"/>
  <c r="U35" i="5"/>
  <c r="T35" i="5"/>
  <c r="S35" i="5"/>
  <c r="W35" i="5" s="1"/>
  <c r="X35" i="5" s="1"/>
  <c r="AA35" i="5" s="1"/>
  <c r="U34" i="5"/>
  <c r="T34" i="5"/>
  <c r="S34" i="5"/>
  <c r="W34" i="5" s="1"/>
  <c r="X34" i="5" s="1"/>
  <c r="AA34" i="5" s="1"/>
  <c r="U33" i="5"/>
  <c r="T33" i="5"/>
  <c r="S33" i="5"/>
  <c r="W33" i="5" s="1"/>
  <c r="X33" i="5" s="1"/>
  <c r="AA33" i="5" s="1"/>
  <c r="U32" i="5"/>
  <c r="T32" i="5"/>
  <c r="S32" i="5"/>
  <c r="W32" i="5" s="1"/>
  <c r="X32" i="5" s="1"/>
  <c r="AA32" i="5" s="1"/>
  <c r="U31" i="5"/>
  <c r="T31" i="5"/>
  <c r="S31" i="5"/>
  <c r="W31" i="5" s="1"/>
  <c r="X31" i="5" s="1"/>
  <c r="AA31" i="5" s="1"/>
  <c r="U30" i="5"/>
  <c r="T30" i="5"/>
  <c r="S30" i="5"/>
  <c r="W30" i="5" s="1"/>
  <c r="X30" i="5" s="1"/>
  <c r="AA30" i="5" s="1"/>
  <c r="U29" i="5"/>
  <c r="T29" i="5"/>
  <c r="S29" i="5"/>
  <c r="W29" i="5" s="1"/>
  <c r="X29" i="5" s="1"/>
  <c r="AA29" i="5" s="1"/>
  <c r="U28" i="5"/>
  <c r="T28" i="5"/>
  <c r="S28" i="5"/>
  <c r="W28" i="5" s="1"/>
  <c r="X28" i="5" s="1"/>
  <c r="AA28" i="5" s="1"/>
  <c r="U27" i="5"/>
  <c r="T27" i="5"/>
  <c r="S27" i="5"/>
  <c r="W27" i="5" s="1"/>
  <c r="X27" i="5" s="1"/>
  <c r="AA27" i="5" s="1"/>
  <c r="U26" i="5"/>
  <c r="T26" i="5"/>
  <c r="S26" i="5"/>
  <c r="W26" i="5" s="1"/>
  <c r="X26" i="5" s="1"/>
  <c r="AA26" i="5" s="1"/>
  <c r="U25" i="5"/>
  <c r="T25" i="5"/>
  <c r="S25" i="5"/>
  <c r="W25" i="5" s="1"/>
  <c r="X25" i="5" s="1"/>
  <c r="AA25" i="5" s="1"/>
  <c r="U24" i="5"/>
  <c r="T24" i="5"/>
  <c r="S24" i="5"/>
  <c r="W24" i="5" s="1"/>
  <c r="X24" i="5" s="1"/>
  <c r="AA24" i="5" s="1"/>
  <c r="U23" i="5"/>
  <c r="T23" i="5"/>
  <c r="S23" i="5"/>
  <c r="W23" i="5" s="1"/>
  <c r="X23" i="5" s="1"/>
  <c r="AA23" i="5" s="1"/>
  <c r="U22" i="5"/>
  <c r="T22" i="5"/>
  <c r="S22" i="5"/>
  <c r="W22" i="5" s="1"/>
  <c r="X22" i="5" s="1"/>
  <c r="AA22" i="5" s="1"/>
  <c r="U21" i="5"/>
  <c r="T21" i="5"/>
  <c r="S21" i="5"/>
  <c r="W21" i="5" s="1"/>
  <c r="X21" i="5" s="1"/>
  <c r="AA21" i="5" s="1"/>
  <c r="U20" i="5"/>
  <c r="T20" i="5"/>
  <c r="S20" i="5"/>
  <c r="W20" i="5" s="1"/>
  <c r="X20" i="5" s="1"/>
  <c r="AA20" i="5" s="1"/>
  <c r="U19" i="5"/>
  <c r="T19" i="5"/>
  <c r="S19" i="5"/>
  <c r="W19" i="5" s="1"/>
  <c r="X19" i="5" s="1"/>
  <c r="AA19" i="5" s="1"/>
  <c r="U18" i="5"/>
  <c r="T18" i="5"/>
  <c r="S18" i="5"/>
  <c r="W18" i="5" s="1"/>
  <c r="X18" i="5" s="1"/>
  <c r="AA18" i="5" s="1"/>
  <c r="U17" i="5"/>
  <c r="T17" i="5"/>
  <c r="S17" i="5"/>
  <c r="W17" i="5" s="1"/>
  <c r="X17" i="5" s="1"/>
  <c r="AA17" i="5" s="1"/>
  <c r="U16" i="5"/>
  <c r="T16" i="5"/>
  <c r="S16" i="5"/>
  <c r="W16" i="5" s="1"/>
  <c r="X16" i="5" s="1"/>
  <c r="AA16" i="5" s="1"/>
  <c r="U15" i="5"/>
  <c r="T15" i="5"/>
  <c r="S15" i="5"/>
  <c r="W15" i="5" s="1"/>
  <c r="X15" i="5" s="1"/>
  <c r="AA15" i="5" s="1"/>
  <c r="U14" i="5"/>
  <c r="T14" i="5"/>
  <c r="S14" i="5"/>
  <c r="W14" i="5" s="1"/>
  <c r="X14" i="5" s="1"/>
  <c r="AA14" i="5" s="1"/>
  <c r="U13" i="5"/>
  <c r="T13" i="5"/>
  <c r="S13" i="5"/>
  <c r="U49" i="4"/>
  <c r="T49" i="4"/>
  <c r="S49" i="4"/>
  <c r="W49" i="4" s="1"/>
  <c r="X49" i="4" s="1"/>
  <c r="AA49" i="4" s="1"/>
  <c r="U48" i="4"/>
  <c r="T48" i="4"/>
  <c r="S48" i="4"/>
  <c r="W48" i="4" s="1"/>
  <c r="X48" i="4" s="1"/>
  <c r="AA48" i="4" s="1"/>
  <c r="U47" i="4"/>
  <c r="T47" i="4"/>
  <c r="S47" i="4"/>
  <c r="W47" i="4" s="1"/>
  <c r="X47" i="4" s="1"/>
  <c r="AA47" i="4" s="1"/>
  <c r="U46" i="4"/>
  <c r="T46" i="4"/>
  <c r="S46" i="4"/>
  <c r="W46" i="4" s="1"/>
  <c r="X46" i="4" s="1"/>
  <c r="AA46" i="4" s="1"/>
  <c r="U45" i="4"/>
  <c r="T45" i="4"/>
  <c r="S45" i="4"/>
  <c r="W45" i="4" s="1"/>
  <c r="X45" i="4" s="1"/>
  <c r="AA45" i="4" s="1"/>
  <c r="U44" i="4"/>
  <c r="T44" i="4"/>
  <c r="S44" i="4"/>
  <c r="W44" i="4" s="1"/>
  <c r="X44" i="4" s="1"/>
  <c r="AA44" i="4" s="1"/>
  <c r="U43" i="4"/>
  <c r="T43" i="4"/>
  <c r="S43" i="4"/>
  <c r="W43" i="4" s="1"/>
  <c r="X43" i="4" s="1"/>
  <c r="AA43" i="4" s="1"/>
  <c r="U42" i="4"/>
  <c r="T42" i="4"/>
  <c r="S42" i="4"/>
  <c r="W42" i="4" s="1"/>
  <c r="X42" i="4" s="1"/>
  <c r="AA42" i="4" s="1"/>
  <c r="U41" i="4"/>
  <c r="T41" i="4"/>
  <c r="S41" i="4"/>
  <c r="W41" i="4" s="1"/>
  <c r="X41" i="4" s="1"/>
  <c r="AA41" i="4" s="1"/>
  <c r="U40" i="4"/>
  <c r="T40" i="4"/>
  <c r="S40" i="4"/>
  <c r="W40" i="4" s="1"/>
  <c r="X40" i="4" s="1"/>
  <c r="AA40" i="4" s="1"/>
  <c r="U39" i="4"/>
  <c r="T39" i="4"/>
  <c r="S39" i="4"/>
  <c r="W39" i="4" s="1"/>
  <c r="X39" i="4" s="1"/>
  <c r="AA39" i="4" s="1"/>
  <c r="U38" i="4"/>
  <c r="T38" i="4"/>
  <c r="S38" i="4"/>
  <c r="W38" i="4" s="1"/>
  <c r="X38" i="4" s="1"/>
  <c r="AA38" i="4" s="1"/>
  <c r="U37" i="4"/>
  <c r="T37" i="4"/>
  <c r="S37" i="4"/>
  <c r="W37" i="4" s="1"/>
  <c r="X37" i="4" s="1"/>
  <c r="AA37" i="4" s="1"/>
  <c r="U36" i="4"/>
  <c r="T36" i="4"/>
  <c r="S36" i="4"/>
  <c r="W36" i="4" s="1"/>
  <c r="X36" i="4" s="1"/>
  <c r="AA36" i="4" s="1"/>
  <c r="U35" i="4"/>
  <c r="T35" i="4"/>
  <c r="S35" i="4"/>
  <c r="W35" i="4" s="1"/>
  <c r="X35" i="4" s="1"/>
  <c r="AA35" i="4" s="1"/>
  <c r="U34" i="4"/>
  <c r="T34" i="4"/>
  <c r="S34" i="4"/>
  <c r="W34" i="4" s="1"/>
  <c r="X34" i="4" s="1"/>
  <c r="AA34" i="4" s="1"/>
  <c r="U33" i="4"/>
  <c r="T33" i="4"/>
  <c r="S33" i="4"/>
  <c r="W33" i="4" s="1"/>
  <c r="X33" i="4" s="1"/>
  <c r="AA33" i="4" s="1"/>
  <c r="U32" i="4"/>
  <c r="T32" i="4"/>
  <c r="S32" i="4"/>
  <c r="W32" i="4" s="1"/>
  <c r="X32" i="4" s="1"/>
  <c r="AA32" i="4" s="1"/>
  <c r="U31" i="4"/>
  <c r="T31" i="4"/>
  <c r="S31" i="4"/>
  <c r="W31" i="4" s="1"/>
  <c r="X31" i="4" s="1"/>
  <c r="AA31" i="4" s="1"/>
  <c r="U30" i="4"/>
  <c r="T30" i="4"/>
  <c r="S30" i="4"/>
  <c r="W30" i="4" s="1"/>
  <c r="X30" i="4" s="1"/>
  <c r="AA30" i="4" s="1"/>
  <c r="U29" i="4"/>
  <c r="T29" i="4"/>
  <c r="S29" i="4"/>
  <c r="W29" i="4" s="1"/>
  <c r="X29" i="4" s="1"/>
  <c r="AA29" i="4" s="1"/>
  <c r="U28" i="4"/>
  <c r="T28" i="4"/>
  <c r="S28" i="4"/>
  <c r="W28" i="4" s="1"/>
  <c r="X28" i="4" s="1"/>
  <c r="AA28" i="4" s="1"/>
  <c r="U27" i="4"/>
  <c r="T27" i="4"/>
  <c r="S27" i="4"/>
  <c r="W27" i="4" s="1"/>
  <c r="X27" i="4" s="1"/>
  <c r="AA27" i="4" s="1"/>
  <c r="U26" i="4"/>
  <c r="T26" i="4"/>
  <c r="S26" i="4"/>
  <c r="W26" i="4" s="1"/>
  <c r="X26" i="4" s="1"/>
  <c r="AA26" i="4" s="1"/>
  <c r="U25" i="4"/>
  <c r="T25" i="4"/>
  <c r="S25" i="4"/>
  <c r="W25" i="4" s="1"/>
  <c r="X25" i="4" s="1"/>
  <c r="AA25" i="4" s="1"/>
  <c r="U24" i="4"/>
  <c r="T24" i="4"/>
  <c r="S24" i="4"/>
  <c r="W24" i="4" s="1"/>
  <c r="X24" i="4" s="1"/>
  <c r="AA24" i="4" s="1"/>
  <c r="U23" i="4"/>
  <c r="T23" i="4"/>
  <c r="S23" i="4"/>
  <c r="W23" i="4" s="1"/>
  <c r="X23" i="4" s="1"/>
  <c r="AA23" i="4" s="1"/>
  <c r="U22" i="4"/>
  <c r="T22" i="4"/>
  <c r="S22" i="4"/>
  <c r="W22" i="4" s="1"/>
  <c r="X22" i="4" s="1"/>
  <c r="AA22" i="4" s="1"/>
  <c r="U21" i="4"/>
  <c r="T21" i="4"/>
  <c r="S21" i="4"/>
  <c r="W21" i="4" s="1"/>
  <c r="X21" i="4" s="1"/>
  <c r="AA21" i="4" s="1"/>
  <c r="U20" i="4"/>
  <c r="T20" i="4"/>
  <c r="S20" i="4"/>
  <c r="W20" i="4" s="1"/>
  <c r="X20" i="4" s="1"/>
  <c r="AA20" i="4" s="1"/>
  <c r="U19" i="4"/>
  <c r="T19" i="4"/>
  <c r="S19" i="4"/>
  <c r="W19" i="4" s="1"/>
  <c r="X19" i="4" s="1"/>
  <c r="AA19" i="4" s="1"/>
  <c r="U18" i="4"/>
  <c r="T18" i="4"/>
  <c r="S18" i="4"/>
  <c r="W18" i="4" s="1"/>
  <c r="X18" i="4" s="1"/>
  <c r="AA18" i="4" s="1"/>
  <c r="U17" i="4"/>
  <c r="T17" i="4"/>
  <c r="S17" i="4"/>
  <c r="W17" i="4" s="1"/>
  <c r="X17" i="4" s="1"/>
  <c r="AA17" i="4" s="1"/>
  <c r="U16" i="4"/>
  <c r="T16" i="4"/>
  <c r="S16" i="4"/>
  <c r="W16" i="4" s="1"/>
  <c r="X16" i="4" s="1"/>
  <c r="AA16" i="4" s="1"/>
  <c r="U15" i="4"/>
  <c r="T15" i="4"/>
  <c r="S15" i="4"/>
  <c r="W15" i="4" s="1"/>
  <c r="X15" i="4" s="1"/>
  <c r="AA15" i="4" s="1"/>
  <c r="U14" i="4"/>
  <c r="T14" i="4"/>
  <c r="S14" i="4"/>
  <c r="W14" i="4" s="1"/>
  <c r="X14" i="4" s="1"/>
  <c r="AA14" i="4" s="1"/>
  <c r="U13" i="4"/>
  <c r="T13" i="4"/>
  <c r="S13" i="4"/>
  <c r="U49" i="3"/>
  <c r="T49" i="3"/>
  <c r="S49" i="3"/>
  <c r="W49" i="3" s="1"/>
  <c r="X49" i="3" s="1"/>
  <c r="AA49" i="3" s="1"/>
  <c r="U48" i="3"/>
  <c r="T48" i="3"/>
  <c r="S48" i="3"/>
  <c r="W48" i="3" s="1"/>
  <c r="X48" i="3" s="1"/>
  <c r="AA48" i="3" s="1"/>
  <c r="U47" i="3"/>
  <c r="T47" i="3"/>
  <c r="S47" i="3"/>
  <c r="W47" i="3" s="1"/>
  <c r="X47" i="3" s="1"/>
  <c r="AA47" i="3" s="1"/>
  <c r="U46" i="3"/>
  <c r="T46" i="3"/>
  <c r="S46" i="3"/>
  <c r="W46" i="3" s="1"/>
  <c r="X46" i="3" s="1"/>
  <c r="AA46" i="3" s="1"/>
  <c r="U45" i="3"/>
  <c r="T45" i="3"/>
  <c r="S45" i="3"/>
  <c r="W45" i="3" s="1"/>
  <c r="X45" i="3" s="1"/>
  <c r="AA45" i="3" s="1"/>
  <c r="U44" i="3"/>
  <c r="T44" i="3"/>
  <c r="S44" i="3"/>
  <c r="W44" i="3" s="1"/>
  <c r="X44" i="3" s="1"/>
  <c r="AA44" i="3" s="1"/>
  <c r="U43" i="3"/>
  <c r="T43" i="3"/>
  <c r="S43" i="3"/>
  <c r="W43" i="3" s="1"/>
  <c r="X43" i="3" s="1"/>
  <c r="AA43" i="3" s="1"/>
  <c r="U42" i="3"/>
  <c r="T42" i="3"/>
  <c r="S42" i="3"/>
  <c r="W42" i="3" s="1"/>
  <c r="X42" i="3" s="1"/>
  <c r="AA42" i="3" s="1"/>
  <c r="U41" i="3"/>
  <c r="T41" i="3"/>
  <c r="S41" i="3"/>
  <c r="W41" i="3" s="1"/>
  <c r="X41" i="3" s="1"/>
  <c r="AA41" i="3" s="1"/>
  <c r="U40" i="3"/>
  <c r="T40" i="3"/>
  <c r="S40" i="3"/>
  <c r="W40" i="3" s="1"/>
  <c r="X40" i="3" s="1"/>
  <c r="AA40" i="3" s="1"/>
  <c r="U39" i="3"/>
  <c r="T39" i="3"/>
  <c r="S39" i="3"/>
  <c r="W39" i="3" s="1"/>
  <c r="X39" i="3" s="1"/>
  <c r="AA39" i="3" s="1"/>
  <c r="U38" i="3"/>
  <c r="T38" i="3"/>
  <c r="S38" i="3"/>
  <c r="W38" i="3" s="1"/>
  <c r="X38" i="3" s="1"/>
  <c r="AA38" i="3" s="1"/>
  <c r="U37" i="3"/>
  <c r="T37" i="3"/>
  <c r="S37" i="3"/>
  <c r="W37" i="3" s="1"/>
  <c r="X37" i="3" s="1"/>
  <c r="AA37" i="3" s="1"/>
  <c r="U36" i="3"/>
  <c r="T36" i="3"/>
  <c r="S36" i="3"/>
  <c r="W36" i="3" s="1"/>
  <c r="X36" i="3" s="1"/>
  <c r="AA36" i="3" s="1"/>
  <c r="U35" i="3"/>
  <c r="T35" i="3"/>
  <c r="S35" i="3"/>
  <c r="W35" i="3" s="1"/>
  <c r="X35" i="3" s="1"/>
  <c r="AA35" i="3" s="1"/>
  <c r="U34" i="3"/>
  <c r="T34" i="3"/>
  <c r="S34" i="3"/>
  <c r="W34" i="3" s="1"/>
  <c r="X34" i="3" s="1"/>
  <c r="AA34" i="3" s="1"/>
  <c r="U33" i="3"/>
  <c r="T33" i="3"/>
  <c r="S33" i="3"/>
  <c r="W33" i="3" s="1"/>
  <c r="X33" i="3" s="1"/>
  <c r="AA33" i="3" s="1"/>
  <c r="U32" i="3"/>
  <c r="T32" i="3"/>
  <c r="S32" i="3"/>
  <c r="W32" i="3" s="1"/>
  <c r="X32" i="3" s="1"/>
  <c r="AA32" i="3" s="1"/>
  <c r="U31" i="3"/>
  <c r="T31" i="3"/>
  <c r="S31" i="3"/>
  <c r="W31" i="3" s="1"/>
  <c r="X31" i="3" s="1"/>
  <c r="AA31" i="3" s="1"/>
  <c r="U30" i="3"/>
  <c r="T30" i="3"/>
  <c r="S30" i="3"/>
  <c r="W30" i="3" s="1"/>
  <c r="X30" i="3" s="1"/>
  <c r="AA30" i="3" s="1"/>
  <c r="U29" i="3"/>
  <c r="T29" i="3"/>
  <c r="S29" i="3"/>
  <c r="W29" i="3" s="1"/>
  <c r="X29" i="3" s="1"/>
  <c r="AA29" i="3" s="1"/>
  <c r="U28" i="3"/>
  <c r="T28" i="3"/>
  <c r="S28" i="3"/>
  <c r="W28" i="3" s="1"/>
  <c r="X28" i="3" s="1"/>
  <c r="AA28" i="3" s="1"/>
  <c r="U27" i="3"/>
  <c r="T27" i="3"/>
  <c r="S27" i="3"/>
  <c r="W27" i="3" s="1"/>
  <c r="X27" i="3" s="1"/>
  <c r="AA27" i="3" s="1"/>
  <c r="U26" i="3"/>
  <c r="T26" i="3"/>
  <c r="S26" i="3"/>
  <c r="W26" i="3" s="1"/>
  <c r="X26" i="3" s="1"/>
  <c r="AA26" i="3" s="1"/>
  <c r="U25" i="3"/>
  <c r="T25" i="3"/>
  <c r="S25" i="3"/>
  <c r="W25" i="3" s="1"/>
  <c r="X25" i="3" s="1"/>
  <c r="AA25" i="3" s="1"/>
  <c r="U24" i="3"/>
  <c r="T24" i="3"/>
  <c r="S24" i="3"/>
  <c r="W24" i="3" s="1"/>
  <c r="X24" i="3" s="1"/>
  <c r="AA24" i="3" s="1"/>
  <c r="U23" i="3"/>
  <c r="T23" i="3"/>
  <c r="S23" i="3"/>
  <c r="W23" i="3" s="1"/>
  <c r="X23" i="3" s="1"/>
  <c r="AA23" i="3" s="1"/>
  <c r="U22" i="3"/>
  <c r="T22" i="3"/>
  <c r="S22" i="3"/>
  <c r="W22" i="3" s="1"/>
  <c r="X22" i="3" s="1"/>
  <c r="AA22" i="3" s="1"/>
  <c r="U21" i="3"/>
  <c r="T21" i="3"/>
  <c r="S21" i="3"/>
  <c r="W21" i="3" s="1"/>
  <c r="X21" i="3" s="1"/>
  <c r="AA21" i="3" s="1"/>
  <c r="U20" i="3"/>
  <c r="T20" i="3"/>
  <c r="S20" i="3"/>
  <c r="W20" i="3" s="1"/>
  <c r="X20" i="3" s="1"/>
  <c r="AA20" i="3" s="1"/>
  <c r="U19" i="3"/>
  <c r="T19" i="3"/>
  <c r="S19" i="3"/>
  <c r="W19" i="3" s="1"/>
  <c r="X19" i="3" s="1"/>
  <c r="AA19" i="3" s="1"/>
  <c r="U18" i="3"/>
  <c r="T18" i="3"/>
  <c r="S18" i="3"/>
  <c r="W18" i="3" s="1"/>
  <c r="X18" i="3" s="1"/>
  <c r="AA18" i="3" s="1"/>
  <c r="U17" i="3"/>
  <c r="T17" i="3"/>
  <c r="S17" i="3"/>
  <c r="W17" i="3" s="1"/>
  <c r="X17" i="3" s="1"/>
  <c r="AA17" i="3" s="1"/>
  <c r="U16" i="3"/>
  <c r="T16" i="3"/>
  <c r="S16" i="3"/>
  <c r="W16" i="3" s="1"/>
  <c r="X16" i="3" s="1"/>
  <c r="AA16" i="3" s="1"/>
  <c r="U15" i="3"/>
  <c r="T15" i="3"/>
  <c r="S15" i="3"/>
  <c r="W15" i="3" s="1"/>
  <c r="X15" i="3" s="1"/>
  <c r="AA15" i="3" s="1"/>
  <c r="U14" i="3"/>
  <c r="T14" i="3"/>
  <c r="S14" i="3"/>
  <c r="W14" i="3" s="1"/>
  <c r="X14" i="3" s="1"/>
  <c r="AA14" i="3" s="1"/>
  <c r="U13" i="3"/>
  <c r="T13" i="3"/>
  <c r="S13" i="3"/>
  <c r="W13" i="3" s="1"/>
  <c r="X13" i="3" s="1"/>
  <c r="AA13" i="3" s="1"/>
  <c r="U49" i="2"/>
  <c r="T49" i="2"/>
  <c r="S49" i="2"/>
  <c r="W49" i="2" s="1"/>
  <c r="X49" i="2" s="1"/>
  <c r="AA49" i="2" s="1"/>
  <c r="U48" i="2"/>
  <c r="T48" i="2"/>
  <c r="S48" i="2"/>
  <c r="W48" i="2" s="1"/>
  <c r="X48" i="2" s="1"/>
  <c r="AA48" i="2" s="1"/>
  <c r="U47" i="2"/>
  <c r="T47" i="2"/>
  <c r="S47" i="2"/>
  <c r="W47" i="2" s="1"/>
  <c r="X47" i="2" s="1"/>
  <c r="AA47" i="2" s="1"/>
  <c r="U46" i="2"/>
  <c r="T46" i="2"/>
  <c r="S46" i="2"/>
  <c r="W46" i="2" s="1"/>
  <c r="X46" i="2" s="1"/>
  <c r="AA46" i="2" s="1"/>
  <c r="U45" i="2"/>
  <c r="T45" i="2"/>
  <c r="S45" i="2"/>
  <c r="W45" i="2" s="1"/>
  <c r="X45" i="2" s="1"/>
  <c r="AA45" i="2" s="1"/>
  <c r="U44" i="2"/>
  <c r="T44" i="2"/>
  <c r="S44" i="2"/>
  <c r="W44" i="2" s="1"/>
  <c r="X44" i="2" s="1"/>
  <c r="AA44" i="2" s="1"/>
  <c r="U43" i="2"/>
  <c r="T43" i="2"/>
  <c r="S43" i="2"/>
  <c r="W43" i="2" s="1"/>
  <c r="X43" i="2" s="1"/>
  <c r="AA43" i="2" s="1"/>
  <c r="U42" i="2"/>
  <c r="T42" i="2"/>
  <c r="S42" i="2"/>
  <c r="W42" i="2" s="1"/>
  <c r="X42" i="2" s="1"/>
  <c r="AA42" i="2" s="1"/>
  <c r="U41" i="2"/>
  <c r="T41" i="2"/>
  <c r="S41" i="2"/>
  <c r="W41" i="2" s="1"/>
  <c r="X41" i="2" s="1"/>
  <c r="AA41" i="2" s="1"/>
  <c r="U40" i="2"/>
  <c r="T40" i="2"/>
  <c r="S40" i="2"/>
  <c r="W40" i="2" s="1"/>
  <c r="X40" i="2" s="1"/>
  <c r="AA40" i="2" s="1"/>
  <c r="U39" i="2"/>
  <c r="T39" i="2"/>
  <c r="S39" i="2"/>
  <c r="W39" i="2" s="1"/>
  <c r="X39" i="2" s="1"/>
  <c r="AA39" i="2" s="1"/>
  <c r="U38" i="2"/>
  <c r="T38" i="2"/>
  <c r="S38" i="2"/>
  <c r="W38" i="2" s="1"/>
  <c r="X38" i="2" s="1"/>
  <c r="AA38" i="2" s="1"/>
  <c r="U37" i="2"/>
  <c r="T37" i="2"/>
  <c r="S37" i="2"/>
  <c r="W37" i="2" s="1"/>
  <c r="X37" i="2" s="1"/>
  <c r="AA37" i="2" s="1"/>
  <c r="U36" i="2"/>
  <c r="T36" i="2"/>
  <c r="S36" i="2"/>
  <c r="W36" i="2" s="1"/>
  <c r="X36" i="2" s="1"/>
  <c r="AA36" i="2" s="1"/>
  <c r="U35" i="2"/>
  <c r="T35" i="2"/>
  <c r="S35" i="2"/>
  <c r="W35" i="2" s="1"/>
  <c r="X35" i="2" s="1"/>
  <c r="AA35" i="2" s="1"/>
  <c r="U34" i="2"/>
  <c r="T34" i="2"/>
  <c r="S34" i="2"/>
  <c r="W34" i="2" s="1"/>
  <c r="X34" i="2" s="1"/>
  <c r="AA34" i="2" s="1"/>
  <c r="U33" i="2"/>
  <c r="T33" i="2"/>
  <c r="S33" i="2"/>
  <c r="W33" i="2" s="1"/>
  <c r="X33" i="2" s="1"/>
  <c r="AA33" i="2" s="1"/>
  <c r="U32" i="2"/>
  <c r="T32" i="2"/>
  <c r="S32" i="2"/>
  <c r="W32" i="2" s="1"/>
  <c r="X32" i="2" s="1"/>
  <c r="AA32" i="2" s="1"/>
  <c r="U31" i="2"/>
  <c r="T31" i="2"/>
  <c r="S31" i="2"/>
  <c r="W31" i="2" s="1"/>
  <c r="X31" i="2" s="1"/>
  <c r="AA31" i="2" s="1"/>
  <c r="U30" i="2"/>
  <c r="T30" i="2"/>
  <c r="S30" i="2"/>
  <c r="W30" i="2" s="1"/>
  <c r="X30" i="2" s="1"/>
  <c r="AA30" i="2" s="1"/>
  <c r="U29" i="2"/>
  <c r="T29" i="2"/>
  <c r="S29" i="2"/>
  <c r="W29" i="2" s="1"/>
  <c r="X29" i="2" s="1"/>
  <c r="AA29" i="2" s="1"/>
  <c r="U28" i="2"/>
  <c r="T28" i="2"/>
  <c r="S28" i="2"/>
  <c r="W28" i="2" s="1"/>
  <c r="X28" i="2" s="1"/>
  <c r="AA28" i="2" s="1"/>
  <c r="U27" i="2"/>
  <c r="T27" i="2"/>
  <c r="S27" i="2"/>
  <c r="W27" i="2" s="1"/>
  <c r="X27" i="2" s="1"/>
  <c r="AA27" i="2" s="1"/>
  <c r="U26" i="2"/>
  <c r="T26" i="2"/>
  <c r="S26" i="2"/>
  <c r="W26" i="2" s="1"/>
  <c r="X26" i="2" s="1"/>
  <c r="AA26" i="2" s="1"/>
  <c r="U25" i="2"/>
  <c r="T25" i="2"/>
  <c r="S25" i="2"/>
  <c r="W25" i="2" s="1"/>
  <c r="X25" i="2" s="1"/>
  <c r="AA25" i="2" s="1"/>
  <c r="AA64" i="2" s="1"/>
  <c r="U24" i="2"/>
  <c r="T24" i="2"/>
  <c r="S24" i="2"/>
  <c r="W24" i="2" s="1"/>
  <c r="X24" i="2" s="1"/>
  <c r="AA24" i="2" s="1"/>
  <c r="U23" i="2"/>
  <c r="T23" i="2"/>
  <c r="S23" i="2"/>
  <c r="W23" i="2" s="1"/>
  <c r="X23" i="2" s="1"/>
  <c r="AA23" i="2" s="1"/>
  <c r="U22" i="2"/>
  <c r="T22" i="2"/>
  <c r="S22" i="2"/>
  <c r="W22" i="2" s="1"/>
  <c r="X22" i="2" s="1"/>
  <c r="AA22" i="2" s="1"/>
  <c r="U21" i="2"/>
  <c r="T21" i="2"/>
  <c r="S21" i="2"/>
  <c r="W21" i="2" s="1"/>
  <c r="X21" i="2" s="1"/>
  <c r="AA21" i="2" s="1"/>
  <c r="U20" i="2"/>
  <c r="T20" i="2"/>
  <c r="S20" i="2"/>
  <c r="W20" i="2" s="1"/>
  <c r="X20" i="2" s="1"/>
  <c r="AA20" i="2" s="1"/>
  <c r="U19" i="2"/>
  <c r="T19" i="2"/>
  <c r="S19" i="2"/>
  <c r="W19" i="2" s="1"/>
  <c r="X19" i="2" s="1"/>
  <c r="AA19" i="2" s="1"/>
  <c r="U18" i="2"/>
  <c r="T18" i="2"/>
  <c r="S18" i="2"/>
  <c r="W18" i="2" s="1"/>
  <c r="X18" i="2" s="1"/>
  <c r="AA18" i="2" s="1"/>
  <c r="U17" i="2"/>
  <c r="T17" i="2"/>
  <c r="S17" i="2"/>
  <c r="W17" i="2" s="1"/>
  <c r="X17" i="2" s="1"/>
  <c r="AA17" i="2" s="1"/>
  <c r="U16" i="2"/>
  <c r="T16" i="2"/>
  <c r="S16" i="2"/>
  <c r="W16" i="2" s="1"/>
  <c r="X16" i="2" s="1"/>
  <c r="AA16" i="2" s="1"/>
  <c r="U15" i="2"/>
  <c r="T15" i="2"/>
  <c r="S15" i="2"/>
  <c r="W15" i="2" s="1"/>
  <c r="X15" i="2" s="1"/>
  <c r="AA15" i="2" s="1"/>
  <c r="U14" i="2"/>
  <c r="T14" i="2"/>
  <c r="S14" i="2"/>
  <c r="U13" i="2"/>
  <c r="T13" i="2"/>
  <c r="S13" i="2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13" i="1"/>
  <c r="AA62" i="2" l="1"/>
  <c r="AA63" i="2"/>
  <c r="AA65" i="13"/>
  <c r="AA64" i="13"/>
  <c r="AA63" i="13"/>
  <c r="W13" i="5"/>
  <c r="X13" i="5" s="1"/>
  <c r="AA13" i="5" s="1"/>
  <c r="AA62" i="5" s="1"/>
  <c r="W13" i="4"/>
  <c r="X13" i="4" s="1"/>
  <c r="AA13" i="4" s="1"/>
  <c r="AA62" i="4" s="1"/>
  <c r="W14" i="2"/>
  <c r="X14" i="2" s="1"/>
  <c r="AA14" i="2" s="1"/>
  <c r="W13" i="2"/>
  <c r="X13" i="2" s="1"/>
  <c r="AA13" i="2" s="1"/>
  <c r="AA61" i="3"/>
  <c r="AA62" i="3"/>
  <c r="AA60" i="3"/>
  <c r="W14" i="1"/>
  <c r="X14" i="1" s="1"/>
  <c r="AA14" i="1" s="1"/>
  <c r="AA62" i="1" s="1"/>
  <c r="AA60" i="4" l="1"/>
  <c r="AA61" i="4"/>
  <c r="AA63" i="5"/>
  <c r="AA64" i="5"/>
  <c r="AA60" i="1"/>
  <c r="AA61" i="1"/>
</calcChain>
</file>

<file path=xl/sharedStrings.xml><?xml version="1.0" encoding="utf-8"?>
<sst xmlns="http://schemas.openxmlformats.org/spreadsheetml/2006/main" count="1423" uniqueCount="1148">
  <si>
    <r>
      <rPr>
        <sz val="12"/>
        <color theme="1"/>
        <rFont val="Times New Roman"/>
        <family val="1"/>
      </rPr>
      <t>PEMERINTAH DAERAH PROVINSI JAWA BARAT</t>
    </r>
    <r>
      <rPr>
        <sz val="10"/>
        <color theme="1"/>
        <rFont val="Arial Narrow"/>
        <family val="2"/>
      </rPr>
      <t xml:space="preserve">
</t>
    </r>
    <r>
      <rPr>
        <sz val="12"/>
        <color theme="1"/>
        <rFont val="Times New Roman"/>
        <family val="1"/>
      </rPr>
      <t xml:space="preserve">DINAS PENDIDIKAN 
</t>
    </r>
    <r>
      <rPr>
        <b/>
        <sz val="14"/>
        <color theme="1"/>
        <rFont val="Times New Roman"/>
        <family val="1"/>
      </rPr>
      <t xml:space="preserve">SMA  NEGERI 2 CIBINONG
</t>
    </r>
    <r>
      <rPr>
        <sz val="10"/>
        <color theme="1"/>
        <rFont val="Times New Roman"/>
        <family val="1"/>
      </rPr>
      <t>Jln. Karadenan No. 5 Cibinong Telp/Fax. ( 0251 ) 8654347 Bogor 16913
http://www.sman2cibinong.sch.id    email: info@sman2cibinong.sch.id</t>
    </r>
  </si>
  <si>
    <t>Mata Pelajaran</t>
  </si>
  <si>
    <t>Kelas</t>
  </si>
  <si>
    <t>Pengajar</t>
  </si>
  <si>
    <t>NO</t>
  </si>
  <si>
    <t>NISN / NIS</t>
  </si>
  <si>
    <t>NAMA PESERTA DIDIK</t>
  </si>
  <si>
    <t>ASESMEN / PENILAIAN</t>
  </si>
  <si>
    <t>Rata - Rata</t>
  </si>
  <si>
    <t>PAS</t>
  </si>
  <si>
    <t>NR</t>
  </si>
  <si>
    <t>Skp</t>
  </si>
  <si>
    <t>Hdr</t>
  </si>
  <si>
    <t>Rapor</t>
  </si>
  <si>
    <t>max</t>
  </si>
  <si>
    <t>min</t>
  </si>
  <si>
    <t>avg</t>
  </si>
  <si>
    <t>DAFTAR CAPAIAN PEMBELAJARAN SEMESTER 1</t>
  </si>
  <si>
    <t>TAHUN PELAJARAN 2025 - 2026</t>
  </si>
  <si>
    <t>:</t>
  </si>
  <si>
    <t>RT</t>
  </si>
  <si>
    <t xml:space="preserve">: </t>
  </si>
  <si>
    <t>CP1</t>
  </si>
  <si>
    <t>CP2</t>
  </si>
  <si>
    <t>CP3</t>
  </si>
  <si>
    <t>Adara Luthfia Putri</t>
  </si>
  <si>
    <t>Ahmad Fahri Hidayat</t>
  </si>
  <si>
    <t>Aira Kirana</t>
  </si>
  <si>
    <t>Aliya Trianzani Putri</t>
  </si>
  <si>
    <t>Alya Silvana Sarifah</t>
  </si>
  <si>
    <t>Anindya Estyana Damayanti</t>
  </si>
  <si>
    <t>Azri Aditya Amada</t>
  </si>
  <si>
    <t>Clara Dwi Cahya</t>
  </si>
  <si>
    <t>Clarisa Meidiana</t>
  </si>
  <si>
    <t>Daffa Khoirul Fajri</t>
  </si>
  <si>
    <t>Dhia Devita Ramadhani</t>
  </si>
  <si>
    <t>Diajeng Inggil Lintang Aulia</t>
  </si>
  <si>
    <t>Elgiva Damara Sanchia</t>
  </si>
  <si>
    <t>Enzo Asido Rama Raditya</t>
  </si>
  <si>
    <t>Farhan Abdurrahman Yusuf</t>
  </si>
  <si>
    <t>Faris Razwa Sambega</t>
  </si>
  <si>
    <t>Ghaniyah Adelia</t>
  </si>
  <si>
    <t>Hafizh Mumtaz</t>
  </si>
  <si>
    <t>Juan Pirlo Benzema</t>
  </si>
  <si>
    <t>Kania Putriana Yaswin</t>
  </si>
  <si>
    <t>Kaysa Maharani Sofyan</t>
  </si>
  <si>
    <t>Keisya Andhita Kirana Putri</t>
  </si>
  <si>
    <t>Livia Vidyadhara</t>
  </si>
  <si>
    <t>Manar Abbas Bawazir</t>
  </si>
  <si>
    <t>Mohammad Arsa Dafansyah</t>
  </si>
  <si>
    <t>Muhamad Yusuf Zarkasi</t>
  </si>
  <si>
    <t>Muhammad Arsyal Divo Firmansyah</t>
  </si>
  <si>
    <t>Muhammad Danish Fathul Ulum</t>
  </si>
  <si>
    <t>Muhammad Fathandra Rizki</t>
  </si>
  <si>
    <t>Muhammad Gabriel</t>
  </si>
  <si>
    <t>Myiesha Lunar Wisesa Putri</t>
  </si>
  <si>
    <t>Nadila Safira</t>
  </si>
  <si>
    <t>Naurah Afifah Amaliyah</t>
  </si>
  <si>
    <t>Nayla Widya Cakraprawartana</t>
  </si>
  <si>
    <t>Nydia Aisyah Allifia</t>
  </si>
  <si>
    <t>Raihana Humairah Budianto</t>
  </si>
  <si>
    <t>Raisa Putri Rahima</t>
  </si>
  <si>
    <t>Rindu Gatari Asmiladi</t>
  </si>
  <si>
    <t>Salman Latif Anshari</t>
  </si>
  <si>
    <t>Siti Iklima Sakurani</t>
  </si>
  <si>
    <t>Sultan Reynard Sabdadika</t>
  </si>
  <si>
    <t>Syafiqa Bariq Mahya</t>
  </si>
  <si>
    <t>Syahluna Ananta Putri</t>
  </si>
  <si>
    <t>Tabah Rafie Abdillah</t>
  </si>
  <si>
    <t>Tristan Lovriano Aryasatya</t>
  </si>
  <si>
    <t>Zafira Salsa Haniah</t>
  </si>
  <si>
    <t>Adelia Niken</t>
  </si>
  <si>
    <t>Aisyah Agustiani</t>
  </si>
  <si>
    <t>Alenka Meisyarofa</t>
  </si>
  <si>
    <t>Alifa Taqqiya Zahwa</t>
  </si>
  <si>
    <t>Alifah Hasannah</t>
  </si>
  <si>
    <t>Ariqah Putri Nasution</t>
  </si>
  <si>
    <t>Aulia Cinta Divia</t>
  </si>
  <si>
    <t>Aysha Mahira Dewi Tryana</t>
  </si>
  <si>
    <t>Belinda Angelica</t>
  </si>
  <si>
    <t>Bima Anggareksa Yusiansyah</t>
  </si>
  <si>
    <t>Dela Ananda Putri</t>
  </si>
  <si>
    <t>Dian Noer Savitri</t>
  </si>
  <si>
    <t>Diandra Mentari Fazri</t>
  </si>
  <si>
    <t>Divania Kayla Windu Sabrina</t>
  </si>
  <si>
    <t>Dyshan Attaya Haq Triatno</t>
  </si>
  <si>
    <t>Farid Pradana</t>
  </si>
  <si>
    <t>Fathia Adilla Ramsha</t>
  </si>
  <si>
    <t>Gracia Valen Manik</t>
  </si>
  <si>
    <t>Kania Wismar Adnyana</t>
  </si>
  <si>
    <t>Kaysan Umar Azka Setiawan</t>
  </si>
  <si>
    <t>Luqman Aziz Saputro</t>
  </si>
  <si>
    <t>Mirza Maulana Altamis</t>
  </si>
  <si>
    <t>Mouris Marcha Adisty</t>
  </si>
  <si>
    <t>Muhamad Ilham Akbar</t>
  </si>
  <si>
    <t>Muhamad Mustakim</t>
  </si>
  <si>
    <t>Muhammad Faiz Fathian</t>
  </si>
  <si>
    <t>Muhammad Fariz Nuh</t>
  </si>
  <si>
    <t>Muhammad Fawaz Ali</t>
  </si>
  <si>
    <t>Muhammad Rafli Ramsha</t>
  </si>
  <si>
    <t>Muhammad Yafiargi Simbangando</t>
  </si>
  <si>
    <t>Naila Khansa Rahmawati</t>
  </si>
  <si>
    <t>Namira Nur Azkia</t>
  </si>
  <si>
    <t>Naswa Ramadhani</t>
  </si>
  <si>
    <t>Nayla Ulya Taqiyya</t>
  </si>
  <si>
    <t>Nazwa Malika Asral</t>
  </si>
  <si>
    <t>Nikesha Nashwa Damara</t>
  </si>
  <si>
    <t>Ni'Matul Aulia Ningtias</t>
  </si>
  <si>
    <t>Quensha Rahayu Kusuma Agora</t>
  </si>
  <si>
    <t>Quincha Aura Brilliani</t>
  </si>
  <si>
    <t>Raihan Farras Sutisna</t>
  </si>
  <si>
    <t>Raka Syabany Amsyah</t>
  </si>
  <si>
    <t>Ryzen Gevandra Wirapratama</t>
  </si>
  <si>
    <t>Sinta Dwi Nuri Widodo</t>
  </si>
  <si>
    <t>Syarifah Nur Salsabila</t>
  </si>
  <si>
    <t>Tsamara Privita Sya'Ban Syahdu</t>
  </si>
  <si>
    <t>Yuzusie Aida Nenat</t>
  </si>
  <si>
    <t>Abyan Zuka Ibrahim Nasution</t>
  </si>
  <si>
    <t>Ahmad Hafidz Anwar</t>
  </si>
  <si>
    <t>Aishanna Latifa Harjono</t>
  </si>
  <si>
    <t>Aqila Elmohri</t>
  </si>
  <si>
    <t>Aqilla Al-Farabi</t>
  </si>
  <si>
    <t>Ariyo Raditya Putra</t>
  </si>
  <si>
    <t>Asshafa Nur Intan</t>
  </si>
  <si>
    <t>Attar Palestine Taha</t>
  </si>
  <si>
    <t>Aufa Khairunnisa</t>
  </si>
  <si>
    <t>Balqis Luthfiyah Zahra</t>
  </si>
  <si>
    <t>Chayra Putri Dwinata</t>
  </si>
  <si>
    <t>Cheryl Anandiora</t>
  </si>
  <si>
    <t>Dahayu Nadhilah Syafa</t>
  </si>
  <si>
    <t>Elen Vanesyah Wahyudi</t>
  </si>
  <si>
    <t>Fitrah Thirafi</t>
  </si>
  <si>
    <t>Fitri Rahmawati</t>
  </si>
  <si>
    <t>Ghaniah Aqilah</t>
  </si>
  <si>
    <t>Hizam Kynan Putra Purwanto</t>
  </si>
  <si>
    <t>Ilham Rizki Pratama</t>
  </si>
  <si>
    <t>Izaz Izzatul Islam</t>
  </si>
  <si>
    <t>Jazila Abid Niyaz Chan Lase</t>
  </si>
  <si>
    <t>Jihan Nailatusy Syarafah</t>
  </si>
  <si>
    <t>Kanza Olivia Ramadhani</t>
  </si>
  <si>
    <t>Kayla Tria Fatarani</t>
  </si>
  <si>
    <t>Mahera Raisha Davanita Faizal</t>
  </si>
  <si>
    <t>Muhamad Juan Arkhan</t>
  </si>
  <si>
    <t>Muhammad Ariel Setiawan</t>
  </si>
  <si>
    <t>Muhammad Daffa Alfarizki</t>
  </si>
  <si>
    <t>Muhammad Fadil Ranoval</t>
  </si>
  <si>
    <t>Muhammad In'Amul Aufa</t>
  </si>
  <si>
    <t>Muhammad Reyhan Alfariky</t>
  </si>
  <si>
    <t>Muhammad Sayyid Amjad</t>
  </si>
  <si>
    <t>Nararya Hylmi Kenzie</t>
  </si>
  <si>
    <t>Nur Azizah</t>
  </si>
  <si>
    <t>Qitrie Anisa Khaeri</t>
  </si>
  <si>
    <t>Radya Camilla Arinda</t>
  </si>
  <si>
    <t>Rahardian Muhamad Abisiena Koeswara</t>
  </si>
  <si>
    <t>Raihana Syafiqah Andyni</t>
  </si>
  <si>
    <t>Rassya Faiq Hibatullah</t>
  </si>
  <si>
    <t>Reynaldi</t>
  </si>
  <si>
    <t>Sekar Raynaningrum</t>
  </si>
  <si>
    <t>Syahla Nurul Arisma</t>
  </si>
  <si>
    <t>Syauqi Anandya Putri</t>
  </si>
  <si>
    <t>Tayya Dzulhijjah Mokodompit</t>
  </si>
  <si>
    <t>Abdul Ghofar</t>
  </si>
  <si>
    <t>Aditya Bayu Sutanto</t>
  </si>
  <si>
    <t>Affy Kaew Ni'Mitr Alhanafi</t>
  </si>
  <si>
    <t>Ahmad Husein Al Latief</t>
  </si>
  <si>
    <t>Akram Mubarak</t>
  </si>
  <si>
    <t>Alfi Amalia</t>
  </si>
  <si>
    <t>Amelia Nur Zahra</t>
  </si>
  <si>
    <t>Ananda Bari Al Kausar</t>
  </si>
  <si>
    <t>Ataya Arkan Ramadhan</t>
  </si>
  <si>
    <t>Athaya Muhammad Daffa</t>
  </si>
  <si>
    <t>Aura Nabilah Zahirah</t>
  </si>
  <si>
    <t>Aurora Putri Samudra Dwiko</t>
  </si>
  <si>
    <t>Belva Thalita Ramadhena</t>
  </si>
  <si>
    <t>Bintang Mahardika Abhyoso Ardy</t>
  </si>
  <si>
    <t>Claudia Dominique Gabriella Torus</t>
  </si>
  <si>
    <t>Dinara Savina</t>
  </si>
  <si>
    <t>Dinda Syifa Rahmayanti</t>
  </si>
  <si>
    <t>Dindin Andini Suryaman</t>
  </si>
  <si>
    <t>Gita Tazkiyatunnisa</t>
  </si>
  <si>
    <t>Haifa Aysha Zahira</t>
  </si>
  <si>
    <t>Intan Dwi Novianingrum</t>
  </si>
  <si>
    <t>Isnaini Fauziyah Utomo</t>
  </si>
  <si>
    <t>Jeremia Geraldo Siregar</t>
  </si>
  <si>
    <t>Jerry Dwi Cahyono Putro</t>
  </si>
  <si>
    <t>Jovan Khayru Affandi</t>
  </si>
  <si>
    <t>Kayla Althafunnisa Arrasyid</t>
  </si>
  <si>
    <t>Keyla Ananda Safitri</t>
  </si>
  <si>
    <t>Khanza Aprillia Risyadi</t>
  </si>
  <si>
    <t>Maroen Al-Fatih Ibrahimessi</t>
  </si>
  <si>
    <t>Muhamad Raihan Rizqullah</t>
  </si>
  <si>
    <t>Muhammad Akhtar Arkana Ramadhan</t>
  </si>
  <si>
    <t>Muhammad Tsafiq Ihsan</t>
  </si>
  <si>
    <t>Naqeesyaa Dhanova Al Adzra</t>
  </si>
  <si>
    <t>Naufal Arzharel Ibrahimovic</t>
  </si>
  <si>
    <t>Naura Luvenavita Krisdianto</t>
  </si>
  <si>
    <t>Nava Marietta Siahaan</t>
  </si>
  <si>
    <t>Queensha Anindya Azka</t>
  </si>
  <si>
    <t>Rafael Anhar Armando</t>
  </si>
  <si>
    <t>Rahmania Azahra</t>
  </si>
  <si>
    <t>Raivan Elang Pramono</t>
  </si>
  <si>
    <t>Rizqiyanah Qaysarania Herawan</t>
  </si>
  <si>
    <t>Salsha Aulia Akbar</t>
  </si>
  <si>
    <t>Sashikirana Luvena Maheswari</t>
  </si>
  <si>
    <t>Silvya Sri Aprilianti</t>
  </si>
  <si>
    <t>Syaakhira Fauziah</t>
  </si>
  <si>
    <t>Vincentius Daniel Ornando</t>
  </si>
  <si>
    <t>Adinda Garnetha Prasistha</t>
  </si>
  <si>
    <t>Ajeng Adisty Fahira</t>
  </si>
  <si>
    <t>Al Fathdry Rizky Wibowo</t>
  </si>
  <si>
    <t>Almira Aprilia Putri</t>
  </si>
  <si>
    <t>Anndita</t>
  </si>
  <si>
    <t>Askana Nailazahran Hermansyah</t>
  </si>
  <si>
    <t>Aulia Intan Rhamadhani</t>
  </si>
  <si>
    <t>Avrillino Herza Pratama</t>
  </si>
  <si>
    <t>Aziz Sakhi Zaidan</t>
  </si>
  <si>
    <t>Azka Ivano Ananda Hidayat</t>
  </si>
  <si>
    <t>Azkiara Andhita</t>
  </si>
  <si>
    <t>Azzalea Sakinah Ayura Putri</t>
  </si>
  <si>
    <t>Balqis Jauza Sabreenijka</t>
  </si>
  <si>
    <t>Carissa Alia Andinaputri</t>
  </si>
  <si>
    <t>Evan Diaz</t>
  </si>
  <si>
    <t>Fannan Hoseki Fayyaz</t>
  </si>
  <si>
    <t>Galuh Pria Esa</t>
  </si>
  <si>
    <t>Henokh Prada Dhanendra Prasada</t>
  </si>
  <si>
    <t>Jazirah Rahmah</t>
  </si>
  <si>
    <t>Kaira Fatiya Nurfan</t>
  </si>
  <si>
    <t>Linggara Anugrah</t>
  </si>
  <si>
    <t>Luna Majidah Zafira</t>
  </si>
  <si>
    <t>Lutfiana Silva</t>
  </si>
  <si>
    <t>Mazaya Marva Mardyanti</t>
  </si>
  <si>
    <t>Misykah Adzra Maulida</t>
  </si>
  <si>
    <t>Muhamad Reyhan Nurhakim</t>
  </si>
  <si>
    <t>Muhammad Evan Fadillah</t>
  </si>
  <si>
    <t>Muhammad Fahry Tyandra</t>
  </si>
  <si>
    <t>Muhammad Ieddzar Haradiya</t>
  </si>
  <si>
    <t>Muhammad Revan Adi Saputra</t>
  </si>
  <si>
    <t>Muhammad Zaky Winata</t>
  </si>
  <si>
    <t>Nadhifa Amelia Garjita</t>
  </si>
  <si>
    <t>Nadia Delisa Saefani</t>
  </si>
  <si>
    <t>Neysha Aurelya Azzahra</t>
  </si>
  <si>
    <t>Rafa Farand Pratama</t>
  </si>
  <si>
    <t>Rendy Gilang Novianto</t>
  </si>
  <si>
    <t>Ruvita Rinjani</t>
  </si>
  <si>
    <t>Salmaa Saalimah Wibowo</t>
  </si>
  <si>
    <t>Salsabil Mulki</t>
  </si>
  <si>
    <t>Shaquille Putra Yudira</t>
  </si>
  <si>
    <t>Siva Muliyanti</t>
  </si>
  <si>
    <t>Tiara Zenobia Nafisa</t>
  </si>
  <si>
    <t>Vilvizeeya Hazira Kurnia</t>
  </si>
  <si>
    <t>Weny Meylieneke Sianipar</t>
  </si>
  <si>
    <t>Yoanne Mulin Averina</t>
  </si>
  <si>
    <t>Zaki Arya Wicaksono</t>
  </si>
  <si>
    <t>Zelda Hanifah Zaneta</t>
  </si>
  <si>
    <t>Afgan Prima Rizkia Iskandar</t>
  </si>
  <si>
    <t>Aik Novitasari</t>
  </si>
  <si>
    <t>Aisyah Aqilah Agni</t>
  </si>
  <si>
    <t>Aisyah Hanifa Redana</t>
  </si>
  <si>
    <t>Allya Luthfiah Putri</t>
  </si>
  <si>
    <t>Annisa Salsabilla</t>
  </si>
  <si>
    <t>Arsyad Khaerul Izzan</t>
  </si>
  <si>
    <t>Aruni Khalila Ayu</t>
  </si>
  <si>
    <t>Avemarianne Ninetrie Septiane</t>
  </si>
  <si>
    <t>Ayi Artadinata</t>
  </si>
  <si>
    <t>Ayra Jauzaa Viranda</t>
  </si>
  <si>
    <t>Bintang Jati Pratama</t>
  </si>
  <si>
    <t>Daffa Hafizh Firdausi</t>
  </si>
  <si>
    <t>Damara Dasha Bahi Utomo</t>
  </si>
  <si>
    <t>Deana Azalea Belva</t>
  </si>
  <si>
    <t>Delfa Maharani</t>
  </si>
  <si>
    <t>Fauza Nur Aziema</t>
  </si>
  <si>
    <t>Gefira Azizatul Hasanah</t>
  </si>
  <si>
    <t>Keisha Nurazizah</t>
  </si>
  <si>
    <t>Kenzie Dzakwan Ibrahim</t>
  </si>
  <si>
    <t>Kesyha Ramadhani</t>
  </si>
  <si>
    <t>Kevin Septian Ramadhan</t>
  </si>
  <si>
    <t>Madina Zulfa Aini</t>
  </si>
  <si>
    <t>Maheswara Pekik Hanuraga</t>
  </si>
  <si>
    <t>Maria Agatha Cherlin Christiani</t>
  </si>
  <si>
    <t>Maulida Ainnurahma</t>
  </si>
  <si>
    <t>Muhamad Subkhi</t>
  </si>
  <si>
    <t>Muhammad Armanugie Saputra</t>
  </si>
  <si>
    <t>Muhammad Javier</t>
  </si>
  <si>
    <t>Muhammad Zahran Rifai</t>
  </si>
  <si>
    <t>Nadhifa Qeysa Auliani Soehardi</t>
  </si>
  <si>
    <t>Naila</t>
  </si>
  <si>
    <t>Natiq Tawqir Muniruzzaman Anandamaya</t>
  </si>
  <si>
    <t>Naureen Shabiha Zahira</t>
  </si>
  <si>
    <t>Nayla Lyra Sagita</t>
  </si>
  <si>
    <t>Naywa Dinda Kansana Lubis</t>
  </si>
  <si>
    <t>Ni Putu Anjani Dewi Diningrat</t>
  </si>
  <si>
    <t>Olivia Desvita Sari</t>
  </si>
  <si>
    <t>R.A.M. Fakhri Izzuddin Mashur</t>
  </si>
  <si>
    <t>Radinka Alano Hamizan Abqari</t>
  </si>
  <si>
    <t>Rifqah Ramadhani</t>
  </si>
  <si>
    <t>Roshan Aidan Juro Aprianto</t>
  </si>
  <si>
    <t>Ruba Aqeela Hafizha Mecca</t>
  </si>
  <si>
    <t>Sajna Jerrusalem Kharima Sugeng Putri</t>
  </si>
  <si>
    <t>Shahrazad Aulia Handyanto</t>
  </si>
  <si>
    <t>Syahla Salsabila Ramdani</t>
  </si>
  <si>
    <t>Velicya Arnelita Zahra Suryana</t>
  </si>
  <si>
    <t>Zalfa Rizqia Nur Nadhifa</t>
  </si>
  <si>
    <t>0092626116 / 252610008</t>
  </si>
  <si>
    <t>3103201253 / 252610048</t>
  </si>
  <si>
    <t>0102149444 / 252610053</t>
  </si>
  <si>
    <t>0095992391 / 252610082</t>
  </si>
  <si>
    <t>0106142601 / 252610083</t>
  </si>
  <si>
    <t>0108104548 / 252610087</t>
  </si>
  <si>
    <t>0103045473 / 252610088</t>
  </si>
  <si>
    <t>0109105725 / 252610100</t>
  </si>
  <si>
    <t>0096394871 / 252610101</t>
  </si>
  <si>
    <t>0099038184 / 252610109</t>
  </si>
  <si>
    <t>Azalia Maheswari Christabel</t>
  </si>
  <si>
    <t>0096477713 / 252610122</t>
  </si>
  <si>
    <t>0106995291 / 252610126</t>
  </si>
  <si>
    <t>Bimo Armani Aulia Putra</t>
  </si>
  <si>
    <t>0094126705 / 252610130</t>
  </si>
  <si>
    <t>0105914504 / 252610171</t>
  </si>
  <si>
    <t>0092097491 / 252610175</t>
  </si>
  <si>
    <t>0102644442 / 252610193</t>
  </si>
  <si>
    <t>0107657965 / 252610202</t>
  </si>
  <si>
    <t>0095023834 / 252610206</t>
  </si>
  <si>
    <t>0094631117 / 252610224</t>
  </si>
  <si>
    <t>0092679798 / 252610239</t>
  </si>
  <si>
    <t>0109256207 / 252610244</t>
  </si>
  <si>
    <t>0103648473 / 252610246</t>
  </si>
  <si>
    <t>Jihan Al Hasya</t>
  </si>
  <si>
    <t>0108537666 / 252610250</t>
  </si>
  <si>
    <t>0098409943 / 252610304</t>
  </si>
  <si>
    <t>0092985486 / 252610311</t>
  </si>
  <si>
    <t>0094677765 / 252610313</t>
  </si>
  <si>
    <t>0107959828 / 252610316</t>
  </si>
  <si>
    <t>0092600602 / 252610330</t>
  </si>
  <si>
    <t>0108695912 / 252610334</t>
  </si>
  <si>
    <t>0093126257 / 252610343</t>
  </si>
  <si>
    <t>Muhammad Chaerudin Ramdhani</t>
  </si>
  <si>
    <t>3104497802 / 252610351</t>
  </si>
  <si>
    <t>0108107461 / 252610369</t>
  </si>
  <si>
    <t>0092807405 / 252610371</t>
  </si>
  <si>
    <t>0102300207 / 252610390</t>
  </si>
  <si>
    <t>0097892166 / 252610393</t>
  </si>
  <si>
    <t>0097858274 / 252610423</t>
  </si>
  <si>
    <t>0093105045 / 252610424</t>
  </si>
  <si>
    <t>0095438030 / 252610436</t>
  </si>
  <si>
    <t>0107914534 / 252610452</t>
  </si>
  <si>
    <t>Raden Gathan Azaki Soesilo</t>
  </si>
  <si>
    <t>0097963483 / 252610454</t>
  </si>
  <si>
    <t>Raden Muhammad Rafi Wiranata</t>
  </si>
  <si>
    <t>0092135851 / 252610476</t>
  </si>
  <si>
    <t>0092605198 / 252610477</t>
  </si>
  <si>
    <t>0103151970 / 252610489</t>
  </si>
  <si>
    <t>0097644165 / 252610508</t>
  </si>
  <si>
    <t>0102657659 / 252610513</t>
  </si>
  <si>
    <t>0111428850 / 252610564</t>
  </si>
  <si>
    <t>0108505453 / 252610566</t>
  </si>
  <si>
    <t>Adhie Bramantyo Faqih</t>
  </si>
  <si>
    <t>Almira Dwi Safira</t>
  </si>
  <si>
    <t>Alzena Juneeta Talisha Theo</t>
  </si>
  <si>
    <t>Arya Aditya Gunawan</t>
  </si>
  <si>
    <t>Aryasatia Pradipta</t>
  </si>
  <si>
    <t>Asyifa Diandra Bayu</t>
  </si>
  <si>
    <t>Asyifa Maulidia Salsabila</t>
  </si>
  <si>
    <t>Aurelia Langit Callysta</t>
  </si>
  <si>
    <t>Aurelia Septiani Putri</t>
  </si>
  <si>
    <t>Bilqis Anwar Thebe</t>
  </si>
  <si>
    <t>Callysta Tuchi Solin</t>
  </si>
  <si>
    <t>Diwangkara Rizki Rabbani</t>
  </si>
  <si>
    <t>Dzahra Miftahuljanah</t>
  </si>
  <si>
    <t>Fakhri Haikal Alvito Rachmat</t>
  </si>
  <si>
    <t>Fathi Azzam Hawwari</t>
  </si>
  <si>
    <t>Fatimah Aszahra</t>
  </si>
  <si>
    <t>Gwenna Irene Winata</t>
  </si>
  <si>
    <t>Jasmine Zahira Ramadhani</t>
  </si>
  <si>
    <t>Jesslyn Quinn Gabrielle Sitorus</t>
  </si>
  <si>
    <t>Johanes Satria Yudha</t>
  </si>
  <si>
    <t>Maria Rica Stefany Demu</t>
  </si>
  <si>
    <t>Melani Putri Triana</t>
  </si>
  <si>
    <t>Michael Mazmur Hatorangan Hutabarat</t>
  </si>
  <si>
    <t>Mochamad Nayaka Tuharea</t>
  </si>
  <si>
    <t>Muhamad Septian Romadhon</t>
  </si>
  <si>
    <t>Muhammad Adrian Gianni Adam</t>
  </si>
  <si>
    <t>Muhammad Fathan Assidiq</t>
  </si>
  <si>
    <t>Muhammad Rizky Aditya Putra Sukmawijayaguna</t>
  </si>
  <si>
    <t>Muhammad Rodzul Amrullah</t>
  </si>
  <si>
    <t>Nadya Salwa Altiara</t>
  </si>
  <si>
    <t>Nailah Khoirunisa Arsanti</t>
  </si>
  <si>
    <t>Novyola Safitri</t>
  </si>
  <si>
    <t>Nur Alifah Silvia</t>
  </si>
  <si>
    <t>Pungki Yustisia Pertiwi</t>
  </si>
  <si>
    <t>Rayhan Ashabi</t>
  </si>
  <si>
    <t>Rayhana Rizkya Al-Multazam</t>
  </si>
  <si>
    <t>Riffa Nugraha</t>
  </si>
  <si>
    <t>Salsabila Zahwa Mulana</t>
  </si>
  <si>
    <t>Shabira Ayatul Husna</t>
  </si>
  <si>
    <t>Zavier Lamya Arkanowinatha</t>
  </si>
  <si>
    <t>Zhafirah Dwi Fauziah</t>
  </si>
  <si>
    <t>: X-1</t>
  </si>
  <si>
    <t>: X-2</t>
  </si>
  <si>
    <t>0094216870 / 252610011</t>
  </si>
  <si>
    <t>0107760733 / 252610023</t>
  </si>
  <si>
    <t>0105130233 / 252610026</t>
  </si>
  <si>
    <t>Aisha Faiha Dzakiyah</t>
  </si>
  <si>
    <t>0104550133 / 252610039</t>
  </si>
  <si>
    <t>0095372504 / 252610050</t>
  </si>
  <si>
    <t>0105813396 / 252610052</t>
  </si>
  <si>
    <t>Alyya Zahra Kusumadewi</t>
  </si>
  <si>
    <t>0109006152 / 252610058</t>
  </si>
  <si>
    <t>Ammar Raziq Mahdiya</t>
  </si>
  <si>
    <t>0097211030 / 252610062</t>
  </si>
  <si>
    <t>Andini Qoriyati Khaerani</t>
  </si>
  <si>
    <t>3108667209 / 252610070</t>
  </si>
  <si>
    <t>Aqeela Az Zahra</t>
  </si>
  <si>
    <t>0109904498 / 252610075</t>
  </si>
  <si>
    <t>0098513542 / 252610084</t>
  </si>
  <si>
    <t>0106376916 / 252610090</t>
  </si>
  <si>
    <t>0105797314 / 252610102</t>
  </si>
  <si>
    <t>0102731314 / 252610124</t>
  </si>
  <si>
    <t>0092794157 / 252610139</t>
  </si>
  <si>
    <t>0106384221 / 252610145</t>
  </si>
  <si>
    <t>3104617391 / 252610153</t>
  </si>
  <si>
    <t>0098157268 / 252610154</t>
  </si>
  <si>
    <t>0099675945 / 252610164</t>
  </si>
  <si>
    <t>0104532267 / 252610180</t>
  </si>
  <si>
    <t>Elvio Dyahyu Yusanto</t>
  </si>
  <si>
    <t>0097593921 / 252610181</t>
  </si>
  <si>
    <t>0106157075 / 252610185</t>
  </si>
  <si>
    <t>0104141415 / 252610186</t>
  </si>
  <si>
    <t>0105606050 / 252610238</t>
  </si>
  <si>
    <t>Jasmine Makayla Putri Arvani</t>
  </si>
  <si>
    <t>0094564578 / 252610277</t>
  </si>
  <si>
    <t>0103261879 / 252610280</t>
  </si>
  <si>
    <t>0109361118 / 252610290</t>
  </si>
  <si>
    <t>0092576905 / 252610302</t>
  </si>
  <si>
    <t>0099605205 / 252610319</t>
  </si>
  <si>
    <t>0108384400 / 252610320</t>
  </si>
  <si>
    <t>0098087445 / 252610332</t>
  </si>
  <si>
    <t>Muhamad Thoriq Al Rasyad</t>
  </si>
  <si>
    <t>0108518402 / 252610336</t>
  </si>
  <si>
    <t>0098345742 / 252610338</t>
  </si>
  <si>
    <t>Muhammad Ariza Rizkya Irvan</t>
  </si>
  <si>
    <t>0104535464 / 252610362</t>
  </si>
  <si>
    <t>3107410887 / 252610365</t>
  </si>
  <si>
    <t>Muhammad Rasyad Mahdawi</t>
  </si>
  <si>
    <t>0093768427 / 252610416</t>
  </si>
  <si>
    <t>0103404970 / 252610419</t>
  </si>
  <si>
    <t>0102495325 / 252610431</t>
  </si>
  <si>
    <t>0106276801 / 252610434</t>
  </si>
  <si>
    <t>Priscillia Putri Viona</t>
  </si>
  <si>
    <t>0098833541 / 252610440</t>
  </si>
  <si>
    <t>Qaniah Mardiyah Salsabila</t>
  </si>
  <si>
    <t>0095492963 / 252610467</t>
  </si>
  <si>
    <t>0091964566 / 252610474</t>
  </si>
  <si>
    <t>Rasya Arkananta Mulya</t>
  </si>
  <si>
    <t>0092731928 / 252610497</t>
  </si>
  <si>
    <t>Rusvi Putri Ingguan</t>
  </si>
  <si>
    <t>0105816582 / 252610498</t>
  </si>
  <si>
    <t>Ruth Rafanela Syeby Siregar</t>
  </si>
  <si>
    <t>0102751293 / 252610546</t>
  </si>
  <si>
    <t>0104292767 / 252610560</t>
  </si>
  <si>
    <t>0096087965 / 252610563</t>
  </si>
  <si>
    <t>Adinda Syahira Hariyadi</t>
  </si>
  <si>
    <t>Aira Aulia Putri</t>
  </si>
  <si>
    <t>Alifa Safa Salsabila</t>
  </si>
  <si>
    <t>Alviana Dwie Putery</t>
  </si>
  <si>
    <t>Arfan Kristian Perlindungan Harefa</t>
  </si>
  <si>
    <t>Ashiila Rindu Dwi Laufli</t>
  </si>
  <si>
    <t>Atharrayhan Abimanyu Pratama</t>
  </si>
  <si>
    <t>Aurelly Diana Zulkarnaen</t>
  </si>
  <si>
    <t>Bima Adyatma Ilmiawan</t>
  </si>
  <si>
    <t>Cinta Cludia Putri</t>
  </si>
  <si>
    <t>Dafsyah Arifa Putra</t>
  </si>
  <si>
    <t>Denisa Azka Putri</t>
  </si>
  <si>
    <t>Devani Keyla Noris</t>
  </si>
  <si>
    <t>Dimas Putra Pribadi</t>
  </si>
  <si>
    <t>Enisye Putri Zeliawati Limpong</t>
  </si>
  <si>
    <t>Fabian Ahza Hidayat</t>
  </si>
  <si>
    <t>Fadhilah Raisa Kamilati</t>
  </si>
  <si>
    <t>Khalid Ahmad Ghazali</t>
  </si>
  <si>
    <t>Khansa Aulia Damtsa Hylmi</t>
  </si>
  <si>
    <t>Lionel Boanerges Raffles Simangunsong</t>
  </si>
  <si>
    <t>Mardiansyah Isman</t>
  </si>
  <si>
    <t>Mohammad Haikal</t>
  </si>
  <si>
    <t>Mohammad Irshad Faizanshah</t>
  </si>
  <si>
    <t>Muhammad Akmaluddin</t>
  </si>
  <si>
    <t>Muhammad Nazam Rizal</t>
  </si>
  <si>
    <t>Neng Rahmi Novianti</t>
  </si>
  <si>
    <t>Niesha Anindya Firstsaly</t>
  </si>
  <si>
    <t>Oryza Angelina Sitohang</t>
  </si>
  <si>
    <t>Raisha Puri Lianti</t>
  </si>
  <si>
    <t>Titania Dwizita Shahla</t>
  </si>
  <si>
    <t>Zaidan Riziq Sakha</t>
  </si>
  <si>
    <t>Zalikhah Rasikhah Putri</t>
  </si>
  <si>
    <t>0094703204 / 252610002</t>
  </si>
  <si>
    <t>0106941990 / 252610063</t>
  </si>
  <si>
    <t>0109964803 / 252610065</t>
  </si>
  <si>
    <t>0104084075 / 252610076</t>
  </si>
  <si>
    <t>Ario Bimo Wicaksono</t>
  </si>
  <si>
    <t>0098221239 / 252610079</t>
  </si>
  <si>
    <t>0104751597 / 252610093</t>
  </si>
  <si>
    <t>0104406841 / 252610094</t>
  </si>
  <si>
    <t>Attiyah Naila Adza Alifah</t>
  </si>
  <si>
    <t>0102122161 / 252610096</t>
  </si>
  <si>
    <t>0108329102 / 252610121</t>
  </si>
  <si>
    <t>0103047499 / 252610129</t>
  </si>
  <si>
    <t>0102794623 / 252610136</t>
  </si>
  <si>
    <t>0096103714 / 252610138</t>
  </si>
  <si>
    <t>0103966590 / 252610148</t>
  </si>
  <si>
    <t>0097493642 / 252610158</t>
  </si>
  <si>
    <t>0096662016 / 252610187</t>
  </si>
  <si>
    <t>Fadya Malikha</t>
  </si>
  <si>
    <t>0096892367 / 252610190</t>
  </si>
  <si>
    <t>0094686377 / 252610201</t>
  </si>
  <si>
    <t>0109768822 / 252610204</t>
  </si>
  <si>
    <t>0109156472 / 252610213</t>
  </si>
  <si>
    <t>0098064041 / 252610215</t>
  </si>
  <si>
    <t>Fricilia Aprilyani Cardoso</t>
  </si>
  <si>
    <t>0113691116 / 252610219</t>
  </si>
  <si>
    <t>0104767807 / 252610237</t>
  </si>
  <si>
    <t>0106443881 / 252610247</t>
  </si>
  <si>
    <t>0104211640 / 252610259</t>
  </si>
  <si>
    <t>0098772505 / 252610274</t>
  </si>
  <si>
    <t>0107095977 / 252610276</t>
  </si>
  <si>
    <t>0092150853 / 252610278</t>
  </si>
  <si>
    <t>0091769169 / 252610287</t>
  </si>
  <si>
    <t>0103272603 / 252610288</t>
  </si>
  <si>
    <t>0103190164 / 252610301</t>
  </si>
  <si>
    <t>Mandariza Arya Pranata Wijaya</t>
  </si>
  <si>
    <t>0092154795 / 252610370</t>
  </si>
  <si>
    <t>Muhammad Rizzieq Yusuf Natakusumah</t>
  </si>
  <si>
    <t>3096846304 / 252610381</t>
  </si>
  <si>
    <t>Muhammad Zuhear Alfan</t>
  </si>
  <si>
    <t>0104716348 / 252610386</t>
  </si>
  <si>
    <t>0102174126 / 252610415</t>
  </si>
  <si>
    <t>0097540821 / 252610422</t>
  </si>
  <si>
    <t>0102114748 / 252610426</t>
  </si>
  <si>
    <t>0097603092 / 252610432</t>
  </si>
  <si>
    <t>0106292164 / 252610438</t>
  </si>
  <si>
    <t>3104085681 / 252610439</t>
  </si>
  <si>
    <t>Putri Zaqiyah</t>
  </si>
  <si>
    <t>0105055522 / 252610461</t>
  </si>
  <si>
    <t>0092263541 / 252610485</t>
  </si>
  <si>
    <t>0091178036 / 252610501</t>
  </si>
  <si>
    <t>0106930882 / 252610520</t>
  </si>
  <si>
    <t>0109721617 / 252610555</t>
  </si>
  <si>
    <t>Yasmin Kirani Affifah</t>
  </si>
  <si>
    <t>0101188685 / 252610556</t>
  </si>
  <si>
    <t>Abhinaya Zaidan Akbar</t>
  </si>
  <si>
    <t>Andra Rakadityono</t>
  </si>
  <si>
    <t>Anjani Safira Salma</t>
  </si>
  <si>
    <t>Arman Firmansyah</t>
  </si>
  <si>
    <t>Attaya Putri Faslahi</t>
  </si>
  <si>
    <t>Aulia Azahra</t>
  </si>
  <si>
    <t>Bianca Aurelia Putri Asari</t>
  </si>
  <si>
    <t>Bumi Byakta Alfian</t>
  </si>
  <si>
    <t>Cheryl Faiha Al-Tair</t>
  </si>
  <si>
    <t>Cindy Ramadhani Sinulingga</t>
  </si>
  <si>
    <t>Danesh Arrayan Syahreen</t>
  </si>
  <si>
    <t>Dhyra Putra Pratama</t>
  </si>
  <si>
    <t>Fajri Pardomuan Pohan</t>
  </si>
  <si>
    <t>Farras Putra Zema</t>
  </si>
  <si>
    <t>Fathia Amia Rizqi</t>
  </si>
  <si>
    <t>Florencia Ivana</t>
  </si>
  <si>
    <t>Gerald Samuel Sitanggang</t>
  </si>
  <si>
    <t>Jaenal Ikhwan</t>
  </si>
  <si>
    <t>Jihan Fauziyyah Latifah</t>
  </si>
  <si>
    <t>Kartika Larasati</t>
  </si>
  <si>
    <t>Keynia Louis Cristin Harianja</t>
  </si>
  <si>
    <t>Khairani Asri Utami</t>
  </si>
  <si>
    <t>Khalifi Ramadhan Darmawan Anda</t>
  </si>
  <si>
    <t>Lathika Aulia Althafunnisa</t>
  </si>
  <si>
    <t>Laura Aubrey Gracia Lubis</t>
  </si>
  <si>
    <t>Nadhifa Farah Falihah</t>
  </si>
  <si>
    <t>Nazwa Savira</t>
  </si>
  <si>
    <t>Nourman Raditia Putra</t>
  </si>
  <si>
    <t>Nursifa Maulidah</t>
  </si>
  <si>
    <t>Pramudhio Sawerigading Ihsan</t>
  </si>
  <si>
    <t>Putri Eisya</t>
  </si>
  <si>
    <t>Rahma Marissa</t>
  </si>
  <si>
    <t>Revan</t>
  </si>
  <si>
    <t>Safa Naya Adristi</t>
  </si>
  <si>
    <t>Shirane Ghaniyya Ramadhani</t>
  </si>
  <si>
    <t>Yasmine Almira Queen</t>
  </si>
  <si>
    <t>: X-4</t>
  </si>
  <si>
    <t>0106136353 / 252610016</t>
  </si>
  <si>
    <t>0095491750 / 252610018</t>
  </si>
  <si>
    <t>0087811342 / 252610038</t>
  </si>
  <si>
    <t>0094160993 / 252610045</t>
  </si>
  <si>
    <t>0103659705 / 252610049</t>
  </si>
  <si>
    <t>0107838813 / 252610056</t>
  </si>
  <si>
    <t>0108144208 / 252610069</t>
  </si>
  <si>
    <t>0096853688 / 252610074</t>
  </si>
  <si>
    <t>0092637367 / 252610132</t>
  </si>
  <si>
    <t>0095522157 / 252610155</t>
  </si>
  <si>
    <t>0098223677 / 252610162</t>
  </si>
  <si>
    <t>Diaz Syeza Zivanna</t>
  </si>
  <si>
    <t>0106545857 / 252610173</t>
  </si>
  <si>
    <t>0108696681 / 252610183</t>
  </si>
  <si>
    <t>0102866245 / 252610188</t>
  </si>
  <si>
    <t>0107425879 / 252610191</t>
  </si>
  <si>
    <t>Fakhi Zulfia Bilqis Nasyifa</t>
  </si>
  <si>
    <t>0104987304 / 252610216</t>
  </si>
  <si>
    <t>0104595564 / 252610233</t>
  </si>
  <si>
    <t>Inaya Janeeta</t>
  </si>
  <si>
    <t>0107286739 / 252610258</t>
  </si>
  <si>
    <t>0109267722 / 252610260</t>
  </si>
  <si>
    <t>Karunia Dwi Rahmawati</t>
  </si>
  <si>
    <t>0093634061 / 252610266</t>
  </si>
  <si>
    <t>3091547533 / 252610275</t>
  </si>
  <si>
    <t>Keyno Nazmi Afham</t>
  </si>
  <si>
    <t>0097951249 / 252610282</t>
  </si>
  <si>
    <t>0102015407 / 252610294</t>
  </si>
  <si>
    <t>0106908655 / 252610306</t>
  </si>
  <si>
    <t>Masayu Ganisha Pembayun Putri</t>
  </si>
  <si>
    <t>0092608342 / 252610309</t>
  </si>
  <si>
    <t>0098979111 / 252610329</t>
  </si>
  <si>
    <t>0105497173 / 252610357</t>
  </si>
  <si>
    <t>0092028941 / 252610363</t>
  </si>
  <si>
    <t>0097410697 / 252610373</t>
  </si>
  <si>
    <t>3105173369 / 252610378</t>
  </si>
  <si>
    <t>Muhammad Zaidan Aqil</t>
  </si>
  <si>
    <t>3107700954 / 252610382</t>
  </si>
  <si>
    <t>0103461516 / 252610433</t>
  </si>
  <si>
    <t>0109782055 / 252610435</t>
  </si>
  <si>
    <t>0108699884 / 252610447</t>
  </si>
  <si>
    <t>0108390462 / 252610472</t>
  </si>
  <si>
    <t>0107960365 / 252610475</t>
  </si>
  <si>
    <t>0104838010 / 252610480</t>
  </si>
  <si>
    <t>0108451246 / 252610483</t>
  </si>
  <si>
    <t>3104089400 / 252610492</t>
  </si>
  <si>
    <t>0107731505 / 252610512</t>
  </si>
  <si>
    <t>0105775007 / 252610514</t>
  </si>
  <si>
    <t>0106588309 / 252610515</t>
  </si>
  <si>
    <t>Shahira Hafiza Putri</t>
  </si>
  <si>
    <t>0106219079 / 252610519</t>
  </si>
  <si>
    <t>0094714082 / 252610533</t>
  </si>
  <si>
    <t>0102630183 / 252610534</t>
  </si>
  <si>
    <t>0106490661 / 252610544</t>
  </si>
  <si>
    <t>Tiara Winni Melia</t>
  </si>
  <si>
    <t>Ahmad Azmi Mutaarrofi</t>
  </si>
  <si>
    <t>Ahmad Farely Azriel</t>
  </si>
  <si>
    <t>Alfian Chaniago</t>
  </si>
  <si>
    <t>Alleandra Kaif Finandita</t>
  </si>
  <si>
    <t>Altaira Aqila Myesha Ario</t>
  </si>
  <si>
    <t>Amira Najwa Fauziyah</t>
  </si>
  <si>
    <t>Aphrodyta Aurelia Avrilla</t>
  </si>
  <si>
    <t>Aqueena Putri Salimah</t>
  </si>
  <si>
    <t>Chairani Kanza Wulandaputri</t>
  </si>
  <si>
    <t>Dhefa Raditya Putra</t>
  </si>
  <si>
    <t>Dwi Nailah Azhara</t>
  </si>
  <si>
    <t>Erlangga Ardiyanto</t>
  </si>
  <si>
    <t>Fahmi Adilla Pasha</t>
  </si>
  <si>
    <t>Friska Feby Aulia</t>
  </si>
  <si>
    <t>Karnizara Ringga Rabbani</t>
  </si>
  <si>
    <t>Keisa Wanda Setiawan</t>
  </si>
  <si>
    <t>Khansa Vanya Laudya Putri</t>
  </si>
  <si>
    <t>Lutfi Dwi Melati</t>
  </si>
  <si>
    <t>Mazaya Aqila Betha Diladena</t>
  </si>
  <si>
    <t>Muhamad Rizqi Darmawan</t>
  </si>
  <si>
    <t>Muhammad Ihsan Putra Pamungkas</t>
  </si>
  <si>
    <t>Muhammad Rafi Kurniawan</t>
  </si>
  <si>
    <t>Muhammad Sulthon Najib</t>
  </si>
  <si>
    <t>Mutiara Geisya Nuraini</t>
  </si>
  <si>
    <t>Priscilia Michelle Pasau</t>
  </si>
  <si>
    <t>Puffin Rohis Jusup Manurung</t>
  </si>
  <si>
    <t>Quizal Razky Ahmad</t>
  </si>
  <si>
    <t>Randy Adiya Pratama Kouw</t>
  </si>
  <si>
    <t>Ravino Abbas Subaga</t>
  </si>
  <si>
    <t>Rei Dillan Hartedi</t>
  </si>
  <si>
    <t>Reni Apriliani</t>
  </si>
  <si>
    <t>Rizky Putra Kunta Ajie</t>
  </si>
  <si>
    <t>Shabira Andiani</t>
  </si>
  <si>
    <t>Shafa Talitha Budiarto</t>
  </si>
  <si>
    <t>Sheika Rizki Ramadanti Aurelia</t>
  </si>
  <si>
    <t>Syahwa Fatmah</t>
  </si>
  <si>
    <t>Syakira Alma Annisa</t>
  </si>
  <si>
    <t>: X-5</t>
  </si>
  <si>
    <t>0092194625 / 252610004</t>
  </si>
  <si>
    <t>3108509756 / 252610013</t>
  </si>
  <si>
    <t>0099540724 / 252610022</t>
  </si>
  <si>
    <t>0107934430 / 252610024</t>
  </si>
  <si>
    <t>0099668827 / 252610034</t>
  </si>
  <si>
    <t>0102993208 / 252610043</t>
  </si>
  <si>
    <t>0104459637 / 252610055</t>
  </si>
  <si>
    <t>Amira Agni Kayla Raisya</t>
  </si>
  <si>
    <t>0104825356 / 252610057</t>
  </si>
  <si>
    <t>0099339799 / 252610060</t>
  </si>
  <si>
    <t>0098197227 / 252610067</t>
  </si>
  <si>
    <t>0093274791 / 252610115</t>
  </si>
  <si>
    <t>0099900563 / 252610123</t>
  </si>
  <si>
    <t>0092597384 / 252610163</t>
  </si>
  <si>
    <t>Dilla Novianti Putri</t>
  </si>
  <si>
    <t>3105062394 / 252610166</t>
  </si>
  <si>
    <t>0103139137 / 252610205</t>
  </si>
  <si>
    <t>0091763745 / 252610229</t>
  </si>
  <si>
    <t>0095064549 / 252610230</t>
  </si>
  <si>
    <t>3098845163 / 252610245</t>
  </si>
  <si>
    <t>Jevelin Ambarep Putri</t>
  </si>
  <si>
    <t>0104630358 / 252610281</t>
  </si>
  <si>
    <t>0097535113 / 252610286</t>
  </si>
  <si>
    <t>Lalitya Namu Wangundahina</t>
  </si>
  <si>
    <t>0094686372 / 252610299</t>
  </si>
  <si>
    <t>0108578906 / 252610322</t>
  </si>
  <si>
    <t>3107979922 / 252610323</t>
  </si>
  <si>
    <t>0105902624 / 252610361</t>
  </si>
  <si>
    <t>0095937017 / 252610366</t>
  </si>
  <si>
    <t>3094594523 / 252610374</t>
  </si>
  <si>
    <t>0092479207 / 252610379</t>
  </si>
  <si>
    <t>0092223990 / 252610384</t>
  </si>
  <si>
    <t>0104434944 / 252610401</t>
  </si>
  <si>
    <t>0108770789 / 252610412</t>
  </si>
  <si>
    <t>Nayyira Ghania Mehnaz</t>
  </si>
  <si>
    <t>0101523916 / 252610414</t>
  </si>
  <si>
    <t>3099045754 / 252610427</t>
  </si>
  <si>
    <t>0104883711 / 252610429</t>
  </si>
  <si>
    <t>3099055467 / 252610437</t>
  </si>
  <si>
    <t>0092103124 / 252610450</t>
  </si>
  <si>
    <t>0102081772 / 252610451</t>
  </si>
  <si>
    <t>0097864614 / 252610471</t>
  </si>
  <si>
    <t>0093090773 / 252610481</t>
  </si>
  <si>
    <t>0095160472 / 252610488</t>
  </si>
  <si>
    <t>0092402487 / 252610507</t>
  </si>
  <si>
    <t>0092706472 / 252610535</t>
  </si>
  <si>
    <t>0105183684 / 252610540</t>
  </si>
  <si>
    <t>Tanty Amelia Al Rasyid</t>
  </si>
  <si>
    <t>0098052333 / 252610543</t>
  </si>
  <si>
    <t>3094664028 / 252610549</t>
  </si>
  <si>
    <t>Tubagus Mochamad Rizki Fauzan Al Faris</t>
  </si>
  <si>
    <t>0099429653 / 252610554</t>
  </si>
  <si>
    <t>Yanza Rizkia Salsabillah</t>
  </si>
  <si>
    <t>Achmad Ardiansyah</t>
  </si>
  <si>
    <t>Adrian Muhammad Fadillah</t>
  </si>
  <si>
    <t>Aira Alessia Adha</t>
  </si>
  <si>
    <t>Aira Febria Sari</t>
  </si>
  <si>
    <t>Al Jadid Syafruddin Lubis</t>
  </si>
  <si>
    <t>Alisya Belva Dhio</t>
  </si>
  <si>
    <t>Amirah Khalishah Somoal</t>
  </si>
  <si>
    <t>Anas Legawa Riyadi</t>
  </si>
  <si>
    <t>Annisa Fitriyani</t>
  </si>
  <si>
    <t>Bagaskara Bisma Anoka</t>
  </si>
  <si>
    <t>Bilqis Nikita Aylani</t>
  </si>
  <si>
    <t>Dinda Aulia</t>
  </si>
  <si>
    <t>Fathimah Septiani Azahra</t>
  </si>
  <si>
    <t>Hikmah Septiya</t>
  </si>
  <si>
    <t>Hilmi Ardhana Fuady</t>
  </si>
  <si>
    <t>Khansa Tabita Aura Sakhi</t>
  </si>
  <si>
    <t>Mahira Aqila Azra</t>
  </si>
  <si>
    <t>Muhamad Adri Fachry</t>
  </si>
  <si>
    <t>Muhamad Gaza Al-Mahdi</t>
  </si>
  <si>
    <t>Muhammad Naufal Rhesa Fernando</t>
  </si>
  <si>
    <t>Muhammad Raya Al Maghfirah</t>
  </si>
  <si>
    <t>Muhammad Tristan Sanjaya</t>
  </si>
  <si>
    <t>Muhammad Zaidan Wibowo</t>
  </si>
  <si>
    <t>Nabilah Shakeela Kusuma</t>
  </si>
  <si>
    <t>Naufal Aditama</t>
  </si>
  <si>
    <t>Nazwa Nur Rahmah</t>
  </si>
  <si>
    <t>Nurul Aulia Ramadhani</t>
  </si>
  <si>
    <t>Ohan Marhadi Haryono</t>
  </si>
  <si>
    <t>Puthik Ramadani</t>
  </si>
  <si>
    <t>Raden Chintya Dewi Maharani</t>
  </si>
  <si>
    <t>Raden Ciara Za Syahluna</t>
  </si>
  <si>
    <t>Rama Andhika</t>
  </si>
  <si>
    <t>Reisha Azzahra Pramesti</t>
  </si>
  <si>
    <t>Rheiska Amelia</t>
  </si>
  <si>
    <t>Salsabila Kinaya</t>
  </si>
  <si>
    <t>Syarafina Nur Alifatuzahro</t>
  </si>
  <si>
    <t>Teduh Mutiara Hapsari</t>
  </si>
  <si>
    <t>0096316890 / 252610005</t>
  </si>
  <si>
    <t>0091825991 / 252610009</t>
  </si>
  <si>
    <t>0094216872 / 252610036</t>
  </si>
  <si>
    <t>3093210071 / 252610042</t>
  </si>
  <si>
    <t>0099344894 / 252610072</t>
  </si>
  <si>
    <t>0109520546 / 252610120</t>
  </si>
  <si>
    <t>0104799326 / 252610134</t>
  </si>
  <si>
    <t>0081552525 / 252610150</t>
  </si>
  <si>
    <t>0099286083 / 252610157</t>
  </si>
  <si>
    <t>0093451857 / 252610167</t>
  </si>
  <si>
    <t>0074430959 / 252610172</t>
  </si>
  <si>
    <t>0096744611 / 252610176</t>
  </si>
  <si>
    <t>0091620147 / 252610189</t>
  </si>
  <si>
    <t>0093286261 / 252610194</t>
  </si>
  <si>
    <t>0092383688 / 252610195</t>
  </si>
  <si>
    <t>0096185979 / 252610198</t>
  </si>
  <si>
    <t>0094160236 / 252610209</t>
  </si>
  <si>
    <t>0101705316 / 252610210</t>
  </si>
  <si>
    <t>3090346201 / 252610214</t>
  </si>
  <si>
    <t>0107948623 / 252610227</t>
  </si>
  <si>
    <t>0105199862 / 252610249</t>
  </si>
  <si>
    <t>Joceline Sisca Lumongga Manurung</t>
  </si>
  <si>
    <t>0099375007 / 252610273</t>
  </si>
  <si>
    <t>0109221606 / 252610279</t>
  </si>
  <si>
    <t>0094583694 / 252610285</t>
  </si>
  <si>
    <t>0109522386 / 252610308</t>
  </si>
  <si>
    <t>0095079380 / 252610312</t>
  </si>
  <si>
    <t>0098849299 / 252610342</t>
  </si>
  <si>
    <t>0108710844 / 252610355</t>
  </si>
  <si>
    <t>0103242050 / 252610360</t>
  </si>
  <si>
    <t>0095549480 / 252610394</t>
  </si>
  <si>
    <t>0108065698 / 252610410</t>
  </si>
  <si>
    <t>0106380486 / 252610442</t>
  </si>
  <si>
    <t>0101582567 / 252610446</t>
  </si>
  <si>
    <t>0092020564 / 252610449</t>
  </si>
  <si>
    <t>0107445789 / 252610456</t>
  </si>
  <si>
    <t>0094690365 / 252610478</t>
  </si>
  <si>
    <t>0093623051 / 252610479</t>
  </si>
  <si>
    <t>0108406931 / 252610484</t>
  </si>
  <si>
    <t>0104171202 / 252610486</t>
  </si>
  <si>
    <t>3096816288 / 252610495</t>
  </si>
  <si>
    <t>0102698949 / 252610505</t>
  </si>
  <si>
    <t>3096600612 / 252610517</t>
  </si>
  <si>
    <t>0106462308 / 252610528</t>
  </si>
  <si>
    <t>0101383149 / 252610529</t>
  </si>
  <si>
    <t>0107096617 / 252610541</t>
  </si>
  <si>
    <t>Achmad Firza Ghibran</t>
  </si>
  <si>
    <t>Adi Pati Jaya Prana</t>
  </si>
  <si>
    <t>Alfany Himma Roudina</t>
  </si>
  <si>
    <t>Alisa Putri</t>
  </si>
  <si>
    <t>Aqila Noya Faiza</t>
  </si>
  <si>
    <t>Bernala Baratama Sirait</t>
  </si>
  <si>
    <t>Chempaka Balqist Zavira Mentary Misman</t>
  </si>
  <si>
    <t>Defrino Viernadi Laitnis Yusfa</t>
  </si>
  <si>
    <t>Dhia Salsabila</t>
  </si>
  <si>
    <t>Dinda Dyah Pitaloka</t>
  </si>
  <si>
    <t>Dwi Irmawati</t>
  </si>
  <si>
    <t>Egi Surjana</t>
  </si>
  <si>
    <t>Faiha Raqilla Darmawan</t>
  </si>
  <si>
    <t>Fanesya Agfrisfidia</t>
  </si>
  <si>
    <t>Fanisa Nurkamila Hamdani</t>
  </si>
  <si>
    <t>Farhan Benzema</t>
  </si>
  <si>
    <t>Fauzi Castle Satara</t>
  </si>
  <si>
    <t>Febri Afriani</t>
  </si>
  <si>
    <t>Freja Aira Anindhita</t>
  </si>
  <si>
    <t>Hasfa Zulfana Nahdah</t>
  </si>
  <si>
    <t>Keyla Putri Saksono</t>
  </si>
  <si>
    <t>Khalisa Silmi Jovita Warsito</t>
  </si>
  <si>
    <t>Kharisma Zahra Tiara Putri</t>
  </si>
  <si>
    <t>Mawar Aprilliana</t>
  </si>
  <si>
    <t>Mentari Dwi Anggraini</t>
  </si>
  <si>
    <t>Muhammad Azzam Ananda Fatahilah</t>
  </si>
  <si>
    <t>Muhammad Hafizh Arrantisi</t>
  </si>
  <si>
    <t>Muhammad Musyaffa Latief</t>
  </si>
  <si>
    <t>Najwa Citra Lestari</t>
  </si>
  <si>
    <t>Nayra Putri Sagita</t>
  </si>
  <si>
    <t>Queensha Amiradana Putri Hamka</t>
  </si>
  <si>
    <t>Quinsha Rizkya Irawan</t>
  </si>
  <si>
    <t>Raasyid Zhariif Santoso</t>
  </si>
  <si>
    <t>Raditya Rafa Abdillah</t>
  </si>
  <si>
    <t>Raynar Abiyu Diera</t>
  </si>
  <si>
    <t>Rayyan Wahyu Ramadhan</t>
  </si>
  <si>
    <t>Reva Aulia Putri</t>
  </si>
  <si>
    <t>Revina Apriza</t>
  </si>
  <si>
    <t>Rossy Indriyati</t>
  </si>
  <si>
    <t>Salsa Kirana Putri</t>
  </si>
  <si>
    <t>Shalomieta Aira Kinaya</t>
  </si>
  <si>
    <t>Syahdan Akbar Mara Putra</t>
  </si>
  <si>
    <t>Syahla Adzkannisa Vuzela</t>
  </si>
  <si>
    <t>Taufik Hidayah</t>
  </si>
  <si>
    <t>0101303057 / 252610006</t>
  </si>
  <si>
    <t>0109597144 / 252610017</t>
  </si>
  <si>
    <t>3096764634 / 252610025</t>
  </si>
  <si>
    <t>0094347087 / 252610044</t>
  </si>
  <si>
    <t>0101401010 / 252610051</t>
  </si>
  <si>
    <t>0106758481 / 252610064</t>
  </si>
  <si>
    <t>0092241333 / 252610113</t>
  </si>
  <si>
    <t>0102239764 / 252610140</t>
  </si>
  <si>
    <t>0108763766 / 252610141</t>
  </si>
  <si>
    <t>0103120702 / 252610144</t>
  </si>
  <si>
    <t>0099164493 / 252610156</t>
  </si>
  <si>
    <t>0093281671 / 252610159</t>
  </si>
  <si>
    <t>0091524155 / 252610179</t>
  </si>
  <si>
    <t>0094004131 / 252610182</t>
  </si>
  <si>
    <t>0107042804 / 252610197</t>
  </si>
  <si>
    <t>0094782869 / 252610200</t>
  </si>
  <si>
    <t>0107335774 / 252610221</t>
  </si>
  <si>
    <t>3103220251 / 252610225</t>
  </si>
  <si>
    <t>0093078917 / 252610252</t>
  </si>
  <si>
    <t>0106222604 / 252610254</t>
  </si>
  <si>
    <t>0105055119 / 252610264</t>
  </si>
  <si>
    <t>0096544983 / 252610268</t>
  </si>
  <si>
    <t>3093288409 / 252610291</t>
  </si>
  <si>
    <t>0103468589 / 252610300</t>
  </si>
  <si>
    <t>0104328116 / 252610318</t>
  </si>
  <si>
    <t>0093678218 / 252610333</t>
  </si>
  <si>
    <t>0093828028 / 252610340</t>
  </si>
  <si>
    <t>0109769349 / 252610345</t>
  </si>
  <si>
    <t>0093629282 / 252610352</t>
  </si>
  <si>
    <t>0095243962 / 252610354</t>
  </si>
  <si>
    <t>0105755550 / 252610383</t>
  </si>
  <si>
    <t>0106828126 / 252610389</t>
  </si>
  <si>
    <t>0097673142 / 252610404</t>
  </si>
  <si>
    <t>0107698921 / 252610409</t>
  </si>
  <si>
    <t>0098514088 / 252610428</t>
  </si>
  <si>
    <t>0108129059 / 252610464</t>
  </si>
  <si>
    <t>0109551129 / 252610466</t>
  </si>
  <si>
    <t>0096444734 / 252610491</t>
  </si>
  <si>
    <t>0107487290 / 252610504</t>
  </si>
  <si>
    <t>3102286552 / 252610523</t>
  </si>
  <si>
    <t>0107936085 / 252610525</t>
  </si>
  <si>
    <t>0106701592 / 252610527</t>
  </si>
  <si>
    <t>0104155224 / 252610532</t>
  </si>
  <si>
    <t>0097446281 / 252610539</t>
  </si>
  <si>
    <t>0105614197 / 252610547</t>
  </si>
  <si>
    <t>0109499801 / 252610559</t>
  </si>
  <si>
    <t>0093560012 / 252610007</t>
  </si>
  <si>
    <t>0092017710 / 252610028</t>
  </si>
  <si>
    <t>0098009248 / 252610035</t>
  </si>
  <si>
    <t>3105167232 / 252610040</t>
  </si>
  <si>
    <t>0107122505 / 252610041</t>
  </si>
  <si>
    <t>0104668456 / 252610061</t>
  </si>
  <si>
    <t>0102036572 / 252610077</t>
  </si>
  <si>
    <t>0102307654 / 252610097</t>
  </si>
  <si>
    <t>0105089607 / 252610108</t>
  </si>
  <si>
    <t>0096174502 / 252610118</t>
  </si>
  <si>
    <t>0092180086 / 252610125</t>
  </si>
  <si>
    <t>3094942931 / 252610151</t>
  </si>
  <si>
    <t>0103091510 / 252610160</t>
  </si>
  <si>
    <t>0093558313 / 252610161</t>
  </si>
  <si>
    <t>0093242338 / 252610170</t>
  </si>
  <si>
    <t>0095632017 / 252610174</t>
  </si>
  <si>
    <t>0099446424 / 252610199</t>
  </si>
  <si>
    <t>0103174946 / 252610203</t>
  </si>
  <si>
    <t>0101801767 / 252610223</t>
  </si>
  <si>
    <t>0107691976 / 252610255</t>
  </si>
  <si>
    <t>0101976221 / 252610265</t>
  </si>
  <si>
    <t>0092212305 / 252610293</t>
  </si>
  <si>
    <t>0102160006 / 252610314</t>
  </si>
  <si>
    <t>0105918833 / 252610321</t>
  </si>
  <si>
    <t>0099772945 / 252610324</t>
  </si>
  <si>
    <t>0094259451 / 252610326</t>
  </si>
  <si>
    <t>0107525738 / 252610349</t>
  </si>
  <si>
    <t>3107499493 / 252610350</t>
  </si>
  <si>
    <t>3108018555 / 252610353</t>
  </si>
  <si>
    <t>0091031385 / 252610364</t>
  </si>
  <si>
    <t>0111220217 / 252610376</t>
  </si>
  <si>
    <t>0098938532 / 252610392</t>
  </si>
  <si>
    <t>3109348901 / 252610395</t>
  </si>
  <si>
    <t>0091281050 / 252610399</t>
  </si>
  <si>
    <t>0107347265 / 252610408</t>
  </si>
  <si>
    <t>0105961239 / 252610413</t>
  </si>
  <si>
    <t>0095193509 / 252610421</t>
  </si>
  <si>
    <t>0105803552 / 252610420</t>
  </si>
  <si>
    <t>0109599363 / 252610444</t>
  </si>
  <si>
    <t>0105462734 / 252610445</t>
  </si>
  <si>
    <t>0097882314 / 252610463</t>
  </si>
  <si>
    <t>0099739465 / 252610470</t>
  </si>
  <si>
    <t>0102838068 / 252610500</t>
  </si>
  <si>
    <t>0107357472 / 252610522</t>
  </si>
  <si>
    <t>0093433461 / 252610536</t>
  </si>
  <si>
    <t>0108340159 / 252610548</t>
  </si>
  <si>
    <t>0094438921 / 252610558</t>
  </si>
  <si>
    <t>Andagita Vilnaira Atha</t>
  </si>
  <si>
    <t>: X-9</t>
  </si>
  <si>
    <t>0106681838 / 252610003</t>
  </si>
  <si>
    <t>0108974704 / 252610019</t>
  </si>
  <si>
    <t>0105339420 / 252610027</t>
  </si>
  <si>
    <t>0093799489 / 252610071</t>
  </si>
  <si>
    <t>3111697965 / 252610073</t>
  </si>
  <si>
    <t>0102592413 / 252610078</t>
  </si>
  <si>
    <t>0099452000 / 252610086</t>
  </si>
  <si>
    <t>0093343311 / 252610092</t>
  </si>
  <si>
    <t>0102924778 / 252610095</t>
  </si>
  <si>
    <t>0108974038 / 252610117</t>
  </si>
  <si>
    <t>0104378571 / 252610133</t>
  </si>
  <si>
    <t>0107900663 / 252610135</t>
  </si>
  <si>
    <t>0091254694 / 252610146</t>
  </si>
  <si>
    <t>0108673369 / 252610178</t>
  </si>
  <si>
    <t>0097946386 / 252610211</t>
  </si>
  <si>
    <t>0099535255 / 252610212</t>
  </si>
  <si>
    <t>0094573200 / 252610220</t>
  </si>
  <si>
    <t>0114593936 / 252610231</t>
  </si>
  <si>
    <t>0109669821 / 252610232</t>
  </si>
  <si>
    <t>0103695549 / 252610236</t>
  </si>
  <si>
    <t>0095770160 / 252610240</t>
  </si>
  <si>
    <t>0106852675 / 252610248</t>
  </si>
  <si>
    <t>0094047198 / 252610256</t>
  </si>
  <si>
    <t>0102372511 / 252610263</t>
  </si>
  <si>
    <t>0098113225 / 252610297</t>
  </si>
  <si>
    <t>0103979225 / 252610325</t>
  </si>
  <si>
    <t>0095022365 / 252610337</t>
  </si>
  <si>
    <t>0104557332 / 252610341</t>
  </si>
  <si>
    <t>0092772943 / 252610344</t>
  </si>
  <si>
    <t>0098897790 / 252610347</t>
  </si>
  <si>
    <t>0101059940 / 252610358</t>
  </si>
  <si>
    <t>0094119764 / 252610368</t>
  </si>
  <si>
    <t>0096882416 / 252610372</t>
  </si>
  <si>
    <t>0093640113 / 252610397</t>
  </si>
  <si>
    <t>0097910400 / 252610425</t>
  </si>
  <si>
    <t>0091134035 / 252610441</t>
  </si>
  <si>
    <t>0106245820 / 252610457</t>
  </si>
  <si>
    <t>0101902217 / 252610460</t>
  </si>
  <si>
    <t>0094238472 / 252610465</t>
  </si>
  <si>
    <t>3096149866 / 252610473</t>
  </si>
  <si>
    <t>0106183087 / 252610487</t>
  </si>
  <si>
    <t>0107182326 / 252610511</t>
  </si>
  <si>
    <t>0099107315 / 252610530</t>
  </si>
  <si>
    <t>0094680852 / 252610537</t>
  </si>
  <si>
    <t>0098348385 / 252610542</t>
  </si>
  <si>
    <t>Muhammad Azka Shahizinda</t>
  </si>
  <si>
    <t>0096033014 / 252610001</t>
  </si>
  <si>
    <t>0104072965 / 252610012</t>
  </si>
  <si>
    <t>2107246447 / 252610014</t>
  </si>
  <si>
    <t>0096128036 / 252610020</t>
  </si>
  <si>
    <t>0107055406 / 252610032</t>
  </si>
  <si>
    <t>0108389311 / 252610037</t>
  </si>
  <si>
    <t>0097357764 / 252610054</t>
  </si>
  <si>
    <t>0102387971 / 252610059</t>
  </si>
  <si>
    <t>0092171774 / 252610089</t>
  </si>
  <si>
    <t>0103134538 / 252610091</t>
  </si>
  <si>
    <t>0104895570 / 252610099</t>
  </si>
  <si>
    <t>0099138854 / 252610103</t>
  </si>
  <si>
    <t>0105133490 / 252610119</t>
  </si>
  <si>
    <t>0099153455 / 252610128</t>
  </si>
  <si>
    <t>0094286208 / 252610142</t>
  </si>
  <si>
    <t>0103526904 / 252610165</t>
  </si>
  <si>
    <t>0098248691 / 252610168</t>
  </si>
  <si>
    <t>0105616025 / 252610169</t>
  </si>
  <si>
    <t>0102329313 / 252610222</t>
  </si>
  <si>
    <t>0094626978 / 252610226</t>
  </si>
  <si>
    <t>0093849649 / 252610234</t>
  </si>
  <si>
    <t>0102890859 / 252610235</t>
  </si>
  <si>
    <t>0107943430 / 252610242</t>
  </si>
  <si>
    <t>0102210036 / 252610243</t>
  </si>
  <si>
    <t>3099544859 / 252610251</t>
  </si>
  <si>
    <t>0104574006 / 252610262</t>
  </si>
  <si>
    <t>0094966956 / 252610272</t>
  </si>
  <si>
    <t>0102208567 / 252610283</t>
  </si>
  <si>
    <t>3101402781 / 252610305</t>
  </si>
  <si>
    <t>0098516941 / 252610327</t>
  </si>
  <si>
    <t>0113735828 / 252610335</t>
  </si>
  <si>
    <t>0109589144 / 252610375</t>
  </si>
  <si>
    <t>0108105659 / 252610396</t>
  </si>
  <si>
    <t>0091758520 / 252610402</t>
  </si>
  <si>
    <t>0093643944 / 252610403</t>
  </si>
  <si>
    <t>0106941532 / 252610406</t>
  </si>
  <si>
    <t>0109464483 / 252610443</t>
  </si>
  <si>
    <t>3103591489 / 252610459</t>
  </si>
  <si>
    <t>0097831413 / 252610462</t>
  </si>
  <si>
    <t>0094313180 / 252610469</t>
  </si>
  <si>
    <t>0093204066 / 252610493</t>
  </si>
  <si>
    <t>0108540094 / 252610509</t>
  </si>
  <si>
    <t>0108413702 / 252610510</t>
  </si>
  <si>
    <t>0108718382 / 252610521</t>
  </si>
  <si>
    <t>0099775444 / 252610526</t>
  </si>
  <si>
    <t>0093324313 / 252610552</t>
  </si>
  <si>
    <t>0109542213 / 252610010</t>
  </si>
  <si>
    <t>0108324867 / 252610031</t>
  </si>
  <si>
    <t>0109013664 / 252610033</t>
  </si>
  <si>
    <t>0108561560 / 252610047</t>
  </si>
  <si>
    <t>0096963702 / 252610066</t>
  </si>
  <si>
    <t>0091952413 / 252610085</t>
  </si>
  <si>
    <t>0099678017 / 252610098</t>
  </si>
  <si>
    <t>0104439014 / 252610105</t>
  </si>
  <si>
    <t>0097138954 / 252610110</t>
  </si>
  <si>
    <t>0101964014 / 252610111</t>
  </si>
  <si>
    <t>3105650741 / 252610112</t>
  </si>
  <si>
    <t>0091891047 / 252610114</t>
  </si>
  <si>
    <t>0103193565 / 252610116</t>
  </si>
  <si>
    <t>0096506746 / 252610131</t>
  </si>
  <si>
    <t>0109934428 / 252610137</t>
  </si>
  <si>
    <t>0095529275 / 252610184</t>
  </si>
  <si>
    <t>0108527903 / 252610196</t>
  </si>
  <si>
    <t>0108365392 / 252610217</t>
  </si>
  <si>
    <t>0107182013 / 252610228</t>
  </si>
  <si>
    <t>0092709548 / 252610241</t>
  </si>
  <si>
    <t>0118415302 / 252610253</t>
  </si>
  <si>
    <t>0097372379 / 252610289</t>
  </si>
  <si>
    <t>0093335479 / 252610292</t>
  </si>
  <si>
    <t>0106465537 / 252610295</t>
  </si>
  <si>
    <t>0103732986 / 252610310</t>
  </si>
  <si>
    <t>0105348604 / 252610315</t>
  </si>
  <si>
    <t>0108812130 / 252610328</t>
  </si>
  <si>
    <t>0094912922 / 252610346</t>
  </si>
  <si>
    <t>0101578446 / 252610348</t>
  </si>
  <si>
    <t>0092179308 / 252610356</t>
  </si>
  <si>
    <t>0098186648 / 252610367</t>
  </si>
  <si>
    <t>0092349928 / 252610380</t>
  </si>
  <si>
    <t>0096753454 / 252610385</t>
  </si>
  <si>
    <t>0102000943 / 252610388</t>
  </si>
  <si>
    <t>0105612000 / 252610417</t>
  </si>
  <si>
    <t>0109258787 / 252610458</t>
  </si>
  <si>
    <t>0093712588 / 252610482</t>
  </si>
  <si>
    <t>0102414768 / 252610499</t>
  </si>
  <si>
    <t>0106760506 / 252610503</t>
  </si>
  <si>
    <t>0095542022 / 252610506</t>
  </si>
  <si>
    <t>0091610224 / 252610518</t>
  </si>
  <si>
    <t>0105010681 / 252610524</t>
  </si>
  <si>
    <t>0105717177 / 252610545</t>
  </si>
  <si>
    <t>0107258754 / 252610551</t>
  </si>
  <si>
    <t>0106044416 / 252610553</t>
  </si>
  <si>
    <t>0108569165 / 252610557</t>
  </si>
  <si>
    <t>0093632849 / 252610561</t>
  </si>
  <si>
    <t>0105748224 / 252610565</t>
  </si>
  <si>
    <t>Chintya Serlin Armedta Hia</t>
  </si>
  <si>
    <t>: X-12</t>
  </si>
  <si>
    <t>0097950619 / 252610015</t>
  </si>
  <si>
    <t>0105770130 / 252610021</t>
  </si>
  <si>
    <t>0093866965 / 252610029</t>
  </si>
  <si>
    <t>3097129671 / 252610030</t>
  </si>
  <si>
    <t>0093002808 / 252610046</t>
  </si>
  <si>
    <t>0107831985 / 252610068</t>
  </si>
  <si>
    <t>0101396555 / 252610080</t>
  </si>
  <si>
    <t>0108675973 / 252610081</t>
  </si>
  <si>
    <t>0096011114 / 252610104</t>
  </si>
  <si>
    <t>2099366441 / 252610106</t>
  </si>
  <si>
    <t>0109010502 / 252610107</t>
  </si>
  <si>
    <t>0109682985 / 252610127</t>
  </si>
  <si>
    <t>0092725675 / 252610143</t>
  </si>
  <si>
    <t>3106961615 / 252610147</t>
  </si>
  <si>
    <t>0102221985 / 252610149</t>
  </si>
  <si>
    <t>0096201622 / 252610152</t>
  </si>
  <si>
    <t>0104985283 / 252610208</t>
  </si>
  <si>
    <t>3086279831 / 252610218</t>
  </si>
  <si>
    <t>3091107524 / 252610267</t>
  </si>
  <si>
    <t>0103652262 / 252610269</t>
  </si>
  <si>
    <t>0097732804 / 252610270</t>
  </si>
  <si>
    <t>3093490279 / 252610271</t>
  </si>
  <si>
    <t>0094431854 / 252610296</t>
  </si>
  <si>
    <t>0103035193 / 252610298</t>
  </si>
  <si>
    <t>0106434110 / 252610303</t>
  </si>
  <si>
    <t>0095778047 / 252610307</t>
  </si>
  <si>
    <t>0103777854 / 252610331</t>
  </si>
  <si>
    <t>3109116422 / 252610339</t>
  </si>
  <si>
    <t>0103887571 / 252610359</t>
  </si>
  <si>
    <t>0102148224 / 252610377</t>
  </si>
  <si>
    <t>0096368920 / 252610387</t>
  </si>
  <si>
    <t>0094328074 / 252610391</t>
  </si>
  <si>
    <t>0098429745 / 252610400</t>
  </si>
  <si>
    <t>3102974181 / 252610405</t>
  </si>
  <si>
    <t>0099622136 / 252610407</t>
  </si>
  <si>
    <t>0102898760 / 252610411</t>
  </si>
  <si>
    <t>0108592067 / 252610418</t>
  </si>
  <si>
    <t>0095623487 / 252610430</t>
  </si>
  <si>
    <t>0106961567 / 252610448</t>
  </si>
  <si>
    <t>0105994913 / 252610455</t>
  </si>
  <si>
    <t>0093563834 / 252610490</t>
  </si>
  <si>
    <t>0097303991 / 252610494</t>
  </si>
  <si>
    <t>0098050747 / 252610496</t>
  </si>
  <si>
    <t>0092524998 / 252610502</t>
  </si>
  <si>
    <t>0109344308 / 252610516</t>
  </si>
  <si>
    <t>0101659072 / 252610531</t>
  </si>
  <si>
    <t>0095899359 / 252610550</t>
  </si>
  <si>
    <t>0095810986 / 252610562</t>
  </si>
  <si>
    <t>: X-11</t>
  </si>
  <si>
    <t>: X-10</t>
  </si>
  <si>
    <t>: X-8</t>
  </si>
  <si>
    <t>: X-3</t>
  </si>
  <si>
    <t>: X-6</t>
  </si>
  <si>
    <t>: X-7</t>
  </si>
  <si>
    <t>proses berpikir efektif dan efisien untuk menyelesaikan persoalan secara algoritmik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</si>
</sst>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1"/>
    </font>
    <font>
      <sz val="12"/>
      <color theme="1"/>
      <name val="Times New Roman"/>
      <family val="1"/>
    </font>
    <font>
      <sz val="10"/>
      <color theme="1"/>
      <name val="Arial Narrow"/>
      <family val="2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8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2" xfId="1" applyNumberFormat="1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9" fontId="10" fillId="0" borderId="2" xfId="0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/>
    <xf numFmtId="0" fontId="0" fillId="0" borderId="2" xfId="0" applyBorder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10" fillId="4" borderId="2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11" xfId="0" applyFont="1" applyFill="1" applyBorder="1" applyAlignment="1" applyProtection="1">
      <alignment horizontal="center" vertical="center"/>
      <protection hidden="1"/>
    </xf>
    <xf numFmtId="0" fontId="10" fillId="8" borderId="2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0" fillId="0" borderId="13" xfId="1" applyNumberFormat="1" applyFont="1" applyFill="1" applyBorder="1" applyAlignment="1" applyProtection="1">
      <alignment horizontal="center" vertical="center"/>
      <protection locked="0" hidden="1"/>
    </xf>
    <xf numFmtId="0" fontId="0" fillId="0" borderId="13" xfId="0" applyBorder="1" applyAlignment="1">
      <alignment horizontal="center"/>
    </xf>
    <xf numFmtId="0" fontId="10" fillId="8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9" fontId="10" fillId="0" borderId="13" xfId="0" applyNumberFormat="1" applyFont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1" fontId="12" fillId="0" borderId="14" xfId="0" quotePrefix="1" applyNumberFormat="1" applyFont="1" applyBorder="1" applyAlignment="1">
      <alignment horizontal="left"/>
    </xf>
    <xf numFmtId="0" fontId="13" fillId="0" borderId="14" xfId="0" applyFont="1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10" fillId="2" borderId="8" xfId="0" applyFont="1" applyFill="1" applyBorder="1" applyAlignment="1" applyProtection="1">
      <alignment horizontal="center" vertical="center"/>
      <protection hidden="1"/>
    </xf>
    <xf numFmtId="0" fontId="10" fillId="2" borderId="12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10" fillId="3" borderId="13" xfId="0" applyFont="1" applyFill="1" applyBorder="1" applyAlignment="1" applyProtection="1">
      <alignment horizontal="center" vertical="center"/>
      <protection hidden="1"/>
    </xf>
    <xf numFmtId="0" fontId="10" fillId="3" borderId="11" xfId="0" applyFont="1" applyFill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3" borderId="9" xfId="0" applyFont="1" applyFill="1" applyBorder="1" applyAlignment="1" applyProtection="1">
      <alignment horizontal="center" vertical="center"/>
      <protection hidden="1"/>
    </xf>
    <xf numFmtId="0" fontId="10" fillId="4" borderId="7" xfId="0" applyFont="1" applyFill="1" applyBorder="1" applyAlignment="1" applyProtection="1">
      <alignment horizontal="center" vertical="center"/>
      <protection hidden="1"/>
    </xf>
    <xf numFmtId="0" fontId="10" fillId="4" borderId="10" xfId="0" applyFont="1" applyFill="1" applyBorder="1" applyAlignment="1" applyProtection="1">
      <alignment horizontal="center" vertical="center"/>
      <protection hidden="1"/>
    </xf>
    <xf numFmtId="0" fontId="10" fillId="5" borderId="7" xfId="0" applyFont="1" applyFill="1" applyBorder="1" applyAlignment="1" applyProtection="1">
      <alignment horizontal="center" vertical="center"/>
      <protection hidden="1"/>
    </xf>
    <xf numFmtId="0" fontId="10" fillId="5" borderId="10" xfId="0" applyFont="1" applyFill="1" applyBorder="1" applyAlignment="1" applyProtection="1">
      <alignment horizontal="center" vertical="center"/>
      <protection hidden="1"/>
    </xf>
    <xf numFmtId="0" fontId="10" fillId="6" borderId="7" xfId="0" applyFont="1" applyFill="1" applyBorder="1" applyAlignment="1" applyProtection="1">
      <alignment horizontal="center" vertical="center"/>
      <protection hidden="1"/>
    </xf>
    <xf numFmtId="0" fontId="10" fillId="6" borderId="10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4" xfId="0" applyFont="1" applyFill="1" applyBorder="1" applyAlignment="1" applyProtection="1">
      <alignment horizontal="center" vertical="center" wrapText="1"/>
      <protection hidden="1"/>
    </xf>
    <xf numFmtId="0" fontId="10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left" vertical="center" wrapText="1"/>
      <protection hidden="1"/>
    </xf>
  </cellXfs>
  <cellStyles count="2">
    <cellStyle name="Comma" xfId="1" builtinId="3"/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64D86DA0-E818-43EA-9883-7ACC41EE54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22247938-AE7E-4035-B910-1711751B30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6849658-965A-4D79-A529-BA6C2383DD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70E9BC42-E3FA-4648-8F19-F17649F81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6601101-BE62-408D-87B0-E938B11EA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DC45B530-F6DB-463B-81A1-C26395B7B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423DF71B-05C0-4E51-B58F-9457EC2897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C06011B-822C-4B5E-9A43-5F5C8040C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48E054F-6147-4ACC-B8C2-C8813E3584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80017AF0-17F0-4CDD-8573-3DF5B54EF1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9B322B6A-7C6E-4668-B4B6-74491C30D6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111125</xdr:colOff>
      <xdr:row>0</xdr:row>
      <xdr:rowOff>130175</xdr:rowOff>
    </xdr:from>
    <xdr:ext cx="6762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E35557B7-1EA7-4F2E-86CF-4317CA115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275" y="130175"/>
          <a:ext cx="676275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24C-D221-40D0-BB5A-632A0B764384}">
  <dimension ref="A1:AA63"/>
  <sheetViews>
    <sheetView topLeftCell="A46" workbookViewId="0">
      <selection activeCell="N11" sqref="N11:R11"/>
    </sheetView>
  </sheetViews>
  <sheetFormatPr defaultRowHeight="14.5" x14ac:dyDescent="0.35"/>
  <cols>
    <col min="1" max="1" width="4.453125" customWidth="1"/>
    <col min="2" max="2" width="19.90625" bestFit="1" customWidth="1"/>
    <col min="3" max="3" width="38.7265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396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2.5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302</v>
      </c>
      <c r="C13" s="35" t="s">
        <v>355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303</v>
      </c>
      <c r="C14" s="35" t="s">
        <v>356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9" si="0">AVERAGE(D14:H14)</f>
        <v>#DIV/0!</v>
      </c>
      <c r="T14" s="22" t="e">
        <f t="shared" ref="T14:T59" si="1">AVERAGE(I14:M14)</f>
        <v>#DIV/0!</v>
      </c>
      <c r="U14" s="18" t="e">
        <f t="shared" ref="U14:U59" si="2">AVERAGE(N14:R14)</f>
        <v>#DIV/0!</v>
      </c>
      <c r="V14" s="13"/>
      <c r="W14" s="13" t="e">
        <f t="shared" ref="W14:W59" si="3">AVERAGE(S14:U14)</f>
        <v>#DIV/0!</v>
      </c>
      <c r="X14" s="16" t="e">
        <f t="shared" ref="X14:X59" si="4">ROUND(AVERAGE(V14:W14),0)</f>
        <v>#DIV/0!</v>
      </c>
      <c r="Y14" s="6"/>
      <c r="Z14" s="7">
        <v>1</v>
      </c>
      <c r="AA14" s="8" t="e">
        <f t="shared" ref="AA14:AA5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304</v>
      </c>
      <c r="C15" s="35" t="s">
        <v>357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305</v>
      </c>
      <c r="C16" s="35" t="s">
        <v>358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306</v>
      </c>
      <c r="C17" s="35" t="s">
        <v>359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307</v>
      </c>
      <c r="C18" s="35" t="s">
        <v>360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308</v>
      </c>
      <c r="C19" s="35" t="s">
        <v>361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309</v>
      </c>
      <c r="C20" s="35" t="s">
        <v>362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310</v>
      </c>
      <c r="C21" s="35" t="s">
        <v>363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311</v>
      </c>
      <c r="C22" s="35" t="s">
        <v>312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313</v>
      </c>
      <c r="C23" s="35" t="s">
        <v>364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314</v>
      </c>
      <c r="C24" s="35" t="s">
        <v>315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316</v>
      </c>
      <c r="C25" s="35" t="s">
        <v>365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317</v>
      </c>
      <c r="C26" s="35" t="s">
        <v>366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318</v>
      </c>
      <c r="C27" s="35" t="s">
        <v>367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319</v>
      </c>
      <c r="C28" s="35" t="s">
        <v>368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320</v>
      </c>
      <c r="C29" s="35" t="s">
        <v>369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321</v>
      </c>
      <c r="C30" s="35" t="s">
        <v>370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322</v>
      </c>
      <c r="C31" s="35" t="s">
        <v>371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323</v>
      </c>
      <c r="C32" s="35" t="s">
        <v>372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324</v>
      </c>
      <c r="C33" s="35" t="s">
        <v>373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325</v>
      </c>
      <c r="C34" s="35" t="s">
        <v>326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327</v>
      </c>
      <c r="C35" s="35" t="s">
        <v>374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328</v>
      </c>
      <c r="C36" s="35" t="s">
        <v>375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329</v>
      </c>
      <c r="C37" s="35" t="s">
        <v>376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330</v>
      </c>
      <c r="C38" s="35" t="s">
        <v>377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331</v>
      </c>
      <c r="C39" s="35" t="s">
        <v>378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332</v>
      </c>
      <c r="C40" s="35" t="s">
        <v>379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333</v>
      </c>
      <c r="C41" s="35" t="s">
        <v>380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334</v>
      </c>
      <c r="C42" s="35" t="s">
        <v>335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336</v>
      </c>
      <c r="C43" s="35" t="s">
        <v>381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337</v>
      </c>
      <c r="C44" s="35" t="s">
        <v>382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338</v>
      </c>
      <c r="C45" s="35" t="s">
        <v>383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339</v>
      </c>
      <c r="C46" s="35" t="s">
        <v>384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340</v>
      </c>
      <c r="C47" s="35" t="s">
        <v>385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341</v>
      </c>
      <c r="C48" s="35" t="s">
        <v>386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342</v>
      </c>
      <c r="C49" s="35" t="s">
        <v>387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343</v>
      </c>
      <c r="C50" s="35" t="s">
        <v>388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344</v>
      </c>
      <c r="C51" s="35" t="s">
        <v>345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346</v>
      </c>
      <c r="C52" s="35" t="s">
        <v>347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348</v>
      </c>
      <c r="C53" s="35" t="s">
        <v>389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349</v>
      </c>
      <c r="C54" s="35" t="s">
        <v>390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350</v>
      </c>
      <c r="C55" s="35" t="s">
        <v>391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351</v>
      </c>
      <c r="C56" s="35" t="s">
        <v>392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352</v>
      </c>
      <c r="C57" s="35" t="s">
        <v>393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8" spans="1:27" x14ac:dyDescent="0.35">
      <c r="A58" s="4">
        <v>46</v>
      </c>
      <c r="B58" s="34" t="s">
        <v>353</v>
      </c>
      <c r="C58" s="35" t="s">
        <v>394</v>
      </c>
      <c r="D58" s="10"/>
      <c r="E58" s="3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0"/>
        <v>#DIV/0!</v>
      </c>
      <c r="T58" s="22" t="e">
        <f t="shared" si="1"/>
        <v>#DIV/0!</v>
      </c>
      <c r="U58" s="18" t="e">
        <f t="shared" si="2"/>
        <v>#DIV/0!</v>
      </c>
      <c r="V58" s="13"/>
      <c r="W58" s="13" t="e">
        <f t="shared" si="3"/>
        <v>#DIV/0!</v>
      </c>
      <c r="X58" s="16" t="e">
        <f t="shared" si="4"/>
        <v>#DIV/0!</v>
      </c>
      <c r="Y58" s="6"/>
      <c r="Z58" s="7"/>
      <c r="AA58" s="8" t="e">
        <f t="shared" si="5"/>
        <v>#DIV/0!</v>
      </c>
    </row>
    <row r="59" spans="1:27" x14ac:dyDescent="0.35">
      <c r="A59" s="4">
        <v>47</v>
      </c>
      <c r="B59" s="34" t="s">
        <v>354</v>
      </c>
      <c r="C59" s="35" t="s">
        <v>395</v>
      </c>
      <c r="D59" s="10"/>
      <c r="E59" s="2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0" t="e">
        <f t="shared" si="0"/>
        <v>#DIV/0!</v>
      </c>
      <c r="T59" s="22" t="e">
        <f t="shared" si="1"/>
        <v>#DIV/0!</v>
      </c>
      <c r="U59" s="18" t="e">
        <f t="shared" si="2"/>
        <v>#DIV/0!</v>
      </c>
      <c r="V59" s="13"/>
      <c r="W59" s="13" t="e">
        <f t="shared" si="3"/>
        <v>#DIV/0!</v>
      </c>
      <c r="X59" s="16" t="e">
        <f t="shared" si="4"/>
        <v>#DIV/0!</v>
      </c>
      <c r="Y59" s="6"/>
      <c r="Z59" s="7"/>
      <c r="AA59" s="8" t="e">
        <f t="shared" si="5"/>
        <v>#DIV/0!</v>
      </c>
    </row>
    <row r="61" spans="1:27" x14ac:dyDescent="0.35">
      <c r="Y61" s="11" t="s">
        <v>14</v>
      </c>
      <c r="AA61" s="11"/>
    </row>
    <row r="62" spans="1:27" x14ac:dyDescent="0.35">
      <c r="Y62" s="11" t="s">
        <v>15</v>
      </c>
    </row>
    <row r="63" spans="1:27" x14ac:dyDescent="0.35">
      <c r="Y63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21" priority="1"/>
    <cfRule type="duplicateValues" dxfId="20" priority="2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B7D8-CA64-4DE2-88F9-5EC2D1D5BAB4}">
  <dimension ref="A1:AA63"/>
  <sheetViews>
    <sheetView topLeftCell="A45" workbookViewId="0">
      <selection activeCell="N11" sqref="N11:R11"/>
    </sheetView>
  </sheetViews>
  <sheetFormatPr defaultRowHeight="14.5" x14ac:dyDescent="0.35"/>
  <cols>
    <col min="1" max="1" width="4.453125" customWidth="1"/>
    <col min="2" max="2" width="19.90625" bestFit="1" customWidth="1"/>
    <col min="3" max="3" width="31.089843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397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6.5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398</v>
      </c>
      <c r="C13" s="35" t="s">
        <v>460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399</v>
      </c>
      <c r="C14" s="35" t="s">
        <v>461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9" si="0">AVERAGE(D14:H14)</f>
        <v>#DIV/0!</v>
      </c>
      <c r="T14" s="22" t="e">
        <f t="shared" ref="T14:T59" si="1">AVERAGE(I14:M14)</f>
        <v>#DIV/0!</v>
      </c>
      <c r="U14" s="18" t="e">
        <f t="shared" ref="U14:U59" si="2">AVERAGE(N14:R14)</f>
        <v>#DIV/0!</v>
      </c>
      <c r="V14" s="13"/>
      <c r="W14" s="13" t="e">
        <f t="shared" ref="W14:W59" si="3">AVERAGE(S14:U14)</f>
        <v>#DIV/0!</v>
      </c>
      <c r="X14" s="16" t="e">
        <f t="shared" ref="X14:X59" si="4">ROUND(AVERAGE(V14:W14),0)</f>
        <v>#DIV/0!</v>
      </c>
      <c r="Y14" s="6"/>
      <c r="Z14" s="7">
        <v>1</v>
      </c>
      <c r="AA14" s="8" t="e">
        <f t="shared" ref="AA14:AA5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400</v>
      </c>
      <c r="C15" s="35" t="s">
        <v>401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402</v>
      </c>
      <c r="C16" s="35" t="s">
        <v>462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403</v>
      </c>
      <c r="C17" s="35" t="s">
        <v>463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404</v>
      </c>
      <c r="C18" s="35" t="s">
        <v>405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406</v>
      </c>
      <c r="C19" s="35" t="s">
        <v>407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408</v>
      </c>
      <c r="C20" s="35" t="s">
        <v>409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410</v>
      </c>
      <c r="C21" s="35" t="s">
        <v>411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412</v>
      </c>
      <c r="C22" s="35" t="s">
        <v>464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413</v>
      </c>
      <c r="C23" s="35" t="s">
        <v>465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414</v>
      </c>
      <c r="C24" s="35" t="s">
        <v>466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415</v>
      </c>
      <c r="C25" s="35" t="s">
        <v>467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416</v>
      </c>
      <c r="C26" s="35" t="s">
        <v>468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417</v>
      </c>
      <c r="C27" s="35" t="s">
        <v>469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418</v>
      </c>
      <c r="C28" s="35" t="s">
        <v>470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419</v>
      </c>
      <c r="C29" s="35" t="s">
        <v>471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420</v>
      </c>
      <c r="C30" s="35" t="s">
        <v>472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421</v>
      </c>
      <c r="C31" s="35" t="s">
        <v>473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422</v>
      </c>
      <c r="C32" s="35" t="s">
        <v>423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424</v>
      </c>
      <c r="C33" s="35" t="s">
        <v>474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425</v>
      </c>
      <c r="C34" s="35" t="s">
        <v>475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426</v>
      </c>
      <c r="C35" s="35" t="s">
        <v>476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427</v>
      </c>
      <c r="C36" s="35" t="s">
        <v>428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429</v>
      </c>
      <c r="C37" s="35" t="s">
        <v>477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430</v>
      </c>
      <c r="C38" s="35" t="s">
        <v>478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431</v>
      </c>
      <c r="C39" s="35" t="s">
        <v>479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432</v>
      </c>
      <c r="C40" s="35" t="s">
        <v>480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433</v>
      </c>
      <c r="C41" s="35" t="s">
        <v>481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434</v>
      </c>
      <c r="C42" s="35" t="s">
        <v>482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435</v>
      </c>
      <c r="C43" s="35" t="s">
        <v>436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437</v>
      </c>
      <c r="C44" s="35" t="s">
        <v>483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438</v>
      </c>
      <c r="C45" s="35" t="s">
        <v>439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440</v>
      </c>
      <c r="C46" s="35" t="s">
        <v>484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441</v>
      </c>
      <c r="C47" s="35" t="s">
        <v>442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443</v>
      </c>
      <c r="C48" s="35" t="s">
        <v>485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444</v>
      </c>
      <c r="C49" s="35" t="s">
        <v>486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445</v>
      </c>
      <c r="C50" s="35" t="s">
        <v>487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446</v>
      </c>
      <c r="C51" s="35" t="s">
        <v>447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448</v>
      </c>
      <c r="C52" s="35" t="s">
        <v>449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450</v>
      </c>
      <c r="C53" s="35" t="s">
        <v>488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451</v>
      </c>
      <c r="C54" s="35" t="s">
        <v>452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453</v>
      </c>
      <c r="C55" s="35" t="s">
        <v>454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455</v>
      </c>
      <c r="C56" s="35" t="s">
        <v>456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457</v>
      </c>
      <c r="C57" s="35" t="s">
        <v>489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8" spans="1:27" x14ac:dyDescent="0.35">
      <c r="A58" s="4">
        <v>46</v>
      </c>
      <c r="B58" s="34" t="s">
        <v>458</v>
      </c>
      <c r="C58" s="35" t="s">
        <v>490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0"/>
        <v>#DIV/0!</v>
      </c>
      <c r="T58" s="22" t="e">
        <f t="shared" si="1"/>
        <v>#DIV/0!</v>
      </c>
      <c r="U58" s="18" t="e">
        <f t="shared" si="2"/>
        <v>#DIV/0!</v>
      </c>
      <c r="V58" s="13"/>
      <c r="W58" s="13" t="e">
        <f t="shared" si="3"/>
        <v>#DIV/0!</v>
      </c>
      <c r="X58" s="16" t="e">
        <f t="shared" si="4"/>
        <v>#DIV/0!</v>
      </c>
      <c r="Y58" s="6"/>
      <c r="Z58" s="7"/>
      <c r="AA58" s="8" t="e">
        <f t="shared" si="5"/>
        <v>#DIV/0!</v>
      </c>
    </row>
    <row r="59" spans="1:27" x14ac:dyDescent="0.35">
      <c r="A59" s="4">
        <v>47</v>
      </c>
      <c r="B59" s="34" t="s">
        <v>459</v>
      </c>
      <c r="C59" s="35" t="s">
        <v>491</v>
      </c>
      <c r="D59" s="10"/>
      <c r="E59" s="2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0" t="e">
        <f t="shared" si="0"/>
        <v>#DIV/0!</v>
      </c>
      <c r="T59" s="22" t="e">
        <f t="shared" si="1"/>
        <v>#DIV/0!</v>
      </c>
      <c r="U59" s="18" t="e">
        <f t="shared" si="2"/>
        <v>#DIV/0!</v>
      </c>
      <c r="V59" s="13"/>
      <c r="W59" s="13" t="e">
        <f t="shared" si="3"/>
        <v>#DIV/0!</v>
      </c>
      <c r="X59" s="16" t="e">
        <f t="shared" si="4"/>
        <v>#DIV/0!</v>
      </c>
      <c r="Y59" s="6"/>
      <c r="Z59" s="7"/>
      <c r="AA59" s="8" t="e">
        <f t="shared" si="5"/>
        <v>#DIV/0!</v>
      </c>
    </row>
    <row r="61" spans="1:27" x14ac:dyDescent="0.35">
      <c r="Y61" s="11" t="s">
        <v>14</v>
      </c>
      <c r="AA61" s="11"/>
    </row>
    <row r="62" spans="1:27" x14ac:dyDescent="0.35">
      <c r="Y62" s="11" t="s">
        <v>15</v>
      </c>
    </row>
    <row r="63" spans="1:27" x14ac:dyDescent="0.35">
      <c r="Y63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19" priority="1"/>
    <cfRule type="duplicateValues" dxfId="18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A786-C987-4A55-AD64-2720BAB41062}">
  <dimension ref="A1:AA61"/>
  <sheetViews>
    <sheetView topLeftCell="A42" workbookViewId="0">
      <selection activeCell="C8" sqref="C8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1144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7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492</v>
      </c>
      <c r="C13" s="35" t="s">
        <v>546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493</v>
      </c>
      <c r="C14" s="35" t="s">
        <v>547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7" si="0">AVERAGE(D14:H14)</f>
        <v>#DIV/0!</v>
      </c>
      <c r="T14" s="22" t="e">
        <f t="shared" ref="T14:T57" si="1">AVERAGE(I14:M14)</f>
        <v>#DIV/0!</v>
      </c>
      <c r="U14" s="18" t="e">
        <f t="shared" ref="U14:U57" si="2">AVERAGE(N14:R14)</f>
        <v>#DIV/0!</v>
      </c>
      <c r="V14" s="13"/>
      <c r="W14" s="13" t="e">
        <f t="shared" ref="W14:W57" si="3">AVERAGE(S14:U14)</f>
        <v>#DIV/0!</v>
      </c>
      <c r="X14" s="16" t="e">
        <f t="shared" ref="X14:X57" si="4">ROUND(AVERAGE(V14:W14),0)</f>
        <v>#DIV/0!</v>
      </c>
      <c r="Y14" s="6"/>
      <c r="Z14" s="7">
        <v>1</v>
      </c>
      <c r="AA14" s="8" t="e">
        <f t="shared" ref="AA14:AA57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494</v>
      </c>
      <c r="C15" s="35" t="s">
        <v>548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495</v>
      </c>
      <c r="C16" s="35" t="s">
        <v>496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497</v>
      </c>
      <c r="C17" s="35" t="s">
        <v>549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498</v>
      </c>
      <c r="C18" s="35" t="s">
        <v>550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499</v>
      </c>
      <c r="C19" s="35" t="s">
        <v>500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501</v>
      </c>
      <c r="C20" s="35" t="s">
        <v>551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502</v>
      </c>
      <c r="C21" s="35" t="s">
        <v>552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503</v>
      </c>
      <c r="C22" s="35" t="s">
        <v>553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504</v>
      </c>
      <c r="C23" s="35" t="s">
        <v>554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505</v>
      </c>
      <c r="C24" s="35" t="s">
        <v>555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506</v>
      </c>
      <c r="C25" s="35" t="s">
        <v>556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507</v>
      </c>
      <c r="C26" s="35" t="s">
        <v>557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508</v>
      </c>
      <c r="C27" s="35" t="s">
        <v>509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510</v>
      </c>
      <c r="C28" s="35" t="s">
        <v>558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511</v>
      </c>
      <c r="C29" s="35" t="s">
        <v>559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512</v>
      </c>
      <c r="C30" s="35" t="s">
        <v>560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513</v>
      </c>
      <c r="C31" s="35" t="s">
        <v>561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514</v>
      </c>
      <c r="C32" s="35" t="s">
        <v>515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516</v>
      </c>
      <c r="C33" s="35" t="s">
        <v>562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517</v>
      </c>
      <c r="C34" s="35" t="s">
        <v>563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518</v>
      </c>
      <c r="C35" s="35" t="s">
        <v>564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519</v>
      </c>
      <c r="C36" s="35" t="s">
        <v>565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520</v>
      </c>
      <c r="C37" s="35" t="s">
        <v>566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521</v>
      </c>
      <c r="C38" s="35" t="s">
        <v>567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522</v>
      </c>
      <c r="C39" s="35" t="s">
        <v>568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523</v>
      </c>
      <c r="C40" s="35" t="s">
        <v>569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524</v>
      </c>
      <c r="C41" s="35" t="s">
        <v>570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525</v>
      </c>
      <c r="C42" s="35" t="s">
        <v>526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527</v>
      </c>
      <c r="C43" s="35" t="s">
        <v>528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529</v>
      </c>
      <c r="C44" s="35" t="s">
        <v>530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531</v>
      </c>
      <c r="C45" s="35" t="s">
        <v>571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532</v>
      </c>
      <c r="C46" s="35" t="s">
        <v>572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533</v>
      </c>
      <c r="C47" s="35" t="s">
        <v>573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534</v>
      </c>
      <c r="C48" s="35" t="s">
        <v>574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535</v>
      </c>
      <c r="C49" s="35" t="s">
        <v>575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536</v>
      </c>
      <c r="C50" s="35" t="s">
        <v>576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537</v>
      </c>
      <c r="C51" s="35" t="s">
        <v>538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539</v>
      </c>
      <c r="C52" s="35" t="s">
        <v>577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540</v>
      </c>
      <c r="C53" s="35" t="s">
        <v>578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541</v>
      </c>
      <c r="C54" s="35" t="s">
        <v>579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542</v>
      </c>
      <c r="C55" s="35" t="s">
        <v>580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543</v>
      </c>
      <c r="C56" s="35" t="s">
        <v>544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545</v>
      </c>
      <c r="C57" s="35" t="s">
        <v>581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9" spans="1:27" x14ac:dyDescent="0.35">
      <c r="Y59" s="11" t="s">
        <v>14</v>
      </c>
      <c r="AA59" s="11"/>
    </row>
    <row r="60" spans="1:27" x14ac:dyDescent="0.35">
      <c r="Y60" s="11" t="s">
        <v>15</v>
      </c>
    </row>
    <row r="61" spans="1:27" x14ac:dyDescent="0.35">
      <c r="Y61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17" priority="1"/>
    <cfRule type="duplicateValues" dxfId="16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480-B677-485B-A0C5-4D7C9B98C0DA}">
  <dimension ref="A1:AA62"/>
  <sheetViews>
    <sheetView topLeftCell="A51" workbookViewId="0">
      <selection activeCell="B58" sqref="B58"/>
    </sheetView>
  </sheetViews>
  <sheetFormatPr defaultRowHeight="14.5" x14ac:dyDescent="0.35"/>
  <cols>
    <col min="1" max="1" width="4.453125" customWidth="1"/>
    <col min="2" max="2" width="19.90625" bestFit="1" customWidth="1"/>
    <col min="3" max="3" width="28.9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582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5.5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583</v>
      </c>
      <c r="C13" s="35" t="s">
        <v>638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584</v>
      </c>
      <c r="C14" s="35" t="s">
        <v>639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8" si="0">AVERAGE(D14:H14)</f>
        <v>#DIV/0!</v>
      </c>
      <c r="T14" s="22" t="e">
        <f t="shared" ref="T14:T58" si="1">AVERAGE(I14:M14)</f>
        <v>#DIV/0!</v>
      </c>
      <c r="U14" s="18" t="e">
        <f t="shared" ref="U14:U58" si="2">AVERAGE(N14:R14)</f>
        <v>#DIV/0!</v>
      </c>
      <c r="V14" s="13"/>
      <c r="W14" s="13" t="e">
        <f t="shared" ref="W14:W58" si="3">AVERAGE(S14:U14)</f>
        <v>#DIV/0!</v>
      </c>
      <c r="X14" s="16" t="e">
        <f t="shared" ref="X14:X58" si="4">ROUND(AVERAGE(V14:W14),0)</f>
        <v>#DIV/0!</v>
      </c>
      <c r="Y14" s="6"/>
      <c r="Z14" s="7">
        <v>1</v>
      </c>
      <c r="AA14" s="8" t="e">
        <f t="shared" ref="AA14:AA5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585</v>
      </c>
      <c r="C15" s="35" t="s">
        <v>640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586</v>
      </c>
      <c r="C16" s="35" t="s">
        <v>641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587</v>
      </c>
      <c r="C17" s="35" t="s">
        <v>642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588</v>
      </c>
      <c r="C18" s="35" t="s">
        <v>643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589</v>
      </c>
      <c r="C19" s="35" t="s">
        <v>644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590</v>
      </c>
      <c r="C20" s="35" t="s">
        <v>645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591</v>
      </c>
      <c r="C21" s="35" t="s">
        <v>646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592</v>
      </c>
      <c r="C22" s="35" t="s">
        <v>647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593</v>
      </c>
      <c r="C23" s="35" t="s">
        <v>594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595</v>
      </c>
      <c r="C24" s="35" t="s">
        <v>648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596</v>
      </c>
      <c r="C25" s="35" t="s">
        <v>649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597</v>
      </c>
      <c r="C26" s="35" t="s">
        <v>650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598</v>
      </c>
      <c r="C27" s="35" t="s">
        <v>599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600</v>
      </c>
      <c r="C28" s="35" t="s">
        <v>651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601</v>
      </c>
      <c r="C29" s="35" t="s">
        <v>602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603</v>
      </c>
      <c r="C30" s="35" t="s">
        <v>652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604</v>
      </c>
      <c r="C31" s="35" t="s">
        <v>605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606</v>
      </c>
      <c r="C32" s="35" t="s">
        <v>653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607</v>
      </c>
      <c r="C33" s="35" t="s">
        <v>608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609</v>
      </c>
      <c r="C34" s="35" t="s">
        <v>654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610</v>
      </c>
      <c r="C35" s="35" t="s">
        <v>655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611</v>
      </c>
      <c r="C36" s="35" t="s">
        <v>612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613</v>
      </c>
      <c r="C37" s="35" t="s">
        <v>656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614</v>
      </c>
      <c r="C38" s="35" t="s">
        <v>657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615</v>
      </c>
      <c r="C39" s="35" t="s">
        <v>658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616</v>
      </c>
      <c r="C40" s="35" t="s">
        <v>659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617</v>
      </c>
      <c r="C41" s="35" t="s">
        <v>660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618</v>
      </c>
      <c r="C42" s="35" t="s">
        <v>619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620</v>
      </c>
      <c r="C43" s="35" t="s">
        <v>661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621</v>
      </c>
      <c r="C44" s="35" t="s">
        <v>662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622</v>
      </c>
      <c r="C45" s="35" t="s">
        <v>663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623</v>
      </c>
      <c r="C46" s="35" t="s">
        <v>664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624</v>
      </c>
      <c r="C47" s="35" t="s">
        <v>665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625</v>
      </c>
      <c r="C48" s="35" t="s">
        <v>666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626</v>
      </c>
      <c r="C49" s="35" t="s">
        <v>667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627</v>
      </c>
      <c r="C50" s="35" t="s">
        <v>668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628</v>
      </c>
      <c r="C51" s="35" t="s">
        <v>669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629</v>
      </c>
      <c r="C52" s="35" t="s">
        <v>670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630</v>
      </c>
      <c r="C53" s="35" t="s">
        <v>671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631</v>
      </c>
      <c r="C54" s="35" t="s">
        <v>632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633</v>
      </c>
      <c r="C55" s="35" t="s">
        <v>672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634</v>
      </c>
      <c r="C56" s="35" t="s">
        <v>673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635</v>
      </c>
      <c r="C57" s="35" t="s">
        <v>674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8" spans="1:27" x14ac:dyDescent="0.35">
      <c r="A58" s="4">
        <v>46</v>
      </c>
      <c r="B58" s="34" t="s">
        <v>636</v>
      </c>
      <c r="C58" s="35" t="s">
        <v>637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0"/>
        <v>#DIV/0!</v>
      </c>
      <c r="T58" s="22" t="e">
        <f t="shared" si="1"/>
        <v>#DIV/0!</v>
      </c>
      <c r="U58" s="18" t="e">
        <f t="shared" si="2"/>
        <v>#DIV/0!</v>
      </c>
      <c r="V58" s="13"/>
      <c r="W58" s="13" t="e">
        <f t="shared" si="3"/>
        <v>#DIV/0!</v>
      </c>
      <c r="X58" s="16" t="e">
        <f t="shared" si="4"/>
        <v>#DIV/0!</v>
      </c>
      <c r="Y58" s="6"/>
      <c r="Z58" s="7"/>
      <c r="AA58" s="8" t="e">
        <f t="shared" si="5"/>
        <v>#DIV/0!</v>
      </c>
    </row>
    <row r="60" spans="1:27" x14ac:dyDescent="0.35">
      <c r="Y60" s="11" t="s">
        <v>14</v>
      </c>
      <c r="AA60" s="11"/>
    </row>
    <row r="61" spans="1:27" x14ac:dyDescent="0.35">
      <c r="Y61" s="11" t="s">
        <v>15</v>
      </c>
    </row>
    <row r="62" spans="1:27" x14ac:dyDescent="0.35">
      <c r="Y62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15" priority="1"/>
    <cfRule type="duplicateValues" dxfId="1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70F9-9035-4A30-B8EA-32664D7219C9}">
  <dimension ref="A1:AA61"/>
  <sheetViews>
    <sheetView topLeftCell="A45" workbookViewId="0">
      <selection activeCell="C57" sqref="C57"/>
    </sheetView>
  </sheetViews>
  <sheetFormatPr defaultRowHeight="14.5" x14ac:dyDescent="0.35"/>
  <cols>
    <col min="1" max="1" width="4.453125" customWidth="1"/>
    <col min="2" max="2" width="19.90625" bestFit="1" customWidth="1"/>
    <col min="3" max="3" width="32.36328125" bestFit="1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675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2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676</v>
      </c>
      <c r="C13" s="35" t="s">
        <v>729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677</v>
      </c>
      <c r="C14" s="35" t="s">
        <v>730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7" si="0">AVERAGE(D14:H14)</f>
        <v>#DIV/0!</v>
      </c>
      <c r="T14" s="22" t="e">
        <f t="shared" ref="T14:T57" si="1">AVERAGE(I14:M14)</f>
        <v>#DIV/0!</v>
      </c>
      <c r="U14" s="18" t="e">
        <f t="shared" ref="U14:U57" si="2">AVERAGE(N14:R14)</f>
        <v>#DIV/0!</v>
      </c>
      <c r="V14" s="13"/>
      <c r="W14" s="13" t="e">
        <f t="shared" ref="W14:W57" si="3">AVERAGE(S14:U14)</f>
        <v>#DIV/0!</v>
      </c>
      <c r="X14" s="16" t="e">
        <f t="shared" ref="X14:X57" si="4">ROUND(AVERAGE(V14:W14),0)</f>
        <v>#DIV/0!</v>
      </c>
      <c r="Y14" s="6"/>
      <c r="Z14" s="7">
        <v>1</v>
      </c>
      <c r="AA14" s="8" t="e">
        <f t="shared" ref="AA14:AA57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678</v>
      </c>
      <c r="C15" s="35" t="s">
        <v>731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679</v>
      </c>
      <c r="C16" s="35" t="s">
        <v>732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680</v>
      </c>
      <c r="C17" s="35" t="s">
        <v>733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681</v>
      </c>
      <c r="C18" s="35" t="s">
        <v>734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682</v>
      </c>
      <c r="C19" s="35" t="s">
        <v>683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684</v>
      </c>
      <c r="C20" s="35" t="s">
        <v>735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685</v>
      </c>
      <c r="C21" s="35" t="s">
        <v>736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686</v>
      </c>
      <c r="C22" s="35" t="s">
        <v>737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687</v>
      </c>
      <c r="C23" s="35" t="s">
        <v>738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688</v>
      </c>
      <c r="C24" s="35" t="s">
        <v>739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689</v>
      </c>
      <c r="C25" s="35" t="s">
        <v>690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691</v>
      </c>
      <c r="C26" s="35" t="s">
        <v>740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692</v>
      </c>
      <c r="C27" s="35" t="s">
        <v>741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693</v>
      </c>
      <c r="C28" s="35" t="s">
        <v>742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694</v>
      </c>
      <c r="C29" s="35" t="s">
        <v>743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695</v>
      </c>
      <c r="C30" s="35" t="s">
        <v>696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697</v>
      </c>
      <c r="C31" s="35" t="s">
        <v>744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698</v>
      </c>
      <c r="C32" s="35" t="s">
        <v>699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700</v>
      </c>
      <c r="C33" s="35" t="s">
        <v>745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701</v>
      </c>
      <c r="C34" s="35" t="s">
        <v>746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702</v>
      </c>
      <c r="C35" s="35" t="s">
        <v>747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703</v>
      </c>
      <c r="C36" s="35" t="s">
        <v>748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704</v>
      </c>
      <c r="C37" s="35" t="s">
        <v>749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705</v>
      </c>
      <c r="C38" s="35" t="s">
        <v>750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706</v>
      </c>
      <c r="C39" s="35" t="s">
        <v>751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707</v>
      </c>
      <c r="C40" s="35" t="s">
        <v>752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708</v>
      </c>
      <c r="C41" s="35" t="s">
        <v>753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709</v>
      </c>
      <c r="C42" s="35" t="s">
        <v>710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711</v>
      </c>
      <c r="C43" s="35" t="s">
        <v>754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712</v>
      </c>
      <c r="C44" s="35" t="s">
        <v>755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713</v>
      </c>
      <c r="C45" s="35" t="s">
        <v>756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714</v>
      </c>
      <c r="C46" s="35" t="s">
        <v>757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715</v>
      </c>
      <c r="C47" s="35" t="s">
        <v>758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716</v>
      </c>
      <c r="C48" s="35" t="s">
        <v>759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717</v>
      </c>
      <c r="C49" s="35" t="s">
        <v>760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718</v>
      </c>
      <c r="C50" s="35" t="s">
        <v>761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719</v>
      </c>
      <c r="C51" s="35" t="s">
        <v>762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720</v>
      </c>
      <c r="C52" s="35" t="s">
        <v>763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721</v>
      </c>
      <c r="C53" s="35" t="s">
        <v>764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722</v>
      </c>
      <c r="C54" s="35" t="s">
        <v>723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724</v>
      </c>
      <c r="C55" s="35" t="s">
        <v>765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725</v>
      </c>
      <c r="C56" s="35" t="s">
        <v>726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727</v>
      </c>
      <c r="C57" s="35" t="s">
        <v>728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9" spans="1:27" x14ac:dyDescent="0.35">
      <c r="Y59" s="11" t="s">
        <v>14</v>
      </c>
      <c r="AA59" s="11"/>
    </row>
    <row r="60" spans="1:27" x14ac:dyDescent="0.35">
      <c r="Y60" s="11" t="s">
        <v>15</v>
      </c>
    </row>
    <row r="61" spans="1:27" x14ac:dyDescent="0.35">
      <c r="Y61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13" priority="1"/>
    <cfRule type="duplicateValues" dxfId="12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4A94-BA12-438A-8F97-039C83738400}">
  <dimension ref="A1:AA61"/>
  <sheetViews>
    <sheetView topLeftCell="A40" workbookViewId="0">
      <selection activeCell="C8" sqref="C8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1145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4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766</v>
      </c>
      <c r="C13" s="35" t="s">
        <v>812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767</v>
      </c>
      <c r="C14" s="35" t="s">
        <v>813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57" si="0">AVERAGE(D14:H14)</f>
        <v>#DIV/0!</v>
      </c>
      <c r="T14" s="22" t="e">
        <f t="shared" ref="T14:T57" si="1">AVERAGE(I14:M14)</f>
        <v>#DIV/0!</v>
      </c>
      <c r="U14" s="18" t="e">
        <f t="shared" ref="U14:U57" si="2">AVERAGE(N14:R14)</f>
        <v>#DIV/0!</v>
      </c>
      <c r="V14" s="13"/>
      <c r="W14" s="13" t="e">
        <f t="shared" ref="W14:W57" si="3">AVERAGE(S14:U14)</f>
        <v>#DIV/0!</v>
      </c>
      <c r="X14" s="16" t="e">
        <f t="shared" ref="X14:X57" si="4">ROUND(AVERAGE(V14:W14),0)</f>
        <v>#DIV/0!</v>
      </c>
      <c r="Y14" s="6"/>
      <c r="Z14" s="7">
        <v>1</v>
      </c>
      <c r="AA14" s="8" t="e">
        <f t="shared" ref="AA14:AA57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768</v>
      </c>
      <c r="C15" s="35" t="s">
        <v>814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769</v>
      </c>
      <c r="C16" s="35" t="s">
        <v>815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770</v>
      </c>
      <c r="C17" s="35" t="s">
        <v>816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771</v>
      </c>
      <c r="C18" s="35" t="s">
        <v>817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772</v>
      </c>
      <c r="C19" s="35" t="s">
        <v>818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773</v>
      </c>
      <c r="C20" s="35" t="s">
        <v>819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774</v>
      </c>
      <c r="C21" s="35" t="s">
        <v>820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775</v>
      </c>
      <c r="C22" s="35" t="s">
        <v>821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776</v>
      </c>
      <c r="C23" s="35" t="s">
        <v>822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777</v>
      </c>
      <c r="C24" s="35" t="s">
        <v>823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778</v>
      </c>
      <c r="C25" s="35" t="s">
        <v>824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779</v>
      </c>
      <c r="C26" s="35" t="s">
        <v>825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780</v>
      </c>
      <c r="C27" s="35" t="s">
        <v>826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781</v>
      </c>
      <c r="C28" s="35" t="s">
        <v>827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782</v>
      </c>
      <c r="C29" s="35" t="s">
        <v>828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783</v>
      </c>
      <c r="C30" s="35" t="s">
        <v>829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784</v>
      </c>
      <c r="C31" s="35" t="s">
        <v>830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785</v>
      </c>
      <c r="C32" s="35" t="s">
        <v>831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786</v>
      </c>
      <c r="C33" s="35" t="s">
        <v>787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788</v>
      </c>
      <c r="C34" s="35" t="s">
        <v>832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789</v>
      </c>
      <c r="C35" s="35" t="s">
        <v>833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790</v>
      </c>
      <c r="C36" s="35" t="s">
        <v>834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791</v>
      </c>
      <c r="C37" s="35" t="s">
        <v>835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792</v>
      </c>
      <c r="C38" s="35" t="s">
        <v>836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793</v>
      </c>
      <c r="C39" s="35" t="s">
        <v>837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794</v>
      </c>
      <c r="C40" s="35" t="s">
        <v>838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795</v>
      </c>
      <c r="C41" s="35" t="s">
        <v>839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796</v>
      </c>
      <c r="C42" s="35" t="s">
        <v>840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797</v>
      </c>
      <c r="C43" s="35" t="s">
        <v>841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798</v>
      </c>
      <c r="C44" s="35" t="s">
        <v>842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799</v>
      </c>
      <c r="C45" s="35" t="s">
        <v>843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800</v>
      </c>
      <c r="C46" s="35" t="s">
        <v>844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801</v>
      </c>
      <c r="C47" s="35" t="s">
        <v>845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802</v>
      </c>
      <c r="C48" s="35" t="s">
        <v>846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803</v>
      </c>
      <c r="C49" s="35" t="s">
        <v>847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/>
      <c r="AA49" s="8" t="e">
        <f t="shared" si="5"/>
        <v>#DIV/0!</v>
      </c>
    </row>
    <row r="50" spans="1:27" x14ac:dyDescent="0.35">
      <c r="A50" s="4">
        <v>38</v>
      </c>
      <c r="B50" s="34" t="s">
        <v>804</v>
      </c>
      <c r="C50" s="35" t="s">
        <v>848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0"/>
        <v>#DIV/0!</v>
      </c>
      <c r="T50" s="22" t="e">
        <f t="shared" si="1"/>
        <v>#DIV/0!</v>
      </c>
      <c r="U50" s="18" t="e">
        <f t="shared" si="2"/>
        <v>#DIV/0!</v>
      </c>
      <c r="V50" s="13"/>
      <c r="W50" s="13" t="e">
        <f t="shared" si="3"/>
        <v>#DIV/0!</v>
      </c>
      <c r="X50" s="16" t="e">
        <f t="shared" si="4"/>
        <v>#DIV/0!</v>
      </c>
      <c r="Y50" s="6"/>
      <c r="Z50" s="7"/>
      <c r="AA50" s="8" t="e">
        <f t="shared" si="5"/>
        <v>#DIV/0!</v>
      </c>
    </row>
    <row r="51" spans="1:27" x14ac:dyDescent="0.35">
      <c r="A51" s="4">
        <v>39</v>
      </c>
      <c r="B51" s="34" t="s">
        <v>805</v>
      </c>
      <c r="C51" s="35" t="s">
        <v>849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0"/>
        <v>#DIV/0!</v>
      </c>
      <c r="T51" s="22" t="e">
        <f t="shared" si="1"/>
        <v>#DIV/0!</v>
      </c>
      <c r="U51" s="18" t="e">
        <f t="shared" si="2"/>
        <v>#DIV/0!</v>
      </c>
      <c r="V51" s="13"/>
      <c r="W51" s="13" t="e">
        <f t="shared" si="3"/>
        <v>#DIV/0!</v>
      </c>
      <c r="X51" s="16" t="e">
        <f t="shared" si="4"/>
        <v>#DIV/0!</v>
      </c>
      <c r="Y51" s="6"/>
      <c r="Z51" s="7"/>
      <c r="AA51" s="8" t="e">
        <f t="shared" si="5"/>
        <v>#DIV/0!</v>
      </c>
    </row>
    <row r="52" spans="1:27" x14ac:dyDescent="0.35">
      <c r="A52" s="4">
        <v>40</v>
      </c>
      <c r="B52" s="34" t="s">
        <v>806</v>
      </c>
      <c r="C52" s="35" t="s">
        <v>850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0"/>
        <v>#DIV/0!</v>
      </c>
      <c r="T52" s="22" t="e">
        <f t="shared" si="1"/>
        <v>#DIV/0!</v>
      </c>
      <c r="U52" s="18" t="e">
        <f t="shared" si="2"/>
        <v>#DIV/0!</v>
      </c>
      <c r="V52" s="13"/>
      <c r="W52" s="13" t="e">
        <f t="shared" si="3"/>
        <v>#DIV/0!</v>
      </c>
      <c r="X52" s="16" t="e">
        <f t="shared" si="4"/>
        <v>#DIV/0!</v>
      </c>
      <c r="Y52" s="6"/>
      <c r="Z52" s="7"/>
      <c r="AA52" s="8" t="e">
        <f t="shared" si="5"/>
        <v>#DIV/0!</v>
      </c>
    </row>
    <row r="53" spans="1:27" x14ac:dyDescent="0.35">
      <c r="A53" s="4">
        <v>41</v>
      </c>
      <c r="B53" s="34" t="s">
        <v>807</v>
      </c>
      <c r="C53" s="35" t="s">
        <v>851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0"/>
        <v>#DIV/0!</v>
      </c>
      <c r="T53" s="22" t="e">
        <f t="shared" si="1"/>
        <v>#DIV/0!</v>
      </c>
      <c r="U53" s="18" t="e">
        <f t="shared" si="2"/>
        <v>#DIV/0!</v>
      </c>
      <c r="V53" s="13"/>
      <c r="W53" s="13" t="e">
        <f t="shared" si="3"/>
        <v>#DIV/0!</v>
      </c>
      <c r="X53" s="16" t="e">
        <f t="shared" si="4"/>
        <v>#DIV/0!</v>
      </c>
      <c r="Y53" s="6"/>
      <c r="Z53" s="7"/>
      <c r="AA53" s="8" t="e">
        <f t="shared" si="5"/>
        <v>#DIV/0!</v>
      </c>
    </row>
    <row r="54" spans="1:27" x14ac:dyDescent="0.35">
      <c r="A54" s="4">
        <v>42</v>
      </c>
      <c r="B54" s="34" t="s">
        <v>808</v>
      </c>
      <c r="C54" s="35" t="s">
        <v>852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0"/>
        <v>#DIV/0!</v>
      </c>
      <c r="T54" s="22" t="e">
        <f t="shared" si="1"/>
        <v>#DIV/0!</v>
      </c>
      <c r="U54" s="18" t="e">
        <f t="shared" si="2"/>
        <v>#DIV/0!</v>
      </c>
      <c r="V54" s="13"/>
      <c r="W54" s="13" t="e">
        <f t="shared" si="3"/>
        <v>#DIV/0!</v>
      </c>
      <c r="X54" s="16" t="e">
        <f t="shared" si="4"/>
        <v>#DIV/0!</v>
      </c>
      <c r="Y54" s="6"/>
      <c r="Z54" s="7"/>
      <c r="AA54" s="8" t="e">
        <f t="shared" si="5"/>
        <v>#DIV/0!</v>
      </c>
    </row>
    <row r="55" spans="1:27" x14ac:dyDescent="0.35">
      <c r="A55" s="4">
        <v>43</v>
      </c>
      <c r="B55" s="34" t="s">
        <v>809</v>
      </c>
      <c r="C55" s="35" t="s">
        <v>853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0"/>
        <v>#DIV/0!</v>
      </c>
      <c r="T55" s="22" t="e">
        <f t="shared" si="1"/>
        <v>#DIV/0!</v>
      </c>
      <c r="U55" s="18" t="e">
        <f t="shared" si="2"/>
        <v>#DIV/0!</v>
      </c>
      <c r="V55" s="13"/>
      <c r="W55" s="13" t="e">
        <f t="shared" si="3"/>
        <v>#DIV/0!</v>
      </c>
      <c r="X55" s="16" t="e">
        <f t="shared" si="4"/>
        <v>#DIV/0!</v>
      </c>
      <c r="Y55" s="6"/>
      <c r="Z55" s="7"/>
      <c r="AA55" s="8" t="e">
        <f t="shared" si="5"/>
        <v>#DIV/0!</v>
      </c>
    </row>
    <row r="56" spans="1:27" x14ac:dyDescent="0.35">
      <c r="A56" s="4">
        <v>44</v>
      </c>
      <c r="B56" s="34" t="s">
        <v>810</v>
      </c>
      <c r="C56" s="35" t="s">
        <v>854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0"/>
        <v>#DIV/0!</v>
      </c>
      <c r="T56" s="22" t="e">
        <f t="shared" si="1"/>
        <v>#DIV/0!</v>
      </c>
      <c r="U56" s="18" t="e">
        <f t="shared" si="2"/>
        <v>#DIV/0!</v>
      </c>
      <c r="V56" s="13"/>
      <c r="W56" s="13" t="e">
        <f t="shared" si="3"/>
        <v>#DIV/0!</v>
      </c>
      <c r="X56" s="16" t="e">
        <f t="shared" si="4"/>
        <v>#DIV/0!</v>
      </c>
      <c r="Y56" s="6"/>
      <c r="Z56" s="7"/>
      <c r="AA56" s="8" t="e">
        <f t="shared" si="5"/>
        <v>#DIV/0!</v>
      </c>
    </row>
    <row r="57" spans="1:27" x14ac:dyDescent="0.35">
      <c r="A57" s="4">
        <v>45</v>
      </c>
      <c r="B57" s="34" t="s">
        <v>811</v>
      </c>
      <c r="C57" s="35" t="s">
        <v>855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0"/>
        <v>#DIV/0!</v>
      </c>
      <c r="T57" s="22" t="e">
        <f t="shared" si="1"/>
        <v>#DIV/0!</v>
      </c>
      <c r="U57" s="18" t="e">
        <f t="shared" si="2"/>
        <v>#DIV/0!</v>
      </c>
      <c r="V57" s="13"/>
      <c r="W57" s="13" t="e">
        <f t="shared" si="3"/>
        <v>#DIV/0!</v>
      </c>
      <c r="X57" s="16" t="e">
        <f t="shared" si="4"/>
        <v>#DIV/0!</v>
      </c>
      <c r="Y57" s="6"/>
      <c r="Z57" s="7"/>
      <c r="AA57" s="8" t="e">
        <f t="shared" si="5"/>
        <v>#DIV/0!</v>
      </c>
    </row>
    <row r="59" spans="1:27" x14ac:dyDescent="0.35">
      <c r="Y59" s="11" t="s">
        <v>14</v>
      </c>
      <c r="AA59" s="11"/>
    </row>
    <row r="60" spans="1:27" x14ac:dyDescent="0.35">
      <c r="Y60" s="11" t="s">
        <v>15</v>
      </c>
    </row>
    <row r="61" spans="1:27" x14ac:dyDescent="0.35">
      <c r="Y61" s="11" t="s">
        <v>16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11" priority="1"/>
    <cfRule type="duplicateValues" dxfId="1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1D22-6D4D-4B07-8F17-350D2FC36E8F}">
  <dimension ref="A1:AA62"/>
  <sheetViews>
    <sheetView topLeftCell="A40" workbookViewId="0">
      <selection activeCell="C8" sqref="C8"/>
    </sheetView>
  </sheetViews>
  <sheetFormatPr defaultRowHeight="14.5" x14ac:dyDescent="0.35"/>
  <cols>
    <col min="1" max="1" width="4.453125" customWidth="1"/>
    <col min="2" max="2" width="19.90625" bestFit="1" customWidth="1"/>
    <col min="3" max="3" width="28.542968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7" customWidth="1"/>
    <col min="30" max="30" width="6" customWidth="1"/>
    <col min="217" max="217" width="4.453125" customWidth="1"/>
    <col min="218" max="218" width="19.453125" customWidth="1"/>
    <col min="219" max="219" width="47.26953125" customWidth="1"/>
    <col min="220" max="222" width="4.7265625" customWidth="1"/>
    <col min="223" max="227" width="5" customWidth="1"/>
    <col min="228" max="267" width="4.7265625" customWidth="1"/>
    <col min="268" max="268" width="5.54296875" customWidth="1"/>
    <col min="269" max="269" width="7.54296875" customWidth="1"/>
    <col min="270" max="270" width="6.81640625" customWidth="1"/>
    <col min="271" max="271" width="7.1796875" customWidth="1"/>
    <col min="473" max="473" width="4.453125" customWidth="1"/>
    <col min="474" max="474" width="19.453125" customWidth="1"/>
    <col min="475" max="475" width="47.26953125" customWidth="1"/>
    <col min="476" max="478" width="4.7265625" customWidth="1"/>
    <col min="479" max="483" width="5" customWidth="1"/>
    <col min="484" max="523" width="4.7265625" customWidth="1"/>
    <col min="524" max="524" width="5.54296875" customWidth="1"/>
    <col min="525" max="525" width="7.54296875" customWidth="1"/>
    <col min="526" max="526" width="6.81640625" customWidth="1"/>
    <col min="527" max="527" width="7.1796875" customWidth="1"/>
    <col min="729" max="729" width="4.453125" customWidth="1"/>
    <col min="730" max="730" width="19.453125" customWidth="1"/>
    <col min="731" max="731" width="47.26953125" customWidth="1"/>
    <col min="732" max="734" width="4.7265625" customWidth="1"/>
    <col min="735" max="739" width="5" customWidth="1"/>
    <col min="740" max="779" width="4.7265625" customWidth="1"/>
    <col min="780" max="780" width="5.54296875" customWidth="1"/>
    <col min="781" max="781" width="7.54296875" customWidth="1"/>
    <col min="782" max="782" width="6.81640625" customWidth="1"/>
    <col min="783" max="783" width="7.1796875" customWidth="1"/>
    <col min="985" max="985" width="4.453125" customWidth="1"/>
    <col min="986" max="986" width="19.453125" customWidth="1"/>
    <col min="987" max="987" width="47.26953125" customWidth="1"/>
    <col min="988" max="990" width="4.7265625" customWidth="1"/>
    <col min="991" max="995" width="5" customWidth="1"/>
    <col min="996" max="1035" width="4.7265625" customWidth="1"/>
    <col min="1036" max="1036" width="5.54296875" customWidth="1"/>
    <col min="1037" max="1037" width="7.54296875" customWidth="1"/>
    <col min="1038" max="1038" width="6.81640625" customWidth="1"/>
    <col min="1039" max="1039" width="7.1796875" customWidth="1"/>
    <col min="1241" max="1241" width="4.453125" customWidth="1"/>
    <col min="1242" max="1242" width="19.453125" customWidth="1"/>
    <col min="1243" max="1243" width="47.26953125" customWidth="1"/>
    <col min="1244" max="1246" width="4.7265625" customWidth="1"/>
    <col min="1247" max="1251" width="5" customWidth="1"/>
    <col min="1252" max="1291" width="4.7265625" customWidth="1"/>
    <col min="1292" max="1292" width="5.54296875" customWidth="1"/>
    <col min="1293" max="1293" width="7.54296875" customWidth="1"/>
    <col min="1294" max="1294" width="6.81640625" customWidth="1"/>
    <col min="1295" max="1295" width="7.1796875" customWidth="1"/>
    <col min="1497" max="1497" width="4.453125" customWidth="1"/>
    <col min="1498" max="1498" width="19.453125" customWidth="1"/>
    <col min="1499" max="1499" width="47.26953125" customWidth="1"/>
    <col min="1500" max="1502" width="4.7265625" customWidth="1"/>
    <col min="1503" max="1507" width="5" customWidth="1"/>
    <col min="1508" max="1547" width="4.7265625" customWidth="1"/>
    <col min="1548" max="1548" width="5.54296875" customWidth="1"/>
    <col min="1549" max="1549" width="7.54296875" customWidth="1"/>
    <col min="1550" max="1550" width="6.81640625" customWidth="1"/>
    <col min="1551" max="1551" width="7.1796875" customWidth="1"/>
    <col min="1753" max="1753" width="4.453125" customWidth="1"/>
    <col min="1754" max="1754" width="19.453125" customWidth="1"/>
    <col min="1755" max="1755" width="47.26953125" customWidth="1"/>
    <col min="1756" max="1758" width="4.7265625" customWidth="1"/>
    <col min="1759" max="1763" width="5" customWidth="1"/>
    <col min="1764" max="1803" width="4.7265625" customWidth="1"/>
    <col min="1804" max="1804" width="5.54296875" customWidth="1"/>
    <col min="1805" max="1805" width="7.54296875" customWidth="1"/>
    <col min="1806" max="1806" width="6.81640625" customWidth="1"/>
    <col min="1807" max="1807" width="7.1796875" customWidth="1"/>
    <col min="2009" max="2009" width="4.453125" customWidth="1"/>
    <col min="2010" max="2010" width="19.453125" customWidth="1"/>
    <col min="2011" max="2011" width="47.26953125" customWidth="1"/>
    <col min="2012" max="2014" width="4.7265625" customWidth="1"/>
    <col min="2015" max="2019" width="5" customWidth="1"/>
    <col min="2020" max="2059" width="4.7265625" customWidth="1"/>
    <col min="2060" max="2060" width="5.54296875" customWidth="1"/>
    <col min="2061" max="2061" width="7.54296875" customWidth="1"/>
    <col min="2062" max="2062" width="6.81640625" customWidth="1"/>
    <col min="2063" max="2063" width="7.1796875" customWidth="1"/>
    <col min="2265" max="2265" width="4.453125" customWidth="1"/>
    <col min="2266" max="2266" width="19.453125" customWidth="1"/>
    <col min="2267" max="2267" width="47.26953125" customWidth="1"/>
    <col min="2268" max="2270" width="4.7265625" customWidth="1"/>
    <col min="2271" max="2275" width="5" customWidth="1"/>
    <col min="2276" max="2315" width="4.7265625" customWidth="1"/>
    <col min="2316" max="2316" width="5.54296875" customWidth="1"/>
    <col min="2317" max="2317" width="7.54296875" customWidth="1"/>
    <col min="2318" max="2318" width="6.81640625" customWidth="1"/>
    <col min="2319" max="2319" width="7.1796875" customWidth="1"/>
    <col min="2521" max="2521" width="4.453125" customWidth="1"/>
    <col min="2522" max="2522" width="19.453125" customWidth="1"/>
    <col min="2523" max="2523" width="47.26953125" customWidth="1"/>
    <col min="2524" max="2526" width="4.7265625" customWidth="1"/>
    <col min="2527" max="2531" width="5" customWidth="1"/>
    <col min="2532" max="2571" width="4.7265625" customWidth="1"/>
    <col min="2572" max="2572" width="5.54296875" customWidth="1"/>
    <col min="2573" max="2573" width="7.54296875" customWidth="1"/>
    <col min="2574" max="2574" width="6.81640625" customWidth="1"/>
    <col min="2575" max="2575" width="7.1796875" customWidth="1"/>
    <col min="2777" max="2777" width="4.453125" customWidth="1"/>
    <col min="2778" max="2778" width="19.453125" customWidth="1"/>
    <col min="2779" max="2779" width="47.26953125" customWidth="1"/>
    <col min="2780" max="2782" width="4.7265625" customWidth="1"/>
    <col min="2783" max="2787" width="5" customWidth="1"/>
    <col min="2788" max="2827" width="4.7265625" customWidth="1"/>
    <col min="2828" max="2828" width="5.54296875" customWidth="1"/>
    <col min="2829" max="2829" width="7.54296875" customWidth="1"/>
    <col min="2830" max="2830" width="6.81640625" customWidth="1"/>
    <col min="2831" max="2831" width="7.1796875" customWidth="1"/>
    <col min="3033" max="3033" width="4.453125" customWidth="1"/>
    <col min="3034" max="3034" width="19.453125" customWidth="1"/>
    <col min="3035" max="3035" width="47.26953125" customWidth="1"/>
    <col min="3036" max="3038" width="4.7265625" customWidth="1"/>
    <col min="3039" max="3043" width="5" customWidth="1"/>
    <col min="3044" max="3083" width="4.7265625" customWidth="1"/>
    <col min="3084" max="3084" width="5.54296875" customWidth="1"/>
    <col min="3085" max="3085" width="7.54296875" customWidth="1"/>
    <col min="3086" max="3086" width="6.81640625" customWidth="1"/>
    <col min="3087" max="3087" width="7.1796875" customWidth="1"/>
    <col min="3289" max="3289" width="4.453125" customWidth="1"/>
    <col min="3290" max="3290" width="19.453125" customWidth="1"/>
    <col min="3291" max="3291" width="47.26953125" customWidth="1"/>
    <col min="3292" max="3294" width="4.7265625" customWidth="1"/>
    <col min="3295" max="3299" width="5" customWidth="1"/>
    <col min="3300" max="3339" width="4.7265625" customWidth="1"/>
    <col min="3340" max="3340" width="5.54296875" customWidth="1"/>
    <col min="3341" max="3341" width="7.54296875" customWidth="1"/>
    <col min="3342" max="3342" width="6.81640625" customWidth="1"/>
    <col min="3343" max="3343" width="7.1796875" customWidth="1"/>
    <col min="3545" max="3545" width="4.453125" customWidth="1"/>
    <col min="3546" max="3546" width="19.453125" customWidth="1"/>
    <col min="3547" max="3547" width="47.26953125" customWidth="1"/>
    <col min="3548" max="3550" width="4.7265625" customWidth="1"/>
    <col min="3551" max="3555" width="5" customWidth="1"/>
    <col min="3556" max="3595" width="4.7265625" customWidth="1"/>
    <col min="3596" max="3596" width="5.54296875" customWidth="1"/>
    <col min="3597" max="3597" width="7.54296875" customWidth="1"/>
    <col min="3598" max="3598" width="6.81640625" customWidth="1"/>
    <col min="3599" max="3599" width="7.1796875" customWidth="1"/>
    <col min="3801" max="3801" width="4.453125" customWidth="1"/>
    <col min="3802" max="3802" width="19.453125" customWidth="1"/>
    <col min="3803" max="3803" width="47.26953125" customWidth="1"/>
    <col min="3804" max="3806" width="4.7265625" customWidth="1"/>
    <col min="3807" max="3811" width="5" customWidth="1"/>
    <col min="3812" max="3851" width="4.7265625" customWidth="1"/>
    <col min="3852" max="3852" width="5.54296875" customWidth="1"/>
    <col min="3853" max="3853" width="7.54296875" customWidth="1"/>
    <col min="3854" max="3854" width="6.81640625" customWidth="1"/>
    <col min="3855" max="3855" width="7.1796875" customWidth="1"/>
    <col min="4057" max="4057" width="4.453125" customWidth="1"/>
    <col min="4058" max="4058" width="19.453125" customWidth="1"/>
    <col min="4059" max="4059" width="47.26953125" customWidth="1"/>
    <col min="4060" max="4062" width="4.7265625" customWidth="1"/>
    <col min="4063" max="4067" width="5" customWidth="1"/>
    <col min="4068" max="4107" width="4.7265625" customWidth="1"/>
    <col min="4108" max="4108" width="5.54296875" customWidth="1"/>
    <col min="4109" max="4109" width="7.54296875" customWidth="1"/>
    <col min="4110" max="4110" width="6.81640625" customWidth="1"/>
    <col min="4111" max="4111" width="7.1796875" customWidth="1"/>
    <col min="4313" max="4313" width="4.453125" customWidth="1"/>
    <col min="4314" max="4314" width="19.453125" customWidth="1"/>
    <col min="4315" max="4315" width="47.26953125" customWidth="1"/>
    <col min="4316" max="4318" width="4.7265625" customWidth="1"/>
    <col min="4319" max="4323" width="5" customWidth="1"/>
    <col min="4324" max="4363" width="4.7265625" customWidth="1"/>
    <col min="4364" max="4364" width="5.54296875" customWidth="1"/>
    <col min="4365" max="4365" width="7.54296875" customWidth="1"/>
    <col min="4366" max="4366" width="6.81640625" customWidth="1"/>
    <col min="4367" max="4367" width="7.1796875" customWidth="1"/>
    <col min="4569" max="4569" width="4.453125" customWidth="1"/>
    <col min="4570" max="4570" width="19.453125" customWidth="1"/>
    <col min="4571" max="4571" width="47.26953125" customWidth="1"/>
    <col min="4572" max="4574" width="4.7265625" customWidth="1"/>
    <col min="4575" max="4579" width="5" customWidth="1"/>
    <col min="4580" max="4619" width="4.7265625" customWidth="1"/>
    <col min="4620" max="4620" width="5.54296875" customWidth="1"/>
    <col min="4621" max="4621" width="7.54296875" customWidth="1"/>
    <col min="4622" max="4622" width="6.81640625" customWidth="1"/>
    <col min="4623" max="4623" width="7.1796875" customWidth="1"/>
    <col min="4825" max="4825" width="4.453125" customWidth="1"/>
    <col min="4826" max="4826" width="19.453125" customWidth="1"/>
    <col min="4827" max="4827" width="47.26953125" customWidth="1"/>
    <col min="4828" max="4830" width="4.7265625" customWidth="1"/>
    <col min="4831" max="4835" width="5" customWidth="1"/>
    <col min="4836" max="4875" width="4.7265625" customWidth="1"/>
    <col min="4876" max="4876" width="5.54296875" customWidth="1"/>
    <col min="4877" max="4877" width="7.54296875" customWidth="1"/>
    <col min="4878" max="4878" width="6.81640625" customWidth="1"/>
    <col min="4879" max="4879" width="7.1796875" customWidth="1"/>
    <col min="5081" max="5081" width="4.453125" customWidth="1"/>
    <col min="5082" max="5082" width="19.453125" customWidth="1"/>
    <col min="5083" max="5083" width="47.26953125" customWidth="1"/>
    <col min="5084" max="5086" width="4.7265625" customWidth="1"/>
    <col min="5087" max="5091" width="5" customWidth="1"/>
    <col min="5092" max="5131" width="4.7265625" customWidth="1"/>
    <col min="5132" max="5132" width="5.54296875" customWidth="1"/>
    <col min="5133" max="5133" width="7.54296875" customWidth="1"/>
    <col min="5134" max="5134" width="6.81640625" customWidth="1"/>
    <col min="5135" max="5135" width="7.1796875" customWidth="1"/>
    <col min="5337" max="5337" width="4.453125" customWidth="1"/>
    <col min="5338" max="5338" width="19.453125" customWidth="1"/>
    <col min="5339" max="5339" width="47.26953125" customWidth="1"/>
    <col min="5340" max="5342" width="4.7265625" customWidth="1"/>
    <col min="5343" max="5347" width="5" customWidth="1"/>
    <col min="5348" max="5387" width="4.7265625" customWidth="1"/>
    <col min="5388" max="5388" width="5.54296875" customWidth="1"/>
    <col min="5389" max="5389" width="7.54296875" customWidth="1"/>
    <col min="5390" max="5390" width="6.81640625" customWidth="1"/>
    <col min="5391" max="5391" width="7.1796875" customWidth="1"/>
    <col min="5593" max="5593" width="4.453125" customWidth="1"/>
    <col min="5594" max="5594" width="19.453125" customWidth="1"/>
    <col min="5595" max="5595" width="47.26953125" customWidth="1"/>
    <col min="5596" max="5598" width="4.7265625" customWidth="1"/>
    <col min="5599" max="5603" width="5" customWidth="1"/>
    <col min="5604" max="5643" width="4.7265625" customWidth="1"/>
    <col min="5644" max="5644" width="5.54296875" customWidth="1"/>
    <col min="5645" max="5645" width="7.54296875" customWidth="1"/>
    <col min="5646" max="5646" width="6.81640625" customWidth="1"/>
    <col min="5647" max="5647" width="7.1796875" customWidth="1"/>
    <col min="5849" max="5849" width="4.453125" customWidth="1"/>
    <col min="5850" max="5850" width="19.453125" customWidth="1"/>
    <col min="5851" max="5851" width="47.26953125" customWidth="1"/>
    <col min="5852" max="5854" width="4.7265625" customWidth="1"/>
    <col min="5855" max="5859" width="5" customWidth="1"/>
    <col min="5860" max="5899" width="4.7265625" customWidth="1"/>
    <col min="5900" max="5900" width="5.54296875" customWidth="1"/>
    <col min="5901" max="5901" width="7.54296875" customWidth="1"/>
    <col min="5902" max="5902" width="6.81640625" customWidth="1"/>
    <col min="5903" max="5903" width="7.1796875" customWidth="1"/>
    <col min="6105" max="6105" width="4.453125" customWidth="1"/>
    <col min="6106" max="6106" width="19.453125" customWidth="1"/>
    <col min="6107" max="6107" width="47.26953125" customWidth="1"/>
    <col min="6108" max="6110" width="4.7265625" customWidth="1"/>
    <col min="6111" max="6115" width="5" customWidth="1"/>
    <col min="6116" max="6155" width="4.7265625" customWidth="1"/>
    <col min="6156" max="6156" width="5.54296875" customWidth="1"/>
    <col min="6157" max="6157" width="7.54296875" customWidth="1"/>
    <col min="6158" max="6158" width="6.81640625" customWidth="1"/>
    <col min="6159" max="6159" width="7.1796875" customWidth="1"/>
    <col min="6361" max="6361" width="4.453125" customWidth="1"/>
    <col min="6362" max="6362" width="19.453125" customWidth="1"/>
    <col min="6363" max="6363" width="47.26953125" customWidth="1"/>
    <col min="6364" max="6366" width="4.7265625" customWidth="1"/>
    <col min="6367" max="6371" width="5" customWidth="1"/>
    <col min="6372" max="6411" width="4.7265625" customWidth="1"/>
    <col min="6412" max="6412" width="5.54296875" customWidth="1"/>
    <col min="6413" max="6413" width="7.54296875" customWidth="1"/>
    <col min="6414" max="6414" width="6.81640625" customWidth="1"/>
    <col min="6415" max="6415" width="7.1796875" customWidth="1"/>
    <col min="6617" max="6617" width="4.453125" customWidth="1"/>
    <col min="6618" max="6618" width="19.453125" customWidth="1"/>
    <col min="6619" max="6619" width="47.26953125" customWidth="1"/>
    <col min="6620" max="6622" width="4.7265625" customWidth="1"/>
    <col min="6623" max="6627" width="5" customWidth="1"/>
    <col min="6628" max="6667" width="4.7265625" customWidth="1"/>
    <col min="6668" max="6668" width="5.54296875" customWidth="1"/>
    <col min="6669" max="6669" width="7.54296875" customWidth="1"/>
    <col min="6670" max="6670" width="6.81640625" customWidth="1"/>
    <col min="6671" max="6671" width="7.1796875" customWidth="1"/>
    <col min="6873" max="6873" width="4.453125" customWidth="1"/>
    <col min="6874" max="6874" width="19.453125" customWidth="1"/>
    <col min="6875" max="6875" width="47.26953125" customWidth="1"/>
    <col min="6876" max="6878" width="4.7265625" customWidth="1"/>
    <col min="6879" max="6883" width="5" customWidth="1"/>
    <col min="6884" max="6923" width="4.7265625" customWidth="1"/>
    <col min="6924" max="6924" width="5.54296875" customWidth="1"/>
    <col min="6925" max="6925" width="7.54296875" customWidth="1"/>
    <col min="6926" max="6926" width="6.81640625" customWidth="1"/>
    <col min="6927" max="6927" width="7.1796875" customWidth="1"/>
    <col min="7129" max="7129" width="4.453125" customWidth="1"/>
    <col min="7130" max="7130" width="19.453125" customWidth="1"/>
    <col min="7131" max="7131" width="47.26953125" customWidth="1"/>
    <col min="7132" max="7134" width="4.7265625" customWidth="1"/>
    <col min="7135" max="7139" width="5" customWidth="1"/>
    <col min="7140" max="7179" width="4.7265625" customWidth="1"/>
    <col min="7180" max="7180" width="5.54296875" customWidth="1"/>
    <col min="7181" max="7181" width="7.54296875" customWidth="1"/>
    <col min="7182" max="7182" width="6.81640625" customWidth="1"/>
    <col min="7183" max="7183" width="7.1796875" customWidth="1"/>
    <col min="7385" max="7385" width="4.453125" customWidth="1"/>
    <col min="7386" max="7386" width="19.453125" customWidth="1"/>
    <col min="7387" max="7387" width="47.26953125" customWidth="1"/>
    <col min="7388" max="7390" width="4.7265625" customWidth="1"/>
    <col min="7391" max="7395" width="5" customWidth="1"/>
    <col min="7396" max="7435" width="4.7265625" customWidth="1"/>
    <col min="7436" max="7436" width="5.54296875" customWidth="1"/>
    <col min="7437" max="7437" width="7.54296875" customWidth="1"/>
    <col min="7438" max="7438" width="6.81640625" customWidth="1"/>
    <col min="7439" max="7439" width="7.1796875" customWidth="1"/>
    <col min="7641" max="7641" width="4.453125" customWidth="1"/>
    <col min="7642" max="7642" width="19.453125" customWidth="1"/>
    <col min="7643" max="7643" width="47.26953125" customWidth="1"/>
    <col min="7644" max="7646" width="4.7265625" customWidth="1"/>
    <col min="7647" max="7651" width="5" customWidth="1"/>
    <col min="7652" max="7691" width="4.7265625" customWidth="1"/>
    <col min="7692" max="7692" width="5.54296875" customWidth="1"/>
    <col min="7693" max="7693" width="7.54296875" customWidth="1"/>
    <col min="7694" max="7694" width="6.81640625" customWidth="1"/>
    <col min="7695" max="7695" width="7.1796875" customWidth="1"/>
    <col min="7897" max="7897" width="4.453125" customWidth="1"/>
    <col min="7898" max="7898" width="19.453125" customWidth="1"/>
    <col min="7899" max="7899" width="47.26953125" customWidth="1"/>
    <col min="7900" max="7902" width="4.7265625" customWidth="1"/>
    <col min="7903" max="7907" width="5" customWidth="1"/>
    <col min="7908" max="7947" width="4.7265625" customWidth="1"/>
    <col min="7948" max="7948" width="5.54296875" customWidth="1"/>
    <col min="7949" max="7949" width="7.54296875" customWidth="1"/>
    <col min="7950" max="7950" width="6.81640625" customWidth="1"/>
    <col min="7951" max="7951" width="7.1796875" customWidth="1"/>
    <col min="8153" max="8153" width="4.453125" customWidth="1"/>
    <col min="8154" max="8154" width="19.453125" customWidth="1"/>
    <col min="8155" max="8155" width="47.26953125" customWidth="1"/>
    <col min="8156" max="8158" width="4.7265625" customWidth="1"/>
    <col min="8159" max="8163" width="5" customWidth="1"/>
    <col min="8164" max="8203" width="4.7265625" customWidth="1"/>
    <col min="8204" max="8204" width="5.54296875" customWidth="1"/>
    <col min="8205" max="8205" width="7.54296875" customWidth="1"/>
    <col min="8206" max="8206" width="6.81640625" customWidth="1"/>
    <col min="8207" max="8207" width="7.1796875" customWidth="1"/>
    <col min="8409" max="8409" width="4.453125" customWidth="1"/>
    <col min="8410" max="8410" width="19.453125" customWidth="1"/>
    <col min="8411" max="8411" width="47.26953125" customWidth="1"/>
    <col min="8412" max="8414" width="4.7265625" customWidth="1"/>
    <col min="8415" max="8419" width="5" customWidth="1"/>
    <col min="8420" max="8459" width="4.7265625" customWidth="1"/>
    <col min="8460" max="8460" width="5.54296875" customWidth="1"/>
    <col min="8461" max="8461" width="7.54296875" customWidth="1"/>
    <col min="8462" max="8462" width="6.81640625" customWidth="1"/>
    <col min="8463" max="8463" width="7.1796875" customWidth="1"/>
    <col min="8665" max="8665" width="4.453125" customWidth="1"/>
    <col min="8666" max="8666" width="19.453125" customWidth="1"/>
    <col min="8667" max="8667" width="47.26953125" customWidth="1"/>
    <col min="8668" max="8670" width="4.7265625" customWidth="1"/>
    <col min="8671" max="8675" width="5" customWidth="1"/>
    <col min="8676" max="8715" width="4.7265625" customWidth="1"/>
    <col min="8716" max="8716" width="5.54296875" customWidth="1"/>
    <col min="8717" max="8717" width="7.54296875" customWidth="1"/>
    <col min="8718" max="8718" width="6.81640625" customWidth="1"/>
    <col min="8719" max="8719" width="7.1796875" customWidth="1"/>
    <col min="8921" max="8921" width="4.453125" customWidth="1"/>
    <col min="8922" max="8922" width="19.453125" customWidth="1"/>
    <col min="8923" max="8923" width="47.26953125" customWidth="1"/>
    <col min="8924" max="8926" width="4.7265625" customWidth="1"/>
    <col min="8927" max="8931" width="5" customWidth="1"/>
    <col min="8932" max="8971" width="4.7265625" customWidth="1"/>
    <col min="8972" max="8972" width="5.54296875" customWidth="1"/>
    <col min="8973" max="8973" width="7.54296875" customWidth="1"/>
    <col min="8974" max="8974" width="6.81640625" customWidth="1"/>
    <col min="8975" max="8975" width="7.1796875" customWidth="1"/>
    <col min="9177" max="9177" width="4.453125" customWidth="1"/>
    <col min="9178" max="9178" width="19.453125" customWidth="1"/>
    <col min="9179" max="9179" width="47.26953125" customWidth="1"/>
    <col min="9180" max="9182" width="4.7265625" customWidth="1"/>
    <col min="9183" max="9187" width="5" customWidth="1"/>
    <col min="9188" max="9227" width="4.7265625" customWidth="1"/>
    <col min="9228" max="9228" width="5.54296875" customWidth="1"/>
    <col min="9229" max="9229" width="7.54296875" customWidth="1"/>
    <col min="9230" max="9230" width="6.81640625" customWidth="1"/>
    <col min="9231" max="9231" width="7.1796875" customWidth="1"/>
    <col min="9433" max="9433" width="4.453125" customWidth="1"/>
    <col min="9434" max="9434" width="19.453125" customWidth="1"/>
    <col min="9435" max="9435" width="47.26953125" customWidth="1"/>
    <col min="9436" max="9438" width="4.7265625" customWidth="1"/>
    <col min="9439" max="9443" width="5" customWidth="1"/>
    <col min="9444" max="9483" width="4.7265625" customWidth="1"/>
    <col min="9484" max="9484" width="5.54296875" customWidth="1"/>
    <col min="9485" max="9485" width="7.54296875" customWidth="1"/>
    <col min="9486" max="9486" width="6.81640625" customWidth="1"/>
    <col min="9487" max="9487" width="7.1796875" customWidth="1"/>
    <col min="9689" max="9689" width="4.453125" customWidth="1"/>
    <col min="9690" max="9690" width="19.453125" customWidth="1"/>
    <col min="9691" max="9691" width="47.26953125" customWidth="1"/>
    <col min="9692" max="9694" width="4.7265625" customWidth="1"/>
    <col min="9695" max="9699" width="5" customWidth="1"/>
    <col min="9700" max="9739" width="4.7265625" customWidth="1"/>
    <col min="9740" max="9740" width="5.54296875" customWidth="1"/>
    <col min="9741" max="9741" width="7.54296875" customWidth="1"/>
    <col min="9742" max="9742" width="6.81640625" customWidth="1"/>
    <col min="9743" max="9743" width="7.1796875" customWidth="1"/>
    <col min="9945" max="9945" width="4.453125" customWidth="1"/>
    <col min="9946" max="9946" width="19.453125" customWidth="1"/>
    <col min="9947" max="9947" width="47.26953125" customWidth="1"/>
    <col min="9948" max="9950" width="4.7265625" customWidth="1"/>
    <col min="9951" max="9955" width="5" customWidth="1"/>
    <col min="9956" max="9995" width="4.7265625" customWidth="1"/>
    <col min="9996" max="9996" width="5.54296875" customWidth="1"/>
    <col min="9997" max="9997" width="7.54296875" customWidth="1"/>
    <col min="9998" max="9998" width="6.81640625" customWidth="1"/>
    <col min="9999" max="9999" width="7.1796875" customWidth="1"/>
    <col min="10201" max="10201" width="4.453125" customWidth="1"/>
    <col min="10202" max="10202" width="19.453125" customWidth="1"/>
    <col min="10203" max="10203" width="47.26953125" customWidth="1"/>
    <col min="10204" max="10206" width="4.7265625" customWidth="1"/>
    <col min="10207" max="10211" width="5" customWidth="1"/>
    <col min="10212" max="10251" width="4.7265625" customWidth="1"/>
    <col min="10252" max="10252" width="5.54296875" customWidth="1"/>
    <col min="10253" max="10253" width="7.54296875" customWidth="1"/>
    <col min="10254" max="10254" width="6.81640625" customWidth="1"/>
    <col min="10255" max="10255" width="7.1796875" customWidth="1"/>
    <col min="10457" max="10457" width="4.453125" customWidth="1"/>
    <col min="10458" max="10458" width="19.453125" customWidth="1"/>
    <col min="10459" max="10459" width="47.26953125" customWidth="1"/>
    <col min="10460" max="10462" width="4.7265625" customWidth="1"/>
    <col min="10463" max="10467" width="5" customWidth="1"/>
    <col min="10468" max="10507" width="4.7265625" customWidth="1"/>
    <col min="10508" max="10508" width="5.54296875" customWidth="1"/>
    <col min="10509" max="10509" width="7.54296875" customWidth="1"/>
    <col min="10510" max="10510" width="6.81640625" customWidth="1"/>
    <col min="10511" max="10511" width="7.1796875" customWidth="1"/>
    <col min="10713" max="10713" width="4.453125" customWidth="1"/>
    <col min="10714" max="10714" width="19.453125" customWidth="1"/>
    <col min="10715" max="10715" width="47.26953125" customWidth="1"/>
    <col min="10716" max="10718" width="4.7265625" customWidth="1"/>
    <col min="10719" max="10723" width="5" customWidth="1"/>
    <col min="10724" max="10763" width="4.7265625" customWidth="1"/>
    <col min="10764" max="10764" width="5.54296875" customWidth="1"/>
    <col min="10765" max="10765" width="7.54296875" customWidth="1"/>
    <col min="10766" max="10766" width="6.81640625" customWidth="1"/>
    <col min="10767" max="10767" width="7.1796875" customWidth="1"/>
    <col min="10969" max="10969" width="4.453125" customWidth="1"/>
    <col min="10970" max="10970" width="19.453125" customWidth="1"/>
    <col min="10971" max="10971" width="47.26953125" customWidth="1"/>
    <col min="10972" max="10974" width="4.7265625" customWidth="1"/>
    <col min="10975" max="10979" width="5" customWidth="1"/>
    <col min="10980" max="11019" width="4.7265625" customWidth="1"/>
    <col min="11020" max="11020" width="5.54296875" customWidth="1"/>
    <col min="11021" max="11021" width="7.54296875" customWidth="1"/>
    <col min="11022" max="11022" width="6.81640625" customWidth="1"/>
    <col min="11023" max="11023" width="7.1796875" customWidth="1"/>
    <col min="11225" max="11225" width="4.453125" customWidth="1"/>
    <col min="11226" max="11226" width="19.453125" customWidth="1"/>
    <col min="11227" max="11227" width="47.26953125" customWidth="1"/>
    <col min="11228" max="11230" width="4.7265625" customWidth="1"/>
    <col min="11231" max="11235" width="5" customWidth="1"/>
    <col min="11236" max="11275" width="4.7265625" customWidth="1"/>
    <col min="11276" max="11276" width="5.54296875" customWidth="1"/>
    <col min="11277" max="11277" width="7.54296875" customWidth="1"/>
    <col min="11278" max="11278" width="6.81640625" customWidth="1"/>
    <col min="11279" max="11279" width="7.1796875" customWidth="1"/>
    <col min="11481" max="11481" width="4.453125" customWidth="1"/>
    <col min="11482" max="11482" width="19.453125" customWidth="1"/>
    <col min="11483" max="11483" width="47.26953125" customWidth="1"/>
    <col min="11484" max="11486" width="4.7265625" customWidth="1"/>
    <col min="11487" max="11491" width="5" customWidth="1"/>
    <col min="11492" max="11531" width="4.7265625" customWidth="1"/>
    <col min="11532" max="11532" width="5.54296875" customWidth="1"/>
    <col min="11533" max="11533" width="7.54296875" customWidth="1"/>
    <col min="11534" max="11534" width="6.81640625" customWidth="1"/>
    <col min="11535" max="11535" width="7.1796875" customWidth="1"/>
    <col min="11737" max="11737" width="4.453125" customWidth="1"/>
    <col min="11738" max="11738" width="19.453125" customWidth="1"/>
    <col min="11739" max="11739" width="47.26953125" customWidth="1"/>
    <col min="11740" max="11742" width="4.7265625" customWidth="1"/>
    <col min="11743" max="11747" width="5" customWidth="1"/>
    <col min="11748" max="11787" width="4.7265625" customWidth="1"/>
    <col min="11788" max="11788" width="5.54296875" customWidth="1"/>
    <col min="11789" max="11789" width="7.54296875" customWidth="1"/>
    <col min="11790" max="11790" width="6.81640625" customWidth="1"/>
    <col min="11791" max="11791" width="7.1796875" customWidth="1"/>
    <col min="11993" max="11993" width="4.453125" customWidth="1"/>
    <col min="11994" max="11994" width="19.453125" customWidth="1"/>
    <col min="11995" max="11995" width="47.26953125" customWidth="1"/>
    <col min="11996" max="11998" width="4.7265625" customWidth="1"/>
    <col min="11999" max="12003" width="5" customWidth="1"/>
    <col min="12004" max="12043" width="4.7265625" customWidth="1"/>
    <col min="12044" max="12044" width="5.54296875" customWidth="1"/>
    <col min="12045" max="12045" width="7.54296875" customWidth="1"/>
    <col min="12046" max="12046" width="6.81640625" customWidth="1"/>
    <col min="12047" max="12047" width="7.1796875" customWidth="1"/>
    <col min="12249" max="12249" width="4.453125" customWidth="1"/>
    <col min="12250" max="12250" width="19.453125" customWidth="1"/>
    <col min="12251" max="12251" width="47.26953125" customWidth="1"/>
    <col min="12252" max="12254" width="4.7265625" customWidth="1"/>
    <col min="12255" max="12259" width="5" customWidth="1"/>
    <col min="12260" max="12299" width="4.7265625" customWidth="1"/>
    <col min="12300" max="12300" width="5.54296875" customWidth="1"/>
    <col min="12301" max="12301" width="7.54296875" customWidth="1"/>
    <col min="12302" max="12302" width="6.81640625" customWidth="1"/>
    <col min="12303" max="12303" width="7.1796875" customWidth="1"/>
    <col min="12505" max="12505" width="4.453125" customWidth="1"/>
    <col min="12506" max="12506" width="19.453125" customWidth="1"/>
    <col min="12507" max="12507" width="47.26953125" customWidth="1"/>
    <col min="12508" max="12510" width="4.7265625" customWidth="1"/>
    <col min="12511" max="12515" width="5" customWidth="1"/>
    <col min="12516" max="12555" width="4.7265625" customWidth="1"/>
    <col min="12556" max="12556" width="5.54296875" customWidth="1"/>
    <col min="12557" max="12557" width="7.54296875" customWidth="1"/>
    <col min="12558" max="12558" width="6.81640625" customWidth="1"/>
    <col min="12559" max="12559" width="7.1796875" customWidth="1"/>
    <col min="12761" max="12761" width="4.453125" customWidth="1"/>
    <col min="12762" max="12762" width="19.453125" customWidth="1"/>
    <col min="12763" max="12763" width="47.26953125" customWidth="1"/>
    <col min="12764" max="12766" width="4.7265625" customWidth="1"/>
    <col min="12767" max="12771" width="5" customWidth="1"/>
    <col min="12772" max="12811" width="4.7265625" customWidth="1"/>
    <col min="12812" max="12812" width="5.54296875" customWidth="1"/>
    <col min="12813" max="12813" width="7.54296875" customWidth="1"/>
    <col min="12814" max="12814" width="6.81640625" customWidth="1"/>
    <col min="12815" max="12815" width="7.1796875" customWidth="1"/>
    <col min="13017" max="13017" width="4.453125" customWidth="1"/>
    <col min="13018" max="13018" width="19.453125" customWidth="1"/>
    <col min="13019" max="13019" width="47.26953125" customWidth="1"/>
    <col min="13020" max="13022" width="4.7265625" customWidth="1"/>
    <col min="13023" max="13027" width="5" customWidth="1"/>
    <col min="13028" max="13067" width="4.7265625" customWidth="1"/>
    <col min="13068" max="13068" width="5.54296875" customWidth="1"/>
    <col min="13069" max="13069" width="7.54296875" customWidth="1"/>
    <col min="13070" max="13070" width="6.81640625" customWidth="1"/>
    <col min="13071" max="13071" width="7.1796875" customWidth="1"/>
    <col min="13273" max="13273" width="4.453125" customWidth="1"/>
    <col min="13274" max="13274" width="19.453125" customWidth="1"/>
    <col min="13275" max="13275" width="47.26953125" customWidth="1"/>
    <col min="13276" max="13278" width="4.7265625" customWidth="1"/>
    <col min="13279" max="13283" width="5" customWidth="1"/>
    <col min="13284" max="13323" width="4.7265625" customWidth="1"/>
    <col min="13324" max="13324" width="5.54296875" customWidth="1"/>
    <col min="13325" max="13325" width="7.54296875" customWidth="1"/>
    <col min="13326" max="13326" width="6.81640625" customWidth="1"/>
    <col min="13327" max="13327" width="7.1796875" customWidth="1"/>
    <col min="13529" max="13529" width="4.453125" customWidth="1"/>
    <col min="13530" max="13530" width="19.453125" customWidth="1"/>
    <col min="13531" max="13531" width="47.26953125" customWidth="1"/>
    <col min="13532" max="13534" width="4.7265625" customWidth="1"/>
    <col min="13535" max="13539" width="5" customWidth="1"/>
    <col min="13540" max="13579" width="4.7265625" customWidth="1"/>
    <col min="13580" max="13580" width="5.54296875" customWidth="1"/>
    <col min="13581" max="13581" width="7.54296875" customWidth="1"/>
    <col min="13582" max="13582" width="6.81640625" customWidth="1"/>
    <col min="13583" max="13583" width="7.1796875" customWidth="1"/>
    <col min="13785" max="13785" width="4.453125" customWidth="1"/>
    <col min="13786" max="13786" width="19.453125" customWidth="1"/>
    <col min="13787" max="13787" width="47.26953125" customWidth="1"/>
    <col min="13788" max="13790" width="4.7265625" customWidth="1"/>
    <col min="13791" max="13795" width="5" customWidth="1"/>
    <col min="13796" max="13835" width="4.7265625" customWidth="1"/>
    <col min="13836" max="13836" width="5.54296875" customWidth="1"/>
    <col min="13837" max="13837" width="7.54296875" customWidth="1"/>
    <col min="13838" max="13838" width="6.81640625" customWidth="1"/>
    <col min="13839" max="13839" width="7.1796875" customWidth="1"/>
    <col min="14041" max="14041" width="4.453125" customWidth="1"/>
    <col min="14042" max="14042" width="19.453125" customWidth="1"/>
    <col min="14043" max="14043" width="47.26953125" customWidth="1"/>
    <col min="14044" max="14046" width="4.7265625" customWidth="1"/>
    <col min="14047" max="14051" width="5" customWidth="1"/>
    <col min="14052" max="14091" width="4.7265625" customWidth="1"/>
    <col min="14092" max="14092" width="5.54296875" customWidth="1"/>
    <col min="14093" max="14093" width="7.54296875" customWidth="1"/>
    <col min="14094" max="14094" width="6.81640625" customWidth="1"/>
    <col min="14095" max="14095" width="7.1796875" customWidth="1"/>
    <col min="14297" max="14297" width="4.453125" customWidth="1"/>
    <col min="14298" max="14298" width="19.453125" customWidth="1"/>
    <col min="14299" max="14299" width="47.26953125" customWidth="1"/>
    <col min="14300" max="14302" width="4.7265625" customWidth="1"/>
    <col min="14303" max="14307" width="5" customWidth="1"/>
    <col min="14308" max="14347" width="4.7265625" customWidth="1"/>
    <col min="14348" max="14348" width="5.54296875" customWidth="1"/>
    <col min="14349" max="14349" width="7.54296875" customWidth="1"/>
    <col min="14350" max="14350" width="6.81640625" customWidth="1"/>
    <col min="14351" max="14351" width="7.1796875" customWidth="1"/>
    <col min="14553" max="14553" width="4.453125" customWidth="1"/>
    <col min="14554" max="14554" width="19.453125" customWidth="1"/>
    <col min="14555" max="14555" width="47.26953125" customWidth="1"/>
    <col min="14556" max="14558" width="4.7265625" customWidth="1"/>
    <col min="14559" max="14563" width="5" customWidth="1"/>
    <col min="14564" max="14603" width="4.7265625" customWidth="1"/>
    <col min="14604" max="14604" width="5.54296875" customWidth="1"/>
    <col min="14605" max="14605" width="7.54296875" customWidth="1"/>
    <col min="14606" max="14606" width="6.81640625" customWidth="1"/>
    <col min="14607" max="14607" width="7.1796875" customWidth="1"/>
    <col min="14809" max="14809" width="4.453125" customWidth="1"/>
    <col min="14810" max="14810" width="19.453125" customWidth="1"/>
    <col min="14811" max="14811" width="47.26953125" customWidth="1"/>
    <col min="14812" max="14814" width="4.7265625" customWidth="1"/>
    <col min="14815" max="14819" width="5" customWidth="1"/>
    <col min="14820" max="14859" width="4.7265625" customWidth="1"/>
    <col min="14860" max="14860" width="5.54296875" customWidth="1"/>
    <col min="14861" max="14861" width="7.54296875" customWidth="1"/>
    <col min="14862" max="14862" width="6.81640625" customWidth="1"/>
    <col min="14863" max="14863" width="7.1796875" customWidth="1"/>
    <col min="15065" max="15065" width="4.453125" customWidth="1"/>
    <col min="15066" max="15066" width="19.453125" customWidth="1"/>
    <col min="15067" max="15067" width="47.26953125" customWidth="1"/>
    <col min="15068" max="15070" width="4.7265625" customWidth="1"/>
    <col min="15071" max="15075" width="5" customWidth="1"/>
    <col min="15076" max="15115" width="4.7265625" customWidth="1"/>
    <col min="15116" max="15116" width="5.54296875" customWidth="1"/>
    <col min="15117" max="15117" width="7.54296875" customWidth="1"/>
    <col min="15118" max="15118" width="6.81640625" customWidth="1"/>
    <col min="15119" max="15119" width="7.1796875" customWidth="1"/>
    <col min="15321" max="15321" width="4.453125" customWidth="1"/>
    <col min="15322" max="15322" width="19.453125" customWidth="1"/>
    <col min="15323" max="15323" width="47.26953125" customWidth="1"/>
    <col min="15324" max="15326" width="4.7265625" customWidth="1"/>
    <col min="15327" max="15331" width="5" customWidth="1"/>
    <col min="15332" max="15371" width="4.7265625" customWidth="1"/>
    <col min="15372" max="15372" width="5.54296875" customWidth="1"/>
    <col min="15373" max="15373" width="7.54296875" customWidth="1"/>
    <col min="15374" max="15374" width="6.81640625" customWidth="1"/>
    <col min="15375" max="15375" width="7.1796875" customWidth="1"/>
    <col min="15577" max="15577" width="4.453125" customWidth="1"/>
    <col min="15578" max="15578" width="19.453125" customWidth="1"/>
    <col min="15579" max="15579" width="47.26953125" customWidth="1"/>
    <col min="15580" max="15582" width="4.7265625" customWidth="1"/>
    <col min="15583" max="15587" width="5" customWidth="1"/>
    <col min="15588" max="15627" width="4.7265625" customWidth="1"/>
    <col min="15628" max="15628" width="5.54296875" customWidth="1"/>
    <col min="15629" max="15629" width="7.54296875" customWidth="1"/>
    <col min="15630" max="15630" width="6.81640625" customWidth="1"/>
    <col min="15631" max="15631" width="7.1796875" customWidth="1"/>
    <col min="15833" max="15833" width="4.453125" customWidth="1"/>
    <col min="15834" max="15834" width="19.453125" customWidth="1"/>
    <col min="15835" max="15835" width="47.26953125" customWidth="1"/>
    <col min="15836" max="15838" width="4.7265625" customWidth="1"/>
    <col min="15839" max="15843" width="5" customWidth="1"/>
    <col min="15844" max="15883" width="4.7265625" customWidth="1"/>
    <col min="15884" max="15884" width="5.54296875" customWidth="1"/>
    <col min="15885" max="15885" width="7.54296875" customWidth="1"/>
    <col min="15886" max="15886" width="6.81640625" customWidth="1"/>
    <col min="15887" max="15887" width="7.1796875" customWidth="1"/>
    <col min="16089" max="16089" width="4.453125" customWidth="1"/>
    <col min="16090" max="16090" width="19.453125" customWidth="1"/>
    <col min="16091" max="16091" width="47.26953125" customWidth="1"/>
    <col min="16092" max="16094" width="4.7265625" customWidth="1"/>
    <col min="16095" max="16099" width="5" customWidth="1"/>
    <col min="16100" max="16139" width="4.7265625" customWidth="1"/>
    <col min="16140" max="16140" width="5.54296875" customWidth="1"/>
    <col min="16141" max="16141" width="7.54296875" customWidth="1"/>
    <col min="16142" max="16142" width="6.81640625" customWidth="1"/>
    <col min="16143" max="16143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1146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5" customHeight="1" x14ac:dyDescent="0.35">
      <c r="A11" s="53"/>
      <c r="B11" s="53"/>
      <c r="C11" s="54"/>
      <c r="D11" s="58"/>
      <c r="E11" s="59"/>
      <c r="F11" s="59"/>
      <c r="G11" s="59"/>
      <c r="H11" s="60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5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856</v>
      </c>
      <c r="C13" s="35" t="s">
        <v>25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857</v>
      </c>
      <c r="C14" s="35" t="s">
        <v>26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8" si="0">AVERAGE(D14:H14)</f>
        <v>#DIV/0!</v>
      </c>
      <c r="T14" s="22" t="e">
        <f t="shared" ref="T14:T48" si="1">AVERAGE(I14:M14)</f>
        <v>#DIV/0!</v>
      </c>
      <c r="U14" s="18" t="e">
        <f t="shared" ref="U14:U48" si="2">AVERAGE(N14:R14)</f>
        <v>#DIV/0!</v>
      </c>
      <c r="V14" s="13"/>
      <c r="W14" s="13" t="e">
        <f t="shared" ref="W14:W48" si="3">AVERAGE(S14:U14)</f>
        <v>#DIV/0!</v>
      </c>
      <c r="X14" s="16" t="e">
        <f t="shared" ref="X14:X48" si="4">ROUND(AVERAGE(V14:W14),0)</f>
        <v>#DIV/0!</v>
      </c>
      <c r="Y14" s="6"/>
      <c r="Z14" s="7">
        <v>1</v>
      </c>
      <c r="AA14" s="8" t="e">
        <f t="shared" ref="AA14:AA48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858</v>
      </c>
      <c r="C15" s="35" t="s">
        <v>27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859</v>
      </c>
      <c r="C16" s="35" t="s">
        <v>28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860</v>
      </c>
      <c r="C17" s="35" t="s">
        <v>29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861</v>
      </c>
      <c r="C18" s="35" t="s">
        <v>30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862</v>
      </c>
      <c r="C19" s="35" t="s">
        <v>31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863</v>
      </c>
      <c r="C20" s="35" t="s">
        <v>32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864</v>
      </c>
      <c r="C21" s="35" t="s">
        <v>33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865</v>
      </c>
      <c r="C22" s="35" t="s">
        <v>34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866</v>
      </c>
      <c r="C23" s="35" t="s">
        <v>35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867</v>
      </c>
      <c r="C24" s="35" t="s">
        <v>36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868</v>
      </c>
      <c r="C25" s="35" t="s">
        <v>37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869</v>
      </c>
      <c r="C26" s="35" t="s">
        <v>38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870</v>
      </c>
      <c r="C27" s="35" t="s">
        <v>39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871</v>
      </c>
      <c r="C28" s="35" t="s">
        <v>40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872</v>
      </c>
      <c r="C29" s="35" t="s">
        <v>41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873</v>
      </c>
      <c r="C30" s="35" t="s">
        <v>42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874</v>
      </c>
      <c r="C31" s="35" t="s">
        <v>43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875</v>
      </c>
      <c r="C32" s="35" t="s">
        <v>44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876</v>
      </c>
      <c r="C33" s="35" t="s">
        <v>45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877</v>
      </c>
      <c r="C34" s="35" t="s">
        <v>46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878</v>
      </c>
      <c r="C35" s="35" t="s">
        <v>47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879</v>
      </c>
      <c r="C36" s="35" t="s">
        <v>48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880</v>
      </c>
      <c r="C37" s="35" t="s">
        <v>49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881</v>
      </c>
      <c r="C38" s="35" t="s">
        <v>50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882</v>
      </c>
      <c r="C39" s="35" t="s">
        <v>51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883</v>
      </c>
      <c r="C40" s="35" t="s">
        <v>52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884</v>
      </c>
      <c r="C41" s="35" t="s">
        <v>53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885</v>
      </c>
      <c r="C42" s="35" t="s">
        <v>54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886</v>
      </c>
      <c r="C43" s="35" t="s">
        <v>55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887</v>
      </c>
      <c r="C44" s="35" t="s">
        <v>56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888</v>
      </c>
      <c r="C45" s="35" t="s">
        <v>57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24">
        <v>34</v>
      </c>
      <c r="B46" s="34" t="s">
        <v>889</v>
      </c>
      <c r="C46" s="35" t="s">
        <v>58</v>
      </c>
      <c r="D46" s="25"/>
      <c r="E46" s="23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 t="e">
        <f t="shared" si="0"/>
        <v>#DIV/0!</v>
      </c>
      <c r="T46" s="27" t="e">
        <f t="shared" si="1"/>
        <v>#DIV/0!</v>
      </c>
      <c r="U46" s="28" t="e">
        <f t="shared" si="2"/>
        <v>#DIV/0!</v>
      </c>
      <c r="V46" s="29"/>
      <c r="W46" s="29" t="e">
        <f t="shared" si="3"/>
        <v>#DIV/0!</v>
      </c>
      <c r="X46" s="30" t="e">
        <f t="shared" si="4"/>
        <v>#DIV/0!</v>
      </c>
      <c r="Y46" s="31"/>
      <c r="Z46" s="32">
        <v>1</v>
      </c>
      <c r="AA46" s="33" t="e">
        <f t="shared" si="5"/>
        <v>#DIV/0!</v>
      </c>
    </row>
    <row r="47" spans="1:27" s="9" customFormat="1" x14ac:dyDescent="0.35">
      <c r="A47" s="4">
        <v>35</v>
      </c>
      <c r="B47" s="34" t="s">
        <v>890</v>
      </c>
      <c r="C47" s="35" t="s">
        <v>59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891</v>
      </c>
      <c r="C48" s="35" t="s">
        <v>60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27" x14ac:dyDescent="0.35">
      <c r="A49" s="4">
        <v>37</v>
      </c>
      <c r="B49" s="34" t="s">
        <v>892</v>
      </c>
      <c r="C49" s="35" t="s">
        <v>61</v>
      </c>
      <c r="D49" s="10"/>
      <c r="E49" s="23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0" t="e">
        <f t="shared" ref="S49:S58" si="6">AVERAGE(D49:H49)</f>
        <v>#DIV/0!</v>
      </c>
      <c r="T49" s="22" t="e">
        <f t="shared" ref="T49:T58" si="7">AVERAGE(I49:M49)</f>
        <v>#DIV/0!</v>
      </c>
      <c r="U49" s="18" t="e">
        <f t="shared" ref="U49:U58" si="8">AVERAGE(N49:R49)</f>
        <v>#DIV/0!</v>
      </c>
      <c r="V49" s="13"/>
      <c r="W49" s="13" t="e">
        <f t="shared" ref="W49:W58" si="9">AVERAGE(S49:U49)</f>
        <v>#DIV/0!</v>
      </c>
      <c r="X49" s="16" t="e">
        <f t="shared" ref="X49:X58" si="10">ROUND(AVERAGE(V49:W49),0)</f>
        <v>#DIV/0!</v>
      </c>
      <c r="Y49" s="6"/>
      <c r="Z49" s="7"/>
      <c r="AA49" s="8" t="e">
        <f t="shared" ref="AA49:AA58" si="11">ROUND(IF((X49*(IF(Y49="A",105%,IF(Y49="B",102%,IF(Y49="C",75%,50%))))*Z49)&gt;100,100,(X49*(IF(Y49="A",105%,IF(Y49="B",102%,IF(Y49="C",75%,50%))))*Z49)),0)</f>
        <v>#DIV/0!</v>
      </c>
    </row>
    <row r="50" spans="1:27" x14ac:dyDescent="0.35">
      <c r="A50" s="4">
        <v>38</v>
      </c>
      <c r="B50" s="34" t="s">
        <v>893</v>
      </c>
      <c r="C50" s="35" t="s">
        <v>62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si="6"/>
        <v>#DIV/0!</v>
      </c>
      <c r="T50" s="22" t="e">
        <f t="shared" si="7"/>
        <v>#DIV/0!</v>
      </c>
      <c r="U50" s="18" t="e">
        <f t="shared" si="8"/>
        <v>#DIV/0!</v>
      </c>
      <c r="V50" s="13"/>
      <c r="W50" s="13" t="e">
        <f t="shared" si="9"/>
        <v>#DIV/0!</v>
      </c>
      <c r="X50" s="16" t="e">
        <f t="shared" si="10"/>
        <v>#DIV/0!</v>
      </c>
      <c r="Y50" s="6"/>
      <c r="Z50" s="7"/>
      <c r="AA50" s="8" t="e">
        <f t="shared" si="11"/>
        <v>#DIV/0!</v>
      </c>
    </row>
    <row r="51" spans="1:27" x14ac:dyDescent="0.35">
      <c r="A51" s="4">
        <v>39</v>
      </c>
      <c r="B51" s="34" t="s">
        <v>894</v>
      </c>
      <c r="C51" s="35" t="s">
        <v>63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6"/>
        <v>#DIV/0!</v>
      </c>
      <c r="T51" s="22" t="e">
        <f t="shared" si="7"/>
        <v>#DIV/0!</v>
      </c>
      <c r="U51" s="18" t="e">
        <f t="shared" si="8"/>
        <v>#DIV/0!</v>
      </c>
      <c r="V51" s="13"/>
      <c r="W51" s="13" t="e">
        <f t="shared" si="9"/>
        <v>#DIV/0!</v>
      </c>
      <c r="X51" s="16" t="e">
        <f t="shared" si="10"/>
        <v>#DIV/0!</v>
      </c>
      <c r="Y51" s="6"/>
      <c r="Z51" s="7"/>
      <c r="AA51" s="8" t="e">
        <f t="shared" si="11"/>
        <v>#DIV/0!</v>
      </c>
    </row>
    <row r="52" spans="1:27" x14ac:dyDescent="0.35">
      <c r="A52" s="4">
        <v>40</v>
      </c>
      <c r="B52" s="34" t="s">
        <v>895</v>
      </c>
      <c r="C52" s="35" t="s">
        <v>64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6"/>
        <v>#DIV/0!</v>
      </c>
      <c r="T52" s="22" t="e">
        <f t="shared" si="7"/>
        <v>#DIV/0!</v>
      </c>
      <c r="U52" s="18" t="e">
        <f t="shared" si="8"/>
        <v>#DIV/0!</v>
      </c>
      <c r="V52" s="13"/>
      <c r="W52" s="13" t="e">
        <f t="shared" si="9"/>
        <v>#DIV/0!</v>
      </c>
      <c r="X52" s="16" t="e">
        <f t="shared" si="10"/>
        <v>#DIV/0!</v>
      </c>
      <c r="Y52" s="6"/>
      <c r="Z52" s="7"/>
      <c r="AA52" s="8" t="e">
        <f t="shared" si="11"/>
        <v>#DIV/0!</v>
      </c>
    </row>
    <row r="53" spans="1:27" x14ac:dyDescent="0.35">
      <c r="A53" s="4">
        <v>41</v>
      </c>
      <c r="B53" s="34" t="s">
        <v>896</v>
      </c>
      <c r="C53" s="35" t="s">
        <v>65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6"/>
        <v>#DIV/0!</v>
      </c>
      <c r="T53" s="22" t="e">
        <f t="shared" si="7"/>
        <v>#DIV/0!</v>
      </c>
      <c r="U53" s="18" t="e">
        <f t="shared" si="8"/>
        <v>#DIV/0!</v>
      </c>
      <c r="V53" s="13"/>
      <c r="W53" s="13" t="e">
        <f t="shared" si="9"/>
        <v>#DIV/0!</v>
      </c>
      <c r="X53" s="16" t="e">
        <f t="shared" si="10"/>
        <v>#DIV/0!</v>
      </c>
      <c r="Y53" s="6"/>
      <c r="Z53" s="7"/>
      <c r="AA53" s="8" t="e">
        <f t="shared" si="11"/>
        <v>#DIV/0!</v>
      </c>
    </row>
    <row r="54" spans="1:27" x14ac:dyDescent="0.35">
      <c r="A54" s="4">
        <v>42</v>
      </c>
      <c r="B54" s="34" t="s">
        <v>897</v>
      </c>
      <c r="C54" s="35" t="s">
        <v>66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6"/>
        <v>#DIV/0!</v>
      </c>
      <c r="T54" s="22" t="e">
        <f t="shared" si="7"/>
        <v>#DIV/0!</v>
      </c>
      <c r="U54" s="18" t="e">
        <f t="shared" si="8"/>
        <v>#DIV/0!</v>
      </c>
      <c r="V54" s="13"/>
      <c r="W54" s="13" t="e">
        <f t="shared" si="9"/>
        <v>#DIV/0!</v>
      </c>
      <c r="X54" s="16" t="e">
        <f t="shared" si="10"/>
        <v>#DIV/0!</v>
      </c>
      <c r="Y54" s="6"/>
      <c r="Z54" s="7"/>
      <c r="AA54" s="8" t="e">
        <f t="shared" si="11"/>
        <v>#DIV/0!</v>
      </c>
    </row>
    <row r="55" spans="1:27" x14ac:dyDescent="0.35">
      <c r="A55" s="4">
        <v>43</v>
      </c>
      <c r="B55" s="34" t="s">
        <v>898</v>
      </c>
      <c r="C55" s="35" t="s">
        <v>67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6"/>
        <v>#DIV/0!</v>
      </c>
      <c r="T55" s="22" t="e">
        <f t="shared" si="7"/>
        <v>#DIV/0!</v>
      </c>
      <c r="U55" s="18" t="e">
        <f t="shared" si="8"/>
        <v>#DIV/0!</v>
      </c>
      <c r="V55" s="13"/>
      <c r="W55" s="13" t="e">
        <f t="shared" si="9"/>
        <v>#DIV/0!</v>
      </c>
      <c r="X55" s="16" t="e">
        <f t="shared" si="10"/>
        <v>#DIV/0!</v>
      </c>
      <c r="Y55" s="6"/>
      <c r="Z55" s="7"/>
      <c r="AA55" s="8" t="e">
        <f t="shared" si="11"/>
        <v>#DIV/0!</v>
      </c>
    </row>
    <row r="56" spans="1:27" x14ac:dyDescent="0.35">
      <c r="A56" s="4">
        <v>44</v>
      </c>
      <c r="B56" s="34" t="s">
        <v>899</v>
      </c>
      <c r="C56" s="35" t="s">
        <v>68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6"/>
        <v>#DIV/0!</v>
      </c>
      <c r="T56" s="22" t="e">
        <f t="shared" si="7"/>
        <v>#DIV/0!</v>
      </c>
      <c r="U56" s="18" t="e">
        <f t="shared" si="8"/>
        <v>#DIV/0!</v>
      </c>
      <c r="V56" s="13"/>
      <c r="W56" s="13" t="e">
        <f t="shared" si="9"/>
        <v>#DIV/0!</v>
      </c>
      <c r="X56" s="16" t="e">
        <f t="shared" si="10"/>
        <v>#DIV/0!</v>
      </c>
      <c r="Y56" s="6"/>
      <c r="Z56" s="7"/>
      <c r="AA56" s="8" t="e">
        <f t="shared" si="11"/>
        <v>#DIV/0!</v>
      </c>
    </row>
    <row r="57" spans="1:27" x14ac:dyDescent="0.35">
      <c r="A57" s="4">
        <v>45</v>
      </c>
      <c r="B57" s="34" t="s">
        <v>900</v>
      </c>
      <c r="C57" s="35" t="s">
        <v>69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6"/>
        <v>#DIV/0!</v>
      </c>
      <c r="T57" s="22" t="e">
        <f t="shared" si="7"/>
        <v>#DIV/0!</v>
      </c>
      <c r="U57" s="18" t="e">
        <f t="shared" si="8"/>
        <v>#DIV/0!</v>
      </c>
      <c r="V57" s="13"/>
      <c r="W57" s="13" t="e">
        <f t="shared" si="9"/>
        <v>#DIV/0!</v>
      </c>
      <c r="X57" s="16" t="e">
        <f t="shared" si="10"/>
        <v>#DIV/0!</v>
      </c>
      <c r="Y57" s="6"/>
      <c r="Z57" s="7"/>
      <c r="AA57" s="8" t="e">
        <f t="shared" si="11"/>
        <v>#DIV/0!</v>
      </c>
    </row>
    <row r="58" spans="1:27" x14ac:dyDescent="0.35">
      <c r="A58" s="4">
        <v>46</v>
      </c>
      <c r="B58" s="34" t="s">
        <v>901</v>
      </c>
      <c r="C58" s="35" t="s">
        <v>70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6"/>
        <v>#DIV/0!</v>
      </c>
      <c r="T58" s="22" t="e">
        <f t="shared" si="7"/>
        <v>#DIV/0!</v>
      </c>
      <c r="U58" s="18" t="e">
        <f t="shared" si="8"/>
        <v>#DIV/0!</v>
      </c>
      <c r="V58" s="13"/>
      <c r="W58" s="13" t="e">
        <f t="shared" si="9"/>
        <v>#DIV/0!</v>
      </c>
      <c r="X58" s="16" t="e">
        <f t="shared" si="10"/>
        <v>#DIV/0!</v>
      </c>
      <c r="Y58" s="6"/>
      <c r="Z58" s="7"/>
      <c r="AA58" s="8" t="e">
        <f t="shared" si="11"/>
        <v>#DIV/0!</v>
      </c>
    </row>
    <row r="60" spans="1:27" x14ac:dyDescent="0.35">
      <c r="Y60" s="11" t="s">
        <v>14</v>
      </c>
      <c r="AA60" s="12" t="e">
        <f>MAX(AA13:AA48)</f>
        <v>#DIV/0!</v>
      </c>
    </row>
    <row r="61" spans="1:27" x14ac:dyDescent="0.35">
      <c r="Y61" s="11" t="s">
        <v>15</v>
      </c>
      <c r="AA61" t="e">
        <f>MIN(AA13:AA48)</f>
        <v>#DIV/0!</v>
      </c>
    </row>
    <row r="62" spans="1:27" x14ac:dyDescent="0.35">
      <c r="Y62" s="11" t="s">
        <v>16</v>
      </c>
      <c r="AA62" t="e">
        <f>AVERAGE(AA13:AA48)</f>
        <v>#DIV/0!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S11:U11"/>
    <mergeCell ref="D11:H11"/>
    <mergeCell ref="Y11:Y12"/>
    <mergeCell ref="Z11:Z12"/>
    <mergeCell ref="AA11:AA12"/>
    <mergeCell ref="I11:M11"/>
    <mergeCell ref="N11:R11"/>
    <mergeCell ref="V11:V12"/>
    <mergeCell ref="W11:W12"/>
    <mergeCell ref="X11:X12"/>
  </mergeCells>
  <conditionalFormatting sqref="C30">
    <cfRule type="duplicateValues" dxfId="9" priority="1"/>
    <cfRule type="duplicateValues" dxfId="8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B924-8DB2-498D-861C-D098CAF9BC5D}">
  <dimension ref="A1:AE64"/>
  <sheetViews>
    <sheetView topLeftCell="A7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27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1143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0" customHeight="1" x14ac:dyDescent="0.35">
      <c r="A11" s="53"/>
      <c r="B11" s="53"/>
      <c r="C11" s="54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902</v>
      </c>
      <c r="C13" s="35" t="s">
        <v>71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903</v>
      </c>
      <c r="C14" s="35" t="s">
        <v>72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904</v>
      </c>
      <c r="C15" s="35" t="s">
        <v>73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905</v>
      </c>
      <c r="C16" s="35" t="s">
        <v>74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906</v>
      </c>
      <c r="C17" s="35" t="s">
        <v>75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907</v>
      </c>
      <c r="C18" s="35" t="s">
        <v>949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908</v>
      </c>
      <c r="C19" s="35" t="s">
        <v>76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909</v>
      </c>
      <c r="C20" s="35" t="s">
        <v>77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910</v>
      </c>
      <c r="C21" s="35" t="s">
        <v>78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911</v>
      </c>
      <c r="C22" s="35" t="s">
        <v>79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912</v>
      </c>
      <c r="C23" s="35" t="s">
        <v>80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913</v>
      </c>
      <c r="C24" s="35" t="s">
        <v>81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914</v>
      </c>
      <c r="C25" s="35" t="s">
        <v>82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915</v>
      </c>
      <c r="C26" s="35" t="s">
        <v>83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916</v>
      </c>
      <c r="C27" s="35" t="s">
        <v>84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917</v>
      </c>
      <c r="C28" s="35" t="s">
        <v>85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918</v>
      </c>
      <c r="C29" s="35" t="s">
        <v>86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919</v>
      </c>
      <c r="C30" s="35" t="s">
        <v>87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920</v>
      </c>
      <c r="C31" s="35" t="s">
        <v>88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921</v>
      </c>
      <c r="C32" s="35" t="s">
        <v>89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922</v>
      </c>
      <c r="C33" s="35" t="s">
        <v>90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923</v>
      </c>
      <c r="C34" s="35" t="s">
        <v>91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924</v>
      </c>
      <c r="C35" s="35" t="s">
        <v>92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925</v>
      </c>
      <c r="C36" s="35" t="s">
        <v>93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926</v>
      </c>
      <c r="C37" s="35" t="s">
        <v>94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927</v>
      </c>
      <c r="C38" s="35" t="s">
        <v>95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928</v>
      </c>
      <c r="C39" s="35" t="s">
        <v>96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929</v>
      </c>
      <c r="C40" s="35" t="s">
        <v>97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930</v>
      </c>
      <c r="C41" s="35" t="s">
        <v>98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931</v>
      </c>
      <c r="C42" s="35" t="s">
        <v>99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932</v>
      </c>
      <c r="C43" s="35" t="s">
        <v>100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933</v>
      </c>
      <c r="C44" s="35" t="s">
        <v>101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934</v>
      </c>
      <c r="C45" s="35" t="s">
        <v>102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935</v>
      </c>
      <c r="C46" s="35" t="s">
        <v>103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936</v>
      </c>
      <c r="C47" s="35" t="s">
        <v>104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937</v>
      </c>
      <c r="C48" s="35" t="s">
        <v>105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938</v>
      </c>
      <c r="C49" s="35" t="s">
        <v>107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0" spans="1:31" x14ac:dyDescent="0.35">
      <c r="A50" s="4">
        <v>38</v>
      </c>
      <c r="B50" s="34" t="s">
        <v>939</v>
      </c>
      <c r="C50" s="35" t="s">
        <v>106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ref="S50:S59" si="6">AVERAGE(D50:H50)</f>
        <v>#DIV/0!</v>
      </c>
      <c r="T50" s="22" t="e">
        <f t="shared" ref="T50:T59" si="7">AVERAGE(I50:M50)</f>
        <v>#DIV/0!</v>
      </c>
      <c r="U50" s="18" t="e">
        <f t="shared" ref="U50:U59" si="8">AVERAGE(N50:R50)</f>
        <v>#DIV/0!</v>
      </c>
      <c r="V50" s="13"/>
      <c r="W50" s="13" t="e">
        <f t="shared" ref="W50:W59" si="9">AVERAGE(S50:U50)</f>
        <v>#DIV/0!</v>
      </c>
      <c r="X50" s="16" t="e">
        <f t="shared" ref="X50:X59" si="10">ROUND(AVERAGE(V50:W50),0)</f>
        <v>#DIV/0!</v>
      </c>
      <c r="Y50" s="6"/>
      <c r="Z50" s="7"/>
      <c r="AA50" s="8" t="e">
        <f t="shared" ref="AA50:AA59" si="11">ROUND(IF((X50*(IF(Y50="A",105%,IF(Y50="B",102%,IF(Y50="C",75%,50%))))*Z50)&gt;100,100,(X50*(IF(Y50="A",105%,IF(Y50="B",102%,IF(Y50="C",75%,50%))))*Z50)),0)</f>
        <v>#DIV/0!</v>
      </c>
    </row>
    <row r="51" spans="1:31" x14ac:dyDescent="0.35">
      <c r="A51" s="4">
        <v>39</v>
      </c>
      <c r="B51" s="34" t="s">
        <v>940</v>
      </c>
      <c r="C51" s="35" t="s">
        <v>108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6"/>
        <v>#DIV/0!</v>
      </c>
      <c r="T51" s="22" t="e">
        <f t="shared" si="7"/>
        <v>#DIV/0!</v>
      </c>
      <c r="U51" s="18" t="e">
        <f t="shared" si="8"/>
        <v>#DIV/0!</v>
      </c>
      <c r="V51" s="13"/>
      <c r="W51" s="13" t="e">
        <f t="shared" si="9"/>
        <v>#DIV/0!</v>
      </c>
      <c r="X51" s="16" t="e">
        <f t="shared" si="10"/>
        <v>#DIV/0!</v>
      </c>
      <c r="Y51" s="6"/>
      <c r="Z51" s="7"/>
      <c r="AA51" s="8" t="e">
        <f t="shared" si="11"/>
        <v>#DIV/0!</v>
      </c>
    </row>
    <row r="52" spans="1:31" x14ac:dyDescent="0.35">
      <c r="A52" s="4">
        <v>40</v>
      </c>
      <c r="B52" s="34" t="s">
        <v>941</v>
      </c>
      <c r="C52" s="35" t="s">
        <v>109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6"/>
        <v>#DIV/0!</v>
      </c>
      <c r="T52" s="22" t="e">
        <f t="shared" si="7"/>
        <v>#DIV/0!</v>
      </c>
      <c r="U52" s="18" t="e">
        <f t="shared" si="8"/>
        <v>#DIV/0!</v>
      </c>
      <c r="V52" s="13"/>
      <c r="W52" s="13" t="e">
        <f t="shared" si="9"/>
        <v>#DIV/0!</v>
      </c>
      <c r="X52" s="16" t="e">
        <f t="shared" si="10"/>
        <v>#DIV/0!</v>
      </c>
      <c r="Y52" s="6"/>
      <c r="Z52" s="7"/>
      <c r="AA52" s="8" t="e">
        <f t="shared" si="11"/>
        <v>#DIV/0!</v>
      </c>
    </row>
    <row r="53" spans="1:31" x14ac:dyDescent="0.35">
      <c r="A53" s="4">
        <v>41</v>
      </c>
      <c r="B53" s="34" t="s">
        <v>942</v>
      </c>
      <c r="C53" s="35" t="s">
        <v>110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6"/>
        <v>#DIV/0!</v>
      </c>
      <c r="T53" s="22" t="e">
        <f t="shared" si="7"/>
        <v>#DIV/0!</v>
      </c>
      <c r="U53" s="18" t="e">
        <f t="shared" si="8"/>
        <v>#DIV/0!</v>
      </c>
      <c r="V53" s="13"/>
      <c r="W53" s="13" t="e">
        <f t="shared" si="9"/>
        <v>#DIV/0!</v>
      </c>
      <c r="X53" s="16" t="e">
        <f t="shared" si="10"/>
        <v>#DIV/0!</v>
      </c>
      <c r="Y53" s="6"/>
      <c r="Z53" s="7"/>
      <c r="AA53" s="8" t="e">
        <f t="shared" si="11"/>
        <v>#DIV/0!</v>
      </c>
    </row>
    <row r="54" spans="1:31" x14ac:dyDescent="0.35">
      <c r="A54" s="4">
        <v>42</v>
      </c>
      <c r="B54" s="34" t="s">
        <v>943</v>
      </c>
      <c r="C54" s="35" t="s">
        <v>111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6"/>
        <v>#DIV/0!</v>
      </c>
      <c r="T54" s="22" t="e">
        <f t="shared" si="7"/>
        <v>#DIV/0!</v>
      </c>
      <c r="U54" s="18" t="e">
        <f t="shared" si="8"/>
        <v>#DIV/0!</v>
      </c>
      <c r="V54" s="13"/>
      <c r="W54" s="13" t="e">
        <f t="shared" si="9"/>
        <v>#DIV/0!</v>
      </c>
      <c r="X54" s="16" t="e">
        <f t="shared" si="10"/>
        <v>#DIV/0!</v>
      </c>
      <c r="Y54" s="6"/>
      <c r="Z54" s="7"/>
      <c r="AA54" s="8" t="e">
        <f t="shared" si="11"/>
        <v>#DIV/0!</v>
      </c>
    </row>
    <row r="55" spans="1:31" x14ac:dyDescent="0.35">
      <c r="A55" s="4">
        <v>43</v>
      </c>
      <c r="B55" s="34" t="s">
        <v>944</v>
      </c>
      <c r="C55" s="35" t="s">
        <v>112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6"/>
        <v>#DIV/0!</v>
      </c>
      <c r="T55" s="22" t="e">
        <f t="shared" si="7"/>
        <v>#DIV/0!</v>
      </c>
      <c r="U55" s="18" t="e">
        <f t="shared" si="8"/>
        <v>#DIV/0!</v>
      </c>
      <c r="V55" s="13"/>
      <c r="W55" s="13" t="e">
        <f t="shared" si="9"/>
        <v>#DIV/0!</v>
      </c>
      <c r="X55" s="16" t="e">
        <f t="shared" si="10"/>
        <v>#DIV/0!</v>
      </c>
      <c r="Y55" s="6"/>
      <c r="Z55" s="7"/>
      <c r="AA55" s="8" t="e">
        <f t="shared" si="11"/>
        <v>#DIV/0!</v>
      </c>
    </row>
    <row r="56" spans="1:31" x14ac:dyDescent="0.35">
      <c r="A56" s="4">
        <v>44</v>
      </c>
      <c r="B56" s="34" t="s">
        <v>945</v>
      </c>
      <c r="C56" s="35" t="s">
        <v>113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6"/>
        <v>#DIV/0!</v>
      </c>
      <c r="T56" s="22" t="e">
        <f t="shared" si="7"/>
        <v>#DIV/0!</v>
      </c>
      <c r="U56" s="18" t="e">
        <f t="shared" si="8"/>
        <v>#DIV/0!</v>
      </c>
      <c r="V56" s="13"/>
      <c r="W56" s="13" t="e">
        <f t="shared" si="9"/>
        <v>#DIV/0!</v>
      </c>
      <c r="X56" s="16" t="e">
        <f t="shared" si="10"/>
        <v>#DIV/0!</v>
      </c>
      <c r="Y56" s="6"/>
      <c r="Z56" s="7"/>
      <c r="AA56" s="8" t="e">
        <f t="shared" si="11"/>
        <v>#DIV/0!</v>
      </c>
    </row>
    <row r="57" spans="1:31" x14ac:dyDescent="0.35">
      <c r="A57" s="4">
        <v>45</v>
      </c>
      <c r="B57" s="34" t="s">
        <v>946</v>
      </c>
      <c r="C57" s="35" t="s">
        <v>114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6"/>
        <v>#DIV/0!</v>
      </c>
      <c r="T57" s="22" t="e">
        <f t="shared" si="7"/>
        <v>#DIV/0!</v>
      </c>
      <c r="U57" s="18" t="e">
        <f t="shared" si="8"/>
        <v>#DIV/0!</v>
      </c>
      <c r="V57" s="13"/>
      <c r="W57" s="13" t="e">
        <f t="shared" si="9"/>
        <v>#DIV/0!</v>
      </c>
      <c r="X57" s="16" t="e">
        <f t="shared" si="10"/>
        <v>#DIV/0!</v>
      </c>
      <c r="Y57" s="6"/>
      <c r="Z57" s="7"/>
      <c r="AA57" s="8" t="e">
        <f t="shared" si="11"/>
        <v>#DIV/0!</v>
      </c>
    </row>
    <row r="58" spans="1:31" x14ac:dyDescent="0.35">
      <c r="A58" s="4">
        <v>46</v>
      </c>
      <c r="B58" s="34" t="s">
        <v>947</v>
      </c>
      <c r="C58" s="35" t="s">
        <v>115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6"/>
        <v>#DIV/0!</v>
      </c>
      <c r="T58" s="22" t="e">
        <f t="shared" si="7"/>
        <v>#DIV/0!</v>
      </c>
      <c r="U58" s="18" t="e">
        <f t="shared" si="8"/>
        <v>#DIV/0!</v>
      </c>
      <c r="V58" s="13"/>
      <c r="W58" s="13" t="e">
        <f t="shared" si="9"/>
        <v>#DIV/0!</v>
      </c>
      <c r="X58" s="16" t="e">
        <f t="shared" si="10"/>
        <v>#DIV/0!</v>
      </c>
      <c r="Y58" s="6"/>
      <c r="Z58" s="7"/>
      <c r="AA58" s="8" t="e">
        <f t="shared" si="11"/>
        <v>#DIV/0!</v>
      </c>
    </row>
    <row r="59" spans="1:31" x14ac:dyDescent="0.35">
      <c r="A59" s="4">
        <v>47</v>
      </c>
      <c r="B59" s="34" t="s">
        <v>948</v>
      </c>
      <c r="C59" s="35" t="s">
        <v>116</v>
      </c>
      <c r="D59" s="10"/>
      <c r="E59" s="2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0" t="e">
        <f t="shared" si="6"/>
        <v>#DIV/0!</v>
      </c>
      <c r="T59" s="22" t="e">
        <f t="shared" si="7"/>
        <v>#DIV/0!</v>
      </c>
      <c r="U59" s="18" t="e">
        <f t="shared" si="8"/>
        <v>#DIV/0!</v>
      </c>
      <c r="V59" s="13"/>
      <c r="W59" s="13" t="e">
        <f t="shared" si="9"/>
        <v>#DIV/0!</v>
      </c>
      <c r="X59" s="16" t="e">
        <f t="shared" si="10"/>
        <v>#DIV/0!</v>
      </c>
      <c r="Y59" s="6"/>
      <c r="Z59" s="7"/>
      <c r="AA59" s="8" t="e">
        <f t="shared" si="11"/>
        <v>#DIV/0!</v>
      </c>
    </row>
    <row r="62" spans="1:31" x14ac:dyDescent="0.35">
      <c r="Y62" s="6" t="s">
        <v>14</v>
      </c>
      <c r="Z62" s="10"/>
      <c r="AA62" s="8" t="e">
        <f>MAX(AA25:AA60)</f>
        <v>#DIV/0!</v>
      </c>
    </row>
    <row r="63" spans="1:31" x14ac:dyDescent="0.35">
      <c r="Y63" s="6" t="s">
        <v>15</v>
      </c>
      <c r="Z63" s="10"/>
      <c r="AA63" s="10" t="e">
        <f>MIN(AA25:AA60)</f>
        <v>#DIV/0!</v>
      </c>
    </row>
    <row r="64" spans="1:31" x14ac:dyDescent="0.35">
      <c r="Y64" s="6" t="s">
        <v>16</v>
      </c>
      <c r="Z64" s="10"/>
      <c r="AA64" s="10" t="e">
        <f>AVERAGE(AA25:AA60)</f>
        <v>#DIV/0!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6C52-9DBA-4115-825C-EC3602F669CA}">
  <dimension ref="A1:AE62"/>
  <sheetViews>
    <sheetView topLeftCell="A9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950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27" customHeight="1" x14ac:dyDescent="0.35">
      <c r="A11" s="53"/>
      <c r="B11" s="53"/>
      <c r="C11" s="54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951</v>
      </c>
      <c r="C13" s="35" t="s">
        <v>117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952</v>
      </c>
      <c r="C14" s="35" t="s">
        <v>118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953</v>
      </c>
      <c r="C15" s="35" t="s">
        <v>119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954</v>
      </c>
      <c r="C16" s="35" t="s">
        <v>120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955</v>
      </c>
      <c r="C17" s="35" t="s">
        <v>121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956</v>
      </c>
      <c r="C18" s="35" t="s">
        <v>122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957</v>
      </c>
      <c r="C19" s="35" t="s">
        <v>123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958</v>
      </c>
      <c r="C20" s="35" t="s">
        <v>124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959</v>
      </c>
      <c r="C21" s="35" t="s">
        <v>125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960</v>
      </c>
      <c r="C22" s="35" t="s">
        <v>126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961</v>
      </c>
      <c r="C23" s="35" t="s">
        <v>127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962</v>
      </c>
      <c r="C24" s="35" t="s">
        <v>128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963</v>
      </c>
      <c r="C25" s="35" t="s">
        <v>129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964</v>
      </c>
      <c r="C26" s="35" t="s">
        <v>130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965</v>
      </c>
      <c r="C27" s="35" t="s">
        <v>131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966</v>
      </c>
      <c r="C28" s="35" t="s">
        <v>132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967</v>
      </c>
      <c r="C29" s="35" t="s">
        <v>133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968</v>
      </c>
      <c r="C30" s="35" t="s">
        <v>134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969</v>
      </c>
      <c r="C31" s="35" t="s">
        <v>135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970</v>
      </c>
      <c r="C32" s="35" t="s">
        <v>136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971</v>
      </c>
      <c r="C33" s="35" t="s">
        <v>137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972</v>
      </c>
      <c r="C34" s="35" t="s">
        <v>138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973</v>
      </c>
      <c r="C35" s="35" t="s">
        <v>139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974</v>
      </c>
      <c r="C36" s="35" t="s">
        <v>140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975</v>
      </c>
      <c r="C37" s="35" t="s">
        <v>141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976</v>
      </c>
      <c r="C38" s="35" t="s">
        <v>142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977</v>
      </c>
      <c r="C39" s="35" t="s">
        <v>143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978</v>
      </c>
      <c r="C40" s="35" t="s">
        <v>996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979</v>
      </c>
      <c r="C41" s="35" t="s">
        <v>144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980</v>
      </c>
      <c r="C42" s="35" t="s">
        <v>145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981</v>
      </c>
      <c r="C43" s="35" t="s">
        <v>146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982</v>
      </c>
      <c r="C44" s="35" t="s">
        <v>147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983</v>
      </c>
      <c r="C45" s="35" t="s">
        <v>148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984</v>
      </c>
      <c r="C46" s="35" t="s">
        <v>149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985</v>
      </c>
      <c r="C47" s="35" t="s">
        <v>150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986</v>
      </c>
      <c r="C48" s="35" t="s">
        <v>151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987</v>
      </c>
      <c r="C49" s="35" t="s">
        <v>152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0" spans="1:31" x14ac:dyDescent="0.35">
      <c r="A50" s="4">
        <v>38</v>
      </c>
      <c r="B50" s="34" t="s">
        <v>988</v>
      </c>
      <c r="C50" s="35" t="s">
        <v>153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ref="S50:S57" si="6">AVERAGE(D50:H50)</f>
        <v>#DIV/0!</v>
      </c>
      <c r="T50" s="22" t="e">
        <f t="shared" ref="T50:T57" si="7">AVERAGE(I50:M50)</f>
        <v>#DIV/0!</v>
      </c>
      <c r="U50" s="18" t="e">
        <f t="shared" ref="U50:U57" si="8">AVERAGE(N50:R50)</f>
        <v>#DIV/0!</v>
      </c>
      <c r="V50" s="13"/>
      <c r="W50" s="13" t="e">
        <f t="shared" ref="W50:W57" si="9">AVERAGE(S50:U50)</f>
        <v>#DIV/0!</v>
      </c>
      <c r="X50" s="16" t="e">
        <f t="shared" ref="X50:X57" si="10">ROUND(AVERAGE(V50:W50),0)</f>
        <v>#DIV/0!</v>
      </c>
      <c r="Y50" s="6"/>
      <c r="Z50" s="7"/>
      <c r="AA50" s="8" t="e">
        <f t="shared" ref="AA50:AA57" si="11">ROUND(IF((X50*(IF(Y50="A",105%,IF(Y50="B",102%,IF(Y50="C",75%,50%))))*Z50)&gt;100,100,(X50*(IF(Y50="A",105%,IF(Y50="B",102%,IF(Y50="C",75%,50%))))*Z50)),0)</f>
        <v>#DIV/0!</v>
      </c>
    </row>
    <row r="51" spans="1:31" x14ac:dyDescent="0.35">
      <c r="A51" s="4">
        <v>39</v>
      </c>
      <c r="B51" s="34" t="s">
        <v>989</v>
      </c>
      <c r="C51" s="35" t="s">
        <v>154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6"/>
        <v>#DIV/0!</v>
      </c>
      <c r="T51" s="22" t="e">
        <f t="shared" si="7"/>
        <v>#DIV/0!</v>
      </c>
      <c r="U51" s="18" t="e">
        <f t="shared" si="8"/>
        <v>#DIV/0!</v>
      </c>
      <c r="V51" s="13"/>
      <c r="W51" s="13" t="e">
        <f t="shared" si="9"/>
        <v>#DIV/0!</v>
      </c>
      <c r="X51" s="16" t="e">
        <f t="shared" si="10"/>
        <v>#DIV/0!</v>
      </c>
      <c r="Y51" s="6"/>
      <c r="Z51" s="7"/>
      <c r="AA51" s="8" t="e">
        <f t="shared" si="11"/>
        <v>#DIV/0!</v>
      </c>
    </row>
    <row r="52" spans="1:31" x14ac:dyDescent="0.35">
      <c r="A52" s="4">
        <v>40</v>
      </c>
      <c r="B52" s="34" t="s">
        <v>990</v>
      </c>
      <c r="C52" s="35" t="s">
        <v>155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6"/>
        <v>#DIV/0!</v>
      </c>
      <c r="T52" s="22" t="e">
        <f t="shared" si="7"/>
        <v>#DIV/0!</v>
      </c>
      <c r="U52" s="18" t="e">
        <f t="shared" si="8"/>
        <v>#DIV/0!</v>
      </c>
      <c r="V52" s="13"/>
      <c r="W52" s="13" t="e">
        <f t="shared" si="9"/>
        <v>#DIV/0!</v>
      </c>
      <c r="X52" s="16" t="e">
        <f t="shared" si="10"/>
        <v>#DIV/0!</v>
      </c>
      <c r="Y52" s="6"/>
      <c r="Z52" s="7"/>
      <c r="AA52" s="8" t="e">
        <f t="shared" si="11"/>
        <v>#DIV/0!</v>
      </c>
    </row>
    <row r="53" spans="1:31" x14ac:dyDescent="0.35">
      <c r="A53" s="4">
        <v>41</v>
      </c>
      <c r="B53" s="34" t="s">
        <v>991</v>
      </c>
      <c r="C53" s="35" t="s">
        <v>156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6"/>
        <v>#DIV/0!</v>
      </c>
      <c r="T53" s="22" t="e">
        <f t="shared" si="7"/>
        <v>#DIV/0!</v>
      </c>
      <c r="U53" s="18" t="e">
        <f t="shared" si="8"/>
        <v>#DIV/0!</v>
      </c>
      <c r="V53" s="13"/>
      <c r="W53" s="13" t="e">
        <f t="shared" si="9"/>
        <v>#DIV/0!</v>
      </c>
      <c r="X53" s="16" t="e">
        <f t="shared" si="10"/>
        <v>#DIV/0!</v>
      </c>
      <c r="Y53" s="6"/>
      <c r="Z53" s="7"/>
      <c r="AA53" s="8" t="e">
        <f t="shared" si="11"/>
        <v>#DIV/0!</v>
      </c>
    </row>
    <row r="54" spans="1:31" x14ac:dyDescent="0.35">
      <c r="A54" s="4">
        <v>42</v>
      </c>
      <c r="B54" s="34" t="s">
        <v>992</v>
      </c>
      <c r="C54" s="35" t="s">
        <v>157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6"/>
        <v>#DIV/0!</v>
      </c>
      <c r="T54" s="22" t="e">
        <f t="shared" si="7"/>
        <v>#DIV/0!</v>
      </c>
      <c r="U54" s="18" t="e">
        <f t="shared" si="8"/>
        <v>#DIV/0!</v>
      </c>
      <c r="V54" s="13"/>
      <c r="W54" s="13" t="e">
        <f t="shared" si="9"/>
        <v>#DIV/0!</v>
      </c>
      <c r="X54" s="16" t="e">
        <f t="shared" si="10"/>
        <v>#DIV/0!</v>
      </c>
      <c r="Y54" s="6"/>
      <c r="Z54" s="7"/>
      <c r="AA54" s="8" t="e">
        <f t="shared" si="11"/>
        <v>#DIV/0!</v>
      </c>
    </row>
    <row r="55" spans="1:31" x14ac:dyDescent="0.35">
      <c r="A55" s="4">
        <v>43</v>
      </c>
      <c r="B55" s="34" t="s">
        <v>993</v>
      </c>
      <c r="C55" s="35" t="s">
        <v>158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6"/>
        <v>#DIV/0!</v>
      </c>
      <c r="T55" s="22" t="e">
        <f t="shared" si="7"/>
        <v>#DIV/0!</v>
      </c>
      <c r="U55" s="18" t="e">
        <f t="shared" si="8"/>
        <v>#DIV/0!</v>
      </c>
      <c r="V55" s="13"/>
      <c r="W55" s="13" t="e">
        <f t="shared" si="9"/>
        <v>#DIV/0!</v>
      </c>
      <c r="X55" s="16" t="e">
        <f t="shared" si="10"/>
        <v>#DIV/0!</v>
      </c>
      <c r="Y55" s="6"/>
      <c r="Z55" s="7"/>
      <c r="AA55" s="8" t="e">
        <f t="shared" si="11"/>
        <v>#DIV/0!</v>
      </c>
    </row>
    <row r="56" spans="1:31" x14ac:dyDescent="0.35">
      <c r="A56" s="4">
        <v>44</v>
      </c>
      <c r="B56" s="34" t="s">
        <v>994</v>
      </c>
      <c r="C56" s="35" t="s">
        <v>159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6"/>
        <v>#DIV/0!</v>
      </c>
      <c r="T56" s="22" t="e">
        <f t="shared" si="7"/>
        <v>#DIV/0!</v>
      </c>
      <c r="U56" s="18" t="e">
        <f t="shared" si="8"/>
        <v>#DIV/0!</v>
      </c>
      <c r="V56" s="13"/>
      <c r="W56" s="13" t="e">
        <f t="shared" si="9"/>
        <v>#DIV/0!</v>
      </c>
      <c r="X56" s="16" t="e">
        <f t="shared" si="10"/>
        <v>#DIV/0!</v>
      </c>
      <c r="Y56" s="6"/>
      <c r="Z56" s="7"/>
      <c r="AA56" s="8" t="e">
        <f t="shared" si="11"/>
        <v>#DIV/0!</v>
      </c>
    </row>
    <row r="57" spans="1:31" x14ac:dyDescent="0.35">
      <c r="A57" s="4">
        <v>45</v>
      </c>
      <c r="B57" s="34" t="s">
        <v>995</v>
      </c>
      <c r="C57" s="35" t="s">
        <v>160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6"/>
        <v>#DIV/0!</v>
      </c>
      <c r="T57" s="22" t="e">
        <f t="shared" si="7"/>
        <v>#DIV/0!</v>
      </c>
      <c r="U57" s="18" t="e">
        <f t="shared" si="8"/>
        <v>#DIV/0!</v>
      </c>
      <c r="V57" s="13"/>
      <c r="W57" s="13" t="e">
        <f t="shared" si="9"/>
        <v>#DIV/0!</v>
      </c>
      <c r="X57" s="16" t="e">
        <f t="shared" si="10"/>
        <v>#DIV/0!</v>
      </c>
      <c r="Y57" s="6"/>
      <c r="Z57" s="7"/>
      <c r="AA57" s="8" t="e">
        <f t="shared" si="11"/>
        <v>#DIV/0!</v>
      </c>
    </row>
    <row r="60" spans="1:31" x14ac:dyDescent="0.35">
      <c r="Y60" s="6" t="s">
        <v>14</v>
      </c>
      <c r="Z60" s="10"/>
      <c r="AA60" s="8" t="e">
        <f>MAX(AA13:AA49)</f>
        <v>#DIV/0!</v>
      </c>
    </row>
    <row r="61" spans="1:31" x14ac:dyDescent="0.35">
      <c r="Y61" s="6" t="s">
        <v>15</v>
      </c>
      <c r="Z61" s="10"/>
      <c r="AA61" s="10" t="e">
        <f>MIN(AA13:AA49)</f>
        <v>#DIV/0!</v>
      </c>
    </row>
    <row r="62" spans="1:31" x14ac:dyDescent="0.35">
      <c r="Y62" s="6" t="s">
        <v>16</v>
      </c>
      <c r="Z62" s="10"/>
      <c r="AA62" s="10" t="e">
        <f>AVERAGE(AA13:AA49)</f>
        <v>#DIV/0!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7" priority="1"/>
    <cfRule type="duplicateValues" dxfId="6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0B67-C697-458D-89BA-612C851BA768}">
  <dimension ref="A1:AE62"/>
  <sheetViews>
    <sheetView topLeftCell="A4" workbookViewId="0">
      <selection activeCell="D13" sqref="D13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1142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29.5" customHeight="1" x14ac:dyDescent="0.35">
      <c r="A11" s="53"/>
      <c r="B11" s="53"/>
      <c r="C11" s="54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997</v>
      </c>
      <c r="C13" s="35" t="s">
        <v>161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998</v>
      </c>
      <c r="C14" s="35" t="s">
        <v>162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999</v>
      </c>
      <c r="C15" s="35" t="s">
        <v>163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1000</v>
      </c>
      <c r="C16" s="35" t="s">
        <v>164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1001</v>
      </c>
      <c r="C17" s="35" t="s">
        <v>165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1002</v>
      </c>
      <c r="C18" s="35" t="s">
        <v>166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1003</v>
      </c>
      <c r="C19" s="35" t="s">
        <v>167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1004</v>
      </c>
      <c r="C20" s="35" t="s">
        <v>168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1005</v>
      </c>
      <c r="C21" s="35" t="s">
        <v>169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1006</v>
      </c>
      <c r="C22" s="35" t="s">
        <v>170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1007</v>
      </c>
      <c r="C23" s="35" t="s">
        <v>171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1008</v>
      </c>
      <c r="C24" s="35" t="s">
        <v>172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1009</v>
      </c>
      <c r="C25" s="35" t="s">
        <v>173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1010</v>
      </c>
      <c r="C26" s="35" t="s">
        <v>174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1011</v>
      </c>
      <c r="C27" s="35" t="s">
        <v>175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1012</v>
      </c>
      <c r="C28" s="35" t="s">
        <v>176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1013</v>
      </c>
      <c r="C29" s="35" t="s">
        <v>177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1014</v>
      </c>
      <c r="C30" s="35" t="s">
        <v>178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1015</v>
      </c>
      <c r="C31" s="35" t="s">
        <v>179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1016</v>
      </c>
      <c r="C32" s="35" t="s">
        <v>180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1017</v>
      </c>
      <c r="C33" s="35" t="s">
        <v>181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1018</v>
      </c>
      <c r="C34" s="35" t="s">
        <v>182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1019</v>
      </c>
      <c r="C35" s="35" t="s">
        <v>183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1020</v>
      </c>
      <c r="C36" s="35" t="s">
        <v>184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1021</v>
      </c>
      <c r="C37" s="35" t="s">
        <v>185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1022</v>
      </c>
      <c r="C38" s="35" t="s">
        <v>186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1023</v>
      </c>
      <c r="C39" s="35" t="s">
        <v>187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1024</v>
      </c>
      <c r="C40" s="35" t="s">
        <v>188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1025</v>
      </c>
      <c r="C41" s="35" t="s">
        <v>189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1026</v>
      </c>
      <c r="C42" s="35" t="s">
        <v>190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1027</v>
      </c>
      <c r="C43" s="35" t="s">
        <v>191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1028</v>
      </c>
      <c r="C44" s="35" t="s">
        <v>192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1029</v>
      </c>
      <c r="C45" s="35" t="s">
        <v>193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1030</v>
      </c>
      <c r="C46" s="35" t="s">
        <v>194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1031</v>
      </c>
      <c r="C47" s="35" t="s">
        <v>195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1032</v>
      </c>
      <c r="C48" s="35" t="s">
        <v>196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1033</v>
      </c>
      <c r="C49" s="35" t="s">
        <v>197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0" spans="1:31" x14ac:dyDescent="0.35">
      <c r="A50" s="4">
        <v>38</v>
      </c>
      <c r="B50" s="34" t="s">
        <v>1034</v>
      </c>
      <c r="C50" s="35" t="s">
        <v>198</v>
      </c>
      <c r="D50" s="5"/>
      <c r="E50" s="2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20" t="e">
        <f t="shared" ref="S50:S58" si="6">AVERAGE(D50:H50)</f>
        <v>#DIV/0!</v>
      </c>
      <c r="T50" s="22" t="e">
        <f t="shared" ref="T50:T58" si="7">AVERAGE(I50:M50)</f>
        <v>#DIV/0!</v>
      </c>
      <c r="U50" s="18" t="e">
        <f t="shared" ref="U50:U58" si="8">AVERAGE(N50:R50)</f>
        <v>#DIV/0!</v>
      </c>
      <c r="V50" s="13"/>
      <c r="W50" s="13" t="e">
        <f t="shared" ref="W50:W58" si="9">AVERAGE(S50:U50)</f>
        <v>#DIV/0!</v>
      </c>
      <c r="X50" s="16" t="e">
        <f t="shared" ref="X50:X58" si="10">ROUND(AVERAGE(V50:W50),0)</f>
        <v>#DIV/0!</v>
      </c>
      <c r="Y50" s="6"/>
      <c r="Z50" s="7"/>
      <c r="AA50" s="8" t="e">
        <f t="shared" ref="AA50:AA58" si="11">ROUND(IF((X50*(IF(Y50="A",105%,IF(Y50="B",102%,IF(Y50="C",75%,50%))))*Z50)&gt;100,100,(X50*(IF(Y50="A",105%,IF(Y50="B",102%,IF(Y50="C",75%,50%))))*Z50)),0)</f>
        <v>#DIV/0!</v>
      </c>
      <c r="AB50" s="9"/>
      <c r="AC50" s="9"/>
      <c r="AE50" s="9"/>
    </row>
    <row r="51" spans="1:31" x14ac:dyDescent="0.35">
      <c r="A51" s="4">
        <v>39</v>
      </c>
      <c r="B51" s="34" t="s">
        <v>1035</v>
      </c>
      <c r="C51" s="35" t="s">
        <v>199</v>
      </c>
      <c r="D51" s="5"/>
      <c r="E51" s="2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20" t="e">
        <f t="shared" si="6"/>
        <v>#DIV/0!</v>
      </c>
      <c r="T51" s="22" t="e">
        <f t="shared" si="7"/>
        <v>#DIV/0!</v>
      </c>
      <c r="U51" s="18" t="e">
        <f t="shared" si="8"/>
        <v>#DIV/0!</v>
      </c>
      <c r="V51" s="13"/>
      <c r="W51" s="13" t="e">
        <f t="shared" si="9"/>
        <v>#DIV/0!</v>
      </c>
      <c r="X51" s="16" t="e">
        <f t="shared" si="10"/>
        <v>#DIV/0!</v>
      </c>
      <c r="Y51" s="6"/>
      <c r="Z51" s="7"/>
      <c r="AA51" s="8" t="e">
        <f t="shared" si="11"/>
        <v>#DIV/0!</v>
      </c>
      <c r="AB51" s="9"/>
      <c r="AC51" s="9"/>
      <c r="AE51" s="9"/>
    </row>
    <row r="52" spans="1:31" x14ac:dyDescent="0.35">
      <c r="A52" s="4">
        <v>40</v>
      </c>
      <c r="B52" s="34" t="s">
        <v>1036</v>
      </c>
      <c r="C52" s="35" t="s">
        <v>200</v>
      </c>
      <c r="D52" s="5"/>
      <c r="E52" s="2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20" t="e">
        <f t="shared" si="6"/>
        <v>#DIV/0!</v>
      </c>
      <c r="T52" s="22" t="e">
        <f t="shared" si="7"/>
        <v>#DIV/0!</v>
      </c>
      <c r="U52" s="18" t="e">
        <f t="shared" si="8"/>
        <v>#DIV/0!</v>
      </c>
      <c r="V52" s="13"/>
      <c r="W52" s="13" t="e">
        <f t="shared" si="9"/>
        <v>#DIV/0!</v>
      </c>
      <c r="X52" s="16" t="e">
        <f t="shared" si="10"/>
        <v>#DIV/0!</v>
      </c>
      <c r="Y52" s="6"/>
      <c r="Z52" s="7"/>
      <c r="AA52" s="8" t="e">
        <f t="shared" si="11"/>
        <v>#DIV/0!</v>
      </c>
      <c r="AB52" s="9"/>
      <c r="AC52" s="9"/>
      <c r="AE52" s="9"/>
    </row>
    <row r="53" spans="1:31" x14ac:dyDescent="0.35">
      <c r="A53" s="4">
        <v>41</v>
      </c>
      <c r="B53" s="34" t="s">
        <v>1037</v>
      </c>
      <c r="C53" s="35" t="s">
        <v>201</v>
      </c>
      <c r="D53" s="5"/>
      <c r="E53" s="2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20" t="e">
        <f t="shared" si="6"/>
        <v>#DIV/0!</v>
      </c>
      <c r="T53" s="22" t="e">
        <f t="shared" si="7"/>
        <v>#DIV/0!</v>
      </c>
      <c r="U53" s="18" t="e">
        <f t="shared" si="8"/>
        <v>#DIV/0!</v>
      </c>
      <c r="V53" s="13"/>
      <c r="W53" s="13" t="e">
        <f t="shared" si="9"/>
        <v>#DIV/0!</v>
      </c>
      <c r="X53" s="16" t="e">
        <f t="shared" si="10"/>
        <v>#DIV/0!</v>
      </c>
      <c r="Y53" s="6"/>
      <c r="Z53" s="7"/>
      <c r="AA53" s="8" t="e">
        <f t="shared" si="11"/>
        <v>#DIV/0!</v>
      </c>
      <c r="AB53" s="9"/>
      <c r="AC53" s="9"/>
      <c r="AE53" s="9"/>
    </row>
    <row r="54" spans="1:31" x14ac:dyDescent="0.35">
      <c r="A54" s="4">
        <v>42</v>
      </c>
      <c r="B54" s="34" t="s">
        <v>1038</v>
      </c>
      <c r="C54" s="35" t="s">
        <v>202</v>
      </c>
      <c r="D54" s="5"/>
      <c r="E54" s="2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20" t="e">
        <f t="shared" si="6"/>
        <v>#DIV/0!</v>
      </c>
      <c r="T54" s="22" t="e">
        <f t="shared" si="7"/>
        <v>#DIV/0!</v>
      </c>
      <c r="U54" s="18" t="e">
        <f t="shared" si="8"/>
        <v>#DIV/0!</v>
      </c>
      <c r="V54" s="13"/>
      <c r="W54" s="13" t="e">
        <f t="shared" si="9"/>
        <v>#DIV/0!</v>
      </c>
      <c r="X54" s="16" t="e">
        <f t="shared" si="10"/>
        <v>#DIV/0!</v>
      </c>
      <c r="Y54" s="6"/>
      <c r="Z54" s="7"/>
      <c r="AA54" s="8" t="e">
        <f t="shared" si="11"/>
        <v>#DIV/0!</v>
      </c>
      <c r="AB54" s="9"/>
      <c r="AC54" s="9"/>
      <c r="AE54" s="9"/>
    </row>
    <row r="55" spans="1:31" x14ac:dyDescent="0.35">
      <c r="A55" s="4">
        <v>43</v>
      </c>
      <c r="B55" s="34" t="s">
        <v>1039</v>
      </c>
      <c r="C55" s="35" t="s">
        <v>203</v>
      </c>
      <c r="D55" s="5"/>
      <c r="E55" s="2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20" t="e">
        <f t="shared" si="6"/>
        <v>#DIV/0!</v>
      </c>
      <c r="T55" s="22" t="e">
        <f t="shared" si="7"/>
        <v>#DIV/0!</v>
      </c>
      <c r="U55" s="18" t="e">
        <f t="shared" si="8"/>
        <v>#DIV/0!</v>
      </c>
      <c r="V55" s="13"/>
      <c r="W55" s="13" t="e">
        <f t="shared" si="9"/>
        <v>#DIV/0!</v>
      </c>
      <c r="X55" s="16" t="e">
        <f t="shared" si="10"/>
        <v>#DIV/0!</v>
      </c>
      <c r="Y55" s="6"/>
      <c r="Z55" s="7"/>
      <c r="AA55" s="8" t="e">
        <f t="shared" si="11"/>
        <v>#DIV/0!</v>
      </c>
      <c r="AB55" s="9"/>
      <c r="AC55" s="9"/>
      <c r="AE55" s="9"/>
    </row>
    <row r="56" spans="1:31" x14ac:dyDescent="0.35">
      <c r="A56" s="4">
        <v>44</v>
      </c>
      <c r="B56" s="34" t="s">
        <v>1040</v>
      </c>
      <c r="C56" s="35" t="s">
        <v>204</v>
      </c>
      <c r="D56" s="5"/>
      <c r="E56" s="2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20" t="e">
        <f t="shared" si="6"/>
        <v>#DIV/0!</v>
      </c>
      <c r="T56" s="22" t="e">
        <f t="shared" si="7"/>
        <v>#DIV/0!</v>
      </c>
      <c r="U56" s="18" t="e">
        <f t="shared" si="8"/>
        <v>#DIV/0!</v>
      </c>
      <c r="V56" s="13"/>
      <c r="W56" s="13" t="e">
        <f t="shared" si="9"/>
        <v>#DIV/0!</v>
      </c>
      <c r="X56" s="16" t="e">
        <f t="shared" si="10"/>
        <v>#DIV/0!</v>
      </c>
      <c r="Y56" s="6"/>
      <c r="Z56" s="7"/>
      <c r="AA56" s="8" t="e">
        <f t="shared" si="11"/>
        <v>#DIV/0!</v>
      </c>
      <c r="AB56" s="9"/>
      <c r="AC56" s="9"/>
      <c r="AE56" s="9"/>
    </row>
    <row r="57" spans="1:31" x14ac:dyDescent="0.35">
      <c r="A57" s="4">
        <v>45</v>
      </c>
      <c r="B57" s="34" t="s">
        <v>1041</v>
      </c>
      <c r="C57" s="35" t="s">
        <v>205</v>
      </c>
      <c r="D57" s="5"/>
      <c r="E57" s="2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20" t="e">
        <f t="shared" si="6"/>
        <v>#DIV/0!</v>
      </c>
      <c r="T57" s="22" t="e">
        <f t="shared" si="7"/>
        <v>#DIV/0!</v>
      </c>
      <c r="U57" s="18" t="e">
        <f t="shared" si="8"/>
        <v>#DIV/0!</v>
      </c>
      <c r="V57" s="13"/>
      <c r="W57" s="13" t="e">
        <f t="shared" si="9"/>
        <v>#DIV/0!</v>
      </c>
      <c r="X57" s="16" t="e">
        <f t="shared" si="10"/>
        <v>#DIV/0!</v>
      </c>
      <c r="Y57" s="6"/>
      <c r="Z57" s="7"/>
      <c r="AA57" s="8" t="e">
        <f t="shared" si="11"/>
        <v>#DIV/0!</v>
      </c>
      <c r="AB57" s="9"/>
      <c r="AC57" s="9"/>
      <c r="AE57" s="9"/>
    </row>
    <row r="58" spans="1:31" x14ac:dyDescent="0.35">
      <c r="A58" s="4">
        <v>46</v>
      </c>
      <c r="B58" s="34" t="s">
        <v>1042</v>
      </c>
      <c r="C58" s="35" t="s">
        <v>206</v>
      </c>
      <c r="D58" s="5"/>
      <c r="E58" s="2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20" t="e">
        <f t="shared" si="6"/>
        <v>#DIV/0!</v>
      </c>
      <c r="T58" s="22" t="e">
        <f t="shared" si="7"/>
        <v>#DIV/0!</v>
      </c>
      <c r="U58" s="18" t="e">
        <f t="shared" si="8"/>
        <v>#DIV/0!</v>
      </c>
      <c r="V58" s="13"/>
      <c r="W58" s="13" t="e">
        <f t="shared" si="9"/>
        <v>#DIV/0!</v>
      </c>
      <c r="X58" s="16" t="e">
        <f t="shared" si="10"/>
        <v>#DIV/0!</v>
      </c>
      <c r="Y58" s="6"/>
      <c r="Z58" s="7"/>
      <c r="AA58" s="8" t="e">
        <f t="shared" si="11"/>
        <v>#DIV/0!</v>
      </c>
      <c r="AB58" s="9"/>
      <c r="AC58" s="9"/>
      <c r="AE58" s="9"/>
    </row>
    <row r="60" spans="1:31" x14ac:dyDescent="0.35">
      <c r="Y60" s="11" t="s">
        <v>14</v>
      </c>
      <c r="AA60" s="12" t="e">
        <f>MAX(AA13:AA49)</f>
        <v>#DIV/0!</v>
      </c>
    </row>
    <row r="61" spans="1:31" x14ac:dyDescent="0.35">
      <c r="Y61" s="11" t="s">
        <v>15</v>
      </c>
      <c r="AA61" t="e">
        <f>MIN(AA13:AA49)</f>
        <v>#DIV/0!</v>
      </c>
    </row>
    <row r="62" spans="1:31" x14ac:dyDescent="0.35">
      <c r="Y62" s="11" t="s">
        <v>16</v>
      </c>
      <c r="AA62" t="e">
        <f>AVERAGE(AA13:AA49)</f>
        <v>#DIV/0!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5" priority="1"/>
    <cfRule type="duplicateValues" dxfId="4" priority="2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6616-9A40-44D9-A64A-954C5541D95B}">
  <dimension ref="A1:AE64"/>
  <sheetViews>
    <sheetView topLeftCell="A48" workbookViewId="0">
      <selection activeCell="B13" sqref="B13"/>
    </sheetView>
  </sheetViews>
  <sheetFormatPr defaultRowHeight="14.5" x14ac:dyDescent="0.35"/>
  <cols>
    <col min="1" max="1" width="4.453125" customWidth="1"/>
    <col min="2" max="2" width="19.90625" bestFit="1" customWidth="1"/>
    <col min="3" max="3" width="28.0898437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1141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40" customHeight="1" x14ac:dyDescent="0.35">
      <c r="A11" s="53"/>
      <c r="B11" s="53"/>
      <c r="C11" s="54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1043</v>
      </c>
      <c r="C13" s="35" t="s">
        <v>207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1044</v>
      </c>
      <c r="C14" s="35" t="s">
        <v>208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 t="shared" ref="S14:S49" si="0">AVERAGE(D14:H14)</f>
        <v>#DIV/0!</v>
      </c>
      <c r="T14" s="22" t="e">
        <f t="shared" ref="T14:T49" si="1">AVERAGE(I14:M14)</f>
        <v>#DIV/0!</v>
      </c>
      <c r="U14" s="18" t="e">
        <f t="shared" ref="U14:U49" si="2">AVERAGE(N14:R14)</f>
        <v>#DIV/0!</v>
      </c>
      <c r="V14" s="13"/>
      <c r="W14" s="13" t="e">
        <f t="shared" ref="W14:W49" si="3">AVERAGE(S14:U14)</f>
        <v>#DIV/0!</v>
      </c>
      <c r="X14" s="16" t="e">
        <f t="shared" ref="X14:X49" si="4">ROUND(AVERAGE(V14:W14),0)</f>
        <v>#DIV/0!</v>
      </c>
      <c r="Y14" s="6"/>
      <c r="Z14" s="7">
        <v>1</v>
      </c>
      <c r="AA14" s="8" t="e">
        <f t="shared" ref="AA14:AA49" si="5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1045</v>
      </c>
      <c r="C15" s="35" t="s">
        <v>209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 t="shared" si="0"/>
        <v>#DIV/0!</v>
      </c>
      <c r="T15" s="22" t="e">
        <f t="shared" si="1"/>
        <v>#DIV/0!</v>
      </c>
      <c r="U15" s="18" t="e">
        <f t="shared" si="2"/>
        <v>#DIV/0!</v>
      </c>
      <c r="V15" s="13"/>
      <c r="W15" s="13" t="e">
        <f t="shared" si="3"/>
        <v>#DIV/0!</v>
      </c>
      <c r="X15" s="16" t="e">
        <f t="shared" si="4"/>
        <v>#DIV/0!</v>
      </c>
      <c r="Y15" s="6"/>
      <c r="Z15" s="7">
        <v>1</v>
      </c>
      <c r="AA15" s="8" t="e">
        <f t="shared" si="5"/>
        <v>#DIV/0!</v>
      </c>
    </row>
    <row r="16" spans="1:27" s="9" customFormat="1" x14ac:dyDescent="0.35">
      <c r="A16" s="4">
        <v>4</v>
      </c>
      <c r="B16" s="34" t="s">
        <v>1046</v>
      </c>
      <c r="C16" s="35" t="s">
        <v>210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 t="shared" si="0"/>
        <v>#DIV/0!</v>
      </c>
      <c r="T16" s="22" t="e">
        <f t="shared" si="1"/>
        <v>#DIV/0!</v>
      </c>
      <c r="U16" s="18" t="e">
        <f t="shared" si="2"/>
        <v>#DIV/0!</v>
      </c>
      <c r="V16" s="13"/>
      <c r="W16" s="13" t="e">
        <f t="shared" si="3"/>
        <v>#DIV/0!</v>
      </c>
      <c r="X16" s="16" t="e">
        <f t="shared" si="4"/>
        <v>#DIV/0!</v>
      </c>
      <c r="Y16" s="6"/>
      <c r="Z16" s="7">
        <v>1</v>
      </c>
      <c r="AA16" s="8" t="e">
        <f t="shared" si="5"/>
        <v>#DIV/0!</v>
      </c>
    </row>
    <row r="17" spans="1:27" s="9" customFormat="1" x14ac:dyDescent="0.35">
      <c r="A17" s="4">
        <v>5</v>
      </c>
      <c r="B17" s="34" t="s">
        <v>1047</v>
      </c>
      <c r="C17" s="35" t="s">
        <v>211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 t="shared" si="0"/>
        <v>#DIV/0!</v>
      </c>
      <c r="T17" s="22" t="e">
        <f t="shared" si="1"/>
        <v>#DIV/0!</v>
      </c>
      <c r="U17" s="18" t="e">
        <f t="shared" si="2"/>
        <v>#DIV/0!</v>
      </c>
      <c r="V17" s="13"/>
      <c r="W17" s="13" t="e">
        <f t="shared" si="3"/>
        <v>#DIV/0!</v>
      </c>
      <c r="X17" s="16" t="e">
        <f t="shared" si="4"/>
        <v>#DIV/0!</v>
      </c>
      <c r="Y17" s="6"/>
      <c r="Z17" s="7">
        <v>1</v>
      </c>
      <c r="AA17" s="8" t="e">
        <f t="shared" si="5"/>
        <v>#DIV/0!</v>
      </c>
    </row>
    <row r="18" spans="1:27" s="9" customFormat="1" x14ac:dyDescent="0.35">
      <c r="A18" s="4">
        <v>6</v>
      </c>
      <c r="B18" s="34" t="s">
        <v>1048</v>
      </c>
      <c r="C18" s="35" t="s">
        <v>212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 t="shared" si="0"/>
        <v>#DIV/0!</v>
      </c>
      <c r="T18" s="22" t="e">
        <f t="shared" si="1"/>
        <v>#DIV/0!</v>
      </c>
      <c r="U18" s="18" t="e">
        <f t="shared" si="2"/>
        <v>#DIV/0!</v>
      </c>
      <c r="V18" s="13"/>
      <c r="W18" s="13" t="e">
        <f t="shared" si="3"/>
        <v>#DIV/0!</v>
      </c>
      <c r="X18" s="16" t="e">
        <f t="shared" si="4"/>
        <v>#DIV/0!</v>
      </c>
      <c r="Y18" s="6"/>
      <c r="Z18" s="7">
        <v>1</v>
      </c>
      <c r="AA18" s="8" t="e">
        <f t="shared" si="5"/>
        <v>#DIV/0!</v>
      </c>
    </row>
    <row r="19" spans="1:27" s="9" customFormat="1" x14ac:dyDescent="0.35">
      <c r="A19" s="4">
        <v>7</v>
      </c>
      <c r="B19" s="34" t="s">
        <v>1049</v>
      </c>
      <c r="C19" s="35" t="s">
        <v>213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 t="shared" si="0"/>
        <v>#DIV/0!</v>
      </c>
      <c r="T19" s="22" t="e">
        <f t="shared" si="1"/>
        <v>#DIV/0!</v>
      </c>
      <c r="U19" s="18" t="e">
        <f t="shared" si="2"/>
        <v>#DIV/0!</v>
      </c>
      <c r="V19" s="13"/>
      <c r="W19" s="13" t="e">
        <f t="shared" si="3"/>
        <v>#DIV/0!</v>
      </c>
      <c r="X19" s="16" t="e">
        <f t="shared" si="4"/>
        <v>#DIV/0!</v>
      </c>
      <c r="Y19" s="6"/>
      <c r="Z19" s="7">
        <v>1</v>
      </c>
      <c r="AA19" s="8" t="e">
        <f t="shared" si="5"/>
        <v>#DIV/0!</v>
      </c>
    </row>
    <row r="20" spans="1:27" s="9" customFormat="1" x14ac:dyDescent="0.35">
      <c r="A20" s="4">
        <v>8</v>
      </c>
      <c r="B20" s="34" t="s">
        <v>1050</v>
      </c>
      <c r="C20" s="35" t="s">
        <v>214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 t="shared" si="0"/>
        <v>#DIV/0!</v>
      </c>
      <c r="T20" s="22" t="e">
        <f t="shared" si="1"/>
        <v>#DIV/0!</v>
      </c>
      <c r="U20" s="18" t="e">
        <f t="shared" si="2"/>
        <v>#DIV/0!</v>
      </c>
      <c r="V20" s="13"/>
      <c r="W20" s="13" t="e">
        <f t="shared" si="3"/>
        <v>#DIV/0!</v>
      </c>
      <c r="X20" s="16" t="e">
        <f t="shared" si="4"/>
        <v>#DIV/0!</v>
      </c>
      <c r="Y20" s="6"/>
      <c r="Z20" s="7">
        <v>1</v>
      </c>
      <c r="AA20" s="8" t="e">
        <f t="shared" si="5"/>
        <v>#DIV/0!</v>
      </c>
    </row>
    <row r="21" spans="1:27" s="9" customFormat="1" x14ac:dyDescent="0.35">
      <c r="A21" s="4">
        <v>9</v>
      </c>
      <c r="B21" s="34" t="s">
        <v>1051</v>
      </c>
      <c r="C21" s="35" t="s">
        <v>215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 t="shared" si="0"/>
        <v>#DIV/0!</v>
      </c>
      <c r="T21" s="22" t="e">
        <f t="shared" si="1"/>
        <v>#DIV/0!</v>
      </c>
      <c r="U21" s="18" t="e">
        <f t="shared" si="2"/>
        <v>#DIV/0!</v>
      </c>
      <c r="V21" s="13"/>
      <c r="W21" s="13" t="e">
        <f t="shared" si="3"/>
        <v>#DIV/0!</v>
      </c>
      <c r="X21" s="16" t="e">
        <f t="shared" si="4"/>
        <v>#DIV/0!</v>
      </c>
      <c r="Y21" s="6"/>
      <c r="Z21" s="7">
        <v>1</v>
      </c>
      <c r="AA21" s="8" t="e">
        <f t="shared" si="5"/>
        <v>#DIV/0!</v>
      </c>
    </row>
    <row r="22" spans="1:27" s="9" customFormat="1" x14ac:dyDescent="0.35">
      <c r="A22" s="4">
        <v>10</v>
      </c>
      <c r="B22" s="34" t="s">
        <v>1052</v>
      </c>
      <c r="C22" s="35" t="s">
        <v>216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 t="shared" si="0"/>
        <v>#DIV/0!</v>
      </c>
      <c r="T22" s="22" t="e">
        <f t="shared" si="1"/>
        <v>#DIV/0!</v>
      </c>
      <c r="U22" s="18" t="e">
        <f t="shared" si="2"/>
        <v>#DIV/0!</v>
      </c>
      <c r="V22" s="13"/>
      <c r="W22" s="13" t="e">
        <f t="shared" si="3"/>
        <v>#DIV/0!</v>
      </c>
      <c r="X22" s="16" t="e">
        <f t="shared" si="4"/>
        <v>#DIV/0!</v>
      </c>
      <c r="Y22" s="6"/>
      <c r="Z22" s="7">
        <v>1</v>
      </c>
      <c r="AA22" s="8" t="e">
        <f t="shared" si="5"/>
        <v>#DIV/0!</v>
      </c>
    </row>
    <row r="23" spans="1:27" s="9" customFormat="1" x14ac:dyDescent="0.35">
      <c r="A23" s="4">
        <v>11</v>
      </c>
      <c r="B23" s="34" t="s">
        <v>1053</v>
      </c>
      <c r="C23" s="35" t="s">
        <v>217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 t="shared" si="0"/>
        <v>#DIV/0!</v>
      </c>
      <c r="T23" s="22" t="e">
        <f t="shared" si="1"/>
        <v>#DIV/0!</v>
      </c>
      <c r="U23" s="18" t="e">
        <f t="shared" si="2"/>
        <v>#DIV/0!</v>
      </c>
      <c r="V23" s="13"/>
      <c r="W23" s="13" t="e">
        <f t="shared" si="3"/>
        <v>#DIV/0!</v>
      </c>
      <c r="X23" s="16" t="e">
        <f t="shared" si="4"/>
        <v>#DIV/0!</v>
      </c>
      <c r="Y23" s="6"/>
      <c r="Z23" s="7">
        <v>1</v>
      </c>
      <c r="AA23" s="8" t="e">
        <f t="shared" si="5"/>
        <v>#DIV/0!</v>
      </c>
    </row>
    <row r="24" spans="1:27" s="9" customFormat="1" x14ac:dyDescent="0.35">
      <c r="A24" s="4">
        <v>12</v>
      </c>
      <c r="B24" s="34" t="s">
        <v>1054</v>
      </c>
      <c r="C24" s="35" t="s">
        <v>218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 t="shared" si="0"/>
        <v>#DIV/0!</v>
      </c>
      <c r="T24" s="22" t="e">
        <f t="shared" si="1"/>
        <v>#DIV/0!</v>
      </c>
      <c r="U24" s="18" t="e">
        <f t="shared" si="2"/>
        <v>#DIV/0!</v>
      </c>
      <c r="V24" s="13"/>
      <c r="W24" s="13" t="e">
        <f t="shared" si="3"/>
        <v>#DIV/0!</v>
      </c>
      <c r="X24" s="16" t="e">
        <f t="shared" si="4"/>
        <v>#DIV/0!</v>
      </c>
      <c r="Y24" s="6"/>
      <c r="Z24" s="7">
        <v>1</v>
      </c>
      <c r="AA24" s="8" t="e">
        <f t="shared" si="5"/>
        <v>#DIV/0!</v>
      </c>
    </row>
    <row r="25" spans="1:27" s="9" customFormat="1" x14ac:dyDescent="0.35">
      <c r="A25" s="4">
        <v>13</v>
      </c>
      <c r="B25" s="34" t="s">
        <v>1055</v>
      </c>
      <c r="C25" s="35" t="s">
        <v>219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 t="shared" si="0"/>
        <v>#DIV/0!</v>
      </c>
      <c r="T25" s="22" t="e">
        <f t="shared" si="1"/>
        <v>#DIV/0!</v>
      </c>
      <c r="U25" s="18" t="e">
        <f t="shared" si="2"/>
        <v>#DIV/0!</v>
      </c>
      <c r="V25" s="13"/>
      <c r="W25" s="13" t="e">
        <f t="shared" si="3"/>
        <v>#DIV/0!</v>
      </c>
      <c r="X25" s="16" t="e">
        <f t="shared" si="4"/>
        <v>#DIV/0!</v>
      </c>
      <c r="Y25" s="6"/>
      <c r="Z25" s="7">
        <v>1</v>
      </c>
      <c r="AA25" s="8" t="e">
        <f t="shared" si="5"/>
        <v>#DIV/0!</v>
      </c>
    </row>
    <row r="26" spans="1:27" s="9" customFormat="1" x14ac:dyDescent="0.35">
      <c r="A26" s="4">
        <v>14</v>
      </c>
      <c r="B26" s="34" t="s">
        <v>1056</v>
      </c>
      <c r="C26" s="35" t="s">
        <v>220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 t="shared" si="0"/>
        <v>#DIV/0!</v>
      </c>
      <c r="T26" s="22" t="e">
        <f t="shared" si="1"/>
        <v>#DIV/0!</v>
      </c>
      <c r="U26" s="18" t="e">
        <f t="shared" si="2"/>
        <v>#DIV/0!</v>
      </c>
      <c r="V26" s="13"/>
      <c r="W26" s="13" t="e">
        <f t="shared" si="3"/>
        <v>#DIV/0!</v>
      </c>
      <c r="X26" s="16" t="e">
        <f t="shared" si="4"/>
        <v>#DIV/0!</v>
      </c>
      <c r="Y26" s="6"/>
      <c r="Z26" s="7">
        <v>1</v>
      </c>
      <c r="AA26" s="8" t="e">
        <f t="shared" si="5"/>
        <v>#DIV/0!</v>
      </c>
    </row>
    <row r="27" spans="1:27" s="9" customFormat="1" x14ac:dyDescent="0.35">
      <c r="A27" s="4">
        <v>15</v>
      </c>
      <c r="B27" s="34" t="s">
        <v>1057</v>
      </c>
      <c r="C27" s="35" t="s">
        <v>1091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 t="shared" si="0"/>
        <v>#DIV/0!</v>
      </c>
      <c r="T27" s="22" t="e">
        <f t="shared" si="1"/>
        <v>#DIV/0!</v>
      </c>
      <c r="U27" s="18" t="e">
        <f t="shared" si="2"/>
        <v>#DIV/0!</v>
      </c>
      <c r="V27" s="13"/>
      <c r="W27" s="13" t="e">
        <f t="shared" si="3"/>
        <v>#DIV/0!</v>
      </c>
      <c r="X27" s="16" t="e">
        <f t="shared" si="4"/>
        <v>#DIV/0!</v>
      </c>
      <c r="Y27" s="6"/>
      <c r="Z27" s="7">
        <v>1</v>
      </c>
      <c r="AA27" s="8" t="e">
        <f t="shared" si="5"/>
        <v>#DIV/0!</v>
      </c>
    </row>
    <row r="28" spans="1:27" s="9" customFormat="1" x14ac:dyDescent="0.35">
      <c r="A28" s="4">
        <v>16</v>
      </c>
      <c r="B28" s="34" t="s">
        <v>1058</v>
      </c>
      <c r="C28" s="35" t="s">
        <v>221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 t="shared" si="0"/>
        <v>#DIV/0!</v>
      </c>
      <c r="T28" s="22" t="e">
        <f t="shared" si="1"/>
        <v>#DIV/0!</v>
      </c>
      <c r="U28" s="18" t="e">
        <f t="shared" si="2"/>
        <v>#DIV/0!</v>
      </c>
      <c r="V28" s="13"/>
      <c r="W28" s="13" t="e">
        <f t="shared" si="3"/>
        <v>#DIV/0!</v>
      </c>
      <c r="X28" s="16" t="e">
        <f t="shared" si="4"/>
        <v>#DIV/0!</v>
      </c>
      <c r="Y28" s="6"/>
      <c r="Z28" s="7">
        <v>1</v>
      </c>
      <c r="AA28" s="8" t="e">
        <f t="shared" si="5"/>
        <v>#DIV/0!</v>
      </c>
    </row>
    <row r="29" spans="1:27" s="9" customFormat="1" x14ac:dyDescent="0.35">
      <c r="A29" s="4">
        <v>17</v>
      </c>
      <c r="B29" s="34" t="s">
        <v>1059</v>
      </c>
      <c r="C29" s="35" t="s">
        <v>222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 t="shared" si="0"/>
        <v>#DIV/0!</v>
      </c>
      <c r="T29" s="22" t="e">
        <f t="shared" si="1"/>
        <v>#DIV/0!</v>
      </c>
      <c r="U29" s="18" t="e">
        <f t="shared" si="2"/>
        <v>#DIV/0!</v>
      </c>
      <c r="V29" s="13"/>
      <c r="W29" s="13" t="e">
        <f t="shared" si="3"/>
        <v>#DIV/0!</v>
      </c>
      <c r="X29" s="16" t="e">
        <f t="shared" si="4"/>
        <v>#DIV/0!</v>
      </c>
      <c r="Y29" s="6"/>
      <c r="Z29" s="7">
        <v>1</v>
      </c>
      <c r="AA29" s="8" t="e">
        <f t="shared" si="5"/>
        <v>#DIV/0!</v>
      </c>
    </row>
    <row r="30" spans="1:27" s="9" customFormat="1" x14ac:dyDescent="0.35">
      <c r="A30" s="4">
        <v>18</v>
      </c>
      <c r="B30" s="34" t="s">
        <v>1060</v>
      </c>
      <c r="C30" s="35" t="s">
        <v>223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 t="shared" si="0"/>
        <v>#DIV/0!</v>
      </c>
      <c r="T30" s="22" t="e">
        <f t="shared" si="1"/>
        <v>#DIV/0!</v>
      </c>
      <c r="U30" s="18" t="e">
        <f t="shared" si="2"/>
        <v>#DIV/0!</v>
      </c>
      <c r="V30" s="13"/>
      <c r="W30" s="13" t="e">
        <f t="shared" si="3"/>
        <v>#DIV/0!</v>
      </c>
      <c r="X30" s="16" t="e">
        <f t="shared" si="4"/>
        <v>#DIV/0!</v>
      </c>
      <c r="Y30" s="6"/>
      <c r="Z30" s="7">
        <v>1</v>
      </c>
      <c r="AA30" s="8" t="e">
        <f t="shared" si="5"/>
        <v>#DIV/0!</v>
      </c>
    </row>
    <row r="31" spans="1:27" s="9" customFormat="1" x14ac:dyDescent="0.35">
      <c r="A31" s="4">
        <v>19</v>
      </c>
      <c r="B31" s="34" t="s">
        <v>1061</v>
      </c>
      <c r="C31" s="35" t="s">
        <v>224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 t="shared" si="0"/>
        <v>#DIV/0!</v>
      </c>
      <c r="T31" s="22" t="e">
        <f t="shared" si="1"/>
        <v>#DIV/0!</v>
      </c>
      <c r="U31" s="18" t="e">
        <f t="shared" si="2"/>
        <v>#DIV/0!</v>
      </c>
      <c r="V31" s="13"/>
      <c r="W31" s="13" t="e">
        <f t="shared" si="3"/>
        <v>#DIV/0!</v>
      </c>
      <c r="X31" s="16" t="e">
        <f t="shared" si="4"/>
        <v>#DIV/0!</v>
      </c>
      <c r="Y31" s="6"/>
      <c r="Z31" s="7">
        <v>1</v>
      </c>
      <c r="AA31" s="8" t="e">
        <f t="shared" si="5"/>
        <v>#DIV/0!</v>
      </c>
    </row>
    <row r="32" spans="1:27" s="9" customFormat="1" x14ac:dyDescent="0.35">
      <c r="A32" s="4">
        <v>20</v>
      </c>
      <c r="B32" s="34" t="s">
        <v>1062</v>
      </c>
      <c r="C32" s="35" t="s">
        <v>225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 t="shared" si="0"/>
        <v>#DIV/0!</v>
      </c>
      <c r="T32" s="22" t="e">
        <f t="shared" si="1"/>
        <v>#DIV/0!</v>
      </c>
      <c r="U32" s="18" t="e">
        <f t="shared" si="2"/>
        <v>#DIV/0!</v>
      </c>
      <c r="V32" s="13"/>
      <c r="W32" s="13" t="e">
        <f t="shared" si="3"/>
        <v>#DIV/0!</v>
      </c>
      <c r="X32" s="16" t="e">
        <f t="shared" si="4"/>
        <v>#DIV/0!</v>
      </c>
      <c r="Y32" s="6"/>
      <c r="Z32" s="7">
        <v>1</v>
      </c>
      <c r="AA32" s="8" t="e">
        <f t="shared" si="5"/>
        <v>#DIV/0!</v>
      </c>
    </row>
    <row r="33" spans="1:27" s="9" customFormat="1" x14ac:dyDescent="0.35">
      <c r="A33" s="4">
        <v>21</v>
      </c>
      <c r="B33" s="34" t="s">
        <v>1063</v>
      </c>
      <c r="C33" s="35" t="s">
        <v>226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 t="shared" si="0"/>
        <v>#DIV/0!</v>
      </c>
      <c r="T33" s="22" t="e">
        <f t="shared" si="1"/>
        <v>#DIV/0!</v>
      </c>
      <c r="U33" s="18" t="e">
        <f t="shared" si="2"/>
        <v>#DIV/0!</v>
      </c>
      <c r="V33" s="13"/>
      <c r="W33" s="13" t="e">
        <f t="shared" si="3"/>
        <v>#DIV/0!</v>
      </c>
      <c r="X33" s="16" t="e">
        <f t="shared" si="4"/>
        <v>#DIV/0!</v>
      </c>
      <c r="Y33" s="6"/>
      <c r="Z33" s="7">
        <v>1</v>
      </c>
      <c r="AA33" s="8" t="e">
        <f t="shared" si="5"/>
        <v>#DIV/0!</v>
      </c>
    </row>
    <row r="34" spans="1:27" s="9" customFormat="1" x14ac:dyDescent="0.35">
      <c r="A34" s="4">
        <v>22</v>
      </c>
      <c r="B34" s="34" t="s">
        <v>1064</v>
      </c>
      <c r="C34" s="35" t="s">
        <v>227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 t="shared" si="0"/>
        <v>#DIV/0!</v>
      </c>
      <c r="T34" s="22" t="e">
        <f t="shared" si="1"/>
        <v>#DIV/0!</v>
      </c>
      <c r="U34" s="18" t="e">
        <f t="shared" si="2"/>
        <v>#DIV/0!</v>
      </c>
      <c r="V34" s="13"/>
      <c r="W34" s="13" t="e">
        <f t="shared" si="3"/>
        <v>#DIV/0!</v>
      </c>
      <c r="X34" s="16" t="e">
        <f t="shared" si="4"/>
        <v>#DIV/0!</v>
      </c>
      <c r="Y34" s="6"/>
      <c r="Z34" s="7">
        <v>1</v>
      </c>
      <c r="AA34" s="8" t="e">
        <f t="shared" si="5"/>
        <v>#DIV/0!</v>
      </c>
    </row>
    <row r="35" spans="1:27" s="9" customFormat="1" x14ac:dyDescent="0.35">
      <c r="A35" s="4">
        <v>23</v>
      </c>
      <c r="B35" s="34" t="s">
        <v>1065</v>
      </c>
      <c r="C35" s="35" t="s">
        <v>228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 t="shared" si="0"/>
        <v>#DIV/0!</v>
      </c>
      <c r="T35" s="22" t="e">
        <f t="shared" si="1"/>
        <v>#DIV/0!</v>
      </c>
      <c r="U35" s="18" t="e">
        <f t="shared" si="2"/>
        <v>#DIV/0!</v>
      </c>
      <c r="V35" s="13"/>
      <c r="W35" s="13" t="e">
        <f t="shared" si="3"/>
        <v>#DIV/0!</v>
      </c>
      <c r="X35" s="16" t="e">
        <f t="shared" si="4"/>
        <v>#DIV/0!</v>
      </c>
      <c r="Y35" s="6"/>
      <c r="Z35" s="7">
        <v>1</v>
      </c>
      <c r="AA35" s="8" t="e">
        <f t="shared" si="5"/>
        <v>#DIV/0!</v>
      </c>
    </row>
    <row r="36" spans="1:27" s="9" customFormat="1" x14ac:dyDescent="0.35">
      <c r="A36" s="4">
        <v>24</v>
      </c>
      <c r="B36" s="34" t="s">
        <v>1066</v>
      </c>
      <c r="C36" s="35" t="s">
        <v>229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 t="shared" si="0"/>
        <v>#DIV/0!</v>
      </c>
      <c r="T36" s="22" t="e">
        <f t="shared" si="1"/>
        <v>#DIV/0!</v>
      </c>
      <c r="U36" s="18" t="e">
        <f t="shared" si="2"/>
        <v>#DIV/0!</v>
      </c>
      <c r="V36" s="13"/>
      <c r="W36" s="13" t="e">
        <f t="shared" si="3"/>
        <v>#DIV/0!</v>
      </c>
      <c r="X36" s="16" t="e">
        <f t="shared" si="4"/>
        <v>#DIV/0!</v>
      </c>
      <c r="Y36" s="6"/>
      <c r="Z36" s="7">
        <v>1</v>
      </c>
      <c r="AA36" s="8" t="e">
        <f t="shared" si="5"/>
        <v>#DIV/0!</v>
      </c>
    </row>
    <row r="37" spans="1:27" s="9" customFormat="1" x14ac:dyDescent="0.35">
      <c r="A37" s="4">
        <v>25</v>
      </c>
      <c r="B37" s="34" t="s">
        <v>1067</v>
      </c>
      <c r="C37" s="35" t="s">
        <v>230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 t="shared" si="0"/>
        <v>#DIV/0!</v>
      </c>
      <c r="T37" s="22" t="e">
        <f t="shared" si="1"/>
        <v>#DIV/0!</v>
      </c>
      <c r="U37" s="18" t="e">
        <f t="shared" si="2"/>
        <v>#DIV/0!</v>
      </c>
      <c r="V37" s="13"/>
      <c r="W37" s="13" t="e">
        <f t="shared" si="3"/>
        <v>#DIV/0!</v>
      </c>
      <c r="X37" s="16" t="e">
        <f t="shared" si="4"/>
        <v>#DIV/0!</v>
      </c>
      <c r="Y37" s="6"/>
      <c r="Z37" s="7">
        <v>1</v>
      </c>
      <c r="AA37" s="8" t="e">
        <f t="shared" si="5"/>
        <v>#DIV/0!</v>
      </c>
    </row>
    <row r="38" spans="1:27" s="9" customFormat="1" x14ac:dyDescent="0.35">
      <c r="A38" s="4">
        <v>26</v>
      </c>
      <c r="B38" s="34" t="s">
        <v>1068</v>
      </c>
      <c r="C38" s="35" t="s">
        <v>231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 t="shared" si="0"/>
        <v>#DIV/0!</v>
      </c>
      <c r="T38" s="22" t="e">
        <f t="shared" si="1"/>
        <v>#DIV/0!</v>
      </c>
      <c r="U38" s="18" t="e">
        <f t="shared" si="2"/>
        <v>#DIV/0!</v>
      </c>
      <c r="V38" s="13"/>
      <c r="W38" s="13" t="e">
        <f t="shared" si="3"/>
        <v>#DIV/0!</v>
      </c>
      <c r="X38" s="16" t="e">
        <f t="shared" si="4"/>
        <v>#DIV/0!</v>
      </c>
      <c r="Y38" s="6"/>
      <c r="Z38" s="7">
        <v>1</v>
      </c>
      <c r="AA38" s="8" t="e">
        <f t="shared" si="5"/>
        <v>#DIV/0!</v>
      </c>
    </row>
    <row r="39" spans="1:27" s="9" customFormat="1" x14ac:dyDescent="0.35">
      <c r="A39" s="4">
        <v>27</v>
      </c>
      <c r="B39" s="34" t="s">
        <v>1069</v>
      </c>
      <c r="C39" s="35" t="s">
        <v>232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 t="shared" si="0"/>
        <v>#DIV/0!</v>
      </c>
      <c r="T39" s="22" t="e">
        <f t="shared" si="1"/>
        <v>#DIV/0!</v>
      </c>
      <c r="U39" s="18" t="e">
        <f t="shared" si="2"/>
        <v>#DIV/0!</v>
      </c>
      <c r="V39" s="13"/>
      <c r="W39" s="13" t="e">
        <f t="shared" si="3"/>
        <v>#DIV/0!</v>
      </c>
      <c r="X39" s="16" t="e">
        <f t="shared" si="4"/>
        <v>#DIV/0!</v>
      </c>
      <c r="Y39" s="6"/>
      <c r="Z39" s="7">
        <v>1</v>
      </c>
      <c r="AA39" s="8" t="e">
        <f t="shared" si="5"/>
        <v>#DIV/0!</v>
      </c>
    </row>
    <row r="40" spans="1:27" s="9" customFormat="1" x14ac:dyDescent="0.35">
      <c r="A40" s="4">
        <v>28</v>
      </c>
      <c r="B40" s="34" t="s">
        <v>1070</v>
      </c>
      <c r="C40" s="35" t="s">
        <v>233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 t="shared" si="0"/>
        <v>#DIV/0!</v>
      </c>
      <c r="T40" s="22" t="e">
        <f t="shared" si="1"/>
        <v>#DIV/0!</v>
      </c>
      <c r="U40" s="18" t="e">
        <f t="shared" si="2"/>
        <v>#DIV/0!</v>
      </c>
      <c r="V40" s="13"/>
      <c r="W40" s="13" t="e">
        <f t="shared" si="3"/>
        <v>#DIV/0!</v>
      </c>
      <c r="X40" s="16" t="e">
        <f t="shared" si="4"/>
        <v>#DIV/0!</v>
      </c>
      <c r="Y40" s="6"/>
      <c r="Z40" s="7">
        <v>1</v>
      </c>
      <c r="AA40" s="8" t="e">
        <f t="shared" si="5"/>
        <v>#DIV/0!</v>
      </c>
    </row>
    <row r="41" spans="1:27" s="9" customFormat="1" x14ac:dyDescent="0.35">
      <c r="A41" s="4">
        <v>29</v>
      </c>
      <c r="B41" s="34" t="s">
        <v>1071</v>
      </c>
      <c r="C41" s="35" t="s">
        <v>234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 t="shared" si="0"/>
        <v>#DIV/0!</v>
      </c>
      <c r="T41" s="22" t="e">
        <f t="shared" si="1"/>
        <v>#DIV/0!</v>
      </c>
      <c r="U41" s="18" t="e">
        <f t="shared" si="2"/>
        <v>#DIV/0!</v>
      </c>
      <c r="V41" s="13"/>
      <c r="W41" s="13" t="e">
        <f t="shared" si="3"/>
        <v>#DIV/0!</v>
      </c>
      <c r="X41" s="16" t="e">
        <f t="shared" si="4"/>
        <v>#DIV/0!</v>
      </c>
      <c r="Y41" s="6"/>
      <c r="Z41" s="7">
        <v>1</v>
      </c>
      <c r="AA41" s="8" t="e">
        <f t="shared" si="5"/>
        <v>#DIV/0!</v>
      </c>
    </row>
    <row r="42" spans="1:27" s="9" customFormat="1" x14ac:dyDescent="0.35">
      <c r="A42" s="4">
        <v>30</v>
      </c>
      <c r="B42" s="34" t="s">
        <v>1072</v>
      </c>
      <c r="C42" s="35" t="s">
        <v>235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 t="shared" si="0"/>
        <v>#DIV/0!</v>
      </c>
      <c r="T42" s="22" t="e">
        <f t="shared" si="1"/>
        <v>#DIV/0!</v>
      </c>
      <c r="U42" s="18" t="e">
        <f t="shared" si="2"/>
        <v>#DIV/0!</v>
      </c>
      <c r="V42" s="13"/>
      <c r="W42" s="13" t="e">
        <f t="shared" si="3"/>
        <v>#DIV/0!</v>
      </c>
      <c r="X42" s="16" t="e">
        <f t="shared" si="4"/>
        <v>#DIV/0!</v>
      </c>
      <c r="Y42" s="6"/>
      <c r="Z42" s="7">
        <v>1</v>
      </c>
      <c r="AA42" s="8" t="e">
        <f t="shared" si="5"/>
        <v>#DIV/0!</v>
      </c>
    </row>
    <row r="43" spans="1:27" s="9" customFormat="1" x14ac:dyDescent="0.35">
      <c r="A43" s="4">
        <v>31</v>
      </c>
      <c r="B43" s="34" t="s">
        <v>1073</v>
      </c>
      <c r="C43" s="35" t="s">
        <v>236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 t="shared" si="0"/>
        <v>#DIV/0!</v>
      </c>
      <c r="T43" s="22" t="e">
        <f t="shared" si="1"/>
        <v>#DIV/0!</v>
      </c>
      <c r="U43" s="18" t="e">
        <f t="shared" si="2"/>
        <v>#DIV/0!</v>
      </c>
      <c r="V43" s="13"/>
      <c r="W43" s="13" t="e">
        <f t="shared" si="3"/>
        <v>#DIV/0!</v>
      </c>
      <c r="X43" s="16" t="e">
        <f t="shared" si="4"/>
        <v>#DIV/0!</v>
      </c>
      <c r="Y43" s="6"/>
      <c r="Z43" s="7">
        <v>1</v>
      </c>
      <c r="AA43" s="8" t="e">
        <f t="shared" si="5"/>
        <v>#DIV/0!</v>
      </c>
    </row>
    <row r="44" spans="1:27" s="9" customFormat="1" x14ac:dyDescent="0.35">
      <c r="A44" s="4">
        <v>32</v>
      </c>
      <c r="B44" s="34" t="s">
        <v>1074</v>
      </c>
      <c r="C44" s="35" t="s">
        <v>237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 t="shared" si="0"/>
        <v>#DIV/0!</v>
      </c>
      <c r="T44" s="22" t="e">
        <f t="shared" si="1"/>
        <v>#DIV/0!</v>
      </c>
      <c r="U44" s="18" t="e">
        <f t="shared" si="2"/>
        <v>#DIV/0!</v>
      </c>
      <c r="V44" s="13"/>
      <c r="W44" s="13" t="e">
        <f t="shared" si="3"/>
        <v>#DIV/0!</v>
      </c>
      <c r="X44" s="16" t="e">
        <f t="shared" si="4"/>
        <v>#DIV/0!</v>
      </c>
      <c r="Y44" s="6"/>
      <c r="Z44" s="7">
        <v>1</v>
      </c>
      <c r="AA44" s="8" t="e">
        <f t="shared" si="5"/>
        <v>#DIV/0!</v>
      </c>
    </row>
    <row r="45" spans="1:27" s="9" customFormat="1" x14ac:dyDescent="0.35">
      <c r="A45" s="4">
        <v>33</v>
      </c>
      <c r="B45" s="34" t="s">
        <v>1075</v>
      </c>
      <c r="C45" s="35" t="s">
        <v>238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 t="shared" si="0"/>
        <v>#DIV/0!</v>
      </c>
      <c r="T45" s="22" t="e">
        <f t="shared" si="1"/>
        <v>#DIV/0!</v>
      </c>
      <c r="U45" s="18" t="e">
        <f t="shared" si="2"/>
        <v>#DIV/0!</v>
      </c>
      <c r="V45" s="13"/>
      <c r="W45" s="13" t="e">
        <f t="shared" si="3"/>
        <v>#DIV/0!</v>
      </c>
      <c r="X45" s="16" t="e">
        <f t="shared" si="4"/>
        <v>#DIV/0!</v>
      </c>
      <c r="Y45" s="6"/>
      <c r="Z45" s="7">
        <v>1</v>
      </c>
      <c r="AA45" s="8" t="e">
        <f t="shared" si="5"/>
        <v>#DIV/0!</v>
      </c>
    </row>
    <row r="46" spans="1:27" s="9" customFormat="1" x14ac:dyDescent="0.35">
      <c r="A46" s="4">
        <v>34</v>
      </c>
      <c r="B46" s="34" t="s">
        <v>1076</v>
      </c>
      <c r="C46" s="35" t="s">
        <v>239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 t="shared" si="0"/>
        <v>#DIV/0!</v>
      </c>
      <c r="T46" s="22" t="e">
        <f t="shared" si="1"/>
        <v>#DIV/0!</v>
      </c>
      <c r="U46" s="18" t="e">
        <f t="shared" si="2"/>
        <v>#DIV/0!</v>
      </c>
      <c r="V46" s="13"/>
      <c r="W46" s="13" t="e">
        <f t="shared" si="3"/>
        <v>#DIV/0!</v>
      </c>
      <c r="X46" s="16" t="e">
        <f t="shared" si="4"/>
        <v>#DIV/0!</v>
      </c>
      <c r="Y46" s="6"/>
      <c r="Z46" s="7">
        <v>1</v>
      </c>
      <c r="AA46" s="8" t="e">
        <f t="shared" si="5"/>
        <v>#DIV/0!</v>
      </c>
    </row>
    <row r="47" spans="1:27" s="9" customFormat="1" x14ac:dyDescent="0.35">
      <c r="A47" s="4">
        <v>35</v>
      </c>
      <c r="B47" s="34" t="s">
        <v>1077</v>
      </c>
      <c r="C47" s="35" t="s">
        <v>240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 t="shared" si="0"/>
        <v>#DIV/0!</v>
      </c>
      <c r="T47" s="22" t="e">
        <f t="shared" si="1"/>
        <v>#DIV/0!</v>
      </c>
      <c r="U47" s="18" t="e">
        <f t="shared" si="2"/>
        <v>#DIV/0!</v>
      </c>
      <c r="V47" s="13"/>
      <c r="W47" s="13" t="e">
        <f t="shared" si="3"/>
        <v>#DIV/0!</v>
      </c>
      <c r="X47" s="16" t="e">
        <f t="shared" si="4"/>
        <v>#DIV/0!</v>
      </c>
      <c r="Y47" s="6"/>
      <c r="Z47" s="7">
        <v>1</v>
      </c>
      <c r="AA47" s="8" t="e">
        <f t="shared" si="5"/>
        <v>#DIV/0!</v>
      </c>
    </row>
    <row r="48" spans="1:27" s="9" customFormat="1" x14ac:dyDescent="0.35">
      <c r="A48" s="4">
        <v>36</v>
      </c>
      <c r="B48" s="34" t="s">
        <v>1078</v>
      </c>
      <c r="C48" s="35" t="s">
        <v>241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 t="shared" si="0"/>
        <v>#DIV/0!</v>
      </c>
      <c r="T48" s="22" t="e">
        <f t="shared" si="1"/>
        <v>#DIV/0!</v>
      </c>
      <c r="U48" s="18" t="e">
        <f t="shared" si="2"/>
        <v>#DIV/0!</v>
      </c>
      <c r="V48" s="13"/>
      <c r="W48" s="13" t="e">
        <f t="shared" si="3"/>
        <v>#DIV/0!</v>
      </c>
      <c r="X48" s="16" t="e">
        <f t="shared" si="4"/>
        <v>#DIV/0!</v>
      </c>
      <c r="Y48" s="6"/>
      <c r="Z48" s="7">
        <v>1</v>
      </c>
      <c r="AA48" s="8" t="e">
        <f t="shared" si="5"/>
        <v>#DIV/0!</v>
      </c>
    </row>
    <row r="49" spans="1:31" x14ac:dyDescent="0.35">
      <c r="A49" s="4">
        <v>37</v>
      </c>
      <c r="B49" s="34" t="s">
        <v>1079</v>
      </c>
      <c r="C49" s="35" t="s">
        <v>242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 t="shared" si="0"/>
        <v>#DIV/0!</v>
      </c>
      <c r="T49" s="22" t="e">
        <f t="shared" si="1"/>
        <v>#DIV/0!</v>
      </c>
      <c r="U49" s="18" t="e">
        <f t="shared" si="2"/>
        <v>#DIV/0!</v>
      </c>
      <c r="V49" s="13"/>
      <c r="W49" s="13" t="e">
        <f t="shared" si="3"/>
        <v>#DIV/0!</v>
      </c>
      <c r="X49" s="16" t="e">
        <f t="shared" si="4"/>
        <v>#DIV/0!</v>
      </c>
      <c r="Y49" s="6"/>
      <c r="Z49" s="7">
        <v>1</v>
      </c>
      <c r="AA49" s="8" t="e">
        <f t="shared" si="5"/>
        <v>#DIV/0!</v>
      </c>
      <c r="AB49" s="9"/>
      <c r="AC49" s="9"/>
      <c r="AE49" s="9"/>
    </row>
    <row r="50" spans="1:31" x14ac:dyDescent="0.35">
      <c r="A50" s="4">
        <v>38</v>
      </c>
      <c r="B50" s="34" t="s">
        <v>1080</v>
      </c>
      <c r="C50" s="35" t="s">
        <v>243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 t="shared" ref="S50:S60" si="6">AVERAGE(D50:H50)</f>
        <v>#DIV/0!</v>
      </c>
      <c r="T50" s="22" t="e">
        <f t="shared" ref="T50:T60" si="7">AVERAGE(I50:M50)</f>
        <v>#DIV/0!</v>
      </c>
      <c r="U50" s="18" t="e">
        <f t="shared" ref="U50:U60" si="8">AVERAGE(N50:R50)</f>
        <v>#DIV/0!</v>
      </c>
      <c r="V50" s="13"/>
      <c r="W50" s="13" t="e">
        <f t="shared" ref="W50:W60" si="9">AVERAGE(S50:U50)</f>
        <v>#DIV/0!</v>
      </c>
      <c r="X50" s="16" t="e">
        <f t="shared" ref="X50:X60" si="10">ROUND(AVERAGE(V50:W50),0)</f>
        <v>#DIV/0!</v>
      </c>
      <c r="Y50" s="6"/>
      <c r="Z50" s="7"/>
      <c r="AA50" s="8" t="e">
        <f t="shared" ref="AA50:AA60" si="11">ROUND(IF((X50*(IF(Y50="A",105%,IF(Y50="B",102%,IF(Y50="C",75%,50%))))*Z50)&gt;100,100,(X50*(IF(Y50="A",105%,IF(Y50="B",102%,IF(Y50="C",75%,50%))))*Z50)),0)</f>
        <v>#DIV/0!</v>
      </c>
    </row>
    <row r="51" spans="1:31" x14ac:dyDescent="0.35">
      <c r="A51" s="4">
        <v>39</v>
      </c>
      <c r="B51" s="34" t="s">
        <v>1081</v>
      </c>
      <c r="C51" s="35" t="s">
        <v>244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 t="shared" si="6"/>
        <v>#DIV/0!</v>
      </c>
      <c r="T51" s="22" t="e">
        <f t="shared" si="7"/>
        <v>#DIV/0!</v>
      </c>
      <c r="U51" s="18" t="e">
        <f t="shared" si="8"/>
        <v>#DIV/0!</v>
      </c>
      <c r="V51" s="13"/>
      <c r="W51" s="13" t="e">
        <f t="shared" si="9"/>
        <v>#DIV/0!</v>
      </c>
      <c r="X51" s="16" t="e">
        <f t="shared" si="10"/>
        <v>#DIV/0!</v>
      </c>
      <c r="Y51" s="6"/>
      <c r="Z51" s="7"/>
      <c r="AA51" s="8" t="e">
        <f t="shared" si="11"/>
        <v>#DIV/0!</v>
      </c>
    </row>
    <row r="52" spans="1:31" x14ac:dyDescent="0.35">
      <c r="A52" s="4">
        <v>40</v>
      </c>
      <c r="B52" s="34" t="s">
        <v>1082</v>
      </c>
      <c r="C52" s="35" t="s">
        <v>245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 t="shared" si="6"/>
        <v>#DIV/0!</v>
      </c>
      <c r="T52" s="22" t="e">
        <f t="shared" si="7"/>
        <v>#DIV/0!</v>
      </c>
      <c r="U52" s="18" t="e">
        <f t="shared" si="8"/>
        <v>#DIV/0!</v>
      </c>
      <c r="V52" s="13"/>
      <c r="W52" s="13" t="e">
        <f t="shared" si="9"/>
        <v>#DIV/0!</v>
      </c>
      <c r="X52" s="16" t="e">
        <f t="shared" si="10"/>
        <v>#DIV/0!</v>
      </c>
      <c r="Y52" s="6"/>
      <c r="Z52" s="7"/>
      <c r="AA52" s="8" t="e">
        <f t="shared" si="11"/>
        <v>#DIV/0!</v>
      </c>
    </row>
    <row r="53" spans="1:31" x14ac:dyDescent="0.35">
      <c r="A53" s="4">
        <v>41</v>
      </c>
      <c r="B53" s="34" t="s">
        <v>1083</v>
      </c>
      <c r="C53" s="35" t="s">
        <v>246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 t="shared" si="6"/>
        <v>#DIV/0!</v>
      </c>
      <c r="T53" s="22" t="e">
        <f t="shared" si="7"/>
        <v>#DIV/0!</v>
      </c>
      <c r="U53" s="18" t="e">
        <f t="shared" si="8"/>
        <v>#DIV/0!</v>
      </c>
      <c r="V53" s="13"/>
      <c r="W53" s="13" t="e">
        <f t="shared" si="9"/>
        <v>#DIV/0!</v>
      </c>
      <c r="X53" s="16" t="e">
        <f t="shared" si="10"/>
        <v>#DIV/0!</v>
      </c>
      <c r="Y53" s="6"/>
      <c r="Z53" s="7"/>
      <c r="AA53" s="8" t="e">
        <f t="shared" si="11"/>
        <v>#DIV/0!</v>
      </c>
    </row>
    <row r="54" spans="1:31" x14ac:dyDescent="0.35">
      <c r="A54" s="4">
        <v>42</v>
      </c>
      <c r="B54" s="34" t="s">
        <v>1084</v>
      </c>
      <c r="C54" s="35" t="s">
        <v>247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 t="shared" si="6"/>
        <v>#DIV/0!</v>
      </c>
      <c r="T54" s="22" t="e">
        <f t="shared" si="7"/>
        <v>#DIV/0!</v>
      </c>
      <c r="U54" s="18" t="e">
        <f t="shared" si="8"/>
        <v>#DIV/0!</v>
      </c>
      <c r="V54" s="13"/>
      <c r="W54" s="13" t="e">
        <f t="shared" si="9"/>
        <v>#DIV/0!</v>
      </c>
      <c r="X54" s="16" t="e">
        <f t="shared" si="10"/>
        <v>#DIV/0!</v>
      </c>
      <c r="Y54" s="6"/>
      <c r="Z54" s="7"/>
      <c r="AA54" s="8" t="e">
        <f t="shared" si="11"/>
        <v>#DIV/0!</v>
      </c>
    </row>
    <row r="55" spans="1:31" x14ac:dyDescent="0.35">
      <c r="A55" s="4">
        <v>43</v>
      </c>
      <c r="B55" s="34" t="s">
        <v>1085</v>
      </c>
      <c r="C55" s="35" t="s">
        <v>248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 t="shared" si="6"/>
        <v>#DIV/0!</v>
      </c>
      <c r="T55" s="22" t="e">
        <f t="shared" si="7"/>
        <v>#DIV/0!</v>
      </c>
      <c r="U55" s="18" t="e">
        <f t="shared" si="8"/>
        <v>#DIV/0!</v>
      </c>
      <c r="V55" s="13"/>
      <c r="W55" s="13" t="e">
        <f t="shared" si="9"/>
        <v>#DIV/0!</v>
      </c>
      <c r="X55" s="16" t="e">
        <f t="shared" si="10"/>
        <v>#DIV/0!</v>
      </c>
      <c r="Y55" s="6"/>
      <c r="Z55" s="7"/>
      <c r="AA55" s="8" t="e">
        <f t="shared" si="11"/>
        <v>#DIV/0!</v>
      </c>
    </row>
    <row r="56" spans="1:31" x14ac:dyDescent="0.35">
      <c r="A56" s="4">
        <v>44</v>
      </c>
      <c r="B56" s="34" t="s">
        <v>1086</v>
      </c>
      <c r="C56" s="35" t="s">
        <v>249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 t="shared" si="6"/>
        <v>#DIV/0!</v>
      </c>
      <c r="T56" s="22" t="e">
        <f t="shared" si="7"/>
        <v>#DIV/0!</v>
      </c>
      <c r="U56" s="18" t="e">
        <f t="shared" si="8"/>
        <v>#DIV/0!</v>
      </c>
      <c r="V56" s="13"/>
      <c r="W56" s="13" t="e">
        <f t="shared" si="9"/>
        <v>#DIV/0!</v>
      </c>
      <c r="X56" s="16" t="e">
        <f t="shared" si="10"/>
        <v>#DIV/0!</v>
      </c>
      <c r="Y56" s="6"/>
      <c r="Z56" s="7"/>
      <c r="AA56" s="8" t="e">
        <f t="shared" si="11"/>
        <v>#DIV/0!</v>
      </c>
    </row>
    <row r="57" spans="1:31" x14ac:dyDescent="0.35">
      <c r="A57" s="4">
        <v>45</v>
      </c>
      <c r="B57" s="34" t="s">
        <v>1087</v>
      </c>
      <c r="C57" s="35" t="s">
        <v>250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 t="shared" si="6"/>
        <v>#DIV/0!</v>
      </c>
      <c r="T57" s="22" t="e">
        <f t="shared" si="7"/>
        <v>#DIV/0!</v>
      </c>
      <c r="U57" s="18" t="e">
        <f t="shared" si="8"/>
        <v>#DIV/0!</v>
      </c>
      <c r="V57" s="13"/>
      <c r="W57" s="13" t="e">
        <f t="shared" si="9"/>
        <v>#DIV/0!</v>
      </c>
      <c r="X57" s="16" t="e">
        <f t="shared" si="10"/>
        <v>#DIV/0!</v>
      </c>
      <c r="Y57" s="6"/>
      <c r="Z57" s="7"/>
      <c r="AA57" s="8" t="e">
        <f t="shared" si="11"/>
        <v>#DIV/0!</v>
      </c>
    </row>
    <row r="58" spans="1:31" x14ac:dyDescent="0.35">
      <c r="A58" s="4">
        <v>46</v>
      </c>
      <c r="B58" s="34" t="s">
        <v>1088</v>
      </c>
      <c r="C58" s="35" t="s">
        <v>251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 t="shared" si="6"/>
        <v>#DIV/0!</v>
      </c>
      <c r="T58" s="22" t="e">
        <f t="shared" si="7"/>
        <v>#DIV/0!</v>
      </c>
      <c r="U58" s="18" t="e">
        <f t="shared" si="8"/>
        <v>#DIV/0!</v>
      </c>
      <c r="V58" s="13"/>
      <c r="W58" s="13" t="e">
        <f t="shared" si="9"/>
        <v>#DIV/0!</v>
      </c>
      <c r="X58" s="16" t="e">
        <f t="shared" si="10"/>
        <v>#DIV/0!</v>
      </c>
      <c r="Y58" s="6"/>
      <c r="Z58" s="7"/>
      <c r="AA58" s="8" t="e">
        <f t="shared" si="11"/>
        <v>#DIV/0!</v>
      </c>
    </row>
    <row r="59" spans="1:31" x14ac:dyDescent="0.35">
      <c r="A59" s="4">
        <v>47</v>
      </c>
      <c r="B59" s="34" t="s">
        <v>1089</v>
      </c>
      <c r="C59" s="35" t="s">
        <v>252</v>
      </c>
      <c r="D59" s="10"/>
      <c r="E59" s="2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0" t="e">
        <f t="shared" si="6"/>
        <v>#DIV/0!</v>
      </c>
      <c r="T59" s="22" t="e">
        <f t="shared" si="7"/>
        <v>#DIV/0!</v>
      </c>
      <c r="U59" s="18" t="e">
        <f t="shared" si="8"/>
        <v>#DIV/0!</v>
      </c>
      <c r="V59" s="13"/>
      <c r="W59" s="13" t="e">
        <f t="shared" si="9"/>
        <v>#DIV/0!</v>
      </c>
      <c r="X59" s="16" t="e">
        <f t="shared" si="10"/>
        <v>#DIV/0!</v>
      </c>
      <c r="Y59" s="6"/>
      <c r="Z59" s="7"/>
      <c r="AA59" s="8" t="e">
        <f t="shared" si="11"/>
        <v>#DIV/0!</v>
      </c>
    </row>
    <row r="60" spans="1:31" x14ac:dyDescent="0.35">
      <c r="A60" s="4">
        <v>48</v>
      </c>
      <c r="B60" s="34" t="s">
        <v>1090</v>
      </c>
      <c r="C60" s="35" t="s">
        <v>253</v>
      </c>
      <c r="D60" s="10"/>
      <c r="E60" s="2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20" t="e">
        <f t="shared" si="6"/>
        <v>#DIV/0!</v>
      </c>
      <c r="T60" s="22" t="e">
        <f t="shared" si="7"/>
        <v>#DIV/0!</v>
      </c>
      <c r="U60" s="18" t="e">
        <f t="shared" si="8"/>
        <v>#DIV/0!</v>
      </c>
      <c r="V60" s="13"/>
      <c r="W60" s="13" t="e">
        <f t="shared" si="9"/>
        <v>#DIV/0!</v>
      </c>
      <c r="X60" s="16" t="e">
        <f t="shared" si="10"/>
        <v>#DIV/0!</v>
      </c>
      <c r="Y60" s="6"/>
      <c r="Z60" s="7"/>
      <c r="AA60" s="8" t="e">
        <f t="shared" si="11"/>
        <v>#DIV/0!</v>
      </c>
    </row>
    <row r="62" spans="1:31" x14ac:dyDescent="0.35">
      <c r="Y62" s="11" t="s">
        <v>14</v>
      </c>
      <c r="AA62" s="12" t="e">
        <f>MAX(AA13:AA49)</f>
        <v>#DIV/0!</v>
      </c>
    </row>
    <row r="63" spans="1:31" x14ac:dyDescent="0.35">
      <c r="Y63" s="11" t="s">
        <v>15</v>
      </c>
      <c r="AA63" t="e">
        <f>MIN(AA13:AA49)</f>
        <v>#DIV/0!</v>
      </c>
    </row>
    <row r="64" spans="1:31" x14ac:dyDescent="0.35">
      <c r="Y64" s="11" t="s">
        <v>16</v>
      </c>
      <c r="AA64" t="e">
        <f>AVERAGE(AA13:AA49)</f>
        <v>#DIV/0!</v>
      </c>
    </row>
  </sheetData>
  <mergeCells count="17"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  <mergeCell ref="Z11:Z12"/>
  </mergeCells>
  <conditionalFormatting sqref="C30">
    <cfRule type="duplicateValues" dxfId="3" priority="1"/>
    <cfRule type="duplicateValues" dxfId="2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3AD2-F25C-4195-883C-4DE917F12791}">
  <dimension ref="A1:AE65"/>
  <sheetViews>
    <sheetView tabSelected="1" topLeftCell="A4" workbookViewId="0">
      <selection activeCell="D11" sqref="D11:H11"/>
    </sheetView>
  </sheetViews>
  <sheetFormatPr defaultRowHeight="14.5" x14ac:dyDescent="0.35"/>
  <cols>
    <col min="1" max="1" width="4.453125" customWidth="1"/>
    <col min="2" max="2" width="19.90625" bestFit="1" customWidth="1"/>
    <col min="3" max="3" width="32.81640625" customWidth="1"/>
    <col min="4" max="18" width="3.6328125" customWidth="1"/>
    <col min="19" max="19" width="4.7265625" customWidth="1"/>
    <col min="20" max="20" width="4.6328125" customWidth="1"/>
    <col min="21" max="21" width="4.54296875" customWidth="1"/>
    <col min="22" max="22" width="5.08984375" customWidth="1"/>
    <col min="23" max="23" width="5.26953125" customWidth="1"/>
    <col min="24" max="24" width="5.08984375" customWidth="1"/>
    <col min="25" max="25" width="4.81640625" customWidth="1"/>
    <col min="26" max="26" width="5.36328125" customWidth="1"/>
    <col min="27" max="27" width="5.08984375" customWidth="1"/>
    <col min="28" max="28" width="5.1796875" customWidth="1"/>
    <col min="29" max="29" width="7" customWidth="1"/>
    <col min="31" max="31" width="6" customWidth="1"/>
    <col min="218" max="218" width="4.453125" customWidth="1"/>
    <col min="219" max="219" width="19.453125" customWidth="1"/>
    <col min="220" max="220" width="47.26953125" customWidth="1"/>
    <col min="221" max="223" width="4.7265625" customWidth="1"/>
    <col min="224" max="228" width="5" customWidth="1"/>
    <col min="229" max="268" width="4.7265625" customWidth="1"/>
    <col min="269" max="269" width="5.54296875" customWidth="1"/>
    <col min="270" max="270" width="7.54296875" customWidth="1"/>
    <col min="271" max="271" width="6.81640625" customWidth="1"/>
    <col min="272" max="272" width="7.1796875" customWidth="1"/>
    <col min="474" max="474" width="4.453125" customWidth="1"/>
    <col min="475" max="475" width="19.453125" customWidth="1"/>
    <col min="476" max="476" width="47.26953125" customWidth="1"/>
    <col min="477" max="479" width="4.7265625" customWidth="1"/>
    <col min="480" max="484" width="5" customWidth="1"/>
    <col min="485" max="524" width="4.7265625" customWidth="1"/>
    <col min="525" max="525" width="5.54296875" customWidth="1"/>
    <col min="526" max="526" width="7.54296875" customWidth="1"/>
    <col min="527" max="527" width="6.81640625" customWidth="1"/>
    <col min="528" max="528" width="7.1796875" customWidth="1"/>
    <col min="730" max="730" width="4.453125" customWidth="1"/>
    <col min="731" max="731" width="19.453125" customWidth="1"/>
    <col min="732" max="732" width="47.26953125" customWidth="1"/>
    <col min="733" max="735" width="4.7265625" customWidth="1"/>
    <col min="736" max="740" width="5" customWidth="1"/>
    <col min="741" max="780" width="4.7265625" customWidth="1"/>
    <col min="781" max="781" width="5.54296875" customWidth="1"/>
    <col min="782" max="782" width="7.54296875" customWidth="1"/>
    <col min="783" max="783" width="6.81640625" customWidth="1"/>
    <col min="784" max="784" width="7.1796875" customWidth="1"/>
    <col min="986" max="986" width="4.453125" customWidth="1"/>
    <col min="987" max="987" width="19.453125" customWidth="1"/>
    <col min="988" max="988" width="47.26953125" customWidth="1"/>
    <col min="989" max="991" width="4.7265625" customWidth="1"/>
    <col min="992" max="996" width="5" customWidth="1"/>
    <col min="997" max="1036" width="4.7265625" customWidth="1"/>
    <col min="1037" max="1037" width="5.54296875" customWidth="1"/>
    <col min="1038" max="1038" width="7.54296875" customWidth="1"/>
    <col min="1039" max="1039" width="6.81640625" customWidth="1"/>
    <col min="1040" max="1040" width="7.1796875" customWidth="1"/>
    <col min="1242" max="1242" width="4.453125" customWidth="1"/>
    <col min="1243" max="1243" width="19.453125" customWidth="1"/>
    <col min="1244" max="1244" width="47.26953125" customWidth="1"/>
    <col min="1245" max="1247" width="4.7265625" customWidth="1"/>
    <col min="1248" max="1252" width="5" customWidth="1"/>
    <col min="1253" max="1292" width="4.7265625" customWidth="1"/>
    <col min="1293" max="1293" width="5.54296875" customWidth="1"/>
    <col min="1294" max="1294" width="7.54296875" customWidth="1"/>
    <col min="1295" max="1295" width="6.81640625" customWidth="1"/>
    <col min="1296" max="1296" width="7.1796875" customWidth="1"/>
    <col min="1498" max="1498" width="4.453125" customWidth="1"/>
    <col min="1499" max="1499" width="19.453125" customWidth="1"/>
    <col min="1500" max="1500" width="47.26953125" customWidth="1"/>
    <col min="1501" max="1503" width="4.7265625" customWidth="1"/>
    <col min="1504" max="1508" width="5" customWidth="1"/>
    <col min="1509" max="1548" width="4.7265625" customWidth="1"/>
    <col min="1549" max="1549" width="5.54296875" customWidth="1"/>
    <col min="1550" max="1550" width="7.54296875" customWidth="1"/>
    <col min="1551" max="1551" width="6.81640625" customWidth="1"/>
    <col min="1552" max="1552" width="7.1796875" customWidth="1"/>
    <col min="1754" max="1754" width="4.453125" customWidth="1"/>
    <col min="1755" max="1755" width="19.453125" customWidth="1"/>
    <col min="1756" max="1756" width="47.26953125" customWidth="1"/>
    <col min="1757" max="1759" width="4.7265625" customWidth="1"/>
    <col min="1760" max="1764" width="5" customWidth="1"/>
    <col min="1765" max="1804" width="4.7265625" customWidth="1"/>
    <col min="1805" max="1805" width="5.54296875" customWidth="1"/>
    <col min="1806" max="1806" width="7.54296875" customWidth="1"/>
    <col min="1807" max="1807" width="6.81640625" customWidth="1"/>
    <col min="1808" max="1808" width="7.1796875" customWidth="1"/>
    <col min="2010" max="2010" width="4.453125" customWidth="1"/>
    <col min="2011" max="2011" width="19.453125" customWidth="1"/>
    <col min="2012" max="2012" width="47.26953125" customWidth="1"/>
    <col min="2013" max="2015" width="4.7265625" customWidth="1"/>
    <col min="2016" max="2020" width="5" customWidth="1"/>
    <col min="2021" max="2060" width="4.7265625" customWidth="1"/>
    <col min="2061" max="2061" width="5.54296875" customWidth="1"/>
    <col min="2062" max="2062" width="7.54296875" customWidth="1"/>
    <col min="2063" max="2063" width="6.81640625" customWidth="1"/>
    <col min="2064" max="2064" width="7.1796875" customWidth="1"/>
    <col min="2266" max="2266" width="4.453125" customWidth="1"/>
    <col min="2267" max="2267" width="19.453125" customWidth="1"/>
    <col min="2268" max="2268" width="47.26953125" customWidth="1"/>
    <col min="2269" max="2271" width="4.7265625" customWidth="1"/>
    <col min="2272" max="2276" width="5" customWidth="1"/>
    <col min="2277" max="2316" width="4.7265625" customWidth="1"/>
    <col min="2317" max="2317" width="5.54296875" customWidth="1"/>
    <col min="2318" max="2318" width="7.54296875" customWidth="1"/>
    <col min="2319" max="2319" width="6.81640625" customWidth="1"/>
    <col min="2320" max="2320" width="7.1796875" customWidth="1"/>
    <col min="2522" max="2522" width="4.453125" customWidth="1"/>
    <col min="2523" max="2523" width="19.453125" customWidth="1"/>
    <col min="2524" max="2524" width="47.26953125" customWidth="1"/>
    <col min="2525" max="2527" width="4.7265625" customWidth="1"/>
    <col min="2528" max="2532" width="5" customWidth="1"/>
    <col min="2533" max="2572" width="4.7265625" customWidth="1"/>
    <col min="2573" max="2573" width="5.54296875" customWidth="1"/>
    <col min="2574" max="2574" width="7.54296875" customWidth="1"/>
    <col min="2575" max="2575" width="6.81640625" customWidth="1"/>
    <col min="2576" max="2576" width="7.1796875" customWidth="1"/>
    <col min="2778" max="2778" width="4.453125" customWidth="1"/>
    <col min="2779" max="2779" width="19.453125" customWidth="1"/>
    <col min="2780" max="2780" width="47.26953125" customWidth="1"/>
    <col min="2781" max="2783" width="4.7265625" customWidth="1"/>
    <col min="2784" max="2788" width="5" customWidth="1"/>
    <col min="2789" max="2828" width="4.7265625" customWidth="1"/>
    <col min="2829" max="2829" width="5.54296875" customWidth="1"/>
    <col min="2830" max="2830" width="7.54296875" customWidth="1"/>
    <col min="2831" max="2831" width="6.81640625" customWidth="1"/>
    <col min="2832" max="2832" width="7.1796875" customWidth="1"/>
    <col min="3034" max="3034" width="4.453125" customWidth="1"/>
    <col min="3035" max="3035" width="19.453125" customWidth="1"/>
    <col min="3036" max="3036" width="47.26953125" customWidth="1"/>
    <col min="3037" max="3039" width="4.7265625" customWidth="1"/>
    <col min="3040" max="3044" width="5" customWidth="1"/>
    <col min="3045" max="3084" width="4.7265625" customWidth="1"/>
    <col min="3085" max="3085" width="5.54296875" customWidth="1"/>
    <col min="3086" max="3086" width="7.54296875" customWidth="1"/>
    <col min="3087" max="3087" width="6.81640625" customWidth="1"/>
    <col min="3088" max="3088" width="7.1796875" customWidth="1"/>
    <col min="3290" max="3290" width="4.453125" customWidth="1"/>
    <col min="3291" max="3291" width="19.453125" customWidth="1"/>
    <col min="3292" max="3292" width="47.26953125" customWidth="1"/>
    <col min="3293" max="3295" width="4.7265625" customWidth="1"/>
    <col min="3296" max="3300" width="5" customWidth="1"/>
    <col min="3301" max="3340" width="4.7265625" customWidth="1"/>
    <col min="3341" max="3341" width="5.54296875" customWidth="1"/>
    <col min="3342" max="3342" width="7.54296875" customWidth="1"/>
    <col min="3343" max="3343" width="6.81640625" customWidth="1"/>
    <col min="3344" max="3344" width="7.1796875" customWidth="1"/>
    <col min="3546" max="3546" width="4.453125" customWidth="1"/>
    <col min="3547" max="3547" width="19.453125" customWidth="1"/>
    <col min="3548" max="3548" width="47.26953125" customWidth="1"/>
    <col min="3549" max="3551" width="4.7265625" customWidth="1"/>
    <col min="3552" max="3556" width="5" customWidth="1"/>
    <col min="3557" max="3596" width="4.7265625" customWidth="1"/>
    <col min="3597" max="3597" width="5.54296875" customWidth="1"/>
    <col min="3598" max="3598" width="7.54296875" customWidth="1"/>
    <col min="3599" max="3599" width="6.81640625" customWidth="1"/>
    <col min="3600" max="3600" width="7.1796875" customWidth="1"/>
    <col min="3802" max="3802" width="4.453125" customWidth="1"/>
    <col min="3803" max="3803" width="19.453125" customWidth="1"/>
    <col min="3804" max="3804" width="47.26953125" customWidth="1"/>
    <col min="3805" max="3807" width="4.7265625" customWidth="1"/>
    <col min="3808" max="3812" width="5" customWidth="1"/>
    <col min="3813" max="3852" width="4.7265625" customWidth="1"/>
    <col min="3853" max="3853" width="5.54296875" customWidth="1"/>
    <col min="3854" max="3854" width="7.54296875" customWidth="1"/>
    <col min="3855" max="3855" width="6.81640625" customWidth="1"/>
    <col min="3856" max="3856" width="7.1796875" customWidth="1"/>
    <col min="4058" max="4058" width="4.453125" customWidth="1"/>
    <col min="4059" max="4059" width="19.453125" customWidth="1"/>
    <col min="4060" max="4060" width="47.26953125" customWidth="1"/>
    <col min="4061" max="4063" width="4.7265625" customWidth="1"/>
    <col min="4064" max="4068" width="5" customWidth="1"/>
    <col min="4069" max="4108" width="4.7265625" customWidth="1"/>
    <col min="4109" max="4109" width="5.54296875" customWidth="1"/>
    <col min="4110" max="4110" width="7.54296875" customWidth="1"/>
    <col min="4111" max="4111" width="6.81640625" customWidth="1"/>
    <col min="4112" max="4112" width="7.1796875" customWidth="1"/>
    <col min="4314" max="4314" width="4.453125" customWidth="1"/>
    <col min="4315" max="4315" width="19.453125" customWidth="1"/>
    <col min="4316" max="4316" width="47.26953125" customWidth="1"/>
    <col min="4317" max="4319" width="4.7265625" customWidth="1"/>
    <col min="4320" max="4324" width="5" customWidth="1"/>
    <col min="4325" max="4364" width="4.7265625" customWidth="1"/>
    <col min="4365" max="4365" width="5.54296875" customWidth="1"/>
    <col min="4366" max="4366" width="7.54296875" customWidth="1"/>
    <col min="4367" max="4367" width="6.81640625" customWidth="1"/>
    <col min="4368" max="4368" width="7.1796875" customWidth="1"/>
    <col min="4570" max="4570" width="4.453125" customWidth="1"/>
    <col min="4571" max="4571" width="19.453125" customWidth="1"/>
    <col min="4572" max="4572" width="47.26953125" customWidth="1"/>
    <col min="4573" max="4575" width="4.7265625" customWidth="1"/>
    <col min="4576" max="4580" width="5" customWidth="1"/>
    <col min="4581" max="4620" width="4.7265625" customWidth="1"/>
    <col min="4621" max="4621" width="5.54296875" customWidth="1"/>
    <col min="4622" max="4622" width="7.54296875" customWidth="1"/>
    <col min="4623" max="4623" width="6.81640625" customWidth="1"/>
    <col min="4624" max="4624" width="7.1796875" customWidth="1"/>
    <col min="4826" max="4826" width="4.453125" customWidth="1"/>
    <col min="4827" max="4827" width="19.453125" customWidth="1"/>
    <col min="4828" max="4828" width="47.26953125" customWidth="1"/>
    <col min="4829" max="4831" width="4.7265625" customWidth="1"/>
    <col min="4832" max="4836" width="5" customWidth="1"/>
    <col min="4837" max="4876" width="4.7265625" customWidth="1"/>
    <col min="4877" max="4877" width="5.54296875" customWidth="1"/>
    <col min="4878" max="4878" width="7.54296875" customWidth="1"/>
    <col min="4879" max="4879" width="6.81640625" customWidth="1"/>
    <col min="4880" max="4880" width="7.1796875" customWidth="1"/>
    <col min="5082" max="5082" width="4.453125" customWidth="1"/>
    <col min="5083" max="5083" width="19.453125" customWidth="1"/>
    <col min="5084" max="5084" width="47.26953125" customWidth="1"/>
    <col min="5085" max="5087" width="4.7265625" customWidth="1"/>
    <col min="5088" max="5092" width="5" customWidth="1"/>
    <col min="5093" max="5132" width="4.7265625" customWidth="1"/>
    <col min="5133" max="5133" width="5.54296875" customWidth="1"/>
    <col min="5134" max="5134" width="7.54296875" customWidth="1"/>
    <col min="5135" max="5135" width="6.81640625" customWidth="1"/>
    <col min="5136" max="5136" width="7.1796875" customWidth="1"/>
    <col min="5338" max="5338" width="4.453125" customWidth="1"/>
    <col min="5339" max="5339" width="19.453125" customWidth="1"/>
    <col min="5340" max="5340" width="47.26953125" customWidth="1"/>
    <col min="5341" max="5343" width="4.7265625" customWidth="1"/>
    <col min="5344" max="5348" width="5" customWidth="1"/>
    <col min="5349" max="5388" width="4.7265625" customWidth="1"/>
    <col min="5389" max="5389" width="5.54296875" customWidth="1"/>
    <col min="5390" max="5390" width="7.54296875" customWidth="1"/>
    <col min="5391" max="5391" width="6.81640625" customWidth="1"/>
    <col min="5392" max="5392" width="7.1796875" customWidth="1"/>
    <col min="5594" max="5594" width="4.453125" customWidth="1"/>
    <col min="5595" max="5595" width="19.453125" customWidth="1"/>
    <col min="5596" max="5596" width="47.26953125" customWidth="1"/>
    <col min="5597" max="5599" width="4.7265625" customWidth="1"/>
    <col min="5600" max="5604" width="5" customWidth="1"/>
    <col min="5605" max="5644" width="4.7265625" customWidth="1"/>
    <col min="5645" max="5645" width="5.54296875" customWidth="1"/>
    <col min="5646" max="5646" width="7.54296875" customWidth="1"/>
    <col min="5647" max="5647" width="6.81640625" customWidth="1"/>
    <col min="5648" max="5648" width="7.1796875" customWidth="1"/>
    <col min="5850" max="5850" width="4.453125" customWidth="1"/>
    <col min="5851" max="5851" width="19.453125" customWidth="1"/>
    <col min="5852" max="5852" width="47.26953125" customWidth="1"/>
    <col min="5853" max="5855" width="4.7265625" customWidth="1"/>
    <col min="5856" max="5860" width="5" customWidth="1"/>
    <col min="5861" max="5900" width="4.7265625" customWidth="1"/>
    <col min="5901" max="5901" width="5.54296875" customWidth="1"/>
    <col min="5902" max="5902" width="7.54296875" customWidth="1"/>
    <col min="5903" max="5903" width="6.81640625" customWidth="1"/>
    <col min="5904" max="5904" width="7.1796875" customWidth="1"/>
    <col min="6106" max="6106" width="4.453125" customWidth="1"/>
    <col min="6107" max="6107" width="19.453125" customWidth="1"/>
    <col min="6108" max="6108" width="47.26953125" customWidth="1"/>
    <col min="6109" max="6111" width="4.7265625" customWidth="1"/>
    <col min="6112" max="6116" width="5" customWidth="1"/>
    <col min="6117" max="6156" width="4.7265625" customWidth="1"/>
    <col min="6157" max="6157" width="5.54296875" customWidth="1"/>
    <col min="6158" max="6158" width="7.54296875" customWidth="1"/>
    <col min="6159" max="6159" width="6.81640625" customWidth="1"/>
    <col min="6160" max="6160" width="7.1796875" customWidth="1"/>
    <col min="6362" max="6362" width="4.453125" customWidth="1"/>
    <col min="6363" max="6363" width="19.453125" customWidth="1"/>
    <col min="6364" max="6364" width="47.26953125" customWidth="1"/>
    <col min="6365" max="6367" width="4.7265625" customWidth="1"/>
    <col min="6368" max="6372" width="5" customWidth="1"/>
    <col min="6373" max="6412" width="4.7265625" customWidth="1"/>
    <col min="6413" max="6413" width="5.54296875" customWidth="1"/>
    <col min="6414" max="6414" width="7.54296875" customWidth="1"/>
    <col min="6415" max="6415" width="6.81640625" customWidth="1"/>
    <col min="6416" max="6416" width="7.1796875" customWidth="1"/>
    <col min="6618" max="6618" width="4.453125" customWidth="1"/>
    <col min="6619" max="6619" width="19.453125" customWidth="1"/>
    <col min="6620" max="6620" width="47.26953125" customWidth="1"/>
    <col min="6621" max="6623" width="4.7265625" customWidth="1"/>
    <col min="6624" max="6628" width="5" customWidth="1"/>
    <col min="6629" max="6668" width="4.7265625" customWidth="1"/>
    <col min="6669" max="6669" width="5.54296875" customWidth="1"/>
    <col min="6670" max="6670" width="7.54296875" customWidth="1"/>
    <col min="6671" max="6671" width="6.81640625" customWidth="1"/>
    <col min="6672" max="6672" width="7.1796875" customWidth="1"/>
    <col min="6874" max="6874" width="4.453125" customWidth="1"/>
    <col min="6875" max="6875" width="19.453125" customWidth="1"/>
    <col min="6876" max="6876" width="47.26953125" customWidth="1"/>
    <col min="6877" max="6879" width="4.7265625" customWidth="1"/>
    <col min="6880" max="6884" width="5" customWidth="1"/>
    <col min="6885" max="6924" width="4.7265625" customWidth="1"/>
    <col min="6925" max="6925" width="5.54296875" customWidth="1"/>
    <col min="6926" max="6926" width="7.54296875" customWidth="1"/>
    <col min="6927" max="6927" width="6.81640625" customWidth="1"/>
    <col min="6928" max="6928" width="7.1796875" customWidth="1"/>
    <col min="7130" max="7130" width="4.453125" customWidth="1"/>
    <col min="7131" max="7131" width="19.453125" customWidth="1"/>
    <col min="7132" max="7132" width="47.26953125" customWidth="1"/>
    <col min="7133" max="7135" width="4.7265625" customWidth="1"/>
    <col min="7136" max="7140" width="5" customWidth="1"/>
    <col min="7141" max="7180" width="4.7265625" customWidth="1"/>
    <col min="7181" max="7181" width="5.54296875" customWidth="1"/>
    <col min="7182" max="7182" width="7.54296875" customWidth="1"/>
    <col min="7183" max="7183" width="6.81640625" customWidth="1"/>
    <col min="7184" max="7184" width="7.1796875" customWidth="1"/>
    <col min="7386" max="7386" width="4.453125" customWidth="1"/>
    <col min="7387" max="7387" width="19.453125" customWidth="1"/>
    <col min="7388" max="7388" width="47.26953125" customWidth="1"/>
    <col min="7389" max="7391" width="4.7265625" customWidth="1"/>
    <col min="7392" max="7396" width="5" customWidth="1"/>
    <col min="7397" max="7436" width="4.7265625" customWidth="1"/>
    <col min="7437" max="7437" width="5.54296875" customWidth="1"/>
    <col min="7438" max="7438" width="7.54296875" customWidth="1"/>
    <col min="7439" max="7439" width="6.81640625" customWidth="1"/>
    <col min="7440" max="7440" width="7.1796875" customWidth="1"/>
    <col min="7642" max="7642" width="4.453125" customWidth="1"/>
    <col min="7643" max="7643" width="19.453125" customWidth="1"/>
    <col min="7644" max="7644" width="47.26953125" customWidth="1"/>
    <col min="7645" max="7647" width="4.7265625" customWidth="1"/>
    <col min="7648" max="7652" width="5" customWidth="1"/>
    <col min="7653" max="7692" width="4.7265625" customWidth="1"/>
    <col min="7693" max="7693" width="5.54296875" customWidth="1"/>
    <col min="7694" max="7694" width="7.54296875" customWidth="1"/>
    <col min="7695" max="7695" width="6.81640625" customWidth="1"/>
    <col min="7696" max="7696" width="7.1796875" customWidth="1"/>
    <col min="7898" max="7898" width="4.453125" customWidth="1"/>
    <col min="7899" max="7899" width="19.453125" customWidth="1"/>
    <col min="7900" max="7900" width="47.26953125" customWidth="1"/>
    <col min="7901" max="7903" width="4.7265625" customWidth="1"/>
    <col min="7904" max="7908" width="5" customWidth="1"/>
    <col min="7909" max="7948" width="4.7265625" customWidth="1"/>
    <col min="7949" max="7949" width="5.54296875" customWidth="1"/>
    <col min="7950" max="7950" width="7.54296875" customWidth="1"/>
    <col min="7951" max="7951" width="6.81640625" customWidth="1"/>
    <col min="7952" max="7952" width="7.1796875" customWidth="1"/>
    <col min="8154" max="8154" width="4.453125" customWidth="1"/>
    <col min="8155" max="8155" width="19.453125" customWidth="1"/>
    <col min="8156" max="8156" width="47.26953125" customWidth="1"/>
    <col min="8157" max="8159" width="4.7265625" customWidth="1"/>
    <col min="8160" max="8164" width="5" customWidth="1"/>
    <col min="8165" max="8204" width="4.7265625" customWidth="1"/>
    <col min="8205" max="8205" width="5.54296875" customWidth="1"/>
    <col min="8206" max="8206" width="7.54296875" customWidth="1"/>
    <col min="8207" max="8207" width="6.81640625" customWidth="1"/>
    <col min="8208" max="8208" width="7.1796875" customWidth="1"/>
    <col min="8410" max="8410" width="4.453125" customWidth="1"/>
    <col min="8411" max="8411" width="19.453125" customWidth="1"/>
    <col min="8412" max="8412" width="47.26953125" customWidth="1"/>
    <col min="8413" max="8415" width="4.7265625" customWidth="1"/>
    <col min="8416" max="8420" width="5" customWidth="1"/>
    <col min="8421" max="8460" width="4.7265625" customWidth="1"/>
    <col min="8461" max="8461" width="5.54296875" customWidth="1"/>
    <col min="8462" max="8462" width="7.54296875" customWidth="1"/>
    <col min="8463" max="8463" width="6.81640625" customWidth="1"/>
    <col min="8464" max="8464" width="7.1796875" customWidth="1"/>
    <col min="8666" max="8666" width="4.453125" customWidth="1"/>
    <col min="8667" max="8667" width="19.453125" customWidth="1"/>
    <col min="8668" max="8668" width="47.26953125" customWidth="1"/>
    <col min="8669" max="8671" width="4.7265625" customWidth="1"/>
    <col min="8672" max="8676" width="5" customWidth="1"/>
    <col min="8677" max="8716" width="4.7265625" customWidth="1"/>
    <col min="8717" max="8717" width="5.54296875" customWidth="1"/>
    <col min="8718" max="8718" width="7.54296875" customWidth="1"/>
    <col min="8719" max="8719" width="6.81640625" customWidth="1"/>
    <col min="8720" max="8720" width="7.1796875" customWidth="1"/>
    <col min="8922" max="8922" width="4.453125" customWidth="1"/>
    <col min="8923" max="8923" width="19.453125" customWidth="1"/>
    <col min="8924" max="8924" width="47.26953125" customWidth="1"/>
    <col min="8925" max="8927" width="4.7265625" customWidth="1"/>
    <col min="8928" max="8932" width="5" customWidth="1"/>
    <col min="8933" max="8972" width="4.7265625" customWidth="1"/>
    <col min="8973" max="8973" width="5.54296875" customWidth="1"/>
    <col min="8974" max="8974" width="7.54296875" customWidth="1"/>
    <col min="8975" max="8975" width="6.81640625" customWidth="1"/>
    <col min="8976" max="8976" width="7.1796875" customWidth="1"/>
    <col min="9178" max="9178" width="4.453125" customWidth="1"/>
    <col min="9179" max="9179" width="19.453125" customWidth="1"/>
    <col min="9180" max="9180" width="47.26953125" customWidth="1"/>
    <col min="9181" max="9183" width="4.7265625" customWidth="1"/>
    <col min="9184" max="9188" width="5" customWidth="1"/>
    <col min="9189" max="9228" width="4.7265625" customWidth="1"/>
    <col min="9229" max="9229" width="5.54296875" customWidth="1"/>
    <col min="9230" max="9230" width="7.54296875" customWidth="1"/>
    <col min="9231" max="9231" width="6.81640625" customWidth="1"/>
    <col min="9232" max="9232" width="7.1796875" customWidth="1"/>
    <col min="9434" max="9434" width="4.453125" customWidth="1"/>
    <col min="9435" max="9435" width="19.453125" customWidth="1"/>
    <col min="9436" max="9436" width="47.26953125" customWidth="1"/>
    <col min="9437" max="9439" width="4.7265625" customWidth="1"/>
    <col min="9440" max="9444" width="5" customWidth="1"/>
    <col min="9445" max="9484" width="4.7265625" customWidth="1"/>
    <col min="9485" max="9485" width="5.54296875" customWidth="1"/>
    <col min="9486" max="9486" width="7.54296875" customWidth="1"/>
    <col min="9487" max="9487" width="6.81640625" customWidth="1"/>
    <col min="9488" max="9488" width="7.1796875" customWidth="1"/>
    <col min="9690" max="9690" width="4.453125" customWidth="1"/>
    <col min="9691" max="9691" width="19.453125" customWidth="1"/>
    <col min="9692" max="9692" width="47.26953125" customWidth="1"/>
    <col min="9693" max="9695" width="4.7265625" customWidth="1"/>
    <col min="9696" max="9700" width="5" customWidth="1"/>
    <col min="9701" max="9740" width="4.7265625" customWidth="1"/>
    <col min="9741" max="9741" width="5.54296875" customWidth="1"/>
    <col min="9742" max="9742" width="7.54296875" customWidth="1"/>
    <col min="9743" max="9743" width="6.81640625" customWidth="1"/>
    <col min="9744" max="9744" width="7.1796875" customWidth="1"/>
    <col min="9946" max="9946" width="4.453125" customWidth="1"/>
    <col min="9947" max="9947" width="19.453125" customWidth="1"/>
    <col min="9948" max="9948" width="47.26953125" customWidth="1"/>
    <col min="9949" max="9951" width="4.7265625" customWidth="1"/>
    <col min="9952" max="9956" width="5" customWidth="1"/>
    <col min="9957" max="9996" width="4.7265625" customWidth="1"/>
    <col min="9997" max="9997" width="5.54296875" customWidth="1"/>
    <col min="9998" max="9998" width="7.54296875" customWidth="1"/>
    <col min="9999" max="9999" width="6.81640625" customWidth="1"/>
    <col min="10000" max="10000" width="7.1796875" customWidth="1"/>
    <col min="10202" max="10202" width="4.453125" customWidth="1"/>
    <col min="10203" max="10203" width="19.453125" customWidth="1"/>
    <col min="10204" max="10204" width="47.26953125" customWidth="1"/>
    <col min="10205" max="10207" width="4.7265625" customWidth="1"/>
    <col min="10208" max="10212" width="5" customWidth="1"/>
    <col min="10213" max="10252" width="4.7265625" customWidth="1"/>
    <col min="10253" max="10253" width="5.54296875" customWidth="1"/>
    <col min="10254" max="10254" width="7.54296875" customWidth="1"/>
    <col min="10255" max="10255" width="6.81640625" customWidth="1"/>
    <col min="10256" max="10256" width="7.1796875" customWidth="1"/>
    <col min="10458" max="10458" width="4.453125" customWidth="1"/>
    <col min="10459" max="10459" width="19.453125" customWidth="1"/>
    <col min="10460" max="10460" width="47.26953125" customWidth="1"/>
    <col min="10461" max="10463" width="4.7265625" customWidth="1"/>
    <col min="10464" max="10468" width="5" customWidth="1"/>
    <col min="10469" max="10508" width="4.7265625" customWidth="1"/>
    <col min="10509" max="10509" width="5.54296875" customWidth="1"/>
    <col min="10510" max="10510" width="7.54296875" customWidth="1"/>
    <col min="10511" max="10511" width="6.81640625" customWidth="1"/>
    <col min="10512" max="10512" width="7.1796875" customWidth="1"/>
    <col min="10714" max="10714" width="4.453125" customWidth="1"/>
    <col min="10715" max="10715" width="19.453125" customWidth="1"/>
    <col min="10716" max="10716" width="47.26953125" customWidth="1"/>
    <col min="10717" max="10719" width="4.7265625" customWidth="1"/>
    <col min="10720" max="10724" width="5" customWidth="1"/>
    <col min="10725" max="10764" width="4.7265625" customWidth="1"/>
    <col min="10765" max="10765" width="5.54296875" customWidth="1"/>
    <col min="10766" max="10766" width="7.54296875" customWidth="1"/>
    <col min="10767" max="10767" width="6.81640625" customWidth="1"/>
    <col min="10768" max="10768" width="7.1796875" customWidth="1"/>
    <col min="10970" max="10970" width="4.453125" customWidth="1"/>
    <col min="10971" max="10971" width="19.453125" customWidth="1"/>
    <col min="10972" max="10972" width="47.26953125" customWidth="1"/>
    <col min="10973" max="10975" width="4.7265625" customWidth="1"/>
    <col min="10976" max="10980" width="5" customWidth="1"/>
    <col min="10981" max="11020" width="4.7265625" customWidth="1"/>
    <col min="11021" max="11021" width="5.54296875" customWidth="1"/>
    <col min="11022" max="11022" width="7.54296875" customWidth="1"/>
    <col min="11023" max="11023" width="6.81640625" customWidth="1"/>
    <col min="11024" max="11024" width="7.1796875" customWidth="1"/>
    <col min="11226" max="11226" width="4.453125" customWidth="1"/>
    <col min="11227" max="11227" width="19.453125" customWidth="1"/>
    <col min="11228" max="11228" width="47.26953125" customWidth="1"/>
    <col min="11229" max="11231" width="4.7265625" customWidth="1"/>
    <col min="11232" max="11236" width="5" customWidth="1"/>
    <col min="11237" max="11276" width="4.7265625" customWidth="1"/>
    <col min="11277" max="11277" width="5.54296875" customWidth="1"/>
    <col min="11278" max="11278" width="7.54296875" customWidth="1"/>
    <col min="11279" max="11279" width="6.81640625" customWidth="1"/>
    <col min="11280" max="11280" width="7.1796875" customWidth="1"/>
    <col min="11482" max="11482" width="4.453125" customWidth="1"/>
    <col min="11483" max="11483" width="19.453125" customWidth="1"/>
    <col min="11484" max="11484" width="47.26953125" customWidth="1"/>
    <col min="11485" max="11487" width="4.7265625" customWidth="1"/>
    <col min="11488" max="11492" width="5" customWidth="1"/>
    <col min="11493" max="11532" width="4.7265625" customWidth="1"/>
    <col min="11533" max="11533" width="5.54296875" customWidth="1"/>
    <col min="11534" max="11534" width="7.54296875" customWidth="1"/>
    <col min="11535" max="11535" width="6.81640625" customWidth="1"/>
    <col min="11536" max="11536" width="7.1796875" customWidth="1"/>
    <col min="11738" max="11738" width="4.453125" customWidth="1"/>
    <col min="11739" max="11739" width="19.453125" customWidth="1"/>
    <col min="11740" max="11740" width="47.26953125" customWidth="1"/>
    <col min="11741" max="11743" width="4.7265625" customWidth="1"/>
    <col min="11744" max="11748" width="5" customWidth="1"/>
    <col min="11749" max="11788" width="4.7265625" customWidth="1"/>
    <col min="11789" max="11789" width="5.54296875" customWidth="1"/>
    <col min="11790" max="11790" width="7.54296875" customWidth="1"/>
    <col min="11791" max="11791" width="6.81640625" customWidth="1"/>
    <col min="11792" max="11792" width="7.1796875" customWidth="1"/>
    <col min="11994" max="11994" width="4.453125" customWidth="1"/>
    <col min="11995" max="11995" width="19.453125" customWidth="1"/>
    <col min="11996" max="11996" width="47.26953125" customWidth="1"/>
    <col min="11997" max="11999" width="4.7265625" customWidth="1"/>
    <col min="12000" max="12004" width="5" customWidth="1"/>
    <col min="12005" max="12044" width="4.7265625" customWidth="1"/>
    <col min="12045" max="12045" width="5.54296875" customWidth="1"/>
    <col min="12046" max="12046" width="7.54296875" customWidth="1"/>
    <col min="12047" max="12047" width="6.81640625" customWidth="1"/>
    <col min="12048" max="12048" width="7.1796875" customWidth="1"/>
    <col min="12250" max="12250" width="4.453125" customWidth="1"/>
    <col min="12251" max="12251" width="19.453125" customWidth="1"/>
    <col min="12252" max="12252" width="47.26953125" customWidth="1"/>
    <col min="12253" max="12255" width="4.7265625" customWidth="1"/>
    <col min="12256" max="12260" width="5" customWidth="1"/>
    <col min="12261" max="12300" width="4.7265625" customWidth="1"/>
    <col min="12301" max="12301" width="5.54296875" customWidth="1"/>
    <col min="12302" max="12302" width="7.54296875" customWidth="1"/>
    <col min="12303" max="12303" width="6.81640625" customWidth="1"/>
    <col min="12304" max="12304" width="7.1796875" customWidth="1"/>
    <col min="12506" max="12506" width="4.453125" customWidth="1"/>
    <col min="12507" max="12507" width="19.453125" customWidth="1"/>
    <col min="12508" max="12508" width="47.26953125" customWidth="1"/>
    <col min="12509" max="12511" width="4.7265625" customWidth="1"/>
    <col min="12512" max="12516" width="5" customWidth="1"/>
    <col min="12517" max="12556" width="4.7265625" customWidth="1"/>
    <col min="12557" max="12557" width="5.54296875" customWidth="1"/>
    <col min="12558" max="12558" width="7.54296875" customWidth="1"/>
    <col min="12559" max="12559" width="6.81640625" customWidth="1"/>
    <col min="12560" max="12560" width="7.1796875" customWidth="1"/>
    <col min="12762" max="12762" width="4.453125" customWidth="1"/>
    <col min="12763" max="12763" width="19.453125" customWidth="1"/>
    <col min="12764" max="12764" width="47.26953125" customWidth="1"/>
    <col min="12765" max="12767" width="4.7265625" customWidth="1"/>
    <col min="12768" max="12772" width="5" customWidth="1"/>
    <col min="12773" max="12812" width="4.7265625" customWidth="1"/>
    <col min="12813" max="12813" width="5.54296875" customWidth="1"/>
    <col min="12814" max="12814" width="7.54296875" customWidth="1"/>
    <col min="12815" max="12815" width="6.81640625" customWidth="1"/>
    <col min="12816" max="12816" width="7.1796875" customWidth="1"/>
    <col min="13018" max="13018" width="4.453125" customWidth="1"/>
    <col min="13019" max="13019" width="19.453125" customWidth="1"/>
    <col min="13020" max="13020" width="47.26953125" customWidth="1"/>
    <col min="13021" max="13023" width="4.7265625" customWidth="1"/>
    <col min="13024" max="13028" width="5" customWidth="1"/>
    <col min="13029" max="13068" width="4.7265625" customWidth="1"/>
    <col min="13069" max="13069" width="5.54296875" customWidth="1"/>
    <col min="13070" max="13070" width="7.54296875" customWidth="1"/>
    <col min="13071" max="13071" width="6.81640625" customWidth="1"/>
    <col min="13072" max="13072" width="7.1796875" customWidth="1"/>
    <col min="13274" max="13274" width="4.453125" customWidth="1"/>
    <col min="13275" max="13275" width="19.453125" customWidth="1"/>
    <col min="13276" max="13276" width="47.26953125" customWidth="1"/>
    <col min="13277" max="13279" width="4.7265625" customWidth="1"/>
    <col min="13280" max="13284" width="5" customWidth="1"/>
    <col min="13285" max="13324" width="4.7265625" customWidth="1"/>
    <col min="13325" max="13325" width="5.54296875" customWidth="1"/>
    <col min="13326" max="13326" width="7.54296875" customWidth="1"/>
    <col min="13327" max="13327" width="6.81640625" customWidth="1"/>
    <col min="13328" max="13328" width="7.1796875" customWidth="1"/>
    <col min="13530" max="13530" width="4.453125" customWidth="1"/>
    <col min="13531" max="13531" width="19.453125" customWidth="1"/>
    <col min="13532" max="13532" width="47.26953125" customWidth="1"/>
    <col min="13533" max="13535" width="4.7265625" customWidth="1"/>
    <col min="13536" max="13540" width="5" customWidth="1"/>
    <col min="13541" max="13580" width="4.7265625" customWidth="1"/>
    <col min="13581" max="13581" width="5.54296875" customWidth="1"/>
    <col min="13582" max="13582" width="7.54296875" customWidth="1"/>
    <col min="13583" max="13583" width="6.81640625" customWidth="1"/>
    <col min="13584" max="13584" width="7.1796875" customWidth="1"/>
    <col min="13786" max="13786" width="4.453125" customWidth="1"/>
    <col min="13787" max="13787" width="19.453125" customWidth="1"/>
    <col min="13788" max="13788" width="47.26953125" customWidth="1"/>
    <col min="13789" max="13791" width="4.7265625" customWidth="1"/>
    <col min="13792" max="13796" width="5" customWidth="1"/>
    <col min="13797" max="13836" width="4.7265625" customWidth="1"/>
    <col min="13837" max="13837" width="5.54296875" customWidth="1"/>
    <col min="13838" max="13838" width="7.54296875" customWidth="1"/>
    <col min="13839" max="13839" width="6.81640625" customWidth="1"/>
    <col min="13840" max="13840" width="7.1796875" customWidth="1"/>
    <col min="14042" max="14042" width="4.453125" customWidth="1"/>
    <col min="14043" max="14043" width="19.453125" customWidth="1"/>
    <col min="14044" max="14044" width="47.26953125" customWidth="1"/>
    <col min="14045" max="14047" width="4.7265625" customWidth="1"/>
    <col min="14048" max="14052" width="5" customWidth="1"/>
    <col min="14053" max="14092" width="4.7265625" customWidth="1"/>
    <col min="14093" max="14093" width="5.54296875" customWidth="1"/>
    <col min="14094" max="14094" width="7.54296875" customWidth="1"/>
    <col min="14095" max="14095" width="6.81640625" customWidth="1"/>
    <col min="14096" max="14096" width="7.1796875" customWidth="1"/>
    <col min="14298" max="14298" width="4.453125" customWidth="1"/>
    <col min="14299" max="14299" width="19.453125" customWidth="1"/>
    <col min="14300" max="14300" width="47.26953125" customWidth="1"/>
    <col min="14301" max="14303" width="4.7265625" customWidth="1"/>
    <col min="14304" max="14308" width="5" customWidth="1"/>
    <col min="14309" max="14348" width="4.7265625" customWidth="1"/>
    <col min="14349" max="14349" width="5.54296875" customWidth="1"/>
    <col min="14350" max="14350" width="7.54296875" customWidth="1"/>
    <col min="14351" max="14351" width="6.81640625" customWidth="1"/>
    <col min="14352" max="14352" width="7.1796875" customWidth="1"/>
    <col min="14554" max="14554" width="4.453125" customWidth="1"/>
    <col min="14555" max="14555" width="19.453125" customWidth="1"/>
    <col min="14556" max="14556" width="47.26953125" customWidth="1"/>
    <col min="14557" max="14559" width="4.7265625" customWidth="1"/>
    <col min="14560" max="14564" width="5" customWidth="1"/>
    <col min="14565" max="14604" width="4.7265625" customWidth="1"/>
    <col min="14605" max="14605" width="5.54296875" customWidth="1"/>
    <col min="14606" max="14606" width="7.54296875" customWidth="1"/>
    <col min="14607" max="14607" width="6.81640625" customWidth="1"/>
    <col min="14608" max="14608" width="7.1796875" customWidth="1"/>
    <col min="14810" max="14810" width="4.453125" customWidth="1"/>
    <col min="14811" max="14811" width="19.453125" customWidth="1"/>
    <col min="14812" max="14812" width="47.26953125" customWidth="1"/>
    <col min="14813" max="14815" width="4.7265625" customWidth="1"/>
    <col min="14816" max="14820" width="5" customWidth="1"/>
    <col min="14821" max="14860" width="4.7265625" customWidth="1"/>
    <col min="14861" max="14861" width="5.54296875" customWidth="1"/>
    <col min="14862" max="14862" width="7.54296875" customWidth="1"/>
    <col min="14863" max="14863" width="6.81640625" customWidth="1"/>
    <col min="14864" max="14864" width="7.1796875" customWidth="1"/>
    <col min="15066" max="15066" width="4.453125" customWidth="1"/>
    <col min="15067" max="15067" width="19.453125" customWidth="1"/>
    <col min="15068" max="15068" width="47.26953125" customWidth="1"/>
    <col min="15069" max="15071" width="4.7265625" customWidth="1"/>
    <col min="15072" max="15076" width="5" customWidth="1"/>
    <col min="15077" max="15116" width="4.7265625" customWidth="1"/>
    <col min="15117" max="15117" width="5.54296875" customWidth="1"/>
    <col min="15118" max="15118" width="7.54296875" customWidth="1"/>
    <col min="15119" max="15119" width="6.81640625" customWidth="1"/>
    <col min="15120" max="15120" width="7.1796875" customWidth="1"/>
    <col min="15322" max="15322" width="4.453125" customWidth="1"/>
    <col min="15323" max="15323" width="19.453125" customWidth="1"/>
    <col min="15324" max="15324" width="47.26953125" customWidth="1"/>
    <col min="15325" max="15327" width="4.7265625" customWidth="1"/>
    <col min="15328" max="15332" width="5" customWidth="1"/>
    <col min="15333" max="15372" width="4.7265625" customWidth="1"/>
    <col min="15373" max="15373" width="5.54296875" customWidth="1"/>
    <col min="15374" max="15374" width="7.54296875" customWidth="1"/>
    <col min="15375" max="15375" width="6.81640625" customWidth="1"/>
    <col min="15376" max="15376" width="7.1796875" customWidth="1"/>
    <col min="15578" max="15578" width="4.453125" customWidth="1"/>
    <col min="15579" max="15579" width="19.453125" customWidth="1"/>
    <col min="15580" max="15580" width="47.26953125" customWidth="1"/>
    <col min="15581" max="15583" width="4.7265625" customWidth="1"/>
    <col min="15584" max="15588" width="5" customWidth="1"/>
    <col min="15589" max="15628" width="4.7265625" customWidth="1"/>
    <col min="15629" max="15629" width="5.54296875" customWidth="1"/>
    <col min="15630" max="15630" width="7.54296875" customWidth="1"/>
    <col min="15631" max="15631" width="6.81640625" customWidth="1"/>
    <col min="15632" max="15632" width="7.1796875" customWidth="1"/>
    <col min="15834" max="15834" width="4.453125" customWidth="1"/>
    <col min="15835" max="15835" width="19.453125" customWidth="1"/>
    <col min="15836" max="15836" width="47.26953125" customWidth="1"/>
    <col min="15837" max="15839" width="4.7265625" customWidth="1"/>
    <col min="15840" max="15844" width="5" customWidth="1"/>
    <col min="15845" max="15884" width="4.7265625" customWidth="1"/>
    <col min="15885" max="15885" width="5.54296875" customWidth="1"/>
    <col min="15886" max="15886" width="7.54296875" customWidth="1"/>
    <col min="15887" max="15887" width="6.81640625" customWidth="1"/>
    <col min="15888" max="15888" width="7.1796875" customWidth="1"/>
    <col min="16090" max="16090" width="4.453125" customWidth="1"/>
    <col min="16091" max="16091" width="19.453125" customWidth="1"/>
    <col min="16092" max="16092" width="47.26953125" customWidth="1"/>
    <col min="16093" max="16095" width="4.7265625" customWidth="1"/>
    <col min="16096" max="16100" width="5" customWidth="1"/>
    <col min="16101" max="16140" width="4.7265625" customWidth="1"/>
    <col min="16141" max="16141" width="5.54296875" customWidth="1"/>
    <col min="16142" max="16142" width="7.54296875" customWidth="1"/>
    <col min="16143" max="16143" width="6.81640625" customWidth="1"/>
    <col min="16144" max="16144" width="7.1796875" customWidth="1"/>
  </cols>
  <sheetData>
    <row r="1" spans="1:27" ht="78" customHeight="1" thickBot="1" x14ac:dyDescent="0.4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9.5" customHeight="1" thickTop="1" x14ac:dyDescent="0.35"/>
    <row r="3" spans="1:27" ht="15.5" x14ac:dyDescent="0.35">
      <c r="A3" s="52" t="s">
        <v>17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.5" x14ac:dyDescent="0.35">
      <c r="A4" s="52" t="s">
        <v>18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 spans="1:27" ht="4" customHeight="1" x14ac:dyDescent="0.35">
      <c r="B5" s="1"/>
      <c r="D5" s="1"/>
      <c r="E5" s="1"/>
    </row>
    <row r="6" spans="1:27" ht="15.5" x14ac:dyDescent="0.35">
      <c r="A6" s="1" t="s">
        <v>1</v>
      </c>
      <c r="C6" s="2" t="s">
        <v>21</v>
      </c>
      <c r="E6" s="2"/>
    </row>
    <row r="7" spans="1:27" ht="15.5" x14ac:dyDescent="0.35">
      <c r="A7" s="1" t="s">
        <v>2</v>
      </c>
      <c r="C7" s="2" t="s">
        <v>1092</v>
      </c>
      <c r="E7" s="2"/>
    </row>
    <row r="8" spans="1:27" ht="15.5" x14ac:dyDescent="0.35">
      <c r="A8" s="1" t="s">
        <v>3</v>
      </c>
      <c r="C8" s="2" t="s">
        <v>19</v>
      </c>
      <c r="E8" s="2"/>
    </row>
    <row r="9" spans="1:27" x14ac:dyDescent="0.35">
      <c r="E9" s="2"/>
    </row>
    <row r="10" spans="1:27" x14ac:dyDescent="0.35">
      <c r="A10" s="53" t="s">
        <v>4</v>
      </c>
      <c r="B10" s="53" t="s">
        <v>5</v>
      </c>
      <c r="C10" s="54" t="s">
        <v>6</v>
      </c>
      <c r="D10" s="55" t="s">
        <v>7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27" ht="36.5" customHeight="1" x14ac:dyDescent="0.35">
      <c r="A11" s="53"/>
      <c r="B11" s="53"/>
      <c r="C11" s="54"/>
      <c r="D11" s="62" t="s">
        <v>1147</v>
      </c>
      <c r="E11" s="62"/>
      <c r="F11" s="62"/>
      <c r="G11" s="62"/>
      <c r="H11" s="62"/>
      <c r="I11" s="61"/>
      <c r="J11" s="61"/>
      <c r="K11" s="61"/>
      <c r="L11" s="61"/>
      <c r="M11" s="61"/>
      <c r="N11" s="58"/>
      <c r="O11" s="59"/>
      <c r="P11" s="59"/>
      <c r="Q11" s="59"/>
      <c r="R11" s="60"/>
      <c r="S11" s="39" t="s">
        <v>8</v>
      </c>
      <c r="T11" s="39"/>
      <c r="U11" s="39"/>
      <c r="V11" s="40" t="s">
        <v>9</v>
      </c>
      <c r="W11" s="42" t="s">
        <v>20</v>
      </c>
      <c r="X11" s="44" t="s">
        <v>10</v>
      </c>
      <c r="Y11" s="46" t="s">
        <v>11</v>
      </c>
      <c r="Z11" s="48" t="s">
        <v>12</v>
      </c>
      <c r="AA11" s="37" t="s">
        <v>13</v>
      </c>
    </row>
    <row r="12" spans="1:27" ht="16" customHeight="1" x14ac:dyDescent="0.35">
      <c r="A12" s="53"/>
      <c r="B12" s="53"/>
      <c r="C12" s="54"/>
      <c r="D12" s="3">
        <v>1</v>
      </c>
      <c r="E12" s="14">
        <v>2</v>
      </c>
      <c r="F12" s="14">
        <v>3</v>
      </c>
      <c r="G12" s="14">
        <v>4</v>
      </c>
      <c r="H12" s="15">
        <v>5</v>
      </c>
      <c r="I12" s="15">
        <v>1</v>
      </c>
      <c r="J12" s="15">
        <v>2</v>
      </c>
      <c r="K12" s="15">
        <v>3</v>
      </c>
      <c r="L12" s="15">
        <v>4</v>
      </c>
      <c r="M12" s="15">
        <v>5</v>
      </c>
      <c r="N12" s="15">
        <v>1</v>
      </c>
      <c r="O12" s="15">
        <v>2</v>
      </c>
      <c r="P12" s="15">
        <v>3</v>
      </c>
      <c r="Q12" s="15">
        <v>4</v>
      </c>
      <c r="R12" s="15">
        <v>5</v>
      </c>
      <c r="S12" s="19" t="s">
        <v>22</v>
      </c>
      <c r="T12" s="21" t="s">
        <v>23</v>
      </c>
      <c r="U12" s="17" t="s">
        <v>24</v>
      </c>
      <c r="V12" s="41"/>
      <c r="W12" s="43"/>
      <c r="X12" s="45"/>
      <c r="Y12" s="47"/>
      <c r="Z12" s="49"/>
      <c r="AA12" s="38"/>
    </row>
    <row r="13" spans="1:27" s="9" customFormat="1" x14ac:dyDescent="0.35">
      <c r="A13" s="4">
        <v>1</v>
      </c>
      <c r="B13" s="34" t="s">
        <v>1093</v>
      </c>
      <c r="C13" s="35" t="s">
        <v>254</v>
      </c>
      <c r="D13" s="5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0" t="e">
        <f>AVERAGE(D13:H13)</f>
        <v>#DIV/0!</v>
      </c>
      <c r="T13" s="22" t="e">
        <f>AVERAGE(I13:M13)</f>
        <v>#DIV/0!</v>
      </c>
      <c r="U13" s="18" t="e">
        <f>AVERAGE(N13:R13)</f>
        <v>#DIV/0!</v>
      </c>
      <c r="V13" s="13"/>
      <c r="W13" s="13" t="e">
        <f>AVERAGE(S13:U13)</f>
        <v>#DIV/0!</v>
      </c>
      <c r="X13" s="16" t="e">
        <f>ROUND(AVERAGE(V13:W13),0)</f>
        <v>#DIV/0!</v>
      </c>
      <c r="Y13" s="6"/>
      <c r="Z13" s="7">
        <v>1</v>
      </c>
      <c r="AA13" s="8" t="e">
        <f>ROUND(IF((X13*(IF(Y13="A",105%,IF(Y13="B",102%,IF(Y13="C",75%,50%))))*Z13)&gt;100,100,(X13*(IF(Y13="A",105%,IF(Y13="B",102%,IF(Y13="C",75%,50%))))*Z13)),0)</f>
        <v>#DIV/0!</v>
      </c>
    </row>
    <row r="14" spans="1:27" s="9" customFormat="1" x14ac:dyDescent="0.35">
      <c r="A14" s="4">
        <v>2</v>
      </c>
      <c r="B14" s="34" t="s">
        <v>1094</v>
      </c>
      <c r="C14" s="35" t="s">
        <v>255</v>
      </c>
      <c r="D14" s="5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0" t="e">
        <f>AVERAGE(D14:H14)</f>
        <v>#DIV/0!</v>
      </c>
      <c r="T14" s="22" t="e">
        <f t="shared" ref="T14:T49" si="0">AVERAGE(I14:M14)</f>
        <v>#DIV/0!</v>
      </c>
      <c r="U14" s="18" t="e">
        <f t="shared" ref="U14:U49" si="1">AVERAGE(N14:R14)</f>
        <v>#DIV/0!</v>
      </c>
      <c r="V14" s="13"/>
      <c r="W14" s="13" t="e">
        <f t="shared" ref="W14:W49" si="2">AVERAGE(S14:U14)</f>
        <v>#DIV/0!</v>
      </c>
      <c r="X14" s="16" t="e">
        <f t="shared" ref="X14:X49" si="3">ROUND(AVERAGE(V14:W14),0)</f>
        <v>#DIV/0!</v>
      </c>
      <c r="Y14" s="6"/>
      <c r="Z14" s="7">
        <v>1</v>
      </c>
      <c r="AA14" s="8" t="e">
        <f t="shared" ref="AA14:AA49" si="4">ROUND(IF((X14*(IF(Y14="A",105%,IF(Y14="B",102%,IF(Y14="C",75%,50%))))*Z14)&gt;100,100,(X14*(IF(Y14="A",105%,IF(Y14="B",102%,IF(Y14="C",75%,50%))))*Z14)),0)</f>
        <v>#DIV/0!</v>
      </c>
    </row>
    <row r="15" spans="1:27" s="9" customFormat="1" x14ac:dyDescent="0.35">
      <c r="A15" s="4">
        <v>3</v>
      </c>
      <c r="B15" s="34" t="s">
        <v>1095</v>
      </c>
      <c r="C15" s="35" t="s">
        <v>256</v>
      </c>
      <c r="D15" s="5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0" t="e">
        <f>AVERAGE(D15:H15)</f>
        <v>#DIV/0!</v>
      </c>
      <c r="T15" s="22" t="e">
        <f t="shared" si="0"/>
        <v>#DIV/0!</v>
      </c>
      <c r="U15" s="18" t="e">
        <f t="shared" si="1"/>
        <v>#DIV/0!</v>
      </c>
      <c r="V15" s="13"/>
      <c r="W15" s="13" t="e">
        <f t="shared" si="2"/>
        <v>#DIV/0!</v>
      </c>
      <c r="X15" s="16" t="e">
        <f t="shared" si="3"/>
        <v>#DIV/0!</v>
      </c>
      <c r="Y15" s="6"/>
      <c r="Z15" s="7">
        <v>1</v>
      </c>
      <c r="AA15" s="8" t="e">
        <f t="shared" si="4"/>
        <v>#DIV/0!</v>
      </c>
    </row>
    <row r="16" spans="1:27" s="9" customFormat="1" x14ac:dyDescent="0.35">
      <c r="A16" s="4">
        <v>4</v>
      </c>
      <c r="B16" s="34" t="s">
        <v>1096</v>
      </c>
      <c r="C16" s="35" t="s">
        <v>257</v>
      </c>
      <c r="D16" s="5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0" t="e">
        <f>AVERAGE(D16:H16)</f>
        <v>#DIV/0!</v>
      </c>
      <c r="T16" s="22" t="e">
        <f t="shared" si="0"/>
        <v>#DIV/0!</v>
      </c>
      <c r="U16" s="18" t="e">
        <f t="shared" si="1"/>
        <v>#DIV/0!</v>
      </c>
      <c r="V16" s="13"/>
      <c r="W16" s="13" t="e">
        <f t="shared" si="2"/>
        <v>#DIV/0!</v>
      </c>
      <c r="X16" s="16" t="e">
        <f t="shared" si="3"/>
        <v>#DIV/0!</v>
      </c>
      <c r="Y16" s="6"/>
      <c r="Z16" s="7">
        <v>1</v>
      </c>
      <c r="AA16" s="8" t="e">
        <f t="shared" si="4"/>
        <v>#DIV/0!</v>
      </c>
    </row>
    <row r="17" spans="1:27" s="9" customFormat="1" x14ac:dyDescent="0.35">
      <c r="A17" s="4">
        <v>5</v>
      </c>
      <c r="B17" s="34" t="s">
        <v>1097</v>
      </c>
      <c r="C17" s="35" t="s">
        <v>258</v>
      </c>
      <c r="D17" s="5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0" t="e">
        <f>AVERAGE(D17:H17)</f>
        <v>#DIV/0!</v>
      </c>
      <c r="T17" s="22" t="e">
        <f t="shared" si="0"/>
        <v>#DIV/0!</v>
      </c>
      <c r="U17" s="18" t="e">
        <f t="shared" si="1"/>
        <v>#DIV/0!</v>
      </c>
      <c r="V17" s="13"/>
      <c r="W17" s="13" t="e">
        <f t="shared" si="2"/>
        <v>#DIV/0!</v>
      </c>
      <c r="X17" s="16" t="e">
        <f t="shared" si="3"/>
        <v>#DIV/0!</v>
      </c>
      <c r="Y17" s="6"/>
      <c r="Z17" s="7">
        <v>1</v>
      </c>
      <c r="AA17" s="8" t="e">
        <f t="shared" si="4"/>
        <v>#DIV/0!</v>
      </c>
    </row>
    <row r="18" spans="1:27" s="9" customFormat="1" x14ac:dyDescent="0.35">
      <c r="A18" s="4">
        <v>6</v>
      </c>
      <c r="B18" s="34" t="s">
        <v>1098</v>
      </c>
      <c r="C18" s="35" t="s">
        <v>259</v>
      </c>
      <c r="D18" s="5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0" t="e">
        <f>AVERAGE(D18:H18)</f>
        <v>#DIV/0!</v>
      </c>
      <c r="T18" s="22" t="e">
        <f t="shared" si="0"/>
        <v>#DIV/0!</v>
      </c>
      <c r="U18" s="18" t="e">
        <f t="shared" si="1"/>
        <v>#DIV/0!</v>
      </c>
      <c r="V18" s="13"/>
      <c r="W18" s="13" t="e">
        <f t="shared" si="2"/>
        <v>#DIV/0!</v>
      </c>
      <c r="X18" s="16" t="e">
        <f t="shared" si="3"/>
        <v>#DIV/0!</v>
      </c>
      <c r="Y18" s="6"/>
      <c r="Z18" s="7">
        <v>1</v>
      </c>
      <c r="AA18" s="8" t="e">
        <f t="shared" si="4"/>
        <v>#DIV/0!</v>
      </c>
    </row>
    <row r="19" spans="1:27" s="9" customFormat="1" x14ac:dyDescent="0.35">
      <c r="A19" s="4">
        <v>7</v>
      </c>
      <c r="B19" s="34" t="s">
        <v>1099</v>
      </c>
      <c r="C19" s="35" t="s">
        <v>260</v>
      </c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0" t="e">
        <f>AVERAGE(D19:H19)</f>
        <v>#DIV/0!</v>
      </c>
      <c r="T19" s="22" t="e">
        <f t="shared" si="0"/>
        <v>#DIV/0!</v>
      </c>
      <c r="U19" s="18" t="e">
        <f t="shared" si="1"/>
        <v>#DIV/0!</v>
      </c>
      <c r="V19" s="13"/>
      <c r="W19" s="13" t="e">
        <f t="shared" si="2"/>
        <v>#DIV/0!</v>
      </c>
      <c r="X19" s="16" t="e">
        <f t="shared" si="3"/>
        <v>#DIV/0!</v>
      </c>
      <c r="Y19" s="6"/>
      <c r="Z19" s="7">
        <v>1</v>
      </c>
      <c r="AA19" s="8" t="e">
        <f t="shared" si="4"/>
        <v>#DIV/0!</v>
      </c>
    </row>
    <row r="20" spans="1:27" s="9" customFormat="1" x14ac:dyDescent="0.35">
      <c r="A20" s="4">
        <v>8</v>
      </c>
      <c r="B20" s="34" t="s">
        <v>1100</v>
      </c>
      <c r="C20" s="35" t="s">
        <v>261</v>
      </c>
      <c r="D20" s="5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0" t="e">
        <f>AVERAGE(D20:H20)</f>
        <v>#DIV/0!</v>
      </c>
      <c r="T20" s="22" t="e">
        <f t="shared" si="0"/>
        <v>#DIV/0!</v>
      </c>
      <c r="U20" s="18" t="e">
        <f t="shared" si="1"/>
        <v>#DIV/0!</v>
      </c>
      <c r="V20" s="13"/>
      <c r="W20" s="13" t="e">
        <f t="shared" si="2"/>
        <v>#DIV/0!</v>
      </c>
      <c r="X20" s="16" t="e">
        <f t="shared" si="3"/>
        <v>#DIV/0!</v>
      </c>
      <c r="Y20" s="6"/>
      <c r="Z20" s="7">
        <v>1</v>
      </c>
      <c r="AA20" s="8" t="e">
        <f t="shared" si="4"/>
        <v>#DIV/0!</v>
      </c>
    </row>
    <row r="21" spans="1:27" s="9" customFormat="1" x14ac:dyDescent="0.35">
      <c r="A21" s="4">
        <v>9</v>
      </c>
      <c r="B21" s="34" t="s">
        <v>1101</v>
      </c>
      <c r="C21" s="35" t="s">
        <v>262</v>
      </c>
      <c r="D21" s="5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0" t="e">
        <f>AVERAGE(D21:H21)</f>
        <v>#DIV/0!</v>
      </c>
      <c r="T21" s="22" t="e">
        <f t="shared" si="0"/>
        <v>#DIV/0!</v>
      </c>
      <c r="U21" s="18" t="e">
        <f t="shared" si="1"/>
        <v>#DIV/0!</v>
      </c>
      <c r="V21" s="13"/>
      <c r="W21" s="13" t="e">
        <f t="shared" si="2"/>
        <v>#DIV/0!</v>
      </c>
      <c r="X21" s="16" t="e">
        <f t="shared" si="3"/>
        <v>#DIV/0!</v>
      </c>
      <c r="Y21" s="6"/>
      <c r="Z21" s="7">
        <v>1</v>
      </c>
      <c r="AA21" s="8" t="e">
        <f t="shared" si="4"/>
        <v>#DIV/0!</v>
      </c>
    </row>
    <row r="22" spans="1:27" s="9" customFormat="1" x14ac:dyDescent="0.35">
      <c r="A22" s="4">
        <v>10</v>
      </c>
      <c r="B22" s="34" t="s">
        <v>1102</v>
      </c>
      <c r="C22" s="35" t="s">
        <v>263</v>
      </c>
      <c r="D22" s="5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0" t="e">
        <f>AVERAGE(D22:H22)</f>
        <v>#DIV/0!</v>
      </c>
      <c r="T22" s="22" t="e">
        <f t="shared" si="0"/>
        <v>#DIV/0!</v>
      </c>
      <c r="U22" s="18" t="e">
        <f t="shared" si="1"/>
        <v>#DIV/0!</v>
      </c>
      <c r="V22" s="13"/>
      <c r="W22" s="13" t="e">
        <f t="shared" si="2"/>
        <v>#DIV/0!</v>
      </c>
      <c r="X22" s="16" t="e">
        <f t="shared" si="3"/>
        <v>#DIV/0!</v>
      </c>
      <c r="Y22" s="6"/>
      <c r="Z22" s="7">
        <v>1</v>
      </c>
      <c r="AA22" s="8" t="e">
        <f t="shared" si="4"/>
        <v>#DIV/0!</v>
      </c>
    </row>
    <row r="23" spans="1:27" s="9" customFormat="1" x14ac:dyDescent="0.35">
      <c r="A23" s="4">
        <v>11</v>
      </c>
      <c r="B23" s="34" t="s">
        <v>1103</v>
      </c>
      <c r="C23" s="35" t="s">
        <v>264</v>
      </c>
      <c r="D23" s="5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0" t="e">
        <f>AVERAGE(D23:H23)</f>
        <v>#DIV/0!</v>
      </c>
      <c r="T23" s="22" t="e">
        <f t="shared" si="0"/>
        <v>#DIV/0!</v>
      </c>
      <c r="U23" s="18" t="e">
        <f t="shared" si="1"/>
        <v>#DIV/0!</v>
      </c>
      <c r="V23" s="13"/>
      <c r="W23" s="13" t="e">
        <f t="shared" si="2"/>
        <v>#DIV/0!</v>
      </c>
      <c r="X23" s="16" t="e">
        <f t="shared" si="3"/>
        <v>#DIV/0!</v>
      </c>
      <c r="Y23" s="6"/>
      <c r="Z23" s="7">
        <v>1</v>
      </c>
      <c r="AA23" s="8" t="e">
        <f t="shared" si="4"/>
        <v>#DIV/0!</v>
      </c>
    </row>
    <row r="24" spans="1:27" s="9" customFormat="1" x14ac:dyDescent="0.35">
      <c r="A24" s="4">
        <v>12</v>
      </c>
      <c r="B24" s="34" t="s">
        <v>1104</v>
      </c>
      <c r="C24" s="35" t="s">
        <v>265</v>
      </c>
      <c r="D24" s="5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0" t="e">
        <f>AVERAGE(D24:H24)</f>
        <v>#DIV/0!</v>
      </c>
      <c r="T24" s="22" t="e">
        <f t="shared" si="0"/>
        <v>#DIV/0!</v>
      </c>
      <c r="U24" s="18" t="e">
        <f t="shared" si="1"/>
        <v>#DIV/0!</v>
      </c>
      <c r="V24" s="13"/>
      <c r="W24" s="13" t="e">
        <f t="shared" si="2"/>
        <v>#DIV/0!</v>
      </c>
      <c r="X24" s="16" t="e">
        <f t="shared" si="3"/>
        <v>#DIV/0!</v>
      </c>
      <c r="Y24" s="6"/>
      <c r="Z24" s="7">
        <v>1</v>
      </c>
      <c r="AA24" s="8" t="e">
        <f t="shared" si="4"/>
        <v>#DIV/0!</v>
      </c>
    </row>
    <row r="25" spans="1:27" s="9" customFormat="1" x14ac:dyDescent="0.35">
      <c r="A25" s="4">
        <v>13</v>
      </c>
      <c r="B25" s="34" t="s">
        <v>1105</v>
      </c>
      <c r="C25" s="35" t="s">
        <v>266</v>
      </c>
      <c r="D25" s="5"/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0" t="e">
        <f>AVERAGE(D25:H25)</f>
        <v>#DIV/0!</v>
      </c>
      <c r="T25" s="22" t="e">
        <f t="shared" si="0"/>
        <v>#DIV/0!</v>
      </c>
      <c r="U25" s="18" t="e">
        <f t="shared" si="1"/>
        <v>#DIV/0!</v>
      </c>
      <c r="V25" s="13"/>
      <c r="W25" s="13" t="e">
        <f t="shared" si="2"/>
        <v>#DIV/0!</v>
      </c>
      <c r="X25" s="16" t="e">
        <f t="shared" si="3"/>
        <v>#DIV/0!</v>
      </c>
      <c r="Y25" s="6"/>
      <c r="Z25" s="7">
        <v>1</v>
      </c>
      <c r="AA25" s="8" t="e">
        <f t="shared" si="4"/>
        <v>#DIV/0!</v>
      </c>
    </row>
    <row r="26" spans="1:27" s="9" customFormat="1" x14ac:dyDescent="0.35">
      <c r="A26" s="4">
        <v>14</v>
      </c>
      <c r="B26" s="34" t="s">
        <v>1106</v>
      </c>
      <c r="C26" s="35" t="s">
        <v>267</v>
      </c>
      <c r="D26" s="5"/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0" t="e">
        <f>AVERAGE(D26:H26)</f>
        <v>#DIV/0!</v>
      </c>
      <c r="T26" s="22" t="e">
        <f t="shared" si="0"/>
        <v>#DIV/0!</v>
      </c>
      <c r="U26" s="18" t="e">
        <f t="shared" si="1"/>
        <v>#DIV/0!</v>
      </c>
      <c r="V26" s="13"/>
      <c r="W26" s="13" t="e">
        <f t="shared" si="2"/>
        <v>#DIV/0!</v>
      </c>
      <c r="X26" s="16" t="e">
        <f t="shared" si="3"/>
        <v>#DIV/0!</v>
      </c>
      <c r="Y26" s="6"/>
      <c r="Z26" s="7">
        <v>1</v>
      </c>
      <c r="AA26" s="8" t="e">
        <f t="shared" si="4"/>
        <v>#DIV/0!</v>
      </c>
    </row>
    <row r="27" spans="1:27" s="9" customFormat="1" x14ac:dyDescent="0.35">
      <c r="A27" s="4">
        <v>15</v>
      </c>
      <c r="B27" s="34" t="s">
        <v>1107</v>
      </c>
      <c r="C27" s="35" t="s">
        <v>268</v>
      </c>
      <c r="D27" s="5"/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0" t="e">
        <f>AVERAGE(D27:H27)</f>
        <v>#DIV/0!</v>
      </c>
      <c r="T27" s="22" t="e">
        <f t="shared" si="0"/>
        <v>#DIV/0!</v>
      </c>
      <c r="U27" s="18" t="e">
        <f t="shared" si="1"/>
        <v>#DIV/0!</v>
      </c>
      <c r="V27" s="13"/>
      <c r="W27" s="13" t="e">
        <f t="shared" si="2"/>
        <v>#DIV/0!</v>
      </c>
      <c r="X27" s="16" t="e">
        <f t="shared" si="3"/>
        <v>#DIV/0!</v>
      </c>
      <c r="Y27" s="6"/>
      <c r="Z27" s="7">
        <v>1</v>
      </c>
      <c r="AA27" s="8" t="e">
        <f t="shared" si="4"/>
        <v>#DIV/0!</v>
      </c>
    </row>
    <row r="28" spans="1:27" s="9" customFormat="1" x14ac:dyDescent="0.35">
      <c r="A28" s="4">
        <v>16</v>
      </c>
      <c r="B28" s="34" t="s">
        <v>1108</v>
      </c>
      <c r="C28" s="35" t="s">
        <v>269</v>
      </c>
      <c r="D28" s="5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0" t="e">
        <f>AVERAGE(D28:H28)</f>
        <v>#DIV/0!</v>
      </c>
      <c r="T28" s="22" t="e">
        <f t="shared" si="0"/>
        <v>#DIV/0!</v>
      </c>
      <c r="U28" s="18" t="e">
        <f t="shared" si="1"/>
        <v>#DIV/0!</v>
      </c>
      <c r="V28" s="13"/>
      <c r="W28" s="13" t="e">
        <f t="shared" si="2"/>
        <v>#DIV/0!</v>
      </c>
      <c r="X28" s="16" t="e">
        <f t="shared" si="3"/>
        <v>#DIV/0!</v>
      </c>
      <c r="Y28" s="6"/>
      <c r="Z28" s="7">
        <v>1</v>
      </c>
      <c r="AA28" s="8" t="e">
        <f t="shared" si="4"/>
        <v>#DIV/0!</v>
      </c>
    </row>
    <row r="29" spans="1:27" s="9" customFormat="1" x14ac:dyDescent="0.35">
      <c r="A29" s="4">
        <v>17</v>
      </c>
      <c r="B29" s="34" t="s">
        <v>1109</v>
      </c>
      <c r="C29" s="35" t="s">
        <v>270</v>
      </c>
      <c r="D29" s="5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0" t="e">
        <f>AVERAGE(D29:H29)</f>
        <v>#DIV/0!</v>
      </c>
      <c r="T29" s="22" t="e">
        <f t="shared" si="0"/>
        <v>#DIV/0!</v>
      </c>
      <c r="U29" s="18" t="e">
        <f t="shared" si="1"/>
        <v>#DIV/0!</v>
      </c>
      <c r="V29" s="13"/>
      <c r="W29" s="13" t="e">
        <f t="shared" si="2"/>
        <v>#DIV/0!</v>
      </c>
      <c r="X29" s="16" t="e">
        <f t="shared" si="3"/>
        <v>#DIV/0!</v>
      </c>
      <c r="Y29" s="6"/>
      <c r="Z29" s="7">
        <v>1</v>
      </c>
      <c r="AA29" s="8" t="e">
        <f t="shared" si="4"/>
        <v>#DIV/0!</v>
      </c>
    </row>
    <row r="30" spans="1:27" s="9" customFormat="1" x14ac:dyDescent="0.35">
      <c r="A30" s="4">
        <v>18</v>
      </c>
      <c r="B30" s="34" t="s">
        <v>1110</v>
      </c>
      <c r="C30" s="35" t="s">
        <v>271</v>
      </c>
      <c r="D30" s="5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0" t="e">
        <f>AVERAGE(D30:H30)</f>
        <v>#DIV/0!</v>
      </c>
      <c r="T30" s="22" t="e">
        <f t="shared" si="0"/>
        <v>#DIV/0!</v>
      </c>
      <c r="U30" s="18" t="e">
        <f t="shared" si="1"/>
        <v>#DIV/0!</v>
      </c>
      <c r="V30" s="13"/>
      <c r="W30" s="13" t="e">
        <f t="shared" si="2"/>
        <v>#DIV/0!</v>
      </c>
      <c r="X30" s="16" t="e">
        <f t="shared" si="3"/>
        <v>#DIV/0!</v>
      </c>
      <c r="Y30" s="6"/>
      <c r="Z30" s="7">
        <v>1</v>
      </c>
      <c r="AA30" s="8" t="e">
        <f t="shared" si="4"/>
        <v>#DIV/0!</v>
      </c>
    </row>
    <row r="31" spans="1:27" s="9" customFormat="1" x14ac:dyDescent="0.35">
      <c r="A31" s="4">
        <v>19</v>
      </c>
      <c r="B31" s="34" t="s">
        <v>1111</v>
      </c>
      <c r="C31" s="35" t="s">
        <v>272</v>
      </c>
      <c r="D31" s="5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0" t="e">
        <f>AVERAGE(D31:H31)</f>
        <v>#DIV/0!</v>
      </c>
      <c r="T31" s="22" t="e">
        <f t="shared" si="0"/>
        <v>#DIV/0!</v>
      </c>
      <c r="U31" s="18" t="e">
        <f t="shared" si="1"/>
        <v>#DIV/0!</v>
      </c>
      <c r="V31" s="13"/>
      <c r="W31" s="13" t="e">
        <f t="shared" si="2"/>
        <v>#DIV/0!</v>
      </c>
      <c r="X31" s="16" t="e">
        <f t="shared" si="3"/>
        <v>#DIV/0!</v>
      </c>
      <c r="Y31" s="6"/>
      <c r="Z31" s="7">
        <v>1</v>
      </c>
      <c r="AA31" s="8" t="e">
        <f t="shared" si="4"/>
        <v>#DIV/0!</v>
      </c>
    </row>
    <row r="32" spans="1:27" s="9" customFormat="1" x14ac:dyDescent="0.35">
      <c r="A32" s="4">
        <v>20</v>
      </c>
      <c r="B32" s="34" t="s">
        <v>1112</v>
      </c>
      <c r="C32" s="35" t="s">
        <v>273</v>
      </c>
      <c r="D32" s="5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0" t="e">
        <f>AVERAGE(D32:H32)</f>
        <v>#DIV/0!</v>
      </c>
      <c r="T32" s="22" t="e">
        <f t="shared" si="0"/>
        <v>#DIV/0!</v>
      </c>
      <c r="U32" s="18" t="e">
        <f t="shared" si="1"/>
        <v>#DIV/0!</v>
      </c>
      <c r="V32" s="13"/>
      <c r="W32" s="13" t="e">
        <f t="shared" si="2"/>
        <v>#DIV/0!</v>
      </c>
      <c r="X32" s="16" t="e">
        <f t="shared" si="3"/>
        <v>#DIV/0!</v>
      </c>
      <c r="Y32" s="6"/>
      <c r="Z32" s="7">
        <v>1</v>
      </c>
      <c r="AA32" s="8" t="e">
        <f t="shared" si="4"/>
        <v>#DIV/0!</v>
      </c>
    </row>
    <row r="33" spans="1:27" s="9" customFormat="1" x14ac:dyDescent="0.35">
      <c r="A33" s="4">
        <v>21</v>
      </c>
      <c r="B33" s="34" t="s">
        <v>1113</v>
      </c>
      <c r="C33" s="35" t="s">
        <v>274</v>
      </c>
      <c r="D33" s="5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0" t="e">
        <f>AVERAGE(D33:H33)</f>
        <v>#DIV/0!</v>
      </c>
      <c r="T33" s="22" t="e">
        <f t="shared" si="0"/>
        <v>#DIV/0!</v>
      </c>
      <c r="U33" s="18" t="e">
        <f t="shared" si="1"/>
        <v>#DIV/0!</v>
      </c>
      <c r="V33" s="13"/>
      <c r="W33" s="13" t="e">
        <f t="shared" si="2"/>
        <v>#DIV/0!</v>
      </c>
      <c r="X33" s="16" t="e">
        <f t="shared" si="3"/>
        <v>#DIV/0!</v>
      </c>
      <c r="Y33" s="6"/>
      <c r="Z33" s="7">
        <v>1</v>
      </c>
      <c r="AA33" s="8" t="e">
        <f t="shared" si="4"/>
        <v>#DIV/0!</v>
      </c>
    </row>
    <row r="34" spans="1:27" s="9" customFormat="1" x14ac:dyDescent="0.35">
      <c r="A34" s="4">
        <v>22</v>
      </c>
      <c r="B34" s="34" t="s">
        <v>1114</v>
      </c>
      <c r="C34" s="35" t="s">
        <v>275</v>
      </c>
      <c r="D34" s="5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0" t="e">
        <f>AVERAGE(D34:H34)</f>
        <v>#DIV/0!</v>
      </c>
      <c r="T34" s="22" t="e">
        <f t="shared" si="0"/>
        <v>#DIV/0!</v>
      </c>
      <c r="U34" s="18" t="e">
        <f t="shared" si="1"/>
        <v>#DIV/0!</v>
      </c>
      <c r="V34" s="13"/>
      <c r="W34" s="13" t="e">
        <f t="shared" si="2"/>
        <v>#DIV/0!</v>
      </c>
      <c r="X34" s="16" t="e">
        <f t="shared" si="3"/>
        <v>#DIV/0!</v>
      </c>
      <c r="Y34" s="6"/>
      <c r="Z34" s="7">
        <v>1</v>
      </c>
      <c r="AA34" s="8" t="e">
        <f t="shared" si="4"/>
        <v>#DIV/0!</v>
      </c>
    </row>
    <row r="35" spans="1:27" s="9" customFormat="1" x14ac:dyDescent="0.35">
      <c r="A35" s="4">
        <v>23</v>
      </c>
      <c r="B35" s="34" t="s">
        <v>1115</v>
      </c>
      <c r="C35" s="35" t="s">
        <v>276</v>
      </c>
      <c r="D35" s="5"/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0" t="e">
        <f>AVERAGE(D35:H35)</f>
        <v>#DIV/0!</v>
      </c>
      <c r="T35" s="22" t="e">
        <f t="shared" si="0"/>
        <v>#DIV/0!</v>
      </c>
      <c r="U35" s="18" t="e">
        <f t="shared" si="1"/>
        <v>#DIV/0!</v>
      </c>
      <c r="V35" s="13"/>
      <c r="W35" s="13" t="e">
        <f t="shared" si="2"/>
        <v>#DIV/0!</v>
      </c>
      <c r="X35" s="16" t="e">
        <f t="shared" si="3"/>
        <v>#DIV/0!</v>
      </c>
      <c r="Y35" s="6"/>
      <c r="Z35" s="7">
        <v>1</v>
      </c>
      <c r="AA35" s="8" t="e">
        <f t="shared" si="4"/>
        <v>#DIV/0!</v>
      </c>
    </row>
    <row r="36" spans="1:27" s="9" customFormat="1" x14ac:dyDescent="0.35">
      <c r="A36" s="4">
        <v>24</v>
      </c>
      <c r="B36" s="34" t="s">
        <v>1116</v>
      </c>
      <c r="C36" s="35" t="s">
        <v>277</v>
      </c>
      <c r="D36" s="5"/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0" t="e">
        <f>AVERAGE(D36:H36)</f>
        <v>#DIV/0!</v>
      </c>
      <c r="T36" s="22" t="e">
        <f t="shared" si="0"/>
        <v>#DIV/0!</v>
      </c>
      <c r="U36" s="18" t="e">
        <f t="shared" si="1"/>
        <v>#DIV/0!</v>
      </c>
      <c r="V36" s="13"/>
      <c r="W36" s="13" t="e">
        <f t="shared" si="2"/>
        <v>#DIV/0!</v>
      </c>
      <c r="X36" s="16" t="e">
        <f t="shared" si="3"/>
        <v>#DIV/0!</v>
      </c>
      <c r="Y36" s="6"/>
      <c r="Z36" s="7">
        <v>1</v>
      </c>
      <c r="AA36" s="8" t="e">
        <f t="shared" si="4"/>
        <v>#DIV/0!</v>
      </c>
    </row>
    <row r="37" spans="1:27" s="9" customFormat="1" x14ac:dyDescent="0.35">
      <c r="A37" s="4">
        <v>25</v>
      </c>
      <c r="B37" s="34" t="s">
        <v>1117</v>
      </c>
      <c r="C37" s="35" t="s">
        <v>278</v>
      </c>
      <c r="D37" s="5"/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0" t="e">
        <f>AVERAGE(D37:H37)</f>
        <v>#DIV/0!</v>
      </c>
      <c r="T37" s="22" t="e">
        <f t="shared" si="0"/>
        <v>#DIV/0!</v>
      </c>
      <c r="U37" s="18" t="e">
        <f t="shared" si="1"/>
        <v>#DIV/0!</v>
      </c>
      <c r="V37" s="13"/>
      <c r="W37" s="13" t="e">
        <f t="shared" si="2"/>
        <v>#DIV/0!</v>
      </c>
      <c r="X37" s="16" t="e">
        <f t="shared" si="3"/>
        <v>#DIV/0!</v>
      </c>
      <c r="Y37" s="6"/>
      <c r="Z37" s="7">
        <v>1</v>
      </c>
      <c r="AA37" s="8" t="e">
        <f t="shared" si="4"/>
        <v>#DIV/0!</v>
      </c>
    </row>
    <row r="38" spans="1:27" s="9" customFormat="1" x14ac:dyDescent="0.35">
      <c r="A38" s="4">
        <v>26</v>
      </c>
      <c r="B38" s="34" t="s">
        <v>1118</v>
      </c>
      <c r="C38" s="35" t="s">
        <v>279</v>
      </c>
      <c r="D38" s="5"/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0" t="e">
        <f>AVERAGE(D38:H38)</f>
        <v>#DIV/0!</v>
      </c>
      <c r="T38" s="22" t="e">
        <f t="shared" si="0"/>
        <v>#DIV/0!</v>
      </c>
      <c r="U38" s="18" t="e">
        <f t="shared" si="1"/>
        <v>#DIV/0!</v>
      </c>
      <c r="V38" s="13"/>
      <c r="W38" s="13" t="e">
        <f t="shared" si="2"/>
        <v>#DIV/0!</v>
      </c>
      <c r="X38" s="16" t="e">
        <f t="shared" si="3"/>
        <v>#DIV/0!</v>
      </c>
      <c r="Y38" s="6"/>
      <c r="Z38" s="7">
        <v>1</v>
      </c>
      <c r="AA38" s="8" t="e">
        <f t="shared" si="4"/>
        <v>#DIV/0!</v>
      </c>
    </row>
    <row r="39" spans="1:27" s="9" customFormat="1" x14ac:dyDescent="0.35">
      <c r="A39" s="4">
        <v>27</v>
      </c>
      <c r="B39" s="34" t="s">
        <v>1119</v>
      </c>
      <c r="C39" s="35" t="s">
        <v>280</v>
      </c>
      <c r="D39" s="5"/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0" t="e">
        <f>AVERAGE(D39:H39)</f>
        <v>#DIV/0!</v>
      </c>
      <c r="T39" s="22" t="e">
        <f t="shared" si="0"/>
        <v>#DIV/0!</v>
      </c>
      <c r="U39" s="18" t="e">
        <f t="shared" si="1"/>
        <v>#DIV/0!</v>
      </c>
      <c r="V39" s="13"/>
      <c r="W39" s="13" t="e">
        <f t="shared" si="2"/>
        <v>#DIV/0!</v>
      </c>
      <c r="X39" s="16" t="e">
        <f t="shared" si="3"/>
        <v>#DIV/0!</v>
      </c>
      <c r="Y39" s="6"/>
      <c r="Z39" s="7">
        <v>1</v>
      </c>
      <c r="AA39" s="8" t="e">
        <f t="shared" si="4"/>
        <v>#DIV/0!</v>
      </c>
    </row>
    <row r="40" spans="1:27" s="9" customFormat="1" x14ac:dyDescent="0.35">
      <c r="A40" s="4">
        <v>28</v>
      </c>
      <c r="B40" s="34" t="s">
        <v>1120</v>
      </c>
      <c r="C40" s="35" t="s">
        <v>281</v>
      </c>
      <c r="D40" s="5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0" t="e">
        <f>AVERAGE(D40:H40)</f>
        <v>#DIV/0!</v>
      </c>
      <c r="T40" s="22" t="e">
        <f t="shared" si="0"/>
        <v>#DIV/0!</v>
      </c>
      <c r="U40" s="18" t="e">
        <f t="shared" si="1"/>
        <v>#DIV/0!</v>
      </c>
      <c r="V40" s="13"/>
      <c r="W40" s="13" t="e">
        <f t="shared" si="2"/>
        <v>#DIV/0!</v>
      </c>
      <c r="X40" s="16" t="e">
        <f t="shared" si="3"/>
        <v>#DIV/0!</v>
      </c>
      <c r="Y40" s="6"/>
      <c r="Z40" s="7">
        <v>1</v>
      </c>
      <c r="AA40" s="8" t="e">
        <f t="shared" si="4"/>
        <v>#DIV/0!</v>
      </c>
    </row>
    <row r="41" spans="1:27" s="9" customFormat="1" x14ac:dyDescent="0.35">
      <c r="A41" s="4">
        <v>29</v>
      </c>
      <c r="B41" s="34" t="s">
        <v>1121</v>
      </c>
      <c r="C41" s="35" t="s">
        <v>282</v>
      </c>
      <c r="D41" s="5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0" t="e">
        <f>AVERAGE(D41:H41)</f>
        <v>#DIV/0!</v>
      </c>
      <c r="T41" s="22" t="e">
        <f t="shared" si="0"/>
        <v>#DIV/0!</v>
      </c>
      <c r="U41" s="18" t="e">
        <f t="shared" si="1"/>
        <v>#DIV/0!</v>
      </c>
      <c r="V41" s="13"/>
      <c r="W41" s="13" t="e">
        <f t="shared" si="2"/>
        <v>#DIV/0!</v>
      </c>
      <c r="X41" s="16" t="e">
        <f t="shared" si="3"/>
        <v>#DIV/0!</v>
      </c>
      <c r="Y41" s="6"/>
      <c r="Z41" s="7">
        <v>1</v>
      </c>
      <c r="AA41" s="8" t="e">
        <f t="shared" si="4"/>
        <v>#DIV/0!</v>
      </c>
    </row>
    <row r="42" spans="1:27" s="9" customFormat="1" x14ac:dyDescent="0.35">
      <c r="A42" s="4">
        <v>30</v>
      </c>
      <c r="B42" s="34" t="s">
        <v>1122</v>
      </c>
      <c r="C42" s="35" t="s">
        <v>283</v>
      </c>
      <c r="D42" s="5"/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0" t="e">
        <f>AVERAGE(D42:H42)</f>
        <v>#DIV/0!</v>
      </c>
      <c r="T42" s="22" t="e">
        <f t="shared" si="0"/>
        <v>#DIV/0!</v>
      </c>
      <c r="U42" s="18" t="e">
        <f t="shared" si="1"/>
        <v>#DIV/0!</v>
      </c>
      <c r="V42" s="13"/>
      <c r="W42" s="13" t="e">
        <f t="shared" si="2"/>
        <v>#DIV/0!</v>
      </c>
      <c r="X42" s="16" t="e">
        <f t="shared" si="3"/>
        <v>#DIV/0!</v>
      </c>
      <c r="Y42" s="6"/>
      <c r="Z42" s="7">
        <v>1</v>
      </c>
      <c r="AA42" s="8" t="e">
        <f t="shared" si="4"/>
        <v>#DIV/0!</v>
      </c>
    </row>
    <row r="43" spans="1:27" s="9" customFormat="1" x14ac:dyDescent="0.35">
      <c r="A43" s="4">
        <v>31</v>
      </c>
      <c r="B43" s="34" t="s">
        <v>1123</v>
      </c>
      <c r="C43" s="35" t="s">
        <v>284</v>
      </c>
      <c r="D43" s="5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0" t="e">
        <f>AVERAGE(D43:H43)</f>
        <v>#DIV/0!</v>
      </c>
      <c r="T43" s="22" t="e">
        <f t="shared" si="0"/>
        <v>#DIV/0!</v>
      </c>
      <c r="U43" s="18" t="e">
        <f t="shared" si="1"/>
        <v>#DIV/0!</v>
      </c>
      <c r="V43" s="13"/>
      <c r="W43" s="13" t="e">
        <f t="shared" si="2"/>
        <v>#DIV/0!</v>
      </c>
      <c r="X43" s="16" t="e">
        <f t="shared" si="3"/>
        <v>#DIV/0!</v>
      </c>
      <c r="Y43" s="6"/>
      <c r="Z43" s="7">
        <v>1</v>
      </c>
      <c r="AA43" s="8" t="e">
        <f t="shared" si="4"/>
        <v>#DIV/0!</v>
      </c>
    </row>
    <row r="44" spans="1:27" s="9" customFormat="1" x14ac:dyDescent="0.35">
      <c r="A44" s="4">
        <v>32</v>
      </c>
      <c r="B44" s="34" t="s">
        <v>1124</v>
      </c>
      <c r="C44" s="35" t="s">
        <v>285</v>
      </c>
      <c r="D44" s="5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0" t="e">
        <f>AVERAGE(D44:H44)</f>
        <v>#DIV/0!</v>
      </c>
      <c r="T44" s="22" t="e">
        <f t="shared" si="0"/>
        <v>#DIV/0!</v>
      </c>
      <c r="U44" s="18" t="e">
        <f t="shared" si="1"/>
        <v>#DIV/0!</v>
      </c>
      <c r="V44" s="13"/>
      <c r="W44" s="13" t="e">
        <f t="shared" si="2"/>
        <v>#DIV/0!</v>
      </c>
      <c r="X44" s="16" t="e">
        <f t="shared" si="3"/>
        <v>#DIV/0!</v>
      </c>
      <c r="Y44" s="6"/>
      <c r="Z44" s="7">
        <v>1</v>
      </c>
      <c r="AA44" s="8" t="e">
        <f t="shared" si="4"/>
        <v>#DIV/0!</v>
      </c>
    </row>
    <row r="45" spans="1:27" s="9" customFormat="1" x14ac:dyDescent="0.35">
      <c r="A45" s="4">
        <v>33</v>
      </c>
      <c r="B45" s="34" t="s">
        <v>1125</v>
      </c>
      <c r="C45" s="35" t="s">
        <v>286</v>
      </c>
      <c r="D45" s="5"/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0" t="e">
        <f>AVERAGE(D45:H45)</f>
        <v>#DIV/0!</v>
      </c>
      <c r="T45" s="22" t="e">
        <f t="shared" si="0"/>
        <v>#DIV/0!</v>
      </c>
      <c r="U45" s="18" t="e">
        <f t="shared" si="1"/>
        <v>#DIV/0!</v>
      </c>
      <c r="V45" s="13"/>
      <c r="W45" s="13" t="e">
        <f t="shared" si="2"/>
        <v>#DIV/0!</v>
      </c>
      <c r="X45" s="16" t="e">
        <f t="shared" si="3"/>
        <v>#DIV/0!</v>
      </c>
      <c r="Y45" s="6"/>
      <c r="Z45" s="7">
        <v>1</v>
      </c>
      <c r="AA45" s="8" t="e">
        <f t="shared" si="4"/>
        <v>#DIV/0!</v>
      </c>
    </row>
    <row r="46" spans="1:27" s="9" customFormat="1" x14ac:dyDescent="0.35">
      <c r="A46" s="4">
        <v>34</v>
      </c>
      <c r="B46" s="34" t="s">
        <v>1126</v>
      </c>
      <c r="C46" s="35" t="s">
        <v>287</v>
      </c>
      <c r="D46" s="5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0" t="e">
        <f>AVERAGE(D46:H46)</f>
        <v>#DIV/0!</v>
      </c>
      <c r="T46" s="22" t="e">
        <f t="shared" si="0"/>
        <v>#DIV/0!</v>
      </c>
      <c r="U46" s="18" t="e">
        <f t="shared" si="1"/>
        <v>#DIV/0!</v>
      </c>
      <c r="V46" s="13"/>
      <c r="W46" s="13" t="e">
        <f t="shared" si="2"/>
        <v>#DIV/0!</v>
      </c>
      <c r="X46" s="16" t="e">
        <f t="shared" si="3"/>
        <v>#DIV/0!</v>
      </c>
      <c r="Y46" s="6"/>
      <c r="Z46" s="7">
        <v>1</v>
      </c>
      <c r="AA46" s="8" t="e">
        <f t="shared" si="4"/>
        <v>#DIV/0!</v>
      </c>
    </row>
    <row r="47" spans="1:27" s="9" customFormat="1" x14ac:dyDescent="0.35">
      <c r="A47" s="4">
        <v>35</v>
      </c>
      <c r="B47" s="34" t="s">
        <v>1127</v>
      </c>
      <c r="C47" s="35" t="s">
        <v>288</v>
      </c>
      <c r="D47" s="5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0" t="e">
        <f>AVERAGE(D47:H47)</f>
        <v>#DIV/0!</v>
      </c>
      <c r="T47" s="22" t="e">
        <f t="shared" si="0"/>
        <v>#DIV/0!</v>
      </c>
      <c r="U47" s="18" t="e">
        <f t="shared" si="1"/>
        <v>#DIV/0!</v>
      </c>
      <c r="V47" s="13"/>
      <c r="W47" s="13" t="e">
        <f t="shared" si="2"/>
        <v>#DIV/0!</v>
      </c>
      <c r="X47" s="16" t="e">
        <f t="shared" si="3"/>
        <v>#DIV/0!</v>
      </c>
      <c r="Y47" s="6"/>
      <c r="Z47" s="7">
        <v>1</v>
      </c>
      <c r="AA47" s="8" t="e">
        <f t="shared" si="4"/>
        <v>#DIV/0!</v>
      </c>
    </row>
    <row r="48" spans="1:27" s="9" customFormat="1" x14ac:dyDescent="0.35">
      <c r="A48" s="4">
        <v>36</v>
      </c>
      <c r="B48" s="34" t="s">
        <v>1128</v>
      </c>
      <c r="C48" s="35" t="s">
        <v>289</v>
      </c>
      <c r="D48" s="5"/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0" t="e">
        <f>AVERAGE(D48:H48)</f>
        <v>#DIV/0!</v>
      </c>
      <c r="T48" s="22" t="e">
        <f t="shared" si="0"/>
        <v>#DIV/0!</v>
      </c>
      <c r="U48" s="18" t="e">
        <f t="shared" si="1"/>
        <v>#DIV/0!</v>
      </c>
      <c r="V48" s="13"/>
      <c r="W48" s="13" t="e">
        <f t="shared" si="2"/>
        <v>#DIV/0!</v>
      </c>
      <c r="X48" s="16" t="e">
        <f t="shared" si="3"/>
        <v>#DIV/0!</v>
      </c>
      <c r="Y48" s="6"/>
      <c r="Z48" s="7">
        <v>1</v>
      </c>
      <c r="AA48" s="8" t="e">
        <f t="shared" si="4"/>
        <v>#DIV/0!</v>
      </c>
    </row>
    <row r="49" spans="1:31" x14ac:dyDescent="0.35">
      <c r="A49" s="4">
        <v>37</v>
      </c>
      <c r="B49" s="34" t="s">
        <v>1129</v>
      </c>
      <c r="C49" s="35" t="s">
        <v>290</v>
      </c>
      <c r="D49" s="5"/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0" t="e">
        <f>AVERAGE(D49:H49)</f>
        <v>#DIV/0!</v>
      </c>
      <c r="T49" s="22" t="e">
        <f t="shared" si="0"/>
        <v>#DIV/0!</v>
      </c>
      <c r="U49" s="18" t="e">
        <f t="shared" si="1"/>
        <v>#DIV/0!</v>
      </c>
      <c r="V49" s="13"/>
      <c r="W49" s="13" t="e">
        <f t="shared" si="2"/>
        <v>#DIV/0!</v>
      </c>
      <c r="X49" s="16" t="e">
        <f t="shared" si="3"/>
        <v>#DIV/0!</v>
      </c>
      <c r="Y49" s="6"/>
      <c r="Z49" s="7">
        <v>1</v>
      </c>
      <c r="AA49" s="8" t="e">
        <f t="shared" si="4"/>
        <v>#DIV/0!</v>
      </c>
      <c r="AB49" s="9"/>
      <c r="AC49" s="9"/>
      <c r="AE49" s="9"/>
    </row>
    <row r="50" spans="1:31" x14ac:dyDescent="0.35">
      <c r="A50" s="4">
        <v>38</v>
      </c>
      <c r="B50" s="34" t="s">
        <v>1130</v>
      </c>
      <c r="C50" s="35" t="s">
        <v>291</v>
      </c>
      <c r="D50" s="10"/>
      <c r="E50" s="23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20" t="e">
        <f>AVERAGE(D50:H50)</f>
        <v>#DIV/0!</v>
      </c>
      <c r="T50" s="22" t="e">
        <f t="shared" ref="T50:T60" si="5">AVERAGE(I50:M50)</f>
        <v>#DIV/0!</v>
      </c>
      <c r="U50" s="18" t="e">
        <f t="shared" ref="U50:U60" si="6">AVERAGE(N50:R50)</f>
        <v>#DIV/0!</v>
      </c>
      <c r="V50" s="13"/>
      <c r="W50" s="13" t="e">
        <f t="shared" ref="W50:W60" si="7">AVERAGE(S50:U50)</f>
        <v>#DIV/0!</v>
      </c>
      <c r="X50" s="16" t="e">
        <f t="shared" ref="X50:X60" si="8">ROUND(AVERAGE(V50:W50),0)</f>
        <v>#DIV/0!</v>
      </c>
      <c r="Y50" s="6"/>
      <c r="Z50" s="7"/>
      <c r="AA50" s="8" t="e">
        <f t="shared" ref="AA50:AA60" si="9">ROUND(IF((X50*(IF(Y50="A",105%,IF(Y50="B",102%,IF(Y50="C",75%,50%))))*Z50)&gt;100,100,(X50*(IF(Y50="A",105%,IF(Y50="B",102%,IF(Y50="C",75%,50%))))*Z50)),0)</f>
        <v>#DIV/0!</v>
      </c>
    </row>
    <row r="51" spans="1:31" x14ac:dyDescent="0.35">
      <c r="A51" s="4">
        <v>39</v>
      </c>
      <c r="B51" s="34" t="s">
        <v>1131</v>
      </c>
      <c r="C51" s="35" t="s">
        <v>292</v>
      </c>
      <c r="D51" s="10"/>
      <c r="E51" s="23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20" t="e">
        <f>AVERAGE(D51:H51)</f>
        <v>#DIV/0!</v>
      </c>
      <c r="T51" s="22" t="e">
        <f t="shared" si="5"/>
        <v>#DIV/0!</v>
      </c>
      <c r="U51" s="18" t="e">
        <f t="shared" si="6"/>
        <v>#DIV/0!</v>
      </c>
      <c r="V51" s="13"/>
      <c r="W51" s="13" t="e">
        <f t="shared" si="7"/>
        <v>#DIV/0!</v>
      </c>
      <c r="X51" s="16" t="e">
        <f t="shared" si="8"/>
        <v>#DIV/0!</v>
      </c>
      <c r="Y51" s="6"/>
      <c r="Z51" s="7"/>
      <c r="AA51" s="8" t="e">
        <f t="shared" si="9"/>
        <v>#DIV/0!</v>
      </c>
    </row>
    <row r="52" spans="1:31" x14ac:dyDescent="0.35">
      <c r="A52" s="4">
        <v>40</v>
      </c>
      <c r="B52" s="34" t="s">
        <v>1132</v>
      </c>
      <c r="C52" s="35" t="s">
        <v>293</v>
      </c>
      <c r="D52" s="10"/>
      <c r="E52" s="23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0" t="e">
        <f>AVERAGE(D52:H52)</f>
        <v>#DIV/0!</v>
      </c>
      <c r="T52" s="22" t="e">
        <f t="shared" si="5"/>
        <v>#DIV/0!</v>
      </c>
      <c r="U52" s="18" t="e">
        <f t="shared" si="6"/>
        <v>#DIV/0!</v>
      </c>
      <c r="V52" s="13"/>
      <c r="W52" s="13" t="e">
        <f t="shared" si="7"/>
        <v>#DIV/0!</v>
      </c>
      <c r="X52" s="16" t="e">
        <f t="shared" si="8"/>
        <v>#DIV/0!</v>
      </c>
      <c r="Y52" s="6"/>
      <c r="Z52" s="7"/>
      <c r="AA52" s="8" t="e">
        <f t="shared" si="9"/>
        <v>#DIV/0!</v>
      </c>
    </row>
    <row r="53" spans="1:31" x14ac:dyDescent="0.35">
      <c r="A53" s="4">
        <v>41</v>
      </c>
      <c r="B53" s="34" t="s">
        <v>1133</v>
      </c>
      <c r="C53" s="35" t="s">
        <v>294</v>
      </c>
      <c r="D53" s="10"/>
      <c r="E53" s="23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20" t="e">
        <f>AVERAGE(D53:H53)</f>
        <v>#DIV/0!</v>
      </c>
      <c r="T53" s="22" t="e">
        <f t="shared" si="5"/>
        <v>#DIV/0!</v>
      </c>
      <c r="U53" s="18" t="e">
        <f t="shared" si="6"/>
        <v>#DIV/0!</v>
      </c>
      <c r="V53" s="13"/>
      <c r="W53" s="13" t="e">
        <f t="shared" si="7"/>
        <v>#DIV/0!</v>
      </c>
      <c r="X53" s="16" t="e">
        <f t="shared" si="8"/>
        <v>#DIV/0!</v>
      </c>
      <c r="Y53" s="6"/>
      <c r="Z53" s="7"/>
      <c r="AA53" s="8" t="e">
        <f t="shared" si="9"/>
        <v>#DIV/0!</v>
      </c>
    </row>
    <row r="54" spans="1:31" x14ac:dyDescent="0.35">
      <c r="A54" s="4">
        <v>42</v>
      </c>
      <c r="B54" s="34" t="s">
        <v>1134</v>
      </c>
      <c r="C54" s="35" t="s">
        <v>295</v>
      </c>
      <c r="D54" s="10"/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20" t="e">
        <f>AVERAGE(D54:H54)</f>
        <v>#DIV/0!</v>
      </c>
      <c r="T54" s="22" t="e">
        <f t="shared" si="5"/>
        <v>#DIV/0!</v>
      </c>
      <c r="U54" s="18" t="e">
        <f t="shared" si="6"/>
        <v>#DIV/0!</v>
      </c>
      <c r="V54" s="13"/>
      <c r="W54" s="13" t="e">
        <f t="shared" si="7"/>
        <v>#DIV/0!</v>
      </c>
      <c r="X54" s="16" t="e">
        <f t="shared" si="8"/>
        <v>#DIV/0!</v>
      </c>
      <c r="Y54" s="6"/>
      <c r="Z54" s="7"/>
      <c r="AA54" s="8" t="e">
        <f t="shared" si="9"/>
        <v>#DIV/0!</v>
      </c>
    </row>
    <row r="55" spans="1:31" x14ac:dyDescent="0.35">
      <c r="A55" s="4">
        <v>43</v>
      </c>
      <c r="B55" s="34" t="s">
        <v>1135</v>
      </c>
      <c r="C55" s="35" t="s">
        <v>296</v>
      </c>
      <c r="D55" s="10"/>
      <c r="E55" s="23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20" t="e">
        <f>AVERAGE(D55:H55)</f>
        <v>#DIV/0!</v>
      </c>
      <c r="T55" s="22" t="e">
        <f t="shared" si="5"/>
        <v>#DIV/0!</v>
      </c>
      <c r="U55" s="18" t="e">
        <f t="shared" si="6"/>
        <v>#DIV/0!</v>
      </c>
      <c r="V55" s="13"/>
      <c r="W55" s="13" t="e">
        <f t="shared" si="7"/>
        <v>#DIV/0!</v>
      </c>
      <c r="X55" s="16" t="e">
        <f t="shared" si="8"/>
        <v>#DIV/0!</v>
      </c>
      <c r="Y55" s="6"/>
      <c r="Z55" s="7"/>
      <c r="AA55" s="8" t="e">
        <f t="shared" si="9"/>
        <v>#DIV/0!</v>
      </c>
    </row>
    <row r="56" spans="1:31" x14ac:dyDescent="0.35">
      <c r="A56" s="4">
        <v>44</v>
      </c>
      <c r="B56" s="34" t="s">
        <v>1136</v>
      </c>
      <c r="C56" s="35" t="s">
        <v>297</v>
      </c>
      <c r="D56" s="10"/>
      <c r="E56" s="23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20" t="e">
        <f>AVERAGE(D56:H56)</f>
        <v>#DIV/0!</v>
      </c>
      <c r="T56" s="22" t="e">
        <f t="shared" si="5"/>
        <v>#DIV/0!</v>
      </c>
      <c r="U56" s="18" t="e">
        <f t="shared" si="6"/>
        <v>#DIV/0!</v>
      </c>
      <c r="V56" s="13"/>
      <c r="W56" s="13" t="e">
        <f t="shared" si="7"/>
        <v>#DIV/0!</v>
      </c>
      <c r="X56" s="16" t="e">
        <f t="shared" si="8"/>
        <v>#DIV/0!</v>
      </c>
      <c r="Y56" s="6"/>
      <c r="Z56" s="7"/>
      <c r="AA56" s="8" t="e">
        <f t="shared" si="9"/>
        <v>#DIV/0!</v>
      </c>
    </row>
    <row r="57" spans="1:31" x14ac:dyDescent="0.35">
      <c r="A57" s="4">
        <v>45</v>
      </c>
      <c r="B57" s="34" t="s">
        <v>1137</v>
      </c>
      <c r="C57" s="35" t="s">
        <v>298</v>
      </c>
      <c r="D57" s="10"/>
      <c r="E57" s="23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20" t="e">
        <f>AVERAGE(D57:H57)</f>
        <v>#DIV/0!</v>
      </c>
      <c r="T57" s="22" t="e">
        <f t="shared" si="5"/>
        <v>#DIV/0!</v>
      </c>
      <c r="U57" s="18" t="e">
        <f t="shared" si="6"/>
        <v>#DIV/0!</v>
      </c>
      <c r="V57" s="13"/>
      <c r="W57" s="13" t="e">
        <f t="shared" si="7"/>
        <v>#DIV/0!</v>
      </c>
      <c r="X57" s="16" t="e">
        <f t="shared" si="8"/>
        <v>#DIV/0!</v>
      </c>
      <c r="Y57" s="6"/>
      <c r="Z57" s="7"/>
      <c r="AA57" s="8" t="e">
        <f t="shared" si="9"/>
        <v>#DIV/0!</v>
      </c>
    </row>
    <row r="58" spans="1:31" x14ac:dyDescent="0.35">
      <c r="A58" s="4">
        <v>46</v>
      </c>
      <c r="B58" s="34" t="s">
        <v>1138</v>
      </c>
      <c r="C58" s="35" t="s">
        <v>299</v>
      </c>
      <c r="D58" s="10"/>
      <c r="E58" s="23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20" t="e">
        <f>AVERAGE(D58:H58)</f>
        <v>#DIV/0!</v>
      </c>
      <c r="T58" s="22" t="e">
        <f t="shared" si="5"/>
        <v>#DIV/0!</v>
      </c>
      <c r="U58" s="18" t="e">
        <f t="shared" si="6"/>
        <v>#DIV/0!</v>
      </c>
      <c r="V58" s="13"/>
      <c r="W58" s="13" t="e">
        <f t="shared" si="7"/>
        <v>#DIV/0!</v>
      </c>
      <c r="X58" s="16" t="e">
        <f t="shared" si="8"/>
        <v>#DIV/0!</v>
      </c>
      <c r="Y58" s="6"/>
      <c r="Z58" s="7"/>
      <c r="AA58" s="8" t="e">
        <f t="shared" si="9"/>
        <v>#DIV/0!</v>
      </c>
    </row>
    <row r="59" spans="1:31" x14ac:dyDescent="0.35">
      <c r="A59" s="4">
        <v>47</v>
      </c>
      <c r="B59" s="34" t="s">
        <v>1139</v>
      </c>
      <c r="C59" s="35" t="s">
        <v>300</v>
      </c>
      <c r="D59" s="10"/>
      <c r="E59" s="23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0" t="e">
        <f>AVERAGE(D59:H59)</f>
        <v>#DIV/0!</v>
      </c>
      <c r="T59" s="22" t="e">
        <f t="shared" si="5"/>
        <v>#DIV/0!</v>
      </c>
      <c r="U59" s="18" t="e">
        <f t="shared" si="6"/>
        <v>#DIV/0!</v>
      </c>
      <c r="V59" s="13"/>
      <c r="W59" s="13" t="e">
        <f t="shared" si="7"/>
        <v>#DIV/0!</v>
      </c>
      <c r="X59" s="16" t="e">
        <f t="shared" si="8"/>
        <v>#DIV/0!</v>
      </c>
      <c r="Y59" s="6"/>
      <c r="Z59" s="7"/>
      <c r="AA59" s="8" t="e">
        <f t="shared" si="9"/>
        <v>#DIV/0!</v>
      </c>
    </row>
    <row r="60" spans="1:31" x14ac:dyDescent="0.35">
      <c r="A60" s="4">
        <v>48</v>
      </c>
      <c r="B60" s="34" t="s">
        <v>1140</v>
      </c>
      <c r="C60" s="35" t="s">
        <v>301</v>
      </c>
      <c r="D60" s="10"/>
      <c r="E60" s="23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20" t="e">
        <f>AVERAGE(D60:H60)</f>
        <v>#DIV/0!</v>
      </c>
      <c r="T60" s="22" t="e">
        <f t="shared" si="5"/>
        <v>#DIV/0!</v>
      </c>
      <c r="U60" s="18" t="e">
        <f t="shared" si="6"/>
        <v>#DIV/0!</v>
      </c>
      <c r="V60" s="13"/>
      <c r="W60" s="13" t="e">
        <f t="shared" si="7"/>
        <v>#DIV/0!</v>
      </c>
      <c r="X60" s="16" t="e">
        <f t="shared" si="8"/>
        <v>#DIV/0!</v>
      </c>
      <c r="Y60" s="6"/>
      <c r="Z60" s="7"/>
      <c r="AA60" s="8" t="e">
        <f t="shared" si="9"/>
        <v>#DIV/0!</v>
      </c>
    </row>
    <row r="63" spans="1:31" x14ac:dyDescent="0.35">
      <c r="Y63" s="11" t="s">
        <v>14</v>
      </c>
      <c r="AA63" s="12" t="e">
        <f>MAX(AA13:AA49)</f>
        <v>#DIV/0!</v>
      </c>
    </row>
    <row r="64" spans="1:31" x14ac:dyDescent="0.35">
      <c r="Y64" s="11" t="s">
        <v>15</v>
      </c>
      <c r="AA64" t="e">
        <f>MIN(AA13:AA49)</f>
        <v>#DIV/0!</v>
      </c>
    </row>
    <row r="65" spans="25:27" x14ac:dyDescent="0.35">
      <c r="Y65" s="11" t="s">
        <v>16</v>
      </c>
      <c r="AA65" t="e">
        <f>AVERAGE(AA13:AA49)</f>
        <v>#DIV/0!</v>
      </c>
    </row>
  </sheetData>
  <mergeCells count="17">
    <mergeCell ref="Z11:Z12"/>
    <mergeCell ref="A1:AA1"/>
    <mergeCell ref="A3:AA3"/>
    <mergeCell ref="A4:AA4"/>
    <mergeCell ref="A10:A12"/>
    <mergeCell ref="B10:B12"/>
    <mergeCell ref="C10:C12"/>
    <mergeCell ref="D10:AA10"/>
    <mergeCell ref="D11:H11"/>
    <mergeCell ref="I11:M11"/>
    <mergeCell ref="N11:R11"/>
    <mergeCell ref="AA11:AA12"/>
    <mergeCell ref="S11:U11"/>
    <mergeCell ref="V11:V12"/>
    <mergeCell ref="W11:W12"/>
    <mergeCell ref="X11:X12"/>
    <mergeCell ref="Y11:Y12"/>
  </mergeCells>
  <conditionalFormatting sqref="C30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 1</vt:lpstr>
      <vt:lpstr>X 2</vt:lpstr>
      <vt:lpstr>X 3</vt:lpstr>
      <vt:lpstr>X 4</vt:lpstr>
      <vt:lpstr>X 5</vt:lpstr>
      <vt:lpstr>X 6</vt:lpstr>
      <vt:lpstr>X 7</vt:lpstr>
      <vt:lpstr>X 8</vt:lpstr>
      <vt:lpstr>X 9</vt:lpstr>
      <vt:lpstr>X 10</vt:lpstr>
      <vt:lpstr>X 11</vt:lpstr>
      <vt:lpstr>X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smavo</dc:creator>
  <cp:lastModifiedBy>kurikulum smavo</cp:lastModifiedBy>
  <dcterms:created xsi:type="dcterms:W3CDTF">2025-07-22T09:21:35Z</dcterms:created>
  <dcterms:modified xsi:type="dcterms:W3CDTF">2025-09-29T02:03:46Z</dcterms:modified>
</cp:coreProperties>
</file>