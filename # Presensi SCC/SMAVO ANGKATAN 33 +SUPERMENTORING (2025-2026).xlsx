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7" sheetId="1" r:id="rId4"/>
    <sheet state="visible" name="TImeline Sem 2" sheetId="2" r:id="rId5"/>
    <sheet state="visible" name="Dahboard 20252026" sheetId="3" r:id="rId6"/>
    <sheet state="visible" name="BOY Circle 33" sheetId="4" r:id="rId7"/>
    <sheet state="visible" name="GIRL Circle 33" sheetId="5" r:id="rId8"/>
    <sheet state="visible" name="Angkatan 33" sheetId="6" r:id="rId9"/>
    <sheet state="visible" name="Angkatan 32" sheetId="7" r:id="rId10"/>
    <sheet state="visible" name="Angkatan 31" sheetId="8" r:id="rId11"/>
    <sheet state="visible" name="SUMEN33 MUHAMMAD" sheetId="9" r:id="rId12"/>
    <sheet state="visible" name="SUMEN33 REKHSA" sheetId="10" r:id="rId13"/>
    <sheet state="visible" name="SUMEN33 AYUN" sheetId="11" r:id="rId14"/>
    <sheet state="visible" name="SUMEN33 IQLIMA" sheetId="12" r:id="rId15"/>
    <sheet state="hidden" name="ALL" sheetId="13" r:id="rId16"/>
    <sheet state="visible" name="MetaData" sheetId="14" r:id="rId17"/>
    <sheet state="hidden" name="Mentee" sheetId="15" r:id="rId18"/>
  </sheets>
  <definedNames>
    <definedName hidden="1" localSheetId="12" name="_xlnm._FilterDatabase">ALL!$A$2:$E$599</definedName>
  </definedNames>
  <calcPr/>
  <pivotCaches>
    <pivotCache cacheId="0" r:id="rId19"/>
  </pivotCaches>
  <extLst>
    <ext uri="GoogleSheetsCustomDataVersion2">
      <go:sheetsCustomData xmlns:go="http://customooxmlschemas.google.com/" r:id="rId20" roundtripDataChecksum="Yo5BHQ9W5ntoa4gpWrQ7uHBvk/Ww7BWvocpm0kb10jY="/>
    </ext>
  </extLst>
</workbook>
</file>

<file path=xl/sharedStrings.xml><?xml version="1.0" encoding="utf-8"?>
<sst xmlns="http://schemas.openxmlformats.org/spreadsheetml/2006/main" count="13449" uniqueCount="1394">
  <si>
    <t>Mentor 2025-2026</t>
  </si>
  <si>
    <t>Angkatan 33 (Kelas X)</t>
  </si>
  <si>
    <t>mentor</t>
  </si>
  <si>
    <t>Ikhwan</t>
  </si>
  <si>
    <t>Jumlah Menti</t>
  </si>
  <si>
    <t>Mentor</t>
  </si>
  <si>
    <t>Akhwat</t>
  </si>
  <si>
    <t xml:space="preserve">Mentor Grup 1 </t>
  </si>
  <si>
    <t>Mentor Grup 2</t>
  </si>
  <si>
    <t>sehat</t>
  </si>
  <si>
    <t>sakit</t>
  </si>
  <si>
    <t>tak tertolong</t>
  </si>
  <si>
    <t>Cuti</t>
  </si>
  <si>
    <t>X-1</t>
  </si>
  <si>
    <t>Rony</t>
  </si>
  <si>
    <t>Syifa</t>
  </si>
  <si>
    <t>Oshe (XI)</t>
  </si>
  <si>
    <t>Iga</t>
  </si>
  <si>
    <t>Iqlima</t>
  </si>
  <si>
    <t>Lisana</t>
  </si>
  <si>
    <t>Syifa Aulia</t>
  </si>
  <si>
    <t>X-2</t>
  </si>
  <si>
    <t>Joko</t>
  </si>
  <si>
    <t>belum ada ganti</t>
  </si>
  <si>
    <t>Rania (XII)</t>
  </si>
  <si>
    <t>Nadine (XI)</t>
  </si>
  <si>
    <t>Hamzah</t>
  </si>
  <si>
    <t>Yunan</t>
  </si>
  <si>
    <t>Najla</t>
  </si>
  <si>
    <t>X-3</t>
  </si>
  <si>
    <t>Angga</t>
  </si>
  <si>
    <t>Hanin</t>
  </si>
  <si>
    <t>Zhafira (XI)</t>
  </si>
  <si>
    <t>Muhamad Khadafi</t>
  </si>
  <si>
    <t>Zalika Shafa Azizah</t>
  </si>
  <si>
    <t>Abim Ibrahim</t>
  </si>
  <si>
    <t>Hana</t>
  </si>
  <si>
    <t>X-4</t>
  </si>
  <si>
    <t>Rizky Putra</t>
  </si>
  <si>
    <t>Faliqa (XI)</t>
  </si>
  <si>
    <t>Kiaa</t>
  </si>
  <si>
    <t>Sakina</t>
  </si>
  <si>
    <t>X-5</t>
  </si>
  <si>
    <t>Topik &amp; Adrian</t>
  </si>
  <si>
    <t>Sabika (XI)</t>
  </si>
  <si>
    <t>Devi</t>
  </si>
  <si>
    <t>X-6</t>
  </si>
  <si>
    <t>Arumbinang</t>
  </si>
  <si>
    <t>Khairunnisa (XII)</t>
  </si>
  <si>
    <t>Bumi (XI)</t>
  </si>
  <si>
    <t>Nadira Adzra As Shofa</t>
  </si>
  <si>
    <t>Amel (XII)</t>
  </si>
  <si>
    <t>X-7</t>
  </si>
  <si>
    <t>Rizza Al-Farisi</t>
  </si>
  <si>
    <t>Shafa</t>
  </si>
  <si>
    <t>Desya (XI)</t>
  </si>
  <si>
    <t>Muhammad Rizza Al-farisi</t>
  </si>
  <si>
    <t>Najmi</t>
  </si>
  <si>
    <t>X-8</t>
  </si>
  <si>
    <t>Teguh</t>
  </si>
  <si>
    <t>Arsyila (XI)</t>
  </si>
  <si>
    <t>Arsyila</t>
  </si>
  <si>
    <t>Kia</t>
  </si>
  <si>
    <t>X-9</t>
  </si>
  <si>
    <t>Veril (XII)</t>
  </si>
  <si>
    <t>Tiara (XII)</t>
  </si>
  <si>
    <t>Almira (XI)</t>
  </si>
  <si>
    <t>Muhammad Irghi</t>
  </si>
  <si>
    <t>Farisa</t>
  </si>
  <si>
    <t>X-10</t>
  </si>
  <si>
    <t>Irghi (XII)</t>
  </si>
  <si>
    <t>Citra</t>
  </si>
  <si>
    <t>Lexa (XI)</t>
  </si>
  <si>
    <t>Lexa El Sohbia</t>
  </si>
  <si>
    <t>X-11</t>
  </si>
  <si>
    <t>Khadafi (XII)</t>
  </si>
  <si>
    <t>Kusniawati</t>
  </si>
  <si>
    <t>Annisa Alya (XII)</t>
  </si>
  <si>
    <t>Taufiq</t>
  </si>
  <si>
    <t>X-12</t>
  </si>
  <si>
    <t>Almeer (XII)</t>
  </si>
  <si>
    <t>Ninda (XII)</t>
  </si>
  <si>
    <t>Fiona (XI)</t>
  </si>
  <si>
    <t>Khairunnisa Nur Ibtihal</t>
  </si>
  <si>
    <t>Xsumen</t>
  </si>
  <si>
    <t>Rekhsa</t>
  </si>
  <si>
    <t>Xsumen1</t>
  </si>
  <si>
    <t>Ayun</t>
  </si>
  <si>
    <t>-</t>
  </si>
  <si>
    <t>Raihana Citra</t>
  </si>
  <si>
    <t>Xsumen2</t>
  </si>
  <si>
    <t>Nur Najmi Nuha</t>
  </si>
  <si>
    <t>Angkatan 32 (Kelas XI)</t>
  </si>
  <si>
    <t>Pebryan</t>
  </si>
  <si>
    <t>Syafiq</t>
  </si>
  <si>
    <t>6-7/14</t>
  </si>
  <si>
    <t>Arya</t>
  </si>
  <si>
    <t>14/19</t>
  </si>
  <si>
    <t>Nia</t>
  </si>
  <si>
    <t>Aryatama Wicaksana</t>
  </si>
  <si>
    <t xml:space="preserve">Rafli (XII) </t>
  </si>
  <si>
    <t>15-16/21</t>
  </si>
  <si>
    <t>Nadira</t>
  </si>
  <si>
    <t>Rizki Putra</t>
  </si>
  <si>
    <t>8-10/12</t>
  </si>
  <si>
    <t>Taufik</t>
  </si>
  <si>
    <t>10-15/15</t>
  </si>
  <si>
    <t>Mohammad Taufik</t>
  </si>
  <si>
    <t>rony</t>
  </si>
  <si>
    <t>Amel</t>
  </si>
  <si>
    <t>Dimas Wahyu Ekawananto</t>
  </si>
  <si>
    <t>Febryan (XII)</t>
  </si>
  <si>
    <t>13/20</t>
  </si>
  <si>
    <t>Zalika</t>
  </si>
  <si>
    <t xml:space="preserve">Fadhlan (XII) </t>
  </si>
  <si>
    <t>Najmi (XII)</t>
  </si>
  <si>
    <t>Ulfiana</t>
  </si>
  <si>
    <t>Belum terdata</t>
  </si>
  <si>
    <t>Athaya</t>
  </si>
  <si>
    <t>Dimas</t>
  </si>
  <si>
    <t>5-11/21</t>
  </si>
  <si>
    <t>kusniawati</t>
  </si>
  <si>
    <t>3-4/9</t>
  </si>
  <si>
    <t>Kia (XII)</t>
  </si>
  <si>
    <t>Shafa Ananda</t>
  </si>
  <si>
    <t>Farisa (XII)</t>
  </si>
  <si>
    <t>Amelia Nitami</t>
  </si>
  <si>
    <t>Agus Budiyanto</t>
  </si>
  <si>
    <t>Athaya Isnanuzul Fiany</t>
  </si>
  <si>
    <t>Angkatan 31 (Kelas XII)</t>
  </si>
  <si>
    <t>Rania Adila</t>
  </si>
  <si>
    <t>Jml Mentee</t>
  </si>
  <si>
    <t>Pengganti</t>
  </si>
  <si>
    <t>Supermentoring 32</t>
  </si>
  <si>
    <t>Tiara Azizah Wibowo</t>
  </si>
  <si>
    <t>Master Class</t>
  </si>
  <si>
    <t>Randy</t>
  </si>
  <si>
    <t>Akhwat-1</t>
  </si>
  <si>
    <t>Ukhti</t>
  </si>
  <si>
    <t>Kak Ulfiana</t>
  </si>
  <si>
    <t>Nadia</t>
  </si>
  <si>
    <t>Akhwat-2</t>
  </si>
  <si>
    <t>Eka</t>
  </si>
  <si>
    <t>Mia Yuliana</t>
  </si>
  <si>
    <t>Supermentoring 31</t>
  </si>
  <si>
    <t>Ikhwan-1</t>
  </si>
  <si>
    <t>Mia</t>
  </si>
  <si>
    <t>Fahriya</t>
  </si>
  <si>
    <t>Ikhwan-2</t>
  </si>
  <si>
    <t>Budi</t>
  </si>
  <si>
    <t>Ulfi</t>
  </si>
  <si>
    <t>Angkatan 34 (Kelas X)</t>
  </si>
  <si>
    <t>Mentor Circle+ dan CirclePro</t>
  </si>
  <si>
    <t>No</t>
  </si>
  <si>
    <t>Mentor Circle</t>
  </si>
  <si>
    <t>Circle+</t>
  </si>
  <si>
    <t>Jml</t>
  </si>
  <si>
    <t>Angkatan 33 (Kelas XI)</t>
  </si>
  <si>
    <t>Kelas</t>
  </si>
  <si>
    <t>Akhwat A</t>
  </si>
  <si>
    <t>Akhwat B</t>
  </si>
  <si>
    <t>XI A-1</t>
  </si>
  <si>
    <t>XI A-2</t>
  </si>
  <si>
    <t>XI B-1</t>
  </si>
  <si>
    <t>XI B-2</t>
  </si>
  <si>
    <t>XI C</t>
  </si>
  <si>
    <t>XI D-1</t>
  </si>
  <si>
    <t>XI D-2</t>
  </si>
  <si>
    <t>XI D-3</t>
  </si>
  <si>
    <t>XI E-1</t>
  </si>
  <si>
    <t>XI E-2</t>
  </si>
  <si>
    <t>XI F-1</t>
  </si>
  <si>
    <t>XI F-2</t>
  </si>
  <si>
    <t>Sumen 33</t>
  </si>
  <si>
    <t>Sumen1</t>
  </si>
  <si>
    <t>Sumen 33-1</t>
  </si>
  <si>
    <t>CirclePro 33</t>
  </si>
  <si>
    <t>Sumen2</t>
  </si>
  <si>
    <t>CirclePro 33-1</t>
  </si>
  <si>
    <t>CirclePro 33-2</t>
  </si>
  <si>
    <t>Angkatan 32 (Kelas XII)</t>
  </si>
  <si>
    <t>Unpredict Mentor</t>
  </si>
  <si>
    <t>Sumen 32</t>
  </si>
  <si>
    <t>CirclePro 32</t>
  </si>
  <si>
    <t>Sumen 32-1</t>
  </si>
  <si>
    <t>CirclePro 32-1</t>
  </si>
  <si>
    <t>Sumen 32-2</t>
  </si>
  <si>
    <t>CirclePro 32-2</t>
  </si>
  <si>
    <t>TIMELINE SEMESTER 2 2025/2026</t>
  </si>
  <si>
    <t>Tanggal</t>
  </si>
  <si>
    <t>Kegiatan</t>
  </si>
  <si>
    <t>PIC</t>
  </si>
  <si>
    <t>Mentoring X dan XI</t>
  </si>
  <si>
    <t>Seluruh mentor</t>
  </si>
  <si>
    <t>Masterclass kelas 12: Bekal Kehidupan Perkuliahan</t>
  </si>
  <si>
    <t>Rizza Al-Farisi (Pemateri)</t>
  </si>
  <si>
    <t>Libur</t>
  </si>
  <si>
    <t>Mentoring X dan XI: Amalan Ramadhan</t>
  </si>
  <si>
    <t>Bukber dengan masing-masing circle</t>
  </si>
  <si>
    <t xml:space="preserve">9 Mei </t>
  </si>
  <si>
    <t>23 Mei</t>
  </si>
  <si>
    <t>Kelas 12</t>
  </si>
  <si>
    <t>sebelum ramadhan sudah selesai</t>
  </si>
  <si>
    <t>Mentor SMAVO 2025-2026</t>
  </si>
  <si>
    <t>Mentee</t>
  </si>
  <si>
    <t>Total Siswa</t>
  </si>
  <si>
    <t>Boys</t>
  </si>
  <si>
    <t>Girls</t>
  </si>
  <si>
    <t>Angkatan 31</t>
  </si>
  <si>
    <t>Angkatan 32</t>
  </si>
  <si>
    <t>Angkatan 33</t>
  </si>
  <si>
    <t>Grant Total</t>
  </si>
  <si>
    <t xml:space="preserve">Veril (XII) </t>
  </si>
  <si>
    <t>Citra (XII)</t>
  </si>
  <si>
    <t>Pak Muhammad</t>
  </si>
  <si>
    <t>Jumlah</t>
  </si>
  <si>
    <t>Nadira (XII)</t>
  </si>
  <si>
    <t>Ibrahim</t>
  </si>
  <si>
    <t>Grup</t>
  </si>
  <si>
    <t>NAMA</t>
  </si>
  <si>
    <t>XSUMEN BC</t>
  </si>
  <si>
    <t>Abdul Ghofar</t>
  </si>
  <si>
    <t>Abyan Zuka Ibrahim Nasution</t>
  </si>
  <si>
    <t>Achmad Ardiansyah</t>
  </si>
  <si>
    <t>Ahmad Hafidz Anwar</t>
  </si>
  <si>
    <t>Daffa Khoirul Fajri</t>
  </si>
  <si>
    <t>Farhan Abdurrahman Yusuf</t>
  </si>
  <si>
    <t>Fitrah Thirafi</t>
  </si>
  <si>
    <t>Keyno Nazmi Afham</t>
  </si>
  <si>
    <t>Mohammad Irshad Faizanshah</t>
  </si>
  <si>
    <t>Muhamad Ilham Akbar</t>
  </si>
  <si>
    <t>Muhammad Adrian Gianni Adam</t>
  </si>
  <si>
    <t>Muhammad Ariza Rizkya Irvan</t>
  </si>
  <si>
    <t>Muhammad Fawaz Ali</t>
  </si>
  <si>
    <t>Muhammad Naufal Rhesa Fernando</t>
  </si>
  <si>
    <t>Muhammad Tsafiq Ihsan</t>
  </si>
  <si>
    <t>Muhammad Zaidan Aqil</t>
  </si>
  <si>
    <t>Natiq Tawqir Muniruzzaman Anandamaya</t>
  </si>
  <si>
    <t>Raka Syabany Amsyah</t>
  </si>
  <si>
    <t>BC X-9</t>
  </si>
  <si>
    <t>Ariyo Raditya Putra</t>
  </si>
  <si>
    <t>Attar Palestine Taha</t>
  </si>
  <si>
    <t>Cheryl Anandiora</t>
  </si>
  <si>
    <t>Hizam Kynan Putra Purwanto</t>
  </si>
  <si>
    <t>Ilham Rizki Pratama</t>
  </si>
  <si>
    <t>Jazila Abid Niyaz Chan Lase</t>
  </si>
  <si>
    <t>Muhamad Juan Arkhan</t>
  </si>
  <si>
    <t>Muhammad Ariel Setiawan</t>
  </si>
  <si>
    <t xml:space="preserve">Muhammad Azka Shahizinda </t>
  </si>
  <si>
    <t>Muhammad Daffa Alfarizki</t>
  </si>
  <si>
    <t>Muhammad Fadil Ranoval</t>
  </si>
  <si>
    <t>Muhammad In'Amul Aufa</t>
  </si>
  <si>
    <t>Muhammad Reyhan Alfariky</t>
  </si>
  <si>
    <t>Muhammad Sayyid Amjad</t>
  </si>
  <si>
    <t>Nararya Hylmi Kenzie</t>
  </si>
  <si>
    <t>Rahardian Muhamad Abisiena Koeswara</t>
  </si>
  <si>
    <t>Reynaldi</t>
  </si>
  <si>
    <t>BC X-8</t>
  </si>
  <si>
    <t>Bima Anggareksa Yusiansyah</t>
  </si>
  <si>
    <t>Farid Pradana</t>
  </si>
  <si>
    <t>Kaysan Umar Azka Setiawan</t>
  </si>
  <si>
    <t>Luqman Aziz Saputro</t>
  </si>
  <si>
    <t>Mirza Maulana Altamis</t>
  </si>
  <si>
    <t>Mochammad Hafizh Fadlurahman</t>
  </si>
  <si>
    <t>Muhamad Mustakim</t>
  </si>
  <si>
    <t>Muhammad Faiz Fathian</t>
  </si>
  <si>
    <t>Muhammad Fariz Nuh</t>
  </si>
  <si>
    <t>Muhammad Rafli Ramsha</t>
  </si>
  <si>
    <t>Muhammad Yafiargi Simbangando</t>
  </si>
  <si>
    <t>Raihan Farras Sutisna</t>
  </si>
  <si>
    <t>Ryzen Gevandra Wirapratama</t>
  </si>
  <si>
    <t>Yuzusie Aida Nenat</t>
  </si>
  <si>
    <t>BC X-7</t>
  </si>
  <si>
    <t>Ahmad Fahri Hidayat</t>
  </si>
  <si>
    <t>Azri Aditya Amada</t>
  </si>
  <si>
    <t>Faris Razwa Sambega</t>
  </si>
  <si>
    <t>Hafizh Mumtaz</t>
  </si>
  <si>
    <t>Juan Pirlo Benzema</t>
  </si>
  <si>
    <t>Manar Abbas Bawazir</t>
  </si>
  <si>
    <t>Mohammad Arsa Dafansyah</t>
  </si>
  <si>
    <t>Muhamad Yusuf Zarkasi</t>
  </si>
  <si>
    <t>Muhammad Arsyal Divo Firmansyah</t>
  </si>
  <si>
    <t>Muhammad Danish Fathul Ulum</t>
  </si>
  <si>
    <t>Muhammad Fathandra Rizki</t>
  </si>
  <si>
    <t>Muhammad Gabriel</t>
  </si>
  <si>
    <t>Salman Latif Anshari</t>
  </si>
  <si>
    <t>Sultan Reynard Sabdadika</t>
  </si>
  <si>
    <t>Tabah Rafie Abdillah</t>
  </si>
  <si>
    <t>Tristan Lovriano Aryasatya</t>
  </si>
  <si>
    <t>BC X-6</t>
  </si>
  <si>
    <t>Dwi Irmawati</t>
  </si>
  <si>
    <t>Egi Surjana</t>
  </si>
  <si>
    <t>Muhammad Azzam Ananda Fatahilah</t>
  </si>
  <si>
    <t>Raasyid Zhariif Santoso</t>
  </si>
  <si>
    <t>Raden Muhamad Zaki</t>
  </si>
  <si>
    <t>Rayyan Wahyu Ramadhan</t>
  </si>
  <si>
    <t>Syahdan Akbar Mara Putra</t>
  </si>
  <si>
    <t>BC X-5</t>
  </si>
  <si>
    <t>Adrian</t>
  </si>
  <si>
    <t>Al Jadid Syafruddin Lubis</t>
  </si>
  <si>
    <t>Anas Legawa Riyadi</t>
  </si>
  <si>
    <t>Bagaskara Bisma Anoka</t>
  </si>
  <si>
    <t>Hilmi Ardhana Fuady</t>
  </si>
  <si>
    <t>Muhamad Adri Fachry</t>
  </si>
  <si>
    <t>Muhamad Gaza Al-Mahdi</t>
  </si>
  <si>
    <t>Muhammad Raya Al Maghfirah</t>
  </si>
  <si>
    <t>Muhammad Tristan Sanjaya</t>
  </si>
  <si>
    <t>Muhammad Zaidan Wibowo</t>
  </si>
  <si>
    <t>Naufal Aditama</t>
  </si>
  <si>
    <t>Ohan Marhadi Haryono</t>
  </si>
  <si>
    <t>Rama Andhika</t>
  </si>
  <si>
    <t>Tubagus Mochamad Rizki Fauzan Faris</t>
  </si>
  <si>
    <t>BC X-4</t>
  </si>
  <si>
    <t>Ahmad Azmi Mutaarrofi</t>
  </si>
  <si>
    <t>Ahmad Farely Azriel</t>
  </si>
  <si>
    <t>Alfian Chaniago</t>
  </si>
  <si>
    <t>Diaz Syeza Zivanna</t>
  </si>
  <si>
    <t>Erlangga Ardiyanto</t>
  </si>
  <si>
    <t>Fahmi Adilla Pasha</t>
  </si>
  <si>
    <t>Fakhi Zulfia Bilqis Nasyifa</t>
  </si>
  <si>
    <t>Muhamad Rizqi Darmawan</t>
  </si>
  <si>
    <t>Muhammad Ihsan Putra Pamungkas</t>
  </si>
  <si>
    <t>Muhammad Rafi Kurniawan</t>
  </si>
  <si>
    <t>Muhammad Sulthon Najib</t>
  </si>
  <si>
    <t>Puffin Rohis Jusup Manurung</t>
  </si>
  <si>
    <t>Quizal Razky Ahmad</t>
  </si>
  <si>
    <t>Randy Adiya Pratama Kouw</t>
  </si>
  <si>
    <t>Ravino Abbas Subaga</t>
  </si>
  <si>
    <t>Rei Dillan Hartedi</t>
  </si>
  <si>
    <t>Rizky Putra Kunta Ajie</t>
  </si>
  <si>
    <t>BC X-3</t>
  </si>
  <si>
    <t>Abhinaya Zaidan Akbar</t>
  </si>
  <si>
    <t>Andra Rakadityono</t>
  </si>
  <si>
    <t>Ario Bimo Wicaksono</t>
  </si>
  <si>
    <t>Arman Firmansyah</t>
  </si>
  <si>
    <t>Bumi Byakta Alfian</t>
  </si>
  <si>
    <t>Fajri Pardomuan Pohan</t>
  </si>
  <si>
    <t>Farras Putra Zema</t>
  </si>
  <si>
    <t>Jaenal Ikhwan</t>
  </si>
  <si>
    <t>Khalifi Ramadhan Darmawan Anda</t>
  </si>
  <si>
    <t>Muhammad Zuhear Alfan</t>
  </si>
  <si>
    <t>Nourman Raditia Putra</t>
  </si>
  <si>
    <t>Pramudhio Sawerigading Ihsan</t>
  </si>
  <si>
    <t>Revan</t>
  </si>
  <si>
    <t>BC X-2</t>
  </si>
  <si>
    <t>Ammar Raziq Mahdiya</t>
  </si>
  <si>
    <t>Bima Adyatma Ilmiawan</t>
  </si>
  <si>
    <t>Dafsyah Arifa Putra</t>
  </si>
  <si>
    <t>Dimas Putra Pribadi</t>
  </si>
  <si>
    <t>Elvio Dyahyu Yusanto</t>
  </si>
  <si>
    <t>Fabian Ahza Hidayat</t>
  </si>
  <si>
    <t>Fadhilah Raisa Kamilati</t>
  </si>
  <si>
    <t>Khalid Ahmad Ghazali</t>
  </si>
  <si>
    <t>Mardiansyah Isman</t>
  </si>
  <si>
    <t>Mohammad Haikal</t>
  </si>
  <si>
    <t>Muhamad Thoriq Al Rasyad</t>
  </si>
  <si>
    <t>Muhammad Akmaluddin</t>
  </si>
  <si>
    <t>Muhammad Nazam Rizal</t>
  </si>
  <si>
    <t>Muhammad Rasyad Mahdawi</t>
  </si>
  <si>
    <t>Zaidan Riziq Sakha</t>
  </si>
  <si>
    <t>BC X-12</t>
  </si>
  <si>
    <t>Afgan Prima Rizkia Iskandar</t>
  </si>
  <si>
    <t>Arsyad Khaerul Izzan</t>
  </si>
  <si>
    <t>Bintang Jati Pratama</t>
  </si>
  <si>
    <t>Daffa Hafizh Firdausi</t>
  </si>
  <si>
    <t>Damara Dasha Bahi Utomo</t>
  </si>
  <si>
    <t>Gefira Azizatul Hasanah</t>
  </si>
  <si>
    <t>Kenzie Dzakwan Ibrahim</t>
  </si>
  <si>
    <t>Kevin Septian Ramadhan</t>
  </si>
  <si>
    <t>Maheswara Pekik Hanuraga</t>
  </si>
  <si>
    <t>Muhamad Subkhi</t>
  </si>
  <si>
    <t>Muhammad Armanugie Saputra</t>
  </si>
  <si>
    <t>Muhammad Javier</t>
  </si>
  <si>
    <t>Muhammad Zahran Rifai</t>
  </si>
  <si>
    <t>R.A.M. Fakhri Izzuddin Mashur</t>
  </si>
  <si>
    <t>Radinka Alano Hamizan Abqari</t>
  </si>
  <si>
    <t>Roshan Aidan Juro Aprianto</t>
  </si>
  <si>
    <t>BC X-11</t>
  </si>
  <si>
    <t>Al Fathdry Rizky Wibowo</t>
  </si>
  <si>
    <t>Avrillino Herza Pratama</t>
  </si>
  <si>
    <t>Aziz Sakhi Zaidan</t>
  </si>
  <si>
    <t>Azka Ivano Ananda Hidayat</t>
  </si>
  <si>
    <t>Evan Diaz</t>
  </si>
  <si>
    <t>Linggara Anugrah</t>
  </si>
  <si>
    <t>Mazaya Marva Mardyanti</t>
  </si>
  <si>
    <t>Misykah Adzra Maulida</t>
  </si>
  <si>
    <t>Muhamad Reyhan Nurhakim</t>
  </si>
  <si>
    <t>Muhammad Evan Fadillah</t>
  </si>
  <si>
    <t>Muhammad Fahry Tyandra</t>
  </si>
  <si>
    <t>Muhammad Ieddzar Haradiya</t>
  </si>
  <si>
    <t>Muhammad Revan Adi Saputra</t>
  </si>
  <si>
    <t>Muhammad Zaky Winata</t>
  </si>
  <si>
    <t>Rafa Farand Pratama</t>
  </si>
  <si>
    <t>Rendy Gilang Novianto</t>
  </si>
  <si>
    <t>Zaki Arya Wicaksono</t>
  </si>
  <si>
    <t>BC X-10</t>
  </si>
  <si>
    <t>Aditya Bayu Sutanto</t>
  </si>
  <si>
    <t>Ahmad Husein Al Latief</t>
  </si>
  <si>
    <t>Akram Mubarak</t>
  </si>
  <si>
    <t>Ananda Bari Al Kausar</t>
  </si>
  <si>
    <t>Bintang Mahardika Abhyoso Ardy</t>
  </si>
  <si>
    <t>Dindin Andini Suryaman</t>
  </si>
  <si>
    <t>Jerry Dwi Cahyono Putro</t>
  </si>
  <si>
    <t>Jovan Khayru Affandi</t>
  </si>
  <si>
    <t>Maroen Al-Fatih Ibrahimessi</t>
  </si>
  <si>
    <t>Muhamad Raihan Rizqullah</t>
  </si>
  <si>
    <t>Muhammad Akhtar Arkana Ramadhan</t>
  </si>
  <si>
    <t>Naufal Arzharel Ibrahimovic</t>
  </si>
  <si>
    <t>Rafael Anhar Armando</t>
  </si>
  <si>
    <t>Raivan Elang Pramono</t>
  </si>
  <si>
    <t>BC X-1</t>
  </si>
  <si>
    <t>Adhie Bramantyo Faqih</t>
  </si>
  <si>
    <t>Arya Aditya Gunawan</t>
  </si>
  <si>
    <t>Bimo Armani Aulia Putra</t>
  </si>
  <si>
    <t>Diwangkara Rizki Rabbani</t>
  </si>
  <si>
    <t>Fakhri Haikal Alvito Rachmat</t>
  </si>
  <si>
    <t>Fathi Azzam Hawwari</t>
  </si>
  <si>
    <t>Mochamad Nayaka Tuharea</t>
  </si>
  <si>
    <t>Muhamad Septian Romadhon</t>
  </si>
  <si>
    <t>Muhammad Chaerudin Ramdhani</t>
  </si>
  <si>
    <t>Muhammad Fathan Assidiq</t>
  </si>
  <si>
    <t>Muhammad Rizky Aditya Putra Sukmawijayaguna</t>
  </si>
  <si>
    <t>Muhammad Rodzul Amrullah</t>
  </si>
  <si>
    <t>Pungki Yustisia Pertiwi</t>
  </si>
  <si>
    <t>Raden Gathan Azaki Soesilo</t>
  </si>
  <si>
    <t>Raden Muhammad Rafi Wiranata</t>
  </si>
  <si>
    <t>Rayhan Ashabi</t>
  </si>
  <si>
    <t>Zavier Lamya Arkanominatha</t>
  </si>
  <si>
    <t>XSUMEN2 GC</t>
  </si>
  <si>
    <t>Affy Kaew Ni'Mitr Alhanafi</t>
  </si>
  <si>
    <t>Aira Aulia Putri</t>
  </si>
  <si>
    <t>Alisya Belva Dhio</t>
  </si>
  <si>
    <t>Amira Najwa Fauziyah</t>
  </si>
  <si>
    <t>Dian Noer Savitri</t>
  </si>
  <si>
    <t>Fathia Adilla Ramsha</t>
  </si>
  <si>
    <t>Fathimah Septiani Azahra</t>
  </si>
  <si>
    <t>Nadia Delisa Saefani</t>
  </si>
  <si>
    <t>Nayyira Ghania Mehnaz</t>
  </si>
  <si>
    <t>Neysha Aurelya Azzahra</t>
  </si>
  <si>
    <t>Nurul Aulia Ramadhani</t>
  </si>
  <si>
    <t>Raihana Humairah Budianto</t>
  </si>
  <si>
    <t>Rassya Faiq Hibatullah</t>
  </si>
  <si>
    <t>Tiara Zenobia Nafisa</t>
  </si>
  <si>
    <t>XSUMEN1 GC</t>
  </si>
  <si>
    <t>Aira Alessia Adha</t>
  </si>
  <si>
    <t>Alyya Zahra Kusumadewi</t>
  </si>
  <si>
    <t>Aulia Intan Rhamadhani</t>
  </si>
  <si>
    <t>Ayi Artadinata</t>
  </si>
  <si>
    <t>Bilqis Anwar Thebe</t>
  </si>
  <si>
    <t>Dinara Savina</t>
  </si>
  <si>
    <t>Fanisa Nurkamila Hamdani</t>
  </si>
  <si>
    <t>Isnaini Fauziyah Utomo</t>
  </si>
  <si>
    <t>Naila</t>
  </si>
  <si>
    <t>Priscillia Putri Viona</t>
  </si>
  <si>
    <t>Rayhana Rizkya Al-Multazam</t>
  </si>
  <si>
    <t>Rifqah Ramadhani</t>
  </si>
  <si>
    <t>Shafa Talitha Budiarto</t>
  </si>
  <si>
    <t>GC2 X-9</t>
  </si>
  <si>
    <t>Kanza Olivia Ramadhani</t>
  </si>
  <si>
    <t>Kayla Tria Fatarani</t>
  </si>
  <si>
    <t>Mahera Raisha Davanita Faizal</t>
  </si>
  <si>
    <t>Nariyahingtyas Wientarya</t>
  </si>
  <si>
    <t>Nur Azizah</t>
  </si>
  <si>
    <t>Qitrie Anisa Khaeri</t>
  </si>
  <si>
    <t>Radya Camilla Arinda</t>
  </si>
  <si>
    <t>Raihana Syafiqah Andyni</t>
  </si>
  <si>
    <t>Sekar Raynaningrum</t>
  </si>
  <si>
    <t>Syahla Nurul Arisma</t>
  </si>
  <si>
    <t>Syauqi Anandya Putri</t>
  </si>
  <si>
    <t>Tayya Dzulhijjah Mokodompit</t>
  </si>
  <si>
    <t>GC2 X-8</t>
  </si>
  <si>
    <t>Kania Wismar Adnyana</t>
  </si>
  <si>
    <t>Mouris Marcha Adisty</t>
  </si>
  <si>
    <t>Naila Khansa Rahmawati</t>
  </si>
  <si>
    <t>Namira Nur Azkia</t>
  </si>
  <si>
    <t>Naswa Ramadhani</t>
  </si>
  <si>
    <t>Nayla Ulya Taqiyya</t>
  </si>
  <si>
    <t>Nazwa Malika Asral</t>
  </si>
  <si>
    <t>Ni'Matul Aulia Ningtias</t>
  </si>
  <si>
    <t>Nikesha Nashwa Damara</t>
  </si>
  <si>
    <t>Quensha Rahayu Kusuma Agora</t>
  </si>
  <si>
    <t>Quincha Aura Brilliani</t>
  </si>
  <si>
    <t>Sinta Dwi Nuri Widodo</t>
  </si>
  <si>
    <t>Syarifah Nur Salsabila</t>
  </si>
  <si>
    <t>Tsamara Privita Sya'Ban Syahdu</t>
  </si>
  <si>
    <t>GC2 X-7</t>
  </si>
  <si>
    <t>Kharira P. Pradea</t>
  </si>
  <si>
    <t>Livia Vidyadhara</t>
  </si>
  <si>
    <t>Myiesha Lunar Wisesa Putri</t>
  </si>
  <si>
    <t>Nadila Safira</t>
  </si>
  <si>
    <t>Naurah Afifah Amaliyah</t>
  </si>
  <si>
    <t>Nayla Widya Cakraprawartana</t>
  </si>
  <si>
    <t>Nydia Aisyah Allifia</t>
  </si>
  <si>
    <t>Raisa Putri Rahima</t>
  </si>
  <si>
    <t>Raissya Aurellyona Carollyta Putri</t>
  </si>
  <si>
    <t>Rindu Gatari Asmiladi</t>
  </si>
  <si>
    <t>Siti Iklima Sakurani</t>
  </si>
  <si>
    <t>Syafiqa Bariq Mahya</t>
  </si>
  <si>
    <t>Syahluna Ananta Putri</t>
  </si>
  <si>
    <t>Zafira Salsa Haniah</t>
  </si>
  <si>
    <t>GC2 X-6</t>
  </si>
  <si>
    <t>Khalisa Silmi Jovita Warsito</t>
  </si>
  <si>
    <t>Mawar Aprilliana</t>
  </si>
  <si>
    <t>Najwa Citra Lestari</t>
  </si>
  <si>
    <t>Nayra Putri Sagita</t>
  </si>
  <si>
    <t>Queensha Amiradana Putri Hamka</t>
  </si>
  <si>
    <t>Reva Aulia Putri</t>
  </si>
  <si>
    <t>Revina Apriza</t>
  </si>
  <si>
    <t>Rossy Indriyati</t>
  </si>
  <si>
    <t>Salsa Kirana Putri</t>
  </si>
  <si>
    <t>Shalomieta Aira Kinaya</t>
  </si>
  <si>
    <t>Syahla Adzkannisa Vuzela</t>
  </si>
  <si>
    <t>GC2 X-5</t>
  </si>
  <si>
    <t>Nabilah Shakeela Kusuma</t>
  </si>
  <si>
    <t>Nazwa Nur Rahmah</t>
  </si>
  <si>
    <t>Puthik Ramadani</t>
  </si>
  <si>
    <t>Raden Chintya Dewi Maharani</t>
  </si>
  <si>
    <t>Raden Ciara Za Syahluna</t>
  </si>
  <si>
    <t>Reisha Azzahra Pramesti</t>
  </si>
  <si>
    <t>Rheiska Amelia</t>
  </si>
  <si>
    <t>Salsabila Kinaya</t>
  </si>
  <si>
    <t>Syarafina Nur Alifatuzahro</t>
  </si>
  <si>
    <t>Tanty Amelia Al Rasyid</t>
  </si>
  <si>
    <t>Teduh Mutiara Hapsari</t>
  </si>
  <si>
    <t>Yanza Rizkia Salsabillah</t>
  </si>
  <si>
    <t>GC2 X-4</t>
  </si>
  <si>
    <t>Khansa Vanya Laudya Putri</t>
  </si>
  <si>
    <t>Lutfi Dwi Melati</t>
  </si>
  <si>
    <t>Masayu Ganisha Pembayun Putri</t>
  </si>
  <si>
    <t>Mazaya Aqila Betha Diladena</t>
  </si>
  <si>
    <t>Mutiara Geisya Nuraini</t>
  </si>
  <si>
    <t>Reni Apriliani</t>
  </si>
  <si>
    <t>Shabira Andiani</t>
  </si>
  <si>
    <t>Shahira Hafiza Putri</t>
  </si>
  <si>
    <t>Sheika Rizki Ramadanti Aurelia</t>
  </si>
  <si>
    <t>Syahwa Fatmah</t>
  </si>
  <si>
    <t>Syakira Alma Annisa</t>
  </si>
  <si>
    <t>Tiara Winni Melia</t>
  </si>
  <si>
    <t>GC2 X-3</t>
  </si>
  <si>
    <t>Jihan Fauziyyah Latifah</t>
  </si>
  <si>
    <t>Lathika Aulia Althafunnisa</t>
  </si>
  <si>
    <t>Mandariza Arya Pranata Wijaya</t>
  </si>
  <si>
    <t>Nadhifa Farah Falihah</t>
  </si>
  <si>
    <t>Nazwa Savira</t>
  </si>
  <si>
    <t>Nursifa Maulidah</t>
  </si>
  <si>
    <t>Putri Eisya</t>
  </si>
  <si>
    <t>Putri Zaqiyah</t>
  </si>
  <si>
    <t>Rahma Marissa</t>
  </si>
  <si>
    <t>Safa Naya Adristi</t>
  </si>
  <si>
    <t>Shirane Ghaniyya Ramadhani</t>
  </si>
  <si>
    <t>Yasmin Kirani Affifah</t>
  </si>
  <si>
    <t>Yasmine Almira Queen</t>
  </si>
  <si>
    <t>GC2 X-2</t>
  </si>
  <si>
    <t>Enisye Putri Zeliawati Limpong</t>
  </si>
  <si>
    <t>Jasmine Makayla Putri Arvani</t>
  </si>
  <si>
    <t>Khansa Aulia Damtsa Hylmi</t>
  </si>
  <si>
    <t>Neng Rahmi Novianti</t>
  </si>
  <si>
    <t>Niesha Anindya Firstsaly</t>
  </si>
  <si>
    <t>Qaniah Mardiyah Salsabila</t>
  </si>
  <si>
    <t>Raisha Puri Lianti</t>
  </si>
  <si>
    <t>Rasya Arkananta Mulya</t>
  </si>
  <si>
    <t>Rusvi Putri Ingguan</t>
  </si>
  <si>
    <t>Titania Dwizita Shahla</t>
  </si>
  <si>
    <t>Zalikhah Rasikhah Putri</t>
  </si>
  <si>
    <t>GC2 X-12</t>
  </si>
  <si>
    <t>Madina Zulfa Aini</t>
  </si>
  <si>
    <t>Maulida Ainnurahma</t>
  </si>
  <si>
    <t>Nadhifa Qeysa Auliani Soehardi</t>
  </si>
  <si>
    <t>Naureen Shabiha Zahira</t>
  </si>
  <si>
    <t>Nayla Lyra Sagita</t>
  </si>
  <si>
    <t>Naywa Dinda Kansana Lubis</t>
  </si>
  <si>
    <t>Ruba Aqeela Hafizha Mecca</t>
  </si>
  <si>
    <t>Sajna Jerrusalem Kharima Sugeng Putri</t>
  </si>
  <si>
    <t>Shahrazad Aulia Handyanto</t>
  </si>
  <si>
    <t>Syahla Salsabila Ramdani</t>
  </si>
  <si>
    <t>Velicya Arnelita Zahra Suryana</t>
  </si>
  <si>
    <t>Zalfa Rizqia Nur Nadhifa</t>
  </si>
  <si>
    <t>GC2 X-11</t>
  </si>
  <si>
    <t>Kaira Fatiya Nurfan</t>
  </si>
  <si>
    <t>Luna Majidah Zafira</t>
  </si>
  <si>
    <t>Lutfiana Silva</t>
  </si>
  <si>
    <t>Nadhifa Amelia Garjita</t>
  </si>
  <si>
    <t>Ruvita Rinjani</t>
  </si>
  <si>
    <t>Salmaa Saalimah Wibowo</t>
  </si>
  <si>
    <t>Salsabil Mulki</t>
  </si>
  <si>
    <t>Shaquille Putra Yudira</t>
  </si>
  <si>
    <t>Siva Muliyanti</t>
  </si>
  <si>
    <t>Vilvizeeya Hazira Kurnia</t>
  </si>
  <si>
    <t>Zelda Hanifah Zaneta</t>
  </si>
  <si>
    <t>GC2 X-10</t>
  </si>
  <si>
    <t>Keyla Ananda Safitri</t>
  </si>
  <si>
    <t>Khanza Aprillia Risyadi</t>
  </si>
  <si>
    <t>Naqeesyaa Dhanova Al Adzra</t>
  </si>
  <si>
    <t>Naura Luvenavita Krisdianto</t>
  </si>
  <si>
    <t>Queensha Anindya Azka</t>
  </si>
  <si>
    <t>Rahmania Azahra</t>
  </si>
  <si>
    <t>Rizqiyanah Qaysarania Herawan</t>
  </si>
  <si>
    <t>Salsha Aulia Akbar</t>
  </si>
  <si>
    <t>Sashikirana Luvena Maheswari</t>
  </si>
  <si>
    <t>Silvya Sri Aprilianti</t>
  </si>
  <si>
    <t>Syaakhira Fauziah</t>
  </si>
  <si>
    <t>GC2 X-1</t>
  </si>
  <si>
    <t>Jasmine Zahira Ramadhani</t>
  </si>
  <si>
    <t>Jihan Al Hasya</t>
  </si>
  <si>
    <t>Melani Putri Triana</t>
  </si>
  <si>
    <t>Nadya Salwa Altiara</t>
  </si>
  <si>
    <t>Nailah Khoirunisa Arsanti</t>
  </si>
  <si>
    <t>Novyola Safitri</t>
  </si>
  <si>
    <t>Nur Alifah Silvia</t>
  </si>
  <si>
    <t>Riffa Nugraha</t>
  </si>
  <si>
    <t>Salsabila Zahwa Mulana</t>
  </si>
  <si>
    <t>Shabira Ayatul Husna</t>
  </si>
  <si>
    <t>Zhafirah Dwi Fauziah</t>
  </si>
  <si>
    <t>GC1 X-9</t>
  </si>
  <si>
    <t>Aishanna Latifa Harjono</t>
  </si>
  <si>
    <t>Aqila Elmohri</t>
  </si>
  <si>
    <t>Aqilla Al-Farabi</t>
  </si>
  <si>
    <t>Asshafa Nur Intan</t>
  </si>
  <si>
    <t>Aufa Khairunnisa</t>
  </si>
  <si>
    <t>Balqis Luthfiyah Zahra</t>
  </si>
  <si>
    <t>Chayra Putri Dwinata</t>
  </si>
  <si>
    <t>Dahayu Nadhilah Syafa</t>
  </si>
  <si>
    <t>Elen Vanesyah Wahyudi</t>
  </si>
  <si>
    <t>Fitri Rahmawati</t>
  </si>
  <si>
    <t>Ghaniah Aqilah</t>
  </si>
  <si>
    <t>Izaz Izzatul Islam</t>
  </si>
  <si>
    <t>Jihan Nailatusy Syarafah</t>
  </si>
  <si>
    <t>GC1 X-8</t>
  </si>
  <si>
    <t>Adelia Niken</t>
  </si>
  <si>
    <t>Aisyah Agustiani</t>
  </si>
  <si>
    <t>Alenka Meisyarofa</t>
  </si>
  <si>
    <t>Alifa Taqqiya Zahwa</t>
  </si>
  <si>
    <t>Alifah Hasannah</t>
  </si>
  <si>
    <t>Andagita Vilnaria Atha</t>
  </si>
  <si>
    <t>Ariqah Putri Nasution</t>
  </si>
  <si>
    <t>Aulia Cinta Divia</t>
  </si>
  <si>
    <t>Aysha Mahira Dewi Tryana</t>
  </si>
  <si>
    <t>Belinda Angelica</t>
  </si>
  <si>
    <t>Dela Ananda Putri</t>
  </si>
  <si>
    <t>Diandra Mentari Fazri</t>
  </si>
  <si>
    <t>Divania Kayla Windu Sabrina</t>
  </si>
  <si>
    <t>Dyshan Attaya Haq Triatno</t>
  </si>
  <si>
    <t>GC1 X-7</t>
  </si>
  <si>
    <t>Adara Luthfia Putri</t>
  </si>
  <si>
    <t>Aira Kirana</t>
  </si>
  <si>
    <t>Aliya Trianzani Putri</t>
  </si>
  <si>
    <t>Alya Silvana Sarifah</t>
  </si>
  <si>
    <t>Anindya Estyana Damayanti</t>
  </si>
  <si>
    <t>Clara Dwi Cahya</t>
  </si>
  <si>
    <t>Clarisa Meidiana</t>
  </si>
  <si>
    <t>Dhia Devita Ramadhani</t>
  </si>
  <si>
    <t>Diajeng Inggil Lintang Aulia</t>
  </si>
  <si>
    <t>Elgiva Damara Sanchia</t>
  </si>
  <si>
    <t>Ghaniyah Adelia</t>
  </si>
  <si>
    <t>Kania Putriana Yaswin</t>
  </si>
  <si>
    <t>Kaysa Maharani Sofyan</t>
  </si>
  <si>
    <t>Keisya Andhita Kirana Putri</t>
  </si>
  <si>
    <t>GC1 X-6</t>
  </si>
  <si>
    <t>Alfany Himma Roudina</t>
  </si>
  <si>
    <t>Alisa Putri</t>
  </si>
  <si>
    <t>Aqila Noya Faiza</t>
  </si>
  <si>
    <t>Chempaka Balqist Zavira Mentary Misman</t>
  </si>
  <si>
    <t>Dhia Salsabila</t>
  </si>
  <si>
    <t>Dinda Dyah Pitaloka</t>
  </si>
  <si>
    <t>Fanesya Agfrisfidia</t>
  </si>
  <si>
    <t>Fauzi Castle Satara</t>
  </si>
  <si>
    <t>Febri Afriani</t>
  </si>
  <si>
    <t>Freja Aira Anindhita</t>
  </si>
  <si>
    <t>Hasfa Zulfana Nahdah</t>
  </si>
  <si>
    <t>Keyla Putri Saksono</t>
  </si>
  <si>
    <t>GC1 X-5</t>
  </si>
  <si>
    <t>Aira Febria Sari</t>
  </si>
  <si>
    <t>Amira Agni Kayla Raisya</t>
  </si>
  <si>
    <t>Amirah Khalishah Somoal</t>
  </si>
  <si>
    <t>Annisa Fitriyani</t>
  </si>
  <si>
    <t>Bilqis Nikita Aylani</t>
  </si>
  <si>
    <t>Dilla Novianti Putri</t>
  </si>
  <si>
    <t>Dinda Aulia</t>
  </si>
  <si>
    <t>Hikmah Septiya</t>
  </si>
  <si>
    <t>Jevelin Ambarep Putri</t>
  </si>
  <si>
    <t>Khansa Tabita Aura Sakhi</t>
  </si>
  <si>
    <t>Lalitya Namu Wangundahina</t>
  </si>
  <si>
    <t>Mahira Aqila Azra</t>
  </si>
  <si>
    <t>GC1 X-4</t>
  </si>
  <si>
    <t>Alleandra Kaif Finandita</t>
  </si>
  <si>
    <t>Altaira Aqila Myesha Ario</t>
  </si>
  <si>
    <t>Aphrodyta Aurelia Avrilla</t>
  </si>
  <si>
    <t>Aqueena Putri Salimah</t>
  </si>
  <si>
    <t>Chairani Kanza Wulandaputri</t>
  </si>
  <si>
    <t>Dhefa Raditya Putra</t>
  </si>
  <si>
    <t>Dwi Nailah Azhara</t>
  </si>
  <si>
    <t>Friska Feby Aulia</t>
  </si>
  <si>
    <t>Inaya Janeeta</t>
  </si>
  <si>
    <t>Karnizara Ringga Rabbani</t>
  </si>
  <si>
    <t>Karunia Dwi Rahmawati</t>
  </si>
  <si>
    <t>Keisa Wanda Setiawan</t>
  </si>
  <si>
    <t>GC1 X-3</t>
  </si>
  <si>
    <t>Anjani Safira Salma</t>
  </si>
  <si>
    <t>Attaya Putri Faslahi</t>
  </si>
  <si>
    <t>Attiyah Naila Adza Alifah</t>
  </si>
  <si>
    <t>Aulia Azahra</t>
  </si>
  <si>
    <t>Bianca Aurelia Putri Asari</t>
  </si>
  <si>
    <t>Cheryl Faiha Al-Tair</t>
  </si>
  <si>
    <t>Cindy Ramadhani Sinulingga</t>
  </si>
  <si>
    <t>Danesh Arrayan Syahreen</t>
  </si>
  <si>
    <t>Dhyra Putra Pratama</t>
  </si>
  <si>
    <t>Fadya Malikha</t>
  </si>
  <si>
    <t>Fathia Amia Rizqi</t>
  </si>
  <si>
    <t>Kartika Larasati</t>
  </si>
  <si>
    <t>Khairani Asri Utami</t>
  </si>
  <si>
    <t>GC1 X-2</t>
  </si>
  <si>
    <t>Adinda Syahira Hariyadi</t>
  </si>
  <si>
    <t>Aisha Faiha Dzakiyah</t>
  </si>
  <si>
    <t>Alifa Safa Salsabila</t>
  </si>
  <si>
    <t>Alviana Dwie Putery</t>
  </si>
  <si>
    <t>Andini Qoriyati Khaerani</t>
  </si>
  <si>
    <t>Aqeela Az Zahra</t>
  </si>
  <si>
    <t>Ashiila Rindu Dwi Laufli</t>
  </si>
  <si>
    <t>Atharrayhan Abimanyu Pratama</t>
  </si>
  <si>
    <t>Aurelly Diana Zulkarnaen</t>
  </si>
  <si>
    <t>Cinta Cludia Putri</t>
  </si>
  <si>
    <t>Denisa Azka Putri</t>
  </si>
  <si>
    <t>Devani Keyla Noris</t>
  </si>
  <si>
    <t>GC1 X-12</t>
  </si>
  <si>
    <t>Aik Novitasari</t>
  </si>
  <si>
    <t>Aisyah Aqilah Agni</t>
  </si>
  <si>
    <t>Aisyah Hanifa Redana</t>
  </si>
  <si>
    <t>Allya Luthfiah Putri</t>
  </si>
  <si>
    <t>Annisa Salsabilla</t>
  </si>
  <si>
    <t>Aruni Khalila Ayu</t>
  </si>
  <si>
    <t>Ayra Jauzaa Viranda</t>
  </si>
  <si>
    <t>Deana Azalea Belva</t>
  </si>
  <si>
    <t>Delfa Maharani</t>
  </si>
  <si>
    <t>Fauza Nur Aziema</t>
  </si>
  <si>
    <t>Keisha Nurazizah</t>
  </si>
  <si>
    <t>Kesyha Ramadhani</t>
  </si>
  <si>
    <t>GC1 X-11</t>
  </si>
  <si>
    <t>Adinda Garnetha Prasistha</t>
  </si>
  <si>
    <t>Ajeng Adisty Fahira</t>
  </si>
  <si>
    <t>Almira Aprilia Putri</t>
  </si>
  <si>
    <t>Anndita</t>
  </si>
  <si>
    <t>Askana Nailazahran Hermansyah</t>
  </si>
  <si>
    <t>Azkiara Andhita</t>
  </si>
  <si>
    <t>Azzalea Sakinah Ayura Putri</t>
  </si>
  <si>
    <t>Balqis Jauza Sabreenijka</t>
  </si>
  <si>
    <t>Carissa Alia Andinaputri</t>
  </si>
  <si>
    <t>Fannan Hoseki Fayyaz</t>
  </si>
  <si>
    <t>Galuh Pria Esa</t>
  </si>
  <si>
    <t>Jazirah Rahmah</t>
  </si>
  <si>
    <t>GC1 X-10</t>
  </si>
  <si>
    <t>Alfi Amalia</t>
  </si>
  <si>
    <t>Amelia Nur Zahra</t>
  </si>
  <si>
    <t>Ataya Arkan Ramadhan</t>
  </si>
  <si>
    <t>Athaya Muhammad Daffa</t>
  </si>
  <si>
    <t>Aura Nabilah Zahirah</t>
  </si>
  <si>
    <t>Aurora Putri Samudra Dwiko</t>
  </si>
  <si>
    <t>Belva Thalita Ramadhena</t>
  </si>
  <si>
    <t>Dinda Syifa Rahmayanti</t>
  </si>
  <si>
    <t>Gita Tazkiyatunnisa</t>
  </si>
  <si>
    <t>Haifa Aysha Zahira</t>
  </si>
  <si>
    <t>Intan Dwi Novianingrum</t>
  </si>
  <si>
    <t>Kayla Althafunnisa Arrasyid</t>
  </si>
  <si>
    <t>GC1 X-1</t>
  </si>
  <si>
    <t>Almira Dwi Safira</t>
  </si>
  <si>
    <t>Alzena Juneeta Talisha Theo</t>
  </si>
  <si>
    <t>Aryasatia Pradipta</t>
  </si>
  <si>
    <t>Asyifa Diandra Bayu</t>
  </si>
  <si>
    <t>Asyifa Maulidia Salsabila</t>
  </si>
  <si>
    <t>Aurelia Langit Callysta</t>
  </si>
  <si>
    <t>Aurelia Septiani Putri</t>
  </si>
  <si>
    <t>Callysta Tuchi Solin</t>
  </si>
  <si>
    <t>Dzahra Miftahuljanah</t>
  </si>
  <si>
    <t>Fatimah Aszahra</t>
  </si>
  <si>
    <t>Gwenna Irene Winata</t>
  </si>
  <si>
    <t>Column 10</t>
  </si>
  <si>
    <t>NO</t>
  </si>
  <si>
    <t>NISN</t>
  </si>
  <si>
    <t>NIS</t>
  </si>
  <si>
    <t>L/P</t>
  </si>
  <si>
    <t>Wali Kelas</t>
  </si>
  <si>
    <t>Column 11</t>
  </si>
  <si>
    <t>0092626116</t>
  </si>
  <si>
    <t>L</t>
  </si>
  <si>
    <t>3103201253</t>
  </si>
  <si>
    <t>P</t>
  </si>
  <si>
    <t>0102149444</t>
  </si>
  <si>
    <t>0095992391</t>
  </si>
  <si>
    <t>0106142601</t>
  </si>
  <si>
    <t>0108104548</t>
  </si>
  <si>
    <t>0103045473</t>
  </si>
  <si>
    <t>0109105725</t>
  </si>
  <si>
    <t>0096394871</t>
  </si>
  <si>
    <t>0096477713</t>
  </si>
  <si>
    <t>0106995291</t>
  </si>
  <si>
    <t>0094126705</t>
  </si>
  <si>
    <t>0105914504</t>
  </si>
  <si>
    <t>0092097491</t>
  </si>
  <si>
    <t>0102644442</t>
  </si>
  <si>
    <t>0107657965</t>
  </si>
  <si>
    <t>0095023834</t>
  </si>
  <si>
    <t>0094631117</t>
  </si>
  <si>
    <t>0092679798</t>
  </si>
  <si>
    <t>0103648473</t>
  </si>
  <si>
    <t>0092985486</t>
  </si>
  <si>
    <t>0107959828</t>
  </si>
  <si>
    <t>0092600602</t>
  </si>
  <si>
    <t>0108695912</t>
  </si>
  <si>
    <t>0093126257</t>
  </si>
  <si>
    <t>3104497802</t>
  </si>
  <si>
    <t>0108107461</t>
  </si>
  <si>
    <t>0092807405</t>
  </si>
  <si>
    <t>0102300207</t>
  </si>
  <si>
    <t>0097892166</t>
  </si>
  <si>
    <t>0097858274</t>
  </si>
  <si>
    <t>0093105045</t>
  </si>
  <si>
    <t>0095438030</t>
  </si>
  <si>
    <t>0107914534</t>
  </si>
  <si>
    <t>0097963483</t>
  </si>
  <si>
    <t>0092135851</t>
  </si>
  <si>
    <t>0092605198</t>
  </si>
  <si>
    <t>0103151970</t>
  </si>
  <si>
    <t>0097644165</t>
  </si>
  <si>
    <t>0102657659</t>
  </si>
  <si>
    <t>0111428850</t>
  </si>
  <si>
    <t>0108505453</t>
  </si>
  <si>
    <t>0094216870</t>
  </si>
  <si>
    <t>0107760733</t>
  </si>
  <si>
    <t>0105130233</t>
  </si>
  <si>
    <t>0104550133</t>
  </si>
  <si>
    <t>0095372504</t>
  </si>
  <si>
    <t>0105813396</t>
  </si>
  <si>
    <t>0109006152</t>
  </si>
  <si>
    <t>0097211030</t>
  </si>
  <si>
    <t>3108667209</t>
  </si>
  <si>
    <t>0098513542</t>
  </si>
  <si>
    <t>0106376916</t>
  </si>
  <si>
    <t>0105797314</t>
  </si>
  <si>
    <t>0102731314</t>
  </si>
  <si>
    <t>0092794157</t>
  </si>
  <si>
    <t>0106384221</t>
  </si>
  <si>
    <t>3104617391</t>
  </si>
  <si>
    <t>0098157268</t>
  </si>
  <si>
    <t>0099675945</t>
  </si>
  <si>
    <t>0104532267</t>
  </si>
  <si>
    <t>0097593921</t>
  </si>
  <si>
    <t>0106157075</t>
  </si>
  <si>
    <t>0104141415</t>
  </si>
  <si>
    <t>0105606050</t>
  </si>
  <si>
    <t>0094564578</t>
  </si>
  <si>
    <t>0103261879</t>
  </si>
  <si>
    <t>0092576905</t>
  </si>
  <si>
    <t>0099605205</t>
  </si>
  <si>
    <t>0108384400</t>
  </si>
  <si>
    <t>0098087445</t>
  </si>
  <si>
    <t>0108518402</t>
  </si>
  <si>
    <t>0098345742</t>
  </si>
  <si>
    <t>0104535464</t>
  </si>
  <si>
    <t>3107410887</t>
  </si>
  <si>
    <t>0093768427</t>
  </si>
  <si>
    <t>0103404970</t>
  </si>
  <si>
    <t>0106276801</t>
  </si>
  <si>
    <t>0098833541</t>
  </si>
  <si>
    <t>0095492963</t>
  </si>
  <si>
    <t>0091964566</t>
  </si>
  <si>
    <t>0092731928</t>
  </si>
  <si>
    <t>0102751293</t>
  </si>
  <si>
    <t>0104292767</t>
  </si>
  <si>
    <t>0096087965</t>
  </si>
  <si>
    <t>0094703204</t>
  </si>
  <si>
    <t>0106941990</t>
  </si>
  <si>
    <t>0109964803</t>
  </si>
  <si>
    <t>0104084075</t>
  </si>
  <si>
    <t>0098221239</t>
  </si>
  <si>
    <t>0104751597</t>
  </si>
  <si>
    <t>0104406841</t>
  </si>
  <si>
    <t>0102122161</t>
  </si>
  <si>
    <t>0108329102</t>
  </si>
  <si>
    <t>0103047499</t>
  </si>
  <si>
    <t>0102794623</t>
  </si>
  <si>
    <t>0096103714</t>
  </si>
  <si>
    <t>0103966590</t>
  </si>
  <si>
    <t>0097493642</t>
  </si>
  <si>
    <t>0096662016</t>
  </si>
  <si>
    <t>0096892367</t>
  </si>
  <si>
    <t>0094686377</t>
  </si>
  <si>
    <t>0109768822</t>
  </si>
  <si>
    <t>0104767807</t>
  </si>
  <si>
    <t>0104211640</t>
  </si>
  <si>
    <t>0107095977</t>
  </si>
  <si>
    <t>0092150853</t>
  </si>
  <si>
    <t>0091769169</t>
  </si>
  <si>
    <t>0103190164</t>
  </si>
  <si>
    <t>3096846304</t>
  </si>
  <si>
    <t>0104716348</t>
  </si>
  <si>
    <t>0102174126</t>
  </si>
  <si>
    <t>0097540821</t>
  </si>
  <si>
    <t>0102114748</t>
  </si>
  <si>
    <t>0097603092</t>
  </si>
  <si>
    <t>0106292164</t>
  </si>
  <si>
    <t>3104085681</t>
  </si>
  <si>
    <t>0105055522</t>
  </si>
  <si>
    <t>0092263541</t>
  </si>
  <si>
    <t>0091178036</t>
  </si>
  <si>
    <t>0106930882</t>
  </si>
  <si>
    <t>0109721617</t>
  </si>
  <si>
    <t>0101188685</t>
  </si>
  <si>
    <t>0106443881</t>
  </si>
  <si>
    <t>0106136353</t>
  </si>
  <si>
    <t>0095491750</t>
  </si>
  <si>
    <t>0087811342</t>
  </si>
  <si>
    <t>0094160993</t>
  </si>
  <si>
    <t>0103659705</t>
  </si>
  <si>
    <t>0107838813</t>
  </si>
  <si>
    <t>0108144208</t>
  </si>
  <si>
    <t>0096853688</t>
  </si>
  <si>
    <t>0092637367</t>
  </si>
  <si>
    <t>0095522157</t>
  </si>
  <si>
    <t>0098223677</t>
  </si>
  <si>
    <t>0106545857</t>
  </si>
  <si>
    <t>0108696681</t>
  </si>
  <si>
    <t>0102866245</t>
  </si>
  <si>
    <t>0107425878</t>
  </si>
  <si>
    <t>0104987304</t>
  </si>
  <si>
    <t>0104595564</t>
  </si>
  <si>
    <t>0107286739</t>
  </si>
  <si>
    <t>0109267722</t>
  </si>
  <si>
    <t>0093634061</t>
  </si>
  <si>
    <t>3091547533</t>
  </si>
  <si>
    <t>0097951249</t>
  </si>
  <si>
    <t>0102015407</t>
  </si>
  <si>
    <t>0106908655</t>
  </si>
  <si>
    <t>0092608342</t>
  </si>
  <si>
    <t>0098979111</t>
  </si>
  <si>
    <t>0105497173</t>
  </si>
  <si>
    <t>0092028941</t>
  </si>
  <si>
    <t>0097410697</t>
  </si>
  <si>
    <t>3105173369</t>
  </si>
  <si>
    <t>3107700954</t>
  </si>
  <si>
    <t>0109782055</t>
  </si>
  <si>
    <t>0108699884</t>
  </si>
  <si>
    <t>0108390462</t>
  </si>
  <si>
    <t>0107960365</t>
  </si>
  <si>
    <t>0104838010</t>
  </si>
  <si>
    <t>0108451246</t>
  </si>
  <si>
    <t>3104089400</t>
  </si>
  <si>
    <t>0107731505</t>
  </si>
  <si>
    <t>0105775007</t>
  </si>
  <si>
    <t>0106588309</t>
  </si>
  <si>
    <t>0106219079</t>
  </si>
  <si>
    <t>0094714082</t>
  </si>
  <si>
    <t>0102630183</t>
  </si>
  <si>
    <t>0106490661</t>
  </si>
  <si>
    <t>0092194625</t>
  </si>
  <si>
    <t>3108509756</t>
  </si>
  <si>
    <t>0099540724</t>
  </si>
  <si>
    <t>0107934430</t>
  </si>
  <si>
    <t>0099668827</t>
  </si>
  <si>
    <t>0102993208</t>
  </si>
  <si>
    <t>0104459637</t>
  </si>
  <si>
    <t>0104825356</t>
  </si>
  <si>
    <t>0099339799</t>
  </si>
  <si>
    <t>0098197227</t>
  </si>
  <si>
    <t>0093274791</t>
  </si>
  <si>
    <t>0099900563</t>
  </si>
  <si>
    <t>0092597384</t>
  </si>
  <si>
    <t>3105062394</t>
  </si>
  <si>
    <t>0103139137</t>
  </si>
  <si>
    <t>0091763745</t>
  </si>
  <si>
    <t>0095064549</t>
  </si>
  <si>
    <t>3098845163</t>
  </si>
  <si>
    <t>0104630358</t>
  </si>
  <si>
    <t>0097535113</t>
  </si>
  <si>
    <t>0094686372</t>
  </si>
  <si>
    <t>0108578906</t>
  </si>
  <si>
    <t>3107979922</t>
  </si>
  <si>
    <t>0105902624</t>
  </si>
  <si>
    <t>0095937017</t>
  </si>
  <si>
    <t>3094594523</t>
  </si>
  <si>
    <t>0092479207</t>
  </si>
  <si>
    <t>0092223990</t>
  </si>
  <si>
    <t>0104434944</t>
  </si>
  <si>
    <t>0108770789</t>
  </si>
  <si>
    <t>0101523916</t>
  </si>
  <si>
    <t>3099045754</t>
  </si>
  <si>
    <t>0104883711</t>
  </si>
  <si>
    <t>3099055467</t>
  </si>
  <si>
    <t>0092103124</t>
  </si>
  <si>
    <t>0102081772</t>
  </si>
  <si>
    <t>0097864614</t>
  </si>
  <si>
    <t>0093090773</t>
  </si>
  <si>
    <t>0095160472</t>
  </si>
  <si>
    <t>0092402487</t>
  </si>
  <si>
    <t>0092706472</t>
  </si>
  <si>
    <t>0105183684</t>
  </si>
  <si>
    <t>0098052333</t>
  </si>
  <si>
    <t>3094664028</t>
  </si>
  <si>
    <t>0099429653</t>
  </si>
  <si>
    <t>0094216872</t>
  </si>
  <si>
    <t>3093210071</t>
  </si>
  <si>
    <t>0099344894</t>
  </si>
  <si>
    <t>0104799326</t>
  </si>
  <si>
    <t>0099286083</t>
  </si>
  <si>
    <t>0093451857</t>
  </si>
  <si>
    <t>0074430959</t>
  </si>
  <si>
    <t>0096744611</t>
  </si>
  <si>
    <t>0093286261</t>
  </si>
  <si>
    <t>0092383688</t>
  </si>
  <si>
    <t>0094160236</t>
  </si>
  <si>
    <t>0101705316</t>
  </si>
  <si>
    <t>3090346201</t>
  </si>
  <si>
    <t>0107948623</t>
  </si>
  <si>
    <t>0099375007</t>
  </si>
  <si>
    <t>0109221606</t>
  </si>
  <si>
    <t>0109522386</t>
  </si>
  <si>
    <t>0098849299</t>
  </si>
  <si>
    <t>0095549480</t>
  </si>
  <si>
    <t>0108065698</t>
  </si>
  <si>
    <t>0106380486</t>
  </si>
  <si>
    <t>0092020564</t>
  </si>
  <si>
    <t>0105446689</t>
  </si>
  <si>
    <t>0093623051</t>
  </si>
  <si>
    <t>0108406931</t>
  </si>
  <si>
    <t>0104171202</t>
  </si>
  <si>
    <t>3096816288</t>
  </si>
  <si>
    <t>0102698949</t>
  </si>
  <si>
    <t>3096600612</t>
  </si>
  <si>
    <t>0106462308</t>
  </si>
  <si>
    <t>0101383149</t>
  </si>
  <si>
    <t>0101303057</t>
  </si>
  <si>
    <t>0109597144</t>
  </si>
  <si>
    <t>3096764634</t>
  </si>
  <si>
    <t>0094347087</t>
  </si>
  <si>
    <t>0101401010</t>
  </si>
  <si>
    <t>0106758481</t>
  </si>
  <si>
    <t>0092241333</t>
  </si>
  <si>
    <t>0102239764</t>
  </si>
  <si>
    <t>0108763766</t>
  </si>
  <si>
    <t>0103120702</t>
  </si>
  <si>
    <t>0099164493</t>
  </si>
  <si>
    <t>0093281671</t>
  </si>
  <si>
    <t>0091524155</t>
  </si>
  <si>
    <t>0107042804</t>
  </si>
  <si>
    <t>0094782869</t>
  </si>
  <si>
    <t>0107335774</t>
  </si>
  <si>
    <t>3103220251</t>
  </si>
  <si>
    <t>0093078917</t>
  </si>
  <si>
    <t>0106222604</t>
  </si>
  <si>
    <t>0105055119</t>
  </si>
  <si>
    <t>0096544983</t>
  </si>
  <si>
    <t>0106562767</t>
  </si>
  <si>
    <t>3093288409</t>
  </si>
  <si>
    <t>0103468589</t>
  </si>
  <si>
    <t>0104328116</t>
  </si>
  <si>
    <t>0093678218</t>
  </si>
  <si>
    <t>0093828028</t>
  </si>
  <si>
    <t>0109769349</t>
  </si>
  <si>
    <t>0093629282</t>
  </si>
  <si>
    <t>0095243962</t>
  </si>
  <si>
    <t>0105755550</t>
  </si>
  <si>
    <t>0106828126</t>
  </si>
  <si>
    <t>0097673142</t>
  </si>
  <si>
    <t>0107698921</t>
  </si>
  <si>
    <t>0098514088</t>
  </si>
  <si>
    <t>0108129059</t>
  </si>
  <si>
    <t>0109551129</t>
  </si>
  <si>
    <t>0093003786</t>
  </si>
  <si>
    <t>0096444734</t>
  </si>
  <si>
    <t>0107487290</t>
  </si>
  <si>
    <t>3102286552</t>
  </si>
  <si>
    <t>0107936085</t>
  </si>
  <si>
    <t>0106701592</t>
  </si>
  <si>
    <t>0104155224</t>
  </si>
  <si>
    <t>0097446281</t>
  </si>
  <si>
    <t>0105614197</t>
  </si>
  <si>
    <t>0109499801</t>
  </si>
  <si>
    <t>0093560012</t>
  </si>
  <si>
    <t>0092017710</t>
  </si>
  <si>
    <t>0098009248</t>
  </si>
  <si>
    <t>3105167232</t>
  </si>
  <si>
    <t>0107122505</t>
  </si>
  <si>
    <t>0104668456</t>
  </si>
  <si>
    <t>0102036572</t>
  </si>
  <si>
    <t>0102307654</t>
  </si>
  <si>
    <t>0105089607</t>
  </si>
  <si>
    <t>0096174502</t>
  </si>
  <si>
    <t>0092180086</t>
  </si>
  <si>
    <t>3094942931</t>
  </si>
  <si>
    <t>0103091510</t>
  </si>
  <si>
    <t>0093558313</t>
  </si>
  <si>
    <t>0093242338</t>
  </si>
  <si>
    <t>0095632017</t>
  </si>
  <si>
    <t>0099446424</t>
  </si>
  <si>
    <t>0103174946</t>
  </si>
  <si>
    <t>0107691976</t>
  </si>
  <si>
    <t>0101976221</t>
  </si>
  <si>
    <t>0092212305</t>
  </si>
  <si>
    <t>0102160006</t>
  </si>
  <si>
    <t>0103442868</t>
  </si>
  <si>
    <t>0105918833</t>
  </si>
  <si>
    <t>0099772945</t>
  </si>
  <si>
    <t>0094259451</t>
  </si>
  <si>
    <t>0107525738</t>
  </si>
  <si>
    <t>3107499493</t>
  </si>
  <si>
    <t>3108018555</t>
  </si>
  <si>
    <t>0091031385</t>
  </si>
  <si>
    <t>0111220217</t>
  </si>
  <si>
    <t>0098938532</t>
  </si>
  <si>
    <t>3109348901</t>
  </si>
  <si>
    <t>0091281050</t>
  </si>
  <si>
    <t>0107347265</t>
  </si>
  <si>
    <t>0105961239</t>
  </si>
  <si>
    <t>0105803552</t>
  </si>
  <si>
    <t>0095193509</t>
  </si>
  <si>
    <t>0109599363</t>
  </si>
  <si>
    <t>0105462734</t>
  </si>
  <si>
    <t>0097882314</t>
  </si>
  <si>
    <t>0099739465</t>
  </si>
  <si>
    <t>0102838068</t>
  </si>
  <si>
    <t>0107357472</t>
  </si>
  <si>
    <t>0093433461</t>
  </si>
  <si>
    <t>0108340159</t>
  </si>
  <si>
    <t>0094438921</t>
  </si>
  <si>
    <t>0106681838</t>
  </si>
  <si>
    <t>0108974704</t>
  </si>
  <si>
    <t>0105339420</t>
  </si>
  <si>
    <t>0093799489</t>
  </si>
  <si>
    <t>3111697965</t>
  </si>
  <si>
    <t>0102592413</t>
  </si>
  <si>
    <t>0099452000</t>
  </si>
  <si>
    <t>0093343311</t>
  </si>
  <si>
    <t>0102924778</t>
  </si>
  <si>
    <t>0108974038</t>
  </si>
  <si>
    <t>0104378571</t>
  </si>
  <si>
    <t>0107900663</t>
  </si>
  <si>
    <t>0091254694</t>
  </si>
  <si>
    <t>0108673369</t>
  </si>
  <si>
    <t>0097946386</t>
  </si>
  <si>
    <t>0099535255</t>
  </si>
  <si>
    <t>0094573200</t>
  </si>
  <si>
    <t>0114593936</t>
  </si>
  <si>
    <t>0109669821</t>
  </si>
  <si>
    <t>0103695549</t>
  </si>
  <si>
    <t>0095770160</t>
  </si>
  <si>
    <t>0106852675</t>
  </si>
  <si>
    <t>0094047198</t>
  </si>
  <si>
    <t>0102372511</t>
  </si>
  <si>
    <t>0098113225</t>
  </si>
  <si>
    <t>0103979225</t>
  </si>
  <si>
    <t>0095022365</t>
  </si>
  <si>
    <t>0104557332</t>
  </si>
  <si>
    <t>0092772943</t>
  </si>
  <si>
    <t>0098897790</t>
  </si>
  <si>
    <t>0101059940</t>
  </si>
  <si>
    <t>0094119764</t>
  </si>
  <si>
    <t>0096882416</t>
  </si>
  <si>
    <t>0093640113</t>
  </si>
  <si>
    <t>3100132772</t>
  </si>
  <si>
    <t>0097910400</t>
  </si>
  <si>
    <t>0091134035</t>
  </si>
  <si>
    <t>0106245820</t>
  </si>
  <si>
    <t>0101902217</t>
  </si>
  <si>
    <t>0094238472</t>
  </si>
  <si>
    <t>3096149866</t>
  </si>
  <si>
    <t>0106183087</t>
  </si>
  <si>
    <t>0107182326</t>
  </si>
  <si>
    <t>0099107315</t>
  </si>
  <si>
    <t>0094680852</t>
  </si>
  <si>
    <t>0098348385</t>
  </si>
  <si>
    <t>0096033014</t>
  </si>
  <si>
    <t>0104072965</t>
  </si>
  <si>
    <t>2107246447</t>
  </si>
  <si>
    <t>0096128036</t>
  </si>
  <si>
    <t>0107055406</t>
  </si>
  <si>
    <t>0108389311</t>
  </si>
  <si>
    <t>0097357764</t>
  </si>
  <si>
    <t>0102387971</t>
  </si>
  <si>
    <t>0092171774</t>
  </si>
  <si>
    <t>0103134538</t>
  </si>
  <si>
    <t>0104895570</t>
  </si>
  <si>
    <t>0099138854</t>
  </si>
  <si>
    <t>0105133490</t>
  </si>
  <si>
    <t>0099153455</t>
  </si>
  <si>
    <t>0103526904</t>
  </si>
  <si>
    <t>0098248691</t>
  </si>
  <si>
    <t>0105616025</t>
  </si>
  <si>
    <t>0102329313</t>
  </si>
  <si>
    <t>0094626978</t>
  </si>
  <si>
    <t>0093849649</t>
  </si>
  <si>
    <t>0102890859</t>
  </si>
  <si>
    <t>0102210036</t>
  </si>
  <si>
    <t>3099544859</t>
  </si>
  <si>
    <t>0104574006</t>
  </si>
  <si>
    <t>0094966956</t>
  </si>
  <si>
    <t>0102208567</t>
  </si>
  <si>
    <t>3101402781</t>
  </si>
  <si>
    <t>0098516941</t>
  </si>
  <si>
    <t>0113735828</t>
  </si>
  <si>
    <t>0109589144</t>
  </si>
  <si>
    <t>0108105659</t>
  </si>
  <si>
    <t>0091758520</t>
  </si>
  <si>
    <t>0093643944</t>
  </si>
  <si>
    <t>0109464483</t>
  </si>
  <si>
    <t>3103591489</t>
  </si>
  <si>
    <t>0097831413</t>
  </si>
  <si>
    <t>0094313180</t>
  </si>
  <si>
    <t>0093204066</t>
  </si>
  <si>
    <t>0108540094</t>
  </si>
  <si>
    <t>0108413702</t>
  </si>
  <si>
    <t>0108718382</t>
  </si>
  <si>
    <t>0099775444</t>
  </si>
  <si>
    <t>0109542213</t>
  </si>
  <si>
    <t>0108324867</t>
  </si>
  <si>
    <t>0109013664</t>
  </si>
  <si>
    <t>0108561560</t>
  </si>
  <si>
    <t>0096963702</t>
  </si>
  <si>
    <t>0091952413</t>
  </si>
  <si>
    <t>0099678017</t>
  </si>
  <si>
    <t>0104439014</t>
  </si>
  <si>
    <t>0097138954</t>
  </si>
  <si>
    <t>0101964014</t>
  </si>
  <si>
    <t>3105650741</t>
  </si>
  <si>
    <t>0091891047</t>
  </si>
  <si>
    <t>0103193565</t>
  </si>
  <si>
    <t>0096506746</t>
  </si>
  <si>
    <t>0095529275</t>
  </si>
  <si>
    <t>0108527903</t>
  </si>
  <si>
    <t>0108365392</t>
  </si>
  <si>
    <t>0092709548</t>
  </si>
  <si>
    <t>0118415302</t>
  </si>
  <si>
    <t>0097372379</t>
  </si>
  <si>
    <t>0093335479</t>
  </si>
  <si>
    <t>0106465537</t>
  </si>
  <si>
    <t>0103732986</t>
  </si>
  <si>
    <t>0105348604</t>
  </si>
  <si>
    <t>0108812130</t>
  </si>
  <si>
    <t>0094912922</t>
  </si>
  <si>
    <t>0101578446</t>
  </si>
  <si>
    <t>0092179308</t>
  </si>
  <si>
    <t>0098186648</t>
  </si>
  <si>
    <t>0092349928</t>
  </si>
  <si>
    <t>0096753454</t>
  </si>
  <si>
    <t>0102000943</t>
  </si>
  <si>
    <t>0105612000</t>
  </si>
  <si>
    <t>0109258787</t>
  </si>
  <si>
    <t>0093712588</t>
  </si>
  <si>
    <t>0102414768</t>
  </si>
  <si>
    <t>0106760506</t>
  </si>
  <si>
    <t>0095542022</t>
  </si>
  <si>
    <t>0091610224</t>
  </si>
  <si>
    <t>0105010681</t>
  </si>
  <si>
    <t>0105717177</t>
  </si>
  <si>
    <t>0107258754</t>
  </si>
  <si>
    <t>0093632849</t>
  </si>
  <si>
    <t>0105748224</t>
  </si>
  <si>
    <t>0097950619</t>
  </si>
  <si>
    <t>0105770130</t>
  </si>
  <si>
    <t>0093866965</t>
  </si>
  <si>
    <t>3097129671</t>
  </si>
  <si>
    <t>0093002808</t>
  </si>
  <si>
    <t>0107831985</t>
  </si>
  <si>
    <t>0101396555</t>
  </si>
  <si>
    <t>0108675973</t>
  </si>
  <si>
    <t>2099366441</t>
  </si>
  <si>
    <t>0109010502</t>
  </si>
  <si>
    <t>0109682985</t>
  </si>
  <si>
    <t>0092725675</t>
  </si>
  <si>
    <t>3106961615</t>
  </si>
  <si>
    <t>0102221985</t>
  </si>
  <si>
    <t>0096201622</t>
  </si>
  <si>
    <t>0104985283</t>
  </si>
  <si>
    <t>3086279831</t>
  </si>
  <si>
    <t>3091107524</t>
  </si>
  <si>
    <t>0103652262</t>
  </si>
  <si>
    <t>0097732804</t>
  </si>
  <si>
    <t>3093490279</t>
  </si>
  <si>
    <t>0094431854</t>
  </si>
  <si>
    <t>0103035193</t>
  </si>
  <si>
    <t>0095778047</t>
  </si>
  <si>
    <t>0103777854</t>
  </si>
  <si>
    <t>3109116422</t>
  </si>
  <si>
    <t>0103887571</t>
  </si>
  <si>
    <t>0102148224</t>
  </si>
  <si>
    <t>0096368920</t>
  </si>
  <si>
    <t>0094328074</t>
  </si>
  <si>
    <t>0098429745</t>
  </si>
  <si>
    <t>3102974181</t>
  </si>
  <si>
    <t>0099622136</t>
  </si>
  <si>
    <t>0102898760</t>
  </si>
  <si>
    <t>0106961567</t>
  </si>
  <si>
    <t>0105994913</t>
  </si>
  <si>
    <t>0093563834</t>
  </si>
  <si>
    <t>0097303991</t>
  </si>
  <si>
    <t>0098050747</t>
  </si>
  <si>
    <t>0092524998</t>
  </si>
  <si>
    <t>0109344308</t>
  </si>
  <si>
    <t>0101659072</t>
  </si>
  <si>
    <t>0095899359</t>
  </si>
  <si>
    <t>0095810986</t>
  </si>
  <si>
    <t>F</t>
  </si>
  <si>
    <t>No.</t>
  </si>
  <si>
    <t>Nama</t>
  </si>
  <si>
    <t>P/L</t>
  </si>
  <si>
    <t>Asal Sekolah</t>
  </si>
  <si>
    <t>Tilawah &amp; Hafalan</t>
  </si>
  <si>
    <t>al matuq boarding school / 6 juz</t>
  </si>
  <si>
    <t>Lancar sesuai tajwid</t>
  </si>
  <si>
    <t xml:space="preserve">SMP Al-Kahfi : 3 juz </t>
  </si>
  <si>
    <t>Bagus, Lancar bacaannya</t>
  </si>
  <si>
    <t>SMP Qur'an Assalam : 6 juz mutqin 3</t>
  </si>
  <si>
    <t>Lancar bacaannya sesuai tajwid</t>
  </si>
  <si>
    <t>SMPIT Rahmaniyah : 5 juz</t>
  </si>
  <si>
    <t>Lancar dengan tajwid</t>
  </si>
  <si>
    <t>dari pondok pindah ke SMP / 5 juz</t>
  </si>
  <si>
    <t>Lancar dengan tajwid dan tartil</t>
  </si>
  <si>
    <t>SMPIT darul qur'an / 3juz</t>
  </si>
  <si>
    <t xml:space="preserve">SMP Ungulan Rarohman Sukabumi : 5 juz </t>
  </si>
  <si>
    <t>SMPIT Sinergi Islamic Boarding School / 3 juz</t>
  </si>
  <si>
    <t>Ponpes Rahmaniya / 3 juz</t>
  </si>
  <si>
    <t>Ponpes el tahfidh / 18 juz</t>
  </si>
  <si>
    <t>SMP Bintang Pelajar</t>
  </si>
  <si>
    <t>SMP AL Azhar Syifa Budi</t>
  </si>
  <si>
    <t>Lancar sesuai tajwid dan tartil</t>
  </si>
  <si>
    <t>MTS Nurul Furqon</t>
  </si>
  <si>
    <t>Lancar dengan tajwid suara bagus</t>
  </si>
  <si>
    <t>Pondok Umul Quro</t>
  </si>
  <si>
    <t>Ponpes Idrisiyah</t>
  </si>
  <si>
    <t>SMP Al Kahfi</t>
  </si>
  <si>
    <t>SMP Darul Jannah</t>
  </si>
  <si>
    <t>SMP Al-Kahfi</t>
  </si>
  <si>
    <t>SMP Syifa Budi</t>
  </si>
  <si>
    <t>SMP IT Al Yasmin 2 Bogor</t>
  </si>
  <si>
    <t>ponpes umul quro</t>
  </si>
  <si>
    <t xml:space="preserve">Lancar dengan tajwid suara bagus </t>
  </si>
  <si>
    <t>Mahad AlFaruq : 4 juz</t>
  </si>
  <si>
    <t>SMPIT Umul Quro : 10 juz</t>
  </si>
  <si>
    <t>Pondok ma'had tahfidz Al=Qur'an Al=Imam Asy syathiby / 30 juz</t>
  </si>
  <si>
    <t>lancar sesuai tajwid</t>
  </si>
  <si>
    <t>SMP El Makmur / 3 juz</t>
  </si>
  <si>
    <t>SMP BINA INSAN MULIA 2 CIREBON : 5 JUZ</t>
  </si>
  <si>
    <t>SMPIT Rahmaniyah : 7 juz</t>
  </si>
  <si>
    <t>Ponpes Darul Qur'an (10 juz)</t>
  </si>
  <si>
    <t>Lancar dengan tajwid tartil dan suara bagus</t>
  </si>
  <si>
    <t>SMPIT al Iman</t>
  </si>
  <si>
    <t>Lancar dengan tajwid tartil</t>
  </si>
  <si>
    <t>Ponpes Rahmaniya / 5 juz</t>
  </si>
  <si>
    <t xml:space="preserve">Lancar dengan tajwid </t>
  </si>
  <si>
    <t>SMP Sains Whid Hasyim 11 juz</t>
  </si>
  <si>
    <t>SMP Bani Abdillah 8 juz</t>
  </si>
  <si>
    <t>SMPQ As Salam : 30 juz</t>
  </si>
  <si>
    <t>MTS MILBoS International 7 juz</t>
  </si>
  <si>
    <t>Lancar dengn tajwid</t>
  </si>
  <si>
    <t xml:space="preserve">SMPIT AMALIA / </t>
  </si>
  <si>
    <t>SMPIT AMALIA</t>
  </si>
  <si>
    <t>Ponpes Umul Quro</t>
  </si>
  <si>
    <t xml:space="preserve">SMP Al azhar syifa budi </t>
  </si>
  <si>
    <t>Lancar dengan tajwid, suara bagus</t>
  </si>
  <si>
    <t>SMP IT Al-Huda wonogiri</t>
  </si>
  <si>
    <t>Ponpes AlQur'an Al Furqon</t>
  </si>
  <si>
    <t>SMP Anugerah Insani</t>
  </si>
  <si>
    <t xml:space="preserve">Ponpes Assalam islamic boarding school </t>
  </si>
  <si>
    <t>SMP islam AMALIA</t>
  </si>
  <si>
    <t xml:space="preserve">SMPIT Al-Kahfi </t>
  </si>
  <si>
    <t>SMP AMALIA</t>
  </si>
  <si>
    <t>Lancar tanpa tajwid</t>
  </si>
  <si>
    <t>PONPES Darut Taqwa</t>
  </si>
  <si>
    <t>L:ancara dengan tajwid</t>
  </si>
  <si>
    <t>Lancar dengan</t>
  </si>
  <si>
    <t>Wali Kelas : Selly Amalia, S.Hum</t>
  </si>
  <si>
    <t>Perempuan</t>
  </si>
  <si>
    <t>Laki laki</t>
  </si>
  <si>
    <t>Wali Kelas : Muhammad, S.Pd</t>
  </si>
  <si>
    <t>Wali Kelas : Syamsi Jawawi, S.Pd</t>
  </si>
  <si>
    <t>Dwi Lestari, S.Pd</t>
  </si>
  <si>
    <t>Deden Nur hasanah, S.E</t>
  </si>
  <si>
    <t>Wali Kelas : Raden Rara Tatra Sudhawati, S.Pd, M.Pd</t>
  </si>
  <si>
    <t>Wali Kelas : Dian Hairunnisa, S.Pd</t>
  </si>
  <si>
    <t>Wali Kelas : Fatmawati, S.Pd</t>
  </si>
  <si>
    <t>Wali Kelas : Dra. Nani Suryani, M.Pd</t>
  </si>
  <si>
    <t>Wali Kelas : Eva Fauziah, S.Pd</t>
  </si>
  <si>
    <t>Wali Kelas : Rahmalia Dewi, S.Si</t>
  </si>
  <si>
    <t>Wali Kelas : Sari Rahayu, S.Pd, M.Pd</t>
  </si>
  <si>
    <t>Partner</t>
  </si>
  <si>
    <t>Selly Amalia, S.Hum</t>
  </si>
  <si>
    <t>Muhammad, S.Pd</t>
  </si>
  <si>
    <t>Syamsi Jawawi, S.Pd</t>
  </si>
  <si>
    <t>Raden Rara Tatra Sudhawati, S.Pd, M.Pd</t>
  </si>
  <si>
    <t>Dian Hairunnisa, S.Pd</t>
  </si>
  <si>
    <t>Fatmawati, S.Pd</t>
  </si>
  <si>
    <t>Dra. Nani Suryani, M.Pd</t>
  </si>
  <si>
    <t>Eva Fauziah, S.Pd</t>
  </si>
  <si>
    <t>Rahmalia Dewi, S.Si</t>
  </si>
  <si>
    <t>Sari Rahayu, S.Pd, M.Pd</t>
  </si>
  <si>
    <t>Mentor:</t>
  </si>
  <si>
    <t>Oshe (XII)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</si>
</sst>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"/>
    <numFmt numFmtId="165" formatCode="m-d"/>
    <numFmt numFmtId="166" formatCode="d mmm"/>
    <numFmt numFmtId="167" formatCode="d mmmm"/>
  </numFmts>
  <fonts count="15">
    <font>
      <sz val="10.0"/>
      <color rgb="FF000000"/>
      <name val="Arial"/>
      <scheme val="minor"/>
    </font>
    <font>
      <b/>
      <sz val="18.0"/>
      <color theme="1"/>
      <name val="Arial"/>
    </font>
    <font>
      <color theme="1"/>
      <name val="Arial"/>
    </font>
    <font>
      <b/>
      <color theme="1"/>
      <name val="Arial"/>
    </font>
    <font/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</font>
    <font>
      <i/>
      <color theme="1"/>
      <name val="Arial"/>
    </font>
    <font>
      <b/>
      <i/>
      <color theme="1"/>
      <name val="Arial"/>
    </font>
    <font>
      <sz val="11.0"/>
      <color theme="1"/>
      <name val="Arial"/>
    </font>
    <font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2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center" shrinkToFit="0" vertical="bottom" wrapText="1"/>
    </xf>
    <xf borderId="4" fillId="2" fontId="3" numFmtId="0" xfId="0" applyAlignment="1" applyBorder="1" applyFill="1" applyFont="1">
      <alignment horizontal="center" readingOrder="0" vertical="center"/>
    </xf>
    <xf borderId="4" fillId="3" fontId="3" numFmtId="0" xfId="0" applyAlignment="1" applyBorder="1" applyFill="1" applyFont="1">
      <alignment horizontal="center" readingOrder="0" vertical="center"/>
    </xf>
    <xf borderId="4" fillId="4" fontId="3" numFmtId="0" xfId="0" applyAlignment="1" applyBorder="1" applyFill="1" applyFont="1">
      <alignment horizontal="center" readingOrder="0" vertical="center"/>
    </xf>
    <xf borderId="4" fillId="5" fontId="5" numFmtId="0" xfId="0" applyAlignment="1" applyBorder="1" applyFill="1" applyFont="1">
      <alignment horizontal="center" readingOrder="0" vertical="center"/>
    </xf>
    <xf borderId="4" fillId="0" fontId="2" numFmtId="0" xfId="0" applyAlignment="1" applyBorder="1" applyFont="1">
      <alignment vertical="bottom"/>
    </xf>
    <xf borderId="4" fillId="2" fontId="3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4" fillId="0" fontId="6" numFmtId="0" xfId="0" applyAlignment="1" applyBorder="1" applyFont="1">
      <alignment readingOrder="0"/>
    </xf>
    <xf borderId="4" fillId="4" fontId="3" numFmtId="0" xfId="0" applyAlignment="1" applyBorder="1" applyFont="1">
      <alignment vertical="bottom"/>
    </xf>
    <xf borderId="4" fillId="0" fontId="6" numFmtId="0" xfId="0" applyBorder="1" applyFont="1"/>
    <xf borderId="4" fillId="3" fontId="3" numFmtId="0" xfId="0" applyAlignment="1" applyBorder="1" applyFont="1">
      <alignment vertical="bottom"/>
    </xf>
    <xf borderId="4" fillId="4" fontId="7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2" fontId="3" numFmtId="0" xfId="0" applyAlignment="1" applyBorder="1" applyFont="1">
      <alignment vertical="bottom"/>
    </xf>
    <xf borderId="4" fillId="0" fontId="2" numFmtId="0" xfId="0" applyAlignment="1" applyBorder="1" applyFont="1">
      <alignment horizontal="right" vertical="bottom"/>
    </xf>
    <xf borderId="5" fillId="2" fontId="3" numFmtId="0" xfId="0" applyAlignment="1" applyBorder="1" applyFont="1">
      <alignment vertical="bottom"/>
    </xf>
    <xf borderId="4" fillId="0" fontId="2" numFmtId="164" xfId="0" applyAlignment="1" applyBorder="1" applyFont="1" applyNumberFormat="1">
      <alignment horizontal="right" vertical="bottom"/>
    </xf>
    <xf borderId="4" fillId="0" fontId="2" numFmtId="165" xfId="0" applyAlignment="1" applyBorder="1" applyFont="1" applyNumberFormat="1">
      <alignment horizontal="right" vertical="bottom"/>
    </xf>
    <xf borderId="5" fillId="3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4" fillId="2" fontId="8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center"/>
    </xf>
    <xf borderId="4" fillId="4" fontId="8" numFmtId="0" xfId="0" applyAlignment="1" applyBorder="1" applyFont="1">
      <alignment vertical="bottom"/>
    </xf>
    <xf borderId="6" fillId="0" fontId="4" numFmtId="0" xfId="0" applyBorder="1" applyFont="1"/>
    <xf borderId="4" fillId="2" fontId="9" numFmtId="0" xfId="0" applyAlignment="1" applyBorder="1" applyFont="1">
      <alignment vertical="bottom"/>
    </xf>
    <xf borderId="4" fillId="0" fontId="2" numFmtId="164" xfId="0" applyAlignment="1" applyBorder="1" applyFont="1" applyNumberFormat="1">
      <alignment vertical="bottom"/>
    </xf>
    <xf borderId="5" fillId="0" fontId="4" numFmtId="0" xfId="0" applyBorder="1" applyFont="1"/>
    <xf borderId="4" fillId="5" fontId="2" numFmtId="0" xfId="0" applyAlignment="1" applyBorder="1" applyFont="1">
      <alignment vertical="bottom"/>
    </xf>
    <xf borderId="7" fillId="0" fontId="6" numFmtId="0" xfId="0" applyBorder="1" applyFont="1"/>
    <xf borderId="0" fillId="0" fontId="3" numFmtId="0" xfId="0" applyAlignment="1" applyFont="1">
      <alignment readingOrder="0" vertical="bottom"/>
    </xf>
    <xf borderId="0" fillId="0" fontId="5" numFmtId="0" xfId="0" applyFont="1"/>
    <xf borderId="4" fillId="0" fontId="3" numFmtId="0" xfId="0" applyAlignment="1" applyBorder="1" applyFont="1">
      <alignment readingOrder="0" vertical="bottom"/>
    </xf>
    <xf borderId="0" fillId="6" fontId="6" numFmtId="0" xfId="0" applyAlignment="1" applyFill="1" applyFont="1">
      <alignment horizontal="center" readingOrder="0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5" fillId="0" fontId="2" numFmtId="0" xfId="0" applyAlignment="1" applyBorder="1" applyFont="1">
      <alignment vertical="bottom"/>
    </xf>
    <xf borderId="0" fillId="0" fontId="6" numFmtId="0" xfId="0" applyFont="1"/>
    <xf borderId="8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center" vertical="center"/>
    </xf>
    <xf borderId="1" fillId="0" fontId="8" numFmtId="0" xfId="0" applyAlignment="1" applyBorder="1" applyFont="1">
      <alignment vertical="bottom"/>
    </xf>
    <xf borderId="4" fillId="0" fontId="2" numFmtId="0" xfId="0" applyAlignment="1" applyBorder="1" applyFont="1">
      <alignment horizontal="left" shrinkToFit="0" vertical="center" wrapText="0"/>
    </xf>
    <xf borderId="4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8" fillId="0" fontId="2" numFmtId="0" xfId="0" applyAlignment="1" applyBorder="1" applyFont="1">
      <alignment readingOrder="0" vertical="bottom"/>
    </xf>
    <xf borderId="9" fillId="0" fontId="2" numFmtId="0" xfId="0" applyAlignment="1" applyBorder="1" applyFont="1">
      <alignment vertical="bottom"/>
    </xf>
    <xf borderId="4" fillId="0" fontId="6" numFmtId="0" xfId="0" applyAlignment="1" applyBorder="1" applyFont="1">
      <alignment readingOrder="0"/>
    </xf>
    <xf borderId="4" fillId="0" fontId="6" numFmtId="0" xfId="0" applyBorder="1" applyFont="1"/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166" xfId="0" applyAlignment="1" applyFont="1" applyNumberFormat="1">
      <alignment horizontal="left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167" xfId="0" applyAlignment="1" applyFont="1" applyNumberFormat="1">
      <alignment readingOrder="0" shrinkToFit="0" vertical="center" wrapText="1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vertical="bottom"/>
    </xf>
    <xf borderId="0" fillId="0" fontId="2" numFmtId="0" xfId="0" applyAlignment="1" applyFont="1">
      <alignment horizontal="left"/>
    </xf>
    <xf borderId="6" fillId="0" fontId="3" numFmtId="0" xfId="0" applyAlignment="1" applyBorder="1" applyFont="1">
      <alignment vertical="bottom"/>
    </xf>
    <xf borderId="0" fillId="0" fontId="10" numFmtId="0" xfId="0" applyAlignment="1" applyFont="1">
      <alignment horizontal="left" vertical="bottom"/>
    </xf>
    <xf borderId="0" fillId="0" fontId="10" numFmtId="0" xfId="0" applyAlignment="1" applyFont="1">
      <alignment vertical="bottom"/>
    </xf>
    <xf borderId="10" fillId="0" fontId="11" numFmtId="0" xfId="0" applyAlignment="1" applyBorder="1" applyFont="1">
      <alignment horizontal="left" shrinkToFit="0" vertical="bottom" wrapText="0"/>
    </xf>
    <xf borderId="4" fillId="0" fontId="11" numFmtId="0" xfId="0" applyAlignment="1" applyBorder="1" applyFont="1">
      <alignment horizontal="center" shrinkToFit="0" vertical="center" wrapText="0"/>
    </xf>
    <xf borderId="11" fillId="0" fontId="11" numFmtId="0" xfId="0" applyAlignment="1" applyBorder="1" applyFont="1">
      <alignment horizontal="left" shrinkToFit="0" vertical="center" wrapText="0"/>
    </xf>
    <xf borderId="12" fillId="0" fontId="11" numFmtId="0" xfId="0" applyAlignment="1" applyBorder="1" applyFont="1">
      <alignment horizontal="left" shrinkToFit="0" vertical="center" wrapText="0"/>
    </xf>
    <xf borderId="13" fillId="0" fontId="11" numFmtId="0" xfId="0" applyAlignment="1" applyBorder="1" applyFont="1">
      <alignment horizontal="left" shrinkToFit="0" vertical="bottom" wrapText="0"/>
    </xf>
    <xf borderId="4" fillId="0" fontId="11" numFmtId="0" xfId="0" applyAlignment="1" applyBorder="1" applyFont="1">
      <alignment horizontal="center" shrinkToFit="0" vertical="bottom" wrapText="0"/>
    </xf>
    <xf borderId="4" fillId="0" fontId="11" numFmtId="0" xfId="0" applyAlignment="1" applyBorder="1" applyFont="1">
      <alignment shrinkToFit="0" vertical="bottom" wrapText="0"/>
    </xf>
    <xf borderId="14" fillId="0" fontId="11" numFmtId="0" xfId="0" applyAlignment="1" applyBorder="1" applyFont="1">
      <alignment shrinkToFit="0" vertical="center" wrapText="0"/>
    </xf>
    <xf borderId="15" fillId="0" fontId="11" numFmtId="0" xfId="0" applyAlignment="1" applyBorder="1" applyFont="1">
      <alignment shrinkToFit="0" vertical="center" wrapText="0"/>
    </xf>
    <xf borderId="16" fillId="0" fontId="11" numFmtId="0" xfId="0" applyAlignment="1" applyBorder="1" applyFont="1">
      <alignment horizontal="left" shrinkToFit="0" vertical="center" wrapText="0"/>
    </xf>
    <xf borderId="17" fillId="0" fontId="11" numFmtId="0" xfId="0" applyAlignment="1" applyBorder="1" applyFont="1">
      <alignment shrinkToFit="0" vertical="center" wrapText="0"/>
    </xf>
    <xf borderId="18" fillId="0" fontId="11" numFmtId="0" xfId="0" applyAlignment="1" applyBorder="1" applyFont="1">
      <alignment shrinkToFit="0" vertical="center" wrapText="0"/>
    </xf>
    <xf borderId="13" fillId="0" fontId="11" numFmtId="0" xfId="0" applyAlignment="1" applyBorder="1" applyFont="1">
      <alignment horizontal="left" shrinkToFit="0" vertical="center" wrapText="0"/>
    </xf>
    <xf borderId="16" fillId="0" fontId="11" numFmtId="0" xfId="0" applyAlignment="1" applyBorder="1" applyFont="1">
      <alignment horizontal="left" shrinkToFit="0" vertical="bottom" wrapText="0"/>
    </xf>
    <xf borderId="19" fillId="0" fontId="11" numFmtId="0" xfId="0" applyAlignment="1" applyBorder="1" applyFont="1">
      <alignment horizontal="left" shrinkToFit="0" vertical="center" wrapText="0"/>
    </xf>
    <xf borderId="20" fillId="0" fontId="11" numFmtId="0" xfId="0" applyAlignment="1" applyBorder="1" applyFont="1">
      <alignment shrinkToFit="0" vertical="center" wrapText="0"/>
    </xf>
    <xf borderId="21" fillId="0" fontId="11" numFmtId="0" xfId="0" applyAlignment="1" applyBorder="1" applyFont="1">
      <alignment shrinkToFit="0" vertical="center" wrapText="0"/>
    </xf>
    <xf borderId="4" fillId="0" fontId="11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horizontal="center"/>
    </xf>
    <xf borderId="4" fillId="0" fontId="2" numFmtId="0" xfId="0" applyAlignment="1" applyBorder="1" applyFont="1">
      <alignment horizontal="center"/>
    </xf>
    <xf borderId="4" fillId="0" fontId="12" numFmtId="0" xfId="0" applyAlignment="1" applyBorder="1" applyFont="1">
      <alignment horizontal="center" vertical="bottom"/>
    </xf>
    <xf borderId="4" fillId="0" fontId="13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4" fillId="0" fontId="14" numFmtId="0" xfId="0" applyAlignment="1" applyBorder="1" applyFont="1">
      <alignment horizontal="center"/>
    </xf>
    <xf borderId="4" fillId="0" fontId="12" numFmtId="0" xfId="0" applyAlignment="1" applyBorder="1" applyFont="1">
      <alignment horizontal="right" vertical="bottom"/>
    </xf>
    <xf borderId="4" fillId="0" fontId="10" numFmtId="0" xfId="0" applyAlignment="1" applyBorder="1" applyFont="1">
      <alignment vertical="bottom"/>
    </xf>
    <xf borderId="0" fillId="7" fontId="3" numFmtId="0" xfId="0" applyFill="1" applyFont="1"/>
    <xf borderId="0" fillId="7" fontId="2" numFmtId="0" xfId="0" applyFont="1"/>
    <xf borderId="0" fillId="7" fontId="2" numFmtId="0" xfId="0" applyFont="1"/>
    <xf borderId="0" fillId="7" fontId="2" numFmtId="0" xfId="0" applyAlignment="1" applyFont="1">
      <alignment vertical="bottom"/>
    </xf>
    <xf borderId="0" fillId="7" fontId="3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">
    <tableStyle count="3" pivot="0" name="Angkatan 33-style">
      <tableStyleElement dxfId="1" type="headerRow"/>
      <tableStyleElement dxfId="2" type="firstRowStripe"/>
      <tableStyleElement dxfId="3" type="secondRowStripe"/>
    </tableStyle>
    <tableStyle count="3" pivot="0" name="Angkatan 32-style">
      <tableStyleElement dxfId="1" type="headerRow"/>
      <tableStyleElement dxfId="2" type="firstRowStripe"/>
      <tableStyleElement dxfId="3" type="secondRowStripe"/>
    </tableStyle>
    <tableStyle count="3" pivot="0" name="Angkatan 31-style">
      <tableStyleElement dxfId="1" type="headerRow"/>
      <tableStyleElement dxfId="2" type="firstRowStripe"/>
      <tableStyleElement dxfId="3" type="secondRowStripe"/>
    </tableStyle>
    <tableStyle count="2" pivot="0" name="MetaData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pivotCacheDefinition" Target="pivotCache/pivotCacheDefinition1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K517" sheet="Angkatan 33"/>
  </cacheSource>
  <cacheFields>
    <cacheField name="Column 10" numFmtId="0">
      <sharedItems containsSemiMixedTypes="0" containsString="0" containsNumber="1" containsInteger="1"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</sharedItems>
    </cacheField>
    <cacheField name="NO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</sharedItems>
    </cacheField>
    <cacheField name="NISN" numFmtId="0">
      <sharedItems>
        <s v="0092626116"/>
        <s v="3103201253"/>
        <s v="0102149444"/>
        <s v="0095992391"/>
        <s v="0106142601"/>
        <s v="0108104548"/>
        <s v="0103045473"/>
        <s v="0109105725"/>
        <s v="0096394871"/>
        <s v="0096477713"/>
        <s v="0106995291"/>
        <s v="0094126705"/>
        <s v="0105914504"/>
        <s v="0092097491"/>
        <s v="0102644442"/>
        <s v="0107657965"/>
        <s v="0095023834"/>
        <s v="0094631117"/>
        <s v="0092679798"/>
        <s v="0103648473"/>
        <s v="0092985486"/>
        <s v="0107959828"/>
        <s v="0092600602"/>
        <s v="0108695912"/>
        <s v="0093126257"/>
        <s v="3104497802"/>
        <s v="0108107461"/>
        <s v="0092807405"/>
        <s v="0102300207"/>
        <s v="0097892166"/>
        <s v="0097858274"/>
        <s v="0093105045"/>
        <s v="0095438030"/>
        <s v="0107914534"/>
        <s v="0097963483"/>
        <s v="0092135851"/>
        <s v="0092605198"/>
        <s v="0103151970"/>
        <s v="0097644165"/>
        <s v="0102657659"/>
        <s v="0111428850"/>
        <s v="0108505453"/>
        <s v="0094216870"/>
        <s v="0107760733"/>
        <s v="0105130233"/>
        <s v="0104550133"/>
        <s v="0095372504"/>
        <s v="0105813396"/>
        <s v="0109006152"/>
        <s v="0097211030"/>
        <s v="3108667209"/>
        <s v="0098513542"/>
        <s v="0106376916"/>
        <s v="0105797314"/>
        <s v="0102731314"/>
        <s v="0092794157"/>
        <s v="0106384221"/>
        <s v="3104617391"/>
        <s v="0098157268"/>
        <s v="0099675945"/>
        <s v="0104532267"/>
        <s v="0097593921"/>
        <s v="0106157075"/>
        <s v="0104141415"/>
        <s v="0105606050"/>
        <s v="0094564578"/>
        <s v="0103261879"/>
        <s v="0092576905"/>
        <s v="0099605205"/>
        <s v="0108384400"/>
        <s v="0098087445"/>
        <s v="0108518402"/>
        <s v="0098345742"/>
        <s v="0104535464"/>
        <s v="3107410887"/>
        <s v="0093768427"/>
        <s v="0103404970"/>
        <s v="0106276801"/>
        <s v="0098833541"/>
        <s v="0095492963"/>
        <s v="0091964566"/>
        <s v="0092731928"/>
        <s v="0102751293"/>
        <s v="0104292767"/>
        <s v="0096087965"/>
        <s v="0094703204"/>
        <s v="0106941990"/>
        <s v="0109964803"/>
        <s v="0104084075"/>
        <s v="0098221239"/>
        <s v="0104751597"/>
        <s v="0104406841"/>
        <s v="0102122161"/>
        <s v="0108329102"/>
        <s v="0103047499"/>
        <s v="0102794623"/>
        <s v="0096103714"/>
        <s v="0103966590"/>
        <s v="0097493642"/>
        <s v="0096662016"/>
        <s v="0096892367"/>
        <s v="0094686377"/>
        <s v="0109768822"/>
        <s v="0104767807"/>
        <s v="0104211640"/>
        <s v="0107095977"/>
        <s v="0092150853"/>
        <s v="0091769169"/>
        <s v="0103190164"/>
        <s v="3096846304"/>
        <s v="0104716348"/>
        <s v="0102174126"/>
        <s v="0097540821"/>
        <s v="0102114748"/>
        <s v="0097603092"/>
        <s v="0106292164"/>
        <s v="3104085681"/>
        <s v="0105055522"/>
        <s v="0092263541"/>
        <s v="0091178036"/>
        <s v="0106930882"/>
        <s v="0109721617"/>
        <s v="0101188685"/>
        <s v="0106443881"/>
        <s v="0106136353"/>
        <s v="0095491750"/>
        <s v="0087811342"/>
        <s v="0094160993"/>
        <s v="0103659705"/>
        <s v="0107838813"/>
        <s v="0108144208"/>
        <s v="0096853688"/>
        <s v="0092637367"/>
        <s v="0095522157"/>
        <s v="0098223677"/>
        <s v="0106545857"/>
        <s v="0108696681"/>
        <s v="0102866245"/>
        <s v="0107425878"/>
        <s v="0104987304"/>
        <s v="0104595564"/>
        <s v="0107286739"/>
        <s v="0109267722"/>
        <s v="0093634061"/>
        <s v="3091547533"/>
        <s v="0097951249"/>
        <s v="0102015407"/>
        <s v="0106908655"/>
        <s v="0092608342"/>
        <s v="0098979111"/>
        <s v="0105497173"/>
        <s v="0092028941"/>
        <s v="0097410697"/>
        <s v="3105173369"/>
        <s v="3107700954"/>
        <s v="0109782055"/>
        <s v="0108699884"/>
        <s v="0108390462"/>
        <s v="0107960365"/>
        <s v="0104838010"/>
        <s v="0108451246"/>
        <s v="3104089400"/>
        <s v="0107731505"/>
        <s v="0105775007"/>
        <s v="0106588309"/>
        <s v="0106219079"/>
        <s v="0094714082"/>
        <s v="0102630183"/>
        <s v="0106490661"/>
        <s v="0092194625"/>
        <s v="3108509756"/>
        <s v="0099540724"/>
        <s v="0107934430"/>
        <s v="0099668827"/>
        <s v="0102993208"/>
        <s v="0104459637"/>
        <s v="0104825356"/>
        <s v="0099339799"/>
        <s v="0098197227"/>
        <s v="0093274791"/>
        <s v="0099900563"/>
        <s v="0092597384"/>
        <s v="3105062394"/>
        <s v="0103139137"/>
        <s v="0091763745"/>
        <s v="0095064549"/>
        <s v="3098845163"/>
        <s v="0104630358"/>
        <s v="0097535113"/>
        <s v="0094686372"/>
        <s v="0108578906"/>
        <s v="3107979922"/>
        <s v="0105902624"/>
        <s v="0095937017"/>
        <s v="3094594523"/>
        <s v="0092479207"/>
        <s v="0092223990"/>
        <s v="0104434944"/>
        <s v="0108770789"/>
        <s v="0101523916"/>
        <s v="3099045754"/>
        <s v="0104883711"/>
        <s v="3099055467"/>
        <s v="0092103124"/>
        <s v="0102081772"/>
        <s v="0097864614"/>
        <s v="0093090773"/>
        <s v="0095160472"/>
        <s v="0092402487"/>
        <s v="0092706472"/>
        <s v="0105183684"/>
        <s v="0098052333"/>
        <s v="3094664028"/>
        <s v="0099429653"/>
        <s v="0094216872"/>
        <s v="3093210071"/>
        <s v="0099344894"/>
        <s v="0104799326"/>
        <s v="0099286083"/>
        <s v="0093451857"/>
        <s v="0074430959"/>
        <s v="0096744611"/>
        <s v="0093286261"/>
        <s v="0092383688"/>
        <s v="0094160236"/>
        <s v="0101705316"/>
        <s v="3090346201"/>
        <s v="0107948623"/>
        <s v="0099375007"/>
        <s v="0109221606"/>
        <s v="0109522386"/>
        <s v="0098849299"/>
        <s v="0095549480"/>
        <s v="0108065698"/>
        <s v="0106380486"/>
        <s v="0092020564"/>
        <s v="0105446689"/>
        <s v="0093623051"/>
        <s v="0108406931"/>
        <s v="0104171202"/>
        <s v="3096816288"/>
        <s v="0102698949"/>
        <s v="3096600612"/>
        <s v="0106462308"/>
        <s v="0101383149"/>
        <s v="0101303057"/>
        <s v="0109597144"/>
        <s v="3096764634"/>
        <s v="0094347087"/>
        <s v="0101401010"/>
        <s v="0106758481"/>
        <s v="0092241333"/>
        <s v="0102239764"/>
        <s v="0108763766"/>
        <s v="0103120702"/>
        <s v="0099164493"/>
        <s v="0093281671"/>
        <s v="0091524155"/>
        <s v="0107042804"/>
        <s v="0094782869"/>
        <s v="0107335774"/>
        <s v="3103220251"/>
        <s v="0093078917"/>
        <s v="0106222604"/>
        <s v="0105055119"/>
        <s v="0096544983"/>
        <s v="0106562767"/>
        <s v="3093288409"/>
        <s v="0103468589"/>
        <s v="0104328116"/>
        <s v="0093678218"/>
        <s v="0093828028"/>
        <s v="0109769349"/>
        <s v="0093629282"/>
        <s v="0095243962"/>
        <s v="0105755550"/>
        <s v="0106828126"/>
        <s v="0097673142"/>
        <s v="0107698921"/>
        <s v="0098514088"/>
        <s v="0108129059"/>
        <s v="0109551129"/>
        <s v="0093003786"/>
        <s v="0096444734"/>
        <s v="0107487290"/>
        <s v="3102286552"/>
        <s v="0107936085"/>
        <s v="0106701592"/>
        <s v="0104155224"/>
        <s v="0097446281"/>
        <s v="0105614197"/>
        <s v="0109499801"/>
        <s v="0093560012"/>
        <s v="0092017710"/>
        <s v="0098009248"/>
        <s v="3105167232"/>
        <s v="0107122505"/>
        <s v="0104668456"/>
        <s v="0102036572"/>
        <s v="0102307654"/>
        <s v="0105089607"/>
        <s v="0096174502"/>
        <s v="0092180086"/>
        <s v="3094942931"/>
        <s v="0103091510"/>
        <s v="0093558313"/>
        <s v="0093242338"/>
        <s v="0095632017"/>
        <s v="0099446424"/>
        <s v="0103174946"/>
        <s v="0107691976"/>
        <s v="0101976221"/>
        <s v="0092212305"/>
        <s v="0102160006"/>
        <s v="0103442868"/>
        <s v="0105918833"/>
        <s v="0099772945"/>
        <s v="0094259451"/>
        <s v="0107525738"/>
        <s v="3107499493"/>
        <s v="3108018555"/>
        <s v="0091031385"/>
        <s v="0111220217"/>
        <s v="0098938532"/>
        <s v="3109348901"/>
        <s v="0091281050"/>
        <s v="0107347265"/>
        <s v="0105961239"/>
        <s v="0105803552"/>
        <s v="0095193509"/>
        <s v="0109599363"/>
        <s v="0105462734"/>
        <s v="0097882314"/>
        <s v="0099739465"/>
        <s v="0102838068"/>
        <s v="0107357472"/>
        <s v="0093433461"/>
        <s v="0108340159"/>
        <s v="0094438921"/>
        <s v="0106681838"/>
        <s v="0108974704"/>
        <s v="0105339420"/>
        <s v="0093799489"/>
        <s v="3111697965"/>
        <s v="0102592413"/>
        <s v="0099452000"/>
        <s v="0093343311"/>
        <s v="0102924778"/>
        <s v="0108974038"/>
        <s v="0104378571"/>
        <s v="0107900663"/>
        <s v="0091254694"/>
        <s v="0108673369"/>
        <s v="0097946386"/>
        <s v="0099535255"/>
        <s v="0094573200"/>
        <s v="0114593936"/>
        <s v="0109669821"/>
        <s v="0103695549"/>
        <s v="0095770160"/>
        <s v="0106852675"/>
        <s v="0094047198"/>
        <s v="0102372511"/>
        <s v="0098113225"/>
        <s v="0103979225"/>
        <s v="0095022365"/>
        <s v="0104557332"/>
        <s v="0092772943"/>
        <s v="0098897790"/>
        <s v="0101059940"/>
        <s v="0094119764"/>
        <s v="0096882416"/>
        <s v="0093640113"/>
        <s v="3100132772"/>
        <s v="0097910400"/>
        <s v="0091134035"/>
        <s v="0106245820"/>
        <s v="0101902217"/>
        <s v="0094238472"/>
        <s v="3096149866"/>
        <s v="0106183087"/>
        <s v="0107182326"/>
        <s v="0099107315"/>
        <s v="0094680852"/>
        <s v="0098348385"/>
        <s v="0096033014"/>
        <s v="0104072965"/>
        <s v="2107246447"/>
        <s v="0096128036"/>
        <s v="0107055406"/>
        <s v="0108389311"/>
        <s v="0097357764"/>
        <s v="0102387971"/>
        <s v="0092171774"/>
        <s v="0103134538"/>
        <s v="0104895570"/>
        <s v="0099138854"/>
        <s v="0105133490"/>
        <s v="0099153455"/>
        <s v="0103526904"/>
        <s v="0098248691"/>
        <s v="0105616025"/>
        <s v="0102329313"/>
        <s v="0094626978"/>
        <s v="0093849649"/>
        <s v="0102890859"/>
        <s v="0102210036"/>
        <s v="3099544859"/>
        <s v="0104574006"/>
        <s v="0094966956"/>
        <s v="0102208567"/>
        <s v="3101402781"/>
        <s v="0098516941"/>
        <s v="0113735828"/>
        <s v="0109589144"/>
        <s v="0108105659"/>
        <s v="0091758520"/>
        <s v="0093643944"/>
        <s v="0109464483"/>
        <s v="3103591489"/>
        <s v="0097831413"/>
        <s v="0094313180"/>
        <s v="0093204066"/>
        <s v="0108540094"/>
        <s v="0108413702"/>
        <s v="0108718382"/>
        <s v="0099775444"/>
        <s v="0109542213"/>
        <s v="0108324867"/>
        <s v="0109013664"/>
        <s v="0108561560"/>
        <s v="0096963702"/>
        <s v="0091952413"/>
        <s v="0099678017"/>
        <s v="0104439014"/>
        <s v="0097138954"/>
        <s v="0101964014"/>
        <s v="3105650741"/>
        <s v="0091891047"/>
        <s v="0103193565"/>
        <s v="0096506746"/>
        <s v="0095529275"/>
        <s v="0108527903"/>
        <s v="0108365392"/>
        <s v="0092709548"/>
        <s v="0118415302"/>
        <s v="0097372379"/>
        <s v="0093335479"/>
        <s v="0106465537"/>
        <s v="0103732986"/>
        <s v="0105348604"/>
        <s v="0108812130"/>
        <s v="0094912922"/>
        <s v="0101578446"/>
        <s v="0092179308"/>
        <s v="0098186648"/>
        <s v="0092349928"/>
        <s v="0096753454"/>
        <s v="0102000943"/>
        <s v="0105612000"/>
        <s v="0109258787"/>
        <s v="0093712588"/>
        <s v="0102414768"/>
        <s v="0106760506"/>
        <s v="0095542022"/>
        <s v="0091610224"/>
        <s v="0105010681"/>
        <s v="0105717177"/>
        <s v="0107258754"/>
        <s v="0093632849"/>
        <s v="0105748224"/>
        <s v="0097950619"/>
        <s v="0105770130"/>
        <s v="0093866965"/>
        <s v="3097129671"/>
        <s v="0093002808"/>
        <s v="0107831985"/>
        <s v="0101396555"/>
        <s v="0108675973"/>
        <s v="2099366441"/>
        <s v="0109010502"/>
        <s v="0109682985"/>
        <s v="0092725675"/>
        <s v="3106961615"/>
        <s v="0102221985"/>
        <s v="0096201622"/>
        <s v="0104985283"/>
        <s v="3086279831"/>
        <s v="3091107524"/>
        <s v="0103652262"/>
        <s v="0097732804"/>
        <s v="3093490279"/>
        <s v="0094431854"/>
        <s v="0103035193"/>
        <s v="0095778047"/>
        <s v="0103777854"/>
        <s v="3109116422"/>
        <s v="0103887571"/>
        <s v="0102148224"/>
        <s v="0096368920"/>
        <s v="0094328074"/>
        <s v="0098429745"/>
        <s v="3102974181"/>
        <s v="0099622136"/>
        <s v="0102898760"/>
        <s v="0106961567"/>
        <s v="0105994913"/>
        <s v="0093563834"/>
        <s v="0097303991"/>
        <s v="0098050747"/>
        <s v="0092524998"/>
        <s v="0109344308"/>
        <s v="0101659072"/>
        <s v="0095899359"/>
        <s v="0095810986"/>
      </sharedItems>
    </cacheField>
    <cacheField name="NIS" numFmtId="0">
      <sharedItems containsSemiMixedTypes="0" containsString="0" containsNumber="1" containsInteger="1">
        <n v="2.52610008E8"/>
        <n v="2.52610048E8"/>
        <n v="2.52610053E8"/>
        <n v="2.52610082E8"/>
        <n v="2.52610083E8"/>
        <n v="2.52610087E8"/>
        <n v="2.52610088E8"/>
        <n v="2.526101E8"/>
        <n v="2.52610101E8"/>
        <n v="2.52610122E8"/>
        <n v="2.52610126E8"/>
        <n v="2.5261013E8"/>
        <n v="2.52610171E8"/>
        <n v="2.52610175E8"/>
        <n v="2.52610193E8"/>
        <n v="2.52610202E8"/>
        <n v="2.52610206E8"/>
        <n v="2.52610224E8"/>
        <n v="2.52610239E8"/>
        <n v="2.52610246E8"/>
        <n v="2.52610311E8"/>
        <n v="2.52610316E8"/>
        <n v="2.5261033E8"/>
        <n v="2.52610334E8"/>
        <n v="2.52610343E8"/>
        <n v="2.52610351E8"/>
        <n v="2.52610369E8"/>
        <n v="2.52610371E8"/>
        <n v="2.5261039E8"/>
        <n v="2.52610393E8"/>
        <n v="2.52610423E8"/>
        <n v="2.52610424E8"/>
        <n v="2.52610436E8"/>
        <n v="2.52610452E8"/>
        <n v="2.52610454E8"/>
        <n v="2.52610476E8"/>
        <n v="2.52610477E8"/>
        <n v="2.52610489E8"/>
        <n v="2.52610508E8"/>
        <n v="2.52610513E8"/>
        <n v="2.52610564E8"/>
        <n v="2.52610566E8"/>
        <n v="2.52610011E8"/>
        <n v="2.52610023E8"/>
        <n v="2.52610026E8"/>
        <n v="2.52610039E8"/>
        <n v="2.5261005E8"/>
        <n v="2.52610052E8"/>
        <n v="2.52610058E8"/>
        <n v="2.52610062E8"/>
        <n v="2.5261007E8"/>
        <n v="2.52610084E8"/>
        <n v="2.5261009E8"/>
        <n v="2.52610102E8"/>
        <n v="2.52610124E8"/>
        <n v="2.52610139E8"/>
        <n v="2.52610145E8"/>
        <n v="2.52610153E8"/>
        <n v="2.52610154E8"/>
        <n v="2.52610164E8"/>
        <n v="2.5261018E8"/>
        <n v="2.52610181E8"/>
        <n v="2.52610185E8"/>
        <n v="2.52610186E8"/>
        <n v="2.52610238E8"/>
        <n v="2.52610277E8"/>
        <n v="2.5261028E8"/>
        <n v="2.52610302E8"/>
        <n v="2.52610319E8"/>
        <n v="2.5261032E8"/>
        <n v="2.52610332E8"/>
        <n v="2.52610336E8"/>
        <n v="2.52610338E8"/>
        <n v="2.52610362E8"/>
        <n v="2.52610365E8"/>
        <n v="2.52610416E8"/>
        <n v="2.52610419E8"/>
        <n v="2.52610434E8"/>
        <n v="2.5261044E8"/>
        <n v="2.52610467E8"/>
        <n v="2.52610474E8"/>
        <n v="2.52610497E8"/>
        <n v="2.52610546E8"/>
        <n v="2.5261056E8"/>
        <n v="2.52610563E8"/>
        <n v="2.52610002E8"/>
        <n v="2.52610063E8"/>
        <n v="2.52610065E8"/>
        <n v="2.52610076E8"/>
        <n v="2.52610079E8"/>
        <n v="2.52610093E8"/>
        <n v="2.52610094E8"/>
        <n v="2.52610096E8"/>
        <n v="2.52610121E8"/>
        <n v="2.52610129E8"/>
        <n v="2.52610136E8"/>
        <n v="2.52610138E8"/>
        <n v="2.52610148E8"/>
        <n v="2.52610158E8"/>
        <n v="2.52610187E8"/>
        <n v="2.5261019E8"/>
        <n v="2.52610201E8"/>
        <n v="2.52610204E8"/>
        <n v="2.52610237E8"/>
        <n v="2.52610259E8"/>
        <n v="2.52610276E8"/>
        <n v="2.52610278E8"/>
        <n v="2.52610287E8"/>
        <n v="2.52610301E8"/>
        <n v="2.52610381E8"/>
        <n v="2.52610386E8"/>
        <n v="2.52610415E8"/>
        <n v="2.52610422E8"/>
        <n v="2.52610426E8"/>
        <n v="2.52610432E8"/>
        <n v="2.52610438E8"/>
        <n v="2.52610439E8"/>
        <n v="2.52610461E8"/>
        <n v="2.52610485E8"/>
        <n v="2.52610501E8"/>
        <n v="2.5261052E8"/>
        <n v="2.52610555E8"/>
        <n v="2.52610556E8"/>
        <n v="2.52610247E8"/>
        <n v="2.52610016E8"/>
        <n v="2.52610018E8"/>
        <n v="2.52610038E8"/>
        <n v="2.52610045E8"/>
        <n v="2.52610049E8"/>
        <n v="2.52610056E8"/>
        <n v="2.52610069E8"/>
        <n v="2.52610074E8"/>
        <n v="2.52610132E8"/>
        <n v="2.52610155E8"/>
        <n v="2.52610162E8"/>
        <n v="2.52610173E8"/>
        <n v="2.52610183E8"/>
        <n v="2.52610188E8"/>
        <n v="2.52610191E8"/>
        <n v="2.52610216E8"/>
        <n v="2.52610233E8"/>
        <n v="2.52610258E8"/>
        <n v="2.5261026E8"/>
        <n v="2.52610266E8"/>
        <n v="2.52610275E8"/>
        <n v="2.52610282E8"/>
        <n v="2.52610294E8"/>
        <n v="2.52610306E8"/>
        <n v="2.52610309E8"/>
        <n v="2.52610329E8"/>
        <n v="2.52610357E8"/>
        <n v="2.52610363E8"/>
        <n v="2.52610373E8"/>
        <n v="2.52610378E8"/>
        <n v="2.52610382E8"/>
        <n v="2.52610435E8"/>
        <n v="2.52610447E8"/>
        <n v="2.52610472E8"/>
        <n v="2.52610475E8"/>
        <n v="2.5261048E8"/>
        <n v="2.52610483E8"/>
        <n v="2.52610492E8"/>
        <n v="2.52610512E8"/>
        <n v="2.52610514E8"/>
        <n v="2.52610515E8"/>
        <n v="2.52610519E8"/>
        <n v="2.52610533E8"/>
        <n v="2.52610534E8"/>
        <n v="2.52610544E8"/>
        <n v="2.52610004E8"/>
        <n v="2.52610013E8"/>
        <n v="2.52610022E8"/>
        <n v="2.52610024E8"/>
        <n v="2.52610034E8"/>
        <n v="2.52610043E8"/>
        <n v="2.52610055E8"/>
        <n v="2.52610057E8"/>
        <n v="2.5261006E8"/>
        <n v="2.52610067E8"/>
        <n v="2.52610115E8"/>
        <n v="2.52610123E8"/>
        <n v="2.52610163E8"/>
        <n v="2.52610166E8"/>
        <n v="2.52610205E8"/>
        <n v="2.52610229E8"/>
        <n v="2.5261023E8"/>
        <n v="2.52610245E8"/>
        <n v="2.52610281E8"/>
        <n v="2.52610286E8"/>
        <n v="2.52610299E8"/>
        <n v="2.52610322E8"/>
        <n v="2.52610323E8"/>
        <n v="2.52610361E8"/>
        <n v="2.52610366E8"/>
        <n v="2.52610374E8"/>
        <n v="2.52610379E8"/>
        <n v="2.52610384E8"/>
        <n v="2.52610401E8"/>
        <n v="2.52610412E8"/>
        <n v="2.52610414E8"/>
        <n v="2.52610427E8"/>
        <n v="2.52610429E8"/>
        <n v="2.52610437E8"/>
        <n v="2.5261045E8"/>
        <n v="2.52610451E8"/>
        <n v="2.52610471E8"/>
        <n v="2.52610481E8"/>
        <n v="2.52610488E8"/>
        <n v="2.52610507E8"/>
        <n v="2.52610535E8"/>
        <n v="2.5261054E8"/>
        <n v="2.52610543E8"/>
        <n v="2.52610549E8"/>
        <n v="2.52610554E8"/>
        <n v="2.52610036E8"/>
        <n v="2.52610042E8"/>
        <n v="2.52610072E8"/>
        <n v="2.52610134E8"/>
        <n v="2.52610157E8"/>
        <n v="2.52610167E8"/>
        <n v="2.52610172E8"/>
        <n v="2.52610176E8"/>
        <n v="2.52610194E8"/>
        <n v="2.52610195E8"/>
        <n v="2.52610209E8"/>
        <n v="2.5261021E8"/>
        <n v="2.52610214E8"/>
        <n v="2.52610227E8"/>
        <n v="2.52610273E8"/>
        <n v="2.52610279E8"/>
        <n v="2.52610308E8"/>
        <n v="2.52610342E8"/>
        <n v="2.52610394E8"/>
        <n v="2.5261041E8"/>
        <n v="2.52610442E8"/>
        <n v="2.52610449E8"/>
        <n v="2.52610453E8"/>
        <n v="2.52610479E8"/>
        <n v="2.52610484E8"/>
        <n v="2.52610486E8"/>
        <n v="2.52610495E8"/>
        <n v="2.52610505E8"/>
        <n v="2.52610517E8"/>
        <n v="2.52610528E8"/>
        <n v="2.52610529E8"/>
        <n v="2.52610006E8"/>
        <n v="2.52610017E8"/>
        <n v="2.52610025E8"/>
        <n v="2.52610044E8"/>
        <n v="2.52610051E8"/>
        <n v="2.52610064E8"/>
        <n v="2.52610113E8"/>
        <n v="2.5261014E8"/>
        <n v="2.52610141E8"/>
        <n v="2.52610144E8"/>
        <n v="2.52610156E8"/>
        <n v="2.52610159E8"/>
        <n v="2.52610179E8"/>
        <n v="2.52610197E8"/>
        <n v="2.526102E8"/>
        <n v="2.52610221E8"/>
        <n v="2.52610225E8"/>
        <n v="2.52610252E8"/>
        <n v="2.52610254E8"/>
        <n v="2.52610264E8"/>
        <n v="2.52610268E8"/>
        <n v="2.52610284E8"/>
        <n v="2.52610291E8"/>
        <n v="2.526103E8"/>
        <n v="2.52610318E8"/>
        <n v="2.52610333E8"/>
        <n v="2.5261034E8"/>
        <n v="2.52610345E8"/>
        <n v="2.52610352E8"/>
        <n v="2.52610354E8"/>
        <n v="2.52610383E8"/>
        <n v="2.52610389E8"/>
        <n v="2.52610404E8"/>
        <n v="2.52610409E8"/>
        <n v="2.52610428E8"/>
        <n v="2.52610464E8"/>
        <n v="2.52610466E8"/>
        <n v="2.52610468E8"/>
        <n v="2.52610491E8"/>
        <n v="2.52610504E8"/>
        <n v="2.52610523E8"/>
        <n v="2.52610525E8"/>
        <n v="2.52610527E8"/>
        <n v="2.52610532E8"/>
        <n v="2.52610539E8"/>
        <n v="2.52610547E8"/>
        <n v="2.52610559E8"/>
        <n v="2.52610007E8"/>
        <n v="2.52610028E8"/>
        <n v="2.52610035E8"/>
        <n v="2.5261004E8"/>
        <n v="2.52610041E8"/>
        <n v="2.52610061E8"/>
        <n v="2.52610077E8"/>
        <n v="2.52610097E8"/>
        <n v="2.52610108E8"/>
        <n v="2.52610118E8"/>
        <n v="2.52610125E8"/>
        <n v="2.52610151E8"/>
        <n v="2.5261016E8"/>
        <n v="2.52610161E8"/>
        <n v="2.5261017E8"/>
        <n v="2.52610174E8"/>
        <n v="2.52610199E8"/>
        <n v="2.52610203E8"/>
        <n v="2.52610255E8"/>
        <n v="2.52610265E8"/>
        <n v="2.52610293E8"/>
        <n v="2.52610314E8"/>
        <n v="2.52610317E8"/>
        <n v="2.52610321E8"/>
        <n v="2.52610324E8"/>
        <n v="2.52610326E8"/>
        <n v="2.52610349E8"/>
        <n v="2.5261035E8"/>
        <n v="2.52610353E8"/>
        <n v="2.52610364E8"/>
        <n v="2.52610376E8"/>
        <n v="2.52610392E8"/>
        <n v="2.52610395E8"/>
        <n v="2.52610399E8"/>
        <n v="2.52610408E8"/>
        <n v="2.52610413E8"/>
        <n v="2.5261042E8"/>
        <n v="2.52610421E8"/>
        <n v="2.52610444E8"/>
        <n v="2.52610445E8"/>
        <n v="2.52610463E8"/>
        <n v="2.5261047E8"/>
        <n v="2.526105E8"/>
        <n v="2.52610522E8"/>
        <n v="2.52610536E8"/>
        <n v="2.52610548E8"/>
        <n v="2.52610558E8"/>
        <n v="2.52610003E8"/>
        <n v="2.52610019E8"/>
        <n v="2.52610027E8"/>
        <n v="2.52610071E8"/>
        <n v="2.52610073E8"/>
        <n v="2.52610078E8"/>
        <n v="2.52610086E8"/>
        <n v="2.52610092E8"/>
        <n v="2.52610095E8"/>
        <n v="2.52610117E8"/>
        <n v="2.52610133E8"/>
        <n v="2.52610135E8"/>
        <n v="2.52610146E8"/>
        <n v="2.52610178E8"/>
        <n v="2.52610211E8"/>
        <n v="2.52610212E8"/>
        <n v="2.5261022E8"/>
        <n v="2.52610231E8"/>
        <n v="2.52610232E8"/>
        <n v="2.52610236E8"/>
        <n v="2.5261024E8"/>
        <n v="2.52610248E8"/>
        <n v="2.52610256E8"/>
        <n v="2.52610263E8"/>
        <n v="2.52610297E8"/>
        <n v="2.52610325E8"/>
        <n v="2.52610337E8"/>
        <n v="2.52610341E8"/>
        <n v="2.52610344E8"/>
        <n v="2.52610347E8"/>
        <n v="2.52610358E8"/>
        <n v="2.52610368E8"/>
        <n v="2.52610372E8"/>
        <n v="2.52610397E8"/>
        <n v="2.52610398E8"/>
        <n v="2.52610425E8"/>
        <n v="2.52610441E8"/>
        <n v="2.52610457E8"/>
        <n v="2.5261046E8"/>
        <n v="2.52610465E8"/>
        <n v="2.52610473E8"/>
        <n v="2.52610487E8"/>
        <n v="2.52610511E8"/>
        <n v="2.5261053E8"/>
        <n v="2.52610537E8"/>
        <n v="2.52610542E8"/>
        <n v="2.52610001E8"/>
        <n v="2.52610012E8"/>
        <n v="2.52610014E8"/>
        <n v="2.5261002E8"/>
        <n v="2.52610032E8"/>
        <n v="2.52610037E8"/>
        <n v="2.52610054E8"/>
        <n v="2.52610059E8"/>
        <n v="2.52610089E8"/>
        <n v="2.52610091E8"/>
        <n v="2.52610099E8"/>
        <n v="2.52610103E8"/>
        <n v="2.52610119E8"/>
        <n v="2.52610128E8"/>
        <n v="2.52610165E8"/>
        <n v="2.52610168E8"/>
        <n v="2.52610169E8"/>
        <n v="2.52610222E8"/>
        <n v="2.52610226E8"/>
        <n v="2.52610234E8"/>
        <n v="2.52610235E8"/>
        <n v="2.52610243E8"/>
        <n v="2.52610251E8"/>
        <n v="2.52610262E8"/>
        <n v="2.52610272E8"/>
        <n v="2.52610283E8"/>
        <n v="2.52610305E8"/>
        <n v="2.52610327E8"/>
        <n v="2.52610335E8"/>
        <n v="2.52610375E8"/>
        <n v="2.52610396E8"/>
        <n v="2.52610402E8"/>
        <n v="2.52610403E8"/>
        <n v="2.52610443E8"/>
        <n v="2.52610459E8"/>
        <n v="2.52610462E8"/>
        <n v="2.52610469E8"/>
        <n v="2.52610493E8"/>
        <n v="2.52610509E8"/>
        <n v="2.5261051E8"/>
        <n v="2.52610521E8"/>
        <n v="2.52610526E8"/>
        <n v="2.5261001E8"/>
        <n v="2.52610031E8"/>
        <n v="2.52610033E8"/>
        <n v="2.52610047E8"/>
        <n v="2.52610066E8"/>
        <n v="2.52610085E8"/>
        <n v="2.52610098E8"/>
        <n v="2.52610105E8"/>
        <n v="2.5261011E8"/>
        <n v="2.52610111E8"/>
        <n v="2.52610112E8"/>
        <n v="2.52610114E8"/>
        <n v="2.52610116E8"/>
        <n v="2.52610131E8"/>
        <n v="2.52610184E8"/>
        <n v="2.52610196E8"/>
        <n v="2.52610217E8"/>
        <n v="2.52610241E8"/>
        <n v="2.52610253E8"/>
        <n v="2.52610289E8"/>
        <n v="2.52610292E8"/>
        <n v="2.52610295E8"/>
        <n v="2.5261031E8"/>
        <n v="2.52610315E8"/>
        <n v="2.52610328E8"/>
        <n v="2.52610346E8"/>
        <n v="2.52610348E8"/>
        <n v="2.52610356E8"/>
        <n v="2.52610367E8"/>
        <n v="2.5261038E8"/>
        <n v="2.52610385E8"/>
        <n v="2.52610388E8"/>
        <n v="2.52610417E8"/>
        <n v="2.52610458E8"/>
        <n v="2.52610482E8"/>
        <n v="2.52610499E8"/>
        <n v="2.52610503E8"/>
        <n v="2.52610506E8"/>
        <n v="2.52610518E8"/>
        <n v="2.52610524E8"/>
        <n v="2.52610545E8"/>
        <n v="2.52610551E8"/>
        <n v="2.52610561E8"/>
        <n v="2.52610565E8"/>
        <n v="2.52610015E8"/>
        <n v="2.52610021E8"/>
        <n v="2.52610029E8"/>
        <n v="2.5261003E8"/>
        <n v="2.52610046E8"/>
        <n v="2.52610068E8"/>
        <n v="2.5261008E8"/>
        <n v="2.52610081E8"/>
        <n v="2.52610106E8"/>
        <n v="2.52610107E8"/>
        <n v="2.52610127E8"/>
        <n v="2.52610143E8"/>
        <n v="2.52610147E8"/>
        <n v="2.52610149E8"/>
        <n v="2.52610152E8"/>
        <n v="2.52610208E8"/>
        <n v="2.52610218E8"/>
        <n v="2.52610267E8"/>
        <n v="2.52610269E8"/>
        <n v="2.5261027E8"/>
        <n v="2.52610271E8"/>
        <n v="2.52610296E8"/>
        <n v="2.52610298E8"/>
        <n v="2.52610307E8"/>
        <n v="2.52610331E8"/>
        <n v="2.52610339E8"/>
        <n v="2.52610359E8"/>
        <n v="2.52610377E8"/>
        <n v="2.52610387E8"/>
        <n v="2.52610391E8"/>
        <n v="2.526104E8"/>
        <n v="2.52610405E8"/>
        <n v="2.52610407E8"/>
        <n v="2.52610411E8"/>
        <n v="2.52610448E8"/>
        <n v="2.52610455E8"/>
        <n v="2.5261049E8"/>
        <n v="2.52610494E8"/>
        <n v="2.52610496E8"/>
        <n v="2.52610502E8"/>
        <n v="2.52610516E8"/>
        <n v="2.52610531E8"/>
        <n v="2.5261055E8"/>
        <n v="2.52610562E8"/>
      </sharedItems>
    </cacheField>
    <cacheField name="NAMA" numFmtId="0">
      <sharedItems>
        <s v="Adhie Bramantyo Faqih"/>
        <s v="Almira Dwi Safira"/>
        <s v="Alzena Juneeta Talisha Theo"/>
        <s v="Arya Aditya Gunawan"/>
        <s v="Aryasatia Pradipta"/>
        <s v="Asyifa Diandra Bayu"/>
        <s v="Asyifa Maulidia Salsabila"/>
        <s v="Aurelia Langit Callysta"/>
        <s v="Aurelia Septiani Putri"/>
        <s v="Bilqis Anwar Thebe"/>
        <s v="Bimo Armani Aulia Putra"/>
        <s v="Callysta Tuchi Solin"/>
        <s v="Diwangkara Rizki Rabbani"/>
        <s v="Dzahra Miftahuljanah"/>
        <s v="Fakhri Haikal Alvito Rachmat"/>
        <s v="Fathi Azzam Hawwari"/>
        <s v="Fatimah Aszahra"/>
        <s v="Gwenna Irene Winata"/>
        <s v="Jasmine Zahira Ramadhani"/>
        <s v="Jihan Al Hasya"/>
        <s v="Melani Putri Triana"/>
        <s v="Mochamad Nayaka Tuharea"/>
        <s v="Muhamad Septian Romadhon"/>
        <s v="Muhammad Adrian Gianni Adam"/>
        <s v="Muhammad Chaerudin Ramdhani"/>
        <s v="Muhammad Fathan Assidiq"/>
        <s v="Muhammad Rizky Aditya Putra Sukmawijayaguna"/>
        <s v="Muhammad Rodzul Amrullah"/>
        <s v="Nadya Salwa Altiara"/>
        <s v="Nailah Khoirunisa Arsanti"/>
        <s v="Novyola Safitri"/>
        <s v="Nur Alifah Silvia"/>
        <s v="Pungki Yustisia Pertiwi"/>
        <s v="Raden Gathan Azaki Soesilo"/>
        <s v="Raden Muhammad Rafi Wiranata"/>
        <s v="Rayhan Ashabi"/>
        <s v="Rayhana Rizkya Al-Multazam"/>
        <s v="Riffa Nugraha"/>
        <s v="Salsabila Zahwa Mulana"/>
        <s v="Shabira Ayatul Husna"/>
        <s v="Zavier Lamya Arkanominatha"/>
        <s v="Zhafirah Dwi Fauziah"/>
        <s v="Adinda Syahira Hariyadi"/>
        <s v="Aira Aulia Putri"/>
        <s v="Aisha Faiha Dzakiyah"/>
        <s v="Alifa Safa Salsabila"/>
        <s v="Alviana Dwie Putery"/>
        <s v="Alyya Zahra Kusumadewi"/>
        <s v="Ammar Raziq Mahdiya"/>
        <s v="Andini Qoriyati Khaerani"/>
        <s v="Aqeela Az Zahra"/>
        <s v="Ashiila Rindu Dwi Laufli"/>
        <s v="Atharrayhan Abimanyu Pratama"/>
        <s v="Aurelly Diana Zulkarnaen"/>
        <s v="Bima Adyatma Ilmiawan"/>
        <s v="Cinta Cludia Putri"/>
        <s v="Dafsyah Arifa Putra"/>
        <s v="Denisa Azka Putri"/>
        <s v="Devani Keyla Noris"/>
        <s v="Dimas Putra Pribadi"/>
        <s v="Elvio Dyahyu Yusanto"/>
        <s v="Enisye Putri Zeliawati Limpong"/>
        <s v="Fabian Ahza Hidayat"/>
        <s v="Fadhilah Raisa Kamilati"/>
        <s v="Jasmine Makayla Putri Arvani"/>
        <s v="Khalid Ahmad Ghazali"/>
        <s v="Khansa Aulia Damtsa Hylmi"/>
        <s v="Mardiansyah Isman"/>
        <s v="Mohammad Haikal"/>
        <s v="Mohammad Irshad Faizanshah"/>
        <s v="Muhamad Thoriq Al Rasyad"/>
        <s v="Muhammad Akmaluddin"/>
        <s v="Muhammad Ariza Rizkya Irvan"/>
        <s v="Muhammad Nazam Rizal"/>
        <s v="Muhammad Rasyad Mahdawi"/>
        <s v="Neng Rahmi Novianti"/>
        <s v="Niesha Anindya Firstsaly"/>
        <s v="Priscillia Putri Viona"/>
        <s v="Qaniah Mardiyah Salsabila"/>
        <s v="Raisha Puri Lianti"/>
        <s v="Rasya Arkananta Mulya"/>
        <s v="Rusvi Putri Ingguan"/>
        <s v="Titania Dwizita Shahla"/>
        <s v="Zaidan Riziq Sakha"/>
        <s v="Zalikhah Rasikhah Putri"/>
        <s v="Abhinaya Zaidan Akbar"/>
        <s v="Andra Rakadityono"/>
        <s v="Anjani Safira Salma"/>
        <s v="Ario Bimo Wicaksono"/>
        <s v="Arman Firmansyah"/>
        <s v="Attaya Putri Faslahi"/>
        <s v="Attiyah Naila Adza Alifah"/>
        <s v="Aulia Azahra"/>
        <s v="Bianca Aurelia Putri Asari"/>
        <s v="Bumi Byakta Alfian"/>
        <s v="Cheryl Faiha Al-Tair"/>
        <s v="Cindy Ramadhani Sinulingga"/>
        <s v="Danesh Arrayan Syahreen"/>
        <s v="Dhyra Putra Pratama"/>
        <s v="Fadya Malikha"/>
        <s v="Fajri Pardomuan Pohan"/>
        <s v="Farras Putra Zema"/>
        <s v="Fathia Amia Rizqi"/>
        <s v="Jaenal Ikhwan"/>
        <s v="Kartika Larasati"/>
        <s v="Khairani Asri Utami"/>
        <s v="Khalifi Ramadhan Darmawan Anda"/>
        <s v="Lathika Aulia Althafunnisa"/>
        <s v="Mandariza Arya Pranata Wijaya"/>
        <s v="Muhammad Zuhear Alfan"/>
        <s v="Nadhifa Farah Falihah"/>
        <s v="Nazwa Savira"/>
        <s v="Nourman Raditia Putra"/>
        <s v="Nursifa Maulidah"/>
        <s v="Pramudhio Sawerigading Ihsan"/>
        <s v="Putri Eisya"/>
        <s v="Putri Zaqiyah"/>
        <s v="Rahma Marissa"/>
        <s v="Revan"/>
        <s v="Safa Naya Adristi"/>
        <s v="Shirane Ghaniyya Ramadhani"/>
        <s v="Yasmin Kirani Affifah"/>
        <s v="Yasmine Almira Queen"/>
        <s v="Jihan Fauziyyah Latifah"/>
        <s v="Ahmad Azmi Mutaarrofi"/>
        <s v="Ahmad Farely Azriel"/>
        <s v="Alfian Chaniago"/>
        <s v="Alleandra Kaif Finandita"/>
        <s v="Altaira Aqila Myesha Ario"/>
        <s v="Amira Najwa Fauziyah"/>
        <s v="Aphrodyta Aurelia Avrilla"/>
        <s v="Aqueena Putri Salimah"/>
        <s v="Chairani Kanza Wulandaputri"/>
        <s v="Dhefa Raditya Putra"/>
        <s v="Diaz Syeza Zivanna"/>
        <s v="Dwi Nailah Azhara"/>
        <s v="Erlangga Ardiyanto"/>
        <s v="Fahmi Adilla Pasha"/>
        <s v="Fakhi Zulfia Bilqis Nasyifa"/>
        <s v="Friska Feby Aulia"/>
        <s v="Inaya Janeeta"/>
        <s v="Karnizara Ringga Rabbani"/>
        <s v="Karunia Dwi Rahmawati"/>
        <s v="Keisa Wanda Setiawan"/>
        <s v="Keyno Nazmi Afham"/>
        <s v="Khansa Vanya Laudya Putri"/>
        <s v="Lutfi Dwi Melati"/>
        <s v="Masayu Ganisha Pembayun Putri"/>
        <s v="Mazaya Aqila Betha Diladena"/>
        <s v="Muhamad Rizqi Darmawan"/>
        <s v="Muhammad Ihsan Putra Pamungkas"/>
        <s v="Muhammad Rafi Kurniawan"/>
        <s v="Muhammad Sulthon Najib"/>
        <s v="Muhammad Zaidan Aqil"/>
        <s v="Mutiara Geisya Nuraini"/>
        <s v="Puffin Rohis Jusup Manurung"/>
        <s v="Quizal Razky Ahmad"/>
        <s v="Randy Adiya Pratama Kouw"/>
        <s v="Ravino Abbas Subaga"/>
        <s v="Rei Dillan Hartedi"/>
        <s v="Reni Apriliani"/>
        <s v="Rizky Putra Kunta Ajie"/>
        <s v="Shabira Andiani"/>
        <s v="Shafa Talitha Budiarto"/>
        <s v="Shahira Hafiza Putri"/>
        <s v="Sheika Rizki Ramadanti Aurelia"/>
        <s v="Syahwa Fatmah"/>
        <s v="Syakira Alma Annisa"/>
        <s v="Tiara Winni Melia"/>
        <s v="Achmad Ardiansyah"/>
        <s v="Adrian"/>
        <s v="Aira Alessia Adha"/>
        <s v="Aira Febria Sari"/>
        <s v="Al Jadid Syafruddin Lubis"/>
        <s v="Alisya Belva Dhio"/>
        <s v="Amira Agni Kayla Raisya"/>
        <s v="Amirah Khalishah Somoal"/>
        <s v="Anas Legawa Riyadi"/>
        <s v="Annisa Fitriyani"/>
        <s v="Bagaskara Bisma Anoka"/>
        <s v="Bilqis Nikita Aylani"/>
        <s v="Dilla Novianti Putri"/>
        <s v="Dinda Aulia"/>
        <s v="Fathimah Septiani Azahra"/>
        <s v="Hikmah Septiya"/>
        <s v="Hilmi Ardhana Fuady"/>
        <s v="Jevelin Ambarep Putri"/>
        <s v="Khansa Tabita Aura Sakhi"/>
        <s v="Lalitya Namu Wangundahina"/>
        <s v="Mahira Aqila Azra"/>
        <s v="Muhamad Adri Fachry"/>
        <s v="Muhamad Gaza Al-Mahdi"/>
        <s v="Muhammad Naufal Rhesa Fernando"/>
        <s v="Muhammad Raya Al Maghfirah"/>
        <s v="Muhammad Tristan Sanjaya"/>
        <s v="Muhammad Zaidan Wibowo"/>
        <s v="Nabilah Shakeela Kusuma"/>
        <s v="Naufal Aditama"/>
        <s v="Nayyira Ghania Mehnaz"/>
        <s v="Nazwa Nur Rahmah"/>
        <s v="Nurul Aulia Ramadhani"/>
        <s v="Ohan Marhadi Haryono"/>
        <s v="Puthik Ramadani"/>
        <s v="Raden Chintya Dewi Maharani"/>
        <s v="Raden Ciara Za Syahluna"/>
        <s v="Rama Andhika"/>
        <s v="Reisha Azzahra Pramesti"/>
        <s v="Rheiska Amelia"/>
        <s v="Salsabila Kinaya"/>
        <s v="Syarafina Nur Alifatuzahro"/>
        <s v="Tanty Amelia Al Rasyid"/>
        <s v="Teduh Mutiara Hapsari"/>
        <s v="Tubagus Mochamad Rizki Fauzan Faris"/>
        <s v="Yanza Rizkia Salsabillah"/>
        <s v="Alfany Himma Roudina"/>
        <s v="Alisa Putri"/>
        <s v="Aqila Noya Faiza"/>
        <s v="Chempaka Balqist Zavira Mentary Misman"/>
        <s v="Dhia Salsabila"/>
        <s v="Dinda Dyah Pitaloka"/>
        <s v="Dwi Irmawati"/>
        <s v="Egi Surjana"/>
        <s v="Fanesya Agfrisfidia"/>
        <s v="Fanisa Nurkamila Hamdani"/>
        <s v="Fauzi Castle Satara"/>
        <s v="Febri Afriani"/>
        <s v="Freja Aira Anindhita"/>
        <s v="Hasfa Zulfana Nahdah"/>
        <s v="Keyla Putri Saksono"/>
        <s v="Khalisa Silmi Jovita Warsito"/>
        <s v="Mawar Aprilliana"/>
        <s v="Muhammad Azzam Ananda Fatahilah"/>
        <s v="Najwa Citra Lestari"/>
        <s v="Nayra Putri Sagita"/>
        <s v="Queensha Amiradana Putri Hamka"/>
        <s v="Raasyid Zhariif Santoso"/>
        <s v="Raden Muhamad Zaki"/>
        <s v="Rayyan Wahyu Ramadhan"/>
        <s v="Reva Aulia Putri"/>
        <s v="Revina Apriza"/>
        <s v="Rossy Indriyati"/>
        <s v="Salsa Kirana Putri"/>
        <s v="Shalomieta Aira Kinaya"/>
        <s v="Syahdan Akbar Mara Putra"/>
        <s v="Syahla Adzkannisa Vuzela"/>
        <s v="Adara Luthfia Putri"/>
        <s v="Ahmad Fahri Hidayat"/>
        <s v="Aira Kirana"/>
        <s v="Aliya Trianzani Putri"/>
        <s v="Alya Silvana Sarifah"/>
        <s v="Anindya Estyana Damayanti"/>
        <s v="Azri Aditya Amada"/>
        <s v="Clara Dwi Cahya"/>
        <s v="Clarisa Meidiana"/>
        <s v="Daffa Khoirul Fajri"/>
        <s v="Dhia Devita Ramadhani"/>
        <s v="Diajeng Inggil Lintang Aulia"/>
        <s v="Elgiva Damara Sanchia"/>
        <s v="Farhan Abdurrahman Yusuf"/>
        <s v="Faris Razwa Sambega"/>
        <s v="Ghaniyah Adelia"/>
        <s v="Hafizh Mumtaz"/>
        <s v="Juan Pirlo Benzema"/>
        <s v="Kania Putriana Yaswin"/>
        <s v="Kaysa Maharani Sofyan"/>
        <s v="Keisya Andhita Kirana Putri"/>
        <s v="Kharira P. Pradea"/>
        <s v="Livia Vidyadhara"/>
        <s v="Manar Abbas Bawazir"/>
        <s v="Mohammad Arsa Dafansyah"/>
        <s v="Muhamad Yusuf Zarkasi"/>
        <s v="Muhammad Arsyal Divo Firmansyah"/>
        <s v="Muhammad Danish Fathul Ulum"/>
        <s v="Muhammad Fathandra Rizki"/>
        <s v="Muhammad Gabriel"/>
        <s v="Myiesha Lunar Wisesa Putri"/>
        <s v="Nadila Safira"/>
        <s v="Naurah Afifah Amaliyah"/>
        <s v="Nayla Widya Cakraprawartana"/>
        <s v="Nydia Aisyah Allifia"/>
        <s v="Raihana Humairah Budianto"/>
        <s v="Raisa Putri Rahima"/>
        <s v="Raissya Aurellyona Carollyta Putri"/>
        <s v="Rindu Gatari Asmiladi"/>
        <s v="Salman Latif Anshari"/>
        <s v="Siti Iklima Sakurani"/>
        <s v="Sultan Reynard Sabdadika"/>
        <s v="Syafiqa Bariq Mahya"/>
        <s v="Syahluna Ananta Putri"/>
        <s v="Tabah Rafie Abdillah"/>
        <s v="Tristan Lovriano Aryasatya"/>
        <s v="Zafira Salsa Haniah"/>
        <s v="Adelia Niken"/>
        <s v="Aisyah Agustiani"/>
        <s v="Alenka Meisyarofa"/>
        <s v="Alifa Taqqiya Zahwa"/>
        <s v="Alifah Hasannah"/>
        <s v="Andagita Vilnaria Atha"/>
        <s v="Ariqah Putri Nasution"/>
        <s v="Aulia Cinta Divia"/>
        <s v="Aysha Mahira Dewi Tryana"/>
        <s v="Belinda Angelica"/>
        <s v="Bima Anggareksa Yusiansyah"/>
        <s v="Dela Ananda Putri"/>
        <s v="Dian Noer Savitri"/>
        <s v="Diandra Mentari Fazri"/>
        <s v="Divania Kayla Windu Sabrina"/>
        <s v="Dyshan Attaya Haq Triatno"/>
        <s v="Farid Pradana"/>
        <s v="Fathia Adilla Ramsha"/>
        <s v="Kania Wismar Adnyana"/>
        <s v="Kaysan Umar Azka Setiawan"/>
        <s v="Luqman Aziz Saputro"/>
        <s v="Mirza Maulana Altamis"/>
        <s v="Mochammad Hafizh Fadlurahman"/>
        <s v="Mouris Marcha Adisty"/>
        <s v="Muhamad Ilham Akbar"/>
        <s v="Muhamad Mustakim"/>
        <s v="Muhammad Faiz Fathian"/>
        <s v="Muhammad Fariz Nuh"/>
        <s v="Muhammad Fawaz Ali"/>
        <s v="Muhammad Rafli Ramsha"/>
        <s v="Muhammad Yafiargi Simbangando"/>
        <s v="Naila Khansa Rahmawati"/>
        <s v="Namira Nur Azkia"/>
        <s v="Naswa Ramadhani"/>
        <s v="Nayla Ulya Taqiyya"/>
        <s v="Nazwa Malika Asral"/>
        <s v="Nikesha Nashwa Damara"/>
        <s v="Ni'Matul Aulia Ningtias"/>
        <s v="Quensha Rahayu Kusuma Agora"/>
        <s v="Quincha Aura Brilliani"/>
        <s v="Raihan Farras Sutisna"/>
        <s v="Raka Syabany Amsyah"/>
        <s v="Ryzen Gevandra Wirapratama"/>
        <s v="Sinta Dwi Nuri Widodo"/>
        <s v="Syarifah Nur Salsabila"/>
        <s v="Tsamara Privita Sya'Ban Syahdu"/>
        <s v="Yuzusie Aida Nenat"/>
        <s v="Abyan Zuka Ibrahim Nasution"/>
        <s v="Ahmad Hafidz Anwar"/>
        <s v="Aishanna Latifa Harjono"/>
        <s v="Aqila Elmohri"/>
        <s v="Aqilla Al-Farabi"/>
        <s v="Ariyo Raditya Putra"/>
        <s v="Asshafa Nur Intan"/>
        <s v="Attar Palestine Taha"/>
        <s v="Aufa Khairunnisa"/>
        <s v="Balqis Luthfiyah Zahra"/>
        <s v="Chayra Putri Dwinata"/>
        <s v="Cheryl Anandiora"/>
        <s v="Dahayu Nadhilah Syafa"/>
        <s v="Elen Vanesyah Wahyudi"/>
        <s v="Fitrah Thirafi"/>
        <s v="Fitri Rahmawati"/>
        <s v="Ghaniah Aqilah"/>
        <s v="Hizam Kynan Putra Purwanto"/>
        <s v="Ilham Rizki Pratama"/>
        <s v="Izaz Izzatul Islam"/>
        <s v="Jazila Abid Niyaz Chan Lase"/>
        <s v="Jihan Nailatusy Syarafah"/>
        <s v="Kanza Olivia Ramadhani"/>
        <s v="Kayla Tria Fatarani"/>
        <s v="Mahera Raisha Davanita Faizal"/>
        <s v="Muhamad Juan Arkhan"/>
        <s v="Muhammad Ariel Setiawan"/>
        <s v="Muhammad Azka Shahizinda "/>
        <s v="Muhammad Daffa Alfarizki"/>
        <s v="Muhammad Fadil Ranoval"/>
        <s v="Muhammad In'Amul Aufa"/>
        <s v="Muhammad Reyhan Alfariky"/>
        <s v="Muhammad Sayyid Amjad"/>
        <s v="Nararya Hylmi Kenzie"/>
        <s v="Nariyahingtyas Wientarya"/>
        <s v="Nur Azizah"/>
        <s v="Qitrie Anisa Khaeri"/>
        <s v="Radya Camilla Arinda"/>
        <s v="Rahardian Muhamad Abisiena Koeswara"/>
        <s v="Raihana Syafiqah Andyni"/>
        <s v="Rassya Faiq Hibatullah"/>
        <s v="Reynaldi"/>
        <s v="Sekar Raynaningrum"/>
        <s v="Syahla Nurul Arisma"/>
        <s v="Syauqi Anandya Putri"/>
        <s v="Tayya Dzulhijjah Mokodompit"/>
        <s v="Abdul Ghofar"/>
        <s v="Aditya Bayu Sutanto"/>
        <s v="Affy Kaew Ni'Mitr Alhanafi"/>
        <s v="Ahmad Husein Al Latief"/>
        <s v="Akram Mubarak"/>
        <s v="Alfi Amalia"/>
        <s v="Amelia Nur Zahra"/>
        <s v="Ananda Bari Al Kausar"/>
        <s v="Ataya Arkan Ramadhan"/>
        <s v="Athaya Muhammad Daffa"/>
        <s v="Aura Nabilah Zahirah"/>
        <s v="Aurora Putri Samudra Dwiko"/>
        <s v="Belva Thalita Ramadhena"/>
        <s v="Bintang Mahardika Abhyoso Ardy"/>
        <s v="Dinara Savina"/>
        <s v="Dinda Syifa Rahmayanti"/>
        <s v="Dindin Andini Suryaman"/>
        <s v="Gita Tazkiyatunnisa"/>
        <s v="Haifa Aysha Zahira"/>
        <s v="Intan Dwi Novianingrum"/>
        <s v="Isnaini Fauziyah Utomo"/>
        <s v="Jerry Dwi Cahyono Putro"/>
        <s v="Jovan Khayru Affandi"/>
        <s v="Kayla Althafunnisa Arrasyid"/>
        <s v="Keyla Ananda Safitri"/>
        <s v="Khanza Aprillia Risyadi"/>
        <s v="Maroen Al-Fatih Ibrahimessi"/>
        <s v="Muhamad Raihan Rizqullah"/>
        <s v="Muhammad Akhtar Arkana Ramadhan"/>
        <s v="Muhammad Tsafiq Ihsan"/>
        <s v="Naqeesyaa Dhanova Al Adzra"/>
        <s v="Naufal Arzharel Ibrahimovic"/>
        <s v="Naura Luvenavita Krisdianto"/>
        <s v="Queensha Anindya Azka"/>
        <s v="Rafael Anhar Armando"/>
        <s v="Rahmania Azahra"/>
        <s v="Raivan Elang Pramono"/>
        <s v="Rizqiyanah Qaysarania Herawan"/>
        <s v="Salsha Aulia Akbar"/>
        <s v="Sashikirana Luvena Maheswari"/>
        <s v="Silvya Sri Aprilianti"/>
        <s v="Syaakhira Fauziah"/>
        <s v="Adinda Garnetha Prasistha"/>
        <s v="Ajeng Adisty Fahira"/>
        <s v="Al Fathdry Rizky Wibowo"/>
        <s v="Almira Aprilia Putri"/>
        <s v="Anndita"/>
        <s v="Askana Nailazahran Hermansyah"/>
        <s v="Aulia Intan Rhamadhani"/>
        <s v="Avrillino Herza Pratama"/>
        <s v="Aziz Sakhi Zaidan"/>
        <s v="Azka Ivano Ananda Hidayat"/>
        <s v="Azkiara Andhita"/>
        <s v="Azzalea Sakinah Ayura Putri"/>
        <s v="Balqis Jauza Sabreenijka"/>
        <s v="Carissa Alia Andinaputri"/>
        <s v="Evan Diaz"/>
        <s v="Fannan Hoseki Fayyaz"/>
        <s v="Galuh Pria Esa"/>
        <s v="Jazirah Rahmah"/>
        <s v="Kaira Fatiya Nurfan"/>
        <s v="Linggara Anugrah"/>
        <s v="Luna Majidah Zafira"/>
        <s v="Lutfiana Silva"/>
        <s v="Mazaya Marva Mardyanti"/>
        <s v="Misykah Adzra Maulida"/>
        <s v="Muhamad Reyhan Nurhakim"/>
        <s v="Muhammad Evan Fadillah"/>
        <s v="Muhammad Fahry Tyandra"/>
        <s v="Muhammad Ieddzar Haradiya"/>
        <s v="Muhammad Revan Adi Saputra"/>
        <s v="Muhammad Zaky Winata"/>
        <s v="Nadhifa Amelia Garjita"/>
        <s v="Nadia Delisa Saefani"/>
        <s v="Neysha Aurelya Azzahra"/>
        <s v="Rafa Farand Pratama"/>
        <s v="Rendy Gilang Novianto"/>
        <s v="Ruvita Rinjani"/>
        <s v="Salmaa Saalimah Wibowo"/>
        <s v="Salsabil Mulki"/>
        <s v="Shaquille Putra Yudira"/>
        <s v="Siva Muliyanti"/>
        <s v="Tiara Zenobia Nafisa"/>
        <s v="Vilvizeeya Hazira Kurnia"/>
        <s v="Zaki Arya Wicaksono"/>
        <s v="Zelda Hanifah Zaneta"/>
        <s v="Afgan Prima Rizkia Iskandar"/>
        <s v="Aik Novitasari"/>
        <s v="Aisyah Aqilah Agni"/>
        <s v="Aisyah Hanifa Redana"/>
        <s v="Allya Luthfiah Putri"/>
        <s v="Annisa Salsabilla"/>
        <s v="Arsyad Khaerul Izzan"/>
        <s v="Aruni Khalila Ayu"/>
        <s v="Ayi Artadinata"/>
        <s v="Ayra Jauzaa Viranda"/>
        <s v="Bintang Jati Pratama"/>
        <s v="Daffa Hafizh Firdausi"/>
        <s v="Damara Dasha Bahi Utomo"/>
        <s v="Deana Azalea Belva"/>
        <s v="Delfa Maharani"/>
        <s v="Fauza Nur Aziema"/>
        <s v="Gefira Azizatul Hasanah"/>
        <s v="Keisha Nurazizah"/>
        <s v="Kenzie Dzakwan Ibrahim"/>
        <s v="Kesyha Ramadhani"/>
        <s v="Kevin Septian Ramadhan"/>
        <s v="Madina Zulfa Aini"/>
        <s v="Maheswara Pekik Hanuraga"/>
        <s v="Maulida Ainnurahma"/>
        <s v="Muhamad Subkhi"/>
        <s v="Muhammad Armanugie Saputra"/>
        <s v="Muhammad Javier"/>
        <s v="Muhammad Zahran Rifai"/>
        <s v="Nadhifa Qeysa Auliani Soehardi"/>
        <s v="Naila"/>
        <s v="Natiq Tawqir Muniruzzaman Anandamaya"/>
        <s v="Naureen Shabiha Zahira"/>
        <s v="Nayla Lyra Sagita"/>
        <s v="Naywa Dinda Kansana Lubis"/>
        <s v="R.A.M. Fakhri Izzuddin Mashur"/>
        <s v="Radinka Alano Hamizan Abqari"/>
        <s v="Rifqah Ramadhani"/>
        <s v="Roshan Aidan Juro Aprianto"/>
        <s v="Ruba Aqeela Hafizha Mecca"/>
        <s v="Sajna Jerrusalem Kharima Sugeng Putri"/>
        <s v="Shahrazad Aulia Handyanto"/>
        <s v="Syahla Salsabila Ramdani"/>
        <s v="Velicya Arnelita Zahra Suryana"/>
        <s v="Zalfa Rizqia Nur Nadhifa"/>
      </sharedItems>
    </cacheField>
    <cacheField name="L/P" numFmtId="0">
      <sharedItems>
        <s v="L"/>
        <s v="P"/>
      </sharedItems>
    </cacheField>
    <cacheField name="Kelas" numFmtId="0">
      <sharedItems>
        <s v="X-1"/>
        <s v="X-2"/>
        <s v="X-3"/>
        <s v="X-4"/>
        <s v="X-5"/>
        <s v="X-6"/>
        <s v="X-7"/>
        <s v="X-8"/>
        <s v="X-9"/>
        <s v="X-10"/>
        <s v="X-11"/>
        <s v="X-12"/>
      </sharedItems>
    </cacheField>
    <cacheField name="Wali Kelas" numFmtId="0">
      <sharedItems>
        <s v="Selly Amalia, S.Hum"/>
        <s v="Muhammad, S.Pd"/>
        <s v="Syamsi Jawawi, S.Pd"/>
        <s v="Dwi Lestari, S.Pd"/>
        <s v="Deden Nur hasanah, S.E"/>
        <s v="Raden Rara Tatra Sudhawati, S.Pd, M.Pd"/>
        <s v="Dian Hairunnisa, S.Pd"/>
        <s v="Fatmawati, S.Pd"/>
        <s v="Dra. Nani Suryani, M.Pd"/>
        <s v="Eva Fauziah, S.Pd"/>
        <s v="Rahmalia Dewi, S.Si"/>
        <s v="Sari Rahayu, S.Pd, M.Pd"/>
      </sharedItems>
    </cacheField>
    <cacheField name="Grup" numFmtId="0">
      <sharedItems>
        <s v="BC X-1"/>
        <s v="GC1 X-1"/>
        <s v="XSUMEN1 GC"/>
        <s v="GC2 X-1"/>
        <s v="XSUMEN BC"/>
        <s v="GC1 X-2"/>
        <s v="XSUMEN2 GC"/>
        <s v="BC X-2"/>
        <s v="GC2 X-2"/>
        <s v="BC X-3"/>
        <s v="GC1 X-3"/>
        <s v="GC2 X-3"/>
        <s v="BC X-4"/>
        <s v="GC1 X-4"/>
        <s v="GC2 X-4"/>
        <s v="BC X-5"/>
        <s v="GC1 X-5"/>
        <s v="GC2 X-5"/>
        <s v="GC1 X-6"/>
        <s v="BC X-6"/>
        <s v="GC2 X-6"/>
        <s v="GC1 X-7"/>
        <s v="BC X-7"/>
        <s v="GC2 X-7"/>
        <s v="GC1 X-8"/>
        <s v="BC X-8"/>
        <s v="GC2 X-8"/>
        <s v="GC1 X-9"/>
        <s v="BC X-9"/>
        <s v="GC2 X-9"/>
        <s v="BC X-10"/>
        <s v="GC1 X-10"/>
        <s v="GC2 X-10"/>
        <s v="GC1 X-11"/>
        <s v="BC X-11"/>
        <s v="GC2 X-11"/>
        <s v="BC X-12"/>
        <s v="GC1 X-12"/>
        <s v="GC2 X-12"/>
      </sharedItems>
    </cacheField>
    <cacheField name="Mentor" numFmtId="0">
      <sharedItems>
        <s v="Rony"/>
        <s v="Syifa"/>
        <s v="Ayun"/>
        <s v="Oshe (XI)"/>
        <s v="Rekhsa"/>
        <s v="Rania (XII)"/>
        <s v="Iga"/>
        <s v="Joko"/>
        <s v="Nadine (XI)"/>
        <s v="Angga"/>
        <s v="Hanin"/>
        <s v="Zhafira (XI)"/>
        <s v="Rizky Putra"/>
        <s v="Najla"/>
        <s v="Faliqa (XI)"/>
        <s v="Topik &amp; Adrian"/>
        <s v="Hana"/>
        <s v="Sabika (XI)"/>
        <s v="Khairunnisa (XII)"/>
        <s v="Arumbinang"/>
        <s v="Bumi (XI)"/>
        <s v="Shafa"/>
        <s v="Rizza Al-Farisi"/>
        <s v="Desya (XI)"/>
        <s v="Sakina"/>
        <s v="Teguh"/>
        <s v="Arsyila (XI)"/>
        <s v="Tiara (XII)"/>
        <s v="Veril (XII)"/>
        <s v="Almira (XI)"/>
        <s v="Irghi (XII)"/>
        <s v="Citra"/>
        <s v="Lexa (XI)"/>
        <s v="Kusniawati"/>
        <s v="Khadafi (XII)"/>
        <s v="Annisa Alya (XII)"/>
        <s v="Almeer (XII)"/>
        <s v="Ninda (XII)"/>
        <s v="Fiona (XI)"/>
      </sharedItems>
    </cacheField>
    <cacheField name="Column 11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BOY Circle 33" cacheId="0" dataCaption="" rowGrandTotals="0" compact="0" compactData="0">
  <location ref="A3:E198" firstHeaderRow="0" firstDataRow="4" firstDataCol="0" rowPageCount="1" colPageCount="1"/>
  <pivotFields>
    <pivotField name="Column 1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t="default"/>
      </items>
    </pivotField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NIS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t="default"/>
      </items>
    </pivotField>
    <pivotField name="N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t="default"/>
      </items>
    </pivotField>
    <pivotField name="NAMA" axis="axisRow" compact="0" outline="0" multipleItemSelectionAllowed="1" showAll="0" sortType="ascending" defaultSubtotal="0">
      <items>
        <item x="385"/>
        <item x="85"/>
        <item x="339"/>
        <item x="169"/>
        <item x="245"/>
        <item x="292"/>
        <item x="0"/>
        <item x="427"/>
        <item x="42"/>
        <item x="386"/>
        <item x="170"/>
        <item x="387"/>
        <item x="471"/>
        <item x="124"/>
        <item x="246"/>
        <item x="125"/>
        <item x="340"/>
        <item x="388"/>
        <item x="472"/>
        <item x="171"/>
        <item x="43"/>
        <item x="172"/>
        <item x="247"/>
        <item x="44"/>
        <item x="341"/>
        <item x="293"/>
        <item x="473"/>
        <item x="474"/>
        <item x="428"/>
        <item x="389"/>
        <item x="429"/>
        <item x="173"/>
        <item x="294"/>
        <item x="214"/>
        <item x="390"/>
        <item x="126"/>
        <item x="45"/>
        <item x="295"/>
        <item x="296"/>
        <item x="215"/>
        <item x="174"/>
        <item x="248"/>
        <item x="127"/>
        <item x="475"/>
        <item x="430"/>
        <item x="1"/>
        <item x="128"/>
        <item x="46"/>
        <item x="249"/>
        <item x="47"/>
        <item x="2"/>
        <item x="391"/>
        <item x="175"/>
        <item x="129"/>
        <item x="176"/>
        <item x="48"/>
        <item x="392"/>
        <item x="177"/>
        <item x="297"/>
        <item x="49"/>
        <item x="86"/>
        <item x="250"/>
        <item x="87"/>
        <item x="431"/>
        <item x="178"/>
        <item x="476"/>
        <item x="130"/>
        <item x="50"/>
        <item x="342"/>
        <item x="216"/>
        <item x="343"/>
        <item x="131"/>
        <item x="88"/>
        <item x="298"/>
        <item x="344"/>
        <item x="89"/>
        <item x="477"/>
        <item x="478"/>
        <item x="3"/>
        <item x="4"/>
        <item x="51"/>
        <item x="432"/>
        <item x="345"/>
        <item x="5"/>
        <item x="6"/>
        <item x="393"/>
        <item x="52"/>
        <item x="394"/>
        <item x="346"/>
        <item x="90"/>
        <item x="91"/>
        <item x="347"/>
        <item x="92"/>
        <item x="299"/>
        <item x="433"/>
        <item x="395"/>
        <item x="7"/>
        <item x="8"/>
        <item x="53"/>
        <item x="396"/>
        <item x="434"/>
        <item x="479"/>
        <item x="480"/>
        <item x="300"/>
        <item x="435"/>
        <item x="436"/>
        <item x="437"/>
        <item x="251"/>
        <item x="438"/>
        <item x="179"/>
        <item x="439"/>
        <item x="348"/>
        <item x="301"/>
        <item x="397"/>
        <item x="93"/>
        <item x="9"/>
        <item x="180"/>
        <item x="54"/>
        <item x="302"/>
        <item x="10"/>
        <item x="481"/>
        <item x="398"/>
        <item x="94"/>
        <item x="11"/>
        <item x="440"/>
        <item x="132"/>
        <item x="349"/>
        <item x="217"/>
        <item x="350"/>
        <item x="95"/>
        <item x="96"/>
        <item x="55"/>
        <item x="252"/>
        <item x="253"/>
        <item x="482"/>
        <item x="254"/>
        <item x="56"/>
        <item x="351"/>
        <item x="483"/>
        <item x="97"/>
        <item x="484"/>
        <item x="303"/>
        <item x="485"/>
        <item x="57"/>
        <item x="58"/>
        <item x="133"/>
        <item x="255"/>
        <item x="218"/>
        <item x="98"/>
        <item x="256"/>
        <item x="304"/>
        <item x="305"/>
        <item x="134"/>
        <item x="181"/>
        <item x="59"/>
        <item x="399"/>
        <item x="182"/>
        <item x="219"/>
        <item x="400"/>
        <item x="401"/>
        <item x="306"/>
        <item x="12"/>
        <item x="220"/>
        <item x="135"/>
        <item x="307"/>
        <item x="13"/>
        <item x="221"/>
        <item x="352"/>
        <item x="257"/>
        <item x="60"/>
        <item x="61"/>
        <item x="136"/>
        <item x="441"/>
        <item x="62"/>
        <item x="63"/>
        <item x="99"/>
        <item x="137"/>
        <item x="100"/>
        <item x="138"/>
        <item x="14"/>
        <item x="222"/>
        <item x="223"/>
        <item x="442"/>
        <item x="258"/>
        <item x="308"/>
        <item x="259"/>
        <item x="101"/>
        <item x="15"/>
        <item x="309"/>
        <item x="102"/>
        <item x="183"/>
        <item x="16"/>
        <item x="486"/>
        <item x="224"/>
        <item x="225"/>
        <item x="353"/>
        <item x="354"/>
        <item x="226"/>
        <item x="139"/>
        <item x="443"/>
        <item x="487"/>
        <item x="355"/>
        <item x="260"/>
        <item x="402"/>
        <item x="17"/>
        <item x="261"/>
        <item x="403"/>
        <item x="227"/>
        <item x="184"/>
        <item x="185"/>
        <item x="356"/>
        <item x="357"/>
        <item x="140"/>
        <item x="404"/>
        <item x="405"/>
        <item x="358"/>
        <item x="103"/>
        <item x="64"/>
        <item x="18"/>
        <item x="359"/>
        <item x="444"/>
        <item x="406"/>
        <item x="186"/>
        <item x="19"/>
        <item x="123"/>
        <item x="360"/>
        <item x="407"/>
        <item x="262"/>
        <item x="445"/>
        <item x="263"/>
        <item x="310"/>
        <item x="361"/>
        <item x="141"/>
        <item x="104"/>
        <item x="142"/>
        <item x="408"/>
        <item x="362"/>
        <item x="264"/>
        <item x="311"/>
        <item x="143"/>
        <item x="488"/>
        <item x="265"/>
        <item x="489"/>
        <item x="490"/>
        <item x="491"/>
        <item x="409"/>
        <item x="228"/>
        <item x="144"/>
        <item x="105"/>
        <item x="65"/>
        <item x="106"/>
        <item x="229"/>
        <item x="66"/>
        <item x="187"/>
        <item x="145"/>
        <item x="410"/>
        <item x="266"/>
        <item x="188"/>
        <item x="107"/>
        <item x="446"/>
        <item x="267"/>
        <item x="447"/>
        <item x="312"/>
        <item x="146"/>
        <item x="448"/>
        <item x="492"/>
        <item x="363"/>
        <item x="493"/>
        <item x="189"/>
        <item x="268"/>
        <item x="108"/>
        <item x="67"/>
        <item x="411"/>
        <item x="147"/>
        <item x="494"/>
        <item x="230"/>
        <item x="148"/>
        <item x="449"/>
        <item x="20"/>
        <item x="313"/>
        <item x="450"/>
        <item x="21"/>
        <item x="314"/>
        <item x="269"/>
        <item x="68"/>
        <item x="69"/>
        <item x="315"/>
        <item x="190"/>
        <item x="191"/>
        <item x="316"/>
        <item x="364"/>
        <item x="317"/>
        <item x="412"/>
        <item x="451"/>
        <item x="149"/>
        <item x="22"/>
        <item x="495"/>
        <item x="70"/>
        <item x="270"/>
        <item x="23"/>
        <item x="413"/>
        <item x="71"/>
        <item x="365"/>
        <item x="72"/>
        <item x="496"/>
        <item x="271"/>
        <item x="366"/>
        <item x="231"/>
        <item x="24"/>
        <item x="367"/>
        <item x="272"/>
        <item x="452"/>
        <item x="368"/>
        <item x="453"/>
        <item x="318"/>
        <item x="319"/>
        <item x="25"/>
        <item x="273"/>
        <item x="320"/>
        <item x="274"/>
        <item x="454"/>
        <item x="150"/>
        <item x="369"/>
        <item x="497"/>
        <item x="192"/>
        <item x="73"/>
        <item x="151"/>
        <item x="321"/>
        <item x="74"/>
        <item x="193"/>
        <item x="455"/>
        <item x="370"/>
        <item x="26"/>
        <item x="27"/>
        <item x="371"/>
        <item x="152"/>
        <item x="194"/>
        <item x="414"/>
        <item x="322"/>
        <item x="498"/>
        <item x="153"/>
        <item x="195"/>
        <item x="456"/>
        <item x="109"/>
        <item x="154"/>
        <item x="275"/>
        <item x="196"/>
        <item x="457"/>
        <item x="110"/>
        <item x="499"/>
        <item x="458"/>
        <item x="276"/>
        <item x="28"/>
        <item x="500"/>
        <item x="323"/>
        <item x="29"/>
        <item x="232"/>
        <item x="324"/>
        <item x="415"/>
        <item x="372"/>
        <item x="373"/>
        <item x="325"/>
        <item x="501"/>
        <item x="197"/>
        <item x="416"/>
        <item x="417"/>
        <item x="277"/>
        <item x="502"/>
        <item x="503"/>
        <item x="326"/>
        <item x="278"/>
        <item x="233"/>
        <item x="504"/>
        <item x="198"/>
        <item x="327"/>
        <item x="199"/>
        <item x="111"/>
        <item x="75"/>
        <item x="459"/>
        <item x="329"/>
        <item x="76"/>
        <item x="328"/>
        <item x="112"/>
        <item x="30"/>
        <item x="31"/>
        <item x="374"/>
        <item x="113"/>
        <item x="200"/>
        <item x="279"/>
        <item x="201"/>
        <item x="114"/>
        <item x="77"/>
        <item x="155"/>
        <item x="32"/>
        <item x="202"/>
        <item x="115"/>
        <item x="116"/>
        <item x="78"/>
        <item x="375"/>
        <item x="234"/>
        <item x="418"/>
        <item x="330"/>
        <item x="331"/>
        <item x="156"/>
        <item x="505"/>
        <item x="235"/>
        <item x="203"/>
        <item x="204"/>
        <item x="33"/>
        <item x="236"/>
        <item x="34"/>
        <item x="506"/>
        <item x="376"/>
        <item x="460"/>
        <item x="419"/>
        <item x="377"/>
        <item x="117"/>
        <item x="420"/>
        <item x="332"/>
        <item x="280"/>
        <item x="378"/>
        <item x="281"/>
        <item x="79"/>
        <item x="282"/>
        <item x="421"/>
        <item x="333"/>
        <item x="205"/>
        <item x="157"/>
        <item x="379"/>
        <item x="80"/>
        <item x="158"/>
        <item x="35"/>
        <item x="36"/>
        <item x="237"/>
        <item x="159"/>
        <item x="206"/>
        <item x="461"/>
        <item x="160"/>
        <item x="238"/>
        <item x="118"/>
        <item x="239"/>
        <item x="380"/>
        <item x="207"/>
        <item x="37"/>
        <item x="507"/>
        <item x="283"/>
        <item x="161"/>
        <item x="422"/>
        <item x="508"/>
        <item x="240"/>
        <item x="509"/>
        <item x="81"/>
        <item x="462"/>
        <item x="334"/>
        <item x="119"/>
        <item x="510"/>
        <item x="463"/>
        <item x="284"/>
        <item x="241"/>
        <item x="464"/>
        <item x="208"/>
        <item x="38"/>
        <item x="423"/>
        <item x="424"/>
        <item x="381"/>
        <item x="162"/>
        <item x="39"/>
        <item x="163"/>
        <item x="164"/>
        <item x="511"/>
        <item x="242"/>
        <item x="465"/>
        <item x="165"/>
        <item x="120"/>
        <item x="425"/>
        <item x="335"/>
        <item x="285"/>
        <item x="466"/>
        <item x="286"/>
        <item x="426"/>
        <item x="287"/>
        <item x="243"/>
        <item x="244"/>
        <item x="382"/>
        <item x="512"/>
        <item x="288"/>
        <item x="166"/>
        <item x="167"/>
        <item x="209"/>
        <item x="336"/>
        <item x="383"/>
        <item x="289"/>
        <item x="210"/>
        <item x="384"/>
        <item x="211"/>
        <item x="168"/>
        <item x="467"/>
        <item x="82"/>
        <item x="290"/>
        <item x="337"/>
        <item x="212"/>
        <item x="513"/>
        <item x="468"/>
        <item x="213"/>
        <item x="121"/>
        <item x="122"/>
        <item x="338"/>
        <item x="291"/>
        <item x="83"/>
        <item x="469"/>
        <item x="514"/>
        <item x="84"/>
        <item x="40"/>
        <item x="470"/>
        <item x="41"/>
      </items>
    </pivotField>
    <pivotField name="L/P" axis="axisPage" compact="0" outline="0" multipleItemSelectionAllowed="1" showAll="0">
      <items>
        <item x="0"/>
        <item h="1" x="1"/>
        <item t="default"/>
      </items>
    </pivotField>
    <pivotField name="Kelas" axis="axisRow" compact="0" outline="0" multipleItemSelectionAllowed="1" showAll="0" sortType="descending">
      <items>
        <item x="8"/>
        <item x="7"/>
        <item x="6"/>
        <item x="5"/>
        <item x="4"/>
        <item x="3"/>
        <item x="2"/>
        <item x="1"/>
        <item x="11"/>
        <item x="10"/>
        <item x="9"/>
        <item x="0"/>
        <item t="default"/>
      </items>
    </pivotField>
    <pivotField name="Wali Kel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Grup" axis="axisRow" compact="0" outline="0" multipleItemSelectionAllowed="1" showAll="0" sortType="descending" defaultSubtotal="0">
      <items>
        <item x="6"/>
        <item x="2"/>
        <item x="4"/>
        <item x="29"/>
        <item x="26"/>
        <item x="23"/>
        <item x="20"/>
        <item x="17"/>
        <item x="14"/>
        <item x="11"/>
        <item x="8"/>
        <item x="38"/>
        <item x="35"/>
        <item x="32"/>
        <item x="3"/>
        <item x="27"/>
        <item x="24"/>
        <item x="21"/>
        <item x="18"/>
        <item x="16"/>
        <item x="13"/>
        <item x="10"/>
        <item x="5"/>
        <item x="37"/>
        <item x="33"/>
        <item x="31"/>
        <item x="1"/>
        <item x="28"/>
        <item x="25"/>
        <item x="22"/>
        <item x="19"/>
        <item x="15"/>
        <item x="12"/>
        <item x="9"/>
        <item x="7"/>
        <item x="36"/>
        <item x="34"/>
        <item x="30"/>
        <item x="0"/>
      </items>
    </pivotField>
    <pivotField name="Mentor" axis="axisRow" compact="0" outline="0" multipleItemSelectionAllowed="1" showAll="0" sortType="ascending" defaultSubtotal="0">
      <items>
        <item x="36"/>
        <item x="29"/>
        <item x="9"/>
        <item x="35"/>
        <item x="26"/>
        <item x="19"/>
        <item x="2"/>
        <item x="20"/>
        <item x="31"/>
        <item x="23"/>
        <item x="14"/>
        <item x="38"/>
        <item x="16"/>
        <item x="10"/>
        <item x="6"/>
        <item x="30"/>
        <item x="7"/>
        <item x="34"/>
        <item x="18"/>
        <item x="33"/>
        <item x="32"/>
        <item x="8"/>
        <item x="13"/>
        <item x="37"/>
        <item x="3"/>
        <item x="5"/>
        <item x="4"/>
        <item x="12"/>
        <item x="22"/>
        <item x="0"/>
        <item x="17"/>
        <item x="24"/>
        <item x="21"/>
        <item x="1"/>
        <item x="25"/>
        <item x="27"/>
        <item x="15"/>
        <item x="28"/>
        <item x="11"/>
      </items>
    </pivotField>
    <pivotField name="Column 11" compact="0" outline="0" multipleItemSelectionAllowed="1" showAll="0">
      <items>
        <item x="0"/>
        <item t="default"/>
      </items>
    </pivotField>
  </pivotFields>
  <rowFields>
    <field x="8"/>
    <field x="9"/>
    <field x="4"/>
    <field x="6"/>
  </rowFields>
  <pageFields>
    <pageField fld="5"/>
  </pageFields>
</pivotTableDefinition>
</file>

<file path=xl/pivotTables/pivotTable2.xml><?xml version="1.0" encoding="utf-8"?>
<pivotTableDefinition xmlns="http://schemas.openxmlformats.org/spreadsheetml/2006/main" name="GIRL Circle 33" cacheId="0" dataCaption="" rowGrandTotals="0" compact="0" compactData="0">
  <location ref="A3:E323" firstHeaderRow="0" firstDataRow="4" firstDataCol="0" rowPageCount="1" colPageCount="1"/>
  <pivotFields>
    <pivotField name="Column 1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t="default"/>
      </items>
    </pivotField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NIS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t="default"/>
      </items>
    </pivotField>
    <pivotField name="N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t="default"/>
      </items>
    </pivotField>
    <pivotField name="NAMA" axis="axisRow" compact="0" outline="0" multipleItemSelectionAllowed="1" showAll="0" sortType="ascending" defaultSubtotal="0">
      <items>
        <item x="385"/>
        <item x="85"/>
        <item x="339"/>
        <item x="169"/>
        <item x="245"/>
        <item x="292"/>
        <item x="0"/>
        <item x="427"/>
        <item x="42"/>
        <item x="386"/>
        <item x="170"/>
        <item x="387"/>
        <item x="471"/>
        <item x="124"/>
        <item x="246"/>
        <item x="125"/>
        <item x="340"/>
        <item x="388"/>
        <item x="472"/>
        <item x="171"/>
        <item x="43"/>
        <item x="172"/>
        <item x="247"/>
        <item x="44"/>
        <item x="341"/>
        <item x="293"/>
        <item x="473"/>
        <item x="474"/>
        <item x="428"/>
        <item x="389"/>
        <item x="429"/>
        <item x="173"/>
        <item x="294"/>
        <item x="214"/>
        <item x="390"/>
        <item x="126"/>
        <item x="45"/>
        <item x="295"/>
        <item x="296"/>
        <item x="215"/>
        <item x="174"/>
        <item x="248"/>
        <item x="127"/>
        <item x="475"/>
        <item x="430"/>
        <item x="1"/>
        <item x="128"/>
        <item x="46"/>
        <item x="249"/>
        <item x="47"/>
        <item x="2"/>
        <item x="391"/>
        <item x="175"/>
        <item x="129"/>
        <item x="176"/>
        <item x="48"/>
        <item x="392"/>
        <item x="177"/>
        <item x="297"/>
        <item x="49"/>
        <item x="86"/>
        <item x="250"/>
        <item x="87"/>
        <item x="431"/>
        <item x="178"/>
        <item x="476"/>
        <item x="130"/>
        <item x="50"/>
        <item x="342"/>
        <item x="216"/>
        <item x="343"/>
        <item x="131"/>
        <item x="88"/>
        <item x="298"/>
        <item x="344"/>
        <item x="89"/>
        <item x="477"/>
        <item x="478"/>
        <item x="3"/>
        <item x="4"/>
        <item x="51"/>
        <item x="432"/>
        <item x="345"/>
        <item x="5"/>
        <item x="6"/>
        <item x="393"/>
        <item x="52"/>
        <item x="394"/>
        <item x="346"/>
        <item x="90"/>
        <item x="91"/>
        <item x="347"/>
        <item x="92"/>
        <item x="299"/>
        <item x="433"/>
        <item x="395"/>
        <item x="7"/>
        <item x="8"/>
        <item x="53"/>
        <item x="396"/>
        <item x="434"/>
        <item x="479"/>
        <item x="480"/>
        <item x="300"/>
        <item x="435"/>
        <item x="436"/>
        <item x="437"/>
        <item x="251"/>
        <item x="438"/>
        <item x="179"/>
        <item x="439"/>
        <item x="348"/>
        <item x="301"/>
        <item x="397"/>
        <item x="93"/>
        <item x="9"/>
        <item x="180"/>
        <item x="54"/>
        <item x="302"/>
        <item x="10"/>
        <item x="481"/>
        <item x="398"/>
        <item x="94"/>
        <item x="11"/>
        <item x="440"/>
        <item x="132"/>
        <item x="349"/>
        <item x="217"/>
        <item x="350"/>
        <item x="95"/>
        <item x="96"/>
        <item x="55"/>
        <item x="252"/>
        <item x="253"/>
        <item x="482"/>
        <item x="254"/>
        <item x="56"/>
        <item x="351"/>
        <item x="483"/>
        <item x="97"/>
        <item x="484"/>
        <item x="303"/>
        <item x="485"/>
        <item x="57"/>
        <item x="58"/>
        <item x="133"/>
        <item x="255"/>
        <item x="218"/>
        <item x="98"/>
        <item x="256"/>
        <item x="304"/>
        <item x="305"/>
        <item x="134"/>
        <item x="181"/>
        <item x="59"/>
        <item x="399"/>
        <item x="182"/>
        <item x="219"/>
        <item x="400"/>
        <item x="401"/>
        <item x="306"/>
        <item x="12"/>
        <item x="220"/>
        <item x="135"/>
        <item x="307"/>
        <item x="13"/>
        <item x="221"/>
        <item x="352"/>
        <item x="257"/>
        <item x="60"/>
        <item x="61"/>
        <item x="136"/>
        <item x="441"/>
        <item x="62"/>
        <item x="63"/>
        <item x="99"/>
        <item x="137"/>
        <item x="100"/>
        <item x="138"/>
        <item x="14"/>
        <item x="222"/>
        <item x="223"/>
        <item x="442"/>
        <item x="258"/>
        <item x="308"/>
        <item x="259"/>
        <item x="101"/>
        <item x="15"/>
        <item x="309"/>
        <item x="102"/>
        <item x="183"/>
        <item x="16"/>
        <item x="486"/>
        <item x="224"/>
        <item x="225"/>
        <item x="353"/>
        <item x="354"/>
        <item x="226"/>
        <item x="139"/>
        <item x="443"/>
        <item x="487"/>
        <item x="355"/>
        <item x="260"/>
        <item x="402"/>
        <item x="17"/>
        <item x="261"/>
        <item x="403"/>
        <item x="227"/>
        <item x="184"/>
        <item x="185"/>
        <item x="356"/>
        <item x="357"/>
        <item x="140"/>
        <item x="404"/>
        <item x="405"/>
        <item x="358"/>
        <item x="103"/>
        <item x="64"/>
        <item x="18"/>
        <item x="359"/>
        <item x="444"/>
        <item x="406"/>
        <item x="186"/>
        <item x="19"/>
        <item x="123"/>
        <item x="360"/>
        <item x="407"/>
        <item x="262"/>
        <item x="445"/>
        <item x="263"/>
        <item x="310"/>
        <item x="361"/>
        <item x="141"/>
        <item x="104"/>
        <item x="142"/>
        <item x="408"/>
        <item x="362"/>
        <item x="264"/>
        <item x="311"/>
        <item x="143"/>
        <item x="488"/>
        <item x="265"/>
        <item x="489"/>
        <item x="490"/>
        <item x="491"/>
        <item x="409"/>
        <item x="228"/>
        <item x="144"/>
        <item x="105"/>
        <item x="65"/>
        <item x="106"/>
        <item x="229"/>
        <item x="66"/>
        <item x="187"/>
        <item x="145"/>
        <item x="410"/>
        <item x="266"/>
        <item x="188"/>
        <item x="107"/>
        <item x="446"/>
        <item x="267"/>
        <item x="447"/>
        <item x="312"/>
        <item x="146"/>
        <item x="448"/>
        <item x="492"/>
        <item x="363"/>
        <item x="493"/>
        <item x="189"/>
        <item x="268"/>
        <item x="108"/>
        <item x="67"/>
        <item x="411"/>
        <item x="147"/>
        <item x="494"/>
        <item x="230"/>
        <item x="148"/>
        <item x="449"/>
        <item x="20"/>
        <item x="313"/>
        <item x="450"/>
        <item x="21"/>
        <item x="314"/>
        <item x="269"/>
        <item x="68"/>
        <item x="69"/>
        <item x="315"/>
        <item x="190"/>
        <item x="191"/>
        <item x="316"/>
        <item x="364"/>
        <item x="317"/>
        <item x="412"/>
        <item x="451"/>
        <item x="149"/>
        <item x="22"/>
        <item x="495"/>
        <item x="70"/>
        <item x="270"/>
        <item x="23"/>
        <item x="413"/>
        <item x="71"/>
        <item x="365"/>
        <item x="72"/>
        <item x="496"/>
        <item x="271"/>
        <item x="366"/>
        <item x="231"/>
        <item x="24"/>
        <item x="367"/>
        <item x="272"/>
        <item x="452"/>
        <item x="368"/>
        <item x="453"/>
        <item x="318"/>
        <item x="319"/>
        <item x="25"/>
        <item x="273"/>
        <item x="320"/>
        <item x="274"/>
        <item x="454"/>
        <item x="150"/>
        <item x="369"/>
        <item x="497"/>
        <item x="192"/>
        <item x="73"/>
        <item x="151"/>
        <item x="321"/>
        <item x="74"/>
        <item x="193"/>
        <item x="455"/>
        <item x="370"/>
        <item x="26"/>
        <item x="27"/>
        <item x="371"/>
        <item x="152"/>
        <item x="194"/>
        <item x="414"/>
        <item x="322"/>
        <item x="498"/>
        <item x="153"/>
        <item x="195"/>
        <item x="456"/>
        <item x="109"/>
        <item x="154"/>
        <item x="275"/>
        <item x="196"/>
        <item x="457"/>
        <item x="110"/>
        <item x="499"/>
        <item x="458"/>
        <item x="276"/>
        <item x="28"/>
        <item x="500"/>
        <item x="323"/>
        <item x="29"/>
        <item x="232"/>
        <item x="324"/>
        <item x="415"/>
        <item x="372"/>
        <item x="373"/>
        <item x="325"/>
        <item x="501"/>
        <item x="197"/>
        <item x="416"/>
        <item x="417"/>
        <item x="277"/>
        <item x="502"/>
        <item x="503"/>
        <item x="326"/>
        <item x="278"/>
        <item x="233"/>
        <item x="504"/>
        <item x="198"/>
        <item x="327"/>
        <item x="199"/>
        <item x="111"/>
        <item x="75"/>
        <item x="459"/>
        <item x="329"/>
        <item x="76"/>
        <item x="328"/>
        <item x="112"/>
        <item x="30"/>
        <item x="31"/>
        <item x="374"/>
        <item x="113"/>
        <item x="200"/>
        <item x="279"/>
        <item x="201"/>
        <item x="114"/>
        <item x="77"/>
        <item x="155"/>
        <item x="32"/>
        <item x="202"/>
        <item x="115"/>
        <item x="116"/>
        <item x="78"/>
        <item x="375"/>
        <item x="234"/>
        <item x="418"/>
        <item x="330"/>
        <item x="331"/>
        <item x="156"/>
        <item x="505"/>
        <item x="235"/>
        <item x="203"/>
        <item x="204"/>
        <item x="33"/>
        <item x="236"/>
        <item x="34"/>
        <item x="506"/>
        <item x="376"/>
        <item x="460"/>
        <item x="419"/>
        <item x="377"/>
        <item x="117"/>
        <item x="420"/>
        <item x="332"/>
        <item x="280"/>
        <item x="378"/>
        <item x="281"/>
        <item x="79"/>
        <item x="282"/>
        <item x="421"/>
        <item x="333"/>
        <item x="205"/>
        <item x="157"/>
        <item x="379"/>
        <item x="80"/>
        <item x="158"/>
        <item x="35"/>
        <item x="36"/>
        <item x="237"/>
        <item x="159"/>
        <item x="206"/>
        <item x="461"/>
        <item x="160"/>
        <item x="238"/>
        <item x="118"/>
        <item x="239"/>
        <item x="380"/>
        <item x="207"/>
        <item x="37"/>
        <item x="507"/>
        <item x="283"/>
        <item x="161"/>
        <item x="422"/>
        <item x="508"/>
        <item x="240"/>
        <item x="509"/>
        <item x="81"/>
        <item x="462"/>
        <item x="334"/>
        <item x="119"/>
        <item x="510"/>
        <item x="463"/>
        <item x="284"/>
        <item x="241"/>
        <item x="464"/>
        <item x="208"/>
        <item x="38"/>
        <item x="423"/>
        <item x="424"/>
        <item x="381"/>
        <item x="162"/>
        <item x="39"/>
        <item x="163"/>
        <item x="164"/>
        <item x="511"/>
        <item x="242"/>
        <item x="465"/>
        <item x="165"/>
        <item x="120"/>
        <item x="425"/>
        <item x="335"/>
        <item x="285"/>
        <item x="466"/>
        <item x="286"/>
        <item x="426"/>
        <item x="287"/>
        <item x="243"/>
        <item x="244"/>
        <item x="382"/>
        <item x="512"/>
        <item x="288"/>
        <item x="166"/>
        <item x="167"/>
        <item x="209"/>
        <item x="336"/>
        <item x="383"/>
        <item x="289"/>
        <item x="210"/>
        <item x="384"/>
        <item x="211"/>
        <item x="168"/>
        <item x="467"/>
        <item x="82"/>
        <item x="290"/>
        <item x="337"/>
        <item x="212"/>
        <item x="513"/>
        <item x="468"/>
        <item x="213"/>
        <item x="121"/>
        <item x="122"/>
        <item x="338"/>
        <item x="291"/>
        <item x="83"/>
        <item x="469"/>
        <item x="514"/>
        <item x="84"/>
        <item x="40"/>
        <item x="470"/>
        <item x="41"/>
      </items>
    </pivotField>
    <pivotField name="L/P" axis="axisPage" compact="0" outline="0" multipleItemSelectionAllowed="1" showAll="0">
      <items>
        <item h="1" x="0"/>
        <item x="1"/>
        <item t="default"/>
      </items>
    </pivotField>
    <pivotField name="Kelas" axis="axisRow" compact="0" outline="0" multipleItemSelectionAllowed="1" showAll="0" sortType="descending">
      <items>
        <item x="8"/>
        <item x="7"/>
        <item x="6"/>
        <item x="5"/>
        <item x="4"/>
        <item x="3"/>
        <item x="2"/>
        <item x="1"/>
        <item x="11"/>
        <item x="10"/>
        <item x="9"/>
        <item x="0"/>
        <item t="default"/>
      </items>
    </pivotField>
    <pivotField name="Wali Kel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Grup" axis="axisRow" compact="0" outline="0" multipleItemSelectionAllowed="1" showAll="0" sortType="descending" defaultSubtotal="0">
      <items>
        <item x="6"/>
        <item x="2"/>
        <item x="4"/>
        <item x="29"/>
        <item x="26"/>
        <item x="23"/>
        <item x="20"/>
        <item x="17"/>
        <item x="14"/>
        <item x="11"/>
        <item x="8"/>
        <item x="38"/>
        <item x="35"/>
        <item x="32"/>
        <item x="3"/>
        <item x="27"/>
        <item x="24"/>
        <item x="21"/>
        <item x="18"/>
        <item x="16"/>
        <item x="13"/>
        <item x="10"/>
        <item x="5"/>
        <item x="37"/>
        <item x="33"/>
        <item x="31"/>
        <item x="1"/>
        <item x="28"/>
        <item x="25"/>
        <item x="22"/>
        <item x="19"/>
        <item x="15"/>
        <item x="12"/>
        <item x="9"/>
        <item x="7"/>
        <item x="36"/>
        <item x="34"/>
        <item x="30"/>
        <item x="0"/>
      </items>
    </pivotField>
    <pivotField name="Mentor" axis="axisRow" compact="0" outline="0" multipleItemSelectionAllowed="1" showAll="0" sortType="ascending" defaultSubtotal="0">
      <items>
        <item x="36"/>
        <item x="29"/>
        <item x="9"/>
        <item x="35"/>
        <item x="26"/>
        <item x="19"/>
        <item x="2"/>
        <item x="20"/>
        <item x="31"/>
        <item x="23"/>
        <item x="14"/>
        <item x="38"/>
        <item x="16"/>
        <item x="10"/>
        <item x="6"/>
        <item x="30"/>
        <item x="7"/>
        <item x="34"/>
        <item x="18"/>
        <item x="33"/>
        <item x="32"/>
        <item x="8"/>
        <item x="13"/>
        <item x="37"/>
        <item x="3"/>
        <item x="5"/>
        <item x="4"/>
        <item x="12"/>
        <item x="22"/>
        <item x="0"/>
        <item x="17"/>
        <item x="24"/>
        <item x="21"/>
        <item x="1"/>
        <item x="25"/>
        <item x="27"/>
        <item x="15"/>
        <item x="28"/>
        <item x="11"/>
      </items>
    </pivotField>
    <pivotField name="Column 11" compact="0" outline="0" multipleItemSelectionAllowed="1" showAll="0">
      <items>
        <item x="0"/>
        <item t="default"/>
      </items>
    </pivotField>
  </pivotFields>
  <rowFields>
    <field x="8"/>
    <field x="9"/>
    <field x="4"/>
    <field x="6"/>
  </rowFields>
  <pageFields>
    <pageField fld="5"/>
  </pageFields>
</pivotTableDefinition>
</file>

<file path=xl/tables/table1.xml><?xml version="1.0" encoding="utf-8"?>
<table xmlns="http://schemas.openxmlformats.org/spreadsheetml/2006/main" ref="A2:K517" displayName="Table_1" name="Table_1" id="1">
  <tableColumns count="11">
    <tableColumn name="Column 10" id="1"/>
    <tableColumn name="NO" id="2"/>
    <tableColumn name="NISN" id="3"/>
    <tableColumn name="NIS" id="4"/>
    <tableColumn name="NAMA" id="5"/>
    <tableColumn name="L/P" id="6"/>
    <tableColumn name="Kelas" id="7"/>
    <tableColumn name="Wali Kelas" id="8"/>
    <tableColumn name="Grup" id="9"/>
    <tableColumn name="Mentor" id="10"/>
    <tableColumn name="Column 11" id="11"/>
  </tableColumns>
  <tableStyleInfo name="Angkatan 33-style" showColumnStripes="0" showFirstColumn="1" showLastColumn="1" showRowStripes="1"/>
</table>
</file>

<file path=xl/tables/table2.xml><?xml version="1.0" encoding="utf-8"?>
<table xmlns="http://schemas.openxmlformats.org/spreadsheetml/2006/main" ref="A2:K517" displayName="Table_2" name="Table_2" id="2">
  <tableColumns count="11">
    <tableColumn name="Column 10" id="1"/>
    <tableColumn name="NO" id="2"/>
    <tableColumn name="NISN" id="3"/>
    <tableColumn name="NIS" id="4"/>
    <tableColumn name="NAMA" id="5"/>
    <tableColumn name="L/P" id="6"/>
    <tableColumn name="Kelas" id="7"/>
    <tableColumn name="Wali Kelas" id="8"/>
    <tableColumn name="Grup" id="9"/>
    <tableColumn name="Mentor" id="10"/>
    <tableColumn name="Column 11" id="11"/>
  </tableColumns>
  <tableStyleInfo name="Angkatan 32-style" showColumnStripes="0" showFirstColumn="1" showLastColumn="1" showRowStripes="1"/>
</table>
</file>

<file path=xl/tables/table3.xml><?xml version="1.0" encoding="utf-8"?>
<table xmlns="http://schemas.openxmlformats.org/spreadsheetml/2006/main" ref="A2:K517" displayName="Table_3" name="Table_3" id="3">
  <tableColumns count="11">
    <tableColumn name="Column 10" id="1"/>
    <tableColumn name="NO" id="2"/>
    <tableColumn name="NISN" id="3"/>
    <tableColumn name="NIS" id="4"/>
    <tableColumn name="NAMA" id="5"/>
    <tableColumn name="L/P" id="6"/>
    <tableColumn name="Kelas" id="7"/>
    <tableColumn name="Wali Kelas" id="8"/>
    <tableColumn name="Grup" id="9"/>
    <tableColumn name="Mentor" id="10"/>
    <tableColumn name="Column 11" id="11"/>
  </tableColumns>
  <tableStyleInfo name="Angkatan 31-style" showColumnStripes="0" showFirstColumn="1" showLastColumn="1" showRowStripes="1"/>
</table>
</file>

<file path=xl/tables/table4.xml><?xml version="1.0" encoding="utf-8"?>
<table xmlns="http://schemas.openxmlformats.org/spreadsheetml/2006/main" headerRowCount="0" ref="B2:I40" displayName="Table_4" name="Table_4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Meta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8.13"/>
    <col customWidth="1" min="3" max="3" width="7.63"/>
    <col customWidth="1" min="4" max="6" width="12.63"/>
    <col customWidth="1" min="7" max="7" width="8.25"/>
    <col customWidth="1" min="8" max="8" width="15.13"/>
    <col customWidth="1" min="9" max="9" width="7.0"/>
    <col customWidth="1" min="10" max="10" width="15.0"/>
    <col customWidth="1" min="12" max="12" width="17.0"/>
    <col customWidth="1" min="17" max="17" width="21.88"/>
    <col customWidth="1" min="18" max="18" width="16.88"/>
    <col customWidth="1" min="19" max="19" width="19.38"/>
    <col customWidth="1" min="20" max="20" width="9.88"/>
    <col customWidth="1" min="21" max="21" width="5.25"/>
    <col customWidth="1" min="22" max="22" width="13.13"/>
    <col customWidth="1" min="23" max="23" width="4.13"/>
    <col customWidth="1" min="26" max="26" width="5.5"/>
    <col customWidth="1" min="28" max="28" width="3.5"/>
  </cols>
  <sheetData>
    <row r="1" ht="8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15.75" customHeight="1">
      <c r="A2" s="1"/>
      <c r="B2" s="1" t="s">
        <v>0</v>
      </c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ht="15.75" customHeight="1">
      <c r="A4" s="3"/>
      <c r="B4" s="3" t="s">
        <v>1</v>
      </c>
      <c r="I4" s="2"/>
      <c r="J4" s="2"/>
      <c r="K4" s="2"/>
      <c r="L4" s="2"/>
      <c r="P4" s="2"/>
      <c r="Q4" s="4" t="s">
        <v>2</v>
      </c>
      <c r="R4" s="5"/>
      <c r="S4" s="5"/>
      <c r="T4" s="6"/>
    </row>
    <row r="5" ht="30.75" customHeight="1">
      <c r="A5" s="3"/>
      <c r="B5" s="7" t="s">
        <v>3</v>
      </c>
      <c r="C5" s="8" t="s">
        <v>4</v>
      </c>
      <c r="D5" s="7" t="s">
        <v>5</v>
      </c>
      <c r="E5" s="2"/>
      <c r="F5" s="7" t="s">
        <v>6</v>
      </c>
      <c r="G5" s="8" t="s">
        <v>4</v>
      </c>
      <c r="H5" s="7" t="s">
        <v>7</v>
      </c>
      <c r="I5" s="8" t="s">
        <v>4</v>
      </c>
      <c r="J5" s="7" t="s">
        <v>8</v>
      </c>
      <c r="K5" s="2"/>
      <c r="L5" s="2"/>
      <c r="P5" s="2"/>
      <c r="Q5" s="9" t="s">
        <v>9</v>
      </c>
      <c r="R5" s="10" t="s">
        <v>10</v>
      </c>
      <c r="S5" s="11" t="s">
        <v>11</v>
      </c>
      <c r="T5" s="12" t="s">
        <v>12</v>
      </c>
    </row>
    <row r="6" ht="15.75" customHeight="1">
      <c r="A6" s="2"/>
      <c r="B6" s="13" t="s">
        <v>13</v>
      </c>
      <c r="C6" s="13">
        <v>17.0</v>
      </c>
      <c r="D6" s="14" t="s">
        <v>14</v>
      </c>
      <c r="E6" s="2"/>
      <c r="F6" s="13" t="s">
        <v>13</v>
      </c>
      <c r="G6" s="13">
        <v>11.0</v>
      </c>
      <c r="H6" s="15" t="s">
        <v>15</v>
      </c>
      <c r="I6" s="13">
        <v>11.0</v>
      </c>
      <c r="J6" s="7" t="s">
        <v>16</v>
      </c>
      <c r="K6" s="16" t="s">
        <v>17</v>
      </c>
      <c r="L6" s="2"/>
      <c r="P6" s="2"/>
      <c r="Q6" s="17" t="s">
        <v>17</v>
      </c>
      <c r="R6" s="17" t="s">
        <v>18</v>
      </c>
      <c r="S6" s="17" t="s">
        <v>19</v>
      </c>
      <c r="T6" s="18" t="s">
        <v>20</v>
      </c>
    </row>
    <row r="7" ht="15.75" customHeight="1">
      <c r="A7" s="2"/>
      <c r="B7" s="13" t="s">
        <v>21</v>
      </c>
      <c r="C7" s="13">
        <v>15.0</v>
      </c>
      <c r="D7" s="19" t="s">
        <v>22</v>
      </c>
      <c r="E7" s="16" t="s">
        <v>23</v>
      </c>
      <c r="F7" s="13" t="s">
        <v>21</v>
      </c>
      <c r="G7" s="13">
        <v>12.0</v>
      </c>
      <c r="H7" s="14" t="s">
        <v>24</v>
      </c>
      <c r="I7" s="13">
        <v>11.0</v>
      </c>
      <c r="J7" s="7" t="s">
        <v>25</v>
      </c>
      <c r="K7" s="2"/>
      <c r="L7" s="2"/>
      <c r="P7" s="2"/>
      <c r="Q7" s="17" t="s">
        <v>26</v>
      </c>
      <c r="R7" s="17" t="s">
        <v>27</v>
      </c>
      <c r="S7" s="17" t="s">
        <v>22</v>
      </c>
      <c r="T7" s="18" t="s">
        <v>28</v>
      </c>
    </row>
    <row r="8" ht="15.75" customHeight="1">
      <c r="A8" s="2"/>
      <c r="B8" s="13" t="s">
        <v>29</v>
      </c>
      <c r="C8" s="13">
        <v>13.0</v>
      </c>
      <c r="D8" s="14" t="s">
        <v>30</v>
      </c>
      <c r="E8" s="2"/>
      <c r="F8" s="13" t="s">
        <v>29</v>
      </c>
      <c r="G8" s="13">
        <v>13.0</v>
      </c>
      <c r="H8" s="14" t="s">
        <v>31</v>
      </c>
      <c r="I8" s="13">
        <v>13.0</v>
      </c>
      <c r="J8" s="14" t="s">
        <v>32</v>
      </c>
      <c r="K8" s="2"/>
      <c r="L8" s="2"/>
      <c r="P8" s="2"/>
      <c r="Q8" s="18" t="s">
        <v>33</v>
      </c>
      <c r="R8" s="18" t="s">
        <v>34</v>
      </c>
      <c r="S8" s="17" t="s">
        <v>35</v>
      </c>
      <c r="T8" s="18" t="s">
        <v>36</v>
      </c>
    </row>
    <row r="9" ht="15.75" customHeight="1">
      <c r="A9" s="2"/>
      <c r="B9" s="13" t="s">
        <v>37</v>
      </c>
      <c r="C9" s="13">
        <v>16.0</v>
      </c>
      <c r="D9" s="14" t="s">
        <v>38</v>
      </c>
      <c r="E9" s="2"/>
      <c r="F9" s="13" t="s">
        <v>37</v>
      </c>
      <c r="G9" s="13">
        <v>12.0</v>
      </c>
      <c r="H9" s="15" t="s">
        <v>28</v>
      </c>
      <c r="I9" s="13">
        <v>12.0</v>
      </c>
      <c r="J9" s="14" t="s">
        <v>39</v>
      </c>
      <c r="K9" s="2"/>
      <c r="L9" s="2"/>
      <c r="P9" s="2"/>
      <c r="Q9" s="18" t="s">
        <v>40</v>
      </c>
      <c r="R9" s="18" t="s">
        <v>41</v>
      </c>
      <c r="S9" s="20"/>
      <c r="T9" s="20"/>
    </row>
    <row r="10" ht="15.75" customHeight="1">
      <c r="A10" s="2"/>
      <c r="B10" s="13" t="s">
        <v>42</v>
      </c>
      <c r="C10" s="13">
        <v>14.0</v>
      </c>
      <c r="D10" s="14" t="s">
        <v>43</v>
      </c>
      <c r="E10" s="2"/>
      <c r="F10" s="13" t="s">
        <v>42</v>
      </c>
      <c r="G10" s="13">
        <v>12.0</v>
      </c>
      <c r="H10" s="15" t="s">
        <v>36</v>
      </c>
      <c r="I10" s="13">
        <v>12.0</v>
      </c>
      <c r="J10" s="14" t="s">
        <v>44</v>
      </c>
      <c r="K10" s="2"/>
      <c r="L10" s="2"/>
      <c r="P10" s="2"/>
      <c r="Q10" s="18" t="s">
        <v>31</v>
      </c>
      <c r="R10" s="18" t="s">
        <v>45</v>
      </c>
      <c r="S10" s="20"/>
      <c r="T10" s="20"/>
    </row>
    <row r="11" ht="15.75" customHeight="1">
      <c r="A11" s="2"/>
      <c r="B11" s="13" t="s">
        <v>46</v>
      </c>
      <c r="C11" s="13">
        <v>7.0</v>
      </c>
      <c r="D11" s="7" t="s">
        <v>47</v>
      </c>
      <c r="E11" s="2"/>
      <c r="F11" s="13" t="s">
        <v>46</v>
      </c>
      <c r="G11" s="13">
        <v>12.0</v>
      </c>
      <c r="H11" s="14" t="s">
        <v>48</v>
      </c>
      <c r="I11" s="13">
        <v>11.0</v>
      </c>
      <c r="J11" s="14" t="s">
        <v>49</v>
      </c>
      <c r="K11" s="2"/>
      <c r="L11" s="2"/>
      <c r="P11" s="2"/>
      <c r="Q11" s="18" t="s">
        <v>50</v>
      </c>
      <c r="R11" s="18" t="s">
        <v>51</v>
      </c>
      <c r="S11" s="20"/>
      <c r="T11" s="20"/>
    </row>
    <row r="12" ht="15.75" customHeight="1">
      <c r="A12" s="2"/>
      <c r="B12" s="13" t="s">
        <v>52</v>
      </c>
      <c r="C12" s="13">
        <v>16.0</v>
      </c>
      <c r="D12" s="14" t="s">
        <v>53</v>
      </c>
      <c r="E12" s="2"/>
      <c r="F12" s="13" t="s">
        <v>52</v>
      </c>
      <c r="G12" s="13">
        <v>14.0</v>
      </c>
      <c r="H12" s="14" t="s">
        <v>54</v>
      </c>
      <c r="I12" s="13">
        <v>14.0</v>
      </c>
      <c r="J12" s="14" t="s">
        <v>55</v>
      </c>
      <c r="K12" s="2"/>
      <c r="L12" s="2"/>
      <c r="P12" s="2"/>
      <c r="Q12" s="18" t="s">
        <v>56</v>
      </c>
      <c r="R12" s="18" t="s">
        <v>57</v>
      </c>
      <c r="S12" s="20"/>
      <c r="T12" s="20"/>
    </row>
    <row r="13" ht="15.75" customHeight="1">
      <c r="A13" s="2"/>
      <c r="B13" s="13" t="s">
        <v>58</v>
      </c>
      <c r="C13" s="13">
        <v>14.0</v>
      </c>
      <c r="D13" s="14" t="s">
        <v>59</v>
      </c>
      <c r="E13" s="2"/>
      <c r="F13" s="13" t="s">
        <v>58</v>
      </c>
      <c r="G13" s="13">
        <v>14.0</v>
      </c>
      <c r="H13" s="21" t="s">
        <v>41</v>
      </c>
      <c r="I13" s="13">
        <v>14.0</v>
      </c>
      <c r="J13" s="22" t="s">
        <v>60</v>
      </c>
      <c r="K13" s="2"/>
      <c r="L13" s="2"/>
      <c r="P13" s="2"/>
      <c r="Q13" s="18" t="s">
        <v>61</v>
      </c>
      <c r="R13" s="18" t="s">
        <v>62</v>
      </c>
      <c r="S13" s="20"/>
      <c r="T13" s="20"/>
    </row>
    <row r="14" ht="15.75" customHeight="1">
      <c r="A14" s="2"/>
      <c r="B14" s="13" t="s">
        <v>63</v>
      </c>
      <c r="C14" s="13">
        <v>17.0</v>
      </c>
      <c r="D14" s="23" t="s">
        <v>64</v>
      </c>
      <c r="E14" s="2"/>
      <c r="F14" s="13" t="s">
        <v>63</v>
      </c>
      <c r="G14" s="13">
        <v>13.0</v>
      </c>
      <c r="H14" s="14" t="s">
        <v>65</v>
      </c>
      <c r="I14" s="13">
        <v>12.0</v>
      </c>
      <c r="J14" s="7" t="s">
        <v>66</v>
      </c>
      <c r="K14" s="2"/>
      <c r="L14" s="2"/>
      <c r="P14" s="2"/>
      <c r="Q14" s="18" t="s">
        <v>67</v>
      </c>
      <c r="R14" s="18" t="s">
        <v>68</v>
      </c>
      <c r="S14" s="20"/>
      <c r="T14" s="20"/>
    </row>
    <row r="15" ht="15.75" customHeight="1">
      <c r="A15" s="2"/>
      <c r="B15" s="13" t="s">
        <v>69</v>
      </c>
      <c r="C15" s="13">
        <v>14.0</v>
      </c>
      <c r="D15" s="14" t="s">
        <v>70</v>
      </c>
      <c r="E15" s="2"/>
      <c r="F15" s="13" t="s">
        <v>69</v>
      </c>
      <c r="G15" s="13">
        <v>12.0</v>
      </c>
      <c r="H15" s="14" t="s">
        <v>71</v>
      </c>
      <c r="I15" s="13">
        <v>11.0</v>
      </c>
      <c r="J15" s="14" t="s">
        <v>72</v>
      </c>
      <c r="K15" s="2"/>
      <c r="L15" s="2"/>
      <c r="P15" s="2"/>
      <c r="Q15" s="18" t="s">
        <v>73</v>
      </c>
      <c r="R15" s="20"/>
      <c r="S15" s="20"/>
      <c r="T15" s="20"/>
    </row>
    <row r="16" ht="15.75" customHeight="1">
      <c r="A16" s="2"/>
      <c r="B16" s="13" t="s">
        <v>74</v>
      </c>
      <c r="C16" s="13">
        <v>17.0</v>
      </c>
      <c r="D16" s="14" t="s">
        <v>75</v>
      </c>
      <c r="E16" s="2"/>
      <c r="F16" s="13" t="s">
        <v>74</v>
      </c>
      <c r="G16" s="13">
        <v>12.0</v>
      </c>
      <c r="H16" s="24" t="s">
        <v>76</v>
      </c>
      <c r="I16" s="2">
        <v>11.0</v>
      </c>
      <c r="J16" s="7" t="s">
        <v>77</v>
      </c>
      <c r="K16" s="2"/>
      <c r="L16" s="2"/>
      <c r="P16" s="2"/>
      <c r="Q16" s="18" t="s">
        <v>78</v>
      </c>
      <c r="R16" s="20"/>
      <c r="S16" s="20"/>
      <c r="T16" s="20"/>
    </row>
    <row r="17" ht="15.75" customHeight="1">
      <c r="A17" s="2"/>
      <c r="B17" s="13" t="s">
        <v>79</v>
      </c>
      <c r="C17" s="13">
        <v>16.0</v>
      </c>
      <c r="D17" s="7" t="s">
        <v>80</v>
      </c>
      <c r="E17" s="2"/>
      <c r="F17" s="13" t="s">
        <v>79</v>
      </c>
      <c r="G17" s="13">
        <v>12.0</v>
      </c>
      <c r="H17" s="7" t="s">
        <v>81</v>
      </c>
      <c r="I17" s="13">
        <v>12.0</v>
      </c>
      <c r="J17" s="7" t="s">
        <v>82</v>
      </c>
      <c r="K17" s="2"/>
      <c r="L17" s="2"/>
      <c r="P17" s="2"/>
      <c r="Q17" s="18" t="s">
        <v>83</v>
      </c>
      <c r="R17" s="20"/>
      <c r="S17" s="20"/>
      <c r="T17" s="20"/>
    </row>
    <row r="18" ht="15.75" customHeight="1">
      <c r="A18" s="2"/>
      <c r="B18" s="13" t="s">
        <v>84</v>
      </c>
      <c r="C18" s="13">
        <v>18.0</v>
      </c>
      <c r="D18" s="14" t="s">
        <v>85</v>
      </c>
      <c r="E18" s="2"/>
      <c r="F18" s="13" t="s">
        <v>86</v>
      </c>
      <c r="G18" s="13">
        <v>13.0</v>
      </c>
      <c r="H18" s="14" t="s">
        <v>87</v>
      </c>
      <c r="I18" s="13"/>
      <c r="J18" s="13" t="s">
        <v>88</v>
      </c>
      <c r="K18" s="2"/>
      <c r="L18" s="2"/>
      <c r="P18" s="2"/>
      <c r="Q18" s="18" t="s">
        <v>89</v>
      </c>
      <c r="R18" s="20"/>
      <c r="S18" s="20"/>
      <c r="T18" s="20"/>
    </row>
    <row r="19" ht="15.75" customHeight="1">
      <c r="A19" s="2"/>
      <c r="B19" s="2"/>
      <c r="C19" s="2"/>
      <c r="D19" s="2"/>
      <c r="E19" s="2"/>
      <c r="F19" s="13" t="s">
        <v>90</v>
      </c>
      <c r="G19" s="13">
        <v>14.0</v>
      </c>
      <c r="H19" s="21" t="s">
        <v>18</v>
      </c>
      <c r="I19" s="7"/>
      <c r="J19" s="7" t="s">
        <v>88</v>
      </c>
      <c r="K19" s="2"/>
      <c r="L19" s="2"/>
      <c r="P19" s="2"/>
      <c r="Q19" s="18"/>
      <c r="R19" s="20"/>
      <c r="S19" s="20"/>
      <c r="T19" s="20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P20" s="2"/>
      <c r="Q20" s="18" t="s">
        <v>91</v>
      </c>
      <c r="R20" s="20"/>
      <c r="S20" s="20"/>
      <c r="T20" s="20"/>
    </row>
    <row r="21" ht="15.75" customHeight="1">
      <c r="A21" s="3"/>
      <c r="B21" s="3" t="s">
        <v>92</v>
      </c>
      <c r="I21" s="2"/>
      <c r="J21" s="2"/>
      <c r="K21" s="2"/>
      <c r="L21" s="2"/>
      <c r="Q21" s="18" t="s">
        <v>93</v>
      </c>
      <c r="R21" s="20"/>
      <c r="S21" s="20"/>
      <c r="T21" s="20"/>
    </row>
    <row r="22" ht="15.75" customHeight="1">
      <c r="A22" s="2"/>
      <c r="B22" s="7" t="s">
        <v>3</v>
      </c>
      <c r="C22" s="8" t="s">
        <v>4</v>
      </c>
      <c r="D22" s="7" t="s">
        <v>5</v>
      </c>
      <c r="E22" s="2"/>
      <c r="F22" s="7" t="s">
        <v>6</v>
      </c>
      <c r="G22" s="8" t="s">
        <v>4</v>
      </c>
      <c r="H22" s="7" t="s">
        <v>5</v>
      </c>
      <c r="I22" s="2"/>
      <c r="J22" s="2"/>
      <c r="K22" s="3"/>
      <c r="Q22" s="18" t="s">
        <v>94</v>
      </c>
      <c r="R22" s="20"/>
      <c r="S22" s="20"/>
      <c r="T22" s="20"/>
    </row>
    <row r="23" ht="15.75" customHeight="1">
      <c r="A23" s="2"/>
      <c r="B23" s="13" t="s">
        <v>13</v>
      </c>
      <c r="C23" s="25" t="s">
        <v>95</v>
      </c>
      <c r="D23" s="26" t="s">
        <v>96</v>
      </c>
      <c r="E23" s="2"/>
      <c r="F23" s="13" t="s">
        <v>13</v>
      </c>
      <c r="G23" s="25" t="s">
        <v>97</v>
      </c>
      <c r="H23" s="14" t="s">
        <v>98</v>
      </c>
      <c r="I23" s="2"/>
      <c r="J23" s="2"/>
      <c r="K23" s="2"/>
      <c r="Q23" s="18" t="s">
        <v>99</v>
      </c>
      <c r="R23" s="20"/>
      <c r="S23" s="20"/>
      <c r="T23" s="20"/>
    </row>
    <row r="24" ht="15.75" customHeight="1">
      <c r="A24" s="2"/>
      <c r="B24" s="13" t="s">
        <v>21</v>
      </c>
      <c r="C24" s="27">
        <v>45761.0</v>
      </c>
      <c r="D24" s="23" t="s">
        <v>100</v>
      </c>
      <c r="E24" s="2"/>
      <c r="F24" s="13" t="s">
        <v>21</v>
      </c>
      <c r="G24" s="25" t="s">
        <v>101</v>
      </c>
      <c r="H24" s="14" t="s">
        <v>17</v>
      </c>
      <c r="I24" s="16" t="s">
        <v>102</v>
      </c>
      <c r="K24" s="2"/>
      <c r="Q24" s="18" t="s">
        <v>103</v>
      </c>
      <c r="R24" s="20"/>
      <c r="S24" s="20"/>
      <c r="T24" s="20"/>
    </row>
    <row r="25" ht="15.75" customHeight="1">
      <c r="A25" s="2"/>
      <c r="B25" s="13" t="s">
        <v>29</v>
      </c>
      <c r="C25" s="25" t="s">
        <v>104</v>
      </c>
      <c r="D25" s="14" t="s">
        <v>105</v>
      </c>
      <c r="E25" s="2"/>
      <c r="F25" s="13" t="s">
        <v>29</v>
      </c>
      <c r="G25" s="25" t="s">
        <v>106</v>
      </c>
      <c r="H25" s="21" t="s">
        <v>45</v>
      </c>
      <c r="I25" s="2"/>
      <c r="J25" s="2"/>
      <c r="K25" s="2"/>
      <c r="Q25" s="18" t="s">
        <v>107</v>
      </c>
      <c r="R25" s="20"/>
      <c r="S25" s="20"/>
      <c r="T25" s="20"/>
    </row>
    <row r="26" ht="15.75" customHeight="1">
      <c r="A26" s="2"/>
      <c r="B26" s="13" t="s">
        <v>37</v>
      </c>
      <c r="C26" s="28">
        <v>45816.0</v>
      </c>
      <c r="D26" s="14" t="s">
        <v>96</v>
      </c>
      <c r="E26" s="2"/>
      <c r="F26" s="13" t="s">
        <v>37</v>
      </c>
      <c r="G26" s="27">
        <v>45917.0</v>
      </c>
      <c r="H26" s="14" t="s">
        <v>102</v>
      </c>
      <c r="I26" s="2"/>
      <c r="J26" s="2"/>
      <c r="K26" s="2"/>
      <c r="Q26" s="18" t="s">
        <v>108</v>
      </c>
      <c r="R26" s="20"/>
      <c r="S26" s="20"/>
      <c r="T26" s="20"/>
    </row>
    <row r="27" ht="15.75" customHeight="1">
      <c r="A27" s="2"/>
      <c r="B27" s="13" t="s">
        <v>42</v>
      </c>
      <c r="C27" s="27">
        <v>45883.0</v>
      </c>
      <c r="D27" s="14" t="s">
        <v>105</v>
      </c>
      <c r="E27" s="2"/>
      <c r="F27" s="13" t="s">
        <v>42</v>
      </c>
      <c r="G27" s="28">
        <v>45846.0</v>
      </c>
      <c r="H27" s="26" t="s">
        <v>109</v>
      </c>
      <c r="I27" s="2"/>
      <c r="J27" s="2"/>
      <c r="K27" s="3"/>
      <c r="Q27" s="18" t="s">
        <v>110</v>
      </c>
      <c r="R27" s="20"/>
      <c r="S27" s="20"/>
      <c r="T27" s="20"/>
    </row>
    <row r="28" ht="15.75" customHeight="1">
      <c r="A28" s="2"/>
      <c r="B28" s="13" t="s">
        <v>46</v>
      </c>
      <c r="C28" s="27">
        <v>45881.0</v>
      </c>
      <c r="D28" s="22" t="s">
        <v>111</v>
      </c>
      <c r="E28" s="2"/>
      <c r="F28" s="13" t="s">
        <v>46</v>
      </c>
      <c r="G28" s="25" t="s">
        <v>112</v>
      </c>
      <c r="H28" s="21" t="s">
        <v>113</v>
      </c>
      <c r="I28" s="2"/>
      <c r="J28" s="2"/>
      <c r="K28" s="2"/>
      <c r="Q28" s="18"/>
      <c r="R28" s="20"/>
      <c r="S28" s="20"/>
      <c r="T28" s="20"/>
    </row>
    <row r="29" ht="15.75" customHeight="1">
      <c r="A29" s="2"/>
      <c r="B29" s="13" t="s">
        <v>52</v>
      </c>
      <c r="C29" s="27">
        <v>45850.0</v>
      </c>
      <c r="D29" s="23" t="s">
        <v>114</v>
      </c>
      <c r="E29" s="2"/>
      <c r="F29" s="13" t="s">
        <v>52</v>
      </c>
      <c r="G29" s="27">
        <v>45856.0</v>
      </c>
      <c r="H29" s="29" t="s">
        <v>115</v>
      </c>
      <c r="I29" s="2"/>
      <c r="J29" s="2"/>
      <c r="K29" s="2"/>
      <c r="Q29" s="18" t="s">
        <v>87</v>
      </c>
      <c r="R29" s="20"/>
      <c r="S29" s="20"/>
      <c r="T29" s="20"/>
    </row>
    <row r="30" ht="15.75" customHeight="1">
      <c r="A30" s="2"/>
      <c r="B30" s="13" t="s">
        <v>58</v>
      </c>
      <c r="C30" s="27">
        <v>45728.0</v>
      </c>
      <c r="D30" s="23" t="s">
        <v>100</v>
      </c>
      <c r="E30" s="2"/>
      <c r="F30" s="13" t="s">
        <v>58</v>
      </c>
      <c r="G30" s="25">
        <v>12.0</v>
      </c>
      <c r="H30" s="29" t="s">
        <v>51</v>
      </c>
      <c r="I30" s="2"/>
      <c r="J30" s="2"/>
      <c r="K30" s="2"/>
      <c r="Q30" s="18" t="s">
        <v>116</v>
      </c>
      <c r="R30" s="20"/>
      <c r="S30" s="20"/>
      <c r="T30" s="20"/>
    </row>
    <row r="31" ht="15.75" customHeight="1">
      <c r="A31" s="2"/>
      <c r="B31" s="13" t="s">
        <v>63</v>
      </c>
      <c r="C31" s="25" t="s">
        <v>117</v>
      </c>
      <c r="D31" s="19" t="s">
        <v>35</v>
      </c>
      <c r="E31" s="2"/>
      <c r="F31" s="13" t="s">
        <v>63</v>
      </c>
      <c r="G31" s="27">
        <v>45766.0</v>
      </c>
      <c r="H31" s="14" t="s">
        <v>118</v>
      </c>
      <c r="I31" s="2"/>
      <c r="J31" s="2"/>
      <c r="K31" s="2"/>
      <c r="Q31" s="18" t="s">
        <v>30</v>
      </c>
      <c r="R31" s="20"/>
      <c r="S31" s="20"/>
      <c r="T31" s="20"/>
    </row>
    <row r="32" ht="15.75" customHeight="1">
      <c r="A32" s="2"/>
      <c r="B32" s="13" t="s">
        <v>69</v>
      </c>
      <c r="C32" s="27">
        <v>45790.0</v>
      </c>
      <c r="D32" s="26" t="s">
        <v>119</v>
      </c>
      <c r="E32" s="2"/>
      <c r="F32" s="13" t="s">
        <v>69</v>
      </c>
      <c r="G32" s="25" t="s">
        <v>120</v>
      </c>
      <c r="H32" s="14" t="s">
        <v>118</v>
      </c>
      <c r="I32" s="2"/>
      <c r="J32" s="2"/>
      <c r="K32" s="2"/>
      <c r="L32" s="2"/>
      <c r="P32" s="2"/>
      <c r="Q32" s="18" t="s">
        <v>121</v>
      </c>
      <c r="R32" s="20"/>
      <c r="S32" s="20"/>
      <c r="T32" s="20"/>
    </row>
    <row r="33" ht="15.75" customHeight="1">
      <c r="A33" s="2"/>
      <c r="B33" s="13" t="s">
        <v>74</v>
      </c>
      <c r="C33" s="25" t="s">
        <v>122</v>
      </c>
      <c r="D33" s="14" t="s">
        <v>119</v>
      </c>
      <c r="E33" s="2"/>
      <c r="F33" s="13" t="s">
        <v>74</v>
      </c>
      <c r="G33" s="27">
        <v>45982.0</v>
      </c>
      <c r="H33" s="21" t="s">
        <v>123</v>
      </c>
      <c r="I33" s="2"/>
      <c r="J33" s="2"/>
      <c r="K33" s="2"/>
      <c r="L33" s="2"/>
      <c r="P33" s="2"/>
      <c r="Q33" s="18" t="s">
        <v>124</v>
      </c>
      <c r="R33" s="20"/>
      <c r="S33" s="20"/>
      <c r="T33" s="20"/>
    </row>
    <row r="34" ht="15.75" customHeight="1">
      <c r="A34" s="2"/>
      <c r="B34" s="13" t="s">
        <v>79</v>
      </c>
      <c r="C34" s="28">
        <v>45849.0</v>
      </c>
      <c r="D34" s="14" t="s">
        <v>94</v>
      </c>
      <c r="E34" s="2"/>
      <c r="F34" s="13" t="s">
        <v>79</v>
      </c>
      <c r="G34" s="27">
        <v>45885.0</v>
      </c>
      <c r="H34" s="29" t="s">
        <v>125</v>
      </c>
      <c r="I34" s="2"/>
      <c r="J34" s="2"/>
      <c r="K34" s="2"/>
      <c r="L34" s="2"/>
      <c r="P34" s="2"/>
      <c r="Q34" s="18" t="s">
        <v>126</v>
      </c>
      <c r="R34" s="20"/>
      <c r="S34" s="20"/>
      <c r="T34" s="20"/>
    </row>
    <row r="35" ht="15.75" customHeight="1">
      <c r="Q35" s="18" t="s">
        <v>127</v>
      </c>
      <c r="R35" s="20"/>
      <c r="S35" s="20"/>
      <c r="T35" s="20"/>
    </row>
    <row r="36" ht="15.75" customHeight="1">
      <c r="Q36" s="18" t="s">
        <v>128</v>
      </c>
      <c r="R36" s="20"/>
      <c r="S36" s="20"/>
      <c r="T36" s="20"/>
    </row>
    <row r="37" ht="15.75" customHeight="1">
      <c r="B37" s="3" t="s">
        <v>129</v>
      </c>
      <c r="K37" s="2"/>
      <c r="Q37" s="18" t="s">
        <v>130</v>
      </c>
      <c r="R37" s="20"/>
      <c r="S37" s="20"/>
      <c r="T37" s="20"/>
    </row>
    <row r="38" ht="15.75" customHeight="1">
      <c r="B38" s="13" t="s">
        <v>3</v>
      </c>
      <c r="C38" s="13" t="s">
        <v>131</v>
      </c>
      <c r="D38" s="13" t="s">
        <v>5</v>
      </c>
      <c r="E38" s="13" t="s">
        <v>132</v>
      </c>
      <c r="F38" s="2"/>
      <c r="G38" s="13" t="s">
        <v>6</v>
      </c>
      <c r="H38" s="13" t="s">
        <v>131</v>
      </c>
      <c r="I38" s="13" t="s">
        <v>5</v>
      </c>
      <c r="J38" s="13" t="s">
        <v>132</v>
      </c>
      <c r="L38" s="30" t="s">
        <v>133</v>
      </c>
      <c r="M38" s="31" t="s">
        <v>5</v>
      </c>
      <c r="N38" s="13" t="s">
        <v>131</v>
      </c>
      <c r="Q38" s="18" t="s">
        <v>134</v>
      </c>
      <c r="R38" s="20"/>
      <c r="S38" s="20"/>
      <c r="T38" s="20"/>
    </row>
    <row r="39" ht="15.75" customHeight="1">
      <c r="B39" s="13" t="s">
        <v>13</v>
      </c>
      <c r="C39" s="13"/>
      <c r="D39" s="32" t="s">
        <v>85</v>
      </c>
      <c r="E39" s="33" t="s">
        <v>135</v>
      </c>
      <c r="F39" s="2"/>
      <c r="G39" s="13" t="s">
        <v>13</v>
      </c>
      <c r="H39" s="13"/>
      <c r="I39" s="34" t="s">
        <v>19</v>
      </c>
      <c r="J39" s="33" t="s">
        <v>135</v>
      </c>
      <c r="L39" s="13" t="s">
        <v>3</v>
      </c>
      <c r="M39" s="14" t="s">
        <v>136</v>
      </c>
      <c r="N39" s="13">
        <v>11.0</v>
      </c>
      <c r="Q39" s="18" t="s">
        <v>59</v>
      </c>
      <c r="R39" s="20"/>
      <c r="S39" s="20"/>
      <c r="T39" s="20"/>
    </row>
    <row r="40" ht="15.75" customHeight="1">
      <c r="B40" s="13" t="s">
        <v>21</v>
      </c>
      <c r="C40" s="13"/>
      <c r="D40" s="19" t="s">
        <v>22</v>
      </c>
      <c r="E40" s="35"/>
      <c r="F40" s="2"/>
      <c r="G40" s="13" t="s">
        <v>21</v>
      </c>
      <c r="H40" s="13"/>
      <c r="I40" s="36" t="s">
        <v>31</v>
      </c>
      <c r="J40" s="35"/>
      <c r="L40" s="13" t="s">
        <v>137</v>
      </c>
      <c r="M40" s="14" t="s">
        <v>138</v>
      </c>
      <c r="N40" s="13">
        <v>11.0</v>
      </c>
      <c r="Q40" s="18" t="s">
        <v>139</v>
      </c>
      <c r="R40" s="20"/>
      <c r="S40" s="20"/>
      <c r="T40" s="20"/>
    </row>
    <row r="41" ht="15.75" customHeight="1">
      <c r="B41" s="13" t="s">
        <v>29</v>
      </c>
      <c r="C41" s="13"/>
      <c r="D41" s="32" t="s">
        <v>85</v>
      </c>
      <c r="E41" s="35"/>
      <c r="F41" s="2"/>
      <c r="G41" s="13" t="s">
        <v>29</v>
      </c>
      <c r="H41" s="37"/>
      <c r="I41" s="34" t="s">
        <v>140</v>
      </c>
      <c r="J41" s="35"/>
      <c r="L41" s="13" t="s">
        <v>141</v>
      </c>
      <c r="M41" s="14" t="s">
        <v>142</v>
      </c>
      <c r="N41" s="13">
        <v>11.0</v>
      </c>
      <c r="R41" s="20"/>
      <c r="S41" s="20"/>
      <c r="T41" s="20"/>
    </row>
    <row r="42" ht="15.75" customHeight="1">
      <c r="B42" s="13" t="s">
        <v>37</v>
      </c>
      <c r="C42" s="13"/>
      <c r="D42" s="19" t="s">
        <v>22</v>
      </c>
      <c r="E42" s="35"/>
      <c r="F42" s="2"/>
      <c r="G42" s="13" t="s">
        <v>37</v>
      </c>
      <c r="H42" s="37"/>
      <c r="I42" s="34" t="s">
        <v>19</v>
      </c>
      <c r="J42" s="35"/>
      <c r="L42" s="2"/>
      <c r="M42" s="2"/>
      <c r="N42" s="2"/>
      <c r="Q42" s="18" t="s">
        <v>143</v>
      </c>
      <c r="R42" s="20"/>
      <c r="S42" s="20"/>
      <c r="T42" s="20"/>
    </row>
    <row r="43" ht="15.75" customHeight="1">
      <c r="B43" s="13" t="s">
        <v>42</v>
      </c>
      <c r="C43" s="13"/>
      <c r="D43" s="32" t="s">
        <v>85</v>
      </c>
      <c r="E43" s="35"/>
      <c r="F43" s="2"/>
      <c r="G43" s="13" t="s">
        <v>42</v>
      </c>
      <c r="H43" s="13"/>
      <c r="I43" s="34" t="s">
        <v>19</v>
      </c>
      <c r="J43" s="35"/>
      <c r="L43" s="30" t="s">
        <v>144</v>
      </c>
      <c r="M43" s="31" t="s">
        <v>5</v>
      </c>
      <c r="N43" s="13" t="s">
        <v>131</v>
      </c>
    </row>
    <row r="44" ht="15.75" customHeight="1">
      <c r="B44" s="13" t="s">
        <v>46</v>
      </c>
      <c r="C44" s="37"/>
      <c r="D44" s="19" t="s">
        <v>22</v>
      </c>
      <c r="E44" s="35"/>
      <c r="F44" s="2"/>
      <c r="G44" s="13" t="s">
        <v>46</v>
      </c>
      <c r="H44" s="13"/>
      <c r="I44" s="34" t="s">
        <v>19</v>
      </c>
      <c r="J44" s="35"/>
      <c r="L44" s="13" t="s">
        <v>145</v>
      </c>
      <c r="M44" s="14" t="s">
        <v>26</v>
      </c>
      <c r="N44" s="13">
        <v>9.0</v>
      </c>
    </row>
    <row r="45" ht="15.75" customHeight="1">
      <c r="B45" s="13" t="s">
        <v>52</v>
      </c>
      <c r="C45" s="37"/>
      <c r="D45" s="32" t="s">
        <v>85</v>
      </c>
      <c r="E45" s="35"/>
      <c r="F45" s="2"/>
      <c r="G45" s="13" t="s">
        <v>52</v>
      </c>
      <c r="H45" s="13"/>
      <c r="I45" s="34" t="s">
        <v>146</v>
      </c>
      <c r="J45" s="35"/>
      <c r="L45" s="13" t="s">
        <v>137</v>
      </c>
      <c r="M45" s="7" t="s">
        <v>147</v>
      </c>
      <c r="N45" s="13">
        <v>15.0</v>
      </c>
    </row>
    <row r="46" ht="15.75" customHeight="1">
      <c r="B46" s="13" t="s">
        <v>58</v>
      </c>
      <c r="C46" s="37"/>
      <c r="D46" s="19" t="s">
        <v>22</v>
      </c>
      <c r="E46" s="35"/>
      <c r="F46" s="2"/>
      <c r="G46" s="13" t="s">
        <v>58</v>
      </c>
      <c r="H46" s="13"/>
      <c r="I46" s="34" t="s">
        <v>146</v>
      </c>
      <c r="J46" s="35"/>
      <c r="L46" s="13" t="s">
        <v>148</v>
      </c>
      <c r="M46" s="14" t="s">
        <v>149</v>
      </c>
      <c r="N46" s="13">
        <v>8.0</v>
      </c>
    </row>
    <row r="47" ht="15.75" customHeight="1">
      <c r="B47" s="13" t="s">
        <v>63</v>
      </c>
      <c r="C47" s="13"/>
      <c r="D47" s="32" t="s">
        <v>85</v>
      </c>
      <c r="E47" s="35"/>
      <c r="F47" s="2"/>
      <c r="G47" s="13" t="s">
        <v>63</v>
      </c>
      <c r="H47" s="37"/>
      <c r="I47" s="36" t="s">
        <v>54</v>
      </c>
      <c r="J47" s="35"/>
      <c r="L47" s="13" t="s">
        <v>141</v>
      </c>
      <c r="M47" s="14" t="s">
        <v>150</v>
      </c>
      <c r="N47" s="13">
        <v>11.0</v>
      </c>
    </row>
    <row r="48" ht="15.75" customHeight="1">
      <c r="B48" s="13" t="s">
        <v>69</v>
      </c>
      <c r="C48" s="37"/>
      <c r="D48" s="19" t="s">
        <v>22</v>
      </c>
      <c r="E48" s="35"/>
      <c r="F48" s="2"/>
      <c r="G48" s="13" t="s">
        <v>69</v>
      </c>
      <c r="H48" s="13"/>
      <c r="I48" s="34" t="s">
        <v>19</v>
      </c>
      <c r="J48" s="35"/>
    </row>
    <row r="49" ht="15.75" customHeight="1">
      <c r="B49" s="13" t="s">
        <v>74</v>
      </c>
      <c r="C49" s="13"/>
      <c r="D49" s="19" t="s">
        <v>22</v>
      </c>
      <c r="E49" s="35"/>
      <c r="F49" s="2"/>
      <c r="G49" s="13" t="s">
        <v>74</v>
      </c>
      <c r="H49" s="37"/>
      <c r="I49" s="34" t="s">
        <v>19</v>
      </c>
      <c r="J49" s="35"/>
    </row>
    <row r="50" ht="15.75" customHeight="1">
      <c r="B50" s="13" t="s">
        <v>79</v>
      </c>
      <c r="C50" s="13"/>
      <c r="D50" s="19" t="s">
        <v>22</v>
      </c>
      <c r="E50" s="38"/>
      <c r="F50" s="2"/>
      <c r="G50" s="13" t="s">
        <v>79</v>
      </c>
      <c r="H50" s="37"/>
      <c r="I50" s="39" t="s">
        <v>28</v>
      </c>
      <c r="J50" s="38"/>
    </row>
    <row r="51" ht="15.75" customHeight="1"/>
    <row r="52" ht="15.75" customHeight="1"/>
    <row r="53" ht="15.75" customHeight="1"/>
    <row r="54" ht="15.75" customHeight="1"/>
    <row r="55" ht="15.7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5.75" customHeight="1"/>
    <row r="57" ht="15.75" customHeight="1">
      <c r="B57" s="41" t="s">
        <v>151</v>
      </c>
    </row>
    <row r="58" ht="15.75" customHeight="1">
      <c r="B58" s="7" t="s">
        <v>3</v>
      </c>
      <c r="C58" s="8" t="s">
        <v>4</v>
      </c>
      <c r="D58" s="7" t="s">
        <v>5</v>
      </c>
      <c r="E58" s="42"/>
      <c r="F58" s="43" t="s">
        <v>6</v>
      </c>
      <c r="G58" s="8" t="s">
        <v>4</v>
      </c>
      <c r="H58" s="7" t="s">
        <v>5</v>
      </c>
    </row>
    <row r="59" ht="15.75" customHeight="1">
      <c r="B59" s="13" t="s">
        <v>13</v>
      </c>
      <c r="C59" s="13"/>
      <c r="D59" s="13" t="s">
        <v>38</v>
      </c>
      <c r="F59" s="13" t="s">
        <v>13</v>
      </c>
      <c r="G59" s="13"/>
      <c r="H59" s="17" t="s">
        <v>102</v>
      </c>
      <c r="Q59" s="44" t="s">
        <v>152</v>
      </c>
    </row>
    <row r="60" ht="15.75" customHeight="1">
      <c r="B60" s="13" t="s">
        <v>21</v>
      </c>
      <c r="C60" s="13"/>
      <c r="D60" s="13" t="s">
        <v>43</v>
      </c>
      <c r="F60" s="13" t="s">
        <v>21</v>
      </c>
      <c r="G60" s="13"/>
      <c r="H60" s="13" t="s">
        <v>71</v>
      </c>
      <c r="Q60" s="45" t="s">
        <v>153</v>
      </c>
      <c r="R60" s="46" t="s">
        <v>3</v>
      </c>
      <c r="S60" s="45" t="s">
        <v>153</v>
      </c>
      <c r="T60" s="46" t="s">
        <v>6</v>
      </c>
    </row>
    <row r="61" ht="15.75" customHeight="1">
      <c r="B61" s="13" t="s">
        <v>29</v>
      </c>
      <c r="C61" s="13"/>
      <c r="D61" s="13" t="s">
        <v>47</v>
      </c>
      <c r="F61" s="13" t="s">
        <v>29</v>
      </c>
      <c r="G61" s="13"/>
      <c r="H61" s="13" t="s">
        <v>76</v>
      </c>
      <c r="Q61" s="46">
        <v>1.0</v>
      </c>
      <c r="R61" s="46" t="s">
        <v>149</v>
      </c>
      <c r="S61" s="46">
        <v>1.0</v>
      </c>
      <c r="T61" s="2" t="s">
        <v>87</v>
      </c>
    </row>
    <row r="62" ht="15.75" customHeight="1">
      <c r="B62" s="13" t="s">
        <v>37</v>
      </c>
      <c r="C62" s="13"/>
      <c r="D62" s="13" t="s">
        <v>53</v>
      </c>
      <c r="F62" s="13" t="s">
        <v>37</v>
      </c>
      <c r="G62" s="13"/>
      <c r="H62" s="13" t="s">
        <v>31</v>
      </c>
      <c r="Q62" s="46">
        <v>2.0</v>
      </c>
      <c r="R62" s="46" t="s">
        <v>136</v>
      </c>
      <c r="S62" s="46">
        <v>2.0</v>
      </c>
      <c r="T62" s="46" t="s">
        <v>138</v>
      </c>
    </row>
    <row r="63" ht="15.75" customHeight="1">
      <c r="B63" s="13" t="s">
        <v>42</v>
      </c>
      <c r="C63" s="13"/>
      <c r="D63" s="13" t="s">
        <v>96</v>
      </c>
      <c r="F63" s="13" t="s">
        <v>42</v>
      </c>
      <c r="G63" s="13"/>
      <c r="H63" s="13" t="s">
        <v>98</v>
      </c>
      <c r="Q63" s="46">
        <v>3.0</v>
      </c>
      <c r="R63" s="2" t="s">
        <v>85</v>
      </c>
      <c r="S63" s="46">
        <v>3.0</v>
      </c>
      <c r="T63" s="46" t="s">
        <v>54</v>
      </c>
    </row>
    <row r="64" ht="15.75" customHeight="1">
      <c r="B64" s="13" t="s">
        <v>46</v>
      </c>
      <c r="C64" s="13"/>
      <c r="D64" s="13" t="s">
        <v>119</v>
      </c>
      <c r="F64" s="13" t="s">
        <v>46</v>
      </c>
      <c r="G64" s="13"/>
      <c r="H64" s="13" t="s">
        <v>41</v>
      </c>
      <c r="Q64" s="46">
        <v>4.0</v>
      </c>
      <c r="R64" s="2" t="s">
        <v>59</v>
      </c>
      <c r="S64" s="46">
        <v>4.0</v>
      </c>
      <c r="T64" s="16" t="s">
        <v>150</v>
      </c>
    </row>
    <row r="65" ht="15.75" customHeight="1">
      <c r="B65" s="13" t="s">
        <v>52</v>
      </c>
      <c r="C65" s="13"/>
      <c r="D65" s="13"/>
      <c r="F65" s="13" t="s">
        <v>52</v>
      </c>
      <c r="G65" s="13"/>
      <c r="H65" s="13" t="s">
        <v>109</v>
      </c>
      <c r="Q65" s="46">
        <v>5.0</v>
      </c>
      <c r="R65" s="2" t="s">
        <v>105</v>
      </c>
      <c r="S65" s="46">
        <v>5.0</v>
      </c>
      <c r="T65" s="46" t="s">
        <v>142</v>
      </c>
    </row>
    <row r="66" ht="15.75" customHeight="1">
      <c r="B66" s="13" t="s">
        <v>58</v>
      </c>
      <c r="C66" s="13"/>
      <c r="D66" s="13"/>
      <c r="F66" s="13" t="s">
        <v>58</v>
      </c>
      <c r="G66" s="13"/>
      <c r="H66" s="13" t="s">
        <v>113</v>
      </c>
      <c r="S66" s="46">
        <v>6.0</v>
      </c>
      <c r="T66" s="16" t="s">
        <v>17</v>
      </c>
    </row>
    <row r="67" ht="15.75" customHeight="1">
      <c r="B67" s="13" t="s">
        <v>63</v>
      </c>
      <c r="C67" s="13"/>
      <c r="D67" s="47"/>
      <c r="F67" s="13" t="s">
        <v>63</v>
      </c>
      <c r="G67" s="13"/>
      <c r="H67" s="47"/>
      <c r="P67" s="45"/>
    </row>
    <row r="68" ht="15.75" customHeight="1">
      <c r="B68" s="13" t="s">
        <v>69</v>
      </c>
      <c r="C68" s="13"/>
      <c r="D68" s="13"/>
      <c r="F68" s="13" t="s">
        <v>69</v>
      </c>
      <c r="G68" s="13"/>
      <c r="H68" s="13"/>
    </row>
    <row r="69" ht="15.75" customHeight="1">
      <c r="B69" s="13" t="s">
        <v>74</v>
      </c>
      <c r="C69" s="13"/>
      <c r="D69" s="13"/>
      <c r="F69" s="13" t="s">
        <v>74</v>
      </c>
      <c r="G69" s="13"/>
      <c r="H69" s="13"/>
      <c r="Q69" s="44" t="s">
        <v>154</v>
      </c>
    </row>
    <row r="70" ht="15.75" customHeight="1">
      <c r="B70" s="13" t="s">
        <v>79</v>
      </c>
      <c r="C70" s="13"/>
      <c r="D70" s="13"/>
      <c r="F70" s="13" t="s">
        <v>79</v>
      </c>
      <c r="G70" s="13"/>
      <c r="H70" s="13"/>
      <c r="Q70" s="45" t="s">
        <v>153</v>
      </c>
      <c r="R70" s="46" t="s">
        <v>3</v>
      </c>
      <c r="S70" s="45" t="s">
        <v>153</v>
      </c>
      <c r="T70" s="46" t="s">
        <v>6</v>
      </c>
    </row>
    <row r="71" ht="15.75" customHeight="1">
      <c r="B71" s="17" t="s">
        <v>155</v>
      </c>
      <c r="C71" s="13"/>
      <c r="D71" s="17" t="s">
        <v>105</v>
      </c>
      <c r="F71" s="17" t="s">
        <v>155</v>
      </c>
      <c r="G71" s="13"/>
      <c r="H71" s="17" t="s">
        <v>17</v>
      </c>
      <c r="Q71" s="46">
        <v>1.0</v>
      </c>
      <c r="R71" s="2" t="s">
        <v>38</v>
      </c>
      <c r="S71" s="46">
        <v>1.0</v>
      </c>
      <c r="T71" s="2" t="s">
        <v>102</v>
      </c>
    </row>
    <row r="72" ht="15.75" customHeight="1">
      <c r="A72" s="46" t="s">
        <v>156</v>
      </c>
      <c r="B72" s="46">
        <v>13.0</v>
      </c>
      <c r="E72" s="45" t="s">
        <v>156</v>
      </c>
      <c r="F72" s="46">
        <v>13.0</v>
      </c>
      <c r="Q72" s="46">
        <v>2.0</v>
      </c>
      <c r="R72" s="2" t="s">
        <v>43</v>
      </c>
      <c r="S72" s="46">
        <v>2.0</v>
      </c>
      <c r="T72" s="48" t="s">
        <v>71</v>
      </c>
    </row>
    <row r="73" ht="15.75" customHeight="1">
      <c r="Q73" s="46">
        <v>3.0</v>
      </c>
      <c r="R73" s="2" t="s">
        <v>47</v>
      </c>
      <c r="S73" s="46">
        <v>3.0</v>
      </c>
      <c r="T73" s="48" t="s">
        <v>76</v>
      </c>
    </row>
    <row r="74" ht="15.75" customHeight="1">
      <c r="B74" s="41" t="s">
        <v>157</v>
      </c>
      <c r="Q74" s="46">
        <v>4.0</v>
      </c>
      <c r="R74" s="2" t="s">
        <v>53</v>
      </c>
      <c r="S74" s="46">
        <v>4.0</v>
      </c>
      <c r="T74" s="48" t="s">
        <v>31</v>
      </c>
    </row>
    <row r="75" ht="15.75" customHeight="1">
      <c r="B75" s="7" t="s">
        <v>3</v>
      </c>
      <c r="C75" s="7" t="s">
        <v>5</v>
      </c>
      <c r="D75" s="43" t="s">
        <v>158</v>
      </c>
      <c r="E75" s="8" t="s">
        <v>4</v>
      </c>
      <c r="F75" s="49" t="s">
        <v>132</v>
      </c>
      <c r="G75" s="3"/>
      <c r="H75" s="7" t="s">
        <v>6</v>
      </c>
      <c r="I75" s="43" t="s">
        <v>159</v>
      </c>
      <c r="J75" s="7" t="s">
        <v>5</v>
      </c>
      <c r="K75" s="43" t="s">
        <v>160</v>
      </c>
      <c r="L75" s="43" t="s">
        <v>158</v>
      </c>
      <c r="M75" s="8" t="s">
        <v>4</v>
      </c>
      <c r="N75" s="49" t="s">
        <v>132</v>
      </c>
      <c r="Q75" s="46">
        <v>5.0</v>
      </c>
      <c r="R75" s="2" t="s">
        <v>96</v>
      </c>
      <c r="S75" s="46">
        <v>5.0</v>
      </c>
      <c r="T75" s="2" t="s">
        <v>98</v>
      </c>
    </row>
    <row r="76" ht="15.75" customHeight="1">
      <c r="B76" s="13" t="s">
        <v>13</v>
      </c>
      <c r="C76" s="13" t="s">
        <v>14</v>
      </c>
      <c r="D76" s="17" t="s">
        <v>161</v>
      </c>
      <c r="E76" s="13"/>
      <c r="F76" s="50"/>
      <c r="G76" s="2"/>
      <c r="H76" s="13" t="s">
        <v>13</v>
      </c>
      <c r="I76" s="51" t="s">
        <v>15</v>
      </c>
      <c r="J76" s="13" t="s">
        <v>13</v>
      </c>
      <c r="K76" s="13" t="s">
        <v>16</v>
      </c>
      <c r="L76" s="17" t="s">
        <v>161</v>
      </c>
      <c r="M76" s="13"/>
      <c r="N76" s="52" t="s">
        <v>16</v>
      </c>
      <c r="Q76" s="46">
        <v>6.0</v>
      </c>
      <c r="R76" s="48" t="s">
        <v>119</v>
      </c>
      <c r="S76" s="46">
        <v>6.0</v>
      </c>
      <c r="T76" s="2" t="s">
        <v>41</v>
      </c>
    </row>
    <row r="77" ht="15.75" customHeight="1">
      <c r="B77" s="13" t="s">
        <v>21</v>
      </c>
      <c r="C77" s="13" t="s">
        <v>22</v>
      </c>
      <c r="D77" s="17" t="s">
        <v>162</v>
      </c>
      <c r="E77" s="13"/>
      <c r="F77" s="53"/>
      <c r="G77" s="2"/>
      <c r="H77" s="13" t="s">
        <v>21</v>
      </c>
      <c r="I77" s="54" t="s">
        <v>24</v>
      </c>
      <c r="J77" s="13" t="s">
        <v>21</v>
      </c>
      <c r="K77" s="13" t="s">
        <v>25</v>
      </c>
      <c r="L77" s="17" t="s">
        <v>162</v>
      </c>
      <c r="M77" s="13"/>
      <c r="N77" s="52" t="s">
        <v>25</v>
      </c>
      <c r="S77" s="46">
        <v>7.0</v>
      </c>
      <c r="T77" s="2" t="s">
        <v>109</v>
      </c>
    </row>
    <row r="78" ht="15.75" customHeight="1">
      <c r="B78" s="13" t="s">
        <v>29</v>
      </c>
      <c r="C78" s="13" t="s">
        <v>30</v>
      </c>
      <c r="D78" s="17" t="s">
        <v>163</v>
      </c>
      <c r="E78" s="13"/>
      <c r="F78" s="53"/>
      <c r="G78" s="2"/>
      <c r="H78" s="13" t="s">
        <v>29</v>
      </c>
      <c r="I78" s="54" t="s">
        <v>31</v>
      </c>
      <c r="J78" s="13" t="s">
        <v>29</v>
      </c>
      <c r="K78" s="13" t="s">
        <v>32</v>
      </c>
      <c r="L78" s="17" t="s">
        <v>163</v>
      </c>
      <c r="M78" s="13"/>
      <c r="N78" s="52" t="s">
        <v>32</v>
      </c>
      <c r="S78" s="46">
        <v>8.0</v>
      </c>
      <c r="T78" s="2" t="s">
        <v>113</v>
      </c>
    </row>
    <row r="79" ht="15.75" customHeight="1">
      <c r="B79" s="13" t="s">
        <v>37</v>
      </c>
      <c r="C79" s="13" t="s">
        <v>38</v>
      </c>
      <c r="D79" s="17" t="s">
        <v>164</v>
      </c>
      <c r="E79" s="13"/>
      <c r="F79" s="53"/>
      <c r="G79" s="2"/>
      <c r="H79" s="13" t="s">
        <v>37</v>
      </c>
      <c r="I79" s="54" t="s">
        <v>28</v>
      </c>
      <c r="J79" s="13" t="s">
        <v>37</v>
      </c>
      <c r="K79" s="13" t="s">
        <v>39</v>
      </c>
      <c r="L79" s="17" t="s">
        <v>164</v>
      </c>
      <c r="M79" s="13"/>
      <c r="N79" s="52" t="s">
        <v>39</v>
      </c>
      <c r="R79" s="2"/>
      <c r="S79" s="46">
        <v>9.0</v>
      </c>
      <c r="T79" s="2" t="s">
        <v>16</v>
      </c>
    </row>
    <row r="80" ht="15.75" customHeight="1">
      <c r="B80" s="13" t="s">
        <v>42</v>
      </c>
      <c r="C80" s="13" t="s">
        <v>43</v>
      </c>
      <c r="D80" s="17" t="s">
        <v>165</v>
      </c>
      <c r="E80" s="13"/>
      <c r="F80" s="53"/>
      <c r="G80" s="2"/>
      <c r="H80" s="13" t="s">
        <v>42</v>
      </c>
      <c r="I80" s="54" t="s">
        <v>36</v>
      </c>
      <c r="J80" s="13" t="s">
        <v>42</v>
      </c>
      <c r="K80" s="13" t="s">
        <v>44</v>
      </c>
      <c r="L80" s="17" t="s">
        <v>165</v>
      </c>
      <c r="M80" s="13"/>
      <c r="N80" s="52" t="s">
        <v>44</v>
      </c>
      <c r="S80" s="46">
        <v>10.0</v>
      </c>
      <c r="T80" s="2" t="s">
        <v>25</v>
      </c>
    </row>
    <row r="81" ht="15.75" customHeight="1">
      <c r="B81" s="13" t="s">
        <v>46</v>
      </c>
      <c r="C81" s="13" t="s">
        <v>47</v>
      </c>
      <c r="D81" s="17" t="s">
        <v>166</v>
      </c>
      <c r="E81" s="13"/>
      <c r="F81" s="53"/>
      <c r="G81" s="2"/>
      <c r="H81" s="13" t="s">
        <v>46</v>
      </c>
      <c r="I81" s="54" t="s">
        <v>48</v>
      </c>
      <c r="J81" s="13" t="s">
        <v>46</v>
      </c>
      <c r="K81" s="13" t="s">
        <v>49</v>
      </c>
      <c r="L81" s="17" t="s">
        <v>166</v>
      </c>
      <c r="M81" s="13"/>
      <c r="N81" s="52" t="s">
        <v>49</v>
      </c>
      <c r="S81" s="46">
        <v>11.0</v>
      </c>
      <c r="T81" s="2" t="s">
        <v>32</v>
      </c>
    </row>
    <row r="82" ht="15.75" customHeight="1">
      <c r="B82" s="13" t="s">
        <v>52</v>
      </c>
      <c r="C82" s="13" t="s">
        <v>53</v>
      </c>
      <c r="D82" s="17" t="s">
        <v>167</v>
      </c>
      <c r="E82" s="13"/>
      <c r="F82" s="53"/>
      <c r="G82" s="2"/>
      <c r="H82" s="13" t="s">
        <v>52</v>
      </c>
      <c r="I82" s="54" t="s">
        <v>54</v>
      </c>
      <c r="J82" s="13" t="s">
        <v>52</v>
      </c>
      <c r="K82" s="13" t="s">
        <v>55</v>
      </c>
      <c r="L82" s="17" t="s">
        <v>167</v>
      </c>
      <c r="M82" s="13"/>
      <c r="N82" s="52" t="s">
        <v>55</v>
      </c>
      <c r="S82" s="46">
        <v>12.0</v>
      </c>
      <c r="T82" s="2" t="s">
        <v>39</v>
      </c>
    </row>
    <row r="83" ht="15.75" customHeight="1">
      <c r="B83" s="13" t="s">
        <v>58</v>
      </c>
      <c r="C83" s="13" t="s">
        <v>59</v>
      </c>
      <c r="D83" s="17" t="s">
        <v>168</v>
      </c>
      <c r="E83" s="13"/>
      <c r="F83" s="53"/>
      <c r="G83" s="2"/>
      <c r="H83" s="13" t="s">
        <v>58</v>
      </c>
      <c r="I83" s="54" t="s">
        <v>41</v>
      </c>
      <c r="J83" s="13" t="s">
        <v>58</v>
      </c>
      <c r="K83" s="13" t="s">
        <v>60</v>
      </c>
      <c r="L83" s="17" t="s">
        <v>168</v>
      </c>
      <c r="M83" s="13"/>
      <c r="N83" s="52" t="s">
        <v>60</v>
      </c>
      <c r="S83" s="46">
        <v>13.0</v>
      </c>
      <c r="T83" s="2" t="s">
        <v>44</v>
      </c>
      <c r="U83" s="2"/>
    </row>
    <row r="84" ht="15.75" customHeight="1">
      <c r="B84" s="13" t="s">
        <v>63</v>
      </c>
      <c r="C84" s="13" t="s">
        <v>64</v>
      </c>
      <c r="D84" s="17" t="s">
        <v>169</v>
      </c>
      <c r="E84" s="13"/>
      <c r="F84" s="53"/>
      <c r="G84" s="2"/>
      <c r="H84" s="13" t="s">
        <v>63</v>
      </c>
      <c r="I84" s="54" t="s">
        <v>65</v>
      </c>
      <c r="J84" s="13" t="s">
        <v>63</v>
      </c>
      <c r="K84" s="13" t="s">
        <v>66</v>
      </c>
      <c r="L84" s="17" t="s">
        <v>169</v>
      </c>
      <c r="M84" s="13"/>
      <c r="N84" s="52" t="s">
        <v>66</v>
      </c>
      <c r="S84" s="46">
        <v>14.0</v>
      </c>
      <c r="T84" s="2" t="s">
        <v>49</v>
      </c>
      <c r="U84" s="2"/>
    </row>
    <row r="85" ht="15.75" customHeight="1">
      <c r="B85" s="13" t="s">
        <v>69</v>
      </c>
      <c r="C85" s="13" t="s">
        <v>70</v>
      </c>
      <c r="D85" s="17" t="s">
        <v>170</v>
      </c>
      <c r="E85" s="13"/>
      <c r="F85" s="53"/>
      <c r="G85" s="2"/>
      <c r="H85" s="13" t="s">
        <v>69</v>
      </c>
      <c r="I85" s="54" t="s">
        <v>71</v>
      </c>
      <c r="J85" s="13" t="s">
        <v>69</v>
      </c>
      <c r="K85" s="13" t="s">
        <v>72</v>
      </c>
      <c r="L85" s="17" t="s">
        <v>170</v>
      </c>
      <c r="M85" s="13"/>
      <c r="N85" s="52" t="s">
        <v>72</v>
      </c>
      <c r="S85" s="46">
        <v>15.0</v>
      </c>
      <c r="T85" s="2" t="s">
        <v>55</v>
      </c>
      <c r="U85" s="2"/>
    </row>
    <row r="86" ht="15.75" customHeight="1">
      <c r="B86" s="13" t="s">
        <v>74</v>
      </c>
      <c r="C86" s="13" t="s">
        <v>75</v>
      </c>
      <c r="D86" s="17" t="s">
        <v>171</v>
      </c>
      <c r="E86" s="13"/>
      <c r="F86" s="53"/>
      <c r="G86" s="2"/>
      <c r="H86" s="13" t="s">
        <v>74</v>
      </c>
      <c r="I86" s="54" t="s">
        <v>76</v>
      </c>
      <c r="J86" s="13" t="s">
        <v>74</v>
      </c>
      <c r="K86" s="13" t="s">
        <v>77</v>
      </c>
      <c r="L86" s="17" t="s">
        <v>171</v>
      </c>
      <c r="M86" s="13"/>
      <c r="N86" s="52" t="s">
        <v>82</v>
      </c>
      <c r="S86" s="46">
        <v>16.0</v>
      </c>
      <c r="T86" s="2" t="s">
        <v>60</v>
      </c>
    </row>
    <row r="87" ht="15.75" customHeight="1">
      <c r="B87" s="55" t="s">
        <v>79</v>
      </c>
      <c r="C87" s="55" t="s">
        <v>80</v>
      </c>
      <c r="D87" s="56" t="s">
        <v>172</v>
      </c>
      <c r="E87" s="55"/>
      <c r="F87" s="53"/>
      <c r="G87" s="2"/>
      <c r="H87" s="55" t="s">
        <v>79</v>
      </c>
      <c r="I87" s="57" t="s">
        <v>81</v>
      </c>
      <c r="J87" s="55" t="s">
        <v>79</v>
      </c>
      <c r="K87" s="55" t="s">
        <v>82</v>
      </c>
      <c r="L87" s="56" t="s">
        <v>172</v>
      </c>
      <c r="M87" s="55"/>
      <c r="N87" s="53"/>
      <c r="S87" s="46">
        <v>17.0</v>
      </c>
      <c r="T87" s="2" t="s">
        <v>66</v>
      </c>
    </row>
    <row r="88" ht="15.75" customHeight="1">
      <c r="B88" s="58" t="s">
        <v>173</v>
      </c>
      <c r="C88" s="59" t="s">
        <v>85</v>
      </c>
      <c r="D88" s="58" t="s">
        <v>173</v>
      </c>
      <c r="E88" s="59" t="s">
        <v>85</v>
      </c>
      <c r="F88" s="59"/>
      <c r="G88" s="2"/>
      <c r="H88" s="58" t="s">
        <v>174</v>
      </c>
      <c r="I88" s="59" t="s">
        <v>87</v>
      </c>
      <c r="J88" s="59"/>
      <c r="K88" s="59"/>
      <c r="L88" s="58" t="s">
        <v>175</v>
      </c>
      <c r="M88" s="58"/>
      <c r="N88" s="59" t="s">
        <v>87</v>
      </c>
      <c r="S88" s="46">
        <v>18.0</v>
      </c>
      <c r="T88" s="48" t="s">
        <v>72</v>
      </c>
      <c r="U88" s="2"/>
    </row>
    <row r="89" ht="15.75" customHeight="1">
      <c r="B89" s="59"/>
      <c r="C89" s="59"/>
      <c r="D89" s="58" t="s">
        <v>176</v>
      </c>
      <c r="E89" s="58" t="s">
        <v>59</v>
      </c>
      <c r="F89" s="59"/>
      <c r="G89" s="2"/>
      <c r="H89" s="58" t="s">
        <v>177</v>
      </c>
      <c r="I89" s="59" t="s">
        <v>18</v>
      </c>
      <c r="J89" s="59"/>
      <c r="K89" s="59"/>
      <c r="L89" s="58" t="s">
        <v>178</v>
      </c>
      <c r="M89" s="58"/>
      <c r="N89" s="58" t="s">
        <v>150</v>
      </c>
      <c r="S89" s="46">
        <v>19.0</v>
      </c>
      <c r="T89" s="48" t="s">
        <v>82</v>
      </c>
    </row>
    <row r="90" ht="15.75" customHeight="1">
      <c r="A90" s="45" t="s">
        <v>156</v>
      </c>
      <c r="B90" s="46">
        <v>13.0</v>
      </c>
      <c r="C90" s="45" t="s">
        <v>156</v>
      </c>
      <c r="D90" s="46">
        <v>14.0</v>
      </c>
      <c r="E90" s="45"/>
      <c r="G90" s="2"/>
      <c r="H90" s="59"/>
      <c r="I90" s="59"/>
      <c r="J90" s="59"/>
      <c r="K90" s="59"/>
      <c r="L90" s="58" t="s">
        <v>179</v>
      </c>
      <c r="M90" s="58"/>
      <c r="N90" s="58" t="s">
        <v>142</v>
      </c>
    </row>
    <row r="91" ht="15.75" customHeight="1">
      <c r="B91" s="41"/>
      <c r="C91" s="41"/>
      <c r="D91" s="41"/>
      <c r="E91" s="41"/>
      <c r="F91" s="41"/>
      <c r="G91" s="45" t="s">
        <v>156</v>
      </c>
      <c r="H91" s="41"/>
      <c r="I91" s="16">
        <v>14.0</v>
      </c>
      <c r="J91" s="41"/>
      <c r="K91" s="45" t="s">
        <v>156</v>
      </c>
      <c r="L91" s="45">
        <v>15.0</v>
      </c>
    </row>
    <row r="92" ht="15.75" customHeight="1">
      <c r="B92" s="41" t="s">
        <v>180</v>
      </c>
      <c r="Q92" s="44" t="s">
        <v>181</v>
      </c>
    </row>
    <row r="93" ht="15.75" customHeight="1">
      <c r="B93" s="7" t="s">
        <v>3</v>
      </c>
      <c r="C93" s="7" t="s">
        <v>5</v>
      </c>
      <c r="D93" s="43" t="s">
        <v>158</v>
      </c>
      <c r="E93" s="8" t="s">
        <v>4</v>
      </c>
      <c r="F93" s="49" t="s">
        <v>132</v>
      </c>
      <c r="G93" s="3"/>
      <c r="H93" s="7" t="s">
        <v>6</v>
      </c>
      <c r="I93" s="7" t="s">
        <v>5</v>
      </c>
      <c r="J93" s="43" t="s">
        <v>158</v>
      </c>
      <c r="K93" s="8" t="s">
        <v>4</v>
      </c>
      <c r="L93" s="49" t="s">
        <v>132</v>
      </c>
      <c r="Q93" s="45" t="s">
        <v>153</v>
      </c>
      <c r="R93" s="46" t="s">
        <v>3</v>
      </c>
      <c r="S93" s="45" t="s">
        <v>153</v>
      </c>
      <c r="T93" s="46" t="s">
        <v>6</v>
      </c>
    </row>
    <row r="94" ht="15.75" customHeight="1">
      <c r="B94" s="13" t="s">
        <v>13</v>
      </c>
      <c r="C94" s="13" t="s">
        <v>96</v>
      </c>
      <c r="D94" s="17" t="s">
        <v>161</v>
      </c>
      <c r="E94" s="13"/>
      <c r="F94" s="50"/>
      <c r="G94" s="2"/>
      <c r="H94" s="13" t="s">
        <v>13</v>
      </c>
      <c r="I94" s="54" t="s">
        <v>98</v>
      </c>
      <c r="J94" s="17" t="s">
        <v>161</v>
      </c>
      <c r="K94" s="13"/>
      <c r="L94" s="50"/>
      <c r="Q94" s="46">
        <v>1.0</v>
      </c>
      <c r="R94" s="48" t="s">
        <v>35</v>
      </c>
      <c r="S94" s="46">
        <v>1.0</v>
      </c>
      <c r="T94" s="2" t="s">
        <v>36</v>
      </c>
    </row>
    <row r="95" ht="15.75" customHeight="1">
      <c r="B95" s="13" t="s">
        <v>21</v>
      </c>
      <c r="C95" s="13" t="s">
        <v>100</v>
      </c>
      <c r="D95" s="17" t="s">
        <v>162</v>
      </c>
      <c r="E95" s="13"/>
      <c r="F95" s="53"/>
      <c r="G95" s="2"/>
      <c r="H95" s="13" t="s">
        <v>21</v>
      </c>
      <c r="I95" s="54" t="s">
        <v>17</v>
      </c>
      <c r="J95" s="17" t="s">
        <v>162</v>
      </c>
      <c r="K95" s="13"/>
      <c r="L95" s="53"/>
      <c r="Q95" s="46">
        <v>2.0</v>
      </c>
      <c r="R95" s="48" t="s">
        <v>14</v>
      </c>
      <c r="S95" s="46">
        <v>2.0</v>
      </c>
      <c r="T95" s="46" t="s">
        <v>28</v>
      </c>
    </row>
    <row r="96" ht="15.75" customHeight="1">
      <c r="B96" s="13" t="s">
        <v>29</v>
      </c>
      <c r="C96" s="13" t="s">
        <v>105</v>
      </c>
      <c r="D96" s="17" t="s">
        <v>163</v>
      </c>
      <c r="E96" s="13"/>
      <c r="F96" s="53"/>
      <c r="G96" s="2"/>
      <c r="H96" s="13" t="s">
        <v>29</v>
      </c>
      <c r="I96" s="54" t="s">
        <v>45</v>
      </c>
      <c r="J96" s="17" t="s">
        <v>163</v>
      </c>
      <c r="K96" s="13"/>
      <c r="L96" s="53"/>
      <c r="Q96" s="46">
        <v>3.0</v>
      </c>
      <c r="R96" s="2" t="s">
        <v>64</v>
      </c>
      <c r="S96" s="46">
        <v>3.0</v>
      </c>
      <c r="T96" s="48" t="s">
        <v>24</v>
      </c>
    </row>
    <row r="97" ht="15.75" customHeight="1">
      <c r="B97" s="13" t="s">
        <v>37</v>
      </c>
      <c r="C97" s="13" t="s">
        <v>96</v>
      </c>
      <c r="D97" s="17" t="s">
        <v>164</v>
      </c>
      <c r="E97" s="13"/>
      <c r="F97" s="53"/>
      <c r="G97" s="2"/>
      <c r="H97" s="13" t="s">
        <v>37</v>
      </c>
      <c r="I97" s="54" t="s">
        <v>102</v>
      </c>
      <c r="J97" s="17" t="s">
        <v>164</v>
      </c>
      <c r="K97" s="13"/>
      <c r="L97" s="53"/>
      <c r="Q97" s="46">
        <v>4.0</v>
      </c>
      <c r="R97" s="2" t="s">
        <v>70</v>
      </c>
      <c r="S97" s="46">
        <v>4.0</v>
      </c>
      <c r="T97" s="2" t="s">
        <v>48</v>
      </c>
    </row>
    <row r="98" ht="15.75" customHeight="1">
      <c r="B98" s="13" t="s">
        <v>42</v>
      </c>
      <c r="C98" s="13" t="s">
        <v>105</v>
      </c>
      <c r="D98" s="17" t="s">
        <v>165</v>
      </c>
      <c r="E98" s="13"/>
      <c r="F98" s="53"/>
      <c r="G98" s="2"/>
      <c r="H98" s="13" t="s">
        <v>42</v>
      </c>
      <c r="I98" s="54" t="s">
        <v>109</v>
      </c>
      <c r="J98" s="17" t="s">
        <v>165</v>
      </c>
      <c r="K98" s="13"/>
      <c r="L98" s="53"/>
      <c r="Q98" s="46">
        <v>5.0</v>
      </c>
      <c r="R98" s="2" t="s">
        <v>75</v>
      </c>
      <c r="S98" s="46">
        <v>5.0</v>
      </c>
      <c r="T98" s="2" t="s">
        <v>65</v>
      </c>
    </row>
    <row r="99" ht="15.75" customHeight="1">
      <c r="B99" s="13" t="s">
        <v>46</v>
      </c>
      <c r="C99" s="13" t="s">
        <v>111</v>
      </c>
      <c r="D99" s="17" t="s">
        <v>166</v>
      </c>
      <c r="E99" s="13"/>
      <c r="F99" s="53"/>
      <c r="G99" s="2"/>
      <c r="H99" s="13" t="s">
        <v>46</v>
      </c>
      <c r="I99" s="54" t="s">
        <v>113</v>
      </c>
      <c r="J99" s="17" t="s">
        <v>166</v>
      </c>
      <c r="K99" s="13"/>
      <c r="L99" s="53"/>
      <c r="Q99" s="46">
        <v>6.0</v>
      </c>
      <c r="R99" s="2" t="s">
        <v>80</v>
      </c>
      <c r="S99" s="46">
        <v>6.0</v>
      </c>
      <c r="T99" s="48" t="s">
        <v>81</v>
      </c>
    </row>
    <row r="100" ht="15.75" customHeight="1">
      <c r="B100" s="13" t="s">
        <v>52</v>
      </c>
      <c r="C100" s="13" t="s">
        <v>114</v>
      </c>
      <c r="D100" s="17" t="s">
        <v>167</v>
      </c>
      <c r="E100" s="13"/>
      <c r="F100" s="53"/>
      <c r="G100" s="2"/>
      <c r="H100" s="13" t="s">
        <v>52</v>
      </c>
      <c r="I100" s="54" t="s">
        <v>115</v>
      </c>
      <c r="J100" s="17" t="s">
        <v>167</v>
      </c>
      <c r="K100" s="13"/>
      <c r="L100" s="53"/>
      <c r="Q100" s="46">
        <v>7.0</v>
      </c>
      <c r="R100" s="2" t="s">
        <v>100</v>
      </c>
      <c r="S100" s="46">
        <v>7.0</v>
      </c>
      <c r="T100" s="48" t="s">
        <v>115</v>
      </c>
    </row>
    <row r="101" ht="15.75" customHeight="1">
      <c r="B101" s="13" t="s">
        <v>58</v>
      </c>
      <c r="C101" s="13" t="s">
        <v>100</v>
      </c>
      <c r="D101" s="17" t="s">
        <v>168</v>
      </c>
      <c r="E101" s="13"/>
      <c r="F101" s="53"/>
      <c r="G101" s="2"/>
      <c r="H101" s="13" t="s">
        <v>58</v>
      </c>
      <c r="I101" s="54" t="s">
        <v>51</v>
      </c>
      <c r="J101" s="17" t="s">
        <v>168</v>
      </c>
      <c r="K101" s="13"/>
      <c r="L101" s="53"/>
      <c r="Q101" s="46">
        <v>8.0</v>
      </c>
      <c r="R101" s="2" t="s">
        <v>111</v>
      </c>
      <c r="S101" s="46">
        <v>8.0</v>
      </c>
      <c r="T101" s="48" t="s">
        <v>51</v>
      </c>
    </row>
    <row r="102" ht="15.75" customHeight="1">
      <c r="B102" s="13" t="s">
        <v>63</v>
      </c>
      <c r="C102" s="13" t="s">
        <v>35</v>
      </c>
      <c r="D102" s="17" t="s">
        <v>169</v>
      </c>
      <c r="E102" s="13"/>
      <c r="F102" s="53"/>
      <c r="G102" s="2"/>
      <c r="H102" s="13" t="s">
        <v>63</v>
      </c>
      <c r="I102" s="54" t="s">
        <v>118</v>
      </c>
      <c r="J102" s="17" t="s">
        <v>169</v>
      </c>
      <c r="K102" s="13"/>
      <c r="L102" s="53"/>
      <c r="Q102" s="46">
        <v>9.0</v>
      </c>
      <c r="R102" s="2" t="s">
        <v>114</v>
      </c>
      <c r="S102" s="46">
        <v>9.0</v>
      </c>
      <c r="T102" s="48" t="s">
        <v>123</v>
      </c>
    </row>
    <row r="103" ht="15.75" customHeight="1">
      <c r="B103" s="13" t="s">
        <v>69</v>
      </c>
      <c r="C103" s="13" t="s">
        <v>119</v>
      </c>
      <c r="D103" s="17" t="s">
        <v>170</v>
      </c>
      <c r="E103" s="13"/>
      <c r="F103" s="53"/>
      <c r="G103" s="2"/>
      <c r="H103" s="13" t="s">
        <v>69</v>
      </c>
      <c r="I103" s="54" t="s">
        <v>118</v>
      </c>
      <c r="J103" s="17" t="s">
        <v>170</v>
      </c>
      <c r="K103" s="13"/>
      <c r="L103" s="53"/>
      <c r="Q103" s="46">
        <v>10.0</v>
      </c>
      <c r="R103" s="2" t="s">
        <v>100</v>
      </c>
      <c r="S103" s="46">
        <v>10.0</v>
      </c>
      <c r="T103" s="48" t="s">
        <v>125</v>
      </c>
    </row>
    <row r="104" ht="15.75" customHeight="1">
      <c r="B104" s="13" t="s">
        <v>74</v>
      </c>
      <c r="C104" s="13" t="s">
        <v>119</v>
      </c>
      <c r="D104" s="17" t="s">
        <v>171</v>
      </c>
      <c r="E104" s="13"/>
      <c r="F104" s="53"/>
      <c r="G104" s="2"/>
      <c r="H104" s="13" t="s">
        <v>74</v>
      </c>
      <c r="I104" s="54" t="s">
        <v>123</v>
      </c>
      <c r="J104" s="17" t="s">
        <v>171</v>
      </c>
      <c r="K104" s="13"/>
      <c r="L104" s="53"/>
      <c r="Q104" s="46">
        <v>11.0</v>
      </c>
      <c r="R104" s="48" t="s">
        <v>94</v>
      </c>
      <c r="S104" s="46">
        <v>11.0</v>
      </c>
      <c r="T104" s="48" t="s">
        <v>77</v>
      </c>
    </row>
    <row r="105" ht="15.75" customHeight="1">
      <c r="B105" s="55" t="s">
        <v>79</v>
      </c>
      <c r="C105" s="55" t="s">
        <v>94</v>
      </c>
      <c r="D105" s="56" t="s">
        <v>172</v>
      </c>
      <c r="E105" s="55"/>
      <c r="F105" s="53"/>
      <c r="G105" s="2"/>
      <c r="H105" s="55" t="s">
        <v>79</v>
      </c>
      <c r="I105" s="57" t="s">
        <v>125</v>
      </c>
      <c r="J105" s="56" t="s">
        <v>172</v>
      </c>
      <c r="K105" s="55"/>
      <c r="L105" s="53"/>
    </row>
    <row r="106" ht="15.75" customHeight="1">
      <c r="A106" s="2"/>
      <c r="B106" s="58" t="s">
        <v>182</v>
      </c>
      <c r="C106" s="58" t="s">
        <v>136</v>
      </c>
      <c r="D106" s="58" t="s">
        <v>183</v>
      </c>
      <c r="E106" s="59"/>
      <c r="F106" s="58" t="s">
        <v>136</v>
      </c>
      <c r="H106" s="58" t="s">
        <v>184</v>
      </c>
      <c r="I106" s="58" t="s">
        <v>138</v>
      </c>
      <c r="J106" s="58" t="s">
        <v>185</v>
      </c>
      <c r="K106" s="59"/>
      <c r="L106" s="58" t="s">
        <v>138</v>
      </c>
    </row>
    <row r="107" ht="15.75" customHeight="1">
      <c r="A107" s="16" t="s">
        <v>156</v>
      </c>
      <c r="B107" s="46">
        <v>13.0</v>
      </c>
      <c r="C107" s="45" t="s">
        <v>156</v>
      </c>
      <c r="H107" s="58" t="s">
        <v>186</v>
      </c>
      <c r="I107" s="58" t="s">
        <v>142</v>
      </c>
      <c r="J107" s="58" t="s">
        <v>187</v>
      </c>
      <c r="K107" s="59"/>
      <c r="L107" s="58" t="s">
        <v>54</v>
      </c>
    </row>
    <row r="108" ht="15.75" customHeight="1">
      <c r="A108" s="2"/>
      <c r="G108" s="45" t="s">
        <v>156</v>
      </c>
      <c r="H108" s="46">
        <v>14.0</v>
      </c>
      <c r="I108" s="45" t="s">
        <v>156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3">
    <mergeCell ref="B57:J57"/>
    <mergeCell ref="Q59:T59"/>
    <mergeCell ref="Q69:T69"/>
    <mergeCell ref="B74:J74"/>
    <mergeCell ref="B92:J92"/>
    <mergeCell ref="Q92:T92"/>
    <mergeCell ref="B2:P2"/>
    <mergeCell ref="B4:H4"/>
    <mergeCell ref="Q4:T4"/>
    <mergeCell ref="B21:H21"/>
    <mergeCell ref="B37:J37"/>
    <mergeCell ref="E39:E50"/>
    <mergeCell ref="J39:J5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38.13"/>
    <col customWidth="1" min="3" max="3" width="25.5"/>
  </cols>
  <sheetData>
    <row r="1">
      <c r="A1" s="60" t="s">
        <v>188</v>
      </c>
      <c r="C1" s="61"/>
    </row>
    <row r="2">
      <c r="A2" s="60" t="s">
        <v>189</v>
      </c>
      <c r="B2" s="60" t="s">
        <v>190</v>
      </c>
      <c r="C2" s="60" t="s">
        <v>191</v>
      </c>
    </row>
    <row r="3">
      <c r="A3" s="62">
        <v>46053.0</v>
      </c>
      <c r="B3" s="63" t="s">
        <v>192</v>
      </c>
      <c r="C3" s="63" t="s">
        <v>193</v>
      </c>
    </row>
    <row r="4">
      <c r="A4" s="62">
        <v>46060.0</v>
      </c>
      <c r="B4" s="63" t="s">
        <v>194</v>
      </c>
      <c r="C4" s="63" t="s">
        <v>195</v>
      </c>
    </row>
    <row r="5">
      <c r="A5" s="62">
        <v>46067.0</v>
      </c>
      <c r="B5" s="63" t="s">
        <v>196</v>
      </c>
      <c r="C5" s="63" t="s">
        <v>88</v>
      </c>
    </row>
    <row r="6">
      <c r="A6" s="62">
        <v>46081.0</v>
      </c>
      <c r="B6" s="63" t="s">
        <v>197</v>
      </c>
      <c r="C6" s="63" t="s">
        <v>193</v>
      </c>
    </row>
    <row r="7">
      <c r="A7" s="62">
        <v>46088.0</v>
      </c>
      <c r="B7" s="63" t="s">
        <v>198</v>
      </c>
      <c r="C7" s="63" t="s">
        <v>193</v>
      </c>
    </row>
    <row r="8">
      <c r="A8" s="62">
        <v>46123.0</v>
      </c>
      <c r="B8" s="63" t="s">
        <v>192</v>
      </c>
      <c r="C8" s="63" t="s">
        <v>193</v>
      </c>
    </row>
    <row r="9">
      <c r="A9" s="62">
        <v>46130.0</v>
      </c>
      <c r="B9" s="63" t="s">
        <v>192</v>
      </c>
      <c r="C9" s="63" t="s">
        <v>193</v>
      </c>
    </row>
    <row r="10">
      <c r="A10" s="62">
        <v>46137.0</v>
      </c>
      <c r="B10" s="63" t="s">
        <v>192</v>
      </c>
      <c r="C10" s="63" t="s">
        <v>193</v>
      </c>
    </row>
    <row r="11">
      <c r="A11" s="64" t="s">
        <v>199</v>
      </c>
      <c r="B11" s="63" t="s">
        <v>192</v>
      </c>
      <c r="C11" s="63" t="s">
        <v>193</v>
      </c>
    </row>
    <row r="12">
      <c r="A12" s="64" t="s">
        <v>200</v>
      </c>
      <c r="B12" s="63" t="s">
        <v>192</v>
      </c>
      <c r="C12" s="63" t="s">
        <v>193</v>
      </c>
    </row>
    <row r="13">
      <c r="A13" s="65">
        <v>46179.0</v>
      </c>
      <c r="B13" s="61"/>
      <c r="C13" s="61"/>
    </row>
    <row r="14">
      <c r="A14" s="65">
        <v>46193.0</v>
      </c>
      <c r="B14" s="61"/>
      <c r="C14" s="61"/>
    </row>
    <row r="15">
      <c r="A15" s="61"/>
      <c r="B15" s="61"/>
      <c r="C15" s="61"/>
    </row>
    <row r="16">
      <c r="A16" s="63" t="s">
        <v>201</v>
      </c>
      <c r="B16" s="63" t="s">
        <v>202</v>
      </c>
      <c r="C16" s="61"/>
    </row>
    <row r="17">
      <c r="A17" s="61"/>
      <c r="B17" s="61"/>
      <c r="C17" s="61"/>
    </row>
    <row r="18">
      <c r="A18" s="61"/>
      <c r="B18" s="61"/>
      <c r="C18" s="61"/>
    </row>
    <row r="19">
      <c r="A19" s="61"/>
      <c r="B19" s="61"/>
      <c r="C19" s="61"/>
    </row>
    <row r="20">
      <c r="A20" s="61"/>
      <c r="B20" s="61"/>
      <c r="C20" s="61"/>
    </row>
    <row r="21">
      <c r="A21" s="61"/>
      <c r="B21" s="61"/>
      <c r="C21" s="61"/>
    </row>
    <row r="22">
      <c r="A22" s="61"/>
      <c r="B22" s="61"/>
      <c r="C22" s="61"/>
    </row>
    <row r="23">
      <c r="A23" s="61"/>
      <c r="B23" s="61"/>
      <c r="C23" s="61"/>
    </row>
    <row r="24">
      <c r="A24" s="61"/>
      <c r="B24" s="61"/>
      <c r="C24" s="61"/>
    </row>
    <row r="25">
      <c r="A25" s="61"/>
      <c r="B25" s="61"/>
      <c r="C25" s="61"/>
    </row>
    <row r="26">
      <c r="A26" s="61"/>
      <c r="B26" s="61"/>
      <c r="C26" s="61"/>
    </row>
    <row r="27">
      <c r="A27" s="61"/>
      <c r="B27" s="61"/>
      <c r="C27" s="61"/>
    </row>
    <row r="28">
      <c r="A28" s="61"/>
      <c r="B28" s="61"/>
      <c r="C28" s="61"/>
    </row>
    <row r="29">
      <c r="A29" s="61"/>
      <c r="B29" s="61"/>
      <c r="C29" s="61"/>
    </row>
    <row r="30">
      <c r="A30" s="61"/>
      <c r="B30" s="61"/>
      <c r="C30" s="61"/>
    </row>
    <row r="31">
      <c r="A31" s="61"/>
      <c r="B31" s="61"/>
      <c r="C31" s="61"/>
    </row>
    <row r="32">
      <c r="A32" s="61"/>
      <c r="B32" s="61"/>
      <c r="C32" s="61"/>
    </row>
    <row r="33">
      <c r="A33" s="61"/>
      <c r="B33" s="61"/>
      <c r="C33" s="61"/>
    </row>
    <row r="34">
      <c r="A34" s="61"/>
      <c r="B34" s="61"/>
      <c r="C34" s="61"/>
    </row>
    <row r="35">
      <c r="A35" s="61"/>
      <c r="B35" s="61"/>
      <c r="C35" s="61"/>
    </row>
    <row r="36">
      <c r="A36" s="61"/>
      <c r="B36" s="61"/>
      <c r="C36" s="61"/>
    </row>
    <row r="37">
      <c r="A37" s="61"/>
      <c r="B37" s="61"/>
      <c r="C37" s="61"/>
    </row>
    <row r="38">
      <c r="A38" s="61"/>
      <c r="B38" s="61"/>
      <c r="C38" s="61"/>
    </row>
    <row r="39">
      <c r="A39" s="61"/>
      <c r="B39" s="61"/>
      <c r="C39" s="61"/>
    </row>
    <row r="40">
      <c r="A40" s="61"/>
      <c r="B40" s="61"/>
      <c r="C40" s="61"/>
    </row>
    <row r="41">
      <c r="A41" s="61"/>
      <c r="B41" s="61"/>
      <c r="C41" s="61"/>
    </row>
    <row r="42">
      <c r="A42" s="61"/>
      <c r="B42" s="61"/>
      <c r="C42" s="61"/>
    </row>
    <row r="43">
      <c r="A43" s="61"/>
      <c r="B43" s="61"/>
      <c r="C43" s="61"/>
    </row>
    <row r="44">
      <c r="A44" s="61"/>
      <c r="B44" s="61"/>
      <c r="C44" s="61"/>
    </row>
    <row r="45">
      <c r="A45" s="61"/>
      <c r="B45" s="61"/>
      <c r="C45" s="61"/>
    </row>
    <row r="46">
      <c r="A46" s="61"/>
      <c r="B46" s="61"/>
      <c r="C46" s="61"/>
    </row>
    <row r="47">
      <c r="A47" s="61"/>
      <c r="B47" s="61"/>
      <c r="C47" s="61"/>
    </row>
    <row r="48">
      <c r="A48" s="61"/>
      <c r="B48" s="61"/>
      <c r="C48" s="61"/>
    </row>
    <row r="49">
      <c r="A49" s="61"/>
      <c r="B49" s="61"/>
      <c r="C49" s="61"/>
    </row>
    <row r="50">
      <c r="A50" s="61"/>
      <c r="B50" s="61"/>
      <c r="C50" s="61"/>
    </row>
    <row r="51">
      <c r="A51" s="61"/>
      <c r="B51" s="61"/>
      <c r="C51" s="61"/>
    </row>
    <row r="52">
      <c r="A52" s="61"/>
      <c r="B52" s="61"/>
      <c r="C52" s="61"/>
    </row>
    <row r="53">
      <c r="A53" s="61"/>
      <c r="B53" s="61"/>
      <c r="C53" s="61"/>
    </row>
    <row r="54">
      <c r="A54" s="61"/>
      <c r="B54" s="61"/>
      <c r="C54" s="61"/>
    </row>
    <row r="55">
      <c r="A55" s="61"/>
      <c r="B55" s="61"/>
      <c r="C55" s="61"/>
    </row>
    <row r="56">
      <c r="A56" s="61"/>
      <c r="B56" s="61"/>
      <c r="C56" s="61"/>
    </row>
    <row r="57">
      <c r="A57" s="61"/>
      <c r="B57" s="61"/>
      <c r="C57" s="61"/>
    </row>
    <row r="58">
      <c r="A58" s="61"/>
      <c r="B58" s="61"/>
      <c r="C58" s="61"/>
    </row>
    <row r="59">
      <c r="A59" s="61"/>
      <c r="B59" s="61"/>
      <c r="C59" s="61"/>
    </row>
    <row r="60">
      <c r="A60" s="61"/>
      <c r="B60" s="61"/>
      <c r="C60" s="61"/>
    </row>
    <row r="61">
      <c r="A61" s="61"/>
      <c r="B61" s="61"/>
      <c r="C61" s="61"/>
    </row>
    <row r="62">
      <c r="A62" s="61"/>
      <c r="B62" s="61"/>
      <c r="C62" s="61"/>
    </row>
    <row r="63">
      <c r="A63" s="61"/>
      <c r="B63" s="61"/>
      <c r="C63" s="61"/>
    </row>
    <row r="64">
      <c r="A64" s="61"/>
      <c r="B64" s="61"/>
      <c r="C64" s="61"/>
    </row>
    <row r="65">
      <c r="A65" s="61"/>
      <c r="B65" s="61"/>
      <c r="C65" s="61"/>
    </row>
    <row r="66">
      <c r="A66" s="61"/>
      <c r="B66" s="61"/>
      <c r="C66" s="61"/>
    </row>
    <row r="67">
      <c r="A67" s="61"/>
      <c r="B67" s="61"/>
      <c r="C67" s="61"/>
    </row>
    <row r="68">
      <c r="A68" s="61"/>
      <c r="B68" s="61"/>
      <c r="C68" s="61"/>
    </row>
    <row r="69">
      <c r="A69" s="61"/>
      <c r="B69" s="61"/>
      <c r="C69" s="61"/>
    </row>
    <row r="70">
      <c r="A70" s="61"/>
      <c r="B70" s="61"/>
      <c r="C70" s="61"/>
    </row>
    <row r="71">
      <c r="A71" s="61"/>
      <c r="B71" s="61"/>
      <c r="C71" s="61"/>
    </row>
    <row r="72">
      <c r="A72" s="61"/>
      <c r="B72" s="61"/>
      <c r="C72" s="61"/>
    </row>
    <row r="73">
      <c r="A73" s="61"/>
      <c r="B73" s="61"/>
      <c r="C73" s="61"/>
    </row>
    <row r="74">
      <c r="A74" s="61"/>
      <c r="B74" s="61"/>
      <c r="C74" s="61"/>
    </row>
    <row r="75">
      <c r="A75" s="61"/>
      <c r="B75" s="61"/>
      <c r="C75" s="61"/>
    </row>
    <row r="76">
      <c r="A76" s="61"/>
      <c r="B76" s="61"/>
      <c r="C76" s="61"/>
    </row>
    <row r="77">
      <c r="A77" s="61"/>
      <c r="B77" s="61"/>
      <c r="C77" s="61"/>
    </row>
    <row r="78">
      <c r="A78" s="61"/>
      <c r="B78" s="61"/>
      <c r="C78" s="61"/>
    </row>
    <row r="79">
      <c r="A79" s="61"/>
      <c r="B79" s="61"/>
      <c r="C79" s="61"/>
    </row>
    <row r="80">
      <c r="A80" s="61"/>
      <c r="B80" s="61"/>
      <c r="C80" s="61"/>
    </row>
    <row r="81">
      <c r="A81" s="61"/>
      <c r="B81" s="61"/>
      <c r="C81" s="61"/>
    </row>
    <row r="82">
      <c r="A82" s="61"/>
      <c r="B82" s="61"/>
      <c r="C82" s="61"/>
    </row>
    <row r="83">
      <c r="A83" s="61"/>
      <c r="B83" s="61"/>
      <c r="C83" s="61"/>
    </row>
    <row r="84">
      <c r="A84" s="61"/>
      <c r="B84" s="61"/>
      <c r="C84" s="61"/>
    </row>
    <row r="85">
      <c r="A85" s="61"/>
      <c r="B85" s="61"/>
      <c r="C85" s="61"/>
    </row>
    <row r="86">
      <c r="A86" s="61"/>
      <c r="B86" s="61"/>
      <c r="C86" s="61"/>
    </row>
    <row r="87">
      <c r="A87" s="61"/>
      <c r="B87" s="61"/>
      <c r="C87" s="61"/>
    </row>
    <row r="88">
      <c r="A88" s="61"/>
      <c r="B88" s="61"/>
      <c r="C88" s="61"/>
    </row>
    <row r="89">
      <c r="A89" s="61"/>
      <c r="B89" s="61"/>
      <c r="C89" s="61"/>
    </row>
    <row r="90">
      <c r="A90" s="61"/>
      <c r="B90" s="61"/>
      <c r="C90" s="61"/>
    </row>
    <row r="91">
      <c r="A91" s="61"/>
      <c r="B91" s="61"/>
      <c r="C91" s="61"/>
    </row>
    <row r="92">
      <c r="A92" s="61"/>
      <c r="B92" s="61"/>
      <c r="C92" s="61"/>
    </row>
    <row r="93">
      <c r="A93" s="61"/>
      <c r="B93" s="61"/>
      <c r="C93" s="61"/>
    </row>
    <row r="94">
      <c r="A94" s="61"/>
      <c r="B94" s="61"/>
      <c r="C94" s="61"/>
    </row>
    <row r="95">
      <c r="A95" s="61"/>
      <c r="B95" s="61"/>
      <c r="C95" s="61"/>
    </row>
    <row r="96">
      <c r="A96" s="61"/>
      <c r="B96" s="61"/>
      <c r="C96" s="61"/>
    </row>
    <row r="97">
      <c r="A97" s="61"/>
      <c r="B97" s="61"/>
      <c r="C97" s="61"/>
    </row>
    <row r="98">
      <c r="A98" s="61"/>
      <c r="B98" s="61"/>
      <c r="C98" s="61"/>
    </row>
    <row r="99">
      <c r="A99" s="61"/>
      <c r="B99" s="61"/>
      <c r="C99" s="61"/>
    </row>
    <row r="100">
      <c r="A100" s="61"/>
      <c r="B100" s="61"/>
      <c r="C100" s="61"/>
    </row>
    <row r="101">
      <c r="A101" s="61"/>
      <c r="B101" s="61"/>
      <c r="C101" s="61"/>
    </row>
    <row r="102">
      <c r="A102" s="61"/>
      <c r="B102" s="61"/>
      <c r="C102" s="61"/>
    </row>
    <row r="103">
      <c r="A103" s="61"/>
      <c r="B103" s="61"/>
      <c r="C103" s="61"/>
    </row>
    <row r="104">
      <c r="A104" s="61"/>
      <c r="B104" s="61"/>
      <c r="C104" s="61"/>
    </row>
    <row r="105">
      <c r="A105" s="61"/>
      <c r="B105" s="61"/>
      <c r="C105" s="61"/>
    </row>
    <row r="106">
      <c r="A106" s="61"/>
      <c r="B106" s="61"/>
      <c r="C106" s="61"/>
    </row>
    <row r="107">
      <c r="A107" s="61"/>
      <c r="B107" s="61"/>
      <c r="C107" s="61"/>
    </row>
    <row r="108">
      <c r="A108" s="61"/>
      <c r="B108" s="61"/>
      <c r="C108" s="61"/>
    </row>
    <row r="109">
      <c r="A109" s="61"/>
      <c r="B109" s="61"/>
      <c r="C109" s="61"/>
    </row>
    <row r="110">
      <c r="A110" s="61"/>
      <c r="B110" s="61"/>
      <c r="C110" s="61"/>
    </row>
    <row r="111">
      <c r="A111" s="61"/>
      <c r="B111" s="61"/>
      <c r="C111" s="61"/>
    </row>
    <row r="112">
      <c r="A112" s="61"/>
      <c r="B112" s="61"/>
      <c r="C112" s="61"/>
    </row>
    <row r="113">
      <c r="A113" s="61"/>
      <c r="B113" s="61"/>
      <c r="C113" s="61"/>
    </row>
    <row r="114">
      <c r="A114" s="61"/>
      <c r="B114" s="61"/>
      <c r="C114" s="61"/>
    </row>
    <row r="115">
      <c r="A115" s="61"/>
      <c r="B115" s="61"/>
      <c r="C115" s="61"/>
    </row>
    <row r="116">
      <c r="A116" s="61"/>
      <c r="B116" s="61"/>
      <c r="C116" s="61"/>
    </row>
    <row r="117">
      <c r="A117" s="61"/>
      <c r="B117" s="61"/>
      <c r="C117" s="61"/>
    </row>
    <row r="118">
      <c r="A118" s="61"/>
      <c r="B118" s="61"/>
      <c r="C118" s="61"/>
    </row>
    <row r="119">
      <c r="A119" s="61"/>
      <c r="B119" s="61"/>
      <c r="C119" s="61"/>
    </row>
    <row r="120">
      <c r="A120" s="61"/>
      <c r="B120" s="61"/>
      <c r="C120" s="61"/>
    </row>
    <row r="121">
      <c r="A121" s="61"/>
      <c r="B121" s="61"/>
      <c r="C121" s="61"/>
    </row>
    <row r="122">
      <c r="A122" s="61"/>
      <c r="B122" s="61"/>
      <c r="C122" s="61"/>
    </row>
    <row r="123">
      <c r="A123" s="61"/>
      <c r="B123" s="61"/>
      <c r="C123" s="61"/>
    </row>
    <row r="124">
      <c r="A124" s="61"/>
      <c r="B124" s="61"/>
      <c r="C124" s="61"/>
    </row>
    <row r="125">
      <c r="A125" s="61"/>
      <c r="B125" s="61"/>
      <c r="C125" s="61"/>
    </row>
    <row r="126">
      <c r="A126" s="61"/>
      <c r="B126" s="61"/>
      <c r="C126" s="61"/>
    </row>
    <row r="127">
      <c r="A127" s="61"/>
      <c r="B127" s="61"/>
      <c r="C127" s="61"/>
    </row>
    <row r="128">
      <c r="A128" s="61"/>
      <c r="B128" s="61"/>
      <c r="C128" s="61"/>
    </row>
    <row r="129">
      <c r="A129" s="61"/>
      <c r="B129" s="61"/>
      <c r="C129" s="61"/>
    </row>
    <row r="130">
      <c r="A130" s="61"/>
      <c r="B130" s="61"/>
      <c r="C130" s="61"/>
    </row>
    <row r="131">
      <c r="A131" s="61"/>
      <c r="B131" s="61"/>
      <c r="C131" s="61"/>
    </row>
    <row r="132">
      <c r="A132" s="61"/>
      <c r="B132" s="61"/>
      <c r="C132" s="61"/>
    </row>
    <row r="133">
      <c r="A133" s="61"/>
      <c r="B133" s="61"/>
      <c r="C133" s="61"/>
    </row>
    <row r="134">
      <c r="A134" s="61"/>
      <c r="B134" s="61"/>
      <c r="C134" s="61"/>
    </row>
    <row r="135">
      <c r="A135" s="61"/>
      <c r="B135" s="61"/>
      <c r="C135" s="61"/>
    </row>
    <row r="136">
      <c r="A136" s="61"/>
      <c r="B136" s="61"/>
      <c r="C136" s="61"/>
    </row>
    <row r="137">
      <c r="A137" s="61"/>
      <c r="B137" s="61"/>
      <c r="C137" s="61"/>
    </row>
    <row r="138">
      <c r="A138" s="61"/>
      <c r="B138" s="61"/>
      <c r="C138" s="61"/>
    </row>
    <row r="139">
      <c r="A139" s="61"/>
      <c r="B139" s="61"/>
      <c r="C139" s="61"/>
    </row>
    <row r="140">
      <c r="A140" s="61"/>
      <c r="B140" s="61"/>
      <c r="C140" s="61"/>
    </row>
    <row r="141">
      <c r="A141" s="61"/>
      <c r="B141" s="61"/>
      <c r="C141" s="61"/>
    </row>
    <row r="142">
      <c r="A142" s="61"/>
      <c r="B142" s="61"/>
      <c r="C142" s="61"/>
    </row>
    <row r="143">
      <c r="A143" s="61"/>
      <c r="B143" s="61"/>
      <c r="C143" s="61"/>
    </row>
    <row r="144">
      <c r="A144" s="61"/>
      <c r="B144" s="61"/>
      <c r="C144" s="61"/>
    </row>
    <row r="145">
      <c r="A145" s="61"/>
      <c r="B145" s="61"/>
      <c r="C145" s="61"/>
    </row>
    <row r="146">
      <c r="A146" s="61"/>
      <c r="B146" s="61"/>
      <c r="C146" s="61"/>
    </row>
    <row r="147">
      <c r="A147" s="61"/>
      <c r="B147" s="61"/>
      <c r="C147" s="61"/>
    </row>
    <row r="148">
      <c r="A148" s="61"/>
      <c r="B148" s="61"/>
      <c r="C148" s="61"/>
    </row>
    <row r="149">
      <c r="A149" s="61"/>
      <c r="B149" s="61"/>
      <c r="C149" s="61"/>
    </row>
    <row r="150">
      <c r="A150" s="61"/>
      <c r="B150" s="61"/>
      <c r="C150" s="61"/>
    </row>
    <row r="151">
      <c r="A151" s="61"/>
      <c r="B151" s="61"/>
      <c r="C151" s="61"/>
    </row>
    <row r="152">
      <c r="A152" s="61"/>
      <c r="B152" s="61"/>
      <c r="C152" s="61"/>
    </row>
    <row r="153">
      <c r="A153" s="61"/>
      <c r="B153" s="61"/>
      <c r="C153" s="61"/>
    </row>
    <row r="154">
      <c r="A154" s="61"/>
      <c r="B154" s="61"/>
      <c r="C154" s="61"/>
    </row>
    <row r="155">
      <c r="A155" s="61"/>
      <c r="B155" s="61"/>
      <c r="C155" s="61"/>
    </row>
    <row r="156">
      <c r="A156" s="61"/>
      <c r="B156" s="61"/>
      <c r="C156" s="61"/>
    </row>
    <row r="157">
      <c r="A157" s="61"/>
      <c r="B157" s="61"/>
      <c r="C157" s="61"/>
    </row>
    <row r="158">
      <c r="A158" s="61"/>
      <c r="B158" s="61"/>
      <c r="C158" s="61"/>
    </row>
    <row r="159">
      <c r="A159" s="61"/>
      <c r="B159" s="61"/>
      <c r="C159" s="61"/>
    </row>
    <row r="160">
      <c r="A160" s="61"/>
      <c r="B160" s="61"/>
      <c r="C160" s="61"/>
    </row>
    <row r="161">
      <c r="A161" s="61"/>
      <c r="B161" s="61"/>
      <c r="C161" s="61"/>
    </row>
    <row r="162">
      <c r="A162" s="61"/>
      <c r="B162" s="61"/>
      <c r="C162" s="61"/>
    </row>
    <row r="163">
      <c r="A163" s="61"/>
      <c r="B163" s="61"/>
      <c r="C163" s="61"/>
    </row>
    <row r="164">
      <c r="A164" s="61"/>
      <c r="B164" s="61"/>
      <c r="C164" s="61"/>
    </row>
    <row r="165">
      <c r="A165" s="61"/>
      <c r="B165" s="61"/>
      <c r="C165" s="61"/>
    </row>
    <row r="166">
      <c r="A166" s="61"/>
      <c r="B166" s="61"/>
      <c r="C166" s="61"/>
    </row>
    <row r="167">
      <c r="A167" s="61"/>
      <c r="B167" s="61"/>
      <c r="C167" s="61"/>
    </row>
    <row r="168">
      <c r="A168" s="61"/>
      <c r="B168" s="61"/>
      <c r="C168" s="61"/>
    </row>
    <row r="169">
      <c r="A169" s="61"/>
      <c r="B169" s="61"/>
      <c r="C169" s="61"/>
    </row>
    <row r="170">
      <c r="A170" s="61"/>
      <c r="B170" s="61"/>
      <c r="C170" s="61"/>
    </row>
    <row r="171">
      <c r="A171" s="61"/>
      <c r="B171" s="61"/>
      <c r="C171" s="61"/>
    </row>
    <row r="172">
      <c r="A172" s="61"/>
      <c r="B172" s="61"/>
      <c r="C172" s="61"/>
    </row>
    <row r="173">
      <c r="A173" s="61"/>
      <c r="B173" s="61"/>
      <c r="C173" s="61"/>
    </row>
    <row r="174">
      <c r="A174" s="61"/>
      <c r="B174" s="61"/>
      <c r="C174" s="61"/>
    </row>
    <row r="175">
      <c r="A175" s="61"/>
      <c r="B175" s="61"/>
      <c r="C175" s="61"/>
    </row>
    <row r="176">
      <c r="A176" s="61"/>
      <c r="B176" s="61"/>
      <c r="C176" s="61"/>
    </row>
    <row r="177">
      <c r="A177" s="61"/>
      <c r="B177" s="61"/>
      <c r="C177" s="61"/>
    </row>
    <row r="178">
      <c r="A178" s="61"/>
      <c r="B178" s="61"/>
      <c r="C178" s="61"/>
    </row>
    <row r="179">
      <c r="A179" s="61"/>
      <c r="B179" s="61"/>
      <c r="C179" s="61"/>
    </row>
    <row r="180">
      <c r="A180" s="61"/>
      <c r="B180" s="61"/>
      <c r="C180" s="61"/>
    </row>
    <row r="181">
      <c r="A181" s="61"/>
      <c r="B181" s="61"/>
      <c r="C181" s="61"/>
    </row>
    <row r="182">
      <c r="A182" s="61"/>
      <c r="B182" s="61"/>
      <c r="C182" s="61"/>
    </row>
    <row r="183">
      <c r="A183" s="61"/>
      <c r="B183" s="61"/>
      <c r="C183" s="61"/>
    </row>
    <row r="184">
      <c r="A184" s="61"/>
      <c r="B184" s="61"/>
      <c r="C184" s="61"/>
    </row>
    <row r="185">
      <c r="A185" s="61"/>
      <c r="B185" s="61"/>
      <c r="C185" s="61"/>
    </row>
    <row r="186">
      <c r="A186" s="61"/>
      <c r="B186" s="61"/>
      <c r="C186" s="61"/>
    </row>
    <row r="187">
      <c r="A187" s="61"/>
      <c r="B187" s="61"/>
      <c r="C187" s="61"/>
    </row>
    <row r="188">
      <c r="A188" s="61"/>
      <c r="B188" s="61"/>
      <c r="C188" s="61"/>
    </row>
    <row r="189">
      <c r="A189" s="61"/>
      <c r="B189" s="61"/>
      <c r="C189" s="61"/>
    </row>
    <row r="190">
      <c r="A190" s="61"/>
      <c r="B190" s="61"/>
      <c r="C190" s="61"/>
    </row>
    <row r="191">
      <c r="A191" s="61"/>
      <c r="B191" s="61"/>
      <c r="C191" s="61"/>
    </row>
    <row r="192">
      <c r="A192" s="61"/>
      <c r="B192" s="61"/>
      <c r="C192" s="61"/>
    </row>
    <row r="193">
      <c r="A193" s="61"/>
      <c r="B193" s="61"/>
      <c r="C193" s="61"/>
    </row>
    <row r="194">
      <c r="A194" s="61"/>
      <c r="B194" s="61"/>
      <c r="C194" s="61"/>
    </row>
    <row r="195">
      <c r="A195" s="61"/>
      <c r="B195" s="61"/>
      <c r="C195" s="61"/>
    </row>
    <row r="196">
      <c r="A196" s="61"/>
      <c r="B196" s="61"/>
      <c r="C196" s="61"/>
    </row>
    <row r="197">
      <c r="A197" s="61"/>
      <c r="B197" s="61"/>
      <c r="C197" s="61"/>
    </row>
    <row r="198">
      <c r="A198" s="61"/>
      <c r="B198" s="61"/>
      <c r="C198" s="61"/>
    </row>
    <row r="199">
      <c r="A199" s="61"/>
      <c r="B199" s="61"/>
      <c r="C199" s="61"/>
    </row>
    <row r="200">
      <c r="A200" s="61"/>
      <c r="B200" s="61"/>
      <c r="C200" s="61"/>
    </row>
    <row r="201">
      <c r="A201" s="61"/>
      <c r="B201" s="61"/>
      <c r="C201" s="61"/>
    </row>
    <row r="202">
      <c r="A202" s="61"/>
      <c r="B202" s="61"/>
      <c r="C202" s="61"/>
    </row>
    <row r="203">
      <c r="A203" s="61"/>
      <c r="B203" s="61"/>
      <c r="C203" s="61"/>
    </row>
    <row r="204">
      <c r="A204" s="61"/>
      <c r="B204" s="61"/>
      <c r="C204" s="61"/>
    </row>
    <row r="205">
      <c r="A205" s="61"/>
      <c r="B205" s="61"/>
      <c r="C205" s="61"/>
    </row>
    <row r="206">
      <c r="A206" s="61"/>
      <c r="B206" s="61"/>
      <c r="C206" s="61"/>
    </row>
    <row r="207">
      <c r="A207" s="61"/>
      <c r="B207" s="61"/>
      <c r="C207" s="61"/>
    </row>
    <row r="208">
      <c r="A208" s="61"/>
      <c r="B208" s="61"/>
      <c r="C208" s="61"/>
    </row>
    <row r="209">
      <c r="A209" s="61"/>
      <c r="B209" s="61"/>
      <c r="C209" s="61"/>
    </row>
    <row r="210">
      <c r="A210" s="61"/>
      <c r="B210" s="61"/>
      <c r="C210" s="61"/>
    </row>
    <row r="211">
      <c r="A211" s="61"/>
      <c r="B211" s="61"/>
      <c r="C211" s="61"/>
    </row>
    <row r="212">
      <c r="A212" s="61"/>
      <c r="B212" s="61"/>
      <c r="C212" s="61"/>
    </row>
    <row r="213">
      <c r="A213" s="61"/>
      <c r="B213" s="61"/>
      <c r="C213" s="61"/>
    </row>
    <row r="214">
      <c r="A214" s="61"/>
      <c r="B214" s="61"/>
      <c r="C214" s="61"/>
    </row>
    <row r="215">
      <c r="A215" s="61"/>
      <c r="B215" s="61"/>
      <c r="C215" s="61"/>
    </row>
    <row r="216">
      <c r="A216" s="61"/>
      <c r="B216" s="61"/>
      <c r="C216" s="61"/>
    </row>
    <row r="217">
      <c r="A217" s="61"/>
      <c r="B217" s="61"/>
      <c r="C217" s="61"/>
    </row>
    <row r="218">
      <c r="A218" s="61"/>
      <c r="B218" s="61"/>
      <c r="C218" s="61"/>
    </row>
    <row r="219">
      <c r="A219" s="61"/>
      <c r="B219" s="61"/>
      <c r="C219" s="61"/>
    </row>
    <row r="220">
      <c r="A220" s="61"/>
      <c r="B220" s="61"/>
      <c r="C220" s="61"/>
    </row>
    <row r="221">
      <c r="A221" s="61"/>
      <c r="B221" s="61"/>
      <c r="C221" s="61"/>
    </row>
    <row r="222">
      <c r="A222" s="61"/>
      <c r="B222" s="61"/>
      <c r="C222" s="61"/>
    </row>
    <row r="223">
      <c r="A223" s="61"/>
      <c r="B223" s="61"/>
      <c r="C223" s="61"/>
    </row>
    <row r="224">
      <c r="A224" s="61"/>
      <c r="B224" s="61"/>
      <c r="C224" s="61"/>
    </row>
    <row r="225">
      <c r="A225" s="61"/>
      <c r="B225" s="61"/>
      <c r="C225" s="61"/>
    </row>
    <row r="226">
      <c r="A226" s="61"/>
      <c r="B226" s="61"/>
      <c r="C226" s="61"/>
    </row>
    <row r="227">
      <c r="A227" s="61"/>
      <c r="B227" s="61"/>
      <c r="C227" s="61"/>
    </row>
    <row r="228">
      <c r="A228" s="61"/>
      <c r="B228" s="61"/>
      <c r="C228" s="61"/>
    </row>
    <row r="229">
      <c r="A229" s="61"/>
      <c r="B229" s="61"/>
      <c r="C229" s="61"/>
    </row>
    <row r="230">
      <c r="A230" s="61"/>
      <c r="B230" s="61"/>
      <c r="C230" s="61"/>
    </row>
    <row r="231">
      <c r="A231" s="61"/>
      <c r="B231" s="61"/>
      <c r="C231" s="61"/>
    </row>
    <row r="232">
      <c r="A232" s="61"/>
      <c r="B232" s="61"/>
      <c r="C232" s="61"/>
    </row>
    <row r="233">
      <c r="A233" s="61"/>
      <c r="B233" s="61"/>
      <c r="C233" s="61"/>
    </row>
    <row r="234">
      <c r="A234" s="61"/>
      <c r="B234" s="61"/>
      <c r="C234" s="61"/>
    </row>
    <row r="235">
      <c r="A235" s="61"/>
      <c r="B235" s="61"/>
      <c r="C235" s="61"/>
    </row>
    <row r="236">
      <c r="A236" s="61"/>
      <c r="B236" s="61"/>
      <c r="C236" s="61"/>
    </row>
    <row r="237">
      <c r="A237" s="61"/>
      <c r="B237" s="61"/>
      <c r="C237" s="61"/>
    </row>
    <row r="238">
      <c r="A238" s="61"/>
      <c r="B238" s="61"/>
      <c r="C238" s="61"/>
    </row>
    <row r="239">
      <c r="A239" s="61"/>
      <c r="B239" s="61"/>
      <c r="C239" s="61"/>
    </row>
    <row r="240">
      <c r="A240" s="61"/>
      <c r="B240" s="61"/>
      <c r="C240" s="61"/>
    </row>
    <row r="241">
      <c r="A241" s="61"/>
      <c r="B241" s="61"/>
      <c r="C241" s="61"/>
    </row>
    <row r="242">
      <c r="A242" s="61"/>
      <c r="B242" s="61"/>
      <c r="C242" s="61"/>
    </row>
    <row r="243">
      <c r="A243" s="61"/>
      <c r="B243" s="61"/>
      <c r="C243" s="61"/>
    </row>
    <row r="244">
      <c r="A244" s="61"/>
      <c r="B244" s="61"/>
      <c r="C244" s="61"/>
    </row>
    <row r="245">
      <c r="A245" s="61"/>
      <c r="B245" s="61"/>
      <c r="C245" s="61"/>
    </row>
    <row r="246">
      <c r="A246" s="61"/>
      <c r="B246" s="61"/>
      <c r="C246" s="61"/>
    </row>
    <row r="247">
      <c r="A247" s="61"/>
      <c r="B247" s="61"/>
      <c r="C247" s="61"/>
    </row>
    <row r="248">
      <c r="A248" s="61"/>
      <c r="B248" s="61"/>
      <c r="C248" s="61"/>
    </row>
    <row r="249">
      <c r="A249" s="61"/>
      <c r="B249" s="61"/>
      <c r="C249" s="61"/>
    </row>
    <row r="250">
      <c r="A250" s="61"/>
      <c r="B250" s="61"/>
      <c r="C250" s="61"/>
    </row>
    <row r="251">
      <c r="A251" s="61"/>
      <c r="B251" s="61"/>
      <c r="C251" s="61"/>
    </row>
    <row r="252">
      <c r="A252" s="61"/>
      <c r="B252" s="61"/>
      <c r="C252" s="61"/>
    </row>
    <row r="253">
      <c r="A253" s="61"/>
      <c r="B253" s="61"/>
      <c r="C253" s="61"/>
    </row>
    <row r="254">
      <c r="A254" s="61"/>
      <c r="B254" s="61"/>
      <c r="C254" s="61"/>
    </row>
    <row r="255">
      <c r="A255" s="61"/>
      <c r="B255" s="61"/>
      <c r="C255" s="61"/>
    </row>
    <row r="256">
      <c r="A256" s="61"/>
      <c r="B256" s="61"/>
      <c r="C256" s="61"/>
    </row>
    <row r="257">
      <c r="A257" s="61"/>
      <c r="B257" s="61"/>
      <c r="C257" s="61"/>
    </row>
    <row r="258">
      <c r="A258" s="61"/>
      <c r="B258" s="61"/>
      <c r="C258" s="61"/>
    </row>
    <row r="259">
      <c r="A259" s="61"/>
      <c r="B259" s="61"/>
      <c r="C259" s="61"/>
    </row>
    <row r="260">
      <c r="A260" s="61"/>
      <c r="B260" s="61"/>
      <c r="C260" s="61"/>
    </row>
    <row r="261">
      <c r="A261" s="61"/>
      <c r="B261" s="61"/>
      <c r="C261" s="61"/>
    </row>
    <row r="262">
      <c r="A262" s="61"/>
      <c r="B262" s="61"/>
      <c r="C262" s="61"/>
    </row>
    <row r="263">
      <c r="A263" s="61"/>
      <c r="B263" s="61"/>
      <c r="C263" s="61"/>
    </row>
    <row r="264">
      <c r="A264" s="61"/>
      <c r="B264" s="61"/>
      <c r="C264" s="61"/>
    </row>
    <row r="265">
      <c r="A265" s="61"/>
      <c r="B265" s="61"/>
      <c r="C265" s="61"/>
    </row>
    <row r="266">
      <c r="A266" s="61"/>
      <c r="B266" s="61"/>
      <c r="C266" s="61"/>
    </row>
    <row r="267">
      <c r="A267" s="61"/>
      <c r="B267" s="61"/>
      <c r="C267" s="61"/>
    </row>
    <row r="268">
      <c r="A268" s="61"/>
      <c r="B268" s="61"/>
      <c r="C268" s="61"/>
    </row>
    <row r="269">
      <c r="A269" s="61"/>
      <c r="B269" s="61"/>
      <c r="C269" s="61"/>
    </row>
    <row r="270">
      <c r="A270" s="61"/>
      <c r="B270" s="61"/>
      <c r="C270" s="61"/>
    </row>
    <row r="271">
      <c r="A271" s="61"/>
      <c r="B271" s="61"/>
      <c r="C271" s="61"/>
    </row>
    <row r="272">
      <c r="A272" s="61"/>
      <c r="B272" s="61"/>
      <c r="C272" s="61"/>
    </row>
    <row r="273">
      <c r="A273" s="61"/>
      <c r="B273" s="61"/>
      <c r="C273" s="61"/>
    </row>
    <row r="274">
      <c r="A274" s="61"/>
      <c r="B274" s="61"/>
      <c r="C274" s="61"/>
    </row>
    <row r="275">
      <c r="A275" s="61"/>
      <c r="B275" s="61"/>
      <c r="C275" s="61"/>
    </row>
    <row r="276">
      <c r="A276" s="61"/>
      <c r="B276" s="61"/>
      <c r="C276" s="61"/>
    </row>
    <row r="277">
      <c r="A277" s="61"/>
      <c r="B277" s="61"/>
      <c r="C277" s="61"/>
    </row>
    <row r="278">
      <c r="A278" s="61"/>
      <c r="B278" s="61"/>
      <c r="C278" s="61"/>
    </row>
    <row r="279">
      <c r="A279" s="61"/>
      <c r="B279" s="61"/>
      <c r="C279" s="61"/>
    </row>
    <row r="280">
      <c r="A280" s="61"/>
      <c r="B280" s="61"/>
      <c r="C280" s="61"/>
    </row>
    <row r="281">
      <c r="A281" s="61"/>
      <c r="B281" s="61"/>
      <c r="C281" s="61"/>
    </row>
    <row r="282">
      <c r="A282" s="61"/>
      <c r="B282" s="61"/>
      <c r="C282" s="61"/>
    </row>
    <row r="283">
      <c r="A283" s="61"/>
      <c r="B283" s="61"/>
      <c r="C283" s="61"/>
    </row>
    <row r="284">
      <c r="A284" s="61"/>
      <c r="B284" s="61"/>
      <c r="C284" s="61"/>
    </row>
    <row r="285">
      <c r="A285" s="61"/>
      <c r="B285" s="61"/>
      <c r="C285" s="61"/>
    </row>
    <row r="286">
      <c r="A286" s="61"/>
      <c r="B286" s="61"/>
      <c r="C286" s="61"/>
    </row>
    <row r="287">
      <c r="A287" s="61"/>
      <c r="B287" s="61"/>
      <c r="C287" s="61"/>
    </row>
    <row r="288">
      <c r="A288" s="61"/>
      <c r="B288" s="61"/>
      <c r="C288" s="61"/>
    </row>
    <row r="289">
      <c r="A289" s="61"/>
      <c r="B289" s="61"/>
      <c r="C289" s="61"/>
    </row>
    <row r="290">
      <c r="A290" s="61"/>
      <c r="B290" s="61"/>
      <c r="C290" s="61"/>
    </row>
    <row r="291">
      <c r="A291" s="61"/>
      <c r="B291" s="61"/>
      <c r="C291" s="61"/>
    </row>
    <row r="292">
      <c r="A292" s="61"/>
      <c r="B292" s="61"/>
      <c r="C292" s="61"/>
    </row>
    <row r="293">
      <c r="A293" s="61"/>
      <c r="B293" s="61"/>
      <c r="C293" s="61"/>
    </row>
    <row r="294">
      <c r="A294" s="61"/>
      <c r="B294" s="61"/>
      <c r="C294" s="61"/>
    </row>
    <row r="295">
      <c r="A295" s="61"/>
      <c r="B295" s="61"/>
      <c r="C295" s="61"/>
    </row>
    <row r="296">
      <c r="A296" s="61"/>
      <c r="B296" s="61"/>
      <c r="C296" s="61"/>
    </row>
    <row r="297">
      <c r="A297" s="61"/>
      <c r="B297" s="61"/>
      <c r="C297" s="61"/>
    </row>
    <row r="298">
      <c r="A298" s="61"/>
      <c r="B298" s="61"/>
      <c r="C298" s="61"/>
    </row>
    <row r="299">
      <c r="A299" s="61"/>
      <c r="B299" s="61"/>
      <c r="C299" s="61"/>
    </row>
    <row r="300">
      <c r="A300" s="61"/>
      <c r="B300" s="61"/>
      <c r="C300" s="61"/>
    </row>
    <row r="301">
      <c r="A301" s="61"/>
      <c r="B301" s="61"/>
      <c r="C301" s="61"/>
    </row>
    <row r="302">
      <c r="A302" s="61"/>
      <c r="B302" s="61"/>
      <c r="C302" s="61"/>
    </row>
    <row r="303">
      <c r="A303" s="61"/>
      <c r="B303" s="61"/>
      <c r="C303" s="61"/>
    </row>
    <row r="304">
      <c r="A304" s="61"/>
      <c r="B304" s="61"/>
      <c r="C304" s="61"/>
    </row>
    <row r="305">
      <c r="A305" s="61"/>
      <c r="B305" s="61"/>
      <c r="C305" s="61"/>
    </row>
    <row r="306">
      <c r="A306" s="61"/>
      <c r="B306" s="61"/>
      <c r="C306" s="61"/>
    </row>
    <row r="307">
      <c r="A307" s="61"/>
      <c r="B307" s="61"/>
      <c r="C307" s="61"/>
    </row>
    <row r="308">
      <c r="A308" s="61"/>
      <c r="B308" s="61"/>
      <c r="C308" s="61"/>
    </row>
    <row r="309">
      <c r="A309" s="61"/>
      <c r="B309" s="61"/>
      <c r="C309" s="61"/>
    </row>
    <row r="310">
      <c r="A310" s="61"/>
      <c r="B310" s="61"/>
      <c r="C310" s="61"/>
    </row>
    <row r="311">
      <c r="A311" s="61"/>
      <c r="B311" s="61"/>
      <c r="C311" s="61"/>
    </row>
    <row r="312">
      <c r="A312" s="61"/>
      <c r="B312" s="61"/>
      <c r="C312" s="61"/>
    </row>
    <row r="313">
      <c r="A313" s="61"/>
      <c r="B313" s="61"/>
      <c r="C313" s="61"/>
    </row>
    <row r="314">
      <c r="A314" s="61"/>
      <c r="B314" s="61"/>
      <c r="C314" s="61"/>
    </row>
    <row r="315">
      <c r="A315" s="61"/>
      <c r="B315" s="61"/>
      <c r="C315" s="61"/>
    </row>
    <row r="316">
      <c r="A316" s="61"/>
      <c r="B316" s="61"/>
      <c r="C316" s="61"/>
    </row>
    <row r="317">
      <c r="A317" s="61"/>
      <c r="B317" s="61"/>
      <c r="C317" s="61"/>
    </row>
    <row r="318">
      <c r="A318" s="61"/>
      <c r="B318" s="61"/>
      <c r="C318" s="61"/>
    </row>
    <row r="319">
      <c r="A319" s="61"/>
      <c r="B319" s="61"/>
      <c r="C319" s="61"/>
    </row>
    <row r="320">
      <c r="A320" s="61"/>
      <c r="B320" s="61"/>
      <c r="C320" s="61"/>
    </row>
    <row r="321">
      <c r="A321" s="61"/>
      <c r="B321" s="61"/>
      <c r="C321" s="61"/>
    </row>
    <row r="322">
      <c r="A322" s="61"/>
      <c r="B322" s="61"/>
      <c r="C322" s="61"/>
    </row>
    <row r="323">
      <c r="A323" s="61"/>
      <c r="B323" s="61"/>
      <c r="C323" s="61"/>
    </row>
    <row r="324">
      <c r="A324" s="61"/>
      <c r="B324" s="61"/>
      <c r="C324" s="61"/>
    </row>
    <row r="325">
      <c r="A325" s="61"/>
      <c r="B325" s="61"/>
      <c r="C325" s="61"/>
    </row>
    <row r="326">
      <c r="A326" s="61"/>
      <c r="B326" s="61"/>
      <c r="C326" s="61"/>
    </row>
    <row r="327">
      <c r="A327" s="61"/>
      <c r="B327" s="61"/>
      <c r="C327" s="61"/>
    </row>
    <row r="328">
      <c r="A328" s="61"/>
      <c r="B328" s="61"/>
      <c r="C328" s="61"/>
    </row>
    <row r="329">
      <c r="A329" s="61"/>
      <c r="B329" s="61"/>
      <c r="C329" s="61"/>
    </row>
    <row r="330">
      <c r="A330" s="61"/>
      <c r="B330" s="61"/>
      <c r="C330" s="61"/>
    </row>
    <row r="331">
      <c r="A331" s="61"/>
      <c r="B331" s="61"/>
      <c r="C331" s="61"/>
    </row>
    <row r="332">
      <c r="A332" s="61"/>
      <c r="B332" s="61"/>
      <c r="C332" s="61"/>
    </row>
    <row r="333">
      <c r="A333" s="61"/>
      <c r="B333" s="61"/>
      <c r="C333" s="61"/>
    </row>
    <row r="334">
      <c r="A334" s="61"/>
      <c r="B334" s="61"/>
      <c r="C334" s="61"/>
    </row>
    <row r="335">
      <c r="A335" s="61"/>
      <c r="B335" s="61"/>
      <c r="C335" s="61"/>
    </row>
    <row r="336">
      <c r="A336" s="61"/>
      <c r="B336" s="61"/>
      <c r="C336" s="61"/>
    </row>
    <row r="337">
      <c r="A337" s="61"/>
      <c r="B337" s="61"/>
      <c r="C337" s="61"/>
    </row>
    <row r="338">
      <c r="A338" s="61"/>
      <c r="B338" s="61"/>
      <c r="C338" s="61"/>
    </row>
    <row r="339">
      <c r="A339" s="61"/>
      <c r="B339" s="61"/>
      <c r="C339" s="61"/>
    </row>
    <row r="340">
      <c r="A340" s="61"/>
      <c r="B340" s="61"/>
      <c r="C340" s="61"/>
    </row>
    <row r="341">
      <c r="A341" s="61"/>
      <c r="B341" s="61"/>
      <c r="C341" s="61"/>
    </row>
    <row r="342">
      <c r="A342" s="61"/>
      <c r="B342" s="61"/>
      <c r="C342" s="61"/>
    </row>
    <row r="343">
      <c r="A343" s="61"/>
      <c r="B343" s="61"/>
      <c r="C343" s="61"/>
    </row>
    <row r="344">
      <c r="A344" s="61"/>
      <c r="B344" s="61"/>
      <c r="C344" s="61"/>
    </row>
    <row r="345">
      <c r="A345" s="61"/>
      <c r="B345" s="61"/>
      <c r="C345" s="61"/>
    </row>
    <row r="346">
      <c r="A346" s="61"/>
      <c r="B346" s="61"/>
      <c r="C346" s="61"/>
    </row>
    <row r="347">
      <c r="A347" s="61"/>
      <c r="B347" s="61"/>
      <c r="C347" s="61"/>
    </row>
    <row r="348">
      <c r="A348" s="61"/>
      <c r="B348" s="61"/>
      <c r="C348" s="61"/>
    </row>
    <row r="349">
      <c r="A349" s="61"/>
      <c r="B349" s="61"/>
      <c r="C349" s="61"/>
    </row>
    <row r="350">
      <c r="A350" s="61"/>
      <c r="B350" s="61"/>
      <c r="C350" s="61"/>
    </row>
    <row r="351">
      <c r="A351" s="61"/>
      <c r="B351" s="61"/>
      <c r="C351" s="61"/>
    </row>
    <row r="352">
      <c r="A352" s="61"/>
      <c r="B352" s="61"/>
      <c r="C352" s="61"/>
    </row>
    <row r="353">
      <c r="A353" s="61"/>
      <c r="B353" s="61"/>
      <c r="C353" s="61"/>
    </row>
    <row r="354">
      <c r="A354" s="61"/>
      <c r="B354" s="61"/>
      <c r="C354" s="61"/>
    </row>
    <row r="355">
      <c r="A355" s="61"/>
      <c r="B355" s="61"/>
      <c r="C355" s="61"/>
    </row>
    <row r="356">
      <c r="A356" s="61"/>
      <c r="B356" s="61"/>
      <c r="C356" s="61"/>
    </row>
    <row r="357">
      <c r="A357" s="61"/>
      <c r="B357" s="61"/>
      <c r="C357" s="61"/>
    </row>
    <row r="358">
      <c r="A358" s="61"/>
      <c r="B358" s="61"/>
      <c r="C358" s="61"/>
    </row>
    <row r="359">
      <c r="A359" s="61"/>
      <c r="B359" s="61"/>
      <c r="C359" s="61"/>
    </row>
    <row r="360">
      <c r="A360" s="61"/>
      <c r="B360" s="61"/>
      <c r="C360" s="61"/>
    </row>
    <row r="361">
      <c r="A361" s="61"/>
      <c r="B361" s="61"/>
      <c r="C361" s="61"/>
    </row>
    <row r="362">
      <c r="A362" s="61"/>
      <c r="B362" s="61"/>
      <c r="C362" s="61"/>
    </row>
    <row r="363">
      <c r="A363" s="61"/>
      <c r="B363" s="61"/>
      <c r="C363" s="61"/>
    </row>
    <row r="364">
      <c r="A364" s="61"/>
      <c r="B364" s="61"/>
      <c r="C364" s="61"/>
    </row>
    <row r="365">
      <c r="A365" s="61"/>
      <c r="B365" s="61"/>
      <c r="C365" s="61"/>
    </row>
    <row r="366">
      <c r="A366" s="61"/>
      <c r="B366" s="61"/>
      <c r="C366" s="61"/>
    </row>
    <row r="367">
      <c r="A367" s="61"/>
      <c r="B367" s="61"/>
      <c r="C367" s="61"/>
    </row>
    <row r="368">
      <c r="A368" s="61"/>
      <c r="B368" s="61"/>
      <c r="C368" s="61"/>
    </row>
    <row r="369">
      <c r="A369" s="61"/>
      <c r="B369" s="61"/>
      <c r="C369" s="61"/>
    </row>
    <row r="370">
      <c r="A370" s="61"/>
      <c r="B370" s="61"/>
      <c r="C370" s="61"/>
    </row>
    <row r="371">
      <c r="A371" s="61"/>
      <c r="B371" s="61"/>
      <c r="C371" s="61"/>
    </row>
    <row r="372">
      <c r="A372" s="61"/>
      <c r="B372" s="61"/>
      <c r="C372" s="61"/>
    </row>
    <row r="373">
      <c r="A373" s="61"/>
      <c r="B373" s="61"/>
      <c r="C373" s="61"/>
    </row>
    <row r="374">
      <c r="A374" s="61"/>
      <c r="B374" s="61"/>
      <c r="C374" s="61"/>
    </row>
    <row r="375">
      <c r="A375" s="61"/>
      <c r="B375" s="61"/>
      <c r="C375" s="61"/>
    </row>
    <row r="376">
      <c r="A376" s="61"/>
      <c r="B376" s="61"/>
      <c r="C376" s="61"/>
    </row>
    <row r="377">
      <c r="A377" s="61"/>
      <c r="B377" s="61"/>
      <c r="C377" s="61"/>
    </row>
    <row r="378">
      <c r="A378" s="61"/>
      <c r="B378" s="61"/>
      <c r="C378" s="61"/>
    </row>
    <row r="379">
      <c r="A379" s="61"/>
      <c r="B379" s="61"/>
      <c r="C379" s="61"/>
    </row>
    <row r="380">
      <c r="A380" s="61"/>
      <c r="B380" s="61"/>
      <c r="C380" s="61"/>
    </row>
    <row r="381">
      <c r="A381" s="61"/>
      <c r="B381" s="61"/>
      <c r="C381" s="61"/>
    </row>
    <row r="382">
      <c r="A382" s="61"/>
      <c r="B382" s="61"/>
      <c r="C382" s="61"/>
    </row>
    <row r="383">
      <c r="A383" s="61"/>
      <c r="B383" s="61"/>
      <c r="C383" s="61"/>
    </row>
    <row r="384">
      <c r="A384" s="61"/>
      <c r="B384" s="61"/>
      <c r="C384" s="61"/>
    </row>
    <row r="385">
      <c r="A385" s="61"/>
      <c r="B385" s="61"/>
      <c r="C385" s="61"/>
    </row>
    <row r="386">
      <c r="A386" s="61"/>
      <c r="B386" s="61"/>
      <c r="C386" s="61"/>
    </row>
    <row r="387">
      <c r="A387" s="61"/>
      <c r="B387" s="61"/>
      <c r="C387" s="61"/>
    </row>
    <row r="388">
      <c r="A388" s="61"/>
      <c r="B388" s="61"/>
      <c r="C388" s="61"/>
    </row>
    <row r="389">
      <c r="A389" s="61"/>
      <c r="B389" s="61"/>
      <c r="C389" s="61"/>
    </row>
    <row r="390">
      <c r="A390" s="61"/>
      <c r="B390" s="61"/>
      <c r="C390" s="61"/>
    </row>
    <row r="391">
      <c r="A391" s="61"/>
      <c r="B391" s="61"/>
      <c r="C391" s="61"/>
    </row>
    <row r="392">
      <c r="A392" s="61"/>
      <c r="B392" s="61"/>
      <c r="C392" s="61"/>
    </row>
    <row r="393">
      <c r="A393" s="61"/>
      <c r="B393" s="61"/>
      <c r="C393" s="61"/>
    </row>
    <row r="394">
      <c r="A394" s="61"/>
      <c r="B394" s="61"/>
      <c r="C394" s="61"/>
    </row>
    <row r="395">
      <c r="A395" s="61"/>
      <c r="B395" s="61"/>
      <c r="C395" s="61"/>
    </row>
    <row r="396">
      <c r="A396" s="61"/>
      <c r="B396" s="61"/>
      <c r="C396" s="61"/>
    </row>
    <row r="397">
      <c r="A397" s="61"/>
      <c r="B397" s="61"/>
      <c r="C397" s="61"/>
    </row>
    <row r="398">
      <c r="A398" s="61"/>
      <c r="B398" s="61"/>
      <c r="C398" s="61"/>
    </row>
    <row r="399">
      <c r="A399" s="61"/>
      <c r="B399" s="61"/>
      <c r="C399" s="61"/>
    </row>
    <row r="400">
      <c r="A400" s="61"/>
      <c r="B400" s="61"/>
      <c r="C400" s="61"/>
    </row>
    <row r="401">
      <c r="A401" s="61"/>
      <c r="B401" s="61"/>
      <c r="C401" s="61"/>
    </row>
    <row r="402">
      <c r="A402" s="61"/>
      <c r="B402" s="61"/>
      <c r="C402" s="61"/>
    </row>
    <row r="403">
      <c r="A403" s="61"/>
      <c r="B403" s="61"/>
      <c r="C403" s="61"/>
    </row>
    <row r="404">
      <c r="A404" s="61"/>
      <c r="B404" s="61"/>
      <c r="C404" s="61"/>
    </row>
    <row r="405">
      <c r="A405" s="61"/>
      <c r="B405" s="61"/>
      <c r="C405" s="61"/>
    </row>
    <row r="406">
      <c r="A406" s="61"/>
      <c r="B406" s="61"/>
      <c r="C406" s="61"/>
    </row>
    <row r="407">
      <c r="A407" s="61"/>
      <c r="B407" s="61"/>
      <c r="C407" s="61"/>
    </row>
    <row r="408">
      <c r="A408" s="61"/>
      <c r="B408" s="61"/>
      <c r="C408" s="61"/>
    </row>
    <row r="409">
      <c r="A409" s="61"/>
      <c r="B409" s="61"/>
      <c r="C409" s="61"/>
    </row>
    <row r="410">
      <c r="A410" s="61"/>
      <c r="B410" s="61"/>
      <c r="C410" s="61"/>
    </row>
    <row r="411">
      <c r="A411" s="61"/>
      <c r="B411" s="61"/>
      <c r="C411" s="61"/>
    </row>
    <row r="412">
      <c r="A412" s="61"/>
      <c r="B412" s="61"/>
      <c r="C412" s="61"/>
    </row>
    <row r="413">
      <c r="A413" s="61"/>
      <c r="B413" s="61"/>
      <c r="C413" s="61"/>
    </row>
    <row r="414">
      <c r="A414" s="61"/>
      <c r="B414" s="61"/>
      <c r="C414" s="61"/>
    </row>
    <row r="415">
      <c r="A415" s="61"/>
      <c r="B415" s="61"/>
      <c r="C415" s="61"/>
    </row>
    <row r="416">
      <c r="A416" s="61"/>
      <c r="B416" s="61"/>
      <c r="C416" s="61"/>
    </row>
    <row r="417">
      <c r="A417" s="61"/>
      <c r="B417" s="61"/>
      <c r="C417" s="61"/>
    </row>
    <row r="418">
      <c r="A418" s="61"/>
      <c r="B418" s="61"/>
      <c r="C418" s="61"/>
    </row>
    <row r="419">
      <c r="A419" s="61"/>
      <c r="B419" s="61"/>
      <c r="C419" s="61"/>
    </row>
    <row r="420">
      <c r="A420" s="61"/>
      <c r="B420" s="61"/>
      <c r="C420" s="61"/>
    </row>
    <row r="421">
      <c r="A421" s="61"/>
      <c r="B421" s="61"/>
      <c r="C421" s="61"/>
    </row>
    <row r="422">
      <c r="A422" s="61"/>
      <c r="B422" s="61"/>
      <c r="C422" s="61"/>
    </row>
    <row r="423">
      <c r="A423" s="61"/>
      <c r="B423" s="61"/>
      <c r="C423" s="61"/>
    </row>
    <row r="424">
      <c r="A424" s="61"/>
      <c r="B424" s="61"/>
      <c r="C424" s="61"/>
    </row>
    <row r="425">
      <c r="A425" s="61"/>
      <c r="B425" s="61"/>
      <c r="C425" s="61"/>
    </row>
    <row r="426">
      <c r="A426" s="61"/>
      <c r="B426" s="61"/>
      <c r="C426" s="61"/>
    </row>
    <row r="427">
      <c r="A427" s="61"/>
      <c r="B427" s="61"/>
      <c r="C427" s="61"/>
    </row>
    <row r="428">
      <c r="A428" s="61"/>
      <c r="B428" s="61"/>
      <c r="C428" s="61"/>
    </row>
    <row r="429">
      <c r="A429" s="61"/>
      <c r="B429" s="61"/>
      <c r="C429" s="61"/>
    </row>
    <row r="430">
      <c r="A430" s="61"/>
      <c r="B430" s="61"/>
      <c r="C430" s="61"/>
    </row>
    <row r="431">
      <c r="A431" s="61"/>
      <c r="B431" s="61"/>
      <c r="C431" s="61"/>
    </row>
    <row r="432">
      <c r="A432" s="61"/>
      <c r="B432" s="61"/>
      <c r="C432" s="61"/>
    </row>
    <row r="433">
      <c r="A433" s="61"/>
      <c r="B433" s="61"/>
      <c r="C433" s="61"/>
    </row>
    <row r="434">
      <c r="A434" s="61"/>
      <c r="B434" s="61"/>
      <c r="C434" s="61"/>
    </row>
    <row r="435">
      <c r="A435" s="61"/>
      <c r="B435" s="61"/>
      <c r="C435" s="61"/>
    </row>
    <row r="436">
      <c r="A436" s="61"/>
      <c r="B436" s="61"/>
      <c r="C436" s="61"/>
    </row>
    <row r="437">
      <c r="A437" s="61"/>
      <c r="B437" s="61"/>
      <c r="C437" s="61"/>
    </row>
    <row r="438">
      <c r="A438" s="61"/>
      <c r="B438" s="61"/>
      <c r="C438" s="61"/>
    </row>
    <row r="439">
      <c r="A439" s="61"/>
      <c r="B439" s="61"/>
      <c r="C439" s="61"/>
    </row>
    <row r="440">
      <c r="A440" s="61"/>
      <c r="B440" s="61"/>
      <c r="C440" s="61"/>
    </row>
    <row r="441">
      <c r="A441" s="61"/>
      <c r="B441" s="61"/>
      <c r="C441" s="61"/>
    </row>
    <row r="442">
      <c r="A442" s="61"/>
      <c r="B442" s="61"/>
      <c r="C442" s="61"/>
    </row>
    <row r="443">
      <c r="A443" s="61"/>
      <c r="B443" s="61"/>
      <c r="C443" s="61"/>
    </row>
    <row r="444">
      <c r="A444" s="61"/>
      <c r="B444" s="61"/>
      <c r="C444" s="61"/>
    </row>
    <row r="445">
      <c r="A445" s="61"/>
      <c r="B445" s="61"/>
      <c r="C445" s="61"/>
    </row>
    <row r="446">
      <c r="A446" s="61"/>
      <c r="B446" s="61"/>
      <c r="C446" s="61"/>
    </row>
    <row r="447">
      <c r="A447" s="61"/>
      <c r="B447" s="61"/>
      <c r="C447" s="61"/>
    </row>
    <row r="448">
      <c r="A448" s="61"/>
      <c r="B448" s="61"/>
      <c r="C448" s="61"/>
    </row>
    <row r="449">
      <c r="A449" s="61"/>
      <c r="B449" s="61"/>
      <c r="C449" s="61"/>
    </row>
    <row r="450">
      <c r="A450" s="61"/>
      <c r="B450" s="61"/>
      <c r="C450" s="61"/>
    </row>
    <row r="451">
      <c r="A451" s="61"/>
      <c r="B451" s="61"/>
      <c r="C451" s="61"/>
    </row>
    <row r="452">
      <c r="A452" s="61"/>
      <c r="B452" s="61"/>
      <c r="C452" s="61"/>
    </row>
    <row r="453">
      <c r="A453" s="61"/>
      <c r="B453" s="61"/>
      <c r="C453" s="61"/>
    </row>
    <row r="454">
      <c r="A454" s="61"/>
      <c r="B454" s="61"/>
      <c r="C454" s="61"/>
    </row>
    <row r="455">
      <c r="A455" s="61"/>
      <c r="B455" s="61"/>
      <c r="C455" s="61"/>
    </row>
    <row r="456">
      <c r="A456" s="61"/>
      <c r="B456" s="61"/>
      <c r="C456" s="61"/>
    </row>
    <row r="457">
      <c r="A457" s="61"/>
      <c r="B457" s="61"/>
      <c r="C457" s="61"/>
    </row>
    <row r="458">
      <c r="A458" s="61"/>
      <c r="B458" s="61"/>
      <c r="C458" s="61"/>
    </row>
    <row r="459">
      <c r="A459" s="61"/>
      <c r="B459" s="61"/>
      <c r="C459" s="61"/>
    </row>
    <row r="460">
      <c r="A460" s="61"/>
      <c r="B460" s="61"/>
      <c r="C460" s="61"/>
    </row>
    <row r="461">
      <c r="A461" s="61"/>
      <c r="B461" s="61"/>
      <c r="C461" s="61"/>
    </row>
    <row r="462">
      <c r="A462" s="61"/>
      <c r="B462" s="61"/>
      <c r="C462" s="61"/>
    </row>
    <row r="463">
      <c r="A463" s="61"/>
      <c r="B463" s="61"/>
      <c r="C463" s="61"/>
    </row>
    <row r="464">
      <c r="A464" s="61"/>
      <c r="B464" s="61"/>
      <c r="C464" s="61"/>
    </row>
    <row r="465">
      <c r="A465" s="61"/>
      <c r="B465" s="61"/>
      <c r="C465" s="61"/>
    </row>
    <row r="466">
      <c r="A466" s="61"/>
      <c r="B466" s="61"/>
      <c r="C466" s="61"/>
    </row>
    <row r="467">
      <c r="A467" s="61"/>
      <c r="B467" s="61"/>
      <c r="C467" s="61"/>
    </row>
    <row r="468">
      <c r="A468" s="61"/>
      <c r="B468" s="61"/>
      <c r="C468" s="61"/>
    </row>
    <row r="469">
      <c r="A469" s="61"/>
      <c r="B469" s="61"/>
      <c r="C469" s="61"/>
    </row>
    <row r="470">
      <c r="A470" s="61"/>
      <c r="B470" s="61"/>
      <c r="C470" s="61"/>
    </row>
    <row r="471">
      <c r="A471" s="61"/>
      <c r="B471" s="61"/>
      <c r="C471" s="61"/>
    </row>
    <row r="472">
      <c r="A472" s="61"/>
      <c r="B472" s="61"/>
      <c r="C472" s="61"/>
    </row>
    <row r="473">
      <c r="A473" s="61"/>
      <c r="B473" s="61"/>
      <c r="C473" s="61"/>
    </row>
    <row r="474">
      <c r="A474" s="61"/>
      <c r="B474" s="61"/>
      <c r="C474" s="61"/>
    </row>
    <row r="475">
      <c r="A475" s="61"/>
      <c r="B475" s="61"/>
      <c r="C475" s="61"/>
    </row>
    <row r="476">
      <c r="A476" s="61"/>
      <c r="B476" s="61"/>
      <c r="C476" s="61"/>
    </row>
    <row r="477">
      <c r="A477" s="61"/>
      <c r="B477" s="61"/>
      <c r="C477" s="61"/>
    </row>
    <row r="478">
      <c r="A478" s="61"/>
      <c r="B478" s="61"/>
      <c r="C478" s="61"/>
    </row>
    <row r="479">
      <c r="A479" s="61"/>
      <c r="B479" s="61"/>
      <c r="C479" s="61"/>
    </row>
    <row r="480">
      <c r="A480" s="61"/>
      <c r="B480" s="61"/>
      <c r="C480" s="61"/>
    </row>
    <row r="481">
      <c r="A481" s="61"/>
      <c r="B481" s="61"/>
      <c r="C481" s="61"/>
    </row>
    <row r="482">
      <c r="A482" s="61"/>
      <c r="B482" s="61"/>
      <c r="C482" s="61"/>
    </row>
    <row r="483">
      <c r="A483" s="61"/>
      <c r="B483" s="61"/>
      <c r="C483" s="61"/>
    </row>
    <row r="484">
      <c r="A484" s="61"/>
      <c r="B484" s="61"/>
      <c r="C484" s="61"/>
    </row>
    <row r="485">
      <c r="A485" s="61"/>
      <c r="B485" s="61"/>
      <c r="C485" s="61"/>
    </row>
    <row r="486">
      <c r="A486" s="61"/>
      <c r="B486" s="61"/>
      <c r="C486" s="61"/>
    </row>
    <row r="487">
      <c r="A487" s="61"/>
      <c r="B487" s="61"/>
      <c r="C487" s="61"/>
    </row>
    <row r="488">
      <c r="A488" s="61"/>
      <c r="B488" s="61"/>
      <c r="C488" s="61"/>
    </row>
    <row r="489">
      <c r="A489" s="61"/>
      <c r="B489" s="61"/>
      <c r="C489" s="61"/>
    </row>
    <row r="490">
      <c r="A490" s="61"/>
      <c r="B490" s="61"/>
      <c r="C490" s="61"/>
    </row>
    <row r="491">
      <c r="A491" s="61"/>
      <c r="B491" s="61"/>
      <c r="C491" s="61"/>
    </row>
    <row r="492">
      <c r="A492" s="61"/>
      <c r="B492" s="61"/>
      <c r="C492" s="61"/>
    </row>
    <row r="493">
      <c r="A493" s="61"/>
      <c r="B493" s="61"/>
      <c r="C493" s="61"/>
    </row>
    <row r="494">
      <c r="A494" s="61"/>
      <c r="B494" s="61"/>
      <c r="C494" s="61"/>
    </row>
    <row r="495">
      <c r="A495" s="61"/>
      <c r="B495" s="61"/>
      <c r="C495" s="61"/>
    </row>
    <row r="496">
      <c r="A496" s="61"/>
      <c r="B496" s="61"/>
      <c r="C496" s="61"/>
    </row>
    <row r="497">
      <c r="A497" s="61"/>
      <c r="B497" s="61"/>
      <c r="C497" s="61"/>
    </row>
    <row r="498">
      <c r="A498" s="61"/>
      <c r="B498" s="61"/>
      <c r="C498" s="61"/>
    </row>
    <row r="499">
      <c r="A499" s="61"/>
      <c r="B499" s="61"/>
      <c r="C499" s="61"/>
    </row>
    <row r="500">
      <c r="A500" s="61"/>
      <c r="B500" s="61"/>
      <c r="C500" s="61"/>
    </row>
    <row r="501">
      <c r="A501" s="61"/>
      <c r="B501" s="61"/>
      <c r="C501" s="61"/>
    </row>
    <row r="502">
      <c r="A502" s="61"/>
      <c r="B502" s="61"/>
      <c r="C502" s="61"/>
    </row>
    <row r="503">
      <c r="A503" s="61"/>
      <c r="B503" s="61"/>
      <c r="C503" s="61"/>
    </row>
    <row r="504">
      <c r="A504" s="61"/>
      <c r="B504" s="61"/>
      <c r="C504" s="61"/>
    </row>
    <row r="505">
      <c r="A505" s="61"/>
      <c r="B505" s="61"/>
      <c r="C505" s="61"/>
    </row>
    <row r="506">
      <c r="A506" s="61"/>
      <c r="B506" s="61"/>
      <c r="C506" s="61"/>
    </row>
    <row r="507">
      <c r="A507" s="61"/>
      <c r="B507" s="61"/>
      <c r="C507" s="61"/>
    </row>
    <row r="508">
      <c r="A508" s="61"/>
      <c r="B508" s="61"/>
      <c r="C508" s="61"/>
    </row>
    <row r="509">
      <c r="A509" s="61"/>
      <c r="B509" s="61"/>
      <c r="C509" s="61"/>
    </row>
    <row r="510">
      <c r="A510" s="61"/>
      <c r="B510" s="61"/>
      <c r="C510" s="61"/>
    </row>
    <row r="511">
      <c r="A511" s="61"/>
      <c r="B511" s="61"/>
      <c r="C511" s="61"/>
    </row>
    <row r="512">
      <c r="A512" s="61"/>
      <c r="B512" s="61"/>
      <c r="C512" s="61"/>
    </row>
    <row r="513">
      <c r="A513" s="61"/>
      <c r="B513" s="61"/>
      <c r="C513" s="61"/>
    </row>
    <row r="514">
      <c r="A514" s="61"/>
      <c r="B514" s="61"/>
      <c r="C514" s="61"/>
    </row>
    <row r="515">
      <c r="A515" s="61"/>
      <c r="B515" s="61"/>
      <c r="C515" s="61"/>
    </row>
    <row r="516">
      <c r="A516" s="61"/>
      <c r="B516" s="61"/>
      <c r="C516" s="61"/>
    </row>
    <row r="517">
      <c r="A517" s="61"/>
      <c r="B517" s="61"/>
      <c r="C517" s="61"/>
    </row>
    <row r="518">
      <c r="A518" s="61"/>
      <c r="B518" s="61"/>
      <c r="C518" s="61"/>
    </row>
    <row r="519">
      <c r="A519" s="61"/>
      <c r="B519" s="61"/>
      <c r="C519" s="61"/>
    </row>
    <row r="520">
      <c r="A520" s="61"/>
      <c r="B520" s="61"/>
      <c r="C520" s="61"/>
    </row>
    <row r="521">
      <c r="A521" s="61"/>
      <c r="B521" s="61"/>
      <c r="C521" s="61"/>
    </row>
    <row r="522">
      <c r="A522" s="61"/>
      <c r="B522" s="61"/>
      <c r="C522" s="61"/>
    </row>
    <row r="523">
      <c r="A523" s="61"/>
      <c r="B523" s="61"/>
      <c r="C523" s="61"/>
    </row>
    <row r="524">
      <c r="A524" s="61"/>
      <c r="B524" s="61"/>
      <c r="C524" s="61"/>
    </row>
    <row r="525">
      <c r="A525" s="61"/>
      <c r="B525" s="61"/>
      <c r="C525" s="61"/>
    </row>
    <row r="526">
      <c r="A526" s="61"/>
      <c r="B526" s="61"/>
      <c r="C526" s="61"/>
    </row>
    <row r="527">
      <c r="A527" s="61"/>
      <c r="B527" s="61"/>
      <c r="C527" s="61"/>
    </row>
    <row r="528">
      <c r="A528" s="61"/>
      <c r="B528" s="61"/>
      <c r="C528" s="61"/>
    </row>
    <row r="529">
      <c r="A529" s="61"/>
      <c r="B529" s="61"/>
      <c r="C529" s="61"/>
    </row>
    <row r="530">
      <c r="A530" s="61"/>
      <c r="B530" s="61"/>
      <c r="C530" s="61"/>
    </row>
    <row r="531">
      <c r="A531" s="61"/>
      <c r="B531" s="61"/>
      <c r="C531" s="61"/>
    </row>
    <row r="532">
      <c r="A532" s="61"/>
      <c r="B532" s="61"/>
      <c r="C532" s="61"/>
    </row>
    <row r="533">
      <c r="A533" s="61"/>
      <c r="B533" s="61"/>
      <c r="C533" s="61"/>
    </row>
    <row r="534">
      <c r="A534" s="61"/>
      <c r="B534" s="61"/>
      <c r="C534" s="61"/>
    </row>
    <row r="535">
      <c r="A535" s="61"/>
      <c r="B535" s="61"/>
      <c r="C535" s="61"/>
    </row>
    <row r="536">
      <c r="A536" s="61"/>
      <c r="B536" s="61"/>
      <c r="C536" s="61"/>
    </row>
    <row r="537">
      <c r="A537" s="61"/>
      <c r="B537" s="61"/>
      <c r="C537" s="61"/>
    </row>
    <row r="538">
      <c r="A538" s="61"/>
      <c r="B538" s="61"/>
      <c r="C538" s="61"/>
    </row>
    <row r="539">
      <c r="A539" s="61"/>
      <c r="B539" s="61"/>
      <c r="C539" s="61"/>
    </row>
    <row r="540">
      <c r="A540" s="61"/>
      <c r="B540" s="61"/>
      <c r="C540" s="61"/>
    </row>
    <row r="541">
      <c r="A541" s="61"/>
      <c r="B541" s="61"/>
      <c r="C541" s="61"/>
    </row>
    <row r="542">
      <c r="A542" s="61"/>
      <c r="B542" s="61"/>
      <c r="C542" s="61"/>
    </row>
    <row r="543">
      <c r="A543" s="61"/>
      <c r="B543" s="61"/>
      <c r="C543" s="61"/>
    </row>
    <row r="544">
      <c r="A544" s="61"/>
      <c r="B544" s="61"/>
      <c r="C544" s="61"/>
    </row>
    <row r="545">
      <c r="A545" s="61"/>
      <c r="B545" s="61"/>
      <c r="C545" s="61"/>
    </row>
    <row r="546">
      <c r="A546" s="61"/>
      <c r="B546" s="61"/>
      <c r="C546" s="61"/>
    </row>
    <row r="547">
      <c r="A547" s="61"/>
      <c r="B547" s="61"/>
      <c r="C547" s="61"/>
    </row>
    <row r="548">
      <c r="A548" s="61"/>
      <c r="B548" s="61"/>
      <c r="C548" s="61"/>
    </row>
    <row r="549">
      <c r="A549" s="61"/>
      <c r="B549" s="61"/>
      <c r="C549" s="61"/>
    </row>
    <row r="550">
      <c r="A550" s="61"/>
      <c r="B550" s="61"/>
      <c r="C550" s="61"/>
    </row>
    <row r="551">
      <c r="A551" s="61"/>
      <c r="B551" s="61"/>
      <c r="C551" s="61"/>
    </row>
    <row r="552">
      <c r="A552" s="61"/>
      <c r="B552" s="61"/>
      <c r="C552" s="61"/>
    </row>
    <row r="553">
      <c r="A553" s="61"/>
      <c r="B553" s="61"/>
      <c r="C553" s="61"/>
    </row>
    <row r="554">
      <c r="A554" s="61"/>
      <c r="B554" s="61"/>
      <c r="C554" s="61"/>
    </row>
    <row r="555">
      <c r="A555" s="61"/>
      <c r="B555" s="61"/>
      <c r="C555" s="61"/>
    </row>
    <row r="556">
      <c r="A556" s="61"/>
      <c r="B556" s="61"/>
      <c r="C556" s="61"/>
    </row>
    <row r="557">
      <c r="A557" s="61"/>
      <c r="B557" s="61"/>
      <c r="C557" s="61"/>
    </row>
    <row r="558">
      <c r="A558" s="61"/>
      <c r="B558" s="61"/>
      <c r="C558" s="61"/>
    </row>
    <row r="559">
      <c r="A559" s="61"/>
      <c r="B559" s="61"/>
      <c r="C559" s="61"/>
    </row>
    <row r="560">
      <c r="A560" s="61"/>
      <c r="B560" s="61"/>
      <c r="C560" s="61"/>
    </row>
    <row r="561">
      <c r="A561" s="61"/>
      <c r="B561" s="61"/>
      <c r="C561" s="61"/>
    </row>
    <row r="562">
      <c r="A562" s="61"/>
      <c r="B562" s="61"/>
      <c r="C562" s="61"/>
    </row>
    <row r="563">
      <c r="A563" s="61"/>
      <c r="B563" s="61"/>
      <c r="C563" s="61"/>
    </row>
    <row r="564">
      <c r="A564" s="61"/>
      <c r="B564" s="61"/>
      <c r="C564" s="61"/>
    </row>
    <row r="565">
      <c r="A565" s="61"/>
      <c r="B565" s="61"/>
      <c r="C565" s="61"/>
    </row>
    <row r="566">
      <c r="A566" s="61"/>
      <c r="B566" s="61"/>
      <c r="C566" s="61"/>
    </row>
    <row r="567">
      <c r="A567" s="61"/>
      <c r="B567" s="61"/>
      <c r="C567" s="61"/>
    </row>
    <row r="568">
      <c r="A568" s="61"/>
      <c r="B568" s="61"/>
      <c r="C568" s="61"/>
    </row>
    <row r="569">
      <c r="A569" s="61"/>
      <c r="B569" s="61"/>
      <c r="C569" s="61"/>
    </row>
    <row r="570">
      <c r="A570" s="61"/>
      <c r="B570" s="61"/>
      <c r="C570" s="61"/>
    </row>
    <row r="571">
      <c r="A571" s="61"/>
      <c r="B571" s="61"/>
      <c r="C571" s="61"/>
    </row>
    <row r="572">
      <c r="A572" s="61"/>
      <c r="B572" s="61"/>
      <c r="C572" s="61"/>
    </row>
    <row r="573">
      <c r="A573" s="61"/>
      <c r="B573" s="61"/>
      <c r="C573" s="61"/>
    </row>
    <row r="574">
      <c r="A574" s="61"/>
      <c r="B574" s="61"/>
      <c r="C574" s="61"/>
    </row>
    <row r="575">
      <c r="A575" s="61"/>
      <c r="B575" s="61"/>
      <c r="C575" s="61"/>
    </row>
    <row r="576">
      <c r="A576" s="61"/>
      <c r="B576" s="61"/>
      <c r="C576" s="61"/>
    </row>
    <row r="577">
      <c r="A577" s="61"/>
      <c r="B577" s="61"/>
      <c r="C577" s="61"/>
    </row>
    <row r="578">
      <c r="A578" s="61"/>
      <c r="B578" s="61"/>
      <c r="C578" s="61"/>
    </row>
    <row r="579">
      <c r="A579" s="61"/>
      <c r="B579" s="61"/>
      <c r="C579" s="61"/>
    </row>
    <row r="580">
      <c r="A580" s="61"/>
      <c r="B580" s="61"/>
      <c r="C580" s="61"/>
    </row>
    <row r="581">
      <c r="A581" s="61"/>
      <c r="B581" s="61"/>
      <c r="C581" s="61"/>
    </row>
    <row r="582">
      <c r="A582" s="61"/>
      <c r="B582" s="61"/>
      <c r="C582" s="61"/>
    </row>
    <row r="583">
      <c r="A583" s="61"/>
      <c r="B583" s="61"/>
      <c r="C583" s="61"/>
    </row>
    <row r="584">
      <c r="A584" s="61"/>
      <c r="B584" s="61"/>
      <c r="C584" s="61"/>
    </row>
    <row r="585">
      <c r="A585" s="61"/>
      <c r="B585" s="61"/>
      <c r="C585" s="61"/>
    </row>
    <row r="586">
      <c r="A586" s="61"/>
      <c r="B586" s="61"/>
      <c r="C586" s="61"/>
    </row>
    <row r="587">
      <c r="A587" s="61"/>
      <c r="B587" s="61"/>
      <c r="C587" s="61"/>
    </row>
    <row r="588">
      <c r="A588" s="61"/>
      <c r="B588" s="61"/>
      <c r="C588" s="61"/>
    </row>
    <row r="589">
      <c r="A589" s="61"/>
      <c r="B589" s="61"/>
      <c r="C589" s="61"/>
    </row>
    <row r="590">
      <c r="A590" s="61"/>
      <c r="B590" s="61"/>
      <c r="C590" s="61"/>
    </row>
    <row r="591">
      <c r="A591" s="61"/>
      <c r="B591" s="61"/>
      <c r="C591" s="61"/>
    </row>
    <row r="592">
      <c r="A592" s="61"/>
      <c r="B592" s="61"/>
      <c r="C592" s="61"/>
    </row>
    <row r="593">
      <c r="A593" s="61"/>
      <c r="B593" s="61"/>
      <c r="C593" s="61"/>
    </row>
    <row r="594">
      <c r="A594" s="61"/>
      <c r="B594" s="61"/>
      <c r="C594" s="61"/>
    </row>
    <row r="595">
      <c r="A595" s="61"/>
      <c r="B595" s="61"/>
      <c r="C595" s="61"/>
    </row>
    <row r="596">
      <c r="A596" s="61"/>
      <c r="B596" s="61"/>
      <c r="C596" s="61"/>
    </row>
    <row r="597">
      <c r="A597" s="61"/>
      <c r="B597" s="61"/>
      <c r="C597" s="61"/>
    </row>
    <row r="598">
      <c r="A598" s="61"/>
      <c r="B598" s="61"/>
      <c r="C598" s="61"/>
    </row>
    <row r="599">
      <c r="A599" s="61"/>
      <c r="B599" s="61"/>
      <c r="C599" s="61"/>
    </row>
    <row r="600">
      <c r="A600" s="61"/>
      <c r="B600" s="61"/>
      <c r="C600" s="61"/>
    </row>
    <row r="601">
      <c r="A601" s="61"/>
      <c r="B601" s="61"/>
      <c r="C601" s="61"/>
    </row>
    <row r="602">
      <c r="A602" s="61"/>
      <c r="B602" s="61"/>
      <c r="C602" s="61"/>
    </row>
    <row r="603">
      <c r="A603" s="61"/>
      <c r="B603" s="61"/>
      <c r="C603" s="61"/>
    </row>
    <row r="604">
      <c r="A604" s="61"/>
      <c r="B604" s="61"/>
      <c r="C604" s="61"/>
    </row>
    <row r="605">
      <c r="A605" s="61"/>
      <c r="B605" s="61"/>
      <c r="C605" s="61"/>
    </row>
    <row r="606">
      <c r="A606" s="61"/>
      <c r="B606" s="61"/>
      <c r="C606" s="61"/>
    </row>
    <row r="607">
      <c r="A607" s="61"/>
      <c r="B607" s="61"/>
      <c r="C607" s="61"/>
    </row>
    <row r="608">
      <c r="A608" s="61"/>
      <c r="B608" s="61"/>
      <c r="C608" s="61"/>
    </row>
    <row r="609">
      <c r="A609" s="61"/>
      <c r="B609" s="61"/>
      <c r="C609" s="61"/>
    </row>
    <row r="610">
      <c r="A610" s="61"/>
      <c r="B610" s="61"/>
      <c r="C610" s="61"/>
    </row>
    <row r="611">
      <c r="A611" s="61"/>
      <c r="B611" s="61"/>
      <c r="C611" s="61"/>
    </row>
    <row r="612">
      <c r="A612" s="61"/>
      <c r="B612" s="61"/>
      <c r="C612" s="61"/>
    </row>
    <row r="613">
      <c r="A613" s="61"/>
      <c r="B613" s="61"/>
      <c r="C613" s="61"/>
    </row>
    <row r="614">
      <c r="A614" s="61"/>
      <c r="B614" s="61"/>
      <c r="C614" s="61"/>
    </row>
    <row r="615">
      <c r="A615" s="61"/>
      <c r="B615" s="61"/>
      <c r="C615" s="61"/>
    </row>
    <row r="616">
      <c r="A616" s="61"/>
      <c r="B616" s="61"/>
      <c r="C616" s="61"/>
    </row>
    <row r="617">
      <c r="A617" s="61"/>
      <c r="B617" s="61"/>
      <c r="C617" s="61"/>
    </row>
    <row r="618">
      <c r="A618" s="61"/>
      <c r="B618" s="61"/>
      <c r="C618" s="61"/>
    </row>
    <row r="619">
      <c r="A619" s="61"/>
      <c r="B619" s="61"/>
      <c r="C619" s="61"/>
    </row>
    <row r="620">
      <c r="A620" s="61"/>
      <c r="B620" s="61"/>
      <c r="C620" s="61"/>
    </row>
    <row r="621">
      <c r="A621" s="61"/>
      <c r="B621" s="61"/>
      <c r="C621" s="61"/>
    </row>
    <row r="622">
      <c r="A622" s="61"/>
      <c r="B622" s="61"/>
      <c r="C622" s="61"/>
    </row>
    <row r="623">
      <c r="A623" s="61"/>
      <c r="B623" s="61"/>
      <c r="C623" s="61"/>
    </row>
    <row r="624">
      <c r="A624" s="61"/>
      <c r="B624" s="61"/>
      <c r="C624" s="61"/>
    </row>
    <row r="625">
      <c r="A625" s="61"/>
      <c r="B625" s="61"/>
      <c r="C625" s="61"/>
    </row>
    <row r="626">
      <c r="A626" s="61"/>
      <c r="B626" s="61"/>
      <c r="C626" s="61"/>
    </row>
    <row r="627">
      <c r="A627" s="61"/>
      <c r="B627" s="61"/>
      <c r="C627" s="61"/>
    </row>
    <row r="628">
      <c r="A628" s="61"/>
      <c r="B628" s="61"/>
      <c r="C628" s="61"/>
    </row>
    <row r="629">
      <c r="A629" s="61"/>
      <c r="B629" s="61"/>
      <c r="C629" s="61"/>
    </row>
    <row r="630">
      <c r="A630" s="61"/>
      <c r="B630" s="61"/>
      <c r="C630" s="61"/>
    </row>
    <row r="631">
      <c r="A631" s="61"/>
      <c r="B631" s="61"/>
      <c r="C631" s="61"/>
    </row>
    <row r="632">
      <c r="A632" s="61"/>
      <c r="B632" s="61"/>
      <c r="C632" s="61"/>
    </row>
    <row r="633">
      <c r="A633" s="61"/>
      <c r="B633" s="61"/>
      <c r="C633" s="61"/>
    </row>
    <row r="634">
      <c r="A634" s="61"/>
      <c r="B634" s="61"/>
      <c r="C634" s="61"/>
    </row>
    <row r="635">
      <c r="A635" s="61"/>
      <c r="B635" s="61"/>
      <c r="C635" s="61"/>
    </row>
    <row r="636">
      <c r="A636" s="61"/>
      <c r="B636" s="61"/>
      <c r="C636" s="61"/>
    </row>
    <row r="637">
      <c r="A637" s="61"/>
      <c r="B637" s="61"/>
      <c r="C637" s="61"/>
    </row>
    <row r="638">
      <c r="A638" s="61"/>
      <c r="B638" s="61"/>
      <c r="C638" s="61"/>
    </row>
    <row r="639">
      <c r="A639" s="61"/>
      <c r="B639" s="61"/>
      <c r="C639" s="61"/>
    </row>
    <row r="640">
      <c r="A640" s="61"/>
      <c r="B640" s="61"/>
      <c r="C640" s="61"/>
    </row>
    <row r="641">
      <c r="A641" s="61"/>
      <c r="B641" s="61"/>
      <c r="C641" s="61"/>
    </row>
    <row r="642">
      <c r="A642" s="61"/>
      <c r="B642" s="61"/>
      <c r="C642" s="61"/>
    </row>
    <row r="643">
      <c r="A643" s="61"/>
      <c r="B643" s="61"/>
      <c r="C643" s="61"/>
    </row>
    <row r="644">
      <c r="A644" s="61"/>
      <c r="B644" s="61"/>
      <c r="C644" s="61"/>
    </row>
    <row r="645">
      <c r="A645" s="61"/>
      <c r="B645" s="61"/>
      <c r="C645" s="61"/>
    </row>
    <row r="646">
      <c r="A646" s="61"/>
      <c r="B646" s="61"/>
      <c r="C646" s="61"/>
    </row>
    <row r="647">
      <c r="A647" s="61"/>
      <c r="B647" s="61"/>
      <c r="C647" s="61"/>
    </row>
    <row r="648">
      <c r="A648" s="61"/>
      <c r="B648" s="61"/>
      <c r="C648" s="61"/>
    </row>
    <row r="649">
      <c r="A649" s="61"/>
      <c r="B649" s="61"/>
      <c r="C649" s="61"/>
    </row>
    <row r="650">
      <c r="A650" s="61"/>
      <c r="B650" s="61"/>
      <c r="C650" s="61"/>
    </row>
    <row r="651">
      <c r="A651" s="61"/>
      <c r="B651" s="61"/>
      <c r="C651" s="61"/>
    </row>
    <row r="652">
      <c r="A652" s="61"/>
      <c r="B652" s="61"/>
      <c r="C652" s="61"/>
    </row>
    <row r="653">
      <c r="A653" s="61"/>
      <c r="B653" s="61"/>
      <c r="C653" s="61"/>
    </row>
    <row r="654">
      <c r="A654" s="61"/>
      <c r="B654" s="61"/>
      <c r="C654" s="61"/>
    </row>
    <row r="655">
      <c r="A655" s="61"/>
      <c r="B655" s="61"/>
      <c r="C655" s="61"/>
    </row>
    <row r="656">
      <c r="A656" s="61"/>
      <c r="B656" s="61"/>
      <c r="C656" s="61"/>
    </row>
    <row r="657">
      <c r="A657" s="61"/>
      <c r="B657" s="61"/>
      <c r="C657" s="61"/>
    </row>
    <row r="658">
      <c r="A658" s="61"/>
      <c r="B658" s="61"/>
      <c r="C658" s="61"/>
    </row>
    <row r="659">
      <c r="A659" s="61"/>
      <c r="B659" s="61"/>
      <c r="C659" s="61"/>
    </row>
    <row r="660">
      <c r="A660" s="61"/>
      <c r="B660" s="61"/>
      <c r="C660" s="61"/>
    </row>
    <row r="661">
      <c r="A661" s="61"/>
      <c r="B661" s="61"/>
      <c r="C661" s="61"/>
    </row>
    <row r="662">
      <c r="A662" s="61"/>
      <c r="B662" s="61"/>
      <c r="C662" s="61"/>
    </row>
    <row r="663">
      <c r="A663" s="61"/>
      <c r="B663" s="61"/>
      <c r="C663" s="61"/>
    </row>
    <row r="664">
      <c r="A664" s="61"/>
      <c r="B664" s="61"/>
      <c r="C664" s="61"/>
    </row>
    <row r="665">
      <c r="A665" s="61"/>
      <c r="B665" s="61"/>
      <c r="C665" s="61"/>
    </row>
    <row r="666">
      <c r="A666" s="61"/>
      <c r="B666" s="61"/>
      <c r="C666" s="61"/>
    </row>
    <row r="667">
      <c r="A667" s="61"/>
      <c r="B667" s="61"/>
      <c r="C667" s="61"/>
    </row>
    <row r="668">
      <c r="A668" s="61"/>
      <c r="B668" s="61"/>
      <c r="C668" s="61"/>
    </row>
    <row r="669">
      <c r="A669" s="61"/>
      <c r="B669" s="61"/>
      <c r="C669" s="61"/>
    </row>
    <row r="670">
      <c r="A670" s="61"/>
      <c r="B670" s="61"/>
      <c r="C670" s="61"/>
    </row>
    <row r="671">
      <c r="A671" s="61"/>
      <c r="B671" s="61"/>
      <c r="C671" s="61"/>
    </row>
    <row r="672">
      <c r="A672" s="61"/>
      <c r="B672" s="61"/>
      <c r="C672" s="61"/>
    </row>
    <row r="673">
      <c r="A673" s="61"/>
      <c r="B673" s="61"/>
      <c r="C673" s="61"/>
    </row>
    <row r="674">
      <c r="A674" s="61"/>
      <c r="B674" s="61"/>
      <c r="C674" s="61"/>
    </row>
    <row r="675">
      <c r="A675" s="61"/>
      <c r="B675" s="61"/>
      <c r="C675" s="61"/>
    </row>
    <row r="676">
      <c r="A676" s="61"/>
      <c r="B676" s="61"/>
      <c r="C676" s="61"/>
    </row>
    <row r="677">
      <c r="A677" s="61"/>
      <c r="B677" s="61"/>
      <c r="C677" s="61"/>
    </row>
    <row r="678">
      <c r="A678" s="61"/>
      <c r="B678" s="61"/>
      <c r="C678" s="61"/>
    </row>
    <row r="679">
      <c r="A679" s="61"/>
      <c r="B679" s="61"/>
      <c r="C679" s="61"/>
    </row>
    <row r="680">
      <c r="A680" s="61"/>
      <c r="B680" s="61"/>
      <c r="C680" s="61"/>
    </row>
    <row r="681">
      <c r="A681" s="61"/>
      <c r="B681" s="61"/>
      <c r="C681" s="61"/>
    </row>
    <row r="682">
      <c r="A682" s="61"/>
      <c r="B682" s="61"/>
      <c r="C682" s="61"/>
    </row>
    <row r="683">
      <c r="A683" s="61"/>
      <c r="B683" s="61"/>
      <c r="C683" s="61"/>
    </row>
    <row r="684">
      <c r="A684" s="61"/>
      <c r="B684" s="61"/>
      <c r="C684" s="61"/>
    </row>
    <row r="685">
      <c r="A685" s="61"/>
      <c r="B685" s="61"/>
      <c r="C685" s="61"/>
    </row>
    <row r="686">
      <c r="A686" s="61"/>
      <c r="B686" s="61"/>
      <c r="C686" s="61"/>
    </row>
    <row r="687">
      <c r="A687" s="61"/>
      <c r="B687" s="61"/>
      <c r="C687" s="61"/>
    </row>
    <row r="688">
      <c r="A688" s="61"/>
      <c r="B688" s="61"/>
      <c r="C688" s="61"/>
    </row>
    <row r="689">
      <c r="A689" s="61"/>
      <c r="B689" s="61"/>
      <c r="C689" s="61"/>
    </row>
    <row r="690">
      <c r="A690" s="61"/>
      <c r="B690" s="61"/>
      <c r="C690" s="61"/>
    </row>
    <row r="691">
      <c r="A691" s="61"/>
      <c r="B691" s="61"/>
      <c r="C691" s="61"/>
    </row>
    <row r="692">
      <c r="A692" s="61"/>
      <c r="B692" s="61"/>
      <c r="C692" s="61"/>
    </row>
    <row r="693">
      <c r="A693" s="61"/>
      <c r="B693" s="61"/>
      <c r="C693" s="61"/>
    </row>
    <row r="694">
      <c r="A694" s="61"/>
      <c r="B694" s="61"/>
      <c r="C694" s="61"/>
    </row>
    <row r="695">
      <c r="A695" s="61"/>
      <c r="B695" s="61"/>
      <c r="C695" s="61"/>
    </row>
    <row r="696">
      <c r="A696" s="61"/>
      <c r="B696" s="61"/>
      <c r="C696" s="61"/>
    </row>
    <row r="697">
      <c r="A697" s="61"/>
      <c r="B697" s="61"/>
      <c r="C697" s="61"/>
    </row>
    <row r="698">
      <c r="A698" s="61"/>
      <c r="B698" s="61"/>
      <c r="C698" s="61"/>
    </row>
    <row r="699">
      <c r="A699" s="61"/>
      <c r="B699" s="61"/>
      <c r="C699" s="61"/>
    </row>
    <row r="700">
      <c r="A700" s="61"/>
      <c r="B700" s="61"/>
      <c r="C700" s="61"/>
    </row>
    <row r="701">
      <c r="A701" s="61"/>
      <c r="B701" s="61"/>
      <c r="C701" s="61"/>
    </row>
    <row r="702">
      <c r="A702" s="61"/>
      <c r="B702" s="61"/>
      <c r="C702" s="61"/>
    </row>
    <row r="703">
      <c r="A703" s="61"/>
      <c r="B703" s="61"/>
      <c r="C703" s="61"/>
    </row>
    <row r="704">
      <c r="A704" s="61"/>
      <c r="B704" s="61"/>
      <c r="C704" s="61"/>
    </row>
    <row r="705">
      <c r="A705" s="61"/>
      <c r="B705" s="61"/>
      <c r="C705" s="61"/>
    </row>
    <row r="706">
      <c r="A706" s="61"/>
      <c r="B706" s="61"/>
      <c r="C706" s="61"/>
    </row>
    <row r="707">
      <c r="A707" s="61"/>
      <c r="B707" s="61"/>
      <c r="C707" s="61"/>
    </row>
    <row r="708">
      <c r="A708" s="61"/>
      <c r="B708" s="61"/>
      <c r="C708" s="61"/>
    </row>
    <row r="709">
      <c r="A709" s="61"/>
      <c r="B709" s="61"/>
      <c r="C709" s="61"/>
    </row>
    <row r="710">
      <c r="A710" s="61"/>
      <c r="B710" s="61"/>
      <c r="C710" s="61"/>
    </row>
    <row r="711">
      <c r="A711" s="61"/>
      <c r="B711" s="61"/>
      <c r="C711" s="61"/>
    </row>
    <row r="712">
      <c r="A712" s="61"/>
      <c r="B712" s="61"/>
      <c r="C712" s="61"/>
    </row>
    <row r="713">
      <c r="A713" s="61"/>
      <c r="B713" s="61"/>
      <c r="C713" s="61"/>
    </row>
    <row r="714">
      <c r="A714" s="61"/>
      <c r="B714" s="61"/>
      <c r="C714" s="61"/>
    </row>
    <row r="715">
      <c r="A715" s="61"/>
      <c r="B715" s="61"/>
      <c r="C715" s="61"/>
    </row>
    <row r="716">
      <c r="A716" s="61"/>
      <c r="B716" s="61"/>
      <c r="C716" s="61"/>
    </row>
    <row r="717">
      <c r="A717" s="61"/>
      <c r="B717" s="61"/>
      <c r="C717" s="61"/>
    </row>
    <row r="718">
      <c r="A718" s="61"/>
      <c r="B718" s="61"/>
      <c r="C718" s="61"/>
    </row>
    <row r="719">
      <c r="A719" s="61"/>
      <c r="B719" s="61"/>
      <c r="C719" s="61"/>
    </row>
    <row r="720">
      <c r="A720" s="61"/>
      <c r="B720" s="61"/>
      <c r="C720" s="61"/>
    </row>
    <row r="721">
      <c r="A721" s="61"/>
      <c r="B721" s="61"/>
      <c r="C721" s="61"/>
    </row>
    <row r="722">
      <c r="A722" s="61"/>
      <c r="B722" s="61"/>
      <c r="C722" s="61"/>
    </row>
    <row r="723">
      <c r="A723" s="61"/>
      <c r="B723" s="61"/>
      <c r="C723" s="61"/>
    </row>
    <row r="724">
      <c r="A724" s="61"/>
      <c r="B724" s="61"/>
      <c r="C724" s="61"/>
    </row>
    <row r="725">
      <c r="A725" s="61"/>
      <c r="B725" s="61"/>
      <c r="C725" s="61"/>
    </row>
    <row r="726">
      <c r="A726" s="61"/>
      <c r="B726" s="61"/>
      <c r="C726" s="61"/>
    </row>
    <row r="727">
      <c r="A727" s="61"/>
      <c r="B727" s="61"/>
      <c r="C727" s="61"/>
    </row>
    <row r="728">
      <c r="A728" s="61"/>
      <c r="B728" s="61"/>
      <c r="C728" s="61"/>
    </row>
    <row r="729">
      <c r="A729" s="61"/>
      <c r="B729" s="61"/>
      <c r="C729" s="61"/>
    </row>
    <row r="730">
      <c r="A730" s="61"/>
      <c r="B730" s="61"/>
      <c r="C730" s="61"/>
    </row>
    <row r="731">
      <c r="A731" s="61"/>
      <c r="B731" s="61"/>
      <c r="C731" s="61"/>
    </row>
    <row r="732">
      <c r="A732" s="61"/>
      <c r="B732" s="61"/>
      <c r="C732" s="61"/>
    </row>
    <row r="733">
      <c r="A733" s="61"/>
      <c r="B733" s="61"/>
      <c r="C733" s="61"/>
    </row>
    <row r="734">
      <c r="A734" s="61"/>
      <c r="B734" s="61"/>
      <c r="C734" s="61"/>
    </row>
    <row r="735">
      <c r="A735" s="61"/>
      <c r="B735" s="61"/>
      <c r="C735" s="61"/>
    </row>
    <row r="736">
      <c r="A736" s="61"/>
      <c r="B736" s="61"/>
      <c r="C736" s="61"/>
    </row>
    <row r="737">
      <c r="A737" s="61"/>
      <c r="B737" s="61"/>
      <c r="C737" s="61"/>
    </row>
    <row r="738">
      <c r="A738" s="61"/>
      <c r="B738" s="61"/>
      <c r="C738" s="61"/>
    </row>
    <row r="739">
      <c r="A739" s="61"/>
      <c r="B739" s="61"/>
      <c r="C739" s="61"/>
    </row>
    <row r="740">
      <c r="A740" s="61"/>
      <c r="B740" s="61"/>
      <c r="C740" s="61"/>
    </row>
    <row r="741">
      <c r="A741" s="61"/>
      <c r="B741" s="61"/>
      <c r="C741" s="61"/>
    </row>
    <row r="742">
      <c r="A742" s="61"/>
      <c r="B742" s="61"/>
      <c r="C742" s="61"/>
    </row>
    <row r="743">
      <c r="A743" s="61"/>
      <c r="B743" s="61"/>
      <c r="C743" s="61"/>
    </row>
    <row r="744">
      <c r="A744" s="61"/>
      <c r="B744" s="61"/>
      <c r="C744" s="61"/>
    </row>
    <row r="745">
      <c r="A745" s="61"/>
      <c r="B745" s="61"/>
      <c r="C745" s="61"/>
    </row>
    <row r="746">
      <c r="A746" s="61"/>
      <c r="B746" s="61"/>
      <c r="C746" s="61"/>
    </row>
    <row r="747">
      <c r="A747" s="61"/>
      <c r="B747" s="61"/>
      <c r="C747" s="61"/>
    </row>
    <row r="748">
      <c r="A748" s="61"/>
      <c r="B748" s="61"/>
      <c r="C748" s="61"/>
    </row>
    <row r="749">
      <c r="A749" s="61"/>
      <c r="B749" s="61"/>
      <c r="C749" s="61"/>
    </row>
    <row r="750">
      <c r="A750" s="61"/>
      <c r="B750" s="61"/>
      <c r="C750" s="61"/>
    </row>
    <row r="751">
      <c r="A751" s="61"/>
      <c r="B751" s="61"/>
      <c r="C751" s="61"/>
    </row>
    <row r="752">
      <c r="A752" s="61"/>
      <c r="B752" s="61"/>
      <c r="C752" s="61"/>
    </row>
    <row r="753">
      <c r="A753" s="61"/>
      <c r="B753" s="61"/>
      <c r="C753" s="61"/>
    </row>
    <row r="754">
      <c r="A754" s="61"/>
      <c r="B754" s="61"/>
      <c r="C754" s="61"/>
    </row>
    <row r="755">
      <c r="A755" s="61"/>
      <c r="B755" s="61"/>
      <c r="C755" s="61"/>
    </row>
    <row r="756">
      <c r="A756" s="61"/>
      <c r="B756" s="61"/>
      <c r="C756" s="61"/>
    </row>
    <row r="757">
      <c r="A757" s="61"/>
      <c r="B757" s="61"/>
      <c r="C757" s="61"/>
    </row>
    <row r="758">
      <c r="A758" s="61"/>
      <c r="B758" s="61"/>
      <c r="C758" s="61"/>
    </row>
    <row r="759">
      <c r="A759" s="61"/>
      <c r="B759" s="61"/>
      <c r="C759" s="61"/>
    </row>
    <row r="760">
      <c r="A760" s="61"/>
      <c r="B760" s="61"/>
      <c r="C760" s="61"/>
    </row>
    <row r="761">
      <c r="A761" s="61"/>
      <c r="B761" s="61"/>
      <c r="C761" s="61"/>
    </row>
    <row r="762">
      <c r="A762" s="61"/>
      <c r="B762" s="61"/>
      <c r="C762" s="61"/>
    </row>
    <row r="763">
      <c r="A763" s="61"/>
      <c r="B763" s="61"/>
      <c r="C763" s="61"/>
    </row>
    <row r="764">
      <c r="A764" s="61"/>
      <c r="B764" s="61"/>
      <c r="C764" s="61"/>
    </row>
    <row r="765">
      <c r="A765" s="61"/>
      <c r="B765" s="61"/>
      <c r="C765" s="61"/>
    </row>
    <row r="766">
      <c r="A766" s="61"/>
      <c r="B766" s="61"/>
      <c r="C766" s="61"/>
    </row>
    <row r="767">
      <c r="A767" s="61"/>
      <c r="B767" s="61"/>
      <c r="C767" s="61"/>
    </row>
    <row r="768">
      <c r="A768" s="61"/>
      <c r="B768" s="61"/>
      <c r="C768" s="61"/>
    </row>
    <row r="769">
      <c r="A769" s="61"/>
      <c r="B769" s="61"/>
      <c r="C769" s="61"/>
    </row>
    <row r="770">
      <c r="A770" s="61"/>
      <c r="B770" s="61"/>
      <c r="C770" s="61"/>
    </row>
    <row r="771">
      <c r="A771" s="61"/>
      <c r="B771" s="61"/>
      <c r="C771" s="61"/>
    </row>
    <row r="772">
      <c r="A772" s="61"/>
      <c r="B772" s="61"/>
      <c r="C772" s="61"/>
    </row>
    <row r="773">
      <c r="A773" s="61"/>
      <c r="B773" s="61"/>
      <c r="C773" s="61"/>
    </row>
    <row r="774">
      <c r="A774" s="61"/>
      <c r="B774" s="61"/>
      <c r="C774" s="61"/>
    </row>
    <row r="775">
      <c r="A775" s="61"/>
      <c r="B775" s="61"/>
      <c r="C775" s="61"/>
    </row>
    <row r="776">
      <c r="A776" s="61"/>
      <c r="B776" s="61"/>
      <c r="C776" s="61"/>
    </row>
    <row r="777">
      <c r="A777" s="61"/>
      <c r="B777" s="61"/>
      <c r="C777" s="61"/>
    </row>
    <row r="778">
      <c r="A778" s="61"/>
      <c r="B778" s="61"/>
      <c r="C778" s="61"/>
    </row>
    <row r="779">
      <c r="A779" s="61"/>
      <c r="B779" s="61"/>
      <c r="C779" s="61"/>
    </row>
    <row r="780">
      <c r="A780" s="61"/>
      <c r="B780" s="61"/>
      <c r="C780" s="61"/>
    </row>
    <row r="781">
      <c r="A781" s="61"/>
      <c r="B781" s="61"/>
      <c r="C781" s="61"/>
    </row>
    <row r="782">
      <c r="A782" s="61"/>
      <c r="B782" s="61"/>
      <c r="C782" s="61"/>
    </row>
    <row r="783">
      <c r="A783" s="61"/>
      <c r="B783" s="61"/>
      <c r="C783" s="61"/>
    </row>
    <row r="784">
      <c r="A784" s="61"/>
      <c r="B784" s="61"/>
      <c r="C784" s="61"/>
    </row>
    <row r="785">
      <c r="A785" s="61"/>
      <c r="B785" s="61"/>
      <c r="C785" s="61"/>
    </row>
    <row r="786">
      <c r="A786" s="61"/>
      <c r="B786" s="61"/>
      <c r="C786" s="61"/>
    </row>
    <row r="787">
      <c r="A787" s="61"/>
      <c r="B787" s="61"/>
      <c r="C787" s="61"/>
    </row>
    <row r="788">
      <c r="A788" s="61"/>
      <c r="B788" s="61"/>
      <c r="C788" s="61"/>
    </row>
    <row r="789">
      <c r="A789" s="61"/>
      <c r="B789" s="61"/>
      <c r="C789" s="61"/>
    </row>
    <row r="790">
      <c r="A790" s="61"/>
      <c r="B790" s="61"/>
      <c r="C790" s="61"/>
    </row>
    <row r="791">
      <c r="A791" s="61"/>
      <c r="B791" s="61"/>
      <c r="C791" s="61"/>
    </row>
    <row r="792">
      <c r="A792" s="61"/>
      <c r="B792" s="61"/>
      <c r="C792" s="61"/>
    </row>
    <row r="793">
      <c r="A793" s="61"/>
      <c r="B793" s="61"/>
      <c r="C793" s="61"/>
    </row>
    <row r="794">
      <c r="A794" s="61"/>
      <c r="B794" s="61"/>
      <c r="C794" s="61"/>
    </row>
    <row r="795">
      <c r="A795" s="61"/>
      <c r="B795" s="61"/>
      <c r="C795" s="61"/>
    </row>
    <row r="796">
      <c r="A796" s="61"/>
      <c r="B796" s="61"/>
      <c r="C796" s="61"/>
    </row>
    <row r="797">
      <c r="A797" s="61"/>
      <c r="B797" s="61"/>
      <c r="C797" s="61"/>
    </row>
    <row r="798">
      <c r="A798" s="61"/>
      <c r="B798" s="61"/>
      <c r="C798" s="61"/>
    </row>
    <row r="799">
      <c r="A799" s="61"/>
      <c r="B799" s="61"/>
      <c r="C799" s="61"/>
    </row>
    <row r="800">
      <c r="A800" s="61"/>
      <c r="B800" s="61"/>
      <c r="C800" s="61"/>
    </row>
    <row r="801">
      <c r="A801" s="61"/>
      <c r="B801" s="61"/>
      <c r="C801" s="61"/>
    </row>
    <row r="802">
      <c r="A802" s="61"/>
      <c r="B802" s="61"/>
      <c r="C802" s="61"/>
    </row>
    <row r="803">
      <c r="A803" s="61"/>
      <c r="B803" s="61"/>
      <c r="C803" s="61"/>
    </row>
    <row r="804">
      <c r="A804" s="61"/>
      <c r="B804" s="61"/>
      <c r="C804" s="61"/>
    </row>
    <row r="805">
      <c r="A805" s="61"/>
      <c r="B805" s="61"/>
      <c r="C805" s="61"/>
    </row>
    <row r="806">
      <c r="A806" s="61"/>
      <c r="B806" s="61"/>
      <c r="C806" s="61"/>
    </row>
    <row r="807">
      <c r="A807" s="61"/>
      <c r="B807" s="61"/>
      <c r="C807" s="61"/>
    </row>
    <row r="808">
      <c r="A808" s="61"/>
      <c r="B808" s="61"/>
      <c r="C808" s="61"/>
    </row>
    <row r="809">
      <c r="A809" s="61"/>
      <c r="B809" s="61"/>
      <c r="C809" s="61"/>
    </row>
    <row r="810">
      <c r="A810" s="61"/>
      <c r="B810" s="61"/>
      <c r="C810" s="61"/>
    </row>
    <row r="811">
      <c r="A811" s="61"/>
      <c r="B811" s="61"/>
      <c r="C811" s="61"/>
    </row>
    <row r="812">
      <c r="A812" s="61"/>
      <c r="B812" s="61"/>
      <c r="C812" s="61"/>
    </row>
    <row r="813">
      <c r="A813" s="61"/>
      <c r="B813" s="61"/>
      <c r="C813" s="61"/>
    </row>
    <row r="814">
      <c r="A814" s="61"/>
      <c r="B814" s="61"/>
      <c r="C814" s="61"/>
    </row>
    <row r="815">
      <c r="A815" s="61"/>
      <c r="B815" s="61"/>
      <c r="C815" s="61"/>
    </row>
    <row r="816">
      <c r="A816" s="61"/>
      <c r="B816" s="61"/>
      <c r="C816" s="61"/>
    </row>
    <row r="817">
      <c r="A817" s="61"/>
      <c r="B817" s="61"/>
      <c r="C817" s="61"/>
    </row>
    <row r="818">
      <c r="A818" s="61"/>
      <c r="B818" s="61"/>
      <c r="C818" s="61"/>
    </row>
    <row r="819">
      <c r="A819" s="61"/>
      <c r="B819" s="61"/>
      <c r="C819" s="61"/>
    </row>
    <row r="820">
      <c r="A820" s="61"/>
      <c r="B820" s="61"/>
      <c r="C820" s="61"/>
    </row>
    <row r="821">
      <c r="A821" s="61"/>
      <c r="B821" s="61"/>
      <c r="C821" s="61"/>
    </row>
    <row r="822">
      <c r="A822" s="61"/>
      <c r="B822" s="61"/>
      <c r="C822" s="61"/>
    </row>
    <row r="823">
      <c r="A823" s="61"/>
      <c r="B823" s="61"/>
      <c r="C823" s="61"/>
    </row>
    <row r="824">
      <c r="A824" s="61"/>
      <c r="B824" s="61"/>
      <c r="C824" s="61"/>
    </row>
    <row r="825">
      <c r="A825" s="61"/>
      <c r="B825" s="61"/>
      <c r="C825" s="61"/>
    </row>
    <row r="826">
      <c r="A826" s="61"/>
      <c r="B826" s="61"/>
      <c r="C826" s="61"/>
    </row>
    <row r="827">
      <c r="A827" s="61"/>
      <c r="B827" s="61"/>
      <c r="C827" s="61"/>
    </row>
    <row r="828">
      <c r="A828" s="61"/>
      <c r="B828" s="61"/>
      <c r="C828" s="61"/>
    </row>
    <row r="829">
      <c r="A829" s="61"/>
      <c r="B829" s="61"/>
      <c r="C829" s="61"/>
    </row>
    <row r="830">
      <c r="A830" s="61"/>
      <c r="B830" s="61"/>
      <c r="C830" s="61"/>
    </row>
    <row r="831">
      <c r="A831" s="61"/>
      <c r="B831" s="61"/>
      <c r="C831" s="61"/>
    </row>
    <row r="832">
      <c r="A832" s="61"/>
      <c r="B832" s="61"/>
      <c r="C832" s="61"/>
    </row>
    <row r="833">
      <c r="A833" s="61"/>
      <c r="B833" s="61"/>
      <c r="C833" s="61"/>
    </row>
    <row r="834">
      <c r="A834" s="61"/>
      <c r="B834" s="61"/>
      <c r="C834" s="61"/>
    </row>
    <row r="835">
      <c r="A835" s="61"/>
      <c r="B835" s="61"/>
      <c r="C835" s="61"/>
    </row>
    <row r="836">
      <c r="A836" s="61"/>
      <c r="B836" s="61"/>
      <c r="C836" s="61"/>
    </row>
    <row r="837">
      <c r="A837" s="61"/>
      <c r="B837" s="61"/>
      <c r="C837" s="61"/>
    </row>
    <row r="838">
      <c r="A838" s="61"/>
      <c r="B838" s="61"/>
      <c r="C838" s="61"/>
    </row>
    <row r="839">
      <c r="A839" s="61"/>
      <c r="B839" s="61"/>
      <c r="C839" s="61"/>
    </row>
    <row r="840">
      <c r="A840" s="61"/>
      <c r="B840" s="61"/>
      <c r="C840" s="61"/>
    </row>
    <row r="841">
      <c r="A841" s="61"/>
      <c r="B841" s="61"/>
      <c r="C841" s="61"/>
    </row>
    <row r="842">
      <c r="A842" s="61"/>
      <c r="B842" s="61"/>
      <c r="C842" s="61"/>
    </row>
    <row r="843">
      <c r="A843" s="61"/>
      <c r="B843" s="61"/>
      <c r="C843" s="61"/>
    </row>
    <row r="844">
      <c r="A844" s="61"/>
      <c r="B844" s="61"/>
      <c r="C844" s="61"/>
    </row>
    <row r="845">
      <c r="A845" s="61"/>
      <c r="B845" s="61"/>
      <c r="C845" s="61"/>
    </row>
    <row r="846">
      <c r="A846" s="61"/>
      <c r="B846" s="61"/>
      <c r="C846" s="61"/>
    </row>
    <row r="847">
      <c r="A847" s="61"/>
      <c r="B847" s="61"/>
      <c r="C847" s="61"/>
    </row>
    <row r="848">
      <c r="A848" s="61"/>
      <c r="B848" s="61"/>
      <c r="C848" s="61"/>
    </row>
    <row r="849">
      <c r="A849" s="61"/>
      <c r="B849" s="61"/>
      <c r="C849" s="61"/>
    </row>
    <row r="850">
      <c r="A850" s="61"/>
      <c r="B850" s="61"/>
      <c r="C850" s="61"/>
    </row>
    <row r="851">
      <c r="A851" s="61"/>
      <c r="B851" s="61"/>
      <c r="C851" s="61"/>
    </row>
    <row r="852">
      <c r="A852" s="61"/>
      <c r="B852" s="61"/>
      <c r="C852" s="61"/>
    </row>
    <row r="853">
      <c r="A853" s="61"/>
      <c r="B853" s="61"/>
      <c r="C853" s="61"/>
    </row>
    <row r="854">
      <c r="A854" s="61"/>
      <c r="B854" s="61"/>
      <c r="C854" s="61"/>
    </row>
    <row r="855">
      <c r="A855" s="61"/>
      <c r="B855" s="61"/>
      <c r="C855" s="61"/>
    </row>
    <row r="856">
      <c r="A856" s="61"/>
      <c r="B856" s="61"/>
      <c r="C856" s="61"/>
    </row>
    <row r="857">
      <c r="A857" s="61"/>
      <c r="B857" s="61"/>
      <c r="C857" s="61"/>
    </row>
    <row r="858">
      <c r="A858" s="61"/>
      <c r="B858" s="61"/>
      <c r="C858" s="61"/>
    </row>
    <row r="859">
      <c r="A859" s="61"/>
      <c r="B859" s="61"/>
      <c r="C859" s="61"/>
    </row>
    <row r="860">
      <c r="A860" s="61"/>
      <c r="B860" s="61"/>
      <c r="C860" s="61"/>
    </row>
    <row r="861">
      <c r="A861" s="61"/>
      <c r="B861" s="61"/>
      <c r="C861" s="61"/>
    </row>
    <row r="862">
      <c r="A862" s="61"/>
      <c r="B862" s="61"/>
      <c r="C862" s="61"/>
    </row>
    <row r="863">
      <c r="A863" s="61"/>
      <c r="B863" s="61"/>
      <c r="C863" s="61"/>
    </row>
    <row r="864">
      <c r="A864" s="61"/>
      <c r="B864" s="61"/>
      <c r="C864" s="61"/>
    </row>
    <row r="865">
      <c r="A865" s="61"/>
      <c r="B865" s="61"/>
      <c r="C865" s="61"/>
    </row>
    <row r="866">
      <c r="A866" s="61"/>
      <c r="B866" s="61"/>
      <c r="C866" s="61"/>
    </row>
    <row r="867">
      <c r="A867" s="61"/>
      <c r="B867" s="61"/>
      <c r="C867" s="61"/>
    </row>
    <row r="868">
      <c r="A868" s="61"/>
      <c r="B868" s="61"/>
      <c r="C868" s="61"/>
    </row>
    <row r="869">
      <c r="A869" s="61"/>
      <c r="B869" s="61"/>
      <c r="C869" s="61"/>
    </row>
    <row r="870">
      <c r="A870" s="61"/>
      <c r="B870" s="61"/>
      <c r="C870" s="61"/>
    </row>
    <row r="871">
      <c r="A871" s="61"/>
      <c r="B871" s="61"/>
      <c r="C871" s="61"/>
    </row>
    <row r="872">
      <c r="A872" s="61"/>
      <c r="B872" s="61"/>
      <c r="C872" s="61"/>
    </row>
    <row r="873">
      <c r="A873" s="61"/>
      <c r="B873" s="61"/>
      <c r="C873" s="61"/>
    </row>
    <row r="874">
      <c r="A874" s="61"/>
      <c r="B874" s="61"/>
      <c r="C874" s="61"/>
    </row>
    <row r="875">
      <c r="A875" s="61"/>
      <c r="B875" s="61"/>
      <c r="C875" s="61"/>
    </row>
    <row r="876">
      <c r="A876" s="61"/>
      <c r="B876" s="61"/>
      <c r="C876" s="61"/>
    </row>
    <row r="877">
      <c r="A877" s="61"/>
      <c r="B877" s="61"/>
      <c r="C877" s="61"/>
    </row>
    <row r="878">
      <c r="A878" s="61"/>
      <c r="B878" s="61"/>
      <c r="C878" s="61"/>
    </row>
    <row r="879">
      <c r="A879" s="61"/>
      <c r="B879" s="61"/>
      <c r="C879" s="61"/>
    </row>
    <row r="880">
      <c r="A880" s="61"/>
      <c r="B880" s="61"/>
      <c r="C880" s="61"/>
    </row>
    <row r="881">
      <c r="A881" s="61"/>
      <c r="B881" s="61"/>
      <c r="C881" s="61"/>
    </row>
    <row r="882">
      <c r="A882" s="61"/>
      <c r="B882" s="61"/>
      <c r="C882" s="61"/>
    </row>
    <row r="883">
      <c r="A883" s="61"/>
      <c r="B883" s="61"/>
      <c r="C883" s="61"/>
    </row>
    <row r="884">
      <c r="A884" s="61"/>
      <c r="B884" s="61"/>
      <c r="C884" s="61"/>
    </row>
    <row r="885">
      <c r="A885" s="61"/>
      <c r="B885" s="61"/>
      <c r="C885" s="61"/>
    </row>
    <row r="886">
      <c r="A886" s="61"/>
      <c r="B886" s="61"/>
      <c r="C886" s="61"/>
    </row>
    <row r="887">
      <c r="A887" s="61"/>
      <c r="B887" s="61"/>
      <c r="C887" s="61"/>
    </row>
    <row r="888">
      <c r="A888" s="61"/>
      <c r="B888" s="61"/>
      <c r="C888" s="61"/>
    </row>
    <row r="889">
      <c r="A889" s="61"/>
      <c r="B889" s="61"/>
      <c r="C889" s="61"/>
    </row>
    <row r="890">
      <c r="A890" s="61"/>
      <c r="B890" s="61"/>
      <c r="C890" s="61"/>
    </row>
    <row r="891">
      <c r="A891" s="61"/>
      <c r="B891" s="61"/>
      <c r="C891" s="61"/>
    </row>
    <row r="892">
      <c r="A892" s="61"/>
      <c r="B892" s="61"/>
      <c r="C892" s="61"/>
    </row>
    <row r="893">
      <c r="A893" s="61"/>
      <c r="B893" s="61"/>
      <c r="C893" s="61"/>
    </row>
    <row r="894">
      <c r="A894" s="61"/>
      <c r="B894" s="61"/>
      <c r="C894" s="61"/>
    </row>
    <row r="895">
      <c r="A895" s="61"/>
      <c r="B895" s="61"/>
      <c r="C895" s="61"/>
    </row>
    <row r="896">
      <c r="A896" s="61"/>
      <c r="B896" s="61"/>
      <c r="C896" s="61"/>
    </row>
    <row r="897">
      <c r="A897" s="61"/>
      <c r="B897" s="61"/>
      <c r="C897" s="61"/>
    </row>
    <row r="898">
      <c r="A898" s="61"/>
      <c r="B898" s="61"/>
      <c r="C898" s="61"/>
    </row>
    <row r="899">
      <c r="A899" s="61"/>
      <c r="B899" s="61"/>
      <c r="C899" s="61"/>
    </row>
    <row r="900">
      <c r="A900" s="61"/>
      <c r="B900" s="61"/>
      <c r="C900" s="61"/>
    </row>
    <row r="901">
      <c r="A901" s="61"/>
      <c r="B901" s="61"/>
      <c r="C901" s="61"/>
    </row>
    <row r="902">
      <c r="A902" s="61"/>
      <c r="B902" s="61"/>
      <c r="C902" s="61"/>
    </row>
    <row r="903">
      <c r="A903" s="61"/>
      <c r="B903" s="61"/>
      <c r="C903" s="61"/>
    </row>
    <row r="904">
      <c r="A904" s="61"/>
      <c r="B904" s="61"/>
      <c r="C904" s="61"/>
    </row>
    <row r="905">
      <c r="A905" s="61"/>
      <c r="B905" s="61"/>
      <c r="C905" s="61"/>
    </row>
    <row r="906">
      <c r="A906" s="61"/>
      <c r="B906" s="61"/>
      <c r="C906" s="61"/>
    </row>
    <row r="907">
      <c r="A907" s="61"/>
      <c r="B907" s="61"/>
      <c r="C907" s="61"/>
    </row>
    <row r="908">
      <c r="A908" s="61"/>
      <c r="B908" s="61"/>
      <c r="C908" s="61"/>
    </row>
    <row r="909">
      <c r="A909" s="61"/>
      <c r="B909" s="61"/>
      <c r="C909" s="61"/>
    </row>
    <row r="910">
      <c r="A910" s="61"/>
      <c r="B910" s="61"/>
      <c r="C910" s="61"/>
    </row>
    <row r="911">
      <c r="A911" s="61"/>
      <c r="B911" s="61"/>
      <c r="C911" s="61"/>
    </row>
    <row r="912">
      <c r="A912" s="61"/>
      <c r="B912" s="61"/>
      <c r="C912" s="61"/>
    </row>
    <row r="913">
      <c r="A913" s="61"/>
      <c r="B913" s="61"/>
      <c r="C913" s="61"/>
    </row>
    <row r="914">
      <c r="A914" s="61"/>
      <c r="B914" s="61"/>
      <c r="C914" s="61"/>
    </row>
    <row r="915">
      <c r="A915" s="61"/>
      <c r="B915" s="61"/>
      <c r="C915" s="61"/>
    </row>
    <row r="916">
      <c r="A916" s="61"/>
      <c r="B916" s="61"/>
      <c r="C916" s="61"/>
    </row>
    <row r="917">
      <c r="A917" s="61"/>
      <c r="B917" s="61"/>
      <c r="C917" s="61"/>
    </row>
    <row r="918">
      <c r="A918" s="61"/>
      <c r="B918" s="61"/>
      <c r="C918" s="61"/>
    </row>
    <row r="919">
      <c r="A919" s="61"/>
      <c r="B919" s="61"/>
      <c r="C919" s="61"/>
    </row>
    <row r="920">
      <c r="A920" s="61"/>
      <c r="B920" s="61"/>
      <c r="C920" s="61"/>
    </row>
    <row r="921">
      <c r="A921" s="61"/>
      <c r="B921" s="61"/>
      <c r="C921" s="61"/>
    </row>
    <row r="922">
      <c r="A922" s="61"/>
      <c r="B922" s="61"/>
      <c r="C922" s="61"/>
    </row>
    <row r="923">
      <c r="A923" s="61"/>
      <c r="B923" s="61"/>
      <c r="C923" s="61"/>
    </row>
    <row r="924">
      <c r="A924" s="61"/>
      <c r="B924" s="61"/>
      <c r="C924" s="61"/>
    </row>
    <row r="925">
      <c r="A925" s="61"/>
      <c r="B925" s="61"/>
      <c r="C925" s="61"/>
    </row>
    <row r="926">
      <c r="A926" s="61"/>
      <c r="B926" s="61"/>
      <c r="C926" s="61"/>
    </row>
    <row r="927">
      <c r="A927" s="61"/>
      <c r="B927" s="61"/>
      <c r="C927" s="61"/>
    </row>
    <row r="928">
      <c r="A928" s="61"/>
      <c r="B928" s="61"/>
      <c r="C928" s="61"/>
    </row>
    <row r="929">
      <c r="A929" s="61"/>
      <c r="B929" s="61"/>
      <c r="C929" s="61"/>
    </row>
    <row r="930">
      <c r="A930" s="61"/>
      <c r="B930" s="61"/>
      <c r="C930" s="61"/>
    </row>
    <row r="931">
      <c r="A931" s="61"/>
      <c r="B931" s="61"/>
      <c r="C931" s="61"/>
    </row>
    <row r="932">
      <c r="A932" s="61"/>
      <c r="B932" s="61"/>
      <c r="C932" s="61"/>
    </row>
    <row r="933">
      <c r="A933" s="61"/>
      <c r="B933" s="61"/>
      <c r="C933" s="61"/>
    </row>
    <row r="934">
      <c r="A934" s="61"/>
      <c r="B934" s="61"/>
      <c r="C934" s="61"/>
    </row>
    <row r="935">
      <c r="A935" s="61"/>
      <c r="B935" s="61"/>
      <c r="C935" s="61"/>
    </row>
    <row r="936">
      <c r="A936" s="61"/>
      <c r="B936" s="61"/>
      <c r="C936" s="61"/>
    </row>
    <row r="937">
      <c r="A937" s="61"/>
      <c r="B937" s="61"/>
      <c r="C937" s="61"/>
    </row>
    <row r="938">
      <c r="A938" s="61"/>
      <c r="B938" s="61"/>
      <c r="C938" s="61"/>
    </row>
    <row r="939">
      <c r="A939" s="61"/>
      <c r="B939" s="61"/>
      <c r="C939" s="61"/>
    </row>
    <row r="940">
      <c r="A940" s="61"/>
      <c r="B940" s="61"/>
      <c r="C940" s="61"/>
    </row>
    <row r="941">
      <c r="A941" s="61"/>
      <c r="B941" s="61"/>
      <c r="C941" s="61"/>
    </row>
    <row r="942">
      <c r="A942" s="61"/>
      <c r="B942" s="61"/>
      <c r="C942" s="61"/>
    </row>
    <row r="943">
      <c r="A943" s="61"/>
      <c r="B943" s="61"/>
      <c r="C943" s="61"/>
    </row>
    <row r="944">
      <c r="A944" s="61"/>
      <c r="B944" s="61"/>
      <c r="C944" s="61"/>
    </row>
    <row r="945">
      <c r="A945" s="61"/>
      <c r="B945" s="61"/>
      <c r="C945" s="61"/>
    </row>
    <row r="946">
      <c r="A946" s="61"/>
      <c r="B946" s="61"/>
      <c r="C946" s="61"/>
    </row>
    <row r="947">
      <c r="A947" s="61"/>
      <c r="B947" s="61"/>
      <c r="C947" s="61"/>
    </row>
    <row r="948">
      <c r="A948" s="61"/>
      <c r="B948" s="61"/>
      <c r="C948" s="61"/>
    </row>
    <row r="949">
      <c r="A949" s="61"/>
      <c r="B949" s="61"/>
      <c r="C949" s="61"/>
    </row>
    <row r="950">
      <c r="A950" s="61"/>
      <c r="B950" s="61"/>
      <c r="C950" s="61"/>
    </row>
    <row r="951">
      <c r="A951" s="61"/>
      <c r="B951" s="61"/>
      <c r="C951" s="61"/>
    </row>
    <row r="952">
      <c r="A952" s="61"/>
      <c r="B952" s="61"/>
      <c r="C952" s="61"/>
    </row>
    <row r="953">
      <c r="A953" s="61"/>
      <c r="B953" s="61"/>
      <c r="C953" s="61"/>
    </row>
    <row r="954">
      <c r="A954" s="61"/>
      <c r="B954" s="61"/>
      <c r="C954" s="61"/>
    </row>
    <row r="955">
      <c r="A955" s="61"/>
      <c r="B955" s="61"/>
      <c r="C955" s="61"/>
    </row>
    <row r="956">
      <c r="A956" s="61"/>
      <c r="B956" s="61"/>
      <c r="C956" s="61"/>
    </row>
    <row r="957">
      <c r="A957" s="61"/>
      <c r="B957" s="61"/>
      <c r="C957" s="61"/>
    </row>
    <row r="958">
      <c r="A958" s="61"/>
      <c r="B958" s="61"/>
      <c r="C958" s="61"/>
    </row>
    <row r="959">
      <c r="A959" s="61"/>
      <c r="B959" s="61"/>
      <c r="C959" s="61"/>
    </row>
    <row r="960">
      <c r="A960" s="61"/>
      <c r="B960" s="61"/>
      <c r="C960" s="61"/>
    </row>
    <row r="961">
      <c r="A961" s="61"/>
      <c r="B961" s="61"/>
      <c r="C961" s="61"/>
    </row>
    <row r="962">
      <c r="A962" s="61"/>
      <c r="B962" s="61"/>
      <c r="C962" s="61"/>
    </row>
    <row r="963">
      <c r="A963" s="61"/>
      <c r="B963" s="61"/>
      <c r="C963" s="61"/>
    </row>
    <row r="964">
      <c r="A964" s="61"/>
      <c r="B964" s="61"/>
      <c r="C964" s="61"/>
    </row>
    <row r="965">
      <c r="A965" s="61"/>
      <c r="B965" s="61"/>
      <c r="C965" s="61"/>
    </row>
    <row r="966">
      <c r="A966" s="61"/>
      <c r="B966" s="61"/>
      <c r="C966" s="61"/>
    </row>
    <row r="967">
      <c r="A967" s="61"/>
      <c r="B967" s="61"/>
      <c r="C967" s="61"/>
    </row>
    <row r="968">
      <c r="A968" s="61"/>
      <c r="B968" s="61"/>
      <c r="C968" s="61"/>
    </row>
    <row r="969">
      <c r="A969" s="61"/>
      <c r="B969" s="61"/>
      <c r="C969" s="61"/>
    </row>
    <row r="970">
      <c r="A970" s="61"/>
      <c r="B970" s="61"/>
      <c r="C970" s="61"/>
    </row>
    <row r="971">
      <c r="A971" s="61"/>
      <c r="B971" s="61"/>
      <c r="C971" s="61"/>
    </row>
    <row r="972">
      <c r="A972" s="61"/>
      <c r="B972" s="61"/>
      <c r="C972" s="61"/>
    </row>
    <row r="973">
      <c r="A973" s="61"/>
      <c r="B973" s="61"/>
      <c r="C973" s="61"/>
    </row>
    <row r="974">
      <c r="A974" s="61"/>
      <c r="B974" s="61"/>
      <c r="C974" s="61"/>
    </row>
    <row r="975">
      <c r="A975" s="61"/>
      <c r="B975" s="61"/>
      <c r="C975" s="61"/>
    </row>
    <row r="976">
      <c r="A976" s="61"/>
      <c r="B976" s="61"/>
      <c r="C976" s="61"/>
    </row>
    <row r="977">
      <c r="A977" s="61"/>
      <c r="B977" s="61"/>
      <c r="C977" s="61"/>
    </row>
    <row r="978">
      <c r="A978" s="61"/>
      <c r="B978" s="61"/>
      <c r="C978" s="61"/>
    </row>
    <row r="979">
      <c r="A979" s="61"/>
      <c r="B979" s="61"/>
      <c r="C979" s="61"/>
    </row>
    <row r="980">
      <c r="A980" s="61"/>
      <c r="B980" s="61"/>
      <c r="C980" s="61"/>
    </row>
    <row r="981">
      <c r="A981" s="61"/>
      <c r="B981" s="61"/>
      <c r="C981" s="61"/>
    </row>
    <row r="982">
      <c r="A982" s="61"/>
      <c r="B982" s="61"/>
      <c r="C982" s="61"/>
    </row>
    <row r="983">
      <c r="A983" s="61"/>
      <c r="B983" s="61"/>
      <c r="C983" s="61"/>
    </row>
    <row r="984">
      <c r="A984" s="61"/>
      <c r="B984" s="61"/>
      <c r="C984" s="61"/>
    </row>
    <row r="985">
      <c r="A985" s="61"/>
      <c r="B985" s="61"/>
      <c r="C985" s="61"/>
    </row>
    <row r="986">
      <c r="A986" s="61"/>
      <c r="B986" s="61"/>
      <c r="C986" s="61"/>
    </row>
    <row r="987">
      <c r="A987" s="61"/>
      <c r="B987" s="61"/>
      <c r="C987" s="61"/>
    </row>
    <row r="988">
      <c r="A988" s="61"/>
      <c r="B988" s="61"/>
      <c r="C988" s="61"/>
    </row>
    <row r="989">
      <c r="A989" s="61"/>
      <c r="B989" s="61"/>
      <c r="C989" s="61"/>
    </row>
    <row r="990">
      <c r="A990" s="61"/>
      <c r="B990" s="61"/>
      <c r="C990" s="61"/>
    </row>
    <row r="991">
      <c r="A991" s="61"/>
      <c r="B991" s="61"/>
      <c r="C991" s="61"/>
    </row>
    <row r="992">
      <c r="A992" s="61"/>
      <c r="B992" s="61"/>
      <c r="C992" s="61"/>
    </row>
    <row r="993">
      <c r="A993" s="61"/>
      <c r="B993" s="61"/>
      <c r="C993" s="61"/>
    </row>
    <row r="994">
      <c r="A994" s="61"/>
      <c r="B994" s="61"/>
      <c r="C994" s="61"/>
    </row>
    <row r="995">
      <c r="A995" s="61"/>
      <c r="B995" s="61"/>
      <c r="C995" s="61"/>
    </row>
    <row r="996">
      <c r="A996" s="61"/>
      <c r="B996" s="61"/>
      <c r="C996" s="61"/>
    </row>
    <row r="997">
      <c r="A997" s="61"/>
      <c r="B997" s="61"/>
      <c r="C997" s="61"/>
    </row>
    <row r="998">
      <c r="A998" s="61"/>
      <c r="B998" s="61"/>
      <c r="C998" s="61"/>
    </row>
    <row r="999">
      <c r="A999" s="61"/>
      <c r="B999" s="61"/>
      <c r="C999" s="61"/>
    </row>
    <row r="1000">
      <c r="A1000" s="61"/>
      <c r="B1000" s="61"/>
      <c r="C1000" s="61"/>
    </row>
    <row r="1001">
      <c r="A1001" s="61"/>
      <c r="B1001" s="61"/>
      <c r="C1001" s="61"/>
    </row>
  </sheetData>
  <mergeCells count="1">
    <mergeCell ref="A1:B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5"/>
    <col customWidth="1" min="2" max="2" width="8.25"/>
    <col customWidth="1" min="3" max="3" width="10.38"/>
    <col customWidth="1" min="4" max="4" width="13.88"/>
    <col customWidth="1" min="5" max="5" width="12.63"/>
    <col customWidth="1" min="6" max="6" width="8.75"/>
    <col customWidth="1" min="7" max="7" width="10.63"/>
    <col customWidth="1" min="8" max="8" width="14.13"/>
    <col customWidth="1" min="9" max="9" width="14.63"/>
    <col customWidth="1" min="10" max="10" width="4.5"/>
    <col customWidth="1" min="11" max="11" width="17.88"/>
  </cols>
  <sheetData>
    <row r="1" ht="15.75" customHeight="1">
      <c r="A1" s="1"/>
      <c r="B1" s="1" t="s">
        <v>203</v>
      </c>
      <c r="P1" s="1" t="s">
        <v>204</v>
      </c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15.75" customHeight="1">
      <c r="A3" s="3"/>
      <c r="B3" s="3" t="s">
        <v>1</v>
      </c>
      <c r="I3" s="2"/>
      <c r="J3" s="2"/>
      <c r="K3" s="2"/>
      <c r="L3" s="2"/>
      <c r="M3" s="2"/>
      <c r="O3" s="2"/>
      <c r="P3" s="66"/>
      <c r="Q3" s="66" t="s">
        <v>205</v>
      </c>
      <c r="R3" s="66" t="s">
        <v>206</v>
      </c>
      <c r="S3" s="66" t="s">
        <v>207</v>
      </c>
    </row>
    <row r="4" ht="15.75" customHeight="1">
      <c r="A4" s="3"/>
      <c r="B4" s="7" t="s">
        <v>3</v>
      </c>
      <c r="C4" s="7" t="s">
        <v>131</v>
      </c>
      <c r="D4" s="7" t="s">
        <v>5</v>
      </c>
      <c r="E4" s="2"/>
      <c r="F4" s="7" t="s">
        <v>6</v>
      </c>
      <c r="G4" s="7" t="s">
        <v>131</v>
      </c>
      <c r="H4" s="7" t="s">
        <v>7</v>
      </c>
      <c r="I4" s="7" t="s">
        <v>8</v>
      </c>
      <c r="J4" s="2"/>
      <c r="K4" s="2"/>
      <c r="L4" s="2"/>
      <c r="M4" s="2"/>
      <c r="N4" s="2"/>
      <c r="O4" s="2"/>
      <c r="P4" s="67" t="s">
        <v>208</v>
      </c>
      <c r="Q4" s="68">
        <f>COUNTA('Angkatan 33'!$B$3:$B$517)</f>
        <v>515</v>
      </c>
      <c r="R4" s="68">
        <f>COUNTIF('Angkatan 33'!$F$3:$F$517,"L")</f>
        <v>195</v>
      </c>
      <c r="S4" s="68">
        <f>COUNTIF('Angkatan 33'!$F$3:$F$517,"P")</f>
        <v>320</v>
      </c>
    </row>
    <row r="5" ht="15.75" customHeight="1">
      <c r="A5" s="2"/>
      <c r="B5" s="13" t="s">
        <v>13</v>
      </c>
      <c r="C5" s="13">
        <v>17.0</v>
      </c>
      <c r="D5" s="7" t="s">
        <v>14</v>
      </c>
      <c r="E5" s="2"/>
      <c r="F5" s="13" t="s">
        <v>13</v>
      </c>
      <c r="G5" s="13">
        <v>22.0</v>
      </c>
      <c r="H5" s="7" t="s">
        <v>15</v>
      </c>
      <c r="I5" s="7" t="s">
        <v>16</v>
      </c>
      <c r="J5" s="2"/>
      <c r="K5" s="2"/>
      <c r="L5" s="2"/>
      <c r="M5" s="2"/>
      <c r="N5" s="2"/>
      <c r="O5" s="2"/>
      <c r="P5" s="67" t="s">
        <v>209</v>
      </c>
      <c r="Q5" s="68"/>
      <c r="R5" s="68"/>
      <c r="S5" s="68"/>
    </row>
    <row r="6" ht="15.75" customHeight="1">
      <c r="A6" s="2"/>
      <c r="B6" s="13" t="s">
        <v>21</v>
      </c>
      <c r="C6" s="13">
        <v>15.0</v>
      </c>
      <c r="D6" s="7" t="s">
        <v>22</v>
      </c>
      <c r="E6" s="2"/>
      <c r="F6" s="13" t="s">
        <v>21</v>
      </c>
      <c r="G6" s="13">
        <v>23.0</v>
      </c>
      <c r="H6" s="7" t="s">
        <v>24</v>
      </c>
      <c r="I6" s="7" t="s">
        <v>25</v>
      </c>
      <c r="J6" s="2"/>
      <c r="K6" s="2"/>
      <c r="L6" s="2"/>
      <c r="M6" s="2"/>
      <c r="N6" s="2"/>
      <c r="O6" s="2"/>
      <c r="P6" s="67" t="s">
        <v>210</v>
      </c>
      <c r="Q6" s="68"/>
      <c r="R6" s="68"/>
      <c r="S6" s="68"/>
    </row>
    <row r="7" ht="15.75" customHeight="1">
      <c r="A7" s="2"/>
      <c r="B7" s="13" t="s">
        <v>29</v>
      </c>
      <c r="C7" s="13">
        <v>13.0</v>
      </c>
      <c r="D7" s="7" t="s">
        <v>30</v>
      </c>
      <c r="E7" s="2"/>
      <c r="F7" s="13" t="s">
        <v>29</v>
      </c>
      <c r="G7" s="13">
        <v>26.0</v>
      </c>
      <c r="H7" s="7" t="s">
        <v>31</v>
      </c>
      <c r="I7" s="7" t="s">
        <v>32</v>
      </c>
      <c r="J7" s="2"/>
      <c r="K7" s="2"/>
      <c r="L7" s="2"/>
      <c r="M7" s="2"/>
      <c r="N7" s="2"/>
      <c r="O7" s="2"/>
      <c r="P7" s="67" t="s">
        <v>211</v>
      </c>
      <c r="Q7" s="68"/>
      <c r="R7" s="68"/>
      <c r="S7" s="68"/>
    </row>
    <row r="8" ht="15.75" customHeight="1">
      <c r="A8" s="2"/>
      <c r="B8" s="13" t="s">
        <v>37</v>
      </c>
      <c r="C8" s="13">
        <v>16.0</v>
      </c>
      <c r="D8" s="7" t="s">
        <v>47</v>
      </c>
      <c r="E8" s="2"/>
      <c r="F8" s="13" t="s">
        <v>37</v>
      </c>
      <c r="G8" s="13">
        <v>24.0</v>
      </c>
      <c r="H8" s="7" t="s">
        <v>28</v>
      </c>
      <c r="I8" s="7" t="s">
        <v>39</v>
      </c>
      <c r="J8" s="2"/>
      <c r="K8" s="2"/>
      <c r="L8" s="2"/>
      <c r="M8" s="2"/>
      <c r="N8" s="2"/>
      <c r="O8" s="2"/>
      <c r="P8" s="2"/>
    </row>
    <row r="9" ht="15.75" customHeight="1">
      <c r="A9" s="2"/>
      <c r="B9" s="13" t="s">
        <v>42</v>
      </c>
      <c r="C9" s="13">
        <v>14.0</v>
      </c>
      <c r="D9" s="7" t="s">
        <v>43</v>
      </c>
      <c r="E9" s="2"/>
      <c r="F9" s="13" t="s">
        <v>42</v>
      </c>
      <c r="G9" s="13">
        <v>24.0</v>
      </c>
      <c r="H9" s="7" t="s">
        <v>36</v>
      </c>
      <c r="I9" s="7" t="s">
        <v>44</v>
      </c>
      <c r="J9" s="2"/>
      <c r="K9" s="2"/>
      <c r="L9" s="2"/>
      <c r="M9" s="2"/>
      <c r="N9" s="2"/>
      <c r="O9" s="2"/>
      <c r="P9" s="2"/>
    </row>
    <row r="10" ht="15.75" customHeight="1">
      <c r="A10" s="2"/>
      <c r="B10" s="13" t="s">
        <v>46</v>
      </c>
      <c r="C10" s="13">
        <v>7.0</v>
      </c>
      <c r="D10" s="7" t="s">
        <v>103</v>
      </c>
      <c r="E10" s="2"/>
      <c r="F10" s="13" t="s">
        <v>46</v>
      </c>
      <c r="G10" s="13">
        <v>23.0</v>
      </c>
      <c r="H10" s="7" t="s">
        <v>48</v>
      </c>
      <c r="I10" s="7" t="s">
        <v>49</v>
      </c>
      <c r="J10" s="2"/>
      <c r="K10" s="2"/>
      <c r="L10" s="2"/>
      <c r="M10" s="2"/>
      <c r="N10" s="2"/>
      <c r="O10" s="2"/>
      <c r="P10" s="2"/>
    </row>
    <row r="11" ht="15.75" customHeight="1">
      <c r="A11" s="2"/>
      <c r="B11" s="13" t="s">
        <v>52</v>
      </c>
      <c r="C11" s="13">
        <v>16.0</v>
      </c>
      <c r="D11" s="7" t="s">
        <v>53</v>
      </c>
      <c r="E11" s="2"/>
      <c r="F11" s="13" t="s">
        <v>52</v>
      </c>
      <c r="G11" s="13">
        <v>28.0</v>
      </c>
      <c r="H11" s="7" t="s">
        <v>54</v>
      </c>
      <c r="I11" s="7" t="s">
        <v>55</v>
      </c>
      <c r="J11" s="2"/>
      <c r="K11" s="2"/>
      <c r="L11" s="2"/>
      <c r="M11" s="2"/>
      <c r="N11" s="2"/>
      <c r="O11" s="2"/>
      <c r="P11" s="2"/>
    </row>
    <row r="12" ht="15.75" customHeight="1">
      <c r="A12" s="2"/>
      <c r="B12" s="13" t="s">
        <v>58</v>
      </c>
      <c r="C12" s="13">
        <v>14.0</v>
      </c>
      <c r="D12" s="7" t="s">
        <v>59</v>
      </c>
      <c r="E12" s="2"/>
      <c r="F12" s="13" t="s">
        <v>58</v>
      </c>
      <c r="G12" s="13">
        <v>28.0</v>
      </c>
      <c r="H12" s="7" t="s">
        <v>41</v>
      </c>
      <c r="I12" s="7" t="s">
        <v>60</v>
      </c>
      <c r="J12" s="2"/>
      <c r="K12" s="2"/>
      <c r="L12" s="2"/>
      <c r="M12" s="2"/>
      <c r="N12" s="2"/>
      <c r="O12" s="2"/>
      <c r="P12" s="2"/>
    </row>
    <row r="13" ht="15.75" customHeight="1">
      <c r="A13" s="2"/>
      <c r="B13" s="13" t="s">
        <v>63</v>
      </c>
      <c r="C13" s="13">
        <v>16.0</v>
      </c>
      <c r="D13" s="23" t="s">
        <v>212</v>
      </c>
      <c r="E13" s="2"/>
      <c r="F13" s="13" t="s">
        <v>63</v>
      </c>
      <c r="G13" s="13">
        <v>25.0</v>
      </c>
      <c r="H13" s="7" t="s">
        <v>65</v>
      </c>
      <c r="I13" s="7" t="s">
        <v>66</v>
      </c>
      <c r="J13" s="2"/>
      <c r="K13" s="2"/>
      <c r="L13" s="2"/>
      <c r="M13" s="2"/>
      <c r="N13" s="2"/>
      <c r="O13" s="2"/>
      <c r="P13" s="2"/>
    </row>
    <row r="14" ht="15.75" customHeight="1">
      <c r="A14" s="2"/>
      <c r="B14" s="13" t="s">
        <v>69</v>
      </c>
      <c r="C14" s="13">
        <v>14.0</v>
      </c>
      <c r="D14" s="7" t="s">
        <v>70</v>
      </c>
      <c r="E14" s="2"/>
      <c r="F14" s="13" t="s">
        <v>69</v>
      </c>
      <c r="G14" s="13">
        <v>23.0</v>
      </c>
      <c r="H14" s="7" t="s">
        <v>213</v>
      </c>
      <c r="I14" s="7" t="s">
        <v>72</v>
      </c>
      <c r="J14" s="2"/>
      <c r="K14" s="2"/>
      <c r="L14" s="2"/>
      <c r="M14" s="2"/>
      <c r="N14" s="2"/>
      <c r="O14" s="2"/>
      <c r="P14" s="2"/>
    </row>
    <row r="15" ht="15.75" customHeight="1">
      <c r="A15" s="2"/>
      <c r="B15" s="13" t="s">
        <v>74</v>
      </c>
      <c r="C15" s="13">
        <v>16.0</v>
      </c>
      <c r="D15" s="7" t="s">
        <v>75</v>
      </c>
      <c r="E15" s="2"/>
      <c r="F15" s="13" t="s">
        <v>74</v>
      </c>
      <c r="G15" s="13">
        <v>23.0</v>
      </c>
      <c r="H15" s="69" t="s">
        <v>76</v>
      </c>
      <c r="I15" s="7" t="s">
        <v>77</v>
      </c>
      <c r="J15" s="2"/>
      <c r="K15" s="2"/>
      <c r="L15" s="2"/>
      <c r="M15" s="2"/>
      <c r="N15" s="2"/>
      <c r="O15" s="2"/>
      <c r="P15" s="2"/>
    </row>
    <row r="16" ht="15.75" customHeight="1">
      <c r="A16" s="2"/>
      <c r="B16" s="13" t="s">
        <v>79</v>
      </c>
      <c r="C16" s="13">
        <v>15.0</v>
      </c>
      <c r="D16" s="7" t="s">
        <v>80</v>
      </c>
      <c r="E16" s="2"/>
      <c r="F16" s="13" t="s">
        <v>79</v>
      </c>
      <c r="G16" s="13">
        <v>24.0</v>
      </c>
      <c r="H16" s="7" t="s">
        <v>81</v>
      </c>
      <c r="I16" s="7" t="s">
        <v>82</v>
      </c>
      <c r="J16" s="2"/>
      <c r="K16" s="2"/>
      <c r="L16" s="2"/>
      <c r="M16" s="2"/>
      <c r="N16" s="2"/>
      <c r="O16" s="2"/>
      <c r="P16" s="2"/>
    </row>
    <row r="17" ht="15.75" customHeight="1">
      <c r="A17" s="2"/>
      <c r="B17" s="13" t="s">
        <v>86</v>
      </c>
      <c r="C17" s="13">
        <v>10.0</v>
      </c>
      <c r="D17" s="7" t="s">
        <v>214</v>
      </c>
      <c r="E17" s="2"/>
      <c r="F17" s="13" t="s">
        <v>86</v>
      </c>
      <c r="G17" s="13">
        <v>13.0</v>
      </c>
      <c r="H17" s="7" t="s">
        <v>87</v>
      </c>
      <c r="I17" s="13" t="s">
        <v>88</v>
      </c>
      <c r="J17" s="2"/>
      <c r="K17" s="2"/>
      <c r="L17" s="2"/>
      <c r="M17" s="2"/>
      <c r="N17" s="2"/>
      <c r="O17" s="2"/>
      <c r="P17" s="2"/>
    </row>
    <row r="18" ht="15.75" customHeight="1">
      <c r="A18" s="2"/>
      <c r="B18" s="13" t="s">
        <v>90</v>
      </c>
      <c r="C18" s="13">
        <v>11.0</v>
      </c>
      <c r="D18" s="7" t="s">
        <v>85</v>
      </c>
      <c r="E18" s="2"/>
      <c r="F18" s="13" t="s">
        <v>90</v>
      </c>
      <c r="G18" s="13">
        <v>14.0</v>
      </c>
      <c r="H18" s="7" t="s">
        <v>18</v>
      </c>
      <c r="I18" s="7" t="s">
        <v>88</v>
      </c>
      <c r="J18" s="2"/>
      <c r="K18" s="2"/>
      <c r="L18" s="2"/>
      <c r="M18" s="2"/>
      <c r="N18" s="2"/>
      <c r="O18" s="2"/>
      <c r="P18" s="2"/>
    </row>
    <row r="19" ht="15.75" customHeight="1">
      <c r="A19" s="2"/>
      <c r="B19" s="2" t="s">
        <v>215</v>
      </c>
      <c r="C19" s="2">
        <f>sum(C5:C18)</f>
        <v>194</v>
      </c>
      <c r="D19" s="2">
        <v>14.0</v>
      </c>
      <c r="E19" s="2"/>
      <c r="F19" s="2" t="s">
        <v>215</v>
      </c>
      <c r="G19" s="2">
        <f>sum(G6:G18)</f>
        <v>298</v>
      </c>
      <c r="H19" s="2">
        <v>14.0</v>
      </c>
      <c r="I19" s="2">
        <v>12.0</v>
      </c>
      <c r="J19" s="2"/>
      <c r="K19" s="2"/>
      <c r="L19" s="2"/>
      <c r="M19" s="2"/>
      <c r="N19" s="2"/>
      <c r="O19" s="2"/>
      <c r="P19" s="2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2"/>
      <c r="J20" s="2"/>
      <c r="K20" s="2"/>
      <c r="L20" s="2"/>
      <c r="M20" s="2"/>
      <c r="N20" s="2"/>
      <c r="P20" s="2"/>
    </row>
    <row r="21" ht="15.75" customHeight="1">
      <c r="A21" s="3"/>
      <c r="B21" s="3" t="s">
        <v>92</v>
      </c>
      <c r="I21" s="2"/>
      <c r="J21" s="2"/>
      <c r="K21" s="2"/>
      <c r="L21" s="2"/>
      <c r="M21" s="2"/>
      <c r="N21" s="2"/>
      <c r="P21" s="2"/>
    </row>
    <row r="22" ht="15.75" customHeight="1">
      <c r="A22" s="2"/>
      <c r="B22" s="13" t="s">
        <v>3</v>
      </c>
      <c r="C22" s="7" t="s">
        <v>131</v>
      </c>
      <c r="D22" s="7" t="s">
        <v>5</v>
      </c>
      <c r="E22" s="2"/>
      <c r="F22" s="7" t="s">
        <v>6</v>
      </c>
      <c r="G22" s="7" t="s">
        <v>131</v>
      </c>
      <c r="H22" s="7" t="s">
        <v>5</v>
      </c>
      <c r="I22" s="2"/>
      <c r="J22" s="3"/>
      <c r="K22" s="30" t="s">
        <v>133</v>
      </c>
      <c r="L22" s="31" t="s">
        <v>5</v>
      </c>
      <c r="M22" s="13" t="s">
        <v>131</v>
      </c>
    </row>
    <row r="23" ht="15.75" customHeight="1">
      <c r="A23" s="2"/>
      <c r="B23" s="13" t="s">
        <v>13</v>
      </c>
      <c r="C23" s="25" t="s">
        <v>95</v>
      </c>
      <c r="D23" s="23" t="s">
        <v>96</v>
      </c>
      <c r="E23" s="2"/>
      <c r="F23" s="13" t="s">
        <v>13</v>
      </c>
      <c r="G23" s="25" t="s">
        <v>97</v>
      </c>
      <c r="H23" s="7" t="s">
        <v>98</v>
      </c>
      <c r="I23" s="2"/>
      <c r="J23" s="2"/>
      <c r="K23" s="13" t="s">
        <v>3</v>
      </c>
      <c r="L23" s="7" t="s">
        <v>136</v>
      </c>
      <c r="M23" s="13">
        <v>11.0</v>
      </c>
    </row>
    <row r="24" ht="15.75" customHeight="1">
      <c r="A24" s="2"/>
      <c r="B24" s="13" t="s">
        <v>21</v>
      </c>
      <c r="C24" s="27">
        <v>45761.0</v>
      </c>
      <c r="D24" s="23" t="s">
        <v>100</v>
      </c>
      <c r="E24" s="2"/>
      <c r="F24" s="13" t="s">
        <v>21</v>
      </c>
      <c r="G24" s="25" t="s">
        <v>101</v>
      </c>
      <c r="H24" s="23" t="s">
        <v>17</v>
      </c>
      <c r="I24" s="2"/>
      <c r="J24" s="2"/>
      <c r="K24" s="13" t="s">
        <v>137</v>
      </c>
      <c r="L24" s="7" t="s">
        <v>138</v>
      </c>
      <c r="M24" s="13">
        <v>11.0</v>
      </c>
    </row>
    <row r="25" ht="15.75" customHeight="1">
      <c r="A25" s="2"/>
      <c r="B25" s="13" t="s">
        <v>29</v>
      </c>
      <c r="C25" s="25" t="s">
        <v>104</v>
      </c>
      <c r="D25" s="7" t="s">
        <v>105</v>
      </c>
      <c r="E25" s="2"/>
      <c r="F25" s="13" t="s">
        <v>29</v>
      </c>
      <c r="G25" s="25" t="s">
        <v>106</v>
      </c>
      <c r="H25" s="7" t="s">
        <v>45</v>
      </c>
      <c r="I25" s="2"/>
      <c r="J25" s="2"/>
      <c r="K25" s="13" t="s">
        <v>141</v>
      </c>
      <c r="L25" s="7" t="s">
        <v>142</v>
      </c>
      <c r="M25" s="13">
        <v>11.0</v>
      </c>
    </row>
    <row r="26" ht="15.75" customHeight="1">
      <c r="A26" s="2"/>
      <c r="B26" s="13" t="s">
        <v>37</v>
      </c>
      <c r="C26" s="28">
        <v>45816.0</v>
      </c>
      <c r="D26" s="7" t="s">
        <v>96</v>
      </c>
      <c r="E26" s="2"/>
      <c r="F26" s="13" t="s">
        <v>37</v>
      </c>
      <c r="G26" s="27">
        <v>45917.0</v>
      </c>
      <c r="H26" s="7" t="s">
        <v>216</v>
      </c>
      <c r="I26" s="2"/>
      <c r="J26" s="2"/>
      <c r="K26" s="2"/>
      <c r="L26" s="2"/>
      <c r="M26" s="2"/>
      <c r="N26" s="2"/>
      <c r="P26" s="2"/>
    </row>
    <row r="27" ht="15.75" customHeight="1">
      <c r="A27" s="2"/>
      <c r="B27" s="13" t="s">
        <v>42</v>
      </c>
      <c r="C27" s="27">
        <v>45883.0</v>
      </c>
      <c r="D27" s="7" t="s">
        <v>217</v>
      </c>
      <c r="E27" s="2"/>
      <c r="F27" s="13" t="s">
        <v>42</v>
      </c>
      <c r="G27" s="28">
        <v>45846.0</v>
      </c>
      <c r="H27" s="23" t="s">
        <v>109</v>
      </c>
      <c r="I27" s="2"/>
      <c r="J27" s="3"/>
      <c r="K27" s="30" t="s">
        <v>144</v>
      </c>
      <c r="L27" s="31" t="s">
        <v>5</v>
      </c>
      <c r="M27" s="13" t="s">
        <v>131</v>
      </c>
      <c r="N27" s="2"/>
      <c r="P27" s="2"/>
    </row>
    <row r="28" ht="15.75" customHeight="1">
      <c r="A28" s="2"/>
      <c r="B28" s="13" t="s">
        <v>46</v>
      </c>
      <c r="C28" s="27">
        <v>45881.0</v>
      </c>
      <c r="D28" s="7" t="s">
        <v>111</v>
      </c>
      <c r="E28" s="2"/>
      <c r="F28" s="13" t="s">
        <v>46</v>
      </c>
      <c r="G28" s="25" t="s">
        <v>112</v>
      </c>
      <c r="H28" s="7" t="s">
        <v>113</v>
      </c>
      <c r="I28" s="2"/>
      <c r="J28" s="2"/>
      <c r="K28" s="13" t="s">
        <v>145</v>
      </c>
      <c r="L28" s="7" t="s">
        <v>26</v>
      </c>
      <c r="M28" s="13">
        <v>9.0</v>
      </c>
      <c r="N28" s="2"/>
      <c r="P28" s="2"/>
    </row>
    <row r="29" ht="15.75" customHeight="1">
      <c r="A29" s="2"/>
      <c r="B29" s="13" t="s">
        <v>52</v>
      </c>
      <c r="C29" s="27">
        <v>45850.0</v>
      </c>
      <c r="D29" s="23" t="s">
        <v>114</v>
      </c>
      <c r="E29" s="2"/>
      <c r="F29" s="13" t="s">
        <v>52</v>
      </c>
      <c r="G29" s="27">
        <v>45856.0</v>
      </c>
      <c r="H29" s="23" t="s">
        <v>115</v>
      </c>
      <c r="I29" s="2"/>
      <c r="J29" s="2"/>
      <c r="K29" s="13" t="s">
        <v>137</v>
      </c>
      <c r="L29" s="7" t="s">
        <v>147</v>
      </c>
      <c r="M29" s="13">
        <v>15.0</v>
      </c>
      <c r="N29" s="2"/>
      <c r="P29" s="2"/>
    </row>
    <row r="30" ht="15.75" customHeight="1">
      <c r="A30" s="2"/>
      <c r="B30" s="13" t="s">
        <v>58</v>
      </c>
      <c r="C30" s="27">
        <v>45728.0</v>
      </c>
      <c r="D30" s="23" t="s">
        <v>100</v>
      </c>
      <c r="E30" s="2"/>
      <c r="F30" s="13" t="s">
        <v>58</v>
      </c>
      <c r="G30" s="25">
        <v>12.0</v>
      </c>
      <c r="H30" s="23" t="s">
        <v>51</v>
      </c>
      <c r="I30" s="2"/>
      <c r="J30" s="2"/>
      <c r="K30" s="13" t="s">
        <v>148</v>
      </c>
      <c r="L30" s="7" t="s">
        <v>149</v>
      </c>
      <c r="M30" s="13">
        <v>8.0</v>
      </c>
      <c r="N30" s="2"/>
      <c r="P30" s="2"/>
    </row>
    <row r="31" ht="15.75" customHeight="1">
      <c r="A31" s="2"/>
      <c r="B31" s="13" t="s">
        <v>63</v>
      </c>
      <c r="C31" s="25" t="s">
        <v>117</v>
      </c>
      <c r="D31" s="7" t="s">
        <v>35</v>
      </c>
      <c r="E31" s="2"/>
      <c r="F31" s="13" t="s">
        <v>63</v>
      </c>
      <c r="G31" s="27">
        <v>45766.0</v>
      </c>
      <c r="H31" s="7" t="s">
        <v>118</v>
      </c>
      <c r="I31" s="2"/>
      <c r="J31" s="2"/>
      <c r="K31" s="13" t="s">
        <v>141</v>
      </c>
      <c r="L31" s="7" t="s">
        <v>150</v>
      </c>
      <c r="M31" s="13">
        <v>11.0</v>
      </c>
      <c r="N31" s="2"/>
      <c r="P31" s="2"/>
    </row>
    <row r="32" ht="15.75" customHeight="1">
      <c r="A32" s="2"/>
      <c r="B32" s="13" t="s">
        <v>69</v>
      </c>
      <c r="C32" s="27">
        <v>45790.0</v>
      </c>
      <c r="D32" s="23" t="s">
        <v>119</v>
      </c>
      <c r="E32" s="2"/>
      <c r="F32" s="13" t="s">
        <v>69</v>
      </c>
      <c r="G32" s="25" t="s">
        <v>120</v>
      </c>
      <c r="H32" s="7" t="s">
        <v>118</v>
      </c>
      <c r="I32" s="2"/>
      <c r="J32" s="2"/>
      <c r="K32" s="2"/>
      <c r="L32" s="2"/>
      <c r="M32" s="2"/>
      <c r="N32" s="2"/>
      <c r="O32" s="2"/>
      <c r="P32" s="2"/>
    </row>
    <row r="33" ht="15.75" customHeight="1">
      <c r="A33" s="2"/>
      <c r="B33" s="13" t="s">
        <v>74</v>
      </c>
      <c r="C33" s="25" t="s">
        <v>122</v>
      </c>
      <c r="D33" s="7" t="s">
        <v>119</v>
      </c>
      <c r="E33" s="2"/>
      <c r="F33" s="13" t="s">
        <v>74</v>
      </c>
      <c r="G33" s="27">
        <v>45982.0</v>
      </c>
      <c r="H33" s="7" t="s">
        <v>123</v>
      </c>
      <c r="I33" s="2"/>
      <c r="J33" s="2"/>
      <c r="K33" s="2"/>
      <c r="L33" s="2"/>
      <c r="M33" s="2"/>
      <c r="N33" s="2"/>
      <c r="O33" s="2"/>
      <c r="P33" s="2"/>
    </row>
    <row r="34" ht="15.75" customHeight="1">
      <c r="A34" s="2"/>
      <c r="B34" s="13" t="s">
        <v>79</v>
      </c>
      <c r="C34" s="28">
        <v>45849.0</v>
      </c>
      <c r="D34" s="7" t="s">
        <v>94</v>
      </c>
      <c r="E34" s="2"/>
      <c r="F34" s="13" t="s">
        <v>79</v>
      </c>
      <c r="G34" s="27">
        <v>45885.0</v>
      </c>
      <c r="H34" s="23" t="s">
        <v>125</v>
      </c>
      <c r="I34" s="2"/>
      <c r="J34" s="2"/>
      <c r="K34" s="2"/>
      <c r="L34" s="2"/>
      <c r="M34" s="2"/>
      <c r="N34" s="2"/>
      <c r="O34" s="2"/>
      <c r="P34" s="2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O1"/>
    <mergeCell ref="B3:H3"/>
    <mergeCell ref="M3:N3"/>
    <mergeCell ref="B21:H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4.5"/>
    <col customWidth="1" min="2" max="2" width="12.63"/>
    <col customWidth="1" min="3" max="3" width="37.88"/>
    <col customWidth="1" min="4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4.5"/>
    <col customWidth="1" min="2" max="2" width="15.88"/>
    <col customWidth="1" min="3" max="3" width="37.88"/>
    <col customWidth="1" min="4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9.13"/>
    <col customWidth="1" min="3" max="4" width="13.38"/>
    <col customWidth="1" min="5" max="5" width="38.38"/>
    <col customWidth="1" min="6" max="6" width="13.38"/>
    <col customWidth="1" min="9" max="9" width="14.75"/>
    <col customWidth="1" min="10" max="10" width="13.75"/>
    <col customWidth="1" min="11" max="11" width="13.63"/>
  </cols>
  <sheetData>
    <row r="1" ht="15.75" customHeight="1">
      <c r="A1" s="70"/>
      <c r="B1" s="71"/>
      <c r="C1" s="71"/>
      <c r="D1" s="71"/>
      <c r="E1" s="71"/>
      <c r="F1" s="71"/>
    </row>
    <row r="2" ht="15.75" customHeight="1">
      <c r="A2" s="72" t="s">
        <v>774</v>
      </c>
      <c r="B2" s="73" t="s">
        <v>775</v>
      </c>
      <c r="C2" s="73" t="s">
        <v>776</v>
      </c>
      <c r="D2" s="73" t="s">
        <v>777</v>
      </c>
      <c r="E2" s="73" t="s">
        <v>219</v>
      </c>
      <c r="F2" s="73" t="s">
        <v>778</v>
      </c>
      <c r="G2" s="74" t="s">
        <v>158</v>
      </c>
      <c r="H2" s="74" t="s">
        <v>779</v>
      </c>
      <c r="I2" s="74" t="s">
        <v>218</v>
      </c>
      <c r="J2" s="74" t="s">
        <v>5</v>
      </c>
      <c r="K2" s="75" t="s">
        <v>780</v>
      </c>
    </row>
    <row r="3" ht="15.75" customHeight="1">
      <c r="A3" s="76">
        <v>3.0</v>
      </c>
      <c r="B3" s="77">
        <v>1.0</v>
      </c>
      <c r="C3" s="77" t="s">
        <v>781</v>
      </c>
      <c r="D3" s="77">
        <v>2.52610008E8</v>
      </c>
      <c r="E3" s="78" t="s">
        <v>411</v>
      </c>
      <c r="F3" s="77" t="s">
        <v>782</v>
      </c>
      <c r="G3" s="79" t="s">
        <v>13</v>
      </c>
      <c r="H3" s="79" t="str">
        <f>VLOOKUP(G3,MetaData!$A$2:$C$13,3,false)</f>
        <v>Selly Amalia, S.Hum</v>
      </c>
      <c r="I3" s="79" t="s">
        <v>410</v>
      </c>
      <c r="J3" s="79" t="str">
        <f>VLOOKUP(I3,MetaData!$E$2:$G$40,3,false)</f>
        <v>Rony</v>
      </c>
      <c r="K3" s="80"/>
    </row>
    <row r="4" ht="15.75" customHeight="1">
      <c r="A4" s="81">
        <v>4.0</v>
      </c>
      <c r="B4" s="77">
        <v>2.0</v>
      </c>
      <c r="C4" s="77" t="s">
        <v>783</v>
      </c>
      <c r="D4" s="77">
        <v>2.52610048E8</v>
      </c>
      <c r="E4" s="78" t="s">
        <v>763</v>
      </c>
      <c r="F4" s="77" t="s">
        <v>784</v>
      </c>
      <c r="G4" s="82" t="s">
        <v>13</v>
      </c>
      <c r="H4" s="82" t="str">
        <f>VLOOKUP(G4,MetaData!$A$2:$C$13,3,false)</f>
        <v>Selly Amalia, S.Hum</v>
      </c>
      <c r="I4" s="82" t="s">
        <v>762</v>
      </c>
      <c r="J4" s="82" t="str">
        <f>VLOOKUP(I4,MetaData!$E$2:$G$40,3,false)</f>
        <v>Syifa</v>
      </c>
      <c r="K4" s="83"/>
    </row>
    <row r="5" ht="15.75" customHeight="1">
      <c r="A5" s="76">
        <v>5.0</v>
      </c>
      <c r="B5" s="77">
        <v>3.0</v>
      </c>
      <c r="C5" s="77" t="s">
        <v>785</v>
      </c>
      <c r="D5" s="77">
        <v>2.52610053E8</v>
      </c>
      <c r="E5" s="78" t="s">
        <v>764</v>
      </c>
      <c r="F5" s="77" t="s">
        <v>784</v>
      </c>
      <c r="G5" s="79" t="s">
        <v>13</v>
      </c>
      <c r="H5" s="79" t="str">
        <f>VLOOKUP(G5,MetaData!$A$2:$C$13,3,false)</f>
        <v>Selly Amalia, S.Hum</v>
      </c>
      <c r="I5" s="79" t="s">
        <v>762</v>
      </c>
      <c r="J5" s="79" t="str">
        <f>VLOOKUP(I5,MetaData!$E$2:$G$40,3,false)</f>
        <v>Syifa</v>
      </c>
      <c r="K5" s="80"/>
    </row>
    <row r="6" ht="15.75" customHeight="1">
      <c r="A6" s="81">
        <v>6.0</v>
      </c>
      <c r="B6" s="77">
        <v>4.0</v>
      </c>
      <c r="C6" s="77" t="s">
        <v>786</v>
      </c>
      <c r="D6" s="77">
        <v>2.52610082E8</v>
      </c>
      <c r="E6" s="78" t="s">
        <v>412</v>
      </c>
      <c r="F6" s="77" t="s">
        <v>782</v>
      </c>
      <c r="G6" s="82" t="s">
        <v>13</v>
      </c>
      <c r="H6" s="82" t="str">
        <f>VLOOKUP(G6,MetaData!$A$2:$C$13,3,false)</f>
        <v>Selly Amalia, S.Hum</v>
      </c>
      <c r="I6" s="82" t="s">
        <v>410</v>
      </c>
      <c r="J6" s="82" t="str">
        <f>VLOOKUP(I6,MetaData!$E$2:$G$40,3,false)</f>
        <v>Rony</v>
      </c>
      <c r="K6" s="83"/>
    </row>
    <row r="7" ht="15.75" customHeight="1">
      <c r="A7" s="76">
        <v>7.0</v>
      </c>
      <c r="B7" s="77">
        <v>5.0</v>
      </c>
      <c r="C7" s="77" t="s">
        <v>787</v>
      </c>
      <c r="D7" s="77">
        <v>2.52610083E8</v>
      </c>
      <c r="E7" s="78" t="s">
        <v>765</v>
      </c>
      <c r="F7" s="77" t="s">
        <v>784</v>
      </c>
      <c r="G7" s="79" t="s">
        <v>13</v>
      </c>
      <c r="H7" s="79" t="str">
        <f>VLOOKUP(G7,MetaData!$A$2:$C$13,3,false)</f>
        <v>Selly Amalia, S.Hum</v>
      </c>
      <c r="I7" s="79" t="s">
        <v>762</v>
      </c>
      <c r="J7" s="79" t="str">
        <f>VLOOKUP(I7,MetaData!$E$2:$G$40,3,false)</f>
        <v>Syifa</v>
      </c>
      <c r="K7" s="80"/>
    </row>
    <row r="8" ht="15.75" customHeight="1">
      <c r="A8" s="81">
        <v>8.0</v>
      </c>
      <c r="B8" s="77">
        <v>6.0</v>
      </c>
      <c r="C8" s="77" t="s">
        <v>788</v>
      </c>
      <c r="D8" s="77">
        <v>2.52610087E8</v>
      </c>
      <c r="E8" s="78" t="s">
        <v>766</v>
      </c>
      <c r="F8" s="77" t="s">
        <v>784</v>
      </c>
      <c r="G8" s="82" t="s">
        <v>13</v>
      </c>
      <c r="H8" s="82" t="str">
        <f>VLOOKUP(G8,MetaData!$A$2:$C$13,3,false)</f>
        <v>Selly Amalia, S.Hum</v>
      </c>
      <c r="I8" s="82" t="s">
        <v>762</v>
      </c>
      <c r="J8" s="82" t="str">
        <f>VLOOKUP(I8,MetaData!$E$2:$G$40,3,false)</f>
        <v>Syifa</v>
      </c>
      <c r="K8" s="83"/>
    </row>
    <row r="9" ht="15.75" customHeight="1">
      <c r="A9" s="76">
        <v>9.0</v>
      </c>
      <c r="B9" s="77">
        <v>7.0</v>
      </c>
      <c r="C9" s="77" t="s">
        <v>789</v>
      </c>
      <c r="D9" s="77">
        <v>2.52610088E8</v>
      </c>
      <c r="E9" s="78" t="s">
        <v>767</v>
      </c>
      <c r="F9" s="77" t="s">
        <v>784</v>
      </c>
      <c r="G9" s="79" t="s">
        <v>13</v>
      </c>
      <c r="H9" s="79" t="str">
        <f>VLOOKUP(G9,MetaData!$A$2:$C$13,3,false)</f>
        <v>Selly Amalia, S.Hum</v>
      </c>
      <c r="I9" s="79" t="s">
        <v>762</v>
      </c>
      <c r="J9" s="79" t="str">
        <f>VLOOKUP(I9,MetaData!$E$2:$G$40,3,false)</f>
        <v>Syifa</v>
      </c>
      <c r="K9" s="80"/>
    </row>
    <row r="10" ht="15.75" customHeight="1">
      <c r="A10" s="81">
        <v>10.0</v>
      </c>
      <c r="B10" s="77">
        <v>8.0</v>
      </c>
      <c r="C10" s="77" t="s">
        <v>790</v>
      </c>
      <c r="D10" s="77">
        <v>2.526101E8</v>
      </c>
      <c r="E10" s="78" t="s">
        <v>768</v>
      </c>
      <c r="F10" s="77" t="s">
        <v>784</v>
      </c>
      <c r="G10" s="82" t="s">
        <v>13</v>
      </c>
      <c r="H10" s="82" t="str">
        <f>VLOOKUP(G10,MetaData!$A$2:$C$13,3,false)</f>
        <v>Selly Amalia, S.Hum</v>
      </c>
      <c r="I10" s="82" t="s">
        <v>762</v>
      </c>
      <c r="J10" s="82" t="str">
        <f>VLOOKUP(I10,MetaData!$E$2:$G$40,3,false)</f>
        <v>Syifa</v>
      </c>
      <c r="K10" s="83"/>
    </row>
    <row r="11" ht="15.75" customHeight="1">
      <c r="A11" s="76">
        <v>11.0</v>
      </c>
      <c r="B11" s="77">
        <v>9.0</v>
      </c>
      <c r="C11" s="77" t="s">
        <v>791</v>
      </c>
      <c r="D11" s="77">
        <v>2.52610101E8</v>
      </c>
      <c r="E11" s="78" t="s">
        <v>769</v>
      </c>
      <c r="F11" s="77" t="s">
        <v>784</v>
      </c>
      <c r="G11" s="79" t="s">
        <v>13</v>
      </c>
      <c r="H11" s="79" t="str">
        <f>VLOOKUP(G11,MetaData!$A$2:$C$13,3,false)</f>
        <v>Selly Amalia, S.Hum</v>
      </c>
      <c r="I11" s="79" t="s">
        <v>762</v>
      </c>
      <c r="J11" s="79" t="str">
        <f>VLOOKUP(I11,MetaData!$E$2:$G$40,3,false)</f>
        <v>Syifa</v>
      </c>
      <c r="K11" s="80"/>
    </row>
    <row r="12" ht="15.75" customHeight="1">
      <c r="A12" s="81">
        <v>12.0</v>
      </c>
      <c r="B12" s="77">
        <v>10.0</v>
      </c>
      <c r="C12" s="77" t="s">
        <v>792</v>
      </c>
      <c r="D12" s="77">
        <v>2.52610122E8</v>
      </c>
      <c r="E12" s="78" t="s">
        <v>448</v>
      </c>
      <c r="F12" s="77" t="s">
        <v>784</v>
      </c>
      <c r="G12" s="82" t="s">
        <v>13</v>
      </c>
      <c r="H12" s="82" t="str">
        <f>VLOOKUP(G12,MetaData!$A$2:$C$13,3,false)</f>
        <v>Selly Amalia, S.Hum</v>
      </c>
      <c r="I12" s="82" t="s">
        <v>443</v>
      </c>
      <c r="J12" s="82" t="str">
        <f>VLOOKUP(I12,MetaData!$E$2:$G$40,3,false)</f>
        <v>Ayun</v>
      </c>
      <c r="K12" s="83"/>
    </row>
    <row r="13" ht="15.75" customHeight="1">
      <c r="A13" s="76">
        <v>13.0</v>
      </c>
      <c r="B13" s="77">
        <v>11.0</v>
      </c>
      <c r="C13" s="77" t="s">
        <v>793</v>
      </c>
      <c r="D13" s="77">
        <v>2.52610126E8</v>
      </c>
      <c r="E13" s="78" t="s">
        <v>413</v>
      </c>
      <c r="F13" s="77" t="s">
        <v>782</v>
      </c>
      <c r="G13" s="79" t="s">
        <v>13</v>
      </c>
      <c r="H13" s="79" t="str">
        <f>VLOOKUP(G13,MetaData!$A$2:$C$13,3,false)</f>
        <v>Selly Amalia, S.Hum</v>
      </c>
      <c r="I13" s="79" t="s">
        <v>410</v>
      </c>
      <c r="J13" s="79" t="str">
        <f>VLOOKUP(I13,MetaData!$E$2:$G$40,3,false)</f>
        <v>Rony</v>
      </c>
      <c r="K13" s="80"/>
    </row>
    <row r="14" ht="15.75" customHeight="1">
      <c r="A14" s="81">
        <v>14.0</v>
      </c>
      <c r="B14" s="77">
        <v>12.0</v>
      </c>
      <c r="C14" s="77" t="s">
        <v>794</v>
      </c>
      <c r="D14" s="77">
        <v>2.5261013E8</v>
      </c>
      <c r="E14" s="78" t="s">
        <v>770</v>
      </c>
      <c r="F14" s="77" t="s">
        <v>784</v>
      </c>
      <c r="G14" s="82" t="s">
        <v>13</v>
      </c>
      <c r="H14" s="82" t="str">
        <f>VLOOKUP(G14,MetaData!$A$2:$C$13,3,false)</f>
        <v>Selly Amalia, S.Hum</v>
      </c>
      <c r="I14" s="82" t="s">
        <v>762</v>
      </c>
      <c r="J14" s="82" t="str">
        <f>VLOOKUP(I14,MetaData!$E$2:$G$40,3,false)</f>
        <v>Syifa</v>
      </c>
      <c r="K14" s="83"/>
    </row>
    <row r="15" ht="15.75" customHeight="1">
      <c r="A15" s="76">
        <v>15.0</v>
      </c>
      <c r="B15" s="77">
        <v>13.0</v>
      </c>
      <c r="C15" s="77" t="s">
        <v>795</v>
      </c>
      <c r="D15" s="77">
        <v>2.52610171E8</v>
      </c>
      <c r="E15" s="78" t="s">
        <v>414</v>
      </c>
      <c r="F15" s="77" t="s">
        <v>782</v>
      </c>
      <c r="G15" s="79" t="s">
        <v>13</v>
      </c>
      <c r="H15" s="79" t="str">
        <f>VLOOKUP(G15,MetaData!$A$2:$C$13,3,false)</f>
        <v>Selly Amalia, S.Hum</v>
      </c>
      <c r="I15" s="79" t="s">
        <v>410</v>
      </c>
      <c r="J15" s="79" t="str">
        <f>VLOOKUP(I15,MetaData!$E$2:$G$40,3,false)</f>
        <v>Rony</v>
      </c>
      <c r="K15" s="80"/>
    </row>
    <row r="16" ht="15.75" customHeight="1">
      <c r="A16" s="81">
        <v>16.0</v>
      </c>
      <c r="B16" s="77">
        <v>14.0</v>
      </c>
      <c r="C16" s="77" t="s">
        <v>796</v>
      </c>
      <c r="D16" s="77">
        <v>2.52610175E8</v>
      </c>
      <c r="E16" s="78" t="s">
        <v>771</v>
      </c>
      <c r="F16" s="77" t="s">
        <v>784</v>
      </c>
      <c r="G16" s="82" t="s">
        <v>13</v>
      </c>
      <c r="H16" s="82" t="str">
        <f>VLOOKUP(G16,MetaData!$A$2:$C$13,3,false)</f>
        <v>Selly Amalia, S.Hum</v>
      </c>
      <c r="I16" s="82" t="s">
        <v>762</v>
      </c>
      <c r="J16" s="82" t="str">
        <f>VLOOKUP(I16,MetaData!$E$2:$G$40,3,false)</f>
        <v>Syifa</v>
      </c>
      <c r="K16" s="83"/>
    </row>
    <row r="17" ht="15.75" customHeight="1">
      <c r="A17" s="76">
        <v>17.0</v>
      </c>
      <c r="B17" s="77">
        <v>15.0</v>
      </c>
      <c r="C17" s="77" t="s">
        <v>797</v>
      </c>
      <c r="D17" s="77">
        <v>2.52610193E8</v>
      </c>
      <c r="E17" s="78" t="s">
        <v>415</v>
      </c>
      <c r="F17" s="77" t="s">
        <v>782</v>
      </c>
      <c r="G17" s="79" t="s">
        <v>13</v>
      </c>
      <c r="H17" s="79" t="str">
        <f>VLOOKUP(G17,MetaData!$A$2:$C$13,3,false)</f>
        <v>Selly Amalia, S.Hum</v>
      </c>
      <c r="I17" s="79" t="s">
        <v>410</v>
      </c>
      <c r="J17" s="79" t="str">
        <f>VLOOKUP(I17,MetaData!$E$2:$G$40,3,false)</f>
        <v>Rony</v>
      </c>
      <c r="K17" s="80"/>
    </row>
    <row r="18" ht="15.75" customHeight="1">
      <c r="A18" s="81">
        <v>18.0</v>
      </c>
      <c r="B18" s="77">
        <v>16.0</v>
      </c>
      <c r="C18" s="77" t="s">
        <v>798</v>
      </c>
      <c r="D18" s="77">
        <v>2.52610202E8</v>
      </c>
      <c r="E18" s="78" t="s">
        <v>416</v>
      </c>
      <c r="F18" s="77" t="s">
        <v>782</v>
      </c>
      <c r="G18" s="82" t="s">
        <v>13</v>
      </c>
      <c r="H18" s="82" t="str">
        <f>VLOOKUP(G18,MetaData!$A$2:$C$13,3,false)</f>
        <v>Selly Amalia, S.Hum</v>
      </c>
      <c r="I18" s="82" t="s">
        <v>410</v>
      </c>
      <c r="J18" s="82" t="str">
        <f>VLOOKUP(I18,MetaData!$E$2:$G$40,3,false)</f>
        <v>Rony</v>
      </c>
      <c r="K18" s="83"/>
    </row>
    <row r="19" ht="15.75" customHeight="1">
      <c r="A19" s="76">
        <v>19.0</v>
      </c>
      <c r="B19" s="77">
        <v>17.0</v>
      </c>
      <c r="C19" s="77" t="s">
        <v>799</v>
      </c>
      <c r="D19" s="77">
        <v>2.52610206E8</v>
      </c>
      <c r="E19" s="78" t="s">
        <v>772</v>
      </c>
      <c r="F19" s="77" t="s">
        <v>784</v>
      </c>
      <c r="G19" s="79" t="s">
        <v>13</v>
      </c>
      <c r="H19" s="79" t="str">
        <f>VLOOKUP(G19,MetaData!$A$2:$C$13,3,false)</f>
        <v>Selly Amalia, S.Hum</v>
      </c>
      <c r="I19" s="79" t="s">
        <v>762</v>
      </c>
      <c r="J19" s="79" t="str">
        <f>VLOOKUP(I19,MetaData!$E$2:$G$40,3,false)</f>
        <v>Syifa</v>
      </c>
      <c r="K19" s="80"/>
    </row>
    <row r="20" ht="15.75" customHeight="1">
      <c r="A20" s="81">
        <v>20.0</v>
      </c>
      <c r="B20" s="77">
        <v>18.0</v>
      </c>
      <c r="C20" s="77" t="s">
        <v>800</v>
      </c>
      <c r="D20" s="77">
        <v>2.52610224E8</v>
      </c>
      <c r="E20" s="78" t="s">
        <v>773</v>
      </c>
      <c r="F20" s="77" t="s">
        <v>784</v>
      </c>
      <c r="G20" s="82" t="s">
        <v>13</v>
      </c>
      <c r="H20" s="82" t="str">
        <f>VLOOKUP(G20,MetaData!$A$2:$C$13,3,false)</f>
        <v>Selly Amalia, S.Hum</v>
      </c>
      <c r="I20" s="82" t="s">
        <v>762</v>
      </c>
      <c r="J20" s="82" t="str">
        <f>VLOOKUP(I20,MetaData!$E$2:$G$40,3,false)</f>
        <v>Syifa</v>
      </c>
      <c r="K20" s="83"/>
    </row>
    <row r="21" ht="15.75" customHeight="1">
      <c r="A21" s="76">
        <v>21.0</v>
      </c>
      <c r="B21" s="77">
        <v>19.0</v>
      </c>
      <c r="C21" s="77" t="s">
        <v>801</v>
      </c>
      <c r="D21" s="77">
        <v>2.52610239E8</v>
      </c>
      <c r="E21" s="78" t="s">
        <v>602</v>
      </c>
      <c r="F21" s="77" t="s">
        <v>784</v>
      </c>
      <c r="G21" s="79" t="s">
        <v>13</v>
      </c>
      <c r="H21" s="79" t="str">
        <f>VLOOKUP(G21,MetaData!$A$2:$C$13,3,false)</f>
        <v>Selly Amalia, S.Hum</v>
      </c>
      <c r="I21" s="79" t="s">
        <v>601</v>
      </c>
      <c r="J21" s="79" t="str">
        <f>VLOOKUP(I21,MetaData!$E$2:$G$40,3,false)</f>
        <v>Oshe (XI)</v>
      </c>
      <c r="K21" s="80"/>
    </row>
    <row r="22" ht="15.75" customHeight="1">
      <c r="A22" s="81">
        <v>22.0</v>
      </c>
      <c r="B22" s="77">
        <v>20.0</v>
      </c>
      <c r="C22" s="77" t="s">
        <v>802</v>
      </c>
      <c r="D22" s="77">
        <v>2.52610246E8</v>
      </c>
      <c r="E22" s="78" t="s">
        <v>603</v>
      </c>
      <c r="F22" s="77" t="s">
        <v>784</v>
      </c>
      <c r="G22" s="82" t="s">
        <v>13</v>
      </c>
      <c r="H22" s="82" t="str">
        <f>VLOOKUP(G22,MetaData!$A$2:$C$13,3,false)</f>
        <v>Selly Amalia, S.Hum</v>
      </c>
      <c r="I22" s="82" t="s">
        <v>601</v>
      </c>
      <c r="J22" s="82" t="str">
        <f>VLOOKUP(I22,MetaData!$E$2:$G$40,3,false)</f>
        <v>Oshe (XI)</v>
      </c>
      <c r="K22" s="83"/>
    </row>
    <row r="23" ht="15.75" customHeight="1">
      <c r="A23" s="76">
        <v>23.0</v>
      </c>
      <c r="B23" s="77">
        <v>21.0</v>
      </c>
      <c r="C23" s="77" t="s">
        <v>803</v>
      </c>
      <c r="D23" s="77">
        <v>2.52610311E8</v>
      </c>
      <c r="E23" s="78" t="s">
        <v>604</v>
      </c>
      <c r="F23" s="77" t="s">
        <v>784</v>
      </c>
      <c r="G23" s="79" t="s">
        <v>13</v>
      </c>
      <c r="H23" s="79" t="str">
        <f>VLOOKUP(G23,MetaData!$A$2:$C$13,3,false)</f>
        <v>Selly Amalia, S.Hum</v>
      </c>
      <c r="I23" s="79" t="s">
        <v>601</v>
      </c>
      <c r="J23" s="79" t="str">
        <f>VLOOKUP(I23,MetaData!$E$2:$G$40,3,false)</f>
        <v>Oshe (XI)</v>
      </c>
      <c r="K23" s="80"/>
    </row>
    <row r="24" ht="15.75" customHeight="1">
      <c r="A24" s="81">
        <v>24.0</v>
      </c>
      <c r="B24" s="77">
        <v>22.0</v>
      </c>
      <c r="C24" s="77" t="s">
        <v>804</v>
      </c>
      <c r="D24" s="77">
        <v>2.52610316E8</v>
      </c>
      <c r="E24" s="78" t="s">
        <v>417</v>
      </c>
      <c r="F24" s="77" t="s">
        <v>782</v>
      </c>
      <c r="G24" s="82" t="s">
        <v>13</v>
      </c>
      <c r="H24" s="82" t="str">
        <f>VLOOKUP(G24,MetaData!$A$2:$C$13,3,false)</f>
        <v>Selly Amalia, S.Hum</v>
      </c>
      <c r="I24" s="82" t="s">
        <v>410</v>
      </c>
      <c r="J24" s="82" t="str">
        <f>VLOOKUP(I24,MetaData!$E$2:$G$40,3,false)</f>
        <v>Rony</v>
      </c>
      <c r="K24" s="83"/>
    </row>
    <row r="25" ht="15.75" customHeight="1">
      <c r="A25" s="76">
        <v>25.0</v>
      </c>
      <c r="B25" s="77">
        <v>23.0</v>
      </c>
      <c r="C25" s="77" t="s">
        <v>805</v>
      </c>
      <c r="D25" s="77">
        <v>2.5261033E8</v>
      </c>
      <c r="E25" s="78" t="s">
        <v>418</v>
      </c>
      <c r="F25" s="77" t="s">
        <v>782</v>
      </c>
      <c r="G25" s="79" t="s">
        <v>13</v>
      </c>
      <c r="H25" s="79" t="str">
        <f>VLOOKUP(G25,MetaData!$A$2:$C$13,3,false)</f>
        <v>Selly Amalia, S.Hum</v>
      </c>
      <c r="I25" s="79" t="s">
        <v>410</v>
      </c>
      <c r="J25" s="79" t="str">
        <f>VLOOKUP(I25,MetaData!$E$2:$G$40,3,false)</f>
        <v>Rony</v>
      </c>
      <c r="K25" s="80"/>
    </row>
    <row r="26" ht="15.75" customHeight="1">
      <c r="A26" s="81">
        <v>26.0</v>
      </c>
      <c r="B26" s="77">
        <v>24.0</v>
      </c>
      <c r="C26" s="77" t="s">
        <v>806</v>
      </c>
      <c r="D26" s="77">
        <v>2.52610334E8</v>
      </c>
      <c r="E26" s="78" t="s">
        <v>231</v>
      </c>
      <c r="F26" s="77" t="s">
        <v>782</v>
      </c>
      <c r="G26" s="82" t="s">
        <v>13</v>
      </c>
      <c r="H26" s="82" t="str">
        <f>VLOOKUP(G26,MetaData!$A$2:$C$13,3,false)</f>
        <v>Selly Amalia, S.Hum</v>
      </c>
      <c r="I26" s="82" t="s">
        <v>220</v>
      </c>
      <c r="J26" s="82" t="str">
        <f>VLOOKUP(I26,MetaData!$E$2:$G$40,3,false)</f>
        <v>Rekhsa</v>
      </c>
      <c r="K26" s="83"/>
    </row>
    <row r="27" ht="15.75" customHeight="1">
      <c r="A27" s="76">
        <v>27.0</v>
      </c>
      <c r="B27" s="77">
        <v>25.0</v>
      </c>
      <c r="C27" s="77" t="s">
        <v>807</v>
      </c>
      <c r="D27" s="77">
        <v>2.52610343E8</v>
      </c>
      <c r="E27" s="78" t="s">
        <v>419</v>
      </c>
      <c r="F27" s="77" t="s">
        <v>782</v>
      </c>
      <c r="G27" s="79" t="s">
        <v>13</v>
      </c>
      <c r="H27" s="79" t="str">
        <f>VLOOKUP(G27,MetaData!$A$2:$C$13,3,false)</f>
        <v>Selly Amalia, S.Hum</v>
      </c>
      <c r="I27" s="79" t="s">
        <v>410</v>
      </c>
      <c r="J27" s="79" t="str">
        <f>VLOOKUP(I27,MetaData!$E$2:$G$40,3,false)</f>
        <v>Rony</v>
      </c>
      <c r="K27" s="80"/>
    </row>
    <row r="28" ht="15.75" customHeight="1">
      <c r="A28" s="81">
        <v>28.0</v>
      </c>
      <c r="B28" s="77">
        <v>26.0</v>
      </c>
      <c r="C28" s="77" t="s">
        <v>808</v>
      </c>
      <c r="D28" s="77">
        <v>2.52610351E8</v>
      </c>
      <c r="E28" s="78" t="s">
        <v>420</v>
      </c>
      <c r="F28" s="77" t="s">
        <v>782</v>
      </c>
      <c r="G28" s="82" t="s">
        <v>13</v>
      </c>
      <c r="H28" s="82" t="str">
        <f>VLOOKUP(G28,MetaData!$A$2:$C$13,3,false)</f>
        <v>Selly Amalia, S.Hum</v>
      </c>
      <c r="I28" s="82" t="s">
        <v>410</v>
      </c>
      <c r="J28" s="82" t="str">
        <f>VLOOKUP(I28,MetaData!$E$2:$G$40,3,false)</f>
        <v>Rony</v>
      </c>
      <c r="K28" s="83"/>
    </row>
    <row r="29" ht="15.75" customHeight="1">
      <c r="A29" s="76">
        <v>29.0</v>
      </c>
      <c r="B29" s="77">
        <v>27.0</v>
      </c>
      <c r="C29" s="77" t="s">
        <v>809</v>
      </c>
      <c r="D29" s="77">
        <v>2.52610369E8</v>
      </c>
      <c r="E29" s="78" t="s">
        <v>421</v>
      </c>
      <c r="F29" s="77" t="s">
        <v>782</v>
      </c>
      <c r="G29" s="79" t="s">
        <v>13</v>
      </c>
      <c r="H29" s="79" t="str">
        <f>VLOOKUP(G29,MetaData!$A$2:$C$13,3,false)</f>
        <v>Selly Amalia, S.Hum</v>
      </c>
      <c r="I29" s="79" t="s">
        <v>410</v>
      </c>
      <c r="J29" s="79" t="str">
        <f>VLOOKUP(I29,MetaData!$E$2:$G$40,3,false)</f>
        <v>Rony</v>
      </c>
      <c r="K29" s="80"/>
    </row>
    <row r="30" ht="15.75" customHeight="1">
      <c r="A30" s="81">
        <v>30.0</v>
      </c>
      <c r="B30" s="77">
        <v>28.0</v>
      </c>
      <c r="C30" s="77" t="s">
        <v>810</v>
      </c>
      <c r="D30" s="77">
        <v>2.52610371E8</v>
      </c>
      <c r="E30" s="78" t="s">
        <v>422</v>
      </c>
      <c r="F30" s="77" t="s">
        <v>782</v>
      </c>
      <c r="G30" s="82" t="s">
        <v>13</v>
      </c>
      <c r="H30" s="82" t="str">
        <f>VLOOKUP(G30,MetaData!$A$2:$C$13,3,false)</f>
        <v>Selly Amalia, S.Hum</v>
      </c>
      <c r="I30" s="82" t="s">
        <v>410</v>
      </c>
      <c r="J30" s="82" t="str">
        <f>VLOOKUP(I30,MetaData!$E$2:$G$40,3,false)</f>
        <v>Rony</v>
      </c>
      <c r="K30" s="83"/>
    </row>
    <row r="31" ht="15.75" customHeight="1">
      <c r="A31" s="76">
        <v>31.0</v>
      </c>
      <c r="B31" s="77">
        <v>29.0</v>
      </c>
      <c r="C31" s="77" t="s">
        <v>811</v>
      </c>
      <c r="D31" s="77">
        <v>2.5261039E8</v>
      </c>
      <c r="E31" s="78" t="s">
        <v>605</v>
      </c>
      <c r="F31" s="77" t="s">
        <v>784</v>
      </c>
      <c r="G31" s="79" t="s">
        <v>13</v>
      </c>
      <c r="H31" s="79" t="str">
        <f>VLOOKUP(G31,MetaData!$A$2:$C$13,3,false)</f>
        <v>Selly Amalia, S.Hum</v>
      </c>
      <c r="I31" s="79" t="s">
        <v>601</v>
      </c>
      <c r="J31" s="79" t="str">
        <f>VLOOKUP(I31,MetaData!$E$2:$G$40,3,false)</f>
        <v>Oshe (XI)</v>
      </c>
      <c r="K31" s="80"/>
    </row>
    <row r="32" ht="15.75" customHeight="1">
      <c r="A32" s="81">
        <v>32.0</v>
      </c>
      <c r="B32" s="77">
        <v>30.0</v>
      </c>
      <c r="C32" s="77" t="s">
        <v>812</v>
      </c>
      <c r="D32" s="77">
        <v>2.52610393E8</v>
      </c>
      <c r="E32" s="78" t="s">
        <v>606</v>
      </c>
      <c r="F32" s="77" t="s">
        <v>784</v>
      </c>
      <c r="G32" s="82" t="s">
        <v>13</v>
      </c>
      <c r="H32" s="82" t="str">
        <f>VLOOKUP(G32,MetaData!$A$2:$C$13,3,false)</f>
        <v>Selly Amalia, S.Hum</v>
      </c>
      <c r="I32" s="82" t="s">
        <v>601</v>
      </c>
      <c r="J32" s="82" t="str">
        <f>VLOOKUP(I32,MetaData!$E$2:$G$40,3,false)</f>
        <v>Oshe (XI)</v>
      </c>
      <c r="K32" s="83"/>
    </row>
    <row r="33" ht="15.75" customHeight="1">
      <c r="A33" s="76">
        <v>33.0</v>
      </c>
      <c r="B33" s="77">
        <v>31.0</v>
      </c>
      <c r="C33" s="77" t="s">
        <v>813</v>
      </c>
      <c r="D33" s="77">
        <v>2.52610423E8</v>
      </c>
      <c r="E33" s="78" t="s">
        <v>607</v>
      </c>
      <c r="F33" s="77" t="s">
        <v>784</v>
      </c>
      <c r="G33" s="79" t="s">
        <v>13</v>
      </c>
      <c r="H33" s="79" t="str">
        <f>VLOOKUP(G33,MetaData!$A$2:$C$13,3,false)</f>
        <v>Selly Amalia, S.Hum</v>
      </c>
      <c r="I33" s="79" t="s">
        <v>601</v>
      </c>
      <c r="J33" s="79" t="str">
        <f>VLOOKUP(I33,MetaData!$E$2:$G$40,3,false)</f>
        <v>Oshe (XI)</v>
      </c>
      <c r="K33" s="80"/>
    </row>
    <row r="34" ht="15.75" customHeight="1">
      <c r="A34" s="81">
        <v>34.0</v>
      </c>
      <c r="B34" s="77">
        <v>32.0</v>
      </c>
      <c r="C34" s="77" t="s">
        <v>814</v>
      </c>
      <c r="D34" s="77">
        <v>2.52610424E8</v>
      </c>
      <c r="E34" s="78" t="s">
        <v>608</v>
      </c>
      <c r="F34" s="77" t="s">
        <v>784</v>
      </c>
      <c r="G34" s="82" t="s">
        <v>13</v>
      </c>
      <c r="H34" s="82" t="str">
        <f>VLOOKUP(G34,MetaData!$A$2:$C$13,3,false)</f>
        <v>Selly Amalia, S.Hum</v>
      </c>
      <c r="I34" s="82" t="s">
        <v>601</v>
      </c>
      <c r="J34" s="82" t="str">
        <f>VLOOKUP(I34,MetaData!$E$2:$G$40,3,false)</f>
        <v>Oshe (XI)</v>
      </c>
      <c r="K34" s="83"/>
    </row>
    <row r="35" ht="15.75" customHeight="1">
      <c r="A35" s="76">
        <v>35.0</v>
      </c>
      <c r="B35" s="77">
        <v>33.0</v>
      </c>
      <c r="C35" s="77" t="s">
        <v>815</v>
      </c>
      <c r="D35" s="77">
        <v>2.52610436E8</v>
      </c>
      <c r="E35" s="78" t="s">
        <v>423</v>
      </c>
      <c r="F35" s="77" t="s">
        <v>782</v>
      </c>
      <c r="G35" s="79" t="s">
        <v>13</v>
      </c>
      <c r="H35" s="79" t="str">
        <f>VLOOKUP(G35,MetaData!$A$2:$C$13,3,false)</f>
        <v>Selly Amalia, S.Hum</v>
      </c>
      <c r="I35" s="79" t="s">
        <v>410</v>
      </c>
      <c r="J35" s="79" t="str">
        <f>VLOOKUP(I35,MetaData!$E$2:$G$40,3,false)</f>
        <v>Rony</v>
      </c>
      <c r="K35" s="80"/>
    </row>
    <row r="36" ht="15.75" customHeight="1">
      <c r="A36" s="81">
        <v>36.0</v>
      </c>
      <c r="B36" s="77">
        <v>34.0</v>
      </c>
      <c r="C36" s="77" t="s">
        <v>816</v>
      </c>
      <c r="D36" s="77">
        <v>2.52610452E8</v>
      </c>
      <c r="E36" s="78" t="s">
        <v>424</v>
      </c>
      <c r="F36" s="77" t="s">
        <v>782</v>
      </c>
      <c r="G36" s="82" t="s">
        <v>13</v>
      </c>
      <c r="H36" s="82" t="str">
        <f>VLOOKUP(G36,MetaData!$A$2:$C$13,3,false)</f>
        <v>Selly Amalia, S.Hum</v>
      </c>
      <c r="I36" s="82" t="s">
        <v>410</v>
      </c>
      <c r="J36" s="82" t="str">
        <f>VLOOKUP(I36,MetaData!$E$2:$G$40,3,false)</f>
        <v>Rony</v>
      </c>
      <c r="K36" s="83"/>
    </row>
    <row r="37" ht="15.75" customHeight="1">
      <c r="A37" s="76">
        <v>37.0</v>
      </c>
      <c r="B37" s="77">
        <v>35.0</v>
      </c>
      <c r="C37" s="77" t="s">
        <v>817</v>
      </c>
      <c r="D37" s="77">
        <v>2.52610454E8</v>
      </c>
      <c r="E37" s="78" t="s">
        <v>425</v>
      </c>
      <c r="F37" s="77" t="s">
        <v>782</v>
      </c>
      <c r="G37" s="79" t="s">
        <v>13</v>
      </c>
      <c r="H37" s="79" t="str">
        <f>VLOOKUP(G37,MetaData!$A$2:$C$13,3,false)</f>
        <v>Selly Amalia, S.Hum</v>
      </c>
      <c r="I37" s="79" t="s">
        <v>410</v>
      </c>
      <c r="J37" s="79" t="str">
        <f>VLOOKUP(I37,MetaData!$E$2:$G$40,3,false)</f>
        <v>Rony</v>
      </c>
      <c r="K37" s="80"/>
    </row>
    <row r="38" ht="15.75" customHeight="1">
      <c r="A38" s="81">
        <v>38.0</v>
      </c>
      <c r="B38" s="77">
        <v>36.0</v>
      </c>
      <c r="C38" s="77" t="s">
        <v>818</v>
      </c>
      <c r="D38" s="77">
        <v>2.52610476E8</v>
      </c>
      <c r="E38" s="78" t="s">
        <v>426</v>
      </c>
      <c r="F38" s="77" t="s">
        <v>782</v>
      </c>
      <c r="G38" s="82" t="s">
        <v>13</v>
      </c>
      <c r="H38" s="82" t="str">
        <f>VLOOKUP(G38,MetaData!$A$2:$C$13,3,false)</f>
        <v>Selly Amalia, S.Hum</v>
      </c>
      <c r="I38" s="82" t="s">
        <v>410</v>
      </c>
      <c r="J38" s="82" t="str">
        <f>VLOOKUP(I38,MetaData!$E$2:$G$40,3,false)</f>
        <v>Rony</v>
      </c>
      <c r="K38" s="83"/>
    </row>
    <row r="39" ht="15.75" customHeight="1">
      <c r="A39" s="76">
        <v>39.0</v>
      </c>
      <c r="B39" s="77">
        <v>37.0</v>
      </c>
      <c r="C39" s="77" t="s">
        <v>819</v>
      </c>
      <c r="D39" s="77">
        <v>2.52610477E8</v>
      </c>
      <c r="E39" s="78" t="s">
        <v>454</v>
      </c>
      <c r="F39" s="77" t="s">
        <v>784</v>
      </c>
      <c r="G39" s="79" t="s">
        <v>13</v>
      </c>
      <c r="H39" s="79" t="str">
        <f>VLOOKUP(G39,MetaData!$A$2:$C$13,3,false)</f>
        <v>Selly Amalia, S.Hum</v>
      </c>
      <c r="I39" s="79" t="s">
        <v>443</v>
      </c>
      <c r="J39" s="79" t="str">
        <f>VLOOKUP(I39,MetaData!$E$2:$G$40,3,false)</f>
        <v>Ayun</v>
      </c>
      <c r="K39" s="80"/>
    </row>
    <row r="40" ht="15.75" customHeight="1">
      <c r="A40" s="81">
        <v>40.0</v>
      </c>
      <c r="B40" s="77">
        <v>38.0</v>
      </c>
      <c r="C40" s="77" t="s">
        <v>820</v>
      </c>
      <c r="D40" s="77">
        <v>2.52610489E8</v>
      </c>
      <c r="E40" s="78" t="s">
        <v>609</v>
      </c>
      <c r="F40" s="77" t="s">
        <v>784</v>
      </c>
      <c r="G40" s="82" t="s">
        <v>13</v>
      </c>
      <c r="H40" s="82" t="str">
        <f>VLOOKUP(G40,MetaData!$A$2:$C$13,3,false)</f>
        <v>Selly Amalia, S.Hum</v>
      </c>
      <c r="I40" s="82" t="s">
        <v>601</v>
      </c>
      <c r="J40" s="82" t="str">
        <f>VLOOKUP(I40,MetaData!$E$2:$G$40,3,false)</f>
        <v>Oshe (XI)</v>
      </c>
      <c r="K40" s="83"/>
    </row>
    <row r="41" ht="15.75" customHeight="1">
      <c r="A41" s="76">
        <v>41.0</v>
      </c>
      <c r="B41" s="77">
        <v>39.0</v>
      </c>
      <c r="C41" s="77" t="s">
        <v>821</v>
      </c>
      <c r="D41" s="77">
        <v>2.52610508E8</v>
      </c>
      <c r="E41" s="78" t="s">
        <v>610</v>
      </c>
      <c r="F41" s="77" t="s">
        <v>784</v>
      </c>
      <c r="G41" s="79" t="s">
        <v>13</v>
      </c>
      <c r="H41" s="79" t="str">
        <f>VLOOKUP(G41,MetaData!$A$2:$C$13,3,false)</f>
        <v>Selly Amalia, S.Hum</v>
      </c>
      <c r="I41" s="79" t="s">
        <v>601</v>
      </c>
      <c r="J41" s="79" t="str">
        <f>VLOOKUP(I41,MetaData!$E$2:$G$40,3,false)</f>
        <v>Oshe (XI)</v>
      </c>
      <c r="K41" s="80"/>
    </row>
    <row r="42" ht="15.75" customHeight="1">
      <c r="A42" s="81">
        <v>42.0</v>
      </c>
      <c r="B42" s="77">
        <v>40.0</v>
      </c>
      <c r="C42" s="77" t="s">
        <v>822</v>
      </c>
      <c r="D42" s="77">
        <v>2.52610513E8</v>
      </c>
      <c r="E42" s="78" t="s">
        <v>611</v>
      </c>
      <c r="F42" s="77" t="s">
        <v>784</v>
      </c>
      <c r="G42" s="82" t="s">
        <v>13</v>
      </c>
      <c r="H42" s="82" t="str">
        <f>VLOOKUP(G42,MetaData!$A$2:$C$13,3,false)</f>
        <v>Selly Amalia, S.Hum</v>
      </c>
      <c r="I42" s="82" t="s">
        <v>601</v>
      </c>
      <c r="J42" s="82" t="str">
        <f>VLOOKUP(I42,MetaData!$E$2:$G$40,3,false)</f>
        <v>Oshe (XI)</v>
      </c>
      <c r="K42" s="83"/>
    </row>
    <row r="43" ht="15.75" customHeight="1">
      <c r="A43" s="76">
        <v>43.0</v>
      </c>
      <c r="B43" s="77">
        <v>41.0</v>
      </c>
      <c r="C43" s="77" t="s">
        <v>823</v>
      </c>
      <c r="D43" s="77">
        <v>2.52610564E8</v>
      </c>
      <c r="E43" s="78" t="s">
        <v>427</v>
      </c>
      <c r="F43" s="77" t="s">
        <v>782</v>
      </c>
      <c r="G43" s="79" t="s">
        <v>13</v>
      </c>
      <c r="H43" s="79" t="str">
        <f>VLOOKUP(G43,MetaData!$A$2:$C$13,3,false)</f>
        <v>Selly Amalia, S.Hum</v>
      </c>
      <c r="I43" s="79" t="s">
        <v>410</v>
      </c>
      <c r="J43" s="79" t="str">
        <f>VLOOKUP(I43,MetaData!$E$2:$G$40,3,false)</f>
        <v>Rony</v>
      </c>
      <c r="K43" s="80"/>
    </row>
    <row r="44" ht="15.75" customHeight="1">
      <c r="A44" s="81">
        <v>44.0</v>
      </c>
      <c r="B44" s="77">
        <v>42.0</v>
      </c>
      <c r="C44" s="77" t="s">
        <v>824</v>
      </c>
      <c r="D44" s="77">
        <v>2.52610566E8</v>
      </c>
      <c r="E44" s="78" t="s">
        <v>612</v>
      </c>
      <c r="F44" s="77" t="s">
        <v>784</v>
      </c>
      <c r="G44" s="82" t="s">
        <v>13</v>
      </c>
      <c r="H44" s="82" t="str">
        <f>VLOOKUP(G44,MetaData!$A$2:$C$13,3,false)</f>
        <v>Selly Amalia, S.Hum</v>
      </c>
      <c r="I44" s="82" t="s">
        <v>601</v>
      </c>
      <c r="J44" s="82" t="str">
        <f>VLOOKUP(I44,MetaData!$E$2:$G$40,3,false)</f>
        <v>Oshe (XI)</v>
      </c>
      <c r="K44" s="83"/>
    </row>
    <row r="45" ht="15.75" customHeight="1">
      <c r="A45" s="84">
        <v>52.0</v>
      </c>
      <c r="B45" s="77">
        <v>1.0</v>
      </c>
      <c r="C45" s="77" t="s">
        <v>825</v>
      </c>
      <c r="D45" s="77">
        <v>2.52610011E8</v>
      </c>
      <c r="E45" s="78" t="s">
        <v>711</v>
      </c>
      <c r="F45" s="77" t="s">
        <v>784</v>
      </c>
      <c r="G45" s="79" t="s">
        <v>21</v>
      </c>
      <c r="H45" s="79" t="str">
        <f>VLOOKUP(G45,MetaData!$A$2:$C$13,3,false)</f>
        <v>Muhammad, S.Pd</v>
      </c>
      <c r="I45" s="79" t="s">
        <v>710</v>
      </c>
      <c r="J45" s="79" t="str">
        <f>VLOOKUP(I45,MetaData!$E$2:$G$40,3,false)</f>
        <v>Rania (XII)</v>
      </c>
      <c r="K45" s="80"/>
    </row>
    <row r="46" ht="15.75" customHeight="1">
      <c r="A46" s="85">
        <v>53.0</v>
      </c>
      <c r="B46" s="77">
        <v>2.0</v>
      </c>
      <c r="C46" s="77" t="s">
        <v>826</v>
      </c>
      <c r="D46" s="77">
        <v>2.52610023E8</v>
      </c>
      <c r="E46" s="78" t="s">
        <v>430</v>
      </c>
      <c r="F46" s="77" t="s">
        <v>784</v>
      </c>
      <c r="G46" s="82" t="s">
        <v>21</v>
      </c>
      <c r="H46" s="82" t="str">
        <f>VLOOKUP(G46,MetaData!$A$2:$C$13,3,false)</f>
        <v>Muhammad, S.Pd</v>
      </c>
      <c r="I46" s="82" t="s">
        <v>428</v>
      </c>
      <c r="J46" s="82" t="str">
        <f>VLOOKUP(I46,MetaData!$E$2:$G$40,3,false)</f>
        <v>Iga</v>
      </c>
      <c r="K46" s="83"/>
    </row>
    <row r="47" ht="15.75" customHeight="1">
      <c r="A47" s="84">
        <v>54.0</v>
      </c>
      <c r="B47" s="77">
        <v>3.0</v>
      </c>
      <c r="C47" s="77" t="s">
        <v>827</v>
      </c>
      <c r="D47" s="77">
        <v>2.52610026E8</v>
      </c>
      <c r="E47" s="78" t="s">
        <v>712</v>
      </c>
      <c r="F47" s="77" t="s">
        <v>784</v>
      </c>
      <c r="G47" s="79" t="s">
        <v>21</v>
      </c>
      <c r="H47" s="79" t="str">
        <f>VLOOKUP(G47,MetaData!$A$2:$C$13,3,false)</f>
        <v>Muhammad, S.Pd</v>
      </c>
      <c r="I47" s="79" t="s">
        <v>710</v>
      </c>
      <c r="J47" s="79" t="str">
        <f>VLOOKUP(I47,MetaData!$E$2:$G$40,3,false)</f>
        <v>Rania (XII)</v>
      </c>
      <c r="K47" s="80"/>
    </row>
    <row r="48" ht="15.75" customHeight="1">
      <c r="A48" s="85">
        <v>55.0</v>
      </c>
      <c r="B48" s="77">
        <v>4.0</v>
      </c>
      <c r="C48" s="77" t="s">
        <v>828</v>
      </c>
      <c r="D48" s="77">
        <v>2.52610039E8</v>
      </c>
      <c r="E48" s="78" t="s">
        <v>713</v>
      </c>
      <c r="F48" s="77" t="s">
        <v>784</v>
      </c>
      <c r="G48" s="82" t="s">
        <v>21</v>
      </c>
      <c r="H48" s="82" t="str">
        <f>VLOOKUP(G48,MetaData!$A$2:$C$13,3,false)</f>
        <v>Muhammad, S.Pd</v>
      </c>
      <c r="I48" s="82" t="s">
        <v>710</v>
      </c>
      <c r="J48" s="82" t="str">
        <f>VLOOKUP(I48,MetaData!$E$2:$G$40,3,false)</f>
        <v>Rania (XII)</v>
      </c>
      <c r="K48" s="83"/>
    </row>
    <row r="49" ht="15.75" customHeight="1">
      <c r="A49" s="84">
        <v>56.0</v>
      </c>
      <c r="B49" s="77">
        <v>5.0</v>
      </c>
      <c r="C49" s="77" t="s">
        <v>829</v>
      </c>
      <c r="D49" s="77">
        <v>2.5261005E8</v>
      </c>
      <c r="E49" s="78" t="s">
        <v>714</v>
      </c>
      <c r="F49" s="77" t="s">
        <v>784</v>
      </c>
      <c r="G49" s="79" t="s">
        <v>21</v>
      </c>
      <c r="H49" s="79" t="str">
        <f>VLOOKUP(G49,MetaData!$A$2:$C$13,3,false)</f>
        <v>Muhammad, S.Pd</v>
      </c>
      <c r="I49" s="79" t="s">
        <v>710</v>
      </c>
      <c r="J49" s="79" t="str">
        <f>VLOOKUP(I49,MetaData!$E$2:$G$40,3,false)</f>
        <v>Rania (XII)</v>
      </c>
      <c r="K49" s="80"/>
    </row>
    <row r="50" ht="15.75" customHeight="1">
      <c r="A50" s="85">
        <v>57.0</v>
      </c>
      <c r="B50" s="77">
        <v>6.0</v>
      </c>
      <c r="C50" s="77" t="s">
        <v>830</v>
      </c>
      <c r="D50" s="77">
        <v>2.52610052E8</v>
      </c>
      <c r="E50" s="78" t="s">
        <v>445</v>
      </c>
      <c r="F50" s="77" t="s">
        <v>784</v>
      </c>
      <c r="G50" s="82" t="s">
        <v>21</v>
      </c>
      <c r="H50" s="82" t="str">
        <f>VLOOKUP(G50,MetaData!$A$2:$C$13,3,false)</f>
        <v>Muhammad, S.Pd</v>
      </c>
      <c r="I50" s="82" t="s">
        <v>443</v>
      </c>
      <c r="J50" s="82" t="str">
        <f>VLOOKUP(I50,MetaData!$E$2:$G$40,3,false)</f>
        <v>Ayun</v>
      </c>
      <c r="K50" s="83"/>
    </row>
    <row r="51" ht="15.75" customHeight="1">
      <c r="A51" s="84">
        <v>58.0</v>
      </c>
      <c r="B51" s="77">
        <v>7.0</v>
      </c>
      <c r="C51" s="77" t="s">
        <v>831</v>
      </c>
      <c r="D51" s="77">
        <v>2.52610058E8</v>
      </c>
      <c r="E51" s="78" t="s">
        <v>345</v>
      </c>
      <c r="F51" s="77" t="s">
        <v>782</v>
      </c>
      <c r="G51" s="79" t="s">
        <v>21</v>
      </c>
      <c r="H51" s="79" t="str">
        <f>VLOOKUP(G51,MetaData!$A$2:$C$13,3,false)</f>
        <v>Muhammad, S.Pd</v>
      </c>
      <c r="I51" s="79" t="s">
        <v>344</v>
      </c>
      <c r="J51" s="79" t="str">
        <f>VLOOKUP(I51,MetaData!$E$2:$G$40,3,false)</f>
        <v>Joko</v>
      </c>
      <c r="K51" s="80"/>
    </row>
    <row r="52" ht="15.75" customHeight="1">
      <c r="A52" s="85">
        <v>59.0</v>
      </c>
      <c r="B52" s="77">
        <v>8.0</v>
      </c>
      <c r="C52" s="77" t="s">
        <v>832</v>
      </c>
      <c r="D52" s="77">
        <v>2.52610062E8</v>
      </c>
      <c r="E52" s="78" t="s">
        <v>715</v>
      </c>
      <c r="F52" s="77" t="s">
        <v>784</v>
      </c>
      <c r="G52" s="82" t="s">
        <v>21</v>
      </c>
      <c r="H52" s="82" t="str">
        <f>VLOOKUP(G52,MetaData!$A$2:$C$13,3,false)</f>
        <v>Muhammad, S.Pd</v>
      </c>
      <c r="I52" s="82" t="s">
        <v>710</v>
      </c>
      <c r="J52" s="82" t="str">
        <f>VLOOKUP(I52,MetaData!$E$2:$G$40,3,false)</f>
        <v>Rania (XII)</v>
      </c>
      <c r="K52" s="83"/>
    </row>
    <row r="53" ht="15.75" customHeight="1">
      <c r="A53" s="84">
        <v>60.0</v>
      </c>
      <c r="B53" s="77">
        <v>9.0</v>
      </c>
      <c r="C53" s="77" t="s">
        <v>833</v>
      </c>
      <c r="D53" s="77">
        <v>2.5261007E8</v>
      </c>
      <c r="E53" s="78" t="s">
        <v>716</v>
      </c>
      <c r="F53" s="77" t="s">
        <v>784</v>
      </c>
      <c r="G53" s="79" t="s">
        <v>21</v>
      </c>
      <c r="H53" s="79" t="str">
        <f>VLOOKUP(G53,MetaData!$A$2:$C$13,3,false)</f>
        <v>Muhammad, S.Pd</v>
      </c>
      <c r="I53" s="79" t="s">
        <v>710</v>
      </c>
      <c r="J53" s="79" t="str">
        <f>VLOOKUP(I53,MetaData!$E$2:$G$40,3,false)</f>
        <v>Rania (XII)</v>
      </c>
      <c r="K53" s="80"/>
    </row>
    <row r="54" ht="15.75" customHeight="1">
      <c r="A54" s="85">
        <v>61.0</v>
      </c>
      <c r="B54" s="77">
        <v>10.0</v>
      </c>
      <c r="C54" s="77" t="s">
        <v>834</v>
      </c>
      <c r="D54" s="77">
        <v>2.52610084E8</v>
      </c>
      <c r="E54" s="78" t="s">
        <v>717</v>
      </c>
      <c r="F54" s="77" t="s">
        <v>784</v>
      </c>
      <c r="G54" s="82" t="s">
        <v>21</v>
      </c>
      <c r="H54" s="82" t="str">
        <f>VLOOKUP(G54,MetaData!$A$2:$C$13,3,false)</f>
        <v>Muhammad, S.Pd</v>
      </c>
      <c r="I54" s="82" t="s">
        <v>710</v>
      </c>
      <c r="J54" s="82" t="str">
        <f>VLOOKUP(I54,MetaData!$E$2:$G$40,3,false)</f>
        <v>Rania (XII)</v>
      </c>
      <c r="K54" s="83"/>
    </row>
    <row r="55" ht="15.75" customHeight="1">
      <c r="A55" s="84">
        <v>62.0</v>
      </c>
      <c r="B55" s="77">
        <v>11.0</v>
      </c>
      <c r="C55" s="77" t="s">
        <v>835</v>
      </c>
      <c r="D55" s="77">
        <v>2.5261009E8</v>
      </c>
      <c r="E55" s="78" t="s">
        <v>718</v>
      </c>
      <c r="F55" s="77" t="s">
        <v>784</v>
      </c>
      <c r="G55" s="79" t="s">
        <v>21</v>
      </c>
      <c r="H55" s="79" t="str">
        <f>VLOOKUP(G55,MetaData!$A$2:$C$13,3,false)</f>
        <v>Muhammad, S.Pd</v>
      </c>
      <c r="I55" s="79" t="s">
        <v>710</v>
      </c>
      <c r="J55" s="79" t="str">
        <f>VLOOKUP(I55,MetaData!$E$2:$G$40,3,false)</f>
        <v>Rania (XII)</v>
      </c>
      <c r="K55" s="80"/>
    </row>
    <row r="56" ht="15.75" customHeight="1">
      <c r="A56" s="85">
        <v>63.0</v>
      </c>
      <c r="B56" s="77">
        <v>12.0</v>
      </c>
      <c r="C56" s="77" t="s">
        <v>836</v>
      </c>
      <c r="D56" s="77">
        <v>2.52610102E8</v>
      </c>
      <c r="E56" s="78" t="s">
        <v>719</v>
      </c>
      <c r="F56" s="77" t="s">
        <v>784</v>
      </c>
      <c r="G56" s="82" t="s">
        <v>21</v>
      </c>
      <c r="H56" s="82" t="str">
        <f>VLOOKUP(G56,MetaData!$A$2:$C$13,3,false)</f>
        <v>Muhammad, S.Pd</v>
      </c>
      <c r="I56" s="82" t="s">
        <v>710</v>
      </c>
      <c r="J56" s="82" t="str">
        <f>VLOOKUP(I56,MetaData!$E$2:$G$40,3,false)</f>
        <v>Rania (XII)</v>
      </c>
      <c r="K56" s="83"/>
    </row>
    <row r="57" ht="15.75" customHeight="1">
      <c r="A57" s="84">
        <v>64.0</v>
      </c>
      <c r="B57" s="77">
        <v>13.0</v>
      </c>
      <c r="C57" s="77" t="s">
        <v>837</v>
      </c>
      <c r="D57" s="77">
        <v>2.52610124E8</v>
      </c>
      <c r="E57" s="78" t="s">
        <v>346</v>
      </c>
      <c r="F57" s="77" t="s">
        <v>782</v>
      </c>
      <c r="G57" s="79" t="s">
        <v>21</v>
      </c>
      <c r="H57" s="79" t="str">
        <f>VLOOKUP(G57,MetaData!$A$2:$C$13,3,false)</f>
        <v>Muhammad, S.Pd</v>
      </c>
      <c r="I57" s="79" t="s">
        <v>344</v>
      </c>
      <c r="J57" s="79" t="str">
        <f>VLOOKUP(I57,MetaData!$E$2:$G$40,3,false)</f>
        <v>Joko</v>
      </c>
      <c r="K57" s="80"/>
    </row>
    <row r="58" ht="15.75" customHeight="1">
      <c r="A58" s="85">
        <v>65.0</v>
      </c>
      <c r="B58" s="77">
        <v>14.0</v>
      </c>
      <c r="C58" s="77" t="s">
        <v>838</v>
      </c>
      <c r="D58" s="77">
        <v>2.52610139E8</v>
      </c>
      <c r="E58" s="78" t="s">
        <v>720</v>
      </c>
      <c r="F58" s="77" t="s">
        <v>784</v>
      </c>
      <c r="G58" s="82" t="s">
        <v>21</v>
      </c>
      <c r="H58" s="82" t="str">
        <f>VLOOKUP(G58,MetaData!$A$2:$C$13,3,false)</f>
        <v>Muhammad, S.Pd</v>
      </c>
      <c r="I58" s="82" t="s">
        <v>710</v>
      </c>
      <c r="J58" s="82" t="str">
        <f>VLOOKUP(I58,MetaData!$E$2:$G$40,3,false)</f>
        <v>Rania (XII)</v>
      </c>
      <c r="K58" s="83"/>
    </row>
    <row r="59" ht="15.75" customHeight="1">
      <c r="A59" s="84">
        <v>66.0</v>
      </c>
      <c r="B59" s="77">
        <v>15.0</v>
      </c>
      <c r="C59" s="77" t="s">
        <v>839</v>
      </c>
      <c r="D59" s="77">
        <v>2.52610145E8</v>
      </c>
      <c r="E59" s="78" t="s">
        <v>347</v>
      </c>
      <c r="F59" s="77" t="s">
        <v>782</v>
      </c>
      <c r="G59" s="79" t="s">
        <v>21</v>
      </c>
      <c r="H59" s="79" t="str">
        <f>VLOOKUP(G59,MetaData!$A$2:$C$13,3,false)</f>
        <v>Muhammad, S.Pd</v>
      </c>
      <c r="I59" s="79" t="s">
        <v>344</v>
      </c>
      <c r="J59" s="79" t="str">
        <f>VLOOKUP(I59,MetaData!$E$2:$G$40,3,false)</f>
        <v>Joko</v>
      </c>
      <c r="K59" s="80"/>
    </row>
    <row r="60" ht="15.75" customHeight="1">
      <c r="A60" s="85">
        <v>67.0</v>
      </c>
      <c r="B60" s="77">
        <v>16.0</v>
      </c>
      <c r="C60" s="77" t="s">
        <v>840</v>
      </c>
      <c r="D60" s="77">
        <v>2.52610153E8</v>
      </c>
      <c r="E60" s="78" t="s">
        <v>721</v>
      </c>
      <c r="F60" s="77" t="s">
        <v>784</v>
      </c>
      <c r="G60" s="82" t="s">
        <v>21</v>
      </c>
      <c r="H60" s="82" t="str">
        <f>VLOOKUP(G60,MetaData!$A$2:$C$13,3,false)</f>
        <v>Muhammad, S.Pd</v>
      </c>
      <c r="I60" s="82" t="s">
        <v>710</v>
      </c>
      <c r="J60" s="82" t="str">
        <f>VLOOKUP(I60,MetaData!$E$2:$G$40,3,false)</f>
        <v>Rania (XII)</v>
      </c>
      <c r="K60" s="83"/>
    </row>
    <row r="61" ht="15.75" customHeight="1">
      <c r="A61" s="84">
        <v>68.0</v>
      </c>
      <c r="B61" s="77">
        <v>17.0</v>
      </c>
      <c r="C61" s="77" t="s">
        <v>841</v>
      </c>
      <c r="D61" s="77">
        <v>2.52610154E8</v>
      </c>
      <c r="E61" s="78" t="s">
        <v>722</v>
      </c>
      <c r="F61" s="77" t="s">
        <v>784</v>
      </c>
      <c r="G61" s="79" t="s">
        <v>21</v>
      </c>
      <c r="H61" s="79" t="str">
        <f>VLOOKUP(G61,MetaData!$A$2:$C$13,3,false)</f>
        <v>Muhammad, S.Pd</v>
      </c>
      <c r="I61" s="79" t="s">
        <v>710</v>
      </c>
      <c r="J61" s="79" t="str">
        <f>VLOOKUP(I61,MetaData!$E$2:$G$40,3,false)</f>
        <v>Rania (XII)</v>
      </c>
      <c r="K61" s="80"/>
    </row>
    <row r="62" ht="15.75" customHeight="1">
      <c r="A62" s="85">
        <v>69.0</v>
      </c>
      <c r="B62" s="77">
        <v>18.0</v>
      </c>
      <c r="C62" s="77" t="s">
        <v>842</v>
      </c>
      <c r="D62" s="77">
        <v>2.52610164E8</v>
      </c>
      <c r="E62" s="78" t="s">
        <v>348</v>
      </c>
      <c r="F62" s="77" t="s">
        <v>782</v>
      </c>
      <c r="G62" s="82" t="s">
        <v>21</v>
      </c>
      <c r="H62" s="82" t="str">
        <f>VLOOKUP(G62,MetaData!$A$2:$C$13,3,false)</f>
        <v>Muhammad, S.Pd</v>
      </c>
      <c r="I62" s="82" t="s">
        <v>344</v>
      </c>
      <c r="J62" s="82" t="str">
        <f>VLOOKUP(I62,MetaData!$E$2:$G$40,3,false)</f>
        <v>Joko</v>
      </c>
      <c r="K62" s="83"/>
    </row>
    <row r="63" ht="15.75" customHeight="1">
      <c r="A63" s="84">
        <v>70.0</v>
      </c>
      <c r="B63" s="77">
        <v>19.0</v>
      </c>
      <c r="C63" s="77" t="s">
        <v>843</v>
      </c>
      <c r="D63" s="77">
        <v>2.5261018E8</v>
      </c>
      <c r="E63" s="78" t="s">
        <v>349</v>
      </c>
      <c r="F63" s="77" t="s">
        <v>782</v>
      </c>
      <c r="G63" s="79" t="s">
        <v>21</v>
      </c>
      <c r="H63" s="79" t="str">
        <f>VLOOKUP(G63,MetaData!$A$2:$C$13,3,false)</f>
        <v>Muhammad, S.Pd</v>
      </c>
      <c r="I63" s="79" t="s">
        <v>344</v>
      </c>
      <c r="J63" s="79" t="str">
        <f>VLOOKUP(I63,MetaData!$E$2:$G$40,3,false)</f>
        <v>Joko</v>
      </c>
      <c r="K63" s="80"/>
    </row>
    <row r="64" ht="15.75" customHeight="1">
      <c r="A64" s="85">
        <v>71.0</v>
      </c>
      <c r="B64" s="77">
        <v>20.0</v>
      </c>
      <c r="C64" s="77" t="s">
        <v>844</v>
      </c>
      <c r="D64" s="77">
        <v>2.52610181E8</v>
      </c>
      <c r="E64" s="78" t="s">
        <v>553</v>
      </c>
      <c r="F64" s="77" t="s">
        <v>784</v>
      </c>
      <c r="G64" s="82" t="s">
        <v>21</v>
      </c>
      <c r="H64" s="82" t="str">
        <f>VLOOKUP(G64,MetaData!$A$2:$C$13,3,false)</f>
        <v>Muhammad, S.Pd</v>
      </c>
      <c r="I64" s="82" t="s">
        <v>552</v>
      </c>
      <c r="J64" s="82" t="str">
        <f>VLOOKUP(I64,MetaData!$E$2:$G$40,3,false)</f>
        <v>Nadine (XI)</v>
      </c>
      <c r="K64" s="83"/>
    </row>
    <row r="65" ht="15.75" customHeight="1">
      <c r="A65" s="84">
        <v>72.0</v>
      </c>
      <c r="B65" s="77">
        <v>21.0</v>
      </c>
      <c r="C65" s="77" t="s">
        <v>845</v>
      </c>
      <c r="D65" s="77">
        <v>2.52610185E8</v>
      </c>
      <c r="E65" s="78" t="s">
        <v>350</v>
      </c>
      <c r="F65" s="77" t="s">
        <v>782</v>
      </c>
      <c r="G65" s="79" t="s">
        <v>21</v>
      </c>
      <c r="H65" s="79" t="str">
        <f>VLOOKUP(G65,MetaData!$A$2:$C$13,3,false)</f>
        <v>Muhammad, S.Pd</v>
      </c>
      <c r="I65" s="79" t="s">
        <v>344</v>
      </c>
      <c r="J65" s="79" t="str">
        <f>VLOOKUP(I65,MetaData!$E$2:$G$40,3,false)</f>
        <v>Joko</v>
      </c>
      <c r="K65" s="80"/>
    </row>
    <row r="66" ht="15.75" customHeight="1">
      <c r="A66" s="85">
        <v>73.0</v>
      </c>
      <c r="B66" s="77">
        <v>22.0</v>
      </c>
      <c r="C66" s="77" t="s">
        <v>846</v>
      </c>
      <c r="D66" s="77">
        <v>2.52610186E8</v>
      </c>
      <c r="E66" s="78" t="s">
        <v>351</v>
      </c>
      <c r="F66" s="77" t="s">
        <v>782</v>
      </c>
      <c r="G66" s="82" t="s">
        <v>21</v>
      </c>
      <c r="H66" s="82" t="str">
        <f>VLOOKUP(G66,MetaData!$A$2:$C$13,3,false)</f>
        <v>Muhammad, S.Pd</v>
      </c>
      <c r="I66" s="82" t="s">
        <v>344</v>
      </c>
      <c r="J66" s="82" t="str">
        <f>VLOOKUP(I66,MetaData!$E$2:$G$40,3,false)</f>
        <v>Joko</v>
      </c>
      <c r="K66" s="83"/>
    </row>
    <row r="67" ht="15.75" customHeight="1">
      <c r="A67" s="84">
        <v>74.0</v>
      </c>
      <c r="B67" s="77">
        <v>23.0</v>
      </c>
      <c r="C67" s="77" t="s">
        <v>847</v>
      </c>
      <c r="D67" s="77">
        <v>2.52610238E8</v>
      </c>
      <c r="E67" s="78" t="s">
        <v>554</v>
      </c>
      <c r="F67" s="77" t="s">
        <v>784</v>
      </c>
      <c r="G67" s="79" t="s">
        <v>21</v>
      </c>
      <c r="H67" s="79" t="str">
        <f>VLOOKUP(G67,MetaData!$A$2:$C$13,3,false)</f>
        <v>Muhammad, S.Pd</v>
      </c>
      <c r="I67" s="79" t="s">
        <v>552</v>
      </c>
      <c r="J67" s="79" t="str">
        <f>VLOOKUP(I67,MetaData!$E$2:$G$40,3,false)</f>
        <v>Nadine (XI)</v>
      </c>
      <c r="K67" s="80"/>
    </row>
    <row r="68" ht="15.75" customHeight="1">
      <c r="A68" s="85">
        <v>75.0</v>
      </c>
      <c r="B68" s="77">
        <v>24.0</v>
      </c>
      <c r="C68" s="77" t="s">
        <v>848</v>
      </c>
      <c r="D68" s="77">
        <v>2.52610277E8</v>
      </c>
      <c r="E68" s="78" t="s">
        <v>352</v>
      </c>
      <c r="F68" s="77" t="s">
        <v>782</v>
      </c>
      <c r="G68" s="82" t="s">
        <v>21</v>
      </c>
      <c r="H68" s="82" t="str">
        <f>VLOOKUP(G68,MetaData!$A$2:$C$13,3,false)</f>
        <v>Muhammad, S.Pd</v>
      </c>
      <c r="I68" s="82" t="s">
        <v>344</v>
      </c>
      <c r="J68" s="82" t="str">
        <f>VLOOKUP(I68,MetaData!$E$2:$G$40,3,false)</f>
        <v>Joko</v>
      </c>
      <c r="K68" s="83"/>
    </row>
    <row r="69" ht="15.75" customHeight="1">
      <c r="A69" s="84">
        <v>76.0</v>
      </c>
      <c r="B69" s="77">
        <v>25.0</v>
      </c>
      <c r="C69" s="77" t="s">
        <v>849</v>
      </c>
      <c r="D69" s="77">
        <v>2.5261028E8</v>
      </c>
      <c r="E69" s="78" t="s">
        <v>555</v>
      </c>
      <c r="F69" s="77" t="s">
        <v>784</v>
      </c>
      <c r="G69" s="79" t="s">
        <v>21</v>
      </c>
      <c r="H69" s="79" t="str">
        <f>VLOOKUP(G69,MetaData!$A$2:$C$13,3,false)</f>
        <v>Muhammad, S.Pd</v>
      </c>
      <c r="I69" s="79" t="s">
        <v>552</v>
      </c>
      <c r="J69" s="79" t="str">
        <f>VLOOKUP(I69,MetaData!$E$2:$G$40,3,false)</f>
        <v>Nadine (XI)</v>
      </c>
      <c r="K69" s="80"/>
    </row>
    <row r="70" ht="15.75" customHeight="1">
      <c r="A70" s="85">
        <v>77.0</v>
      </c>
      <c r="B70" s="77">
        <v>26.0</v>
      </c>
      <c r="C70" s="77" t="s">
        <v>850</v>
      </c>
      <c r="D70" s="77">
        <v>2.52610302E8</v>
      </c>
      <c r="E70" s="78" t="s">
        <v>353</v>
      </c>
      <c r="F70" s="77" t="s">
        <v>782</v>
      </c>
      <c r="G70" s="82" t="s">
        <v>21</v>
      </c>
      <c r="H70" s="82" t="str">
        <f>VLOOKUP(G70,MetaData!$A$2:$C$13,3,false)</f>
        <v>Muhammad, S.Pd</v>
      </c>
      <c r="I70" s="82" t="s">
        <v>344</v>
      </c>
      <c r="J70" s="82" t="str">
        <f>VLOOKUP(I70,MetaData!$E$2:$G$40,3,false)</f>
        <v>Joko</v>
      </c>
      <c r="K70" s="83"/>
    </row>
    <row r="71" ht="15.75" customHeight="1">
      <c r="A71" s="84">
        <v>78.0</v>
      </c>
      <c r="B71" s="77">
        <v>27.0</v>
      </c>
      <c r="C71" s="77" t="s">
        <v>851</v>
      </c>
      <c r="D71" s="77">
        <v>2.52610319E8</v>
      </c>
      <c r="E71" s="78" t="s">
        <v>354</v>
      </c>
      <c r="F71" s="77" t="s">
        <v>782</v>
      </c>
      <c r="G71" s="79" t="s">
        <v>21</v>
      </c>
      <c r="H71" s="79" t="str">
        <f>VLOOKUP(G71,MetaData!$A$2:$C$13,3,false)</f>
        <v>Muhammad, S.Pd</v>
      </c>
      <c r="I71" s="79" t="s">
        <v>344</v>
      </c>
      <c r="J71" s="79" t="str">
        <f>VLOOKUP(I71,MetaData!$E$2:$G$40,3,false)</f>
        <v>Joko</v>
      </c>
      <c r="K71" s="80"/>
    </row>
    <row r="72" ht="15.75" customHeight="1">
      <c r="A72" s="85">
        <v>79.0</v>
      </c>
      <c r="B72" s="77">
        <v>28.0</v>
      </c>
      <c r="C72" s="77" t="s">
        <v>852</v>
      </c>
      <c r="D72" s="77">
        <v>2.5261032E8</v>
      </c>
      <c r="E72" s="78" t="s">
        <v>229</v>
      </c>
      <c r="F72" s="77" t="s">
        <v>782</v>
      </c>
      <c r="G72" s="82" t="s">
        <v>21</v>
      </c>
      <c r="H72" s="82" t="str">
        <f>VLOOKUP(G72,MetaData!$A$2:$C$13,3,false)</f>
        <v>Muhammad, S.Pd</v>
      </c>
      <c r="I72" s="82" t="s">
        <v>220</v>
      </c>
      <c r="J72" s="82" t="str">
        <f>VLOOKUP(I72,MetaData!$E$2:$G$40,3,false)</f>
        <v>Rekhsa</v>
      </c>
      <c r="K72" s="83"/>
    </row>
    <row r="73" ht="15.75" customHeight="1">
      <c r="A73" s="84">
        <v>80.0</v>
      </c>
      <c r="B73" s="77">
        <v>29.0</v>
      </c>
      <c r="C73" s="77" t="s">
        <v>853</v>
      </c>
      <c r="D73" s="77">
        <v>2.52610332E8</v>
      </c>
      <c r="E73" s="78" t="s">
        <v>355</v>
      </c>
      <c r="F73" s="77" t="s">
        <v>782</v>
      </c>
      <c r="G73" s="79" t="s">
        <v>21</v>
      </c>
      <c r="H73" s="79" t="str">
        <f>VLOOKUP(G73,MetaData!$A$2:$C$13,3,false)</f>
        <v>Muhammad, S.Pd</v>
      </c>
      <c r="I73" s="79" t="s">
        <v>344</v>
      </c>
      <c r="J73" s="79" t="str">
        <f>VLOOKUP(I73,MetaData!$E$2:$G$40,3,false)</f>
        <v>Joko</v>
      </c>
      <c r="K73" s="80"/>
    </row>
    <row r="74" ht="15.75" customHeight="1">
      <c r="A74" s="85">
        <v>81.0</v>
      </c>
      <c r="B74" s="77">
        <v>30.0</v>
      </c>
      <c r="C74" s="77" t="s">
        <v>854</v>
      </c>
      <c r="D74" s="77">
        <v>2.52610336E8</v>
      </c>
      <c r="E74" s="78" t="s">
        <v>356</v>
      </c>
      <c r="F74" s="77" t="s">
        <v>782</v>
      </c>
      <c r="G74" s="82" t="s">
        <v>21</v>
      </c>
      <c r="H74" s="82" t="str">
        <f>VLOOKUP(G74,MetaData!$A$2:$C$13,3,false)</f>
        <v>Muhammad, S.Pd</v>
      </c>
      <c r="I74" s="82" t="s">
        <v>344</v>
      </c>
      <c r="J74" s="82" t="str">
        <f>VLOOKUP(I74,MetaData!$E$2:$G$40,3,false)</f>
        <v>Joko</v>
      </c>
      <c r="K74" s="83"/>
    </row>
    <row r="75" ht="15.75" customHeight="1">
      <c r="A75" s="84">
        <v>82.0</v>
      </c>
      <c r="B75" s="77">
        <v>31.0</v>
      </c>
      <c r="C75" s="77" t="s">
        <v>855</v>
      </c>
      <c r="D75" s="77">
        <v>2.52610338E8</v>
      </c>
      <c r="E75" s="78" t="s">
        <v>232</v>
      </c>
      <c r="F75" s="77" t="s">
        <v>782</v>
      </c>
      <c r="G75" s="79" t="s">
        <v>21</v>
      </c>
      <c r="H75" s="79" t="str">
        <f>VLOOKUP(G75,MetaData!$A$2:$C$13,3,false)</f>
        <v>Muhammad, S.Pd</v>
      </c>
      <c r="I75" s="79" t="s">
        <v>220</v>
      </c>
      <c r="J75" s="79" t="str">
        <f>VLOOKUP(I75,MetaData!$E$2:$G$40,3,false)</f>
        <v>Rekhsa</v>
      </c>
      <c r="K75" s="80"/>
    </row>
    <row r="76" ht="15.75" customHeight="1">
      <c r="A76" s="85">
        <v>83.0</v>
      </c>
      <c r="B76" s="77">
        <v>32.0</v>
      </c>
      <c r="C76" s="77" t="s">
        <v>856</v>
      </c>
      <c r="D76" s="77">
        <v>2.52610362E8</v>
      </c>
      <c r="E76" s="78" t="s">
        <v>357</v>
      </c>
      <c r="F76" s="77" t="s">
        <v>782</v>
      </c>
      <c r="G76" s="82" t="s">
        <v>21</v>
      </c>
      <c r="H76" s="82" t="str">
        <f>VLOOKUP(G76,MetaData!$A$2:$C$13,3,false)</f>
        <v>Muhammad, S.Pd</v>
      </c>
      <c r="I76" s="82" t="s">
        <v>344</v>
      </c>
      <c r="J76" s="82" t="str">
        <f>VLOOKUP(I76,MetaData!$E$2:$G$40,3,false)</f>
        <v>Joko</v>
      </c>
      <c r="K76" s="83"/>
    </row>
    <row r="77" ht="15.75" customHeight="1">
      <c r="A77" s="84">
        <v>84.0</v>
      </c>
      <c r="B77" s="77">
        <v>33.0</v>
      </c>
      <c r="C77" s="77" t="s">
        <v>857</v>
      </c>
      <c r="D77" s="77">
        <v>2.52610365E8</v>
      </c>
      <c r="E77" s="78" t="s">
        <v>358</v>
      </c>
      <c r="F77" s="77" t="s">
        <v>782</v>
      </c>
      <c r="G77" s="79" t="s">
        <v>21</v>
      </c>
      <c r="H77" s="79" t="str">
        <f>VLOOKUP(G77,MetaData!$A$2:$C$13,3,false)</f>
        <v>Muhammad, S.Pd</v>
      </c>
      <c r="I77" s="79" t="s">
        <v>344</v>
      </c>
      <c r="J77" s="79" t="str">
        <f>VLOOKUP(I77,MetaData!$E$2:$G$40,3,false)</f>
        <v>Joko</v>
      </c>
      <c r="K77" s="80"/>
    </row>
    <row r="78" ht="15.75" customHeight="1">
      <c r="A78" s="85">
        <v>85.0</v>
      </c>
      <c r="B78" s="77">
        <v>34.0</v>
      </c>
      <c r="C78" s="77" t="s">
        <v>858</v>
      </c>
      <c r="D78" s="77">
        <v>2.52610416E8</v>
      </c>
      <c r="E78" s="78" t="s">
        <v>556</v>
      </c>
      <c r="F78" s="77" t="s">
        <v>784</v>
      </c>
      <c r="G78" s="82" t="s">
        <v>21</v>
      </c>
      <c r="H78" s="82" t="str">
        <f>VLOOKUP(G78,MetaData!$A$2:$C$13,3,false)</f>
        <v>Muhammad, S.Pd</v>
      </c>
      <c r="I78" s="82" t="s">
        <v>552</v>
      </c>
      <c r="J78" s="82" t="str">
        <f>VLOOKUP(I78,MetaData!$E$2:$G$40,3,false)</f>
        <v>Nadine (XI)</v>
      </c>
      <c r="K78" s="83"/>
    </row>
    <row r="79" ht="15.75" customHeight="1">
      <c r="A79" s="84">
        <v>86.0</v>
      </c>
      <c r="B79" s="77">
        <v>35.0</v>
      </c>
      <c r="C79" s="77" t="s">
        <v>859</v>
      </c>
      <c r="D79" s="77">
        <v>2.52610419E8</v>
      </c>
      <c r="E79" s="78" t="s">
        <v>557</v>
      </c>
      <c r="F79" s="77" t="s">
        <v>784</v>
      </c>
      <c r="G79" s="79" t="s">
        <v>21</v>
      </c>
      <c r="H79" s="79" t="str">
        <f>VLOOKUP(G79,MetaData!$A$2:$C$13,3,false)</f>
        <v>Muhammad, S.Pd</v>
      </c>
      <c r="I79" s="79" t="s">
        <v>552</v>
      </c>
      <c r="J79" s="79" t="str">
        <f>VLOOKUP(I79,MetaData!$E$2:$G$40,3,false)</f>
        <v>Nadine (XI)</v>
      </c>
      <c r="K79" s="80"/>
    </row>
    <row r="80" ht="15.75" customHeight="1">
      <c r="A80" s="85">
        <v>87.0</v>
      </c>
      <c r="B80" s="77">
        <v>36.0</v>
      </c>
      <c r="C80" s="77" t="s">
        <v>860</v>
      </c>
      <c r="D80" s="77">
        <v>2.52610434E8</v>
      </c>
      <c r="E80" s="78" t="s">
        <v>453</v>
      </c>
      <c r="F80" s="77" t="s">
        <v>784</v>
      </c>
      <c r="G80" s="82" t="s">
        <v>21</v>
      </c>
      <c r="H80" s="82" t="str">
        <f>VLOOKUP(G80,MetaData!$A$2:$C$13,3,false)</f>
        <v>Muhammad, S.Pd</v>
      </c>
      <c r="I80" s="82" t="s">
        <v>443</v>
      </c>
      <c r="J80" s="82" t="str">
        <f>VLOOKUP(I80,MetaData!$E$2:$G$40,3,false)</f>
        <v>Ayun</v>
      </c>
      <c r="K80" s="83"/>
    </row>
    <row r="81" ht="15.75" customHeight="1">
      <c r="A81" s="84">
        <v>88.0</v>
      </c>
      <c r="B81" s="77">
        <v>37.0</v>
      </c>
      <c r="C81" s="77" t="s">
        <v>861</v>
      </c>
      <c r="D81" s="77">
        <v>2.5261044E8</v>
      </c>
      <c r="E81" s="78" t="s">
        <v>558</v>
      </c>
      <c r="F81" s="77" t="s">
        <v>784</v>
      </c>
      <c r="G81" s="79" t="s">
        <v>21</v>
      </c>
      <c r="H81" s="79" t="str">
        <f>VLOOKUP(G81,MetaData!$A$2:$C$13,3,false)</f>
        <v>Muhammad, S.Pd</v>
      </c>
      <c r="I81" s="79" t="s">
        <v>552</v>
      </c>
      <c r="J81" s="79" t="str">
        <f>VLOOKUP(I81,MetaData!$E$2:$G$40,3,false)</f>
        <v>Nadine (XI)</v>
      </c>
      <c r="K81" s="80"/>
    </row>
    <row r="82" ht="15.75" customHeight="1">
      <c r="A82" s="85">
        <v>89.0</v>
      </c>
      <c r="B82" s="77">
        <v>38.0</v>
      </c>
      <c r="C82" s="77" t="s">
        <v>862</v>
      </c>
      <c r="D82" s="77">
        <v>2.52610467E8</v>
      </c>
      <c r="E82" s="78" t="s">
        <v>559</v>
      </c>
      <c r="F82" s="77" t="s">
        <v>784</v>
      </c>
      <c r="G82" s="82" t="s">
        <v>21</v>
      </c>
      <c r="H82" s="82" t="str">
        <f>VLOOKUP(G82,MetaData!$A$2:$C$13,3,false)</f>
        <v>Muhammad, S.Pd</v>
      </c>
      <c r="I82" s="82" t="s">
        <v>552</v>
      </c>
      <c r="J82" s="82" t="str">
        <f>VLOOKUP(I82,MetaData!$E$2:$G$40,3,false)</f>
        <v>Nadine (XI)</v>
      </c>
      <c r="K82" s="83"/>
    </row>
    <row r="83" ht="15.75" customHeight="1">
      <c r="A83" s="84">
        <v>90.0</v>
      </c>
      <c r="B83" s="77">
        <v>39.0</v>
      </c>
      <c r="C83" s="77" t="s">
        <v>863</v>
      </c>
      <c r="D83" s="77">
        <v>2.52610474E8</v>
      </c>
      <c r="E83" s="78" t="s">
        <v>560</v>
      </c>
      <c r="F83" s="77" t="s">
        <v>784</v>
      </c>
      <c r="G83" s="79" t="s">
        <v>21</v>
      </c>
      <c r="H83" s="79" t="str">
        <f>VLOOKUP(G83,MetaData!$A$2:$C$13,3,false)</f>
        <v>Muhammad, S.Pd</v>
      </c>
      <c r="I83" s="79" t="s">
        <v>552</v>
      </c>
      <c r="J83" s="79" t="str">
        <f>VLOOKUP(I83,MetaData!$E$2:$G$40,3,false)</f>
        <v>Nadine (XI)</v>
      </c>
      <c r="K83" s="80"/>
    </row>
    <row r="84" ht="15.75" customHeight="1">
      <c r="A84" s="85">
        <v>91.0</v>
      </c>
      <c r="B84" s="77">
        <v>40.0</v>
      </c>
      <c r="C84" s="77" t="s">
        <v>864</v>
      </c>
      <c r="D84" s="77">
        <v>2.52610497E8</v>
      </c>
      <c r="E84" s="78" t="s">
        <v>561</v>
      </c>
      <c r="F84" s="77" t="s">
        <v>784</v>
      </c>
      <c r="G84" s="82" t="s">
        <v>21</v>
      </c>
      <c r="H84" s="82" t="str">
        <f>VLOOKUP(G84,MetaData!$A$2:$C$13,3,false)</f>
        <v>Muhammad, S.Pd</v>
      </c>
      <c r="I84" s="82" t="s">
        <v>552</v>
      </c>
      <c r="J84" s="82" t="str">
        <f>VLOOKUP(I84,MetaData!$E$2:$G$40,3,false)</f>
        <v>Nadine (XI)</v>
      </c>
      <c r="K84" s="83"/>
    </row>
    <row r="85" ht="15.75" customHeight="1">
      <c r="A85" s="84">
        <v>92.0</v>
      </c>
      <c r="B85" s="77">
        <v>41.0</v>
      </c>
      <c r="C85" s="77" t="s">
        <v>865</v>
      </c>
      <c r="D85" s="77">
        <v>2.52610546E8</v>
      </c>
      <c r="E85" s="78" t="s">
        <v>562</v>
      </c>
      <c r="F85" s="77" t="s">
        <v>784</v>
      </c>
      <c r="G85" s="79" t="s">
        <v>21</v>
      </c>
      <c r="H85" s="79" t="str">
        <f>VLOOKUP(G85,MetaData!$A$2:$C$13,3,false)</f>
        <v>Muhammad, S.Pd</v>
      </c>
      <c r="I85" s="79" t="s">
        <v>552</v>
      </c>
      <c r="J85" s="79" t="str">
        <f>VLOOKUP(I85,MetaData!$E$2:$G$40,3,false)</f>
        <v>Nadine (XI)</v>
      </c>
      <c r="K85" s="80"/>
    </row>
    <row r="86" ht="15.75" customHeight="1">
      <c r="A86" s="85">
        <v>93.0</v>
      </c>
      <c r="B86" s="77">
        <v>42.0</v>
      </c>
      <c r="C86" s="77" t="s">
        <v>866</v>
      </c>
      <c r="D86" s="77">
        <v>2.5261056E8</v>
      </c>
      <c r="E86" s="78" t="s">
        <v>359</v>
      </c>
      <c r="F86" s="77" t="s">
        <v>782</v>
      </c>
      <c r="G86" s="82" t="s">
        <v>21</v>
      </c>
      <c r="H86" s="82" t="str">
        <f>VLOOKUP(G86,MetaData!$A$2:$C$13,3,false)</f>
        <v>Muhammad, S.Pd</v>
      </c>
      <c r="I86" s="82" t="s">
        <v>344</v>
      </c>
      <c r="J86" s="82" t="str">
        <f>VLOOKUP(I86,MetaData!$E$2:$G$40,3,false)</f>
        <v>Joko</v>
      </c>
      <c r="K86" s="83"/>
    </row>
    <row r="87" ht="15.75" customHeight="1">
      <c r="A87" s="84">
        <v>94.0</v>
      </c>
      <c r="B87" s="77">
        <v>43.0</v>
      </c>
      <c r="C87" s="77" t="s">
        <v>867</v>
      </c>
      <c r="D87" s="77">
        <v>2.52610563E8</v>
      </c>
      <c r="E87" s="78" t="s">
        <v>563</v>
      </c>
      <c r="F87" s="77" t="s">
        <v>784</v>
      </c>
      <c r="G87" s="79" t="s">
        <v>21</v>
      </c>
      <c r="H87" s="79" t="str">
        <f>VLOOKUP(G87,MetaData!$A$2:$C$13,3,false)</f>
        <v>Muhammad, S.Pd</v>
      </c>
      <c r="I87" s="79" t="s">
        <v>552</v>
      </c>
      <c r="J87" s="79" t="str">
        <f>VLOOKUP(I87,MetaData!$E$2:$G$40,3,false)</f>
        <v>Nadine (XI)</v>
      </c>
      <c r="K87" s="80"/>
    </row>
    <row r="88" ht="15.75" customHeight="1">
      <c r="A88" s="81">
        <v>102.0</v>
      </c>
      <c r="B88" s="77">
        <v>1.0</v>
      </c>
      <c r="C88" s="77" t="s">
        <v>868</v>
      </c>
      <c r="D88" s="77">
        <v>2.52610002E8</v>
      </c>
      <c r="E88" s="78" t="s">
        <v>331</v>
      </c>
      <c r="F88" s="77" t="s">
        <v>782</v>
      </c>
      <c r="G88" s="82" t="s">
        <v>29</v>
      </c>
      <c r="H88" s="82" t="str">
        <f>VLOOKUP(G88,MetaData!$A$2:$C$13,3,false)</f>
        <v>Syamsi Jawawi, S.Pd</v>
      </c>
      <c r="I88" s="82" t="s">
        <v>330</v>
      </c>
      <c r="J88" s="82" t="str">
        <f>VLOOKUP(I88,MetaData!$E$2:$G$40,3,false)</f>
        <v>Angga</v>
      </c>
      <c r="K88" s="83"/>
    </row>
    <row r="89" ht="15.75" customHeight="1">
      <c r="A89" s="76">
        <v>103.0</v>
      </c>
      <c r="B89" s="77">
        <v>2.0</v>
      </c>
      <c r="C89" s="77" t="s">
        <v>869</v>
      </c>
      <c r="D89" s="77">
        <v>2.52610063E8</v>
      </c>
      <c r="E89" s="78" t="s">
        <v>332</v>
      </c>
      <c r="F89" s="77" t="s">
        <v>782</v>
      </c>
      <c r="G89" s="79" t="s">
        <v>29</v>
      </c>
      <c r="H89" s="79" t="str">
        <f>VLOOKUP(G89,MetaData!$A$2:$C$13,3,false)</f>
        <v>Syamsi Jawawi, S.Pd</v>
      </c>
      <c r="I89" s="79" t="s">
        <v>330</v>
      </c>
      <c r="J89" s="79" t="str">
        <f>VLOOKUP(I89,MetaData!$E$2:$G$40,3,false)</f>
        <v>Angga</v>
      </c>
      <c r="K89" s="80"/>
    </row>
    <row r="90" ht="15.75" customHeight="1">
      <c r="A90" s="81">
        <v>104.0</v>
      </c>
      <c r="B90" s="77">
        <v>3.0</v>
      </c>
      <c r="C90" s="77" t="s">
        <v>870</v>
      </c>
      <c r="D90" s="77">
        <v>2.52610065E8</v>
      </c>
      <c r="E90" s="78" t="s">
        <v>697</v>
      </c>
      <c r="F90" s="77" t="s">
        <v>784</v>
      </c>
      <c r="G90" s="82" t="s">
        <v>29</v>
      </c>
      <c r="H90" s="82" t="str">
        <f>VLOOKUP(G90,MetaData!$A$2:$C$13,3,false)</f>
        <v>Syamsi Jawawi, S.Pd</v>
      </c>
      <c r="I90" s="82" t="s">
        <v>696</v>
      </c>
      <c r="J90" s="82" t="str">
        <f>VLOOKUP(I90,MetaData!$E$2:$G$40,3,false)</f>
        <v>Hanin</v>
      </c>
      <c r="K90" s="83"/>
    </row>
    <row r="91" ht="15.75" customHeight="1">
      <c r="A91" s="76">
        <v>105.0</v>
      </c>
      <c r="B91" s="77">
        <v>4.0</v>
      </c>
      <c r="C91" s="77" t="s">
        <v>871</v>
      </c>
      <c r="D91" s="77">
        <v>2.52610076E8</v>
      </c>
      <c r="E91" s="78" t="s">
        <v>333</v>
      </c>
      <c r="F91" s="77" t="s">
        <v>782</v>
      </c>
      <c r="G91" s="79" t="s">
        <v>29</v>
      </c>
      <c r="H91" s="79" t="str">
        <f>VLOOKUP(G91,MetaData!$A$2:$C$13,3,false)</f>
        <v>Syamsi Jawawi, S.Pd</v>
      </c>
      <c r="I91" s="79" t="s">
        <v>330</v>
      </c>
      <c r="J91" s="79" t="str">
        <f>VLOOKUP(I91,MetaData!$E$2:$G$40,3,false)</f>
        <v>Angga</v>
      </c>
      <c r="K91" s="80"/>
    </row>
    <row r="92" ht="15.75" customHeight="1">
      <c r="A92" s="81">
        <v>106.0</v>
      </c>
      <c r="B92" s="77">
        <v>5.0</v>
      </c>
      <c r="C92" s="77" t="s">
        <v>872</v>
      </c>
      <c r="D92" s="77">
        <v>2.52610079E8</v>
      </c>
      <c r="E92" s="78" t="s">
        <v>334</v>
      </c>
      <c r="F92" s="77" t="s">
        <v>782</v>
      </c>
      <c r="G92" s="82" t="s">
        <v>29</v>
      </c>
      <c r="H92" s="82" t="str">
        <f>VLOOKUP(G92,MetaData!$A$2:$C$13,3,false)</f>
        <v>Syamsi Jawawi, S.Pd</v>
      </c>
      <c r="I92" s="82" t="s">
        <v>330</v>
      </c>
      <c r="J92" s="82" t="str">
        <f>VLOOKUP(I92,MetaData!$E$2:$G$40,3,false)</f>
        <v>Angga</v>
      </c>
      <c r="K92" s="83"/>
    </row>
    <row r="93" ht="15.75" customHeight="1">
      <c r="A93" s="76">
        <v>107.0</v>
      </c>
      <c r="B93" s="77">
        <v>6.0</v>
      </c>
      <c r="C93" s="77" t="s">
        <v>873</v>
      </c>
      <c r="D93" s="77">
        <v>2.52610093E8</v>
      </c>
      <c r="E93" s="78" t="s">
        <v>698</v>
      </c>
      <c r="F93" s="77" t="s">
        <v>784</v>
      </c>
      <c r="G93" s="79" t="s">
        <v>29</v>
      </c>
      <c r="H93" s="79" t="str">
        <f>VLOOKUP(G93,MetaData!$A$2:$C$13,3,false)</f>
        <v>Syamsi Jawawi, S.Pd</v>
      </c>
      <c r="I93" s="79" t="s">
        <v>696</v>
      </c>
      <c r="J93" s="79" t="str">
        <f>VLOOKUP(I93,MetaData!$E$2:$G$40,3,false)</f>
        <v>Hanin</v>
      </c>
      <c r="K93" s="80"/>
    </row>
    <row r="94" ht="15.75" customHeight="1">
      <c r="A94" s="81">
        <v>108.0</v>
      </c>
      <c r="B94" s="77">
        <v>7.0</v>
      </c>
      <c r="C94" s="77" t="s">
        <v>874</v>
      </c>
      <c r="D94" s="77">
        <v>2.52610094E8</v>
      </c>
      <c r="E94" s="78" t="s">
        <v>699</v>
      </c>
      <c r="F94" s="77" t="s">
        <v>784</v>
      </c>
      <c r="G94" s="82" t="s">
        <v>29</v>
      </c>
      <c r="H94" s="82" t="str">
        <f>VLOOKUP(G94,MetaData!$A$2:$C$13,3,false)</f>
        <v>Syamsi Jawawi, S.Pd</v>
      </c>
      <c r="I94" s="82" t="s">
        <v>696</v>
      </c>
      <c r="J94" s="82" t="str">
        <f>VLOOKUP(I94,MetaData!$E$2:$G$40,3,false)</f>
        <v>Hanin</v>
      </c>
      <c r="K94" s="83"/>
    </row>
    <row r="95" ht="15.75" customHeight="1">
      <c r="A95" s="76">
        <v>109.0</v>
      </c>
      <c r="B95" s="77">
        <v>8.0</v>
      </c>
      <c r="C95" s="77" t="s">
        <v>875</v>
      </c>
      <c r="D95" s="77">
        <v>2.52610096E8</v>
      </c>
      <c r="E95" s="78" t="s">
        <v>700</v>
      </c>
      <c r="F95" s="77" t="s">
        <v>784</v>
      </c>
      <c r="G95" s="79" t="s">
        <v>29</v>
      </c>
      <c r="H95" s="79" t="str">
        <f>VLOOKUP(G95,MetaData!$A$2:$C$13,3,false)</f>
        <v>Syamsi Jawawi, S.Pd</v>
      </c>
      <c r="I95" s="79" t="s">
        <v>696</v>
      </c>
      <c r="J95" s="79" t="str">
        <f>VLOOKUP(I95,MetaData!$E$2:$G$40,3,false)</f>
        <v>Hanin</v>
      </c>
      <c r="K95" s="80"/>
    </row>
    <row r="96" ht="15.75" customHeight="1">
      <c r="A96" s="81">
        <v>110.0</v>
      </c>
      <c r="B96" s="77">
        <v>9.0</v>
      </c>
      <c r="C96" s="77" t="s">
        <v>876</v>
      </c>
      <c r="D96" s="77">
        <v>2.52610121E8</v>
      </c>
      <c r="E96" s="78" t="s">
        <v>701</v>
      </c>
      <c r="F96" s="77" t="s">
        <v>784</v>
      </c>
      <c r="G96" s="82" t="s">
        <v>29</v>
      </c>
      <c r="H96" s="82" t="str">
        <f>VLOOKUP(G96,MetaData!$A$2:$C$13,3,false)</f>
        <v>Syamsi Jawawi, S.Pd</v>
      </c>
      <c r="I96" s="82" t="s">
        <v>696</v>
      </c>
      <c r="J96" s="82" t="str">
        <f>VLOOKUP(I96,MetaData!$E$2:$G$40,3,false)</f>
        <v>Hanin</v>
      </c>
      <c r="K96" s="83"/>
    </row>
    <row r="97" ht="15.75" customHeight="1">
      <c r="A97" s="76">
        <v>111.0</v>
      </c>
      <c r="B97" s="77">
        <v>10.0</v>
      </c>
      <c r="C97" s="77" t="s">
        <v>877</v>
      </c>
      <c r="D97" s="77">
        <v>2.52610129E8</v>
      </c>
      <c r="E97" s="78" t="s">
        <v>335</v>
      </c>
      <c r="F97" s="77" t="s">
        <v>782</v>
      </c>
      <c r="G97" s="79" t="s">
        <v>29</v>
      </c>
      <c r="H97" s="79" t="str">
        <f>VLOOKUP(G97,MetaData!$A$2:$C$13,3,false)</f>
        <v>Syamsi Jawawi, S.Pd</v>
      </c>
      <c r="I97" s="79" t="s">
        <v>330</v>
      </c>
      <c r="J97" s="79" t="str">
        <f>VLOOKUP(I97,MetaData!$E$2:$G$40,3,false)</f>
        <v>Angga</v>
      </c>
      <c r="K97" s="80"/>
    </row>
    <row r="98" ht="15.75" customHeight="1">
      <c r="A98" s="81">
        <v>112.0</v>
      </c>
      <c r="B98" s="77">
        <v>11.0</v>
      </c>
      <c r="C98" s="77" t="s">
        <v>878</v>
      </c>
      <c r="D98" s="77">
        <v>2.52610136E8</v>
      </c>
      <c r="E98" s="78" t="s">
        <v>702</v>
      </c>
      <c r="F98" s="77" t="s">
        <v>784</v>
      </c>
      <c r="G98" s="82" t="s">
        <v>29</v>
      </c>
      <c r="H98" s="82" t="str">
        <f>VLOOKUP(G98,MetaData!$A$2:$C$13,3,false)</f>
        <v>Syamsi Jawawi, S.Pd</v>
      </c>
      <c r="I98" s="82" t="s">
        <v>696</v>
      </c>
      <c r="J98" s="82" t="str">
        <f>VLOOKUP(I98,MetaData!$E$2:$G$40,3,false)</f>
        <v>Hanin</v>
      </c>
      <c r="K98" s="83"/>
    </row>
    <row r="99" ht="15.75" customHeight="1">
      <c r="A99" s="76">
        <v>113.0</v>
      </c>
      <c r="B99" s="77">
        <v>12.0</v>
      </c>
      <c r="C99" s="77" t="s">
        <v>879</v>
      </c>
      <c r="D99" s="77">
        <v>2.52610138E8</v>
      </c>
      <c r="E99" s="78" t="s">
        <v>703</v>
      </c>
      <c r="F99" s="77" t="s">
        <v>784</v>
      </c>
      <c r="G99" s="79" t="s">
        <v>29</v>
      </c>
      <c r="H99" s="79" t="str">
        <f>VLOOKUP(G99,MetaData!$A$2:$C$13,3,false)</f>
        <v>Syamsi Jawawi, S.Pd</v>
      </c>
      <c r="I99" s="79" t="s">
        <v>696</v>
      </c>
      <c r="J99" s="79" t="str">
        <f>VLOOKUP(I99,MetaData!$E$2:$G$40,3,false)</f>
        <v>Hanin</v>
      </c>
      <c r="K99" s="80"/>
    </row>
    <row r="100" ht="15.75" customHeight="1">
      <c r="A100" s="81">
        <v>114.0</v>
      </c>
      <c r="B100" s="77">
        <v>13.0</v>
      </c>
      <c r="C100" s="77" t="s">
        <v>880</v>
      </c>
      <c r="D100" s="77">
        <v>2.52610148E8</v>
      </c>
      <c r="E100" s="78" t="s">
        <v>704</v>
      </c>
      <c r="F100" s="77" t="s">
        <v>784</v>
      </c>
      <c r="G100" s="82" t="s">
        <v>29</v>
      </c>
      <c r="H100" s="82" t="str">
        <f>VLOOKUP(G100,MetaData!$A$2:$C$13,3,false)</f>
        <v>Syamsi Jawawi, S.Pd</v>
      </c>
      <c r="I100" s="82" t="s">
        <v>696</v>
      </c>
      <c r="J100" s="82" t="str">
        <f>VLOOKUP(I100,MetaData!$E$2:$G$40,3,false)</f>
        <v>Hanin</v>
      </c>
      <c r="K100" s="83"/>
    </row>
    <row r="101" ht="15.75" customHeight="1">
      <c r="A101" s="76">
        <v>115.0</v>
      </c>
      <c r="B101" s="77">
        <v>14.0</v>
      </c>
      <c r="C101" s="77" t="s">
        <v>881</v>
      </c>
      <c r="D101" s="77">
        <v>2.52610158E8</v>
      </c>
      <c r="E101" s="78" t="s">
        <v>705</v>
      </c>
      <c r="F101" s="77" t="s">
        <v>784</v>
      </c>
      <c r="G101" s="79" t="s">
        <v>29</v>
      </c>
      <c r="H101" s="79" t="str">
        <f>VLOOKUP(G101,MetaData!$A$2:$C$13,3,false)</f>
        <v>Syamsi Jawawi, S.Pd</v>
      </c>
      <c r="I101" s="79" t="s">
        <v>696</v>
      </c>
      <c r="J101" s="79" t="str">
        <f>VLOOKUP(I101,MetaData!$E$2:$G$40,3,false)</f>
        <v>Hanin</v>
      </c>
      <c r="K101" s="80"/>
    </row>
    <row r="102" ht="15.75" customHeight="1">
      <c r="A102" s="81">
        <v>116.0</v>
      </c>
      <c r="B102" s="77">
        <v>15.0</v>
      </c>
      <c r="C102" s="77" t="s">
        <v>882</v>
      </c>
      <c r="D102" s="77">
        <v>2.52610187E8</v>
      </c>
      <c r="E102" s="78" t="s">
        <v>706</v>
      </c>
      <c r="F102" s="77" t="s">
        <v>784</v>
      </c>
      <c r="G102" s="82" t="s">
        <v>29</v>
      </c>
      <c r="H102" s="82" t="str">
        <f>VLOOKUP(G102,MetaData!$A$2:$C$13,3,false)</f>
        <v>Syamsi Jawawi, S.Pd</v>
      </c>
      <c r="I102" s="82" t="s">
        <v>696</v>
      </c>
      <c r="J102" s="82" t="str">
        <f>VLOOKUP(I102,MetaData!$E$2:$G$40,3,false)</f>
        <v>Hanin</v>
      </c>
      <c r="K102" s="83"/>
    </row>
    <row r="103" ht="15.75" customHeight="1">
      <c r="A103" s="76">
        <v>117.0</v>
      </c>
      <c r="B103" s="77">
        <v>16.0</v>
      </c>
      <c r="C103" s="77" t="s">
        <v>883</v>
      </c>
      <c r="D103" s="77">
        <v>2.5261019E8</v>
      </c>
      <c r="E103" s="78" t="s">
        <v>336</v>
      </c>
      <c r="F103" s="77" t="s">
        <v>782</v>
      </c>
      <c r="G103" s="79" t="s">
        <v>29</v>
      </c>
      <c r="H103" s="79" t="str">
        <f>VLOOKUP(G103,MetaData!$A$2:$C$13,3,false)</f>
        <v>Syamsi Jawawi, S.Pd</v>
      </c>
      <c r="I103" s="79" t="s">
        <v>330</v>
      </c>
      <c r="J103" s="79" t="str">
        <f>VLOOKUP(I103,MetaData!$E$2:$G$40,3,false)</f>
        <v>Angga</v>
      </c>
      <c r="K103" s="80"/>
    </row>
    <row r="104" ht="15.75" customHeight="1">
      <c r="A104" s="81">
        <v>118.0</v>
      </c>
      <c r="B104" s="77">
        <v>17.0</v>
      </c>
      <c r="C104" s="77" t="s">
        <v>884</v>
      </c>
      <c r="D104" s="77">
        <v>2.52610201E8</v>
      </c>
      <c r="E104" s="78" t="s">
        <v>337</v>
      </c>
      <c r="F104" s="77" t="s">
        <v>782</v>
      </c>
      <c r="G104" s="82" t="s">
        <v>29</v>
      </c>
      <c r="H104" s="82" t="str">
        <f>VLOOKUP(G104,MetaData!$A$2:$C$13,3,false)</f>
        <v>Syamsi Jawawi, S.Pd</v>
      </c>
      <c r="I104" s="82" t="s">
        <v>330</v>
      </c>
      <c r="J104" s="82" t="str">
        <f>VLOOKUP(I104,MetaData!$E$2:$G$40,3,false)</f>
        <v>Angga</v>
      </c>
      <c r="K104" s="83"/>
    </row>
    <row r="105" ht="15.75" customHeight="1">
      <c r="A105" s="76">
        <v>119.0</v>
      </c>
      <c r="B105" s="77">
        <v>18.0</v>
      </c>
      <c r="C105" s="77" t="s">
        <v>885</v>
      </c>
      <c r="D105" s="77">
        <v>2.52610204E8</v>
      </c>
      <c r="E105" s="78" t="s">
        <v>707</v>
      </c>
      <c r="F105" s="77" t="s">
        <v>784</v>
      </c>
      <c r="G105" s="79" t="s">
        <v>29</v>
      </c>
      <c r="H105" s="79" t="str">
        <f>VLOOKUP(G105,MetaData!$A$2:$C$13,3,false)</f>
        <v>Syamsi Jawawi, S.Pd</v>
      </c>
      <c r="I105" s="79" t="s">
        <v>696</v>
      </c>
      <c r="J105" s="79" t="str">
        <f>VLOOKUP(I105,MetaData!$E$2:$G$40,3,false)</f>
        <v>Hanin</v>
      </c>
      <c r="K105" s="80"/>
    </row>
    <row r="106" ht="15.75" customHeight="1">
      <c r="A106" s="81">
        <v>120.0</v>
      </c>
      <c r="B106" s="77">
        <v>22.0</v>
      </c>
      <c r="C106" s="77" t="s">
        <v>886</v>
      </c>
      <c r="D106" s="77">
        <v>2.52610237E8</v>
      </c>
      <c r="E106" s="78" t="s">
        <v>338</v>
      </c>
      <c r="F106" s="77" t="s">
        <v>782</v>
      </c>
      <c r="G106" s="82" t="s">
        <v>29</v>
      </c>
      <c r="H106" s="82" t="str">
        <f>VLOOKUP(G106,MetaData!$A$2:$C$13,3,false)</f>
        <v>Syamsi Jawawi, S.Pd</v>
      </c>
      <c r="I106" s="82" t="s">
        <v>330</v>
      </c>
      <c r="J106" s="82" t="str">
        <f>VLOOKUP(I106,MetaData!$E$2:$G$40,3,false)</f>
        <v>Angga</v>
      </c>
      <c r="K106" s="83"/>
    </row>
    <row r="107" ht="15.75" customHeight="1">
      <c r="A107" s="76">
        <v>121.0</v>
      </c>
      <c r="B107" s="77">
        <v>23.0</v>
      </c>
      <c r="C107" s="77" t="s">
        <v>887</v>
      </c>
      <c r="D107" s="77">
        <v>2.52610259E8</v>
      </c>
      <c r="E107" s="78" t="s">
        <v>708</v>
      </c>
      <c r="F107" s="77" t="s">
        <v>784</v>
      </c>
      <c r="G107" s="79" t="s">
        <v>29</v>
      </c>
      <c r="H107" s="79" t="str">
        <f>VLOOKUP(G107,MetaData!$A$2:$C$13,3,false)</f>
        <v>Syamsi Jawawi, S.Pd</v>
      </c>
      <c r="I107" s="79" t="s">
        <v>696</v>
      </c>
      <c r="J107" s="79" t="str">
        <f>VLOOKUP(I107,MetaData!$E$2:$G$40,3,false)</f>
        <v>Hanin</v>
      </c>
      <c r="K107" s="80"/>
    </row>
    <row r="108" ht="15.75" customHeight="1">
      <c r="A108" s="81">
        <v>122.0</v>
      </c>
      <c r="B108" s="77">
        <v>25.0</v>
      </c>
      <c r="C108" s="77" t="s">
        <v>888</v>
      </c>
      <c r="D108" s="77">
        <v>2.52610276E8</v>
      </c>
      <c r="E108" s="78" t="s">
        <v>709</v>
      </c>
      <c r="F108" s="77" t="s">
        <v>784</v>
      </c>
      <c r="G108" s="82" t="s">
        <v>29</v>
      </c>
      <c r="H108" s="82" t="str">
        <f>VLOOKUP(G108,MetaData!$A$2:$C$13,3,false)</f>
        <v>Syamsi Jawawi, S.Pd</v>
      </c>
      <c r="I108" s="82" t="s">
        <v>696</v>
      </c>
      <c r="J108" s="82" t="str">
        <f>VLOOKUP(I108,MetaData!$E$2:$G$40,3,false)</f>
        <v>Hanin</v>
      </c>
      <c r="K108" s="83"/>
    </row>
    <row r="109" ht="15.75" customHeight="1">
      <c r="A109" s="76">
        <v>123.0</v>
      </c>
      <c r="B109" s="77">
        <v>26.0</v>
      </c>
      <c r="C109" s="77" t="s">
        <v>889</v>
      </c>
      <c r="D109" s="77">
        <v>2.52610278E8</v>
      </c>
      <c r="E109" s="78" t="s">
        <v>339</v>
      </c>
      <c r="F109" s="77" t="s">
        <v>782</v>
      </c>
      <c r="G109" s="79" t="s">
        <v>29</v>
      </c>
      <c r="H109" s="79" t="str">
        <f>VLOOKUP(G109,MetaData!$A$2:$C$13,3,false)</f>
        <v>Syamsi Jawawi, S.Pd</v>
      </c>
      <c r="I109" s="79" t="s">
        <v>330</v>
      </c>
      <c r="J109" s="79" t="str">
        <f>VLOOKUP(I109,MetaData!$E$2:$G$40,3,false)</f>
        <v>Angga</v>
      </c>
      <c r="K109" s="80"/>
    </row>
    <row r="110" ht="15.75" customHeight="1">
      <c r="A110" s="81">
        <v>124.0</v>
      </c>
      <c r="B110" s="77">
        <v>27.0</v>
      </c>
      <c r="C110" s="77" t="s">
        <v>890</v>
      </c>
      <c r="D110" s="77">
        <v>2.52610287E8</v>
      </c>
      <c r="E110" s="78" t="s">
        <v>540</v>
      </c>
      <c r="F110" s="77" t="s">
        <v>784</v>
      </c>
      <c r="G110" s="82" t="s">
        <v>29</v>
      </c>
      <c r="H110" s="82" t="str">
        <f>VLOOKUP(G110,MetaData!$A$2:$C$13,3,false)</f>
        <v>Syamsi Jawawi, S.Pd</v>
      </c>
      <c r="I110" s="82" t="s">
        <v>538</v>
      </c>
      <c r="J110" s="82" t="str">
        <f>VLOOKUP(I110,MetaData!$E$2:$G$40,3,false)</f>
        <v>Zhafira (XI)</v>
      </c>
      <c r="K110" s="83"/>
    </row>
    <row r="111" ht="15.75" customHeight="1">
      <c r="A111" s="76">
        <v>125.0</v>
      </c>
      <c r="B111" s="77">
        <v>29.0</v>
      </c>
      <c r="C111" s="77" t="s">
        <v>891</v>
      </c>
      <c r="D111" s="77">
        <v>2.52610301E8</v>
      </c>
      <c r="E111" s="78" t="s">
        <v>541</v>
      </c>
      <c r="F111" s="77" t="s">
        <v>784</v>
      </c>
      <c r="G111" s="79" t="s">
        <v>29</v>
      </c>
      <c r="H111" s="79" t="str">
        <f>VLOOKUP(G111,MetaData!$A$2:$C$13,3,false)</f>
        <v>Syamsi Jawawi, S.Pd</v>
      </c>
      <c r="I111" s="79" t="s">
        <v>538</v>
      </c>
      <c r="J111" s="79" t="str">
        <f>VLOOKUP(I111,MetaData!$E$2:$G$40,3,false)</f>
        <v>Zhafira (XI)</v>
      </c>
      <c r="K111" s="80"/>
    </row>
    <row r="112" ht="15.75" customHeight="1">
      <c r="A112" s="81">
        <v>126.0</v>
      </c>
      <c r="B112" s="77">
        <v>32.0</v>
      </c>
      <c r="C112" s="77" t="s">
        <v>892</v>
      </c>
      <c r="D112" s="77">
        <v>2.52610381E8</v>
      </c>
      <c r="E112" s="78" t="s">
        <v>340</v>
      </c>
      <c r="F112" s="77" t="s">
        <v>782</v>
      </c>
      <c r="G112" s="82" t="s">
        <v>29</v>
      </c>
      <c r="H112" s="82" t="str">
        <f>VLOOKUP(G112,MetaData!$A$2:$C$13,3,false)</f>
        <v>Syamsi Jawawi, S.Pd</v>
      </c>
      <c r="I112" s="82" t="s">
        <v>330</v>
      </c>
      <c r="J112" s="82" t="str">
        <f>VLOOKUP(I112,MetaData!$E$2:$G$40,3,false)</f>
        <v>Angga</v>
      </c>
      <c r="K112" s="83"/>
    </row>
    <row r="113" ht="15.75" customHeight="1">
      <c r="A113" s="76">
        <v>127.0</v>
      </c>
      <c r="B113" s="77">
        <v>33.0</v>
      </c>
      <c r="C113" s="77" t="s">
        <v>893</v>
      </c>
      <c r="D113" s="77">
        <v>2.52610386E8</v>
      </c>
      <c r="E113" s="78" t="s">
        <v>542</v>
      </c>
      <c r="F113" s="77" t="s">
        <v>784</v>
      </c>
      <c r="G113" s="79" t="s">
        <v>29</v>
      </c>
      <c r="H113" s="79" t="str">
        <f>VLOOKUP(G113,MetaData!$A$2:$C$13,3,false)</f>
        <v>Syamsi Jawawi, S.Pd</v>
      </c>
      <c r="I113" s="79" t="s">
        <v>538</v>
      </c>
      <c r="J113" s="79" t="str">
        <f>VLOOKUP(I113,MetaData!$E$2:$G$40,3,false)</f>
        <v>Zhafira (XI)</v>
      </c>
      <c r="K113" s="80"/>
    </row>
    <row r="114" ht="15.75" customHeight="1">
      <c r="A114" s="81">
        <v>128.0</v>
      </c>
      <c r="B114" s="77">
        <v>34.0</v>
      </c>
      <c r="C114" s="77" t="s">
        <v>894</v>
      </c>
      <c r="D114" s="77">
        <v>2.52610415E8</v>
      </c>
      <c r="E114" s="78" t="s">
        <v>543</v>
      </c>
      <c r="F114" s="77" t="s">
        <v>784</v>
      </c>
      <c r="G114" s="82" t="s">
        <v>29</v>
      </c>
      <c r="H114" s="82" t="str">
        <f>VLOOKUP(G114,MetaData!$A$2:$C$13,3,false)</f>
        <v>Syamsi Jawawi, S.Pd</v>
      </c>
      <c r="I114" s="82" t="s">
        <v>538</v>
      </c>
      <c r="J114" s="82" t="str">
        <f>VLOOKUP(I114,MetaData!$E$2:$G$40,3,false)</f>
        <v>Zhafira (XI)</v>
      </c>
      <c r="K114" s="83"/>
    </row>
    <row r="115" ht="15.75" customHeight="1">
      <c r="A115" s="76">
        <v>129.0</v>
      </c>
      <c r="B115" s="77">
        <v>35.0</v>
      </c>
      <c r="C115" s="77" t="s">
        <v>895</v>
      </c>
      <c r="D115" s="77">
        <v>2.52610422E8</v>
      </c>
      <c r="E115" s="78" t="s">
        <v>341</v>
      </c>
      <c r="F115" s="77" t="s">
        <v>782</v>
      </c>
      <c r="G115" s="79" t="s">
        <v>29</v>
      </c>
      <c r="H115" s="79" t="str">
        <f>VLOOKUP(G115,MetaData!$A$2:$C$13,3,false)</f>
        <v>Syamsi Jawawi, S.Pd</v>
      </c>
      <c r="I115" s="79" t="s">
        <v>330</v>
      </c>
      <c r="J115" s="79" t="str">
        <f>VLOOKUP(I115,MetaData!$E$2:$G$40,3,false)</f>
        <v>Angga</v>
      </c>
      <c r="K115" s="80"/>
    </row>
    <row r="116" ht="15.75" customHeight="1">
      <c r="A116" s="81">
        <v>130.0</v>
      </c>
      <c r="B116" s="77">
        <v>36.0</v>
      </c>
      <c r="C116" s="77" t="s">
        <v>896</v>
      </c>
      <c r="D116" s="77">
        <v>2.52610426E8</v>
      </c>
      <c r="E116" s="78" t="s">
        <v>544</v>
      </c>
      <c r="F116" s="77" t="s">
        <v>784</v>
      </c>
      <c r="G116" s="82" t="s">
        <v>29</v>
      </c>
      <c r="H116" s="82" t="str">
        <f>VLOOKUP(G116,MetaData!$A$2:$C$13,3,false)</f>
        <v>Syamsi Jawawi, S.Pd</v>
      </c>
      <c r="I116" s="82" t="s">
        <v>538</v>
      </c>
      <c r="J116" s="82" t="str">
        <f>VLOOKUP(I116,MetaData!$E$2:$G$40,3,false)</f>
        <v>Zhafira (XI)</v>
      </c>
      <c r="K116" s="83"/>
    </row>
    <row r="117" ht="15.75" customHeight="1">
      <c r="A117" s="76">
        <v>131.0</v>
      </c>
      <c r="B117" s="77">
        <v>37.0</v>
      </c>
      <c r="C117" s="77" t="s">
        <v>897</v>
      </c>
      <c r="D117" s="77">
        <v>2.52610432E8</v>
      </c>
      <c r="E117" s="78" t="s">
        <v>342</v>
      </c>
      <c r="F117" s="77" t="s">
        <v>782</v>
      </c>
      <c r="G117" s="79" t="s">
        <v>29</v>
      </c>
      <c r="H117" s="79" t="str">
        <f>VLOOKUP(G117,MetaData!$A$2:$C$13,3,false)</f>
        <v>Syamsi Jawawi, S.Pd</v>
      </c>
      <c r="I117" s="79" t="s">
        <v>330</v>
      </c>
      <c r="J117" s="79" t="str">
        <f>VLOOKUP(I117,MetaData!$E$2:$G$40,3,false)</f>
        <v>Angga</v>
      </c>
      <c r="K117" s="80"/>
    </row>
    <row r="118" ht="15.75" customHeight="1">
      <c r="A118" s="81">
        <v>132.0</v>
      </c>
      <c r="B118" s="77">
        <v>38.0</v>
      </c>
      <c r="C118" s="77" t="s">
        <v>898</v>
      </c>
      <c r="D118" s="77">
        <v>2.52610438E8</v>
      </c>
      <c r="E118" s="78" t="s">
        <v>545</v>
      </c>
      <c r="F118" s="77" t="s">
        <v>784</v>
      </c>
      <c r="G118" s="82" t="s">
        <v>29</v>
      </c>
      <c r="H118" s="82" t="str">
        <f>VLOOKUP(G118,MetaData!$A$2:$C$13,3,false)</f>
        <v>Syamsi Jawawi, S.Pd</v>
      </c>
      <c r="I118" s="82" t="s">
        <v>538</v>
      </c>
      <c r="J118" s="82" t="str">
        <f>VLOOKUP(I118,MetaData!$E$2:$G$40,3,false)</f>
        <v>Zhafira (XI)</v>
      </c>
      <c r="K118" s="83"/>
    </row>
    <row r="119" ht="15.75" customHeight="1">
      <c r="A119" s="76">
        <v>133.0</v>
      </c>
      <c r="B119" s="77">
        <v>39.0</v>
      </c>
      <c r="C119" s="77" t="s">
        <v>899</v>
      </c>
      <c r="D119" s="77">
        <v>2.52610439E8</v>
      </c>
      <c r="E119" s="78" t="s">
        <v>546</v>
      </c>
      <c r="F119" s="77" t="s">
        <v>784</v>
      </c>
      <c r="G119" s="79" t="s">
        <v>29</v>
      </c>
      <c r="H119" s="79" t="str">
        <f>VLOOKUP(G119,MetaData!$A$2:$C$13,3,false)</f>
        <v>Syamsi Jawawi, S.Pd</v>
      </c>
      <c r="I119" s="79" t="s">
        <v>538</v>
      </c>
      <c r="J119" s="79" t="str">
        <f>VLOOKUP(I119,MetaData!$E$2:$G$40,3,false)</f>
        <v>Zhafira (XI)</v>
      </c>
      <c r="K119" s="80"/>
    </row>
    <row r="120" ht="15.75" customHeight="1">
      <c r="A120" s="81">
        <v>134.0</v>
      </c>
      <c r="B120" s="77">
        <v>40.0</v>
      </c>
      <c r="C120" s="77" t="s">
        <v>900</v>
      </c>
      <c r="D120" s="77">
        <v>2.52610461E8</v>
      </c>
      <c r="E120" s="78" t="s">
        <v>547</v>
      </c>
      <c r="F120" s="77" t="s">
        <v>784</v>
      </c>
      <c r="G120" s="82" t="s">
        <v>29</v>
      </c>
      <c r="H120" s="82" t="str">
        <f>VLOOKUP(G120,MetaData!$A$2:$C$13,3,false)</f>
        <v>Syamsi Jawawi, S.Pd</v>
      </c>
      <c r="I120" s="82" t="s">
        <v>538</v>
      </c>
      <c r="J120" s="82" t="str">
        <f>VLOOKUP(I120,MetaData!$E$2:$G$40,3,false)</f>
        <v>Zhafira (XI)</v>
      </c>
      <c r="K120" s="83"/>
    </row>
    <row r="121" ht="15.75" customHeight="1">
      <c r="A121" s="76">
        <v>135.0</v>
      </c>
      <c r="B121" s="77">
        <v>41.0</v>
      </c>
      <c r="C121" s="77" t="s">
        <v>901</v>
      </c>
      <c r="D121" s="77">
        <v>2.52610485E8</v>
      </c>
      <c r="E121" s="78" t="s">
        <v>343</v>
      </c>
      <c r="F121" s="77" t="s">
        <v>782</v>
      </c>
      <c r="G121" s="79" t="s">
        <v>29</v>
      </c>
      <c r="H121" s="79" t="str">
        <f>VLOOKUP(G121,MetaData!$A$2:$C$13,3,false)</f>
        <v>Syamsi Jawawi, S.Pd</v>
      </c>
      <c r="I121" s="79" t="s">
        <v>330</v>
      </c>
      <c r="J121" s="79" t="str">
        <f>VLOOKUP(I121,MetaData!$E$2:$G$40,3,false)</f>
        <v>Angga</v>
      </c>
      <c r="K121" s="80"/>
    </row>
    <row r="122" ht="15.75" customHeight="1">
      <c r="A122" s="81">
        <v>136.0</v>
      </c>
      <c r="B122" s="77">
        <v>42.0</v>
      </c>
      <c r="C122" s="77" t="s">
        <v>902</v>
      </c>
      <c r="D122" s="77">
        <v>2.52610501E8</v>
      </c>
      <c r="E122" s="78" t="s">
        <v>548</v>
      </c>
      <c r="F122" s="77" t="s">
        <v>784</v>
      </c>
      <c r="G122" s="82" t="s">
        <v>29</v>
      </c>
      <c r="H122" s="82" t="str">
        <f>VLOOKUP(G122,MetaData!$A$2:$C$13,3,false)</f>
        <v>Syamsi Jawawi, S.Pd</v>
      </c>
      <c r="I122" s="82" t="s">
        <v>538</v>
      </c>
      <c r="J122" s="82" t="str">
        <f>VLOOKUP(I122,MetaData!$E$2:$G$40,3,false)</f>
        <v>Zhafira (XI)</v>
      </c>
      <c r="K122" s="83"/>
    </row>
    <row r="123" ht="15.75" customHeight="1">
      <c r="A123" s="76">
        <v>137.0</v>
      </c>
      <c r="B123" s="77">
        <v>43.0</v>
      </c>
      <c r="C123" s="77" t="s">
        <v>903</v>
      </c>
      <c r="D123" s="77">
        <v>2.5261052E8</v>
      </c>
      <c r="E123" s="78" t="s">
        <v>549</v>
      </c>
      <c r="F123" s="77" t="s">
        <v>784</v>
      </c>
      <c r="G123" s="79" t="s">
        <v>29</v>
      </c>
      <c r="H123" s="79" t="str">
        <f>VLOOKUP(G123,MetaData!$A$2:$C$13,3,false)</f>
        <v>Syamsi Jawawi, S.Pd</v>
      </c>
      <c r="I123" s="79" t="s">
        <v>538</v>
      </c>
      <c r="J123" s="79" t="str">
        <f>VLOOKUP(I123,MetaData!$E$2:$G$40,3,false)</f>
        <v>Zhafira (XI)</v>
      </c>
      <c r="K123" s="80"/>
    </row>
    <row r="124" ht="15.75" customHeight="1">
      <c r="A124" s="81">
        <v>138.0</v>
      </c>
      <c r="B124" s="77">
        <v>44.0</v>
      </c>
      <c r="C124" s="77" t="s">
        <v>904</v>
      </c>
      <c r="D124" s="77">
        <v>2.52610555E8</v>
      </c>
      <c r="E124" s="78" t="s">
        <v>550</v>
      </c>
      <c r="F124" s="77" t="s">
        <v>784</v>
      </c>
      <c r="G124" s="82" t="s">
        <v>29</v>
      </c>
      <c r="H124" s="82" t="str">
        <f>VLOOKUP(G124,MetaData!$A$2:$C$13,3,false)</f>
        <v>Syamsi Jawawi, S.Pd</v>
      </c>
      <c r="I124" s="82" t="s">
        <v>538</v>
      </c>
      <c r="J124" s="82" t="str">
        <f>VLOOKUP(I124,MetaData!$E$2:$G$40,3,false)</f>
        <v>Zhafira (XI)</v>
      </c>
      <c r="K124" s="83"/>
    </row>
    <row r="125" ht="15.75" customHeight="1">
      <c r="A125" s="76">
        <v>139.0</v>
      </c>
      <c r="B125" s="77">
        <v>45.0</v>
      </c>
      <c r="C125" s="77" t="s">
        <v>905</v>
      </c>
      <c r="D125" s="77">
        <v>2.52610556E8</v>
      </c>
      <c r="E125" s="78" t="s">
        <v>551</v>
      </c>
      <c r="F125" s="77" t="s">
        <v>784</v>
      </c>
      <c r="G125" s="79" t="s">
        <v>29</v>
      </c>
      <c r="H125" s="79" t="str">
        <f>VLOOKUP(G125,MetaData!$A$2:$C$13,3,false)</f>
        <v>Syamsi Jawawi, S.Pd</v>
      </c>
      <c r="I125" s="79" t="s">
        <v>538</v>
      </c>
      <c r="J125" s="79" t="str">
        <f>VLOOKUP(I125,MetaData!$E$2:$G$40,3,false)</f>
        <v>Zhafira (XI)</v>
      </c>
      <c r="K125" s="80"/>
    </row>
    <row r="126" ht="15.75" customHeight="1">
      <c r="A126" s="81">
        <v>140.0</v>
      </c>
      <c r="B126" s="77">
        <v>46.0</v>
      </c>
      <c r="C126" s="77" t="s">
        <v>906</v>
      </c>
      <c r="D126" s="77">
        <v>2.52610247E8</v>
      </c>
      <c r="E126" s="78" t="s">
        <v>539</v>
      </c>
      <c r="F126" s="77" t="s">
        <v>784</v>
      </c>
      <c r="G126" s="82" t="s">
        <v>29</v>
      </c>
      <c r="H126" s="82" t="str">
        <f>VLOOKUP(G126,MetaData!$A$2:$C$13,3,false)</f>
        <v>Syamsi Jawawi, S.Pd</v>
      </c>
      <c r="I126" s="82" t="s">
        <v>538</v>
      </c>
      <c r="J126" s="82" t="str">
        <f>VLOOKUP(I126,MetaData!$E$2:$G$40,3,false)</f>
        <v>Zhafira (XI)</v>
      </c>
      <c r="K126" s="83"/>
    </row>
    <row r="127" ht="15.75" customHeight="1">
      <c r="A127" s="84">
        <v>148.0</v>
      </c>
      <c r="B127" s="77">
        <v>1.0</v>
      </c>
      <c r="C127" s="77" t="s">
        <v>907</v>
      </c>
      <c r="D127" s="77">
        <v>2.52610016E8</v>
      </c>
      <c r="E127" s="78" t="s">
        <v>313</v>
      </c>
      <c r="F127" s="77" t="s">
        <v>782</v>
      </c>
      <c r="G127" s="79" t="s">
        <v>37</v>
      </c>
      <c r="H127" s="79" t="str">
        <f>VLOOKUP(G127,MetaData!$A$2:$C$13,3,false)</f>
        <v>Dwi Lestari, S.Pd</v>
      </c>
      <c r="I127" s="79" t="s">
        <v>312</v>
      </c>
      <c r="J127" s="79" t="str">
        <f>VLOOKUP(I127,MetaData!$E$2:$G$40,3,false)</f>
        <v>Rizky Putra</v>
      </c>
      <c r="K127" s="80"/>
    </row>
    <row r="128" ht="15.75" customHeight="1">
      <c r="A128" s="85">
        <v>149.0</v>
      </c>
      <c r="B128" s="77">
        <v>2.0</v>
      </c>
      <c r="C128" s="77" t="s">
        <v>908</v>
      </c>
      <c r="D128" s="77">
        <v>2.52610018E8</v>
      </c>
      <c r="E128" s="78" t="s">
        <v>314</v>
      </c>
      <c r="F128" s="77" t="s">
        <v>782</v>
      </c>
      <c r="G128" s="82" t="s">
        <v>37</v>
      </c>
      <c r="H128" s="82" t="str">
        <f>VLOOKUP(G128,MetaData!$A$2:$C$13,3,false)</f>
        <v>Dwi Lestari, S.Pd</v>
      </c>
      <c r="I128" s="82" t="s">
        <v>312</v>
      </c>
      <c r="J128" s="82" t="str">
        <f>VLOOKUP(I128,MetaData!$E$2:$G$40,3,false)</f>
        <v>Rizky Putra</v>
      </c>
      <c r="K128" s="83"/>
    </row>
    <row r="129" ht="15.75" customHeight="1">
      <c r="A129" s="84">
        <v>150.0</v>
      </c>
      <c r="B129" s="77">
        <v>3.0</v>
      </c>
      <c r="C129" s="77" t="s">
        <v>909</v>
      </c>
      <c r="D129" s="77">
        <v>2.52610038E8</v>
      </c>
      <c r="E129" s="78" t="s">
        <v>315</v>
      </c>
      <c r="F129" s="77" t="s">
        <v>782</v>
      </c>
      <c r="G129" s="79" t="s">
        <v>37</v>
      </c>
      <c r="H129" s="79" t="str">
        <f>VLOOKUP(G129,MetaData!$A$2:$C$13,3,false)</f>
        <v>Dwi Lestari, S.Pd</v>
      </c>
      <c r="I129" s="79" t="s">
        <v>312</v>
      </c>
      <c r="J129" s="79" t="str">
        <f>VLOOKUP(I129,MetaData!$E$2:$G$40,3,false)</f>
        <v>Rizky Putra</v>
      </c>
      <c r="K129" s="80"/>
    </row>
    <row r="130" ht="15.75" customHeight="1">
      <c r="A130" s="85">
        <v>151.0</v>
      </c>
      <c r="B130" s="77">
        <v>4.0</v>
      </c>
      <c r="C130" s="77" t="s">
        <v>910</v>
      </c>
      <c r="D130" s="77">
        <v>2.52610045E8</v>
      </c>
      <c r="E130" s="78" t="s">
        <v>684</v>
      </c>
      <c r="F130" s="77" t="s">
        <v>784</v>
      </c>
      <c r="G130" s="82" t="s">
        <v>37</v>
      </c>
      <c r="H130" s="82" t="str">
        <f>VLOOKUP(G130,MetaData!$A$2:$C$13,3,false)</f>
        <v>Dwi Lestari, S.Pd</v>
      </c>
      <c r="I130" s="82" t="s">
        <v>683</v>
      </c>
      <c r="J130" s="82" t="str">
        <f>VLOOKUP(I130,MetaData!$E$2:$G$40,3,false)</f>
        <v>Najla</v>
      </c>
      <c r="K130" s="83"/>
    </row>
    <row r="131" ht="15.75" customHeight="1">
      <c r="A131" s="84">
        <v>152.0</v>
      </c>
      <c r="B131" s="77">
        <v>5.0</v>
      </c>
      <c r="C131" s="77" t="s">
        <v>911</v>
      </c>
      <c r="D131" s="77">
        <v>2.52610049E8</v>
      </c>
      <c r="E131" s="78" t="s">
        <v>685</v>
      </c>
      <c r="F131" s="77" t="s">
        <v>784</v>
      </c>
      <c r="G131" s="79" t="s">
        <v>37</v>
      </c>
      <c r="H131" s="79" t="str">
        <f>VLOOKUP(G131,MetaData!$A$2:$C$13,3,false)</f>
        <v>Dwi Lestari, S.Pd</v>
      </c>
      <c r="I131" s="79" t="s">
        <v>683</v>
      </c>
      <c r="J131" s="79" t="str">
        <f>VLOOKUP(I131,MetaData!$E$2:$G$40,3,false)</f>
        <v>Najla</v>
      </c>
      <c r="K131" s="80"/>
    </row>
    <row r="132" ht="15.75" customHeight="1">
      <c r="A132" s="85">
        <v>153.0</v>
      </c>
      <c r="B132" s="77">
        <v>6.0</v>
      </c>
      <c r="C132" s="77" t="s">
        <v>912</v>
      </c>
      <c r="D132" s="77">
        <v>2.52610056E8</v>
      </c>
      <c r="E132" s="78" t="s">
        <v>432</v>
      </c>
      <c r="F132" s="77" t="s">
        <v>784</v>
      </c>
      <c r="G132" s="82" t="s">
        <v>37</v>
      </c>
      <c r="H132" s="82" t="str">
        <f>VLOOKUP(G132,MetaData!$A$2:$C$13,3,false)</f>
        <v>Dwi Lestari, S.Pd</v>
      </c>
      <c r="I132" s="82" t="s">
        <v>428</v>
      </c>
      <c r="J132" s="82" t="str">
        <f>VLOOKUP(I132,MetaData!$E$2:$G$40,3,false)</f>
        <v>Iga</v>
      </c>
      <c r="K132" s="83"/>
    </row>
    <row r="133" ht="15.75" customHeight="1">
      <c r="A133" s="84">
        <v>154.0</v>
      </c>
      <c r="B133" s="77">
        <v>7.0</v>
      </c>
      <c r="C133" s="77" t="s">
        <v>913</v>
      </c>
      <c r="D133" s="77">
        <v>2.52610069E8</v>
      </c>
      <c r="E133" s="78" t="s">
        <v>686</v>
      </c>
      <c r="F133" s="77" t="s">
        <v>784</v>
      </c>
      <c r="G133" s="79" t="s">
        <v>37</v>
      </c>
      <c r="H133" s="79" t="str">
        <f>VLOOKUP(G133,MetaData!$A$2:$C$13,3,false)</f>
        <v>Dwi Lestari, S.Pd</v>
      </c>
      <c r="I133" s="79" t="s">
        <v>683</v>
      </c>
      <c r="J133" s="79" t="str">
        <f>VLOOKUP(I133,MetaData!$E$2:$G$40,3,false)</f>
        <v>Najla</v>
      </c>
      <c r="K133" s="80"/>
    </row>
    <row r="134" ht="15.75" customHeight="1">
      <c r="A134" s="85">
        <v>155.0</v>
      </c>
      <c r="B134" s="77">
        <v>8.0</v>
      </c>
      <c r="C134" s="77" t="s">
        <v>914</v>
      </c>
      <c r="D134" s="77">
        <v>2.52610074E8</v>
      </c>
      <c r="E134" s="78" t="s">
        <v>687</v>
      </c>
      <c r="F134" s="77" t="s">
        <v>784</v>
      </c>
      <c r="G134" s="82" t="s">
        <v>37</v>
      </c>
      <c r="H134" s="82" t="str">
        <f>VLOOKUP(G134,MetaData!$A$2:$C$13,3,false)</f>
        <v>Dwi Lestari, S.Pd</v>
      </c>
      <c r="I134" s="82" t="s">
        <v>683</v>
      </c>
      <c r="J134" s="82" t="str">
        <f>VLOOKUP(I134,MetaData!$E$2:$G$40,3,false)</f>
        <v>Najla</v>
      </c>
      <c r="K134" s="83"/>
    </row>
    <row r="135" ht="15.75" customHeight="1">
      <c r="A135" s="84">
        <v>156.0</v>
      </c>
      <c r="B135" s="77">
        <v>9.0</v>
      </c>
      <c r="C135" s="77" t="s">
        <v>915</v>
      </c>
      <c r="D135" s="77">
        <v>2.52610132E8</v>
      </c>
      <c r="E135" s="78" t="s">
        <v>688</v>
      </c>
      <c r="F135" s="77" t="s">
        <v>784</v>
      </c>
      <c r="G135" s="79" t="s">
        <v>37</v>
      </c>
      <c r="H135" s="79" t="str">
        <f>VLOOKUP(G135,MetaData!$A$2:$C$13,3,false)</f>
        <v>Dwi Lestari, S.Pd</v>
      </c>
      <c r="I135" s="79" t="s">
        <v>683</v>
      </c>
      <c r="J135" s="79" t="str">
        <f>VLOOKUP(I135,MetaData!$E$2:$G$40,3,false)</f>
        <v>Najla</v>
      </c>
      <c r="K135" s="80"/>
    </row>
    <row r="136" ht="15.75" customHeight="1">
      <c r="A136" s="85">
        <v>157.0</v>
      </c>
      <c r="B136" s="77">
        <v>10.0</v>
      </c>
      <c r="C136" s="77" t="s">
        <v>916</v>
      </c>
      <c r="D136" s="77">
        <v>2.52610155E8</v>
      </c>
      <c r="E136" s="78" t="s">
        <v>689</v>
      </c>
      <c r="F136" s="77" t="s">
        <v>784</v>
      </c>
      <c r="G136" s="82" t="s">
        <v>37</v>
      </c>
      <c r="H136" s="82" t="str">
        <f>VLOOKUP(G136,MetaData!$A$2:$C$13,3,false)</f>
        <v>Dwi Lestari, S.Pd</v>
      </c>
      <c r="I136" s="82" t="s">
        <v>683</v>
      </c>
      <c r="J136" s="82" t="str">
        <f>VLOOKUP(I136,MetaData!$E$2:$G$40,3,false)</f>
        <v>Najla</v>
      </c>
      <c r="K136" s="83"/>
    </row>
    <row r="137" ht="15.75" customHeight="1">
      <c r="A137" s="84">
        <v>158.0</v>
      </c>
      <c r="B137" s="77">
        <v>11.0</v>
      </c>
      <c r="C137" s="77" t="s">
        <v>917</v>
      </c>
      <c r="D137" s="77">
        <v>2.52610162E8</v>
      </c>
      <c r="E137" s="78" t="s">
        <v>316</v>
      </c>
      <c r="F137" s="77" t="s">
        <v>782</v>
      </c>
      <c r="G137" s="79" t="s">
        <v>37</v>
      </c>
      <c r="H137" s="79" t="str">
        <f>VLOOKUP(G137,MetaData!$A$2:$C$13,3,false)</f>
        <v>Dwi Lestari, S.Pd</v>
      </c>
      <c r="I137" s="79" t="s">
        <v>312</v>
      </c>
      <c r="J137" s="79" t="str">
        <f>VLOOKUP(I137,MetaData!$E$2:$G$40,3,false)</f>
        <v>Rizky Putra</v>
      </c>
      <c r="K137" s="80"/>
    </row>
    <row r="138" ht="15.75" customHeight="1">
      <c r="A138" s="85">
        <v>159.0</v>
      </c>
      <c r="B138" s="77">
        <v>12.0</v>
      </c>
      <c r="C138" s="77" t="s">
        <v>918</v>
      </c>
      <c r="D138" s="77">
        <v>2.52610173E8</v>
      </c>
      <c r="E138" s="78" t="s">
        <v>690</v>
      </c>
      <c r="F138" s="77" t="s">
        <v>784</v>
      </c>
      <c r="G138" s="82" t="s">
        <v>37</v>
      </c>
      <c r="H138" s="82" t="str">
        <f>VLOOKUP(G138,MetaData!$A$2:$C$13,3,false)</f>
        <v>Dwi Lestari, S.Pd</v>
      </c>
      <c r="I138" s="82" t="s">
        <v>683</v>
      </c>
      <c r="J138" s="82" t="str">
        <f>VLOOKUP(I138,MetaData!$E$2:$G$40,3,false)</f>
        <v>Najla</v>
      </c>
      <c r="K138" s="83"/>
    </row>
    <row r="139" ht="15.75" customHeight="1">
      <c r="A139" s="84">
        <v>160.0</v>
      </c>
      <c r="B139" s="77">
        <v>13.0</v>
      </c>
      <c r="C139" s="77" t="s">
        <v>919</v>
      </c>
      <c r="D139" s="77">
        <v>2.52610183E8</v>
      </c>
      <c r="E139" s="78" t="s">
        <v>317</v>
      </c>
      <c r="F139" s="77" t="s">
        <v>782</v>
      </c>
      <c r="G139" s="79" t="s">
        <v>37</v>
      </c>
      <c r="H139" s="79" t="str">
        <f>VLOOKUP(G139,MetaData!$A$2:$C$13,3,false)</f>
        <v>Dwi Lestari, S.Pd</v>
      </c>
      <c r="I139" s="79" t="s">
        <v>312</v>
      </c>
      <c r="J139" s="79" t="str">
        <f>VLOOKUP(I139,MetaData!$E$2:$G$40,3,false)</f>
        <v>Rizky Putra</v>
      </c>
      <c r="K139" s="80"/>
    </row>
    <row r="140" ht="15.75" customHeight="1">
      <c r="A140" s="85">
        <v>161.0</v>
      </c>
      <c r="B140" s="77">
        <v>14.0</v>
      </c>
      <c r="C140" s="77" t="s">
        <v>920</v>
      </c>
      <c r="D140" s="77">
        <v>2.52610188E8</v>
      </c>
      <c r="E140" s="78" t="s">
        <v>318</v>
      </c>
      <c r="F140" s="77" t="s">
        <v>782</v>
      </c>
      <c r="G140" s="82" t="s">
        <v>37</v>
      </c>
      <c r="H140" s="82" t="str">
        <f>VLOOKUP(G140,MetaData!$A$2:$C$13,3,false)</f>
        <v>Dwi Lestari, S.Pd</v>
      </c>
      <c r="I140" s="82" t="s">
        <v>312</v>
      </c>
      <c r="J140" s="82" t="str">
        <f>VLOOKUP(I140,MetaData!$E$2:$G$40,3,false)</f>
        <v>Rizky Putra</v>
      </c>
      <c r="K140" s="83"/>
    </row>
    <row r="141" ht="15.75" customHeight="1">
      <c r="A141" s="84">
        <v>162.0</v>
      </c>
      <c r="B141" s="77">
        <v>15.0</v>
      </c>
      <c r="C141" s="77" t="s">
        <v>921</v>
      </c>
      <c r="D141" s="77">
        <v>2.52610191E8</v>
      </c>
      <c r="E141" s="78" t="s">
        <v>319</v>
      </c>
      <c r="F141" s="77" t="s">
        <v>782</v>
      </c>
      <c r="G141" s="79" t="s">
        <v>37</v>
      </c>
      <c r="H141" s="79" t="str">
        <f>VLOOKUP(G141,MetaData!$A$2:$C$13,3,false)</f>
        <v>Dwi Lestari, S.Pd</v>
      </c>
      <c r="I141" s="79" t="s">
        <v>312</v>
      </c>
      <c r="J141" s="79" t="str">
        <f>VLOOKUP(I141,MetaData!$E$2:$G$40,3,false)</f>
        <v>Rizky Putra</v>
      </c>
      <c r="K141" s="80"/>
    </row>
    <row r="142" ht="15.75" customHeight="1">
      <c r="A142" s="85">
        <v>163.0</v>
      </c>
      <c r="B142" s="77">
        <v>16.0</v>
      </c>
      <c r="C142" s="77" t="s">
        <v>922</v>
      </c>
      <c r="D142" s="77">
        <v>2.52610216E8</v>
      </c>
      <c r="E142" s="78" t="s">
        <v>691</v>
      </c>
      <c r="F142" s="77" t="s">
        <v>784</v>
      </c>
      <c r="G142" s="82" t="s">
        <v>37</v>
      </c>
      <c r="H142" s="82" t="str">
        <f>VLOOKUP(G142,MetaData!$A$2:$C$13,3,false)</f>
        <v>Dwi Lestari, S.Pd</v>
      </c>
      <c r="I142" s="82" t="s">
        <v>683</v>
      </c>
      <c r="J142" s="82" t="str">
        <f>VLOOKUP(I142,MetaData!$E$2:$G$40,3,false)</f>
        <v>Najla</v>
      </c>
      <c r="K142" s="83"/>
    </row>
    <row r="143" ht="15.75" customHeight="1">
      <c r="A143" s="84">
        <v>164.0</v>
      </c>
      <c r="B143" s="77">
        <v>17.0</v>
      </c>
      <c r="C143" s="77" t="s">
        <v>923</v>
      </c>
      <c r="D143" s="77">
        <v>2.52610233E8</v>
      </c>
      <c r="E143" s="78" t="s">
        <v>692</v>
      </c>
      <c r="F143" s="77" t="s">
        <v>784</v>
      </c>
      <c r="G143" s="79" t="s">
        <v>37</v>
      </c>
      <c r="H143" s="79" t="str">
        <f>VLOOKUP(G143,MetaData!$A$2:$C$13,3,false)</f>
        <v>Dwi Lestari, S.Pd</v>
      </c>
      <c r="I143" s="79" t="s">
        <v>683</v>
      </c>
      <c r="J143" s="79" t="str">
        <f>VLOOKUP(I143,MetaData!$E$2:$G$40,3,false)</f>
        <v>Najla</v>
      </c>
      <c r="K143" s="80"/>
    </row>
    <row r="144" ht="15.75" customHeight="1">
      <c r="A144" s="85">
        <v>165.0</v>
      </c>
      <c r="B144" s="77">
        <v>18.0</v>
      </c>
      <c r="C144" s="77" t="s">
        <v>924</v>
      </c>
      <c r="D144" s="77">
        <v>2.52610258E8</v>
      </c>
      <c r="E144" s="78" t="s">
        <v>693</v>
      </c>
      <c r="F144" s="77" t="s">
        <v>784</v>
      </c>
      <c r="G144" s="82" t="s">
        <v>37</v>
      </c>
      <c r="H144" s="82" t="str">
        <f>VLOOKUP(G144,MetaData!$A$2:$C$13,3,false)</f>
        <v>Dwi Lestari, S.Pd</v>
      </c>
      <c r="I144" s="82" t="s">
        <v>683</v>
      </c>
      <c r="J144" s="82" t="str">
        <f>VLOOKUP(I144,MetaData!$E$2:$G$40,3,false)</f>
        <v>Najla</v>
      </c>
      <c r="K144" s="83"/>
    </row>
    <row r="145" ht="15.75" customHeight="1">
      <c r="A145" s="84">
        <v>166.0</v>
      </c>
      <c r="B145" s="77">
        <v>19.0</v>
      </c>
      <c r="C145" s="77" t="s">
        <v>925</v>
      </c>
      <c r="D145" s="77">
        <v>2.5261026E8</v>
      </c>
      <c r="E145" s="78" t="s">
        <v>694</v>
      </c>
      <c r="F145" s="77" t="s">
        <v>784</v>
      </c>
      <c r="G145" s="79" t="s">
        <v>37</v>
      </c>
      <c r="H145" s="79" t="str">
        <f>VLOOKUP(G145,MetaData!$A$2:$C$13,3,false)</f>
        <v>Dwi Lestari, S.Pd</v>
      </c>
      <c r="I145" s="79" t="s">
        <v>683</v>
      </c>
      <c r="J145" s="79" t="str">
        <f>VLOOKUP(I145,MetaData!$E$2:$G$40,3,false)</f>
        <v>Najla</v>
      </c>
      <c r="K145" s="80"/>
    </row>
    <row r="146" ht="15.75" customHeight="1">
      <c r="A146" s="85">
        <v>167.0</v>
      </c>
      <c r="B146" s="77">
        <v>20.0</v>
      </c>
      <c r="C146" s="77" t="s">
        <v>926</v>
      </c>
      <c r="D146" s="77">
        <v>2.52610266E8</v>
      </c>
      <c r="E146" s="78" t="s">
        <v>695</v>
      </c>
      <c r="F146" s="77" t="s">
        <v>784</v>
      </c>
      <c r="G146" s="82" t="s">
        <v>37</v>
      </c>
      <c r="H146" s="82" t="str">
        <f>VLOOKUP(G146,MetaData!$A$2:$C$13,3,false)</f>
        <v>Dwi Lestari, S.Pd</v>
      </c>
      <c r="I146" s="82" t="s">
        <v>683</v>
      </c>
      <c r="J146" s="82" t="str">
        <f>VLOOKUP(I146,MetaData!$E$2:$G$40,3,false)</f>
        <v>Najla</v>
      </c>
      <c r="K146" s="83"/>
    </row>
    <row r="147" ht="15.75" customHeight="1">
      <c r="A147" s="84">
        <v>168.0</v>
      </c>
      <c r="B147" s="77">
        <v>21.0</v>
      </c>
      <c r="C147" s="77" t="s">
        <v>927</v>
      </c>
      <c r="D147" s="77">
        <v>2.52610275E8</v>
      </c>
      <c r="E147" s="78" t="s">
        <v>228</v>
      </c>
      <c r="F147" s="77" t="s">
        <v>782</v>
      </c>
      <c r="G147" s="79" t="s">
        <v>37</v>
      </c>
      <c r="H147" s="79" t="str">
        <f>VLOOKUP(G147,MetaData!$A$2:$C$13,3,false)</f>
        <v>Dwi Lestari, S.Pd</v>
      </c>
      <c r="I147" s="79" t="s">
        <v>220</v>
      </c>
      <c r="J147" s="79" t="str">
        <f>VLOOKUP(I147,MetaData!$E$2:$G$40,3,false)</f>
        <v>Rekhsa</v>
      </c>
      <c r="K147" s="80"/>
    </row>
    <row r="148" ht="15.75" customHeight="1">
      <c r="A148" s="85">
        <v>169.0</v>
      </c>
      <c r="B148" s="77">
        <v>22.0</v>
      </c>
      <c r="C148" s="77" t="s">
        <v>928</v>
      </c>
      <c r="D148" s="77">
        <v>2.52610282E8</v>
      </c>
      <c r="E148" s="78" t="s">
        <v>526</v>
      </c>
      <c r="F148" s="77" t="s">
        <v>784</v>
      </c>
      <c r="G148" s="82" t="s">
        <v>37</v>
      </c>
      <c r="H148" s="82" t="str">
        <f>VLOOKUP(G148,MetaData!$A$2:$C$13,3,false)</f>
        <v>Dwi Lestari, S.Pd</v>
      </c>
      <c r="I148" s="82" t="s">
        <v>525</v>
      </c>
      <c r="J148" s="82" t="str">
        <f>VLOOKUP(I148,MetaData!$E$2:$G$40,3,false)</f>
        <v>Faliqa (XI)</v>
      </c>
      <c r="K148" s="83"/>
    </row>
    <row r="149" ht="15.75" customHeight="1">
      <c r="A149" s="84">
        <v>170.0</v>
      </c>
      <c r="B149" s="77">
        <v>23.0</v>
      </c>
      <c r="C149" s="77" t="s">
        <v>929</v>
      </c>
      <c r="D149" s="77">
        <v>2.52610294E8</v>
      </c>
      <c r="E149" s="78" t="s">
        <v>527</v>
      </c>
      <c r="F149" s="77" t="s">
        <v>784</v>
      </c>
      <c r="G149" s="79" t="s">
        <v>37</v>
      </c>
      <c r="H149" s="79" t="str">
        <f>VLOOKUP(G149,MetaData!$A$2:$C$13,3,false)</f>
        <v>Dwi Lestari, S.Pd</v>
      </c>
      <c r="I149" s="79" t="s">
        <v>525</v>
      </c>
      <c r="J149" s="79" t="str">
        <f>VLOOKUP(I149,MetaData!$E$2:$G$40,3,false)</f>
        <v>Faliqa (XI)</v>
      </c>
      <c r="K149" s="80"/>
    </row>
    <row r="150" ht="15.75" customHeight="1">
      <c r="A150" s="85">
        <v>171.0</v>
      </c>
      <c r="B150" s="77">
        <v>24.0</v>
      </c>
      <c r="C150" s="77" t="s">
        <v>930</v>
      </c>
      <c r="D150" s="77">
        <v>2.52610306E8</v>
      </c>
      <c r="E150" s="78" t="s">
        <v>528</v>
      </c>
      <c r="F150" s="77" t="s">
        <v>784</v>
      </c>
      <c r="G150" s="82" t="s">
        <v>37</v>
      </c>
      <c r="H150" s="82" t="str">
        <f>VLOOKUP(G150,MetaData!$A$2:$C$13,3,false)</f>
        <v>Dwi Lestari, S.Pd</v>
      </c>
      <c r="I150" s="82" t="s">
        <v>525</v>
      </c>
      <c r="J150" s="82" t="str">
        <f>VLOOKUP(I150,MetaData!$E$2:$G$40,3,false)</f>
        <v>Faliqa (XI)</v>
      </c>
      <c r="K150" s="83"/>
    </row>
    <row r="151" ht="15.75" customHeight="1">
      <c r="A151" s="84">
        <v>172.0</v>
      </c>
      <c r="B151" s="77">
        <v>25.0</v>
      </c>
      <c r="C151" s="77" t="s">
        <v>931</v>
      </c>
      <c r="D151" s="77">
        <v>2.52610309E8</v>
      </c>
      <c r="E151" s="78" t="s">
        <v>529</v>
      </c>
      <c r="F151" s="77" t="s">
        <v>784</v>
      </c>
      <c r="G151" s="79" t="s">
        <v>37</v>
      </c>
      <c r="H151" s="79" t="str">
        <f>VLOOKUP(G151,MetaData!$A$2:$C$13,3,false)</f>
        <v>Dwi Lestari, S.Pd</v>
      </c>
      <c r="I151" s="79" t="s">
        <v>525</v>
      </c>
      <c r="J151" s="79" t="str">
        <f>VLOOKUP(I151,MetaData!$E$2:$G$40,3,false)</f>
        <v>Faliqa (XI)</v>
      </c>
      <c r="K151" s="80"/>
    </row>
    <row r="152" ht="15.75" customHeight="1">
      <c r="A152" s="85">
        <v>173.0</v>
      </c>
      <c r="B152" s="77">
        <v>26.0</v>
      </c>
      <c r="C152" s="77" t="s">
        <v>932</v>
      </c>
      <c r="D152" s="77">
        <v>2.52610329E8</v>
      </c>
      <c r="E152" s="78" t="s">
        <v>320</v>
      </c>
      <c r="F152" s="77" t="s">
        <v>782</v>
      </c>
      <c r="G152" s="82" t="s">
        <v>37</v>
      </c>
      <c r="H152" s="82" t="str">
        <f>VLOOKUP(G152,MetaData!$A$2:$C$13,3,false)</f>
        <v>Dwi Lestari, S.Pd</v>
      </c>
      <c r="I152" s="82" t="s">
        <v>312</v>
      </c>
      <c r="J152" s="82" t="str">
        <f>VLOOKUP(I152,MetaData!$E$2:$G$40,3,false)</f>
        <v>Rizky Putra</v>
      </c>
      <c r="K152" s="83"/>
    </row>
    <row r="153" ht="15.75" customHeight="1">
      <c r="A153" s="84">
        <v>174.0</v>
      </c>
      <c r="B153" s="77">
        <v>27.0</v>
      </c>
      <c r="C153" s="77" t="s">
        <v>933</v>
      </c>
      <c r="D153" s="77">
        <v>2.52610357E8</v>
      </c>
      <c r="E153" s="78" t="s">
        <v>321</v>
      </c>
      <c r="F153" s="77" t="s">
        <v>782</v>
      </c>
      <c r="G153" s="79" t="s">
        <v>37</v>
      </c>
      <c r="H153" s="79" t="str">
        <f>VLOOKUP(G153,MetaData!$A$2:$C$13,3,false)</f>
        <v>Dwi Lestari, S.Pd</v>
      </c>
      <c r="I153" s="79" t="s">
        <v>312</v>
      </c>
      <c r="J153" s="79" t="str">
        <f>VLOOKUP(I153,MetaData!$E$2:$G$40,3,false)</f>
        <v>Rizky Putra</v>
      </c>
      <c r="K153" s="80"/>
    </row>
    <row r="154" ht="15.75" customHeight="1">
      <c r="A154" s="85">
        <v>175.0</v>
      </c>
      <c r="B154" s="77">
        <v>28.0</v>
      </c>
      <c r="C154" s="77" t="s">
        <v>934</v>
      </c>
      <c r="D154" s="77">
        <v>2.52610363E8</v>
      </c>
      <c r="E154" s="78" t="s">
        <v>322</v>
      </c>
      <c r="F154" s="77" t="s">
        <v>782</v>
      </c>
      <c r="G154" s="82" t="s">
        <v>37</v>
      </c>
      <c r="H154" s="82" t="str">
        <f>VLOOKUP(G154,MetaData!$A$2:$C$13,3,false)</f>
        <v>Dwi Lestari, S.Pd</v>
      </c>
      <c r="I154" s="82" t="s">
        <v>312</v>
      </c>
      <c r="J154" s="82" t="str">
        <f>VLOOKUP(I154,MetaData!$E$2:$G$40,3,false)</f>
        <v>Rizky Putra</v>
      </c>
      <c r="K154" s="83"/>
    </row>
    <row r="155" ht="15.75" customHeight="1">
      <c r="A155" s="84">
        <v>176.0</v>
      </c>
      <c r="B155" s="77">
        <v>29.0</v>
      </c>
      <c r="C155" s="77" t="s">
        <v>935</v>
      </c>
      <c r="D155" s="77">
        <v>2.52610373E8</v>
      </c>
      <c r="E155" s="78" t="s">
        <v>323</v>
      </c>
      <c r="F155" s="77" t="s">
        <v>782</v>
      </c>
      <c r="G155" s="79" t="s">
        <v>37</v>
      </c>
      <c r="H155" s="79" t="str">
        <f>VLOOKUP(G155,MetaData!$A$2:$C$13,3,false)</f>
        <v>Dwi Lestari, S.Pd</v>
      </c>
      <c r="I155" s="79" t="s">
        <v>312</v>
      </c>
      <c r="J155" s="79" t="str">
        <f>VLOOKUP(I155,MetaData!$E$2:$G$40,3,false)</f>
        <v>Rizky Putra</v>
      </c>
      <c r="K155" s="80"/>
    </row>
    <row r="156" ht="15.75" customHeight="1">
      <c r="A156" s="85">
        <v>177.0</v>
      </c>
      <c r="B156" s="77">
        <v>30.0</v>
      </c>
      <c r="C156" s="77" t="s">
        <v>936</v>
      </c>
      <c r="D156" s="77">
        <v>2.52610378E8</v>
      </c>
      <c r="E156" s="78" t="s">
        <v>236</v>
      </c>
      <c r="F156" s="77" t="s">
        <v>782</v>
      </c>
      <c r="G156" s="82" t="s">
        <v>37</v>
      </c>
      <c r="H156" s="82" t="str">
        <f>VLOOKUP(G156,MetaData!$A$2:$C$13,3,false)</f>
        <v>Dwi Lestari, S.Pd</v>
      </c>
      <c r="I156" s="82" t="s">
        <v>220</v>
      </c>
      <c r="J156" s="82" t="str">
        <f>VLOOKUP(I156,MetaData!$E$2:$G$40,3,false)</f>
        <v>Rekhsa</v>
      </c>
      <c r="K156" s="83"/>
    </row>
    <row r="157" ht="15.75" customHeight="1">
      <c r="A157" s="84">
        <v>178.0</v>
      </c>
      <c r="B157" s="77">
        <v>31.0</v>
      </c>
      <c r="C157" s="77" t="s">
        <v>937</v>
      </c>
      <c r="D157" s="77">
        <v>2.52610382E8</v>
      </c>
      <c r="E157" s="78" t="s">
        <v>530</v>
      </c>
      <c r="F157" s="77" t="s">
        <v>784</v>
      </c>
      <c r="G157" s="79" t="s">
        <v>37</v>
      </c>
      <c r="H157" s="79" t="str">
        <f>VLOOKUP(G157,MetaData!$A$2:$C$13,3,false)</f>
        <v>Dwi Lestari, S.Pd</v>
      </c>
      <c r="I157" s="79" t="s">
        <v>525</v>
      </c>
      <c r="J157" s="79" t="str">
        <f>VLOOKUP(I157,MetaData!$E$2:$G$40,3,false)</f>
        <v>Faliqa (XI)</v>
      </c>
      <c r="K157" s="80"/>
    </row>
    <row r="158" ht="15.75" customHeight="1">
      <c r="A158" s="85">
        <v>179.0</v>
      </c>
      <c r="B158" s="77">
        <v>33.0</v>
      </c>
      <c r="C158" s="77" t="s">
        <v>938</v>
      </c>
      <c r="D158" s="77">
        <v>2.52610435E8</v>
      </c>
      <c r="E158" s="78" t="s">
        <v>324</v>
      </c>
      <c r="F158" s="77" t="s">
        <v>782</v>
      </c>
      <c r="G158" s="82" t="s">
        <v>37</v>
      </c>
      <c r="H158" s="82" t="str">
        <f>VLOOKUP(G158,MetaData!$A$2:$C$13,3,false)</f>
        <v>Dwi Lestari, S.Pd</v>
      </c>
      <c r="I158" s="82" t="s">
        <v>312</v>
      </c>
      <c r="J158" s="82" t="str">
        <f>VLOOKUP(I158,MetaData!$E$2:$G$40,3,false)</f>
        <v>Rizky Putra</v>
      </c>
      <c r="K158" s="83"/>
    </row>
    <row r="159" ht="15.75" customHeight="1">
      <c r="A159" s="84">
        <v>180.0</v>
      </c>
      <c r="B159" s="77">
        <v>34.0</v>
      </c>
      <c r="C159" s="77" t="s">
        <v>939</v>
      </c>
      <c r="D159" s="77">
        <v>2.52610447E8</v>
      </c>
      <c r="E159" s="78" t="s">
        <v>325</v>
      </c>
      <c r="F159" s="77" t="s">
        <v>782</v>
      </c>
      <c r="G159" s="79" t="s">
        <v>37</v>
      </c>
      <c r="H159" s="79" t="str">
        <f>VLOOKUP(G159,MetaData!$A$2:$C$13,3,false)</f>
        <v>Dwi Lestari, S.Pd</v>
      </c>
      <c r="I159" s="79" t="s">
        <v>312</v>
      </c>
      <c r="J159" s="79" t="str">
        <f>VLOOKUP(I159,MetaData!$E$2:$G$40,3,false)</f>
        <v>Rizky Putra</v>
      </c>
      <c r="K159" s="80"/>
    </row>
    <row r="160" ht="15.75" customHeight="1">
      <c r="A160" s="85">
        <v>181.0</v>
      </c>
      <c r="B160" s="77">
        <v>35.0</v>
      </c>
      <c r="C160" s="77" t="s">
        <v>940</v>
      </c>
      <c r="D160" s="77">
        <v>2.52610472E8</v>
      </c>
      <c r="E160" s="78" t="s">
        <v>326</v>
      </c>
      <c r="F160" s="77" t="s">
        <v>782</v>
      </c>
      <c r="G160" s="82" t="s">
        <v>37</v>
      </c>
      <c r="H160" s="82" t="str">
        <f>VLOOKUP(G160,MetaData!$A$2:$C$13,3,false)</f>
        <v>Dwi Lestari, S.Pd</v>
      </c>
      <c r="I160" s="82" t="s">
        <v>312</v>
      </c>
      <c r="J160" s="82" t="str">
        <f>VLOOKUP(I160,MetaData!$E$2:$G$40,3,false)</f>
        <v>Rizky Putra</v>
      </c>
      <c r="K160" s="83"/>
    </row>
    <row r="161" ht="15.75" customHeight="1">
      <c r="A161" s="84">
        <v>182.0</v>
      </c>
      <c r="B161" s="77">
        <v>36.0</v>
      </c>
      <c r="C161" s="77" t="s">
        <v>941</v>
      </c>
      <c r="D161" s="77">
        <v>2.52610475E8</v>
      </c>
      <c r="E161" s="78" t="s">
        <v>327</v>
      </c>
      <c r="F161" s="78" t="s">
        <v>782</v>
      </c>
      <c r="G161" s="79" t="s">
        <v>37</v>
      </c>
      <c r="H161" s="79" t="str">
        <f>VLOOKUP(G161,MetaData!$A$2:$C$13,3,false)</f>
        <v>Dwi Lestari, S.Pd</v>
      </c>
      <c r="I161" s="79" t="s">
        <v>312</v>
      </c>
      <c r="J161" s="79" t="str">
        <f>VLOOKUP(I161,MetaData!$E$2:$G$40,3,false)</f>
        <v>Rizky Putra</v>
      </c>
      <c r="K161" s="80"/>
    </row>
    <row r="162" ht="15.75" customHeight="1">
      <c r="A162" s="85">
        <v>183.0</v>
      </c>
      <c r="B162" s="77">
        <v>37.0</v>
      </c>
      <c r="C162" s="77" t="s">
        <v>942</v>
      </c>
      <c r="D162" s="77">
        <v>2.5261048E8</v>
      </c>
      <c r="E162" s="78" t="s">
        <v>328</v>
      </c>
      <c r="F162" s="77" t="s">
        <v>782</v>
      </c>
      <c r="G162" s="82" t="s">
        <v>37</v>
      </c>
      <c r="H162" s="82" t="str">
        <f>VLOOKUP(G162,MetaData!$A$2:$C$13,3,false)</f>
        <v>Dwi Lestari, S.Pd</v>
      </c>
      <c r="I162" s="82" t="s">
        <v>312</v>
      </c>
      <c r="J162" s="82" t="str">
        <f>VLOOKUP(I162,MetaData!$E$2:$G$40,3,false)</f>
        <v>Rizky Putra</v>
      </c>
      <c r="K162" s="83"/>
    </row>
    <row r="163" ht="15.75" customHeight="1">
      <c r="A163" s="84">
        <v>184.0</v>
      </c>
      <c r="B163" s="77">
        <v>38.0</v>
      </c>
      <c r="C163" s="77" t="s">
        <v>943</v>
      </c>
      <c r="D163" s="77">
        <v>2.52610483E8</v>
      </c>
      <c r="E163" s="78" t="s">
        <v>531</v>
      </c>
      <c r="F163" s="77" t="s">
        <v>784</v>
      </c>
      <c r="G163" s="79" t="s">
        <v>37</v>
      </c>
      <c r="H163" s="79" t="str">
        <f>VLOOKUP(G163,MetaData!$A$2:$C$13,3,false)</f>
        <v>Dwi Lestari, S.Pd</v>
      </c>
      <c r="I163" s="79" t="s">
        <v>525</v>
      </c>
      <c r="J163" s="79" t="str">
        <f>VLOOKUP(I163,MetaData!$E$2:$G$40,3,false)</f>
        <v>Faliqa (XI)</v>
      </c>
      <c r="K163" s="80"/>
    </row>
    <row r="164" ht="15.75" customHeight="1">
      <c r="A164" s="85">
        <v>185.0</v>
      </c>
      <c r="B164" s="77">
        <v>39.0</v>
      </c>
      <c r="C164" s="77" t="s">
        <v>944</v>
      </c>
      <c r="D164" s="77">
        <v>2.52610492E8</v>
      </c>
      <c r="E164" s="78" t="s">
        <v>329</v>
      </c>
      <c r="F164" s="77" t="s">
        <v>782</v>
      </c>
      <c r="G164" s="82" t="s">
        <v>37</v>
      </c>
      <c r="H164" s="82" t="str">
        <f>VLOOKUP(G164,MetaData!$A$2:$C$13,3,false)</f>
        <v>Dwi Lestari, S.Pd</v>
      </c>
      <c r="I164" s="82" t="s">
        <v>312</v>
      </c>
      <c r="J164" s="82" t="str">
        <f>VLOOKUP(I164,MetaData!$E$2:$G$40,3,false)</f>
        <v>Rizky Putra</v>
      </c>
      <c r="K164" s="83"/>
    </row>
    <row r="165" ht="15.75" customHeight="1">
      <c r="A165" s="84">
        <v>186.0</v>
      </c>
      <c r="B165" s="77">
        <v>40.0</v>
      </c>
      <c r="C165" s="77" t="s">
        <v>945</v>
      </c>
      <c r="D165" s="77">
        <v>2.52610512E8</v>
      </c>
      <c r="E165" s="78" t="s">
        <v>532</v>
      </c>
      <c r="F165" s="77" t="s">
        <v>784</v>
      </c>
      <c r="G165" s="79" t="s">
        <v>37</v>
      </c>
      <c r="H165" s="79" t="str">
        <f>VLOOKUP(G165,MetaData!$A$2:$C$13,3,false)</f>
        <v>Dwi Lestari, S.Pd</v>
      </c>
      <c r="I165" s="79" t="s">
        <v>525</v>
      </c>
      <c r="J165" s="79" t="str">
        <f>VLOOKUP(I165,MetaData!$E$2:$G$40,3,false)</f>
        <v>Faliqa (XI)</v>
      </c>
      <c r="K165" s="80"/>
    </row>
    <row r="166" ht="15.75" customHeight="1">
      <c r="A166" s="85">
        <v>187.0</v>
      </c>
      <c r="B166" s="77">
        <v>41.0</v>
      </c>
      <c r="C166" s="77" t="s">
        <v>946</v>
      </c>
      <c r="D166" s="77">
        <v>2.52610514E8</v>
      </c>
      <c r="E166" s="78" t="s">
        <v>456</v>
      </c>
      <c r="F166" s="77" t="s">
        <v>784</v>
      </c>
      <c r="G166" s="82" t="s">
        <v>37</v>
      </c>
      <c r="H166" s="82" t="str">
        <f>VLOOKUP(G166,MetaData!$A$2:$C$13,3,false)</f>
        <v>Dwi Lestari, S.Pd</v>
      </c>
      <c r="I166" s="82" t="s">
        <v>443</v>
      </c>
      <c r="J166" s="82" t="str">
        <f>VLOOKUP(I166,MetaData!$E$2:$G$40,3,false)</f>
        <v>Ayun</v>
      </c>
      <c r="K166" s="83"/>
    </row>
    <row r="167" ht="15.75" customHeight="1">
      <c r="A167" s="84">
        <v>188.0</v>
      </c>
      <c r="B167" s="77">
        <v>42.0</v>
      </c>
      <c r="C167" s="77" t="s">
        <v>947</v>
      </c>
      <c r="D167" s="77">
        <v>2.52610515E8</v>
      </c>
      <c r="E167" s="78" t="s">
        <v>533</v>
      </c>
      <c r="F167" s="77" t="s">
        <v>784</v>
      </c>
      <c r="G167" s="79" t="s">
        <v>37</v>
      </c>
      <c r="H167" s="79" t="str">
        <f>VLOOKUP(G167,MetaData!$A$2:$C$13,3,false)</f>
        <v>Dwi Lestari, S.Pd</v>
      </c>
      <c r="I167" s="79" t="s">
        <v>525</v>
      </c>
      <c r="J167" s="79" t="str">
        <f>VLOOKUP(I167,MetaData!$E$2:$G$40,3,false)</f>
        <v>Faliqa (XI)</v>
      </c>
      <c r="K167" s="80"/>
    </row>
    <row r="168" ht="15.75" customHeight="1">
      <c r="A168" s="85">
        <v>189.0</v>
      </c>
      <c r="B168" s="77">
        <v>43.0</v>
      </c>
      <c r="C168" s="77" t="s">
        <v>948</v>
      </c>
      <c r="D168" s="77">
        <v>2.52610519E8</v>
      </c>
      <c r="E168" s="78" t="s">
        <v>534</v>
      </c>
      <c r="F168" s="77" t="s">
        <v>784</v>
      </c>
      <c r="G168" s="82" t="s">
        <v>37</v>
      </c>
      <c r="H168" s="82" t="str">
        <f>VLOOKUP(G168,MetaData!$A$2:$C$13,3,false)</f>
        <v>Dwi Lestari, S.Pd</v>
      </c>
      <c r="I168" s="82" t="s">
        <v>525</v>
      </c>
      <c r="J168" s="82" t="str">
        <f>VLOOKUP(I168,MetaData!$E$2:$G$40,3,false)</f>
        <v>Faliqa (XI)</v>
      </c>
      <c r="K168" s="83"/>
    </row>
    <row r="169" ht="15.75" customHeight="1">
      <c r="A169" s="84">
        <v>190.0</v>
      </c>
      <c r="B169" s="77">
        <v>44.0</v>
      </c>
      <c r="C169" s="77" t="s">
        <v>949</v>
      </c>
      <c r="D169" s="77">
        <v>2.52610533E8</v>
      </c>
      <c r="E169" s="78" t="s">
        <v>535</v>
      </c>
      <c r="F169" s="77" t="s">
        <v>784</v>
      </c>
      <c r="G169" s="79" t="s">
        <v>37</v>
      </c>
      <c r="H169" s="79" t="str">
        <f>VLOOKUP(G169,MetaData!$A$2:$C$13,3,false)</f>
        <v>Dwi Lestari, S.Pd</v>
      </c>
      <c r="I169" s="79" t="s">
        <v>525</v>
      </c>
      <c r="J169" s="79" t="str">
        <f>VLOOKUP(I169,MetaData!$E$2:$G$40,3,false)</f>
        <v>Faliqa (XI)</v>
      </c>
      <c r="K169" s="80"/>
    </row>
    <row r="170" ht="15.75" customHeight="1">
      <c r="A170" s="85">
        <v>191.0</v>
      </c>
      <c r="B170" s="77">
        <v>45.0</v>
      </c>
      <c r="C170" s="77" t="s">
        <v>950</v>
      </c>
      <c r="D170" s="77">
        <v>2.52610534E8</v>
      </c>
      <c r="E170" s="78" t="s">
        <v>536</v>
      </c>
      <c r="F170" s="77" t="s">
        <v>784</v>
      </c>
      <c r="G170" s="82" t="s">
        <v>37</v>
      </c>
      <c r="H170" s="82" t="str">
        <f>VLOOKUP(G170,MetaData!$A$2:$C$13,3,false)</f>
        <v>Dwi Lestari, S.Pd</v>
      </c>
      <c r="I170" s="82" t="s">
        <v>525</v>
      </c>
      <c r="J170" s="82" t="str">
        <f>VLOOKUP(I170,MetaData!$E$2:$G$40,3,false)</f>
        <v>Faliqa (XI)</v>
      </c>
      <c r="K170" s="83"/>
    </row>
    <row r="171" ht="15.75" customHeight="1">
      <c r="A171" s="84">
        <v>192.0</v>
      </c>
      <c r="B171" s="77">
        <v>46.0</v>
      </c>
      <c r="C171" s="77" t="s">
        <v>951</v>
      </c>
      <c r="D171" s="77">
        <v>2.52610544E8</v>
      </c>
      <c r="E171" s="78" t="s">
        <v>537</v>
      </c>
      <c r="F171" s="77" t="s">
        <v>784</v>
      </c>
      <c r="G171" s="79" t="s">
        <v>37</v>
      </c>
      <c r="H171" s="79" t="str">
        <f>VLOOKUP(G171,MetaData!$A$2:$C$13,3,false)</f>
        <v>Dwi Lestari, S.Pd</v>
      </c>
      <c r="I171" s="79" t="s">
        <v>525</v>
      </c>
      <c r="J171" s="79" t="str">
        <f>VLOOKUP(I171,MetaData!$E$2:$G$40,3,false)</f>
        <v>Faliqa (XI)</v>
      </c>
      <c r="K171" s="80"/>
    </row>
    <row r="172" ht="15.75" customHeight="1">
      <c r="A172" s="85">
        <v>201.0</v>
      </c>
      <c r="B172" s="77">
        <v>1.0</v>
      </c>
      <c r="C172" s="77" t="s">
        <v>952</v>
      </c>
      <c r="D172" s="77">
        <v>2.52610004E8</v>
      </c>
      <c r="E172" s="78" t="s">
        <v>223</v>
      </c>
      <c r="F172" s="77" t="s">
        <v>782</v>
      </c>
      <c r="G172" s="82" t="s">
        <v>42</v>
      </c>
      <c r="H172" s="82" t="str">
        <f>VLOOKUP(G172,MetaData!$A$2:$C$13,3,false)</f>
        <v>Deden Nur hasanah, S.E</v>
      </c>
      <c r="I172" s="82" t="s">
        <v>220</v>
      </c>
      <c r="J172" s="82" t="str">
        <f>VLOOKUP(I172,MetaData!$E$2:$G$40,3,false)</f>
        <v>Rekhsa</v>
      </c>
      <c r="K172" s="83"/>
    </row>
    <row r="173" ht="15.75" customHeight="1">
      <c r="A173" s="84">
        <v>202.0</v>
      </c>
      <c r="B173" s="77">
        <v>2.0</v>
      </c>
      <c r="C173" s="77" t="s">
        <v>953</v>
      </c>
      <c r="D173" s="77">
        <v>2.52610013E8</v>
      </c>
      <c r="E173" s="78" t="s">
        <v>298</v>
      </c>
      <c r="F173" s="77" t="s">
        <v>782</v>
      </c>
      <c r="G173" s="79" t="s">
        <v>42</v>
      </c>
      <c r="H173" s="79" t="str">
        <f>VLOOKUP(G173,MetaData!$A$2:$C$13,3,false)</f>
        <v>Deden Nur hasanah, S.E</v>
      </c>
      <c r="I173" s="79" t="s">
        <v>297</v>
      </c>
      <c r="J173" s="79" t="str">
        <f>VLOOKUP(I173,MetaData!$E$2:$G$40,3,false)</f>
        <v>Topik &amp; Adrian</v>
      </c>
      <c r="K173" s="80"/>
    </row>
    <row r="174" ht="15.75" customHeight="1">
      <c r="A174" s="85">
        <v>203.0</v>
      </c>
      <c r="B174" s="77">
        <v>3.0</v>
      </c>
      <c r="C174" s="77" t="s">
        <v>954</v>
      </c>
      <c r="D174" s="77">
        <v>2.52610022E8</v>
      </c>
      <c r="E174" s="78" t="s">
        <v>444</v>
      </c>
      <c r="F174" s="77" t="s">
        <v>784</v>
      </c>
      <c r="G174" s="82" t="s">
        <v>42</v>
      </c>
      <c r="H174" s="82" t="str">
        <f>VLOOKUP(G174,MetaData!$A$2:$C$13,3,false)</f>
        <v>Deden Nur hasanah, S.E</v>
      </c>
      <c r="I174" s="82" t="s">
        <v>443</v>
      </c>
      <c r="J174" s="82" t="str">
        <f>VLOOKUP(I174,MetaData!$E$2:$G$40,3,false)</f>
        <v>Ayun</v>
      </c>
      <c r="K174" s="83"/>
    </row>
    <row r="175" ht="15.75" customHeight="1">
      <c r="A175" s="84">
        <v>204.0</v>
      </c>
      <c r="B175" s="77">
        <v>4.0</v>
      </c>
      <c r="C175" s="77" t="s">
        <v>955</v>
      </c>
      <c r="D175" s="77">
        <v>2.52610024E8</v>
      </c>
      <c r="E175" s="78" t="s">
        <v>671</v>
      </c>
      <c r="F175" s="77" t="s">
        <v>784</v>
      </c>
      <c r="G175" s="79" t="s">
        <v>42</v>
      </c>
      <c r="H175" s="79" t="str">
        <f>VLOOKUP(G175,MetaData!$A$2:$C$13,3,false)</f>
        <v>Deden Nur hasanah, S.E</v>
      </c>
      <c r="I175" s="79" t="s">
        <v>670</v>
      </c>
      <c r="J175" s="79" t="str">
        <f>VLOOKUP(I175,MetaData!$E$2:$G$40,3,false)</f>
        <v>Hana</v>
      </c>
      <c r="K175" s="80"/>
    </row>
    <row r="176" ht="15.75" customHeight="1">
      <c r="A176" s="85">
        <v>205.0</v>
      </c>
      <c r="B176" s="77">
        <v>5.0</v>
      </c>
      <c r="C176" s="77" t="s">
        <v>956</v>
      </c>
      <c r="D176" s="77">
        <v>2.52610034E8</v>
      </c>
      <c r="E176" s="78" t="s">
        <v>299</v>
      </c>
      <c r="F176" s="77" t="s">
        <v>782</v>
      </c>
      <c r="G176" s="82" t="s">
        <v>42</v>
      </c>
      <c r="H176" s="82" t="str">
        <f>VLOOKUP(G176,MetaData!$A$2:$C$13,3,false)</f>
        <v>Deden Nur hasanah, S.E</v>
      </c>
      <c r="I176" s="82" t="s">
        <v>297</v>
      </c>
      <c r="J176" s="82" t="str">
        <f>VLOOKUP(I176,MetaData!$E$2:$G$40,3,false)</f>
        <v>Topik &amp; Adrian</v>
      </c>
      <c r="K176" s="83"/>
    </row>
    <row r="177" ht="15.75" customHeight="1">
      <c r="A177" s="84">
        <v>206.0</v>
      </c>
      <c r="B177" s="77">
        <v>6.0</v>
      </c>
      <c r="C177" s="77" t="s">
        <v>957</v>
      </c>
      <c r="D177" s="77">
        <v>2.52610043E8</v>
      </c>
      <c r="E177" s="78" t="s">
        <v>431</v>
      </c>
      <c r="F177" s="77" t="s">
        <v>784</v>
      </c>
      <c r="G177" s="79" t="s">
        <v>42</v>
      </c>
      <c r="H177" s="79" t="str">
        <f>VLOOKUP(G177,MetaData!$A$2:$C$13,3,false)</f>
        <v>Deden Nur hasanah, S.E</v>
      </c>
      <c r="I177" s="79" t="s">
        <v>428</v>
      </c>
      <c r="J177" s="79" t="str">
        <f>VLOOKUP(I177,MetaData!$E$2:$G$40,3,false)</f>
        <v>Iga</v>
      </c>
      <c r="K177" s="80"/>
    </row>
    <row r="178" ht="15.75" customHeight="1">
      <c r="A178" s="85">
        <v>207.0</v>
      </c>
      <c r="B178" s="77">
        <v>7.0</v>
      </c>
      <c r="C178" s="77" t="s">
        <v>958</v>
      </c>
      <c r="D178" s="77">
        <v>2.52610055E8</v>
      </c>
      <c r="E178" s="78" t="s">
        <v>672</v>
      </c>
      <c r="F178" s="77" t="s">
        <v>784</v>
      </c>
      <c r="G178" s="82" t="s">
        <v>42</v>
      </c>
      <c r="H178" s="82" t="str">
        <f>VLOOKUP(G178,MetaData!$A$2:$C$13,3,false)</f>
        <v>Deden Nur hasanah, S.E</v>
      </c>
      <c r="I178" s="82" t="s">
        <v>670</v>
      </c>
      <c r="J178" s="82" t="str">
        <f>VLOOKUP(I178,MetaData!$E$2:$G$40,3,false)</f>
        <v>Hana</v>
      </c>
      <c r="K178" s="83"/>
    </row>
    <row r="179" ht="15.75" customHeight="1">
      <c r="A179" s="84">
        <v>208.0</v>
      </c>
      <c r="B179" s="77">
        <v>8.0</v>
      </c>
      <c r="C179" s="77" t="s">
        <v>959</v>
      </c>
      <c r="D179" s="77">
        <v>2.52610057E8</v>
      </c>
      <c r="E179" s="78" t="s">
        <v>673</v>
      </c>
      <c r="F179" s="77" t="s">
        <v>784</v>
      </c>
      <c r="G179" s="79" t="s">
        <v>42</v>
      </c>
      <c r="H179" s="79" t="str">
        <f>VLOOKUP(G179,MetaData!$A$2:$C$13,3,false)</f>
        <v>Deden Nur hasanah, S.E</v>
      </c>
      <c r="I179" s="79" t="s">
        <v>670</v>
      </c>
      <c r="J179" s="79" t="str">
        <f>VLOOKUP(I179,MetaData!$E$2:$G$40,3,false)</f>
        <v>Hana</v>
      </c>
      <c r="K179" s="80"/>
    </row>
    <row r="180" ht="15.75" customHeight="1">
      <c r="A180" s="85">
        <v>209.0</v>
      </c>
      <c r="B180" s="77">
        <v>9.0</v>
      </c>
      <c r="C180" s="77" t="s">
        <v>960</v>
      </c>
      <c r="D180" s="77">
        <v>2.5261006E8</v>
      </c>
      <c r="E180" s="78" t="s">
        <v>300</v>
      </c>
      <c r="F180" s="77" t="s">
        <v>782</v>
      </c>
      <c r="G180" s="82" t="s">
        <v>42</v>
      </c>
      <c r="H180" s="82" t="str">
        <f>VLOOKUP(G180,MetaData!$A$2:$C$13,3,false)</f>
        <v>Deden Nur hasanah, S.E</v>
      </c>
      <c r="I180" s="82" t="s">
        <v>297</v>
      </c>
      <c r="J180" s="82" t="str">
        <f>VLOOKUP(I180,MetaData!$E$2:$G$40,3,false)</f>
        <v>Topik &amp; Adrian</v>
      </c>
      <c r="K180" s="83"/>
    </row>
    <row r="181" ht="15.75" customHeight="1">
      <c r="A181" s="84">
        <v>210.0</v>
      </c>
      <c r="B181" s="77">
        <v>10.0</v>
      </c>
      <c r="C181" s="77" t="s">
        <v>961</v>
      </c>
      <c r="D181" s="77">
        <v>2.52610067E8</v>
      </c>
      <c r="E181" s="78" t="s">
        <v>674</v>
      </c>
      <c r="F181" s="77" t="s">
        <v>784</v>
      </c>
      <c r="G181" s="79" t="s">
        <v>42</v>
      </c>
      <c r="H181" s="79" t="str">
        <f>VLOOKUP(G181,MetaData!$A$2:$C$13,3,false)</f>
        <v>Deden Nur hasanah, S.E</v>
      </c>
      <c r="I181" s="79" t="s">
        <v>670</v>
      </c>
      <c r="J181" s="79" t="str">
        <f>VLOOKUP(I181,MetaData!$E$2:$G$40,3,false)</f>
        <v>Hana</v>
      </c>
      <c r="K181" s="80"/>
    </row>
    <row r="182" ht="15.75" customHeight="1">
      <c r="A182" s="85">
        <v>211.0</v>
      </c>
      <c r="B182" s="77">
        <v>11.0</v>
      </c>
      <c r="C182" s="77" t="s">
        <v>962</v>
      </c>
      <c r="D182" s="77">
        <v>2.52610115E8</v>
      </c>
      <c r="E182" s="78" t="s">
        <v>301</v>
      </c>
      <c r="F182" s="77" t="s">
        <v>782</v>
      </c>
      <c r="G182" s="82" t="s">
        <v>42</v>
      </c>
      <c r="H182" s="82" t="str">
        <f>VLOOKUP(G182,MetaData!$A$2:$C$13,3,false)</f>
        <v>Deden Nur hasanah, S.E</v>
      </c>
      <c r="I182" s="82" t="s">
        <v>297</v>
      </c>
      <c r="J182" s="82" t="str">
        <f>VLOOKUP(I182,MetaData!$E$2:$G$40,3,false)</f>
        <v>Topik &amp; Adrian</v>
      </c>
      <c r="K182" s="83"/>
    </row>
    <row r="183" ht="15.75" customHeight="1">
      <c r="A183" s="84">
        <v>212.0</v>
      </c>
      <c r="B183" s="77">
        <v>12.0</v>
      </c>
      <c r="C183" s="77" t="s">
        <v>963</v>
      </c>
      <c r="D183" s="77">
        <v>2.52610123E8</v>
      </c>
      <c r="E183" s="78" t="s">
        <v>675</v>
      </c>
      <c r="F183" s="77" t="s">
        <v>784</v>
      </c>
      <c r="G183" s="79" t="s">
        <v>42</v>
      </c>
      <c r="H183" s="79" t="str">
        <f>VLOOKUP(G183,MetaData!$A$2:$C$13,3,false)</f>
        <v>Deden Nur hasanah, S.E</v>
      </c>
      <c r="I183" s="79" t="s">
        <v>670</v>
      </c>
      <c r="J183" s="79" t="str">
        <f>VLOOKUP(I183,MetaData!$E$2:$G$40,3,false)</f>
        <v>Hana</v>
      </c>
      <c r="K183" s="80"/>
    </row>
    <row r="184" ht="15.75" customHeight="1">
      <c r="A184" s="85">
        <v>213.0</v>
      </c>
      <c r="B184" s="77">
        <v>13.0</v>
      </c>
      <c r="C184" s="77" t="s">
        <v>964</v>
      </c>
      <c r="D184" s="77">
        <v>2.52610163E8</v>
      </c>
      <c r="E184" s="78" t="s">
        <v>676</v>
      </c>
      <c r="F184" s="77" t="s">
        <v>784</v>
      </c>
      <c r="G184" s="82" t="s">
        <v>42</v>
      </c>
      <c r="H184" s="82" t="str">
        <f>VLOOKUP(G184,MetaData!$A$2:$C$13,3,false)</f>
        <v>Deden Nur hasanah, S.E</v>
      </c>
      <c r="I184" s="82" t="s">
        <v>670</v>
      </c>
      <c r="J184" s="82" t="str">
        <f>VLOOKUP(I184,MetaData!$E$2:$G$40,3,false)</f>
        <v>Hana</v>
      </c>
      <c r="K184" s="83"/>
    </row>
    <row r="185" ht="15.75" customHeight="1">
      <c r="A185" s="84">
        <v>214.0</v>
      </c>
      <c r="B185" s="77">
        <v>14.0</v>
      </c>
      <c r="C185" s="77" t="s">
        <v>965</v>
      </c>
      <c r="D185" s="77">
        <v>2.52610166E8</v>
      </c>
      <c r="E185" s="78" t="s">
        <v>677</v>
      </c>
      <c r="F185" s="77" t="s">
        <v>784</v>
      </c>
      <c r="G185" s="79" t="s">
        <v>42</v>
      </c>
      <c r="H185" s="79" t="str">
        <f>VLOOKUP(G185,MetaData!$A$2:$C$13,3,false)</f>
        <v>Deden Nur hasanah, S.E</v>
      </c>
      <c r="I185" s="79" t="s">
        <v>670</v>
      </c>
      <c r="J185" s="79" t="str">
        <f>VLOOKUP(I185,MetaData!$E$2:$G$40,3,false)</f>
        <v>Hana</v>
      </c>
      <c r="K185" s="80"/>
    </row>
    <row r="186" ht="15.75" customHeight="1">
      <c r="A186" s="85">
        <v>215.0</v>
      </c>
      <c r="B186" s="77">
        <v>17.0</v>
      </c>
      <c r="C186" s="77" t="s">
        <v>966</v>
      </c>
      <c r="D186" s="77">
        <v>2.52610205E8</v>
      </c>
      <c r="E186" s="78" t="s">
        <v>435</v>
      </c>
      <c r="F186" s="77" t="s">
        <v>784</v>
      </c>
      <c r="G186" s="82" t="s">
        <v>42</v>
      </c>
      <c r="H186" s="82" t="str">
        <f>VLOOKUP(G186,MetaData!$A$2:$C$13,3,false)</f>
        <v>Deden Nur hasanah, S.E</v>
      </c>
      <c r="I186" s="82" t="s">
        <v>428</v>
      </c>
      <c r="J186" s="82" t="str">
        <f>VLOOKUP(I186,MetaData!$E$2:$G$40,3,false)</f>
        <v>Iga</v>
      </c>
      <c r="K186" s="83"/>
    </row>
    <row r="187" ht="15.75" customHeight="1">
      <c r="A187" s="84">
        <v>216.0</v>
      </c>
      <c r="B187" s="77">
        <v>18.0</v>
      </c>
      <c r="C187" s="77" t="s">
        <v>967</v>
      </c>
      <c r="D187" s="77">
        <v>2.52610229E8</v>
      </c>
      <c r="E187" s="78" t="s">
        <v>678</v>
      </c>
      <c r="F187" s="77" t="s">
        <v>784</v>
      </c>
      <c r="G187" s="79" t="s">
        <v>42</v>
      </c>
      <c r="H187" s="79" t="str">
        <f>VLOOKUP(G187,MetaData!$A$2:$C$13,3,false)</f>
        <v>Deden Nur hasanah, S.E</v>
      </c>
      <c r="I187" s="79" t="s">
        <v>670</v>
      </c>
      <c r="J187" s="79" t="str">
        <f>VLOOKUP(I187,MetaData!$E$2:$G$40,3,false)</f>
        <v>Hana</v>
      </c>
      <c r="K187" s="80"/>
    </row>
    <row r="188" ht="15.75" customHeight="1">
      <c r="A188" s="85">
        <v>217.0</v>
      </c>
      <c r="B188" s="77">
        <v>19.0</v>
      </c>
      <c r="C188" s="77" t="s">
        <v>968</v>
      </c>
      <c r="D188" s="77">
        <v>2.5261023E8</v>
      </c>
      <c r="E188" s="78" t="s">
        <v>302</v>
      </c>
      <c r="F188" s="77" t="s">
        <v>782</v>
      </c>
      <c r="G188" s="82" t="s">
        <v>42</v>
      </c>
      <c r="H188" s="82" t="str">
        <f>VLOOKUP(G188,MetaData!$A$2:$C$13,3,false)</f>
        <v>Deden Nur hasanah, S.E</v>
      </c>
      <c r="I188" s="82" t="s">
        <v>297</v>
      </c>
      <c r="J188" s="82" t="str">
        <f>VLOOKUP(I188,MetaData!$E$2:$G$40,3,false)</f>
        <v>Topik &amp; Adrian</v>
      </c>
      <c r="K188" s="83"/>
    </row>
    <row r="189" ht="15.75" customHeight="1">
      <c r="A189" s="84">
        <v>218.0</v>
      </c>
      <c r="B189" s="77">
        <v>20.0</v>
      </c>
      <c r="C189" s="77" t="s">
        <v>969</v>
      </c>
      <c r="D189" s="77">
        <v>2.52610245E8</v>
      </c>
      <c r="E189" s="78" t="s">
        <v>679</v>
      </c>
      <c r="F189" s="77" t="s">
        <v>784</v>
      </c>
      <c r="G189" s="79" t="s">
        <v>42</v>
      </c>
      <c r="H189" s="79" t="str">
        <f>VLOOKUP(G189,MetaData!$A$2:$C$13,3,false)</f>
        <v>Deden Nur hasanah, S.E</v>
      </c>
      <c r="I189" s="79" t="s">
        <v>670</v>
      </c>
      <c r="J189" s="79" t="str">
        <f>VLOOKUP(I189,MetaData!$E$2:$G$40,3,false)</f>
        <v>Hana</v>
      </c>
      <c r="K189" s="80"/>
    </row>
    <row r="190" ht="15.75" customHeight="1">
      <c r="A190" s="85">
        <v>219.0</v>
      </c>
      <c r="B190" s="77">
        <v>21.0</v>
      </c>
      <c r="C190" s="77" t="s">
        <v>970</v>
      </c>
      <c r="D190" s="77">
        <v>2.52610281E8</v>
      </c>
      <c r="E190" s="78" t="s">
        <v>680</v>
      </c>
      <c r="F190" s="77" t="s">
        <v>784</v>
      </c>
      <c r="G190" s="82" t="s">
        <v>42</v>
      </c>
      <c r="H190" s="82" t="str">
        <f>VLOOKUP(G190,MetaData!$A$2:$C$13,3,false)</f>
        <v>Deden Nur hasanah, S.E</v>
      </c>
      <c r="I190" s="82" t="s">
        <v>670</v>
      </c>
      <c r="J190" s="82" t="str">
        <f>VLOOKUP(I190,MetaData!$E$2:$G$40,3,false)</f>
        <v>Hana</v>
      </c>
      <c r="K190" s="83"/>
    </row>
    <row r="191" ht="15.75" customHeight="1">
      <c r="A191" s="84">
        <v>220.0</v>
      </c>
      <c r="B191" s="77">
        <v>22.0</v>
      </c>
      <c r="C191" s="77" t="s">
        <v>971</v>
      </c>
      <c r="D191" s="77">
        <v>2.52610286E8</v>
      </c>
      <c r="E191" s="78" t="s">
        <v>681</v>
      </c>
      <c r="F191" s="77" t="s">
        <v>784</v>
      </c>
      <c r="G191" s="79" t="s">
        <v>42</v>
      </c>
      <c r="H191" s="79" t="str">
        <f>VLOOKUP(G191,MetaData!$A$2:$C$13,3,false)</f>
        <v>Deden Nur hasanah, S.E</v>
      </c>
      <c r="I191" s="79" t="s">
        <v>670</v>
      </c>
      <c r="J191" s="79" t="str">
        <f>VLOOKUP(I191,MetaData!$E$2:$G$40,3,false)</f>
        <v>Hana</v>
      </c>
      <c r="K191" s="80"/>
    </row>
    <row r="192" ht="15.75" customHeight="1">
      <c r="A192" s="85">
        <v>221.0</v>
      </c>
      <c r="B192" s="77">
        <v>23.0</v>
      </c>
      <c r="C192" s="77" t="s">
        <v>972</v>
      </c>
      <c r="D192" s="77">
        <v>2.52610299E8</v>
      </c>
      <c r="E192" s="78" t="s">
        <v>682</v>
      </c>
      <c r="F192" s="77" t="s">
        <v>784</v>
      </c>
      <c r="G192" s="82" t="s">
        <v>42</v>
      </c>
      <c r="H192" s="82" t="str">
        <f>VLOOKUP(G192,MetaData!$A$2:$C$13,3,false)</f>
        <v>Deden Nur hasanah, S.E</v>
      </c>
      <c r="I192" s="82" t="s">
        <v>670</v>
      </c>
      <c r="J192" s="82" t="str">
        <f>VLOOKUP(I192,MetaData!$E$2:$G$40,3,false)</f>
        <v>Hana</v>
      </c>
      <c r="K192" s="83"/>
    </row>
    <row r="193" ht="15.75" customHeight="1">
      <c r="A193" s="84">
        <v>222.0</v>
      </c>
      <c r="B193" s="77">
        <v>24.0</v>
      </c>
      <c r="C193" s="77" t="s">
        <v>973</v>
      </c>
      <c r="D193" s="77">
        <v>2.52610322E8</v>
      </c>
      <c r="E193" s="78" t="s">
        <v>303</v>
      </c>
      <c r="F193" s="77" t="s">
        <v>782</v>
      </c>
      <c r="G193" s="79" t="s">
        <v>42</v>
      </c>
      <c r="H193" s="79" t="str">
        <f>VLOOKUP(G193,MetaData!$A$2:$C$13,3,false)</f>
        <v>Deden Nur hasanah, S.E</v>
      </c>
      <c r="I193" s="79" t="s">
        <v>297</v>
      </c>
      <c r="J193" s="79" t="str">
        <f>VLOOKUP(I193,MetaData!$E$2:$G$40,3,false)</f>
        <v>Topik &amp; Adrian</v>
      </c>
      <c r="K193" s="80"/>
    </row>
    <row r="194" ht="15.75" customHeight="1">
      <c r="A194" s="85">
        <v>223.0</v>
      </c>
      <c r="B194" s="77">
        <v>25.0</v>
      </c>
      <c r="C194" s="77" t="s">
        <v>974</v>
      </c>
      <c r="D194" s="77">
        <v>2.52610323E8</v>
      </c>
      <c r="E194" s="78" t="s">
        <v>304</v>
      </c>
      <c r="F194" s="77" t="s">
        <v>782</v>
      </c>
      <c r="G194" s="82" t="s">
        <v>42</v>
      </c>
      <c r="H194" s="82" t="str">
        <f>VLOOKUP(G194,MetaData!$A$2:$C$13,3,false)</f>
        <v>Deden Nur hasanah, S.E</v>
      </c>
      <c r="I194" s="82" t="s">
        <v>297</v>
      </c>
      <c r="J194" s="82" t="str">
        <f>VLOOKUP(I194,MetaData!$E$2:$G$40,3,false)</f>
        <v>Topik &amp; Adrian</v>
      </c>
      <c r="K194" s="83"/>
    </row>
    <row r="195" ht="15.75" customHeight="1">
      <c r="A195" s="84">
        <v>224.0</v>
      </c>
      <c r="B195" s="77">
        <v>26.0</v>
      </c>
      <c r="C195" s="77" t="s">
        <v>975</v>
      </c>
      <c r="D195" s="77">
        <v>2.52610361E8</v>
      </c>
      <c r="E195" s="78" t="s">
        <v>234</v>
      </c>
      <c r="F195" s="77" t="s">
        <v>782</v>
      </c>
      <c r="G195" s="79" t="s">
        <v>42</v>
      </c>
      <c r="H195" s="79" t="str">
        <f>VLOOKUP(G195,MetaData!$A$2:$C$13,3,false)</f>
        <v>Deden Nur hasanah, S.E</v>
      </c>
      <c r="I195" s="79" t="s">
        <v>220</v>
      </c>
      <c r="J195" s="79" t="str">
        <f>VLOOKUP(I195,MetaData!$E$2:$G$40,3,false)</f>
        <v>Rekhsa</v>
      </c>
      <c r="K195" s="80"/>
    </row>
    <row r="196" ht="15.75" customHeight="1">
      <c r="A196" s="85">
        <v>225.0</v>
      </c>
      <c r="B196" s="77">
        <v>27.0</v>
      </c>
      <c r="C196" s="77" t="s">
        <v>976</v>
      </c>
      <c r="D196" s="77">
        <v>2.52610366E8</v>
      </c>
      <c r="E196" s="78" t="s">
        <v>305</v>
      </c>
      <c r="F196" s="77" t="s">
        <v>782</v>
      </c>
      <c r="G196" s="82" t="s">
        <v>42</v>
      </c>
      <c r="H196" s="82" t="str">
        <f>VLOOKUP(G196,MetaData!$A$2:$C$13,3,false)</f>
        <v>Deden Nur hasanah, S.E</v>
      </c>
      <c r="I196" s="82" t="s">
        <v>297</v>
      </c>
      <c r="J196" s="82" t="str">
        <f>VLOOKUP(I196,MetaData!$E$2:$G$40,3,false)</f>
        <v>Topik &amp; Adrian</v>
      </c>
      <c r="K196" s="83"/>
    </row>
    <row r="197" ht="15.75" customHeight="1">
      <c r="A197" s="84">
        <v>226.0</v>
      </c>
      <c r="B197" s="77">
        <v>28.0</v>
      </c>
      <c r="C197" s="77" t="s">
        <v>977</v>
      </c>
      <c r="D197" s="77">
        <v>2.52610374E8</v>
      </c>
      <c r="E197" s="78" t="s">
        <v>306</v>
      </c>
      <c r="F197" s="77" t="s">
        <v>782</v>
      </c>
      <c r="G197" s="79" t="s">
        <v>42</v>
      </c>
      <c r="H197" s="79" t="str">
        <f>VLOOKUP(G197,MetaData!$A$2:$C$13,3,false)</f>
        <v>Deden Nur hasanah, S.E</v>
      </c>
      <c r="I197" s="79" t="s">
        <v>297</v>
      </c>
      <c r="J197" s="79" t="str">
        <f>VLOOKUP(I197,MetaData!$E$2:$G$40,3,false)</f>
        <v>Topik &amp; Adrian</v>
      </c>
      <c r="K197" s="80"/>
    </row>
    <row r="198" ht="15.75" customHeight="1">
      <c r="A198" s="85">
        <v>227.0</v>
      </c>
      <c r="B198" s="77">
        <v>29.0</v>
      </c>
      <c r="C198" s="77" t="s">
        <v>978</v>
      </c>
      <c r="D198" s="77">
        <v>2.52610379E8</v>
      </c>
      <c r="E198" s="78" t="s">
        <v>307</v>
      </c>
      <c r="F198" s="77" t="s">
        <v>782</v>
      </c>
      <c r="G198" s="82" t="s">
        <v>42</v>
      </c>
      <c r="H198" s="82" t="str">
        <f>VLOOKUP(G198,MetaData!$A$2:$C$13,3,false)</f>
        <v>Deden Nur hasanah, S.E</v>
      </c>
      <c r="I198" s="82" t="s">
        <v>297</v>
      </c>
      <c r="J198" s="82" t="str">
        <f>VLOOKUP(I198,MetaData!$E$2:$G$40,3,false)</f>
        <v>Topik &amp; Adrian</v>
      </c>
      <c r="K198" s="83"/>
    </row>
    <row r="199" ht="15.75" customHeight="1">
      <c r="A199" s="84">
        <v>228.0</v>
      </c>
      <c r="B199" s="77">
        <v>30.0</v>
      </c>
      <c r="C199" s="77" t="s">
        <v>979</v>
      </c>
      <c r="D199" s="77">
        <v>2.52610384E8</v>
      </c>
      <c r="E199" s="78" t="s">
        <v>513</v>
      </c>
      <c r="F199" s="77" t="s">
        <v>784</v>
      </c>
      <c r="G199" s="79" t="s">
        <v>42</v>
      </c>
      <c r="H199" s="79" t="str">
        <f>VLOOKUP(G199,MetaData!$A$2:$C$13,3,false)</f>
        <v>Deden Nur hasanah, S.E</v>
      </c>
      <c r="I199" s="79" t="s">
        <v>512</v>
      </c>
      <c r="J199" s="79" t="str">
        <f>VLOOKUP(I199,MetaData!$E$2:$G$40,3,false)</f>
        <v>Sabika (XI)</v>
      </c>
      <c r="K199" s="80"/>
    </row>
    <row r="200" ht="15.75" customHeight="1">
      <c r="A200" s="85">
        <v>229.0</v>
      </c>
      <c r="B200" s="77">
        <v>31.0</v>
      </c>
      <c r="C200" s="77" t="s">
        <v>980</v>
      </c>
      <c r="D200" s="77">
        <v>2.52610401E8</v>
      </c>
      <c r="E200" s="78" t="s">
        <v>308</v>
      </c>
      <c r="F200" s="77" t="s">
        <v>782</v>
      </c>
      <c r="G200" s="82" t="s">
        <v>42</v>
      </c>
      <c r="H200" s="82" t="str">
        <f>VLOOKUP(G200,MetaData!$A$2:$C$13,3,false)</f>
        <v>Deden Nur hasanah, S.E</v>
      </c>
      <c r="I200" s="82" t="s">
        <v>297</v>
      </c>
      <c r="J200" s="82" t="str">
        <f>VLOOKUP(I200,MetaData!$E$2:$G$40,3,false)</f>
        <v>Topik &amp; Adrian</v>
      </c>
      <c r="K200" s="83"/>
    </row>
    <row r="201" ht="15.75" customHeight="1">
      <c r="A201" s="84">
        <v>230.0</v>
      </c>
      <c r="B201" s="77">
        <v>32.0</v>
      </c>
      <c r="C201" s="77" t="s">
        <v>981</v>
      </c>
      <c r="D201" s="77">
        <v>2.52610412E8</v>
      </c>
      <c r="E201" s="78" t="s">
        <v>437</v>
      </c>
      <c r="F201" s="77" t="s">
        <v>784</v>
      </c>
      <c r="G201" s="79" t="s">
        <v>42</v>
      </c>
      <c r="H201" s="79" t="str">
        <f>VLOOKUP(G201,MetaData!$A$2:$C$13,3,false)</f>
        <v>Deden Nur hasanah, S.E</v>
      </c>
      <c r="I201" s="79" t="s">
        <v>428</v>
      </c>
      <c r="J201" s="79" t="str">
        <f>VLOOKUP(I201,MetaData!$E$2:$G$40,3,false)</f>
        <v>Iga</v>
      </c>
      <c r="K201" s="80"/>
    </row>
    <row r="202" ht="15.75" customHeight="1">
      <c r="A202" s="85">
        <v>231.0</v>
      </c>
      <c r="B202" s="77">
        <v>33.0</v>
      </c>
      <c r="C202" s="77" t="s">
        <v>982</v>
      </c>
      <c r="D202" s="77">
        <v>2.52610414E8</v>
      </c>
      <c r="E202" s="78" t="s">
        <v>514</v>
      </c>
      <c r="F202" s="77" t="s">
        <v>784</v>
      </c>
      <c r="G202" s="82" t="s">
        <v>42</v>
      </c>
      <c r="H202" s="82" t="str">
        <f>VLOOKUP(G202,MetaData!$A$2:$C$13,3,false)</f>
        <v>Deden Nur hasanah, S.E</v>
      </c>
      <c r="I202" s="82" t="s">
        <v>512</v>
      </c>
      <c r="J202" s="82" t="str">
        <f>VLOOKUP(I202,MetaData!$E$2:$G$40,3,false)</f>
        <v>Sabika (XI)</v>
      </c>
      <c r="K202" s="83"/>
    </row>
    <row r="203" ht="15.75" customHeight="1">
      <c r="A203" s="84">
        <v>232.0</v>
      </c>
      <c r="B203" s="77">
        <v>34.0</v>
      </c>
      <c r="C203" s="77" t="s">
        <v>983</v>
      </c>
      <c r="D203" s="77">
        <v>2.52610427E8</v>
      </c>
      <c r="E203" s="78" t="s">
        <v>439</v>
      </c>
      <c r="F203" s="77" t="s">
        <v>784</v>
      </c>
      <c r="G203" s="79" t="s">
        <v>42</v>
      </c>
      <c r="H203" s="79" t="str">
        <f>VLOOKUP(G203,MetaData!$A$2:$C$13,3,false)</f>
        <v>Deden Nur hasanah, S.E</v>
      </c>
      <c r="I203" s="79" t="s">
        <v>428</v>
      </c>
      <c r="J203" s="79" t="str">
        <f>VLOOKUP(I203,MetaData!$E$2:$G$40,3,false)</f>
        <v>Iga</v>
      </c>
      <c r="K203" s="80"/>
    </row>
    <row r="204" ht="15.75" customHeight="1">
      <c r="A204" s="85">
        <v>233.0</v>
      </c>
      <c r="B204" s="77">
        <v>35.0</v>
      </c>
      <c r="C204" s="77" t="s">
        <v>984</v>
      </c>
      <c r="D204" s="77">
        <v>2.52610429E8</v>
      </c>
      <c r="E204" s="78" t="s">
        <v>309</v>
      </c>
      <c r="F204" s="77" t="s">
        <v>782</v>
      </c>
      <c r="G204" s="82" t="s">
        <v>42</v>
      </c>
      <c r="H204" s="82" t="str">
        <f>VLOOKUP(G204,MetaData!$A$2:$C$13,3,false)</f>
        <v>Deden Nur hasanah, S.E</v>
      </c>
      <c r="I204" s="82" t="s">
        <v>297</v>
      </c>
      <c r="J204" s="82" t="str">
        <f>VLOOKUP(I204,MetaData!$E$2:$G$40,3,false)</f>
        <v>Topik &amp; Adrian</v>
      </c>
      <c r="K204" s="83"/>
    </row>
    <row r="205" ht="15.75" customHeight="1">
      <c r="A205" s="84">
        <v>234.0</v>
      </c>
      <c r="B205" s="77">
        <v>36.0</v>
      </c>
      <c r="C205" s="77" t="s">
        <v>985</v>
      </c>
      <c r="D205" s="77">
        <v>2.52610437E8</v>
      </c>
      <c r="E205" s="78" t="s">
        <v>515</v>
      </c>
      <c r="F205" s="77" t="s">
        <v>784</v>
      </c>
      <c r="G205" s="79" t="s">
        <v>42</v>
      </c>
      <c r="H205" s="79" t="str">
        <f>VLOOKUP(G205,MetaData!$A$2:$C$13,3,false)</f>
        <v>Deden Nur hasanah, S.E</v>
      </c>
      <c r="I205" s="79" t="s">
        <v>512</v>
      </c>
      <c r="J205" s="79" t="str">
        <f>VLOOKUP(I205,MetaData!$E$2:$G$40,3,false)</f>
        <v>Sabika (XI)</v>
      </c>
      <c r="K205" s="80"/>
    </row>
    <row r="206" ht="15.75" customHeight="1">
      <c r="A206" s="85">
        <v>235.0</v>
      </c>
      <c r="B206" s="77">
        <v>37.0</v>
      </c>
      <c r="C206" s="77" t="s">
        <v>986</v>
      </c>
      <c r="D206" s="77">
        <v>2.5261045E8</v>
      </c>
      <c r="E206" s="78" t="s">
        <v>516</v>
      </c>
      <c r="F206" s="77" t="s">
        <v>784</v>
      </c>
      <c r="G206" s="82" t="s">
        <v>42</v>
      </c>
      <c r="H206" s="82" t="str">
        <f>VLOOKUP(G206,MetaData!$A$2:$C$13,3,false)</f>
        <v>Deden Nur hasanah, S.E</v>
      </c>
      <c r="I206" s="82" t="s">
        <v>512</v>
      </c>
      <c r="J206" s="82" t="str">
        <f>VLOOKUP(I206,MetaData!$E$2:$G$40,3,false)</f>
        <v>Sabika (XI)</v>
      </c>
      <c r="K206" s="83"/>
    </row>
    <row r="207" ht="15.75" customHeight="1">
      <c r="A207" s="84">
        <v>236.0</v>
      </c>
      <c r="B207" s="77">
        <v>38.0</v>
      </c>
      <c r="C207" s="77" t="s">
        <v>987</v>
      </c>
      <c r="D207" s="77">
        <v>2.52610451E8</v>
      </c>
      <c r="E207" s="78" t="s">
        <v>517</v>
      </c>
      <c r="F207" s="77" t="s">
        <v>784</v>
      </c>
      <c r="G207" s="79" t="s">
        <v>42</v>
      </c>
      <c r="H207" s="79" t="str">
        <f>VLOOKUP(G207,MetaData!$A$2:$C$13,3,false)</f>
        <v>Deden Nur hasanah, S.E</v>
      </c>
      <c r="I207" s="79" t="s">
        <v>512</v>
      </c>
      <c r="J207" s="79" t="str">
        <f>VLOOKUP(I207,MetaData!$E$2:$G$40,3,false)</f>
        <v>Sabika (XI)</v>
      </c>
      <c r="K207" s="80"/>
    </row>
    <row r="208" ht="15.75" customHeight="1">
      <c r="A208" s="85">
        <v>237.0</v>
      </c>
      <c r="B208" s="77">
        <v>39.0</v>
      </c>
      <c r="C208" s="77" t="s">
        <v>988</v>
      </c>
      <c r="D208" s="77">
        <v>2.52610471E8</v>
      </c>
      <c r="E208" s="78" t="s">
        <v>310</v>
      </c>
      <c r="F208" s="77" t="s">
        <v>782</v>
      </c>
      <c r="G208" s="82" t="s">
        <v>42</v>
      </c>
      <c r="H208" s="82" t="str">
        <f>VLOOKUP(G208,MetaData!$A$2:$C$13,3,false)</f>
        <v>Deden Nur hasanah, S.E</v>
      </c>
      <c r="I208" s="82" t="s">
        <v>297</v>
      </c>
      <c r="J208" s="82" t="str">
        <f>VLOOKUP(I208,MetaData!$E$2:$G$40,3,false)</f>
        <v>Topik &amp; Adrian</v>
      </c>
      <c r="K208" s="83"/>
    </row>
    <row r="209" ht="15.75" customHeight="1">
      <c r="A209" s="84">
        <v>238.0</v>
      </c>
      <c r="B209" s="77">
        <v>40.0</v>
      </c>
      <c r="C209" s="77" t="s">
        <v>989</v>
      </c>
      <c r="D209" s="77">
        <v>2.52610481E8</v>
      </c>
      <c r="E209" s="78" t="s">
        <v>518</v>
      </c>
      <c r="F209" s="77" t="s">
        <v>784</v>
      </c>
      <c r="G209" s="79" t="s">
        <v>42</v>
      </c>
      <c r="H209" s="79" t="str">
        <f>VLOOKUP(G209,MetaData!$A$2:$C$13,3,false)</f>
        <v>Deden Nur hasanah, S.E</v>
      </c>
      <c r="I209" s="79" t="s">
        <v>512</v>
      </c>
      <c r="J209" s="79" t="str">
        <f>VLOOKUP(I209,MetaData!$E$2:$G$40,3,false)</f>
        <v>Sabika (XI)</v>
      </c>
      <c r="K209" s="80"/>
    </row>
    <row r="210" ht="15.75" customHeight="1">
      <c r="A210" s="85">
        <v>239.0</v>
      </c>
      <c r="B210" s="77">
        <v>41.0</v>
      </c>
      <c r="C210" s="77" t="s">
        <v>990</v>
      </c>
      <c r="D210" s="77">
        <v>2.52610488E8</v>
      </c>
      <c r="E210" s="78" t="s">
        <v>519</v>
      </c>
      <c r="F210" s="77" t="s">
        <v>784</v>
      </c>
      <c r="G210" s="82" t="s">
        <v>42</v>
      </c>
      <c r="H210" s="82" t="str">
        <f>VLOOKUP(G210,MetaData!$A$2:$C$13,3,false)</f>
        <v>Deden Nur hasanah, S.E</v>
      </c>
      <c r="I210" s="82" t="s">
        <v>512</v>
      </c>
      <c r="J210" s="82" t="str">
        <f>VLOOKUP(I210,MetaData!$E$2:$G$40,3,false)</f>
        <v>Sabika (XI)</v>
      </c>
      <c r="K210" s="83"/>
    </row>
    <row r="211" ht="15.75" customHeight="1">
      <c r="A211" s="84">
        <v>240.0</v>
      </c>
      <c r="B211" s="77">
        <v>42.0</v>
      </c>
      <c r="C211" s="77" t="s">
        <v>991</v>
      </c>
      <c r="D211" s="77">
        <v>2.52610507E8</v>
      </c>
      <c r="E211" s="78" t="s">
        <v>520</v>
      </c>
      <c r="F211" s="77" t="s">
        <v>784</v>
      </c>
      <c r="G211" s="79" t="s">
        <v>42</v>
      </c>
      <c r="H211" s="79" t="str">
        <f>VLOOKUP(G211,MetaData!$A$2:$C$13,3,false)</f>
        <v>Deden Nur hasanah, S.E</v>
      </c>
      <c r="I211" s="79" t="s">
        <v>512</v>
      </c>
      <c r="J211" s="79" t="str">
        <f>VLOOKUP(I211,MetaData!$E$2:$G$40,3,false)</f>
        <v>Sabika (XI)</v>
      </c>
      <c r="K211" s="80"/>
    </row>
    <row r="212" ht="15.75" customHeight="1">
      <c r="A212" s="85">
        <v>241.0</v>
      </c>
      <c r="B212" s="77">
        <v>43.0</v>
      </c>
      <c r="C212" s="77" t="s">
        <v>992</v>
      </c>
      <c r="D212" s="77">
        <v>2.52610535E8</v>
      </c>
      <c r="E212" s="78" t="s">
        <v>521</v>
      </c>
      <c r="F212" s="77" t="s">
        <v>784</v>
      </c>
      <c r="G212" s="82" t="s">
        <v>42</v>
      </c>
      <c r="H212" s="82" t="str">
        <f>VLOOKUP(G212,MetaData!$A$2:$C$13,3,false)</f>
        <v>Deden Nur hasanah, S.E</v>
      </c>
      <c r="I212" s="82" t="s">
        <v>512</v>
      </c>
      <c r="J212" s="82" t="str">
        <f>VLOOKUP(I212,MetaData!$E$2:$G$40,3,false)</f>
        <v>Sabika (XI)</v>
      </c>
      <c r="K212" s="83"/>
    </row>
    <row r="213" ht="15.75" customHeight="1">
      <c r="A213" s="84">
        <v>242.0</v>
      </c>
      <c r="B213" s="77">
        <v>44.0</v>
      </c>
      <c r="C213" s="77" t="s">
        <v>993</v>
      </c>
      <c r="D213" s="77">
        <v>2.5261054E8</v>
      </c>
      <c r="E213" s="78" t="s">
        <v>522</v>
      </c>
      <c r="F213" s="77" t="s">
        <v>784</v>
      </c>
      <c r="G213" s="79" t="s">
        <v>42</v>
      </c>
      <c r="H213" s="79" t="str">
        <f>VLOOKUP(G213,MetaData!$A$2:$C$13,3,false)</f>
        <v>Deden Nur hasanah, S.E</v>
      </c>
      <c r="I213" s="79" t="s">
        <v>512</v>
      </c>
      <c r="J213" s="79" t="str">
        <f>VLOOKUP(I213,MetaData!$E$2:$G$40,3,false)</f>
        <v>Sabika (XI)</v>
      </c>
      <c r="K213" s="80"/>
    </row>
    <row r="214" ht="15.75" customHeight="1">
      <c r="A214" s="85">
        <v>243.0</v>
      </c>
      <c r="B214" s="77">
        <v>45.0</v>
      </c>
      <c r="C214" s="77" t="s">
        <v>994</v>
      </c>
      <c r="D214" s="77">
        <v>2.52610543E8</v>
      </c>
      <c r="E214" s="78" t="s">
        <v>523</v>
      </c>
      <c r="F214" s="77" t="s">
        <v>784</v>
      </c>
      <c r="G214" s="82" t="s">
        <v>42</v>
      </c>
      <c r="H214" s="82" t="str">
        <f>VLOOKUP(G214,MetaData!$A$2:$C$13,3,false)</f>
        <v>Deden Nur hasanah, S.E</v>
      </c>
      <c r="I214" s="82" t="s">
        <v>512</v>
      </c>
      <c r="J214" s="82" t="str">
        <f>VLOOKUP(I214,MetaData!$E$2:$G$40,3,false)</f>
        <v>Sabika (XI)</v>
      </c>
      <c r="K214" s="83"/>
    </row>
    <row r="215" ht="15.75" customHeight="1">
      <c r="A215" s="84">
        <v>244.0</v>
      </c>
      <c r="B215" s="77">
        <v>46.0</v>
      </c>
      <c r="C215" s="77" t="s">
        <v>995</v>
      </c>
      <c r="D215" s="77">
        <v>2.52610549E8</v>
      </c>
      <c r="E215" s="78" t="s">
        <v>311</v>
      </c>
      <c r="F215" s="77" t="s">
        <v>782</v>
      </c>
      <c r="G215" s="79" t="s">
        <v>42</v>
      </c>
      <c r="H215" s="79" t="str">
        <f>VLOOKUP(G215,MetaData!$A$2:$C$13,3,false)</f>
        <v>Deden Nur hasanah, S.E</v>
      </c>
      <c r="I215" s="79" t="s">
        <v>297</v>
      </c>
      <c r="J215" s="79" t="str">
        <f>VLOOKUP(I215,MetaData!$E$2:$G$40,3,false)</f>
        <v>Topik &amp; Adrian</v>
      </c>
      <c r="K215" s="80"/>
    </row>
    <row r="216" ht="15.75" customHeight="1">
      <c r="A216" s="85">
        <v>245.0</v>
      </c>
      <c r="B216" s="77">
        <v>47.0</v>
      </c>
      <c r="C216" s="77" t="s">
        <v>996</v>
      </c>
      <c r="D216" s="77">
        <v>2.52610554E8</v>
      </c>
      <c r="E216" s="78" t="s">
        <v>524</v>
      </c>
      <c r="F216" s="77" t="s">
        <v>784</v>
      </c>
      <c r="G216" s="82" t="s">
        <v>42</v>
      </c>
      <c r="H216" s="82" t="str">
        <f>VLOOKUP(G216,MetaData!$A$2:$C$13,3,false)</f>
        <v>Deden Nur hasanah, S.E</v>
      </c>
      <c r="I216" s="82" t="s">
        <v>512</v>
      </c>
      <c r="J216" s="82" t="str">
        <f>VLOOKUP(I216,MetaData!$E$2:$G$40,3,false)</f>
        <v>Sabika (XI)</v>
      </c>
      <c r="K216" s="83"/>
    </row>
    <row r="217" ht="15.75" customHeight="1">
      <c r="A217" s="76">
        <v>253.0</v>
      </c>
      <c r="B217" s="77">
        <v>3.0</v>
      </c>
      <c r="C217" s="77" t="s">
        <v>997</v>
      </c>
      <c r="D217" s="77">
        <v>2.52610036E8</v>
      </c>
      <c r="E217" s="78" t="s">
        <v>658</v>
      </c>
      <c r="F217" s="77" t="s">
        <v>784</v>
      </c>
      <c r="G217" s="79" t="s">
        <v>46</v>
      </c>
      <c r="H217" s="79" t="str">
        <f>VLOOKUP(G217,MetaData!$A$2:$C$13,3,false)</f>
        <v>Raden Rara Tatra Sudhawati, S.Pd, M.Pd</v>
      </c>
      <c r="I217" s="79" t="s">
        <v>657</v>
      </c>
      <c r="J217" s="79" t="str">
        <f>VLOOKUP(I217,MetaData!$E$2:$G$40,3,false)</f>
        <v>Khairunnisa (XII)</v>
      </c>
      <c r="K217" s="80"/>
    </row>
    <row r="218" ht="15.75" customHeight="1">
      <c r="A218" s="81">
        <v>254.0</v>
      </c>
      <c r="B218" s="77">
        <v>4.0</v>
      </c>
      <c r="C218" s="77" t="s">
        <v>998</v>
      </c>
      <c r="D218" s="77">
        <v>2.52610042E8</v>
      </c>
      <c r="E218" s="78" t="s">
        <v>659</v>
      </c>
      <c r="F218" s="77" t="s">
        <v>784</v>
      </c>
      <c r="G218" s="82" t="s">
        <v>46</v>
      </c>
      <c r="H218" s="82" t="str">
        <f>VLOOKUP(G218,MetaData!$A$2:$C$13,3,false)</f>
        <v>Raden Rara Tatra Sudhawati, S.Pd, M.Pd</v>
      </c>
      <c r="I218" s="82" t="s">
        <v>657</v>
      </c>
      <c r="J218" s="82" t="str">
        <f>VLOOKUP(I218,MetaData!$E$2:$G$40,3,false)</f>
        <v>Khairunnisa (XII)</v>
      </c>
      <c r="K218" s="83"/>
    </row>
    <row r="219" ht="15.75" customHeight="1">
      <c r="A219" s="76">
        <v>255.0</v>
      </c>
      <c r="B219" s="77">
        <v>5.0</v>
      </c>
      <c r="C219" s="77" t="s">
        <v>999</v>
      </c>
      <c r="D219" s="77">
        <v>2.52610072E8</v>
      </c>
      <c r="E219" s="78" t="s">
        <v>660</v>
      </c>
      <c r="F219" s="77" t="s">
        <v>784</v>
      </c>
      <c r="G219" s="79" t="s">
        <v>46</v>
      </c>
      <c r="H219" s="79" t="str">
        <f>VLOOKUP(G219,MetaData!$A$2:$C$13,3,false)</f>
        <v>Raden Rara Tatra Sudhawati, S.Pd, M.Pd</v>
      </c>
      <c r="I219" s="79" t="s">
        <v>657</v>
      </c>
      <c r="J219" s="79" t="str">
        <f>VLOOKUP(I219,MetaData!$E$2:$G$40,3,false)</f>
        <v>Khairunnisa (XII)</v>
      </c>
      <c r="K219" s="80"/>
    </row>
    <row r="220" ht="15.75" customHeight="1">
      <c r="A220" s="81">
        <v>256.0</v>
      </c>
      <c r="B220" s="77">
        <v>7.0</v>
      </c>
      <c r="C220" s="77" t="s">
        <v>1000</v>
      </c>
      <c r="D220" s="77">
        <v>2.52610134E8</v>
      </c>
      <c r="E220" s="78" t="s">
        <v>661</v>
      </c>
      <c r="F220" s="77" t="s">
        <v>784</v>
      </c>
      <c r="G220" s="82" t="s">
        <v>46</v>
      </c>
      <c r="H220" s="82" t="str">
        <f>VLOOKUP(G220,MetaData!$A$2:$C$13,3,false)</f>
        <v>Raden Rara Tatra Sudhawati, S.Pd, M.Pd</v>
      </c>
      <c r="I220" s="82" t="s">
        <v>657</v>
      </c>
      <c r="J220" s="82" t="str">
        <f>VLOOKUP(I220,MetaData!$E$2:$G$40,3,false)</f>
        <v>Khairunnisa (XII)</v>
      </c>
      <c r="K220" s="83"/>
    </row>
    <row r="221" ht="15.75" customHeight="1">
      <c r="A221" s="76">
        <v>257.0</v>
      </c>
      <c r="B221" s="77">
        <v>9.0</v>
      </c>
      <c r="C221" s="77" t="s">
        <v>1001</v>
      </c>
      <c r="D221" s="77">
        <v>2.52610157E8</v>
      </c>
      <c r="E221" s="78" t="s">
        <v>662</v>
      </c>
      <c r="F221" s="77" t="s">
        <v>784</v>
      </c>
      <c r="G221" s="79" t="s">
        <v>46</v>
      </c>
      <c r="H221" s="79" t="str">
        <f>VLOOKUP(G221,MetaData!$A$2:$C$13,3,false)</f>
        <v>Raden Rara Tatra Sudhawati, S.Pd, M.Pd</v>
      </c>
      <c r="I221" s="79" t="s">
        <v>657</v>
      </c>
      <c r="J221" s="79" t="str">
        <f>VLOOKUP(I221,MetaData!$E$2:$G$40,3,false)</f>
        <v>Khairunnisa (XII)</v>
      </c>
      <c r="K221" s="80"/>
    </row>
    <row r="222" ht="15.75" customHeight="1">
      <c r="A222" s="81">
        <v>258.0</v>
      </c>
      <c r="B222" s="77">
        <v>10.0</v>
      </c>
      <c r="C222" s="77" t="s">
        <v>1002</v>
      </c>
      <c r="D222" s="77">
        <v>2.52610167E8</v>
      </c>
      <c r="E222" s="78" t="s">
        <v>663</v>
      </c>
      <c r="F222" s="77" t="s">
        <v>784</v>
      </c>
      <c r="G222" s="82" t="s">
        <v>46</v>
      </c>
      <c r="H222" s="82" t="str">
        <f>VLOOKUP(G222,MetaData!$A$2:$C$13,3,false)</f>
        <v>Raden Rara Tatra Sudhawati, S.Pd, M.Pd</v>
      </c>
      <c r="I222" s="82" t="s">
        <v>657</v>
      </c>
      <c r="J222" s="82" t="str">
        <f>VLOOKUP(I222,MetaData!$E$2:$G$40,3,false)</f>
        <v>Khairunnisa (XII)</v>
      </c>
      <c r="K222" s="83"/>
    </row>
    <row r="223" ht="15.75" customHeight="1">
      <c r="A223" s="76">
        <v>259.0</v>
      </c>
      <c r="B223" s="77">
        <v>11.0</v>
      </c>
      <c r="C223" s="77" t="s">
        <v>1003</v>
      </c>
      <c r="D223" s="77">
        <v>2.52610172E8</v>
      </c>
      <c r="E223" s="78" t="s">
        <v>290</v>
      </c>
      <c r="F223" s="77" t="s">
        <v>782</v>
      </c>
      <c r="G223" s="79" t="s">
        <v>46</v>
      </c>
      <c r="H223" s="79" t="str">
        <f>VLOOKUP(G223,MetaData!$A$2:$C$13,3,false)</f>
        <v>Raden Rara Tatra Sudhawati, S.Pd, M.Pd</v>
      </c>
      <c r="I223" s="79" t="s">
        <v>289</v>
      </c>
      <c r="J223" s="79" t="str">
        <f>VLOOKUP(I223,MetaData!$E$2:$G$40,3,false)</f>
        <v>Arumbinang</v>
      </c>
      <c r="K223" s="80"/>
    </row>
    <row r="224" ht="15.75" customHeight="1">
      <c r="A224" s="81">
        <v>260.0</v>
      </c>
      <c r="B224" s="77">
        <v>12.0</v>
      </c>
      <c r="C224" s="77" t="s">
        <v>1004</v>
      </c>
      <c r="D224" s="77">
        <v>2.52610176E8</v>
      </c>
      <c r="E224" s="78" t="s">
        <v>291</v>
      </c>
      <c r="F224" s="77" t="s">
        <v>782</v>
      </c>
      <c r="G224" s="82" t="s">
        <v>46</v>
      </c>
      <c r="H224" s="82" t="str">
        <f>VLOOKUP(G224,MetaData!$A$2:$C$13,3,false)</f>
        <v>Raden Rara Tatra Sudhawati, S.Pd, M.Pd</v>
      </c>
      <c r="I224" s="82" t="s">
        <v>289</v>
      </c>
      <c r="J224" s="82" t="str">
        <f>VLOOKUP(I224,MetaData!$E$2:$G$40,3,false)</f>
        <v>Arumbinang</v>
      </c>
      <c r="K224" s="83"/>
    </row>
    <row r="225" ht="15.75" customHeight="1">
      <c r="A225" s="76">
        <v>261.0</v>
      </c>
      <c r="B225" s="77">
        <v>14.0</v>
      </c>
      <c r="C225" s="77" t="s">
        <v>1005</v>
      </c>
      <c r="D225" s="77">
        <v>2.52610194E8</v>
      </c>
      <c r="E225" s="78" t="s">
        <v>664</v>
      </c>
      <c r="F225" s="77" t="s">
        <v>784</v>
      </c>
      <c r="G225" s="79" t="s">
        <v>46</v>
      </c>
      <c r="H225" s="79" t="str">
        <f>VLOOKUP(G225,MetaData!$A$2:$C$13,3,false)</f>
        <v>Raden Rara Tatra Sudhawati, S.Pd, M.Pd</v>
      </c>
      <c r="I225" s="79" t="s">
        <v>657</v>
      </c>
      <c r="J225" s="79" t="str">
        <f>VLOOKUP(I225,MetaData!$E$2:$G$40,3,false)</f>
        <v>Khairunnisa (XII)</v>
      </c>
      <c r="K225" s="80"/>
    </row>
    <row r="226" ht="15.75" customHeight="1">
      <c r="A226" s="81">
        <v>262.0</v>
      </c>
      <c r="B226" s="77">
        <v>15.0</v>
      </c>
      <c r="C226" s="77" t="s">
        <v>1006</v>
      </c>
      <c r="D226" s="77">
        <v>2.52610195E8</v>
      </c>
      <c r="E226" s="78" t="s">
        <v>450</v>
      </c>
      <c r="F226" s="77" t="s">
        <v>784</v>
      </c>
      <c r="G226" s="82" t="s">
        <v>46</v>
      </c>
      <c r="H226" s="82" t="str">
        <f>VLOOKUP(G226,MetaData!$A$2:$C$13,3,false)</f>
        <v>Raden Rara Tatra Sudhawati, S.Pd, M.Pd</v>
      </c>
      <c r="I226" s="82" t="s">
        <v>443</v>
      </c>
      <c r="J226" s="82" t="str">
        <f>VLOOKUP(I226,MetaData!$E$2:$G$40,3,false)</f>
        <v>Ayun</v>
      </c>
      <c r="K226" s="83"/>
    </row>
    <row r="227" ht="15.75" customHeight="1">
      <c r="A227" s="76">
        <v>263.0</v>
      </c>
      <c r="B227" s="77">
        <v>17.0</v>
      </c>
      <c r="C227" s="77" t="s">
        <v>1007</v>
      </c>
      <c r="D227" s="77">
        <v>2.52610209E8</v>
      </c>
      <c r="E227" s="78" t="s">
        <v>665</v>
      </c>
      <c r="F227" s="77" t="s">
        <v>784</v>
      </c>
      <c r="G227" s="79" t="s">
        <v>46</v>
      </c>
      <c r="H227" s="79" t="str">
        <f>VLOOKUP(G227,MetaData!$A$2:$C$13,3,false)</f>
        <v>Raden Rara Tatra Sudhawati, S.Pd, M.Pd</v>
      </c>
      <c r="I227" s="79" t="s">
        <v>657</v>
      </c>
      <c r="J227" s="79" t="str">
        <f>VLOOKUP(I227,MetaData!$E$2:$G$40,3,false)</f>
        <v>Khairunnisa (XII)</v>
      </c>
      <c r="K227" s="80"/>
    </row>
    <row r="228" ht="15.75" customHeight="1">
      <c r="A228" s="81">
        <v>264.0</v>
      </c>
      <c r="B228" s="77">
        <v>18.0</v>
      </c>
      <c r="C228" s="77" t="s">
        <v>1008</v>
      </c>
      <c r="D228" s="77">
        <v>2.5261021E8</v>
      </c>
      <c r="E228" s="78" t="s">
        <v>666</v>
      </c>
      <c r="F228" s="77" t="s">
        <v>784</v>
      </c>
      <c r="G228" s="82" t="s">
        <v>46</v>
      </c>
      <c r="H228" s="82" t="str">
        <f>VLOOKUP(G228,MetaData!$A$2:$C$13,3,false)</f>
        <v>Raden Rara Tatra Sudhawati, S.Pd, M.Pd</v>
      </c>
      <c r="I228" s="82" t="s">
        <v>657</v>
      </c>
      <c r="J228" s="82" t="str">
        <f>VLOOKUP(I228,MetaData!$E$2:$G$40,3,false)</f>
        <v>Khairunnisa (XII)</v>
      </c>
      <c r="K228" s="83"/>
    </row>
    <row r="229" ht="15.75" customHeight="1">
      <c r="A229" s="76">
        <v>265.0</v>
      </c>
      <c r="B229" s="77">
        <v>19.0</v>
      </c>
      <c r="C229" s="77" t="s">
        <v>1009</v>
      </c>
      <c r="D229" s="77">
        <v>2.52610214E8</v>
      </c>
      <c r="E229" s="78" t="s">
        <v>667</v>
      </c>
      <c r="F229" s="77" t="s">
        <v>784</v>
      </c>
      <c r="G229" s="79" t="s">
        <v>46</v>
      </c>
      <c r="H229" s="79" t="str">
        <f>VLOOKUP(G229,MetaData!$A$2:$C$13,3,false)</f>
        <v>Raden Rara Tatra Sudhawati, S.Pd, M.Pd</v>
      </c>
      <c r="I229" s="79" t="s">
        <v>657</v>
      </c>
      <c r="J229" s="79" t="str">
        <f>VLOOKUP(I229,MetaData!$E$2:$G$40,3,false)</f>
        <v>Khairunnisa (XII)</v>
      </c>
      <c r="K229" s="80"/>
    </row>
    <row r="230" ht="15.75" customHeight="1">
      <c r="A230" s="81">
        <v>266.0</v>
      </c>
      <c r="B230" s="77">
        <v>20.0</v>
      </c>
      <c r="C230" s="77" t="s">
        <v>1010</v>
      </c>
      <c r="D230" s="77">
        <v>2.52610227E8</v>
      </c>
      <c r="E230" s="78" t="s">
        <v>668</v>
      </c>
      <c r="F230" s="77" t="s">
        <v>784</v>
      </c>
      <c r="G230" s="82" t="s">
        <v>46</v>
      </c>
      <c r="H230" s="82" t="str">
        <f>VLOOKUP(G230,MetaData!$A$2:$C$13,3,false)</f>
        <v>Raden Rara Tatra Sudhawati, S.Pd, M.Pd</v>
      </c>
      <c r="I230" s="82" t="s">
        <v>657</v>
      </c>
      <c r="J230" s="82" t="str">
        <f>VLOOKUP(I230,MetaData!$E$2:$G$40,3,false)</f>
        <v>Khairunnisa (XII)</v>
      </c>
      <c r="K230" s="83"/>
    </row>
    <row r="231" ht="15.75" customHeight="1">
      <c r="A231" s="76">
        <v>267.0</v>
      </c>
      <c r="B231" s="77">
        <v>23.0</v>
      </c>
      <c r="C231" s="77" t="s">
        <v>1011</v>
      </c>
      <c r="D231" s="77">
        <v>2.52610273E8</v>
      </c>
      <c r="E231" s="78" t="s">
        <v>669</v>
      </c>
      <c r="F231" s="77" t="s">
        <v>784</v>
      </c>
      <c r="G231" s="79" t="s">
        <v>46</v>
      </c>
      <c r="H231" s="79" t="str">
        <f>VLOOKUP(G231,MetaData!$A$2:$C$13,3,false)</f>
        <v>Raden Rara Tatra Sudhawati, S.Pd, M.Pd</v>
      </c>
      <c r="I231" s="79" t="s">
        <v>657</v>
      </c>
      <c r="J231" s="79" t="str">
        <f>VLOOKUP(I231,MetaData!$E$2:$G$40,3,false)</f>
        <v>Khairunnisa (XII)</v>
      </c>
      <c r="K231" s="80"/>
    </row>
    <row r="232" ht="15.75" customHeight="1">
      <c r="A232" s="81">
        <v>268.0</v>
      </c>
      <c r="B232" s="77">
        <v>24.0</v>
      </c>
      <c r="C232" s="77" t="s">
        <v>1012</v>
      </c>
      <c r="D232" s="77">
        <v>2.52610279E8</v>
      </c>
      <c r="E232" s="78" t="s">
        <v>501</v>
      </c>
      <c r="F232" s="77" t="s">
        <v>784</v>
      </c>
      <c r="G232" s="82" t="s">
        <v>46</v>
      </c>
      <c r="H232" s="82" t="str">
        <f>VLOOKUP(G232,MetaData!$A$2:$C$13,3,false)</f>
        <v>Raden Rara Tatra Sudhawati, S.Pd, M.Pd</v>
      </c>
      <c r="I232" s="82" t="s">
        <v>500</v>
      </c>
      <c r="J232" s="82" t="str">
        <f>VLOOKUP(I232,MetaData!$E$2:$G$40,3,false)</f>
        <v>Bumi (XI)</v>
      </c>
      <c r="K232" s="83"/>
    </row>
    <row r="233" ht="15.75" customHeight="1">
      <c r="A233" s="76">
        <v>269.0</v>
      </c>
      <c r="B233" s="77">
        <v>26.0</v>
      </c>
      <c r="C233" s="77" t="s">
        <v>1013</v>
      </c>
      <c r="D233" s="77">
        <v>2.52610308E8</v>
      </c>
      <c r="E233" s="78" t="s">
        <v>502</v>
      </c>
      <c r="F233" s="77" t="s">
        <v>784</v>
      </c>
      <c r="G233" s="79" t="s">
        <v>46</v>
      </c>
      <c r="H233" s="79" t="str">
        <f>VLOOKUP(G233,MetaData!$A$2:$C$13,3,false)</f>
        <v>Raden Rara Tatra Sudhawati, S.Pd, M.Pd</v>
      </c>
      <c r="I233" s="79" t="s">
        <v>500</v>
      </c>
      <c r="J233" s="79" t="str">
        <f>VLOOKUP(I233,MetaData!$E$2:$G$40,3,false)</f>
        <v>Bumi (XI)</v>
      </c>
      <c r="K233" s="80"/>
    </row>
    <row r="234" ht="15.75" customHeight="1">
      <c r="A234" s="81">
        <v>270.0</v>
      </c>
      <c r="B234" s="77">
        <v>28.0</v>
      </c>
      <c r="C234" s="77" t="s">
        <v>1014</v>
      </c>
      <c r="D234" s="77">
        <v>2.52610342E8</v>
      </c>
      <c r="E234" s="78" t="s">
        <v>292</v>
      </c>
      <c r="F234" s="77" t="s">
        <v>782</v>
      </c>
      <c r="G234" s="82" t="s">
        <v>46</v>
      </c>
      <c r="H234" s="82" t="str">
        <f>VLOOKUP(G234,MetaData!$A$2:$C$13,3,false)</f>
        <v>Raden Rara Tatra Sudhawati, S.Pd, M.Pd</v>
      </c>
      <c r="I234" s="82" t="s">
        <v>289</v>
      </c>
      <c r="J234" s="82" t="str">
        <f>VLOOKUP(I234,MetaData!$E$2:$G$40,3,false)</f>
        <v>Arumbinang</v>
      </c>
      <c r="K234" s="83"/>
    </row>
    <row r="235" ht="15.75" customHeight="1">
      <c r="A235" s="76">
        <v>271.0</v>
      </c>
      <c r="B235" s="77">
        <v>31.0</v>
      </c>
      <c r="C235" s="77" t="s">
        <v>1015</v>
      </c>
      <c r="D235" s="77">
        <v>2.52610394E8</v>
      </c>
      <c r="E235" s="78" t="s">
        <v>503</v>
      </c>
      <c r="F235" s="77" t="s">
        <v>784</v>
      </c>
      <c r="G235" s="79" t="s">
        <v>46</v>
      </c>
      <c r="H235" s="79" t="str">
        <f>VLOOKUP(G235,MetaData!$A$2:$C$13,3,false)</f>
        <v>Raden Rara Tatra Sudhawati, S.Pd, M.Pd</v>
      </c>
      <c r="I235" s="79" t="s">
        <v>500</v>
      </c>
      <c r="J235" s="79" t="str">
        <f>VLOOKUP(I235,MetaData!$E$2:$G$40,3,false)</f>
        <v>Bumi (XI)</v>
      </c>
      <c r="K235" s="80"/>
    </row>
    <row r="236" ht="15.75" customHeight="1">
      <c r="A236" s="81">
        <v>272.0</v>
      </c>
      <c r="B236" s="77">
        <v>32.0</v>
      </c>
      <c r="C236" s="77" t="s">
        <v>1016</v>
      </c>
      <c r="D236" s="77">
        <v>2.5261041E8</v>
      </c>
      <c r="E236" s="78" t="s">
        <v>504</v>
      </c>
      <c r="F236" s="77" t="s">
        <v>784</v>
      </c>
      <c r="G236" s="82" t="s">
        <v>46</v>
      </c>
      <c r="H236" s="82" t="str">
        <f>VLOOKUP(G236,MetaData!$A$2:$C$13,3,false)</f>
        <v>Raden Rara Tatra Sudhawati, S.Pd, M.Pd</v>
      </c>
      <c r="I236" s="82" t="s">
        <v>500</v>
      </c>
      <c r="J236" s="82" t="str">
        <f>VLOOKUP(I236,MetaData!$E$2:$G$40,3,false)</f>
        <v>Bumi (XI)</v>
      </c>
      <c r="K236" s="83"/>
    </row>
    <row r="237" ht="15.75" customHeight="1">
      <c r="A237" s="76">
        <v>273.0</v>
      </c>
      <c r="B237" s="77">
        <v>33.0</v>
      </c>
      <c r="C237" s="77" t="s">
        <v>1017</v>
      </c>
      <c r="D237" s="77">
        <v>2.52610442E8</v>
      </c>
      <c r="E237" s="78" t="s">
        <v>505</v>
      </c>
      <c r="F237" s="77" t="s">
        <v>784</v>
      </c>
      <c r="G237" s="79" t="s">
        <v>46</v>
      </c>
      <c r="H237" s="79" t="str">
        <f>VLOOKUP(G237,MetaData!$A$2:$C$13,3,false)</f>
        <v>Raden Rara Tatra Sudhawati, S.Pd, M.Pd</v>
      </c>
      <c r="I237" s="79" t="s">
        <v>500</v>
      </c>
      <c r="J237" s="79" t="str">
        <f>VLOOKUP(I237,MetaData!$E$2:$G$40,3,false)</f>
        <v>Bumi (XI)</v>
      </c>
      <c r="K237" s="80"/>
    </row>
    <row r="238" ht="15.75" customHeight="1">
      <c r="A238" s="81">
        <v>274.0</v>
      </c>
      <c r="B238" s="77">
        <v>35.0</v>
      </c>
      <c r="C238" s="77" t="s">
        <v>1018</v>
      </c>
      <c r="D238" s="77">
        <v>2.52610449E8</v>
      </c>
      <c r="E238" s="78" t="s">
        <v>293</v>
      </c>
      <c r="F238" s="77" t="s">
        <v>782</v>
      </c>
      <c r="G238" s="82" t="s">
        <v>46</v>
      </c>
      <c r="H238" s="82" t="str">
        <f>VLOOKUP(G238,MetaData!$A$2:$C$13,3,false)</f>
        <v>Raden Rara Tatra Sudhawati, S.Pd, M.Pd</v>
      </c>
      <c r="I238" s="82" t="s">
        <v>289</v>
      </c>
      <c r="J238" s="82" t="str">
        <f>VLOOKUP(I238,MetaData!$E$2:$G$40,3,false)</f>
        <v>Arumbinang</v>
      </c>
      <c r="K238" s="83"/>
    </row>
    <row r="239" ht="15.75" customHeight="1">
      <c r="A239" s="76">
        <v>275.0</v>
      </c>
      <c r="B239" s="77">
        <v>36.0</v>
      </c>
      <c r="C239" s="77" t="s">
        <v>1019</v>
      </c>
      <c r="D239" s="77">
        <v>2.52610453E8</v>
      </c>
      <c r="E239" s="78" t="s">
        <v>294</v>
      </c>
      <c r="F239" s="77" t="s">
        <v>782</v>
      </c>
      <c r="G239" s="79" t="s">
        <v>46</v>
      </c>
      <c r="H239" s="79" t="str">
        <f>VLOOKUP(G239,MetaData!$A$2:$C$13,3,false)</f>
        <v>Raden Rara Tatra Sudhawati, S.Pd, M.Pd</v>
      </c>
      <c r="I239" s="79" t="s">
        <v>289</v>
      </c>
      <c r="J239" s="79" t="str">
        <f>VLOOKUP(I239,MetaData!$E$2:$G$40,3,false)</f>
        <v>Arumbinang</v>
      </c>
      <c r="K239" s="80"/>
    </row>
    <row r="240" ht="15.75" customHeight="1">
      <c r="A240" s="81">
        <v>276.0</v>
      </c>
      <c r="B240" s="77">
        <v>39.0</v>
      </c>
      <c r="C240" s="77" t="s">
        <v>1020</v>
      </c>
      <c r="D240" s="77">
        <v>2.52610479E8</v>
      </c>
      <c r="E240" s="78" t="s">
        <v>295</v>
      </c>
      <c r="F240" s="77" t="s">
        <v>782</v>
      </c>
      <c r="G240" s="82" t="s">
        <v>46</v>
      </c>
      <c r="H240" s="82" t="str">
        <f>VLOOKUP(G240,MetaData!$A$2:$C$13,3,false)</f>
        <v>Raden Rara Tatra Sudhawati, S.Pd, M.Pd</v>
      </c>
      <c r="I240" s="82" t="s">
        <v>289</v>
      </c>
      <c r="J240" s="82" t="str">
        <f>VLOOKUP(I240,MetaData!$E$2:$G$40,3,false)</f>
        <v>Arumbinang</v>
      </c>
      <c r="K240" s="83"/>
    </row>
    <row r="241" ht="15.75" customHeight="1">
      <c r="A241" s="76">
        <v>277.0</v>
      </c>
      <c r="B241" s="77">
        <v>40.0</v>
      </c>
      <c r="C241" s="77" t="s">
        <v>1021</v>
      </c>
      <c r="D241" s="77">
        <v>2.52610484E8</v>
      </c>
      <c r="E241" s="78" t="s">
        <v>506</v>
      </c>
      <c r="F241" s="77" t="s">
        <v>784</v>
      </c>
      <c r="G241" s="79" t="s">
        <v>46</v>
      </c>
      <c r="H241" s="79" t="str">
        <f>VLOOKUP(G241,MetaData!$A$2:$C$13,3,false)</f>
        <v>Raden Rara Tatra Sudhawati, S.Pd, M.Pd</v>
      </c>
      <c r="I241" s="79" t="s">
        <v>500</v>
      </c>
      <c r="J241" s="79" t="str">
        <f>VLOOKUP(I241,MetaData!$E$2:$G$40,3,false)</f>
        <v>Bumi (XI)</v>
      </c>
      <c r="K241" s="80"/>
    </row>
    <row r="242" ht="15.75" customHeight="1">
      <c r="A242" s="81">
        <v>278.0</v>
      </c>
      <c r="B242" s="77">
        <v>41.0</v>
      </c>
      <c r="C242" s="77" t="s">
        <v>1022</v>
      </c>
      <c r="D242" s="77">
        <v>2.52610486E8</v>
      </c>
      <c r="E242" s="78" t="s">
        <v>507</v>
      </c>
      <c r="F242" s="77" t="s">
        <v>784</v>
      </c>
      <c r="G242" s="82" t="s">
        <v>46</v>
      </c>
      <c r="H242" s="82" t="str">
        <f>VLOOKUP(G242,MetaData!$A$2:$C$13,3,false)</f>
        <v>Raden Rara Tatra Sudhawati, S.Pd, M.Pd</v>
      </c>
      <c r="I242" s="82" t="s">
        <v>500</v>
      </c>
      <c r="J242" s="82" t="str">
        <f>VLOOKUP(I242,MetaData!$E$2:$G$40,3,false)</f>
        <v>Bumi (XI)</v>
      </c>
      <c r="K242" s="83"/>
    </row>
    <row r="243" ht="15.75" customHeight="1">
      <c r="A243" s="76">
        <v>279.0</v>
      </c>
      <c r="B243" s="77">
        <v>42.0</v>
      </c>
      <c r="C243" s="77" t="s">
        <v>1023</v>
      </c>
      <c r="D243" s="77">
        <v>2.52610495E8</v>
      </c>
      <c r="E243" s="78" t="s">
        <v>508</v>
      </c>
      <c r="F243" s="77" t="s">
        <v>784</v>
      </c>
      <c r="G243" s="79" t="s">
        <v>46</v>
      </c>
      <c r="H243" s="79" t="str">
        <f>VLOOKUP(G243,MetaData!$A$2:$C$13,3,false)</f>
        <v>Raden Rara Tatra Sudhawati, S.Pd, M.Pd</v>
      </c>
      <c r="I243" s="79" t="s">
        <v>500</v>
      </c>
      <c r="J243" s="79" t="str">
        <f>VLOOKUP(I243,MetaData!$E$2:$G$40,3,false)</f>
        <v>Bumi (XI)</v>
      </c>
      <c r="K243" s="80"/>
    </row>
    <row r="244" ht="15.75" customHeight="1">
      <c r="A244" s="81">
        <v>280.0</v>
      </c>
      <c r="B244" s="77">
        <v>43.0</v>
      </c>
      <c r="C244" s="77" t="s">
        <v>1024</v>
      </c>
      <c r="D244" s="77">
        <v>2.52610505E8</v>
      </c>
      <c r="E244" s="78" t="s">
        <v>509</v>
      </c>
      <c r="F244" s="77" t="s">
        <v>784</v>
      </c>
      <c r="G244" s="82" t="s">
        <v>46</v>
      </c>
      <c r="H244" s="82" t="str">
        <f>VLOOKUP(G244,MetaData!$A$2:$C$13,3,false)</f>
        <v>Raden Rara Tatra Sudhawati, S.Pd, M.Pd</v>
      </c>
      <c r="I244" s="82" t="s">
        <v>500</v>
      </c>
      <c r="J244" s="82" t="str">
        <f>VLOOKUP(I244,MetaData!$E$2:$G$40,3,false)</f>
        <v>Bumi (XI)</v>
      </c>
      <c r="K244" s="83"/>
    </row>
    <row r="245" ht="15.75" customHeight="1">
      <c r="A245" s="76">
        <v>281.0</v>
      </c>
      <c r="B245" s="77">
        <v>44.0</v>
      </c>
      <c r="C245" s="77" t="s">
        <v>1025</v>
      </c>
      <c r="D245" s="77">
        <v>2.52610517E8</v>
      </c>
      <c r="E245" s="78" t="s">
        <v>510</v>
      </c>
      <c r="F245" s="77" t="s">
        <v>784</v>
      </c>
      <c r="G245" s="79" t="s">
        <v>46</v>
      </c>
      <c r="H245" s="79" t="str">
        <f>VLOOKUP(G245,MetaData!$A$2:$C$13,3,false)</f>
        <v>Raden Rara Tatra Sudhawati, S.Pd, M.Pd</v>
      </c>
      <c r="I245" s="79" t="s">
        <v>500</v>
      </c>
      <c r="J245" s="79" t="str">
        <f>VLOOKUP(I245,MetaData!$E$2:$G$40,3,false)</f>
        <v>Bumi (XI)</v>
      </c>
      <c r="K245" s="80"/>
    </row>
    <row r="246" ht="15.75" customHeight="1">
      <c r="A246" s="81">
        <v>282.0</v>
      </c>
      <c r="B246" s="77">
        <v>45.0</v>
      </c>
      <c r="C246" s="77" t="s">
        <v>1026</v>
      </c>
      <c r="D246" s="77">
        <v>2.52610528E8</v>
      </c>
      <c r="E246" s="78" t="s">
        <v>296</v>
      </c>
      <c r="F246" s="77" t="s">
        <v>782</v>
      </c>
      <c r="G246" s="82" t="s">
        <v>46</v>
      </c>
      <c r="H246" s="82" t="str">
        <f>VLOOKUP(G246,MetaData!$A$2:$C$13,3,false)</f>
        <v>Raden Rara Tatra Sudhawati, S.Pd, M.Pd</v>
      </c>
      <c r="I246" s="82" t="s">
        <v>289</v>
      </c>
      <c r="J246" s="82" t="str">
        <f>VLOOKUP(I246,MetaData!$E$2:$G$40,3,false)</f>
        <v>Arumbinang</v>
      </c>
      <c r="K246" s="83"/>
    </row>
    <row r="247" ht="15.75" customHeight="1">
      <c r="A247" s="76">
        <v>283.0</v>
      </c>
      <c r="B247" s="77">
        <v>46.0</v>
      </c>
      <c r="C247" s="77" t="s">
        <v>1027</v>
      </c>
      <c r="D247" s="77">
        <v>2.52610529E8</v>
      </c>
      <c r="E247" s="78" t="s">
        <v>511</v>
      </c>
      <c r="F247" s="77" t="s">
        <v>784</v>
      </c>
      <c r="G247" s="79" t="s">
        <v>46</v>
      </c>
      <c r="H247" s="79" t="str">
        <f>VLOOKUP(G247,MetaData!$A$2:$C$13,3,false)</f>
        <v>Raden Rara Tatra Sudhawati, S.Pd, M.Pd</v>
      </c>
      <c r="I247" s="79" t="s">
        <v>500</v>
      </c>
      <c r="J247" s="79" t="str">
        <f>VLOOKUP(I247,MetaData!$E$2:$G$40,3,false)</f>
        <v>Bumi (XI)</v>
      </c>
      <c r="K247" s="80"/>
    </row>
    <row r="248" ht="15.75" customHeight="1">
      <c r="A248" s="85">
        <v>291.0</v>
      </c>
      <c r="B248" s="77">
        <v>1.0</v>
      </c>
      <c r="C248" s="77" t="s">
        <v>1028</v>
      </c>
      <c r="D248" s="77">
        <v>2.52610006E8</v>
      </c>
      <c r="E248" s="78" t="s">
        <v>643</v>
      </c>
      <c r="F248" s="77" t="s">
        <v>784</v>
      </c>
      <c r="G248" s="82" t="s">
        <v>52</v>
      </c>
      <c r="H248" s="82" t="str">
        <f>VLOOKUP(G248,MetaData!$A$2:$C$13,3,false)</f>
        <v>Dian Hairunnisa, S.Pd</v>
      </c>
      <c r="I248" s="82" t="s">
        <v>642</v>
      </c>
      <c r="J248" s="82" t="str">
        <f>VLOOKUP(I248,MetaData!$E$2:$G$40,3,false)</f>
        <v>Shafa</v>
      </c>
      <c r="K248" s="83"/>
    </row>
    <row r="249" ht="15.75" customHeight="1">
      <c r="A249" s="84">
        <v>292.0</v>
      </c>
      <c r="B249" s="77">
        <v>2.0</v>
      </c>
      <c r="C249" s="77" t="s">
        <v>1029</v>
      </c>
      <c r="D249" s="77">
        <v>2.52610017E8</v>
      </c>
      <c r="E249" s="78" t="s">
        <v>273</v>
      </c>
      <c r="F249" s="77" t="s">
        <v>782</v>
      </c>
      <c r="G249" s="79" t="s">
        <v>52</v>
      </c>
      <c r="H249" s="79" t="str">
        <f>VLOOKUP(G249,MetaData!$A$2:$C$13,3,false)</f>
        <v>Dian Hairunnisa, S.Pd</v>
      </c>
      <c r="I249" s="79" t="s">
        <v>272</v>
      </c>
      <c r="J249" s="79" t="str">
        <f>VLOOKUP(I249,MetaData!$E$2:$G$40,3,false)</f>
        <v>Rizza Al-Farisi</v>
      </c>
      <c r="K249" s="80"/>
    </row>
    <row r="250" ht="15.75" customHeight="1">
      <c r="A250" s="85">
        <v>293.0</v>
      </c>
      <c r="B250" s="77">
        <v>3.0</v>
      </c>
      <c r="C250" s="77" t="s">
        <v>1030</v>
      </c>
      <c r="D250" s="77">
        <v>2.52610025E8</v>
      </c>
      <c r="E250" s="78" t="s">
        <v>644</v>
      </c>
      <c r="F250" s="77" t="s">
        <v>784</v>
      </c>
      <c r="G250" s="82" t="s">
        <v>52</v>
      </c>
      <c r="H250" s="82" t="str">
        <f>VLOOKUP(G250,MetaData!$A$2:$C$13,3,false)</f>
        <v>Dian Hairunnisa, S.Pd</v>
      </c>
      <c r="I250" s="82" t="s">
        <v>642</v>
      </c>
      <c r="J250" s="82" t="str">
        <f>VLOOKUP(I250,MetaData!$E$2:$G$40,3,false)</f>
        <v>Shafa</v>
      </c>
      <c r="K250" s="83"/>
    </row>
    <row r="251" ht="15.75" customHeight="1">
      <c r="A251" s="84">
        <v>294.0</v>
      </c>
      <c r="B251" s="77">
        <v>4.0</v>
      </c>
      <c r="C251" s="77" t="s">
        <v>1031</v>
      </c>
      <c r="D251" s="77">
        <v>2.52610044E8</v>
      </c>
      <c r="E251" s="78" t="s">
        <v>645</v>
      </c>
      <c r="F251" s="77" t="s">
        <v>784</v>
      </c>
      <c r="G251" s="79" t="s">
        <v>52</v>
      </c>
      <c r="H251" s="79" t="str">
        <f>VLOOKUP(G251,MetaData!$A$2:$C$13,3,false)</f>
        <v>Dian Hairunnisa, S.Pd</v>
      </c>
      <c r="I251" s="79" t="s">
        <v>642</v>
      </c>
      <c r="J251" s="79" t="str">
        <f>VLOOKUP(I251,MetaData!$E$2:$G$40,3,false)</f>
        <v>Shafa</v>
      </c>
      <c r="K251" s="80"/>
    </row>
    <row r="252" ht="15.75" customHeight="1">
      <c r="A252" s="85">
        <v>295.0</v>
      </c>
      <c r="B252" s="77">
        <v>5.0</v>
      </c>
      <c r="C252" s="77" t="s">
        <v>1032</v>
      </c>
      <c r="D252" s="77">
        <v>2.52610051E8</v>
      </c>
      <c r="E252" s="78" t="s">
        <v>646</v>
      </c>
      <c r="F252" s="77" t="s">
        <v>784</v>
      </c>
      <c r="G252" s="82" t="s">
        <v>52</v>
      </c>
      <c r="H252" s="82" t="str">
        <f>VLOOKUP(G252,MetaData!$A$2:$C$13,3,false)</f>
        <v>Dian Hairunnisa, S.Pd</v>
      </c>
      <c r="I252" s="82" t="s">
        <v>642</v>
      </c>
      <c r="J252" s="82" t="str">
        <f>VLOOKUP(I252,MetaData!$E$2:$G$40,3,false)</f>
        <v>Shafa</v>
      </c>
      <c r="K252" s="83"/>
    </row>
    <row r="253" ht="15.75" customHeight="1">
      <c r="A253" s="84">
        <v>296.0</v>
      </c>
      <c r="B253" s="77">
        <v>6.0</v>
      </c>
      <c r="C253" s="77" t="s">
        <v>1033</v>
      </c>
      <c r="D253" s="77">
        <v>2.52610064E8</v>
      </c>
      <c r="E253" s="78" t="s">
        <v>647</v>
      </c>
      <c r="F253" s="77" t="s">
        <v>784</v>
      </c>
      <c r="G253" s="79" t="s">
        <v>52</v>
      </c>
      <c r="H253" s="79" t="str">
        <f>VLOOKUP(G253,MetaData!$A$2:$C$13,3,false)</f>
        <v>Dian Hairunnisa, S.Pd</v>
      </c>
      <c r="I253" s="79" t="s">
        <v>642</v>
      </c>
      <c r="J253" s="79" t="str">
        <f>VLOOKUP(I253,MetaData!$E$2:$G$40,3,false)</f>
        <v>Shafa</v>
      </c>
      <c r="K253" s="80"/>
    </row>
    <row r="254" ht="15.75" customHeight="1">
      <c r="A254" s="85">
        <v>297.0</v>
      </c>
      <c r="B254" s="77">
        <v>7.0</v>
      </c>
      <c r="C254" s="77" t="s">
        <v>1034</v>
      </c>
      <c r="D254" s="77">
        <v>2.52610113E8</v>
      </c>
      <c r="E254" s="78" t="s">
        <v>274</v>
      </c>
      <c r="F254" s="77" t="s">
        <v>782</v>
      </c>
      <c r="G254" s="82" t="s">
        <v>52</v>
      </c>
      <c r="H254" s="82" t="str">
        <f>VLOOKUP(G254,MetaData!$A$2:$C$13,3,false)</f>
        <v>Dian Hairunnisa, S.Pd</v>
      </c>
      <c r="I254" s="82" t="s">
        <v>272</v>
      </c>
      <c r="J254" s="82" t="str">
        <f>VLOOKUP(I254,MetaData!$E$2:$G$40,3,false)</f>
        <v>Rizza Al-Farisi</v>
      </c>
      <c r="K254" s="83"/>
    </row>
    <row r="255" ht="15.75" customHeight="1">
      <c r="A255" s="84">
        <v>298.0</v>
      </c>
      <c r="B255" s="77">
        <v>8.0</v>
      </c>
      <c r="C255" s="77" t="s">
        <v>1035</v>
      </c>
      <c r="D255" s="77">
        <v>2.5261014E8</v>
      </c>
      <c r="E255" s="78" t="s">
        <v>648</v>
      </c>
      <c r="F255" s="77" t="s">
        <v>784</v>
      </c>
      <c r="G255" s="79" t="s">
        <v>52</v>
      </c>
      <c r="H255" s="79" t="str">
        <f>VLOOKUP(G255,MetaData!$A$2:$C$13,3,false)</f>
        <v>Dian Hairunnisa, S.Pd</v>
      </c>
      <c r="I255" s="79" t="s">
        <v>642</v>
      </c>
      <c r="J255" s="79" t="str">
        <f>VLOOKUP(I255,MetaData!$E$2:$G$40,3,false)</f>
        <v>Shafa</v>
      </c>
      <c r="K255" s="80"/>
    </row>
    <row r="256" ht="15.75" customHeight="1">
      <c r="A256" s="85">
        <v>299.0</v>
      </c>
      <c r="B256" s="77">
        <v>9.0</v>
      </c>
      <c r="C256" s="77" t="s">
        <v>1036</v>
      </c>
      <c r="D256" s="77">
        <v>2.52610141E8</v>
      </c>
      <c r="E256" s="78" t="s">
        <v>649</v>
      </c>
      <c r="F256" s="77" t="s">
        <v>784</v>
      </c>
      <c r="G256" s="82" t="s">
        <v>52</v>
      </c>
      <c r="H256" s="82" t="str">
        <f>VLOOKUP(G256,MetaData!$A$2:$C$13,3,false)</f>
        <v>Dian Hairunnisa, S.Pd</v>
      </c>
      <c r="I256" s="82" t="s">
        <v>642</v>
      </c>
      <c r="J256" s="82" t="str">
        <f>VLOOKUP(I256,MetaData!$E$2:$G$40,3,false)</f>
        <v>Shafa</v>
      </c>
      <c r="K256" s="83"/>
    </row>
    <row r="257" ht="15.75" customHeight="1">
      <c r="A257" s="84">
        <v>300.0</v>
      </c>
      <c r="B257" s="77">
        <v>10.0</v>
      </c>
      <c r="C257" s="77" t="s">
        <v>1037</v>
      </c>
      <c r="D257" s="77">
        <v>2.52610144E8</v>
      </c>
      <c r="E257" s="78" t="s">
        <v>225</v>
      </c>
      <c r="F257" s="77" t="s">
        <v>782</v>
      </c>
      <c r="G257" s="79" t="s">
        <v>52</v>
      </c>
      <c r="H257" s="79" t="str">
        <f>VLOOKUP(G257,MetaData!$A$2:$C$13,3,false)</f>
        <v>Dian Hairunnisa, S.Pd</v>
      </c>
      <c r="I257" s="79" t="s">
        <v>220</v>
      </c>
      <c r="J257" s="79" t="str">
        <f>VLOOKUP(I257,MetaData!$E$2:$G$40,3,false)</f>
        <v>Rekhsa</v>
      </c>
      <c r="K257" s="80"/>
    </row>
    <row r="258" ht="15.75" customHeight="1">
      <c r="A258" s="85">
        <v>301.0</v>
      </c>
      <c r="B258" s="77">
        <v>11.0</v>
      </c>
      <c r="C258" s="77" t="s">
        <v>1038</v>
      </c>
      <c r="D258" s="77">
        <v>2.52610156E8</v>
      </c>
      <c r="E258" s="78" t="s">
        <v>650</v>
      </c>
      <c r="F258" s="77" t="s">
        <v>784</v>
      </c>
      <c r="G258" s="82" t="s">
        <v>52</v>
      </c>
      <c r="H258" s="82" t="str">
        <f>VLOOKUP(G258,MetaData!$A$2:$C$13,3,false)</f>
        <v>Dian Hairunnisa, S.Pd</v>
      </c>
      <c r="I258" s="82" t="s">
        <v>642</v>
      </c>
      <c r="J258" s="82" t="str">
        <f>VLOOKUP(I258,MetaData!$E$2:$G$40,3,false)</f>
        <v>Shafa</v>
      </c>
      <c r="K258" s="83"/>
    </row>
    <row r="259" ht="15.75" customHeight="1">
      <c r="A259" s="84">
        <v>302.0</v>
      </c>
      <c r="B259" s="77">
        <v>12.0</v>
      </c>
      <c r="C259" s="77" t="s">
        <v>1039</v>
      </c>
      <c r="D259" s="77">
        <v>2.52610159E8</v>
      </c>
      <c r="E259" s="78" t="s">
        <v>651</v>
      </c>
      <c r="F259" s="77" t="s">
        <v>784</v>
      </c>
      <c r="G259" s="79" t="s">
        <v>52</v>
      </c>
      <c r="H259" s="79" t="str">
        <f>VLOOKUP(G259,MetaData!$A$2:$C$13,3,false)</f>
        <v>Dian Hairunnisa, S.Pd</v>
      </c>
      <c r="I259" s="79" t="s">
        <v>642</v>
      </c>
      <c r="J259" s="79" t="str">
        <f>VLOOKUP(I259,MetaData!$E$2:$G$40,3,false)</f>
        <v>Shafa</v>
      </c>
      <c r="K259" s="80"/>
    </row>
    <row r="260" ht="15.75" customHeight="1">
      <c r="A260" s="85">
        <v>303.0</v>
      </c>
      <c r="B260" s="77">
        <v>13.0</v>
      </c>
      <c r="C260" s="77" t="s">
        <v>1040</v>
      </c>
      <c r="D260" s="77">
        <v>2.52610179E8</v>
      </c>
      <c r="E260" s="78" t="s">
        <v>652</v>
      </c>
      <c r="F260" s="77" t="s">
        <v>784</v>
      </c>
      <c r="G260" s="82" t="s">
        <v>52</v>
      </c>
      <c r="H260" s="82" t="str">
        <f>VLOOKUP(G260,MetaData!$A$2:$C$13,3,false)</f>
        <v>Dian Hairunnisa, S.Pd</v>
      </c>
      <c r="I260" s="82" t="s">
        <v>642</v>
      </c>
      <c r="J260" s="82" t="str">
        <f>VLOOKUP(I260,MetaData!$E$2:$G$40,3,false)</f>
        <v>Shafa</v>
      </c>
      <c r="K260" s="83"/>
    </row>
    <row r="261" ht="15.75" customHeight="1">
      <c r="A261" s="84">
        <v>304.0</v>
      </c>
      <c r="B261" s="77">
        <v>15.0</v>
      </c>
      <c r="C261" s="77" t="s">
        <v>1041</v>
      </c>
      <c r="D261" s="77">
        <v>2.52610197E8</v>
      </c>
      <c r="E261" s="78" t="s">
        <v>226</v>
      </c>
      <c r="F261" s="77" t="s">
        <v>782</v>
      </c>
      <c r="G261" s="79" t="s">
        <v>52</v>
      </c>
      <c r="H261" s="79" t="str">
        <f>VLOOKUP(G261,MetaData!$A$2:$C$13,3,false)</f>
        <v>Dian Hairunnisa, S.Pd</v>
      </c>
      <c r="I261" s="79" t="s">
        <v>220</v>
      </c>
      <c r="J261" s="79" t="str">
        <f>VLOOKUP(I261,MetaData!$E$2:$G$40,3,false)</f>
        <v>Rekhsa</v>
      </c>
      <c r="K261" s="80"/>
    </row>
    <row r="262" ht="15.75" customHeight="1">
      <c r="A262" s="85">
        <v>305.0</v>
      </c>
      <c r="B262" s="77">
        <v>16.0</v>
      </c>
      <c r="C262" s="77" t="s">
        <v>1042</v>
      </c>
      <c r="D262" s="77">
        <v>2.526102E8</v>
      </c>
      <c r="E262" s="78" t="s">
        <v>275</v>
      </c>
      <c r="F262" s="77" t="s">
        <v>782</v>
      </c>
      <c r="G262" s="82" t="s">
        <v>52</v>
      </c>
      <c r="H262" s="82" t="str">
        <f>VLOOKUP(G262,MetaData!$A$2:$C$13,3,false)</f>
        <v>Dian Hairunnisa, S.Pd</v>
      </c>
      <c r="I262" s="82" t="s">
        <v>272</v>
      </c>
      <c r="J262" s="82" t="str">
        <f>VLOOKUP(I262,MetaData!$E$2:$G$40,3,false)</f>
        <v>Rizza Al-Farisi</v>
      </c>
      <c r="K262" s="83"/>
    </row>
    <row r="263" ht="15.75" customHeight="1">
      <c r="A263" s="84">
        <v>306.0</v>
      </c>
      <c r="B263" s="77">
        <v>17.0</v>
      </c>
      <c r="C263" s="77" t="s">
        <v>1043</v>
      </c>
      <c r="D263" s="77">
        <v>2.52610221E8</v>
      </c>
      <c r="E263" s="78" t="s">
        <v>653</v>
      </c>
      <c r="F263" s="77" t="s">
        <v>784</v>
      </c>
      <c r="G263" s="79" t="s">
        <v>52</v>
      </c>
      <c r="H263" s="79" t="str">
        <f>VLOOKUP(G263,MetaData!$A$2:$C$13,3,false)</f>
        <v>Dian Hairunnisa, S.Pd</v>
      </c>
      <c r="I263" s="79" t="s">
        <v>642</v>
      </c>
      <c r="J263" s="79" t="str">
        <f>VLOOKUP(I263,MetaData!$E$2:$G$40,3,false)</f>
        <v>Shafa</v>
      </c>
      <c r="K263" s="80"/>
    </row>
    <row r="264" ht="15.75" customHeight="1">
      <c r="A264" s="85">
        <v>307.0</v>
      </c>
      <c r="B264" s="77">
        <v>18.0</v>
      </c>
      <c r="C264" s="77" t="s">
        <v>1044</v>
      </c>
      <c r="D264" s="77">
        <v>2.52610225E8</v>
      </c>
      <c r="E264" s="78" t="s">
        <v>276</v>
      </c>
      <c r="F264" s="77" t="s">
        <v>782</v>
      </c>
      <c r="G264" s="82" t="s">
        <v>52</v>
      </c>
      <c r="H264" s="82" t="str">
        <f>VLOOKUP(G264,MetaData!$A$2:$C$13,3,false)</f>
        <v>Dian Hairunnisa, S.Pd</v>
      </c>
      <c r="I264" s="82" t="s">
        <v>272</v>
      </c>
      <c r="J264" s="82" t="str">
        <f>VLOOKUP(I264,MetaData!$E$2:$G$40,3,false)</f>
        <v>Rizza Al-Farisi</v>
      </c>
      <c r="K264" s="83"/>
    </row>
    <row r="265" ht="15.75" customHeight="1">
      <c r="A265" s="84">
        <v>308.0</v>
      </c>
      <c r="B265" s="77">
        <v>19.0</v>
      </c>
      <c r="C265" s="77" t="s">
        <v>1045</v>
      </c>
      <c r="D265" s="77">
        <v>2.52610252E8</v>
      </c>
      <c r="E265" s="78" t="s">
        <v>277</v>
      </c>
      <c r="F265" s="77" t="s">
        <v>782</v>
      </c>
      <c r="G265" s="79" t="s">
        <v>52</v>
      </c>
      <c r="H265" s="79" t="str">
        <f>VLOOKUP(G265,MetaData!$A$2:$C$13,3,false)</f>
        <v>Dian Hairunnisa, S.Pd</v>
      </c>
      <c r="I265" s="79" t="s">
        <v>272</v>
      </c>
      <c r="J265" s="79" t="str">
        <f>VLOOKUP(I265,MetaData!$E$2:$G$40,3,false)</f>
        <v>Rizza Al-Farisi</v>
      </c>
      <c r="K265" s="80"/>
    </row>
    <row r="266" ht="15.75" customHeight="1">
      <c r="A266" s="85">
        <v>309.0</v>
      </c>
      <c r="B266" s="77">
        <v>20.0</v>
      </c>
      <c r="C266" s="77" t="s">
        <v>1046</v>
      </c>
      <c r="D266" s="77">
        <v>2.52610254E8</v>
      </c>
      <c r="E266" s="78" t="s">
        <v>654</v>
      </c>
      <c r="F266" s="77" t="s">
        <v>784</v>
      </c>
      <c r="G266" s="82" t="s">
        <v>52</v>
      </c>
      <c r="H266" s="82" t="str">
        <f>VLOOKUP(G266,MetaData!$A$2:$C$13,3,false)</f>
        <v>Dian Hairunnisa, S.Pd</v>
      </c>
      <c r="I266" s="82" t="s">
        <v>642</v>
      </c>
      <c r="J266" s="82" t="str">
        <f>VLOOKUP(I266,MetaData!$E$2:$G$40,3,false)</f>
        <v>Shafa</v>
      </c>
      <c r="K266" s="83"/>
    </row>
    <row r="267" ht="15.75" customHeight="1">
      <c r="A267" s="84">
        <v>310.0</v>
      </c>
      <c r="B267" s="77">
        <v>21.0</v>
      </c>
      <c r="C267" s="77" t="s">
        <v>1047</v>
      </c>
      <c r="D267" s="77">
        <v>2.52610264E8</v>
      </c>
      <c r="E267" s="78" t="s">
        <v>655</v>
      </c>
      <c r="F267" s="77" t="s">
        <v>784</v>
      </c>
      <c r="G267" s="79" t="s">
        <v>52</v>
      </c>
      <c r="H267" s="79" t="str">
        <f>VLOOKUP(G267,MetaData!$A$2:$C$13,3,false)</f>
        <v>Dian Hairunnisa, S.Pd</v>
      </c>
      <c r="I267" s="79" t="s">
        <v>642</v>
      </c>
      <c r="J267" s="79" t="str">
        <f>VLOOKUP(I267,MetaData!$E$2:$G$40,3,false)</f>
        <v>Shafa</v>
      </c>
      <c r="K267" s="80"/>
    </row>
    <row r="268" ht="15.75" customHeight="1">
      <c r="A268" s="85">
        <v>311.0</v>
      </c>
      <c r="B268" s="77">
        <v>22.0</v>
      </c>
      <c r="C268" s="77" t="s">
        <v>1048</v>
      </c>
      <c r="D268" s="77">
        <v>2.52610268E8</v>
      </c>
      <c r="E268" s="78" t="s">
        <v>656</v>
      </c>
      <c r="F268" s="77" t="s">
        <v>784</v>
      </c>
      <c r="G268" s="82" t="s">
        <v>52</v>
      </c>
      <c r="H268" s="82" t="str">
        <f>VLOOKUP(G268,MetaData!$A$2:$C$13,3,false)</f>
        <v>Dian Hairunnisa, S.Pd</v>
      </c>
      <c r="I268" s="82" t="s">
        <v>642</v>
      </c>
      <c r="J268" s="82" t="str">
        <f>VLOOKUP(I268,MetaData!$E$2:$G$40,3,false)</f>
        <v>Shafa</v>
      </c>
      <c r="K268" s="83"/>
    </row>
    <row r="269" ht="15.75" customHeight="1">
      <c r="A269" s="84">
        <v>312.0</v>
      </c>
      <c r="B269" s="77">
        <v>23.0</v>
      </c>
      <c r="C269" s="77" t="s">
        <v>1049</v>
      </c>
      <c r="D269" s="77">
        <v>2.52610284E8</v>
      </c>
      <c r="E269" s="78" t="s">
        <v>486</v>
      </c>
      <c r="F269" s="77" t="s">
        <v>784</v>
      </c>
      <c r="G269" s="79" t="s">
        <v>52</v>
      </c>
      <c r="H269" s="79" t="str">
        <f>VLOOKUP(G269,MetaData!$A$2:$C$13,3,false)</f>
        <v>Dian Hairunnisa, S.Pd</v>
      </c>
      <c r="I269" s="79" t="s">
        <v>485</v>
      </c>
      <c r="J269" s="79" t="str">
        <f>VLOOKUP(I269,MetaData!$E$2:$G$40,3,false)</f>
        <v>Desya (XI)</v>
      </c>
      <c r="K269" s="80"/>
    </row>
    <row r="270" ht="15.75" customHeight="1">
      <c r="A270" s="85">
        <v>313.0</v>
      </c>
      <c r="B270" s="77">
        <v>24.0</v>
      </c>
      <c r="C270" s="77" t="s">
        <v>1050</v>
      </c>
      <c r="D270" s="77">
        <v>2.52610291E8</v>
      </c>
      <c r="E270" s="78" t="s">
        <v>487</v>
      </c>
      <c r="F270" s="77" t="s">
        <v>784</v>
      </c>
      <c r="G270" s="82" t="s">
        <v>52</v>
      </c>
      <c r="H270" s="82" t="str">
        <f>VLOOKUP(G270,MetaData!$A$2:$C$13,3,false)</f>
        <v>Dian Hairunnisa, S.Pd</v>
      </c>
      <c r="I270" s="82" t="s">
        <v>485</v>
      </c>
      <c r="J270" s="82" t="str">
        <f>VLOOKUP(I270,MetaData!$E$2:$G$40,3,false)</f>
        <v>Desya (XI)</v>
      </c>
      <c r="K270" s="83"/>
    </row>
    <row r="271" ht="15.75" customHeight="1">
      <c r="A271" s="84">
        <v>314.0</v>
      </c>
      <c r="B271" s="77">
        <v>25.0</v>
      </c>
      <c r="C271" s="77" t="s">
        <v>1051</v>
      </c>
      <c r="D271" s="77">
        <v>2.526103E8</v>
      </c>
      <c r="E271" s="78" t="s">
        <v>278</v>
      </c>
      <c r="F271" s="77" t="s">
        <v>782</v>
      </c>
      <c r="G271" s="79" t="s">
        <v>52</v>
      </c>
      <c r="H271" s="79" t="str">
        <f>VLOOKUP(G271,MetaData!$A$2:$C$13,3,false)</f>
        <v>Dian Hairunnisa, S.Pd</v>
      </c>
      <c r="I271" s="79" t="s">
        <v>272</v>
      </c>
      <c r="J271" s="79" t="str">
        <f>VLOOKUP(I271,MetaData!$E$2:$G$40,3,false)</f>
        <v>Rizza Al-Farisi</v>
      </c>
      <c r="K271" s="80"/>
    </row>
    <row r="272" ht="15.75" customHeight="1">
      <c r="A272" s="85">
        <v>315.0</v>
      </c>
      <c r="B272" s="77">
        <v>26.0</v>
      </c>
      <c r="C272" s="77" t="s">
        <v>1052</v>
      </c>
      <c r="D272" s="77">
        <v>2.52610318E8</v>
      </c>
      <c r="E272" s="78" t="s">
        <v>279</v>
      </c>
      <c r="F272" s="77" t="s">
        <v>782</v>
      </c>
      <c r="G272" s="82" t="s">
        <v>52</v>
      </c>
      <c r="H272" s="82" t="str">
        <f>VLOOKUP(G272,MetaData!$A$2:$C$13,3,false)</f>
        <v>Dian Hairunnisa, S.Pd</v>
      </c>
      <c r="I272" s="82" t="s">
        <v>272</v>
      </c>
      <c r="J272" s="82" t="str">
        <f>VLOOKUP(I272,MetaData!$E$2:$G$40,3,false)</f>
        <v>Rizza Al-Farisi</v>
      </c>
      <c r="K272" s="83"/>
    </row>
    <row r="273" ht="15.75" customHeight="1">
      <c r="A273" s="84">
        <v>316.0</v>
      </c>
      <c r="B273" s="77">
        <v>27.0</v>
      </c>
      <c r="C273" s="77" t="s">
        <v>1053</v>
      </c>
      <c r="D273" s="77">
        <v>2.52610333E8</v>
      </c>
      <c r="E273" s="78" t="s">
        <v>280</v>
      </c>
      <c r="F273" s="77" t="s">
        <v>782</v>
      </c>
      <c r="G273" s="79" t="s">
        <v>52</v>
      </c>
      <c r="H273" s="79" t="str">
        <f>VLOOKUP(G273,MetaData!$A$2:$C$13,3,false)</f>
        <v>Dian Hairunnisa, S.Pd</v>
      </c>
      <c r="I273" s="79" t="s">
        <v>272</v>
      </c>
      <c r="J273" s="79" t="str">
        <f>VLOOKUP(I273,MetaData!$E$2:$G$40,3,false)</f>
        <v>Rizza Al-Farisi</v>
      </c>
      <c r="K273" s="80"/>
    </row>
    <row r="274" ht="15.75" customHeight="1">
      <c r="A274" s="85">
        <v>317.0</v>
      </c>
      <c r="B274" s="77">
        <v>28.0</v>
      </c>
      <c r="C274" s="77" t="s">
        <v>1054</v>
      </c>
      <c r="D274" s="77">
        <v>2.5261034E8</v>
      </c>
      <c r="E274" s="78" t="s">
        <v>281</v>
      </c>
      <c r="F274" s="77" t="s">
        <v>782</v>
      </c>
      <c r="G274" s="82" t="s">
        <v>52</v>
      </c>
      <c r="H274" s="82" t="str">
        <f>VLOOKUP(G274,MetaData!$A$2:$C$13,3,false)</f>
        <v>Dian Hairunnisa, S.Pd</v>
      </c>
      <c r="I274" s="82" t="s">
        <v>272</v>
      </c>
      <c r="J274" s="82" t="str">
        <f>VLOOKUP(I274,MetaData!$E$2:$G$40,3,false)</f>
        <v>Rizza Al-Farisi</v>
      </c>
      <c r="K274" s="83"/>
    </row>
    <row r="275" ht="15.75" customHeight="1">
      <c r="A275" s="84">
        <v>318.0</v>
      </c>
      <c r="B275" s="77">
        <v>29.0</v>
      </c>
      <c r="C275" s="77" t="s">
        <v>1055</v>
      </c>
      <c r="D275" s="77">
        <v>2.52610345E8</v>
      </c>
      <c r="E275" s="78" t="s">
        <v>282</v>
      </c>
      <c r="F275" s="77" t="s">
        <v>782</v>
      </c>
      <c r="G275" s="79" t="s">
        <v>52</v>
      </c>
      <c r="H275" s="79" t="str">
        <f>VLOOKUP(G275,MetaData!$A$2:$C$13,3,false)</f>
        <v>Dian Hairunnisa, S.Pd</v>
      </c>
      <c r="I275" s="79" t="s">
        <v>272</v>
      </c>
      <c r="J275" s="79" t="str">
        <f>VLOOKUP(I275,MetaData!$E$2:$G$40,3,false)</f>
        <v>Rizza Al-Farisi</v>
      </c>
      <c r="K275" s="80"/>
    </row>
    <row r="276" ht="15.75" customHeight="1">
      <c r="A276" s="85">
        <v>319.0</v>
      </c>
      <c r="B276" s="77">
        <v>30.0</v>
      </c>
      <c r="C276" s="77" t="s">
        <v>1056</v>
      </c>
      <c r="D276" s="77">
        <v>2.52610352E8</v>
      </c>
      <c r="E276" s="78" t="s">
        <v>283</v>
      </c>
      <c r="F276" s="77" t="s">
        <v>782</v>
      </c>
      <c r="G276" s="82" t="s">
        <v>52</v>
      </c>
      <c r="H276" s="82" t="str">
        <f>VLOOKUP(G276,MetaData!$A$2:$C$13,3,false)</f>
        <v>Dian Hairunnisa, S.Pd</v>
      </c>
      <c r="I276" s="82" t="s">
        <v>272</v>
      </c>
      <c r="J276" s="82" t="str">
        <f>VLOOKUP(I276,MetaData!$E$2:$G$40,3,false)</f>
        <v>Rizza Al-Farisi</v>
      </c>
      <c r="K276" s="83"/>
    </row>
    <row r="277" ht="15.75" customHeight="1">
      <c r="A277" s="84">
        <v>320.0</v>
      </c>
      <c r="B277" s="77">
        <v>31.0</v>
      </c>
      <c r="C277" s="77" t="s">
        <v>1057</v>
      </c>
      <c r="D277" s="77">
        <v>2.52610354E8</v>
      </c>
      <c r="E277" s="78" t="s">
        <v>284</v>
      </c>
      <c r="F277" s="77" t="s">
        <v>782</v>
      </c>
      <c r="G277" s="79" t="s">
        <v>52</v>
      </c>
      <c r="H277" s="79" t="str">
        <f>VLOOKUP(G277,MetaData!$A$2:$C$13,3,false)</f>
        <v>Dian Hairunnisa, S.Pd</v>
      </c>
      <c r="I277" s="79" t="s">
        <v>272</v>
      </c>
      <c r="J277" s="79" t="str">
        <f>VLOOKUP(I277,MetaData!$E$2:$G$40,3,false)</f>
        <v>Rizza Al-Farisi</v>
      </c>
      <c r="K277" s="80"/>
    </row>
    <row r="278" ht="15.75" customHeight="1">
      <c r="A278" s="85">
        <v>321.0</v>
      </c>
      <c r="B278" s="77">
        <v>32.0</v>
      </c>
      <c r="C278" s="77" t="s">
        <v>1058</v>
      </c>
      <c r="D278" s="77">
        <v>2.52610383E8</v>
      </c>
      <c r="E278" s="78" t="s">
        <v>488</v>
      </c>
      <c r="F278" s="77" t="s">
        <v>784</v>
      </c>
      <c r="G278" s="82" t="s">
        <v>52</v>
      </c>
      <c r="H278" s="82" t="str">
        <f>VLOOKUP(G278,MetaData!$A$2:$C$13,3,false)</f>
        <v>Dian Hairunnisa, S.Pd</v>
      </c>
      <c r="I278" s="82" t="s">
        <v>485</v>
      </c>
      <c r="J278" s="82" t="str">
        <f>VLOOKUP(I278,MetaData!$E$2:$G$40,3,false)</f>
        <v>Desya (XI)</v>
      </c>
      <c r="K278" s="83"/>
    </row>
    <row r="279" ht="15.75" customHeight="1">
      <c r="A279" s="84">
        <v>322.0</v>
      </c>
      <c r="B279" s="77">
        <v>33.0</v>
      </c>
      <c r="C279" s="77" t="s">
        <v>1059</v>
      </c>
      <c r="D279" s="77">
        <v>2.52610389E8</v>
      </c>
      <c r="E279" s="78" t="s">
        <v>489</v>
      </c>
      <c r="F279" s="77" t="s">
        <v>784</v>
      </c>
      <c r="G279" s="79" t="s">
        <v>52</v>
      </c>
      <c r="H279" s="79" t="str">
        <f>VLOOKUP(G279,MetaData!$A$2:$C$13,3,false)</f>
        <v>Dian Hairunnisa, S.Pd</v>
      </c>
      <c r="I279" s="79" t="s">
        <v>485</v>
      </c>
      <c r="J279" s="79" t="str">
        <f>VLOOKUP(I279,MetaData!$E$2:$G$40,3,false)</f>
        <v>Desya (XI)</v>
      </c>
      <c r="K279" s="80"/>
    </row>
    <row r="280" ht="15.75" customHeight="1">
      <c r="A280" s="85">
        <v>323.0</v>
      </c>
      <c r="B280" s="77">
        <v>34.0</v>
      </c>
      <c r="C280" s="77" t="s">
        <v>1060</v>
      </c>
      <c r="D280" s="77">
        <v>2.52610404E8</v>
      </c>
      <c r="E280" s="78" t="s">
        <v>490</v>
      </c>
      <c r="F280" s="77" t="s">
        <v>784</v>
      </c>
      <c r="G280" s="82" t="s">
        <v>52</v>
      </c>
      <c r="H280" s="82" t="str">
        <f>VLOOKUP(G280,MetaData!$A$2:$C$13,3,false)</f>
        <v>Dian Hairunnisa, S.Pd</v>
      </c>
      <c r="I280" s="82" t="s">
        <v>485</v>
      </c>
      <c r="J280" s="82" t="str">
        <f>VLOOKUP(I280,MetaData!$E$2:$G$40,3,false)</f>
        <v>Desya (XI)</v>
      </c>
      <c r="K280" s="83"/>
    </row>
    <row r="281" ht="15.75" customHeight="1">
      <c r="A281" s="84">
        <v>324.0</v>
      </c>
      <c r="B281" s="77">
        <v>35.0</v>
      </c>
      <c r="C281" s="77" t="s">
        <v>1061</v>
      </c>
      <c r="D281" s="77">
        <v>2.52610409E8</v>
      </c>
      <c r="E281" s="78" t="s">
        <v>491</v>
      </c>
      <c r="F281" s="77" t="s">
        <v>784</v>
      </c>
      <c r="G281" s="79" t="s">
        <v>52</v>
      </c>
      <c r="H281" s="79" t="str">
        <f>VLOOKUP(G281,MetaData!$A$2:$C$13,3,false)</f>
        <v>Dian Hairunnisa, S.Pd</v>
      </c>
      <c r="I281" s="79" t="s">
        <v>485</v>
      </c>
      <c r="J281" s="79" t="str">
        <f>VLOOKUP(I281,MetaData!$E$2:$G$40,3,false)</f>
        <v>Desya (XI)</v>
      </c>
      <c r="K281" s="80"/>
    </row>
    <row r="282" ht="15.75" customHeight="1">
      <c r="A282" s="85">
        <v>325.0</v>
      </c>
      <c r="B282" s="77">
        <v>36.0</v>
      </c>
      <c r="C282" s="77" t="s">
        <v>1062</v>
      </c>
      <c r="D282" s="77">
        <v>2.52610428E8</v>
      </c>
      <c r="E282" s="78" t="s">
        <v>492</v>
      </c>
      <c r="F282" s="77" t="s">
        <v>784</v>
      </c>
      <c r="G282" s="82" t="s">
        <v>52</v>
      </c>
      <c r="H282" s="82" t="str">
        <f>VLOOKUP(G282,MetaData!$A$2:$C$13,3,false)</f>
        <v>Dian Hairunnisa, S.Pd</v>
      </c>
      <c r="I282" s="82" t="s">
        <v>485</v>
      </c>
      <c r="J282" s="82" t="str">
        <f>VLOOKUP(I282,MetaData!$E$2:$G$40,3,false)</f>
        <v>Desya (XI)</v>
      </c>
      <c r="K282" s="83"/>
    </row>
    <row r="283" ht="15.75" customHeight="1">
      <c r="A283" s="84">
        <v>326.0</v>
      </c>
      <c r="B283" s="77">
        <v>37.0</v>
      </c>
      <c r="C283" s="77" t="s">
        <v>1063</v>
      </c>
      <c r="D283" s="77">
        <v>2.52610464E8</v>
      </c>
      <c r="E283" s="78" t="s">
        <v>440</v>
      </c>
      <c r="F283" s="77" t="s">
        <v>784</v>
      </c>
      <c r="G283" s="79" t="s">
        <v>52</v>
      </c>
      <c r="H283" s="79" t="str">
        <f>VLOOKUP(G283,MetaData!$A$2:$C$13,3,false)</f>
        <v>Dian Hairunnisa, S.Pd</v>
      </c>
      <c r="I283" s="79" t="s">
        <v>428</v>
      </c>
      <c r="J283" s="79" t="str">
        <f>VLOOKUP(I283,MetaData!$E$2:$G$40,3,false)</f>
        <v>Iga</v>
      </c>
      <c r="K283" s="80"/>
    </row>
    <row r="284" ht="15.75" customHeight="1">
      <c r="A284" s="85">
        <v>327.0</v>
      </c>
      <c r="B284" s="77">
        <v>38.0</v>
      </c>
      <c r="C284" s="77" t="s">
        <v>1064</v>
      </c>
      <c r="D284" s="77">
        <v>2.52610466E8</v>
      </c>
      <c r="E284" s="78" t="s">
        <v>493</v>
      </c>
      <c r="F284" s="77" t="s">
        <v>784</v>
      </c>
      <c r="G284" s="82" t="s">
        <v>52</v>
      </c>
      <c r="H284" s="82" t="str">
        <f>VLOOKUP(G284,MetaData!$A$2:$C$13,3,false)</f>
        <v>Dian Hairunnisa, S.Pd</v>
      </c>
      <c r="I284" s="82" t="s">
        <v>485</v>
      </c>
      <c r="J284" s="82" t="str">
        <f>VLOOKUP(I284,MetaData!$E$2:$G$40,3,false)</f>
        <v>Desya (XI)</v>
      </c>
      <c r="K284" s="83"/>
    </row>
    <row r="285" ht="15.75" customHeight="1">
      <c r="A285" s="84">
        <v>328.0</v>
      </c>
      <c r="B285" s="77">
        <v>39.0</v>
      </c>
      <c r="C285" s="77" t="s">
        <v>1065</v>
      </c>
      <c r="D285" s="77">
        <v>2.52610468E8</v>
      </c>
      <c r="E285" s="78" t="s">
        <v>494</v>
      </c>
      <c r="F285" s="77" t="s">
        <v>784</v>
      </c>
      <c r="G285" s="79" t="s">
        <v>52</v>
      </c>
      <c r="H285" s="79" t="str">
        <f>VLOOKUP(G285,MetaData!$A$2:$C$13,3,false)</f>
        <v>Dian Hairunnisa, S.Pd</v>
      </c>
      <c r="I285" s="79" t="s">
        <v>485</v>
      </c>
      <c r="J285" s="79" t="str">
        <f>VLOOKUP(I285,MetaData!$E$2:$G$40,3,false)</f>
        <v>Desya (XI)</v>
      </c>
      <c r="K285" s="80"/>
    </row>
    <row r="286" ht="15.75" customHeight="1">
      <c r="A286" s="85">
        <v>329.0</v>
      </c>
      <c r="B286" s="77">
        <v>40.0</v>
      </c>
      <c r="C286" s="77" t="s">
        <v>1066</v>
      </c>
      <c r="D286" s="77">
        <v>2.52610491E8</v>
      </c>
      <c r="E286" s="78" t="s">
        <v>495</v>
      </c>
      <c r="F286" s="77" t="s">
        <v>784</v>
      </c>
      <c r="G286" s="82" t="s">
        <v>52</v>
      </c>
      <c r="H286" s="82" t="str">
        <f>VLOOKUP(G286,MetaData!$A$2:$C$13,3,false)</f>
        <v>Dian Hairunnisa, S.Pd</v>
      </c>
      <c r="I286" s="82" t="s">
        <v>485</v>
      </c>
      <c r="J286" s="82" t="str">
        <f>VLOOKUP(I286,MetaData!$E$2:$G$40,3,false)</f>
        <v>Desya (XI)</v>
      </c>
      <c r="K286" s="83"/>
    </row>
    <row r="287" ht="15.75" customHeight="1">
      <c r="A287" s="84">
        <v>330.0</v>
      </c>
      <c r="B287" s="77">
        <v>41.0</v>
      </c>
      <c r="C287" s="77" t="s">
        <v>1067</v>
      </c>
      <c r="D287" s="77">
        <v>2.52610504E8</v>
      </c>
      <c r="E287" s="78" t="s">
        <v>285</v>
      </c>
      <c r="F287" s="77" t="s">
        <v>782</v>
      </c>
      <c r="G287" s="79" t="s">
        <v>52</v>
      </c>
      <c r="H287" s="79" t="str">
        <f>VLOOKUP(G287,MetaData!$A$2:$C$13,3,false)</f>
        <v>Dian Hairunnisa, S.Pd</v>
      </c>
      <c r="I287" s="79" t="s">
        <v>272</v>
      </c>
      <c r="J287" s="79" t="str">
        <f>VLOOKUP(I287,MetaData!$E$2:$G$40,3,false)</f>
        <v>Rizza Al-Farisi</v>
      </c>
      <c r="K287" s="80"/>
    </row>
    <row r="288" ht="15.75" customHeight="1">
      <c r="A288" s="85">
        <v>331.0</v>
      </c>
      <c r="B288" s="77">
        <v>42.0</v>
      </c>
      <c r="C288" s="77" t="s">
        <v>1068</v>
      </c>
      <c r="D288" s="77">
        <v>2.52610523E8</v>
      </c>
      <c r="E288" s="78" t="s">
        <v>496</v>
      </c>
      <c r="F288" s="77" t="s">
        <v>784</v>
      </c>
      <c r="G288" s="82" t="s">
        <v>52</v>
      </c>
      <c r="H288" s="82" t="str">
        <f>VLOOKUP(G288,MetaData!$A$2:$C$13,3,false)</f>
        <v>Dian Hairunnisa, S.Pd</v>
      </c>
      <c r="I288" s="82" t="s">
        <v>485</v>
      </c>
      <c r="J288" s="82" t="str">
        <f>VLOOKUP(I288,MetaData!$E$2:$G$40,3,false)</f>
        <v>Desya (XI)</v>
      </c>
      <c r="K288" s="83"/>
    </row>
    <row r="289" ht="15.75" customHeight="1">
      <c r="A289" s="84">
        <v>332.0</v>
      </c>
      <c r="B289" s="77">
        <v>43.0</v>
      </c>
      <c r="C289" s="77" t="s">
        <v>1069</v>
      </c>
      <c r="D289" s="77">
        <v>2.52610525E8</v>
      </c>
      <c r="E289" s="78" t="s">
        <v>286</v>
      </c>
      <c r="F289" s="77" t="s">
        <v>782</v>
      </c>
      <c r="G289" s="79" t="s">
        <v>52</v>
      </c>
      <c r="H289" s="79" t="str">
        <f>VLOOKUP(G289,MetaData!$A$2:$C$13,3,false)</f>
        <v>Dian Hairunnisa, S.Pd</v>
      </c>
      <c r="I289" s="79" t="s">
        <v>272</v>
      </c>
      <c r="J289" s="79" t="str">
        <f>VLOOKUP(I289,MetaData!$E$2:$G$40,3,false)</f>
        <v>Rizza Al-Farisi</v>
      </c>
      <c r="K289" s="80"/>
    </row>
    <row r="290" ht="15.75" customHeight="1">
      <c r="A290" s="85">
        <v>333.0</v>
      </c>
      <c r="B290" s="77">
        <v>44.0</v>
      </c>
      <c r="C290" s="77" t="s">
        <v>1070</v>
      </c>
      <c r="D290" s="77">
        <v>2.52610527E8</v>
      </c>
      <c r="E290" s="78" t="s">
        <v>497</v>
      </c>
      <c r="F290" s="77" t="s">
        <v>784</v>
      </c>
      <c r="G290" s="82" t="s">
        <v>52</v>
      </c>
      <c r="H290" s="82" t="str">
        <f>VLOOKUP(G290,MetaData!$A$2:$C$13,3,false)</f>
        <v>Dian Hairunnisa, S.Pd</v>
      </c>
      <c r="I290" s="82" t="s">
        <v>485</v>
      </c>
      <c r="J290" s="82" t="str">
        <f>VLOOKUP(I290,MetaData!$E$2:$G$40,3,false)</f>
        <v>Desya (XI)</v>
      </c>
      <c r="K290" s="83"/>
    </row>
    <row r="291" ht="15.75" customHeight="1">
      <c r="A291" s="84">
        <v>334.0</v>
      </c>
      <c r="B291" s="77">
        <v>45.0</v>
      </c>
      <c r="C291" s="77" t="s">
        <v>1071</v>
      </c>
      <c r="D291" s="77">
        <v>2.52610532E8</v>
      </c>
      <c r="E291" s="78" t="s">
        <v>498</v>
      </c>
      <c r="F291" s="77" t="s">
        <v>784</v>
      </c>
      <c r="G291" s="79" t="s">
        <v>52</v>
      </c>
      <c r="H291" s="79" t="str">
        <f>VLOOKUP(G291,MetaData!$A$2:$C$13,3,false)</f>
        <v>Dian Hairunnisa, S.Pd</v>
      </c>
      <c r="I291" s="79" t="s">
        <v>485</v>
      </c>
      <c r="J291" s="79" t="str">
        <f>VLOOKUP(I291,MetaData!$E$2:$G$40,3,false)</f>
        <v>Desya (XI)</v>
      </c>
      <c r="K291" s="80"/>
    </row>
    <row r="292" ht="15.75" customHeight="1">
      <c r="A292" s="85">
        <v>335.0</v>
      </c>
      <c r="B292" s="77">
        <v>46.0</v>
      </c>
      <c r="C292" s="77" t="s">
        <v>1072</v>
      </c>
      <c r="D292" s="77">
        <v>2.52610539E8</v>
      </c>
      <c r="E292" s="78" t="s">
        <v>287</v>
      </c>
      <c r="F292" s="77" t="s">
        <v>782</v>
      </c>
      <c r="G292" s="82" t="s">
        <v>52</v>
      </c>
      <c r="H292" s="82" t="str">
        <f>VLOOKUP(G292,MetaData!$A$2:$C$13,3,false)</f>
        <v>Dian Hairunnisa, S.Pd</v>
      </c>
      <c r="I292" s="82" t="s">
        <v>272</v>
      </c>
      <c r="J292" s="82" t="str">
        <f>VLOOKUP(I292,MetaData!$E$2:$G$40,3,false)</f>
        <v>Rizza Al-Farisi</v>
      </c>
      <c r="K292" s="83"/>
    </row>
    <row r="293" ht="15.75" customHeight="1">
      <c r="A293" s="84">
        <v>336.0</v>
      </c>
      <c r="B293" s="77">
        <v>47.0</v>
      </c>
      <c r="C293" s="77" t="s">
        <v>1073</v>
      </c>
      <c r="D293" s="77">
        <v>2.52610547E8</v>
      </c>
      <c r="E293" s="78" t="s">
        <v>288</v>
      </c>
      <c r="F293" s="77" t="s">
        <v>782</v>
      </c>
      <c r="G293" s="79" t="s">
        <v>52</v>
      </c>
      <c r="H293" s="79" t="str">
        <f>VLOOKUP(G293,MetaData!$A$2:$C$13,3,false)</f>
        <v>Dian Hairunnisa, S.Pd</v>
      </c>
      <c r="I293" s="79" t="s">
        <v>272</v>
      </c>
      <c r="J293" s="79" t="str">
        <f>VLOOKUP(I293,MetaData!$E$2:$G$40,3,false)</f>
        <v>Rizza Al-Farisi</v>
      </c>
      <c r="K293" s="80"/>
    </row>
    <row r="294" ht="15.75" customHeight="1">
      <c r="A294" s="85">
        <v>337.0</v>
      </c>
      <c r="B294" s="77">
        <v>48.0</v>
      </c>
      <c r="C294" s="77" t="s">
        <v>1074</v>
      </c>
      <c r="D294" s="77">
        <v>2.52610559E8</v>
      </c>
      <c r="E294" s="78" t="s">
        <v>499</v>
      </c>
      <c r="F294" s="77" t="s">
        <v>784</v>
      </c>
      <c r="G294" s="82" t="s">
        <v>52</v>
      </c>
      <c r="H294" s="82" t="str">
        <f>VLOOKUP(G294,MetaData!$A$2:$C$13,3,false)</f>
        <v>Dian Hairunnisa, S.Pd</v>
      </c>
      <c r="I294" s="82" t="s">
        <v>485</v>
      </c>
      <c r="J294" s="82" t="str">
        <f>VLOOKUP(I294,MetaData!$E$2:$G$40,3,false)</f>
        <v>Desya (XI)</v>
      </c>
      <c r="K294" s="83"/>
    </row>
    <row r="295" ht="15.75" customHeight="1">
      <c r="A295" s="76">
        <v>345.0</v>
      </c>
      <c r="B295" s="77">
        <v>1.0</v>
      </c>
      <c r="C295" s="77" t="s">
        <v>1075</v>
      </c>
      <c r="D295" s="77">
        <v>2.52610007E8</v>
      </c>
      <c r="E295" s="78" t="s">
        <v>628</v>
      </c>
      <c r="F295" s="77" t="s">
        <v>784</v>
      </c>
      <c r="G295" s="79" t="s">
        <v>58</v>
      </c>
      <c r="H295" s="79" t="str">
        <f>VLOOKUP(G295,MetaData!$A$2:$C$13,3,false)</f>
        <v>Fatmawati, S.Pd</v>
      </c>
      <c r="I295" s="79" t="s">
        <v>627</v>
      </c>
      <c r="J295" s="79" t="str">
        <f>VLOOKUP(I295,MetaData!$E$2:$G$40,3,false)</f>
        <v>Sakina</v>
      </c>
      <c r="K295" s="80"/>
    </row>
    <row r="296" ht="15.75" customHeight="1">
      <c r="A296" s="81">
        <v>346.0</v>
      </c>
      <c r="B296" s="77">
        <v>2.0</v>
      </c>
      <c r="C296" s="77" t="s">
        <v>1076</v>
      </c>
      <c r="D296" s="77">
        <v>2.52610028E8</v>
      </c>
      <c r="E296" s="78" t="s">
        <v>629</v>
      </c>
      <c r="F296" s="77" t="s">
        <v>784</v>
      </c>
      <c r="G296" s="82" t="s">
        <v>58</v>
      </c>
      <c r="H296" s="82" t="str">
        <f>VLOOKUP(G296,MetaData!$A$2:$C$13,3,false)</f>
        <v>Fatmawati, S.Pd</v>
      </c>
      <c r="I296" s="82" t="s">
        <v>627</v>
      </c>
      <c r="J296" s="82" t="str">
        <f>VLOOKUP(I296,MetaData!$E$2:$G$40,3,false)</f>
        <v>Sakina</v>
      </c>
      <c r="K296" s="83"/>
    </row>
    <row r="297" ht="15.75" customHeight="1">
      <c r="A297" s="76">
        <v>347.0</v>
      </c>
      <c r="B297" s="77">
        <v>3.0</v>
      </c>
      <c r="C297" s="77" t="s">
        <v>1077</v>
      </c>
      <c r="D297" s="77">
        <v>2.52610035E8</v>
      </c>
      <c r="E297" s="78" t="s">
        <v>630</v>
      </c>
      <c r="F297" s="77" t="s">
        <v>784</v>
      </c>
      <c r="G297" s="79" t="s">
        <v>58</v>
      </c>
      <c r="H297" s="79" t="str">
        <f>VLOOKUP(G297,MetaData!$A$2:$C$13,3,false)</f>
        <v>Fatmawati, S.Pd</v>
      </c>
      <c r="I297" s="79" t="s">
        <v>627</v>
      </c>
      <c r="J297" s="79" t="str">
        <f>VLOOKUP(I297,MetaData!$E$2:$G$40,3,false)</f>
        <v>Sakina</v>
      </c>
      <c r="K297" s="80"/>
    </row>
    <row r="298" ht="15.75" customHeight="1">
      <c r="A298" s="81">
        <v>348.0</v>
      </c>
      <c r="B298" s="77">
        <v>4.0</v>
      </c>
      <c r="C298" s="77" t="s">
        <v>1078</v>
      </c>
      <c r="D298" s="77">
        <v>2.5261004E8</v>
      </c>
      <c r="E298" s="78" t="s">
        <v>631</v>
      </c>
      <c r="F298" s="77" t="s">
        <v>784</v>
      </c>
      <c r="G298" s="82" t="s">
        <v>58</v>
      </c>
      <c r="H298" s="82" t="str">
        <f>VLOOKUP(G298,MetaData!$A$2:$C$13,3,false)</f>
        <v>Fatmawati, S.Pd</v>
      </c>
      <c r="I298" s="82" t="s">
        <v>627</v>
      </c>
      <c r="J298" s="82" t="str">
        <f>VLOOKUP(I298,MetaData!$E$2:$G$40,3,false)</f>
        <v>Sakina</v>
      </c>
      <c r="K298" s="83"/>
    </row>
    <row r="299" ht="15.75" customHeight="1">
      <c r="A299" s="76">
        <v>349.0</v>
      </c>
      <c r="B299" s="77">
        <v>5.0</v>
      </c>
      <c r="C299" s="77" t="s">
        <v>1079</v>
      </c>
      <c r="D299" s="77">
        <v>2.52610041E8</v>
      </c>
      <c r="E299" s="78" t="s">
        <v>632</v>
      </c>
      <c r="F299" s="77" t="s">
        <v>784</v>
      </c>
      <c r="G299" s="79" t="s">
        <v>58</v>
      </c>
      <c r="H299" s="79" t="str">
        <f>VLOOKUP(G299,MetaData!$A$2:$C$13,3,false)</f>
        <v>Fatmawati, S.Pd</v>
      </c>
      <c r="I299" s="79" t="s">
        <v>627</v>
      </c>
      <c r="J299" s="79" t="str">
        <f>VLOOKUP(I299,MetaData!$E$2:$G$40,3,false)</f>
        <v>Sakina</v>
      </c>
      <c r="K299" s="80"/>
    </row>
    <row r="300" ht="15.75" customHeight="1">
      <c r="A300" s="81">
        <v>350.0</v>
      </c>
      <c r="B300" s="77">
        <v>6.0</v>
      </c>
      <c r="C300" s="77" t="s">
        <v>1080</v>
      </c>
      <c r="D300" s="77">
        <v>2.52610061E8</v>
      </c>
      <c r="E300" s="78" t="s">
        <v>633</v>
      </c>
      <c r="F300" s="77" t="s">
        <v>784</v>
      </c>
      <c r="G300" s="82" t="s">
        <v>58</v>
      </c>
      <c r="H300" s="82" t="str">
        <f>VLOOKUP(G300,MetaData!$A$2:$C$13,3,false)</f>
        <v>Fatmawati, S.Pd</v>
      </c>
      <c r="I300" s="82" t="s">
        <v>627</v>
      </c>
      <c r="J300" s="82" t="str">
        <f>VLOOKUP(I300,MetaData!$E$2:$G$40,3,false)</f>
        <v>Sakina</v>
      </c>
      <c r="K300" s="83"/>
    </row>
    <row r="301" ht="15.75" customHeight="1">
      <c r="A301" s="76">
        <v>351.0</v>
      </c>
      <c r="B301" s="77">
        <v>7.0</v>
      </c>
      <c r="C301" s="77" t="s">
        <v>1081</v>
      </c>
      <c r="D301" s="77">
        <v>2.52610077E8</v>
      </c>
      <c r="E301" s="78" t="s">
        <v>634</v>
      </c>
      <c r="F301" s="77" t="s">
        <v>784</v>
      </c>
      <c r="G301" s="79" t="s">
        <v>58</v>
      </c>
      <c r="H301" s="79" t="str">
        <f>VLOOKUP(G301,MetaData!$A$2:$C$13,3,false)</f>
        <v>Fatmawati, S.Pd</v>
      </c>
      <c r="I301" s="79" t="s">
        <v>627</v>
      </c>
      <c r="J301" s="79" t="str">
        <f>VLOOKUP(I301,MetaData!$E$2:$G$40,3,false)</f>
        <v>Sakina</v>
      </c>
      <c r="K301" s="80"/>
    </row>
    <row r="302" ht="15.75" customHeight="1">
      <c r="A302" s="81">
        <v>352.0</v>
      </c>
      <c r="B302" s="77">
        <v>8.0</v>
      </c>
      <c r="C302" s="77" t="s">
        <v>1082</v>
      </c>
      <c r="D302" s="77">
        <v>2.52610097E8</v>
      </c>
      <c r="E302" s="78" t="s">
        <v>635</v>
      </c>
      <c r="F302" s="77" t="s">
        <v>784</v>
      </c>
      <c r="G302" s="82" t="s">
        <v>58</v>
      </c>
      <c r="H302" s="82" t="str">
        <f>VLOOKUP(G302,MetaData!$A$2:$C$13,3,false)</f>
        <v>Fatmawati, S.Pd</v>
      </c>
      <c r="I302" s="82" t="s">
        <v>627</v>
      </c>
      <c r="J302" s="82" t="str">
        <f>VLOOKUP(I302,MetaData!$E$2:$G$40,3,false)</f>
        <v>Sakina</v>
      </c>
      <c r="K302" s="83"/>
    </row>
    <row r="303" ht="15.75" customHeight="1">
      <c r="A303" s="76">
        <v>353.0</v>
      </c>
      <c r="B303" s="77">
        <v>9.0</v>
      </c>
      <c r="C303" s="77" t="s">
        <v>1083</v>
      </c>
      <c r="D303" s="77">
        <v>2.52610108E8</v>
      </c>
      <c r="E303" s="78" t="s">
        <v>636</v>
      </c>
      <c r="F303" s="77" t="s">
        <v>784</v>
      </c>
      <c r="G303" s="79" t="s">
        <v>58</v>
      </c>
      <c r="H303" s="79" t="str">
        <f>VLOOKUP(G303,MetaData!$A$2:$C$13,3,false)</f>
        <v>Fatmawati, S.Pd</v>
      </c>
      <c r="I303" s="79" t="s">
        <v>627</v>
      </c>
      <c r="J303" s="79" t="str">
        <f>VLOOKUP(I303,MetaData!$E$2:$G$40,3,false)</f>
        <v>Sakina</v>
      </c>
      <c r="K303" s="80"/>
    </row>
    <row r="304" ht="15.75" customHeight="1">
      <c r="A304" s="81">
        <v>354.0</v>
      </c>
      <c r="B304" s="77">
        <v>10.0</v>
      </c>
      <c r="C304" s="77" t="s">
        <v>1084</v>
      </c>
      <c r="D304" s="77">
        <v>2.52610118E8</v>
      </c>
      <c r="E304" s="78" t="s">
        <v>637</v>
      </c>
      <c r="F304" s="77" t="s">
        <v>784</v>
      </c>
      <c r="G304" s="82" t="s">
        <v>58</v>
      </c>
      <c r="H304" s="82" t="str">
        <f>VLOOKUP(G304,MetaData!$A$2:$C$13,3,false)</f>
        <v>Fatmawati, S.Pd</v>
      </c>
      <c r="I304" s="82" t="s">
        <v>627</v>
      </c>
      <c r="J304" s="82" t="str">
        <f>VLOOKUP(I304,MetaData!$E$2:$G$40,3,false)</f>
        <v>Sakina</v>
      </c>
      <c r="K304" s="83"/>
    </row>
    <row r="305" ht="15.75" customHeight="1">
      <c r="A305" s="76">
        <v>355.0</v>
      </c>
      <c r="B305" s="77">
        <v>11.0</v>
      </c>
      <c r="C305" s="77" t="s">
        <v>1085</v>
      </c>
      <c r="D305" s="77">
        <v>2.52610125E8</v>
      </c>
      <c r="E305" s="78" t="s">
        <v>258</v>
      </c>
      <c r="F305" s="77" t="s">
        <v>782</v>
      </c>
      <c r="G305" s="79" t="s">
        <v>58</v>
      </c>
      <c r="H305" s="79" t="str">
        <f>VLOOKUP(G305,MetaData!$A$2:$C$13,3,false)</f>
        <v>Fatmawati, S.Pd</v>
      </c>
      <c r="I305" s="79" t="s">
        <v>257</v>
      </c>
      <c r="J305" s="79" t="str">
        <f>VLOOKUP(I305,MetaData!$E$2:$G$40,3,false)</f>
        <v>Teguh</v>
      </c>
      <c r="K305" s="80"/>
    </row>
    <row r="306" ht="15.75" customHeight="1">
      <c r="A306" s="81">
        <v>356.0</v>
      </c>
      <c r="B306" s="77">
        <v>12.0</v>
      </c>
      <c r="C306" s="77" t="s">
        <v>1086</v>
      </c>
      <c r="D306" s="77">
        <v>2.52610151E8</v>
      </c>
      <c r="E306" s="78" t="s">
        <v>638</v>
      </c>
      <c r="F306" s="77" t="s">
        <v>784</v>
      </c>
      <c r="G306" s="82" t="s">
        <v>58</v>
      </c>
      <c r="H306" s="82" t="str">
        <f>VLOOKUP(G306,MetaData!$A$2:$C$13,3,false)</f>
        <v>Fatmawati, S.Pd</v>
      </c>
      <c r="I306" s="82" t="s">
        <v>627</v>
      </c>
      <c r="J306" s="82" t="str">
        <f>VLOOKUP(I306,MetaData!$E$2:$G$40,3,false)</f>
        <v>Sakina</v>
      </c>
      <c r="K306" s="83"/>
    </row>
    <row r="307" ht="15.75" customHeight="1">
      <c r="A307" s="76">
        <v>357.0</v>
      </c>
      <c r="B307" s="77">
        <v>13.0</v>
      </c>
      <c r="C307" s="77" t="s">
        <v>1087</v>
      </c>
      <c r="D307" s="77">
        <v>2.5261016E8</v>
      </c>
      <c r="E307" s="78" t="s">
        <v>433</v>
      </c>
      <c r="F307" s="77" t="s">
        <v>784</v>
      </c>
      <c r="G307" s="79" t="s">
        <v>58</v>
      </c>
      <c r="H307" s="79" t="str">
        <f>VLOOKUP(G307,MetaData!$A$2:$C$13,3,false)</f>
        <v>Fatmawati, S.Pd</v>
      </c>
      <c r="I307" s="79" t="s">
        <v>428</v>
      </c>
      <c r="J307" s="79" t="str">
        <f>VLOOKUP(I307,MetaData!$E$2:$G$40,3,false)</f>
        <v>Iga</v>
      </c>
      <c r="K307" s="80"/>
    </row>
    <row r="308" ht="15.75" customHeight="1">
      <c r="A308" s="81">
        <v>358.0</v>
      </c>
      <c r="B308" s="77">
        <v>14.0</v>
      </c>
      <c r="C308" s="77" t="s">
        <v>1088</v>
      </c>
      <c r="D308" s="77">
        <v>2.52610161E8</v>
      </c>
      <c r="E308" s="78" t="s">
        <v>639</v>
      </c>
      <c r="F308" s="77" t="s">
        <v>784</v>
      </c>
      <c r="G308" s="82" t="s">
        <v>58</v>
      </c>
      <c r="H308" s="82" t="str">
        <f>VLOOKUP(G308,MetaData!$A$2:$C$13,3,false)</f>
        <v>Fatmawati, S.Pd</v>
      </c>
      <c r="I308" s="82" t="s">
        <v>627</v>
      </c>
      <c r="J308" s="82" t="str">
        <f>VLOOKUP(I308,MetaData!$E$2:$G$40,3,false)</f>
        <v>Sakina</v>
      </c>
      <c r="K308" s="83"/>
    </row>
    <row r="309" ht="15.75" customHeight="1">
      <c r="A309" s="76">
        <v>359.0</v>
      </c>
      <c r="B309" s="77">
        <v>15.0</v>
      </c>
      <c r="C309" s="77" t="s">
        <v>1089</v>
      </c>
      <c r="D309" s="77">
        <v>2.5261017E8</v>
      </c>
      <c r="E309" s="78" t="s">
        <v>640</v>
      </c>
      <c r="F309" s="77" t="s">
        <v>784</v>
      </c>
      <c r="G309" s="79" t="s">
        <v>58</v>
      </c>
      <c r="H309" s="79" t="str">
        <f>VLOOKUP(G309,MetaData!$A$2:$C$13,3,false)</f>
        <v>Fatmawati, S.Pd</v>
      </c>
      <c r="I309" s="79" t="s">
        <v>627</v>
      </c>
      <c r="J309" s="79" t="str">
        <f>VLOOKUP(I309,MetaData!$E$2:$G$40,3,false)</f>
        <v>Sakina</v>
      </c>
      <c r="K309" s="80"/>
    </row>
    <row r="310" ht="15.75" customHeight="1">
      <c r="A310" s="81">
        <v>360.0</v>
      </c>
      <c r="B310" s="77">
        <v>16.0</v>
      </c>
      <c r="C310" s="77" t="s">
        <v>1090</v>
      </c>
      <c r="D310" s="77">
        <v>2.52610174E8</v>
      </c>
      <c r="E310" s="78" t="s">
        <v>641</v>
      </c>
      <c r="F310" s="77" t="s">
        <v>784</v>
      </c>
      <c r="G310" s="82" t="s">
        <v>58</v>
      </c>
      <c r="H310" s="82" t="str">
        <f>VLOOKUP(G310,MetaData!$A$2:$C$13,3,false)</f>
        <v>Fatmawati, S.Pd</v>
      </c>
      <c r="I310" s="82" t="s">
        <v>627</v>
      </c>
      <c r="J310" s="82" t="str">
        <f>VLOOKUP(I310,MetaData!$E$2:$G$40,3,false)</f>
        <v>Sakina</v>
      </c>
      <c r="K310" s="83"/>
    </row>
    <row r="311" ht="15.75" customHeight="1">
      <c r="A311" s="76">
        <v>361.0</v>
      </c>
      <c r="B311" s="77">
        <v>17.0</v>
      </c>
      <c r="C311" s="77" t="s">
        <v>1091</v>
      </c>
      <c r="D311" s="77">
        <v>2.52610199E8</v>
      </c>
      <c r="E311" s="78" t="s">
        <v>259</v>
      </c>
      <c r="F311" s="77" t="s">
        <v>782</v>
      </c>
      <c r="G311" s="79" t="s">
        <v>58</v>
      </c>
      <c r="H311" s="79" t="str">
        <f>VLOOKUP(G311,MetaData!$A$2:$C$13,3,false)</f>
        <v>Fatmawati, S.Pd</v>
      </c>
      <c r="I311" s="79" t="s">
        <v>257</v>
      </c>
      <c r="J311" s="79" t="str">
        <f>VLOOKUP(I311,MetaData!$E$2:$G$40,3,false)</f>
        <v>Teguh</v>
      </c>
      <c r="K311" s="80"/>
    </row>
    <row r="312" ht="15.75" customHeight="1">
      <c r="A312" s="81">
        <v>362.0</v>
      </c>
      <c r="B312" s="77">
        <v>18.0</v>
      </c>
      <c r="C312" s="77" t="s">
        <v>1092</v>
      </c>
      <c r="D312" s="77">
        <v>2.52610203E8</v>
      </c>
      <c r="E312" s="78" t="s">
        <v>434</v>
      </c>
      <c r="F312" s="77" t="s">
        <v>784</v>
      </c>
      <c r="G312" s="82" t="s">
        <v>58</v>
      </c>
      <c r="H312" s="82" t="str">
        <f>VLOOKUP(G312,MetaData!$A$2:$C$13,3,false)</f>
        <v>Fatmawati, S.Pd</v>
      </c>
      <c r="I312" s="82" t="s">
        <v>428</v>
      </c>
      <c r="J312" s="82" t="str">
        <f>VLOOKUP(I312,MetaData!$E$2:$G$40,3,false)</f>
        <v>Iga</v>
      </c>
      <c r="K312" s="83"/>
    </row>
    <row r="313" ht="15.75" customHeight="1">
      <c r="A313" s="76">
        <v>363.0</v>
      </c>
      <c r="B313" s="77">
        <v>20.0</v>
      </c>
      <c r="C313" s="77" t="s">
        <v>1093</v>
      </c>
      <c r="D313" s="77">
        <v>2.52610255E8</v>
      </c>
      <c r="E313" s="78" t="s">
        <v>471</v>
      </c>
      <c r="F313" s="77" t="s">
        <v>784</v>
      </c>
      <c r="G313" s="79" t="s">
        <v>58</v>
      </c>
      <c r="H313" s="79" t="str">
        <f>VLOOKUP(G313,MetaData!$A$2:$C$13,3,false)</f>
        <v>Fatmawati, S.Pd</v>
      </c>
      <c r="I313" s="79" t="s">
        <v>470</v>
      </c>
      <c r="J313" s="79" t="str">
        <f>VLOOKUP(I313,MetaData!$E$2:$G$40,3,false)</f>
        <v>Arsyila (XI)</v>
      </c>
      <c r="K313" s="80"/>
    </row>
    <row r="314" ht="15.75" customHeight="1">
      <c r="A314" s="81">
        <v>364.0</v>
      </c>
      <c r="B314" s="77">
        <v>21.0</v>
      </c>
      <c r="C314" s="77" t="s">
        <v>1094</v>
      </c>
      <c r="D314" s="77">
        <v>2.52610265E8</v>
      </c>
      <c r="E314" s="78" t="s">
        <v>260</v>
      </c>
      <c r="F314" s="77" t="s">
        <v>782</v>
      </c>
      <c r="G314" s="82" t="s">
        <v>58</v>
      </c>
      <c r="H314" s="82" t="str">
        <f>VLOOKUP(G314,MetaData!$A$2:$C$13,3,false)</f>
        <v>Fatmawati, S.Pd</v>
      </c>
      <c r="I314" s="82" t="s">
        <v>257</v>
      </c>
      <c r="J314" s="82" t="str">
        <f>VLOOKUP(I314,MetaData!$E$2:$G$40,3,false)</f>
        <v>Teguh</v>
      </c>
      <c r="K314" s="83"/>
    </row>
    <row r="315" ht="15.75" customHeight="1">
      <c r="A315" s="76">
        <v>365.0</v>
      </c>
      <c r="B315" s="77">
        <v>22.0</v>
      </c>
      <c r="C315" s="77" t="s">
        <v>1095</v>
      </c>
      <c r="D315" s="77">
        <v>2.52610293E8</v>
      </c>
      <c r="E315" s="78" t="s">
        <v>261</v>
      </c>
      <c r="F315" s="77" t="s">
        <v>782</v>
      </c>
      <c r="G315" s="79" t="s">
        <v>58</v>
      </c>
      <c r="H315" s="79" t="str">
        <f>VLOOKUP(G315,MetaData!$A$2:$C$13,3,false)</f>
        <v>Fatmawati, S.Pd</v>
      </c>
      <c r="I315" s="79" t="s">
        <v>257</v>
      </c>
      <c r="J315" s="79" t="str">
        <f>VLOOKUP(I315,MetaData!$E$2:$G$40,3,false)</f>
        <v>Teguh</v>
      </c>
      <c r="K315" s="80"/>
    </row>
    <row r="316" ht="15.75" customHeight="1">
      <c r="A316" s="81">
        <v>366.0</v>
      </c>
      <c r="B316" s="77">
        <v>23.0</v>
      </c>
      <c r="C316" s="77" t="s">
        <v>1096</v>
      </c>
      <c r="D316" s="77">
        <v>2.52610314E8</v>
      </c>
      <c r="E316" s="78" t="s">
        <v>262</v>
      </c>
      <c r="F316" s="77" t="s">
        <v>782</v>
      </c>
      <c r="G316" s="82" t="s">
        <v>58</v>
      </c>
      <c r="H316" s="82" t="str">
        <f>VLOOKUP(G316,MetaData!$A$2:$C$13,3,false)</f>
        <v>Fatmawati, S.Pd</v>
      </c>
      <c r="I316" s="82" t="s">
        <v>257</v>
      </c>
      <c r="J316" s="82" t="str">
        <f>VLOOKUP(I316,MetaData!$E$2:$G$40,3,false)</f>
        <v>Teguh</v>
      </c>
      <c r="K316" s="83"/>
    </row>
    <row r="317" ht="15.75" customHeight="1">
      <c r="A317" s="76">
        <v>367.0</v>
      </c>
      <c r="B317" s="77">
        <v>24.0</v>
      </c>
      <c r="C317" s="77" t="s">
        <v>1097</v>
      </c>
      <c r="D317" s="77">
        <v>2.52610317E8</v>
      </c>
      <c r="E317" s="78" t="s">
        <v>263</v>
      </c>
      <c r="F317" s="77" t="s">
        <v>782</v>
      </c>
      <c r="G317" s="79" t="s">
        <v>58</v>
      </c>
      <c r="H317" s="79" t="str">
        <f>VLOOKUP(G317,MetaData!$A$2:$C$13,3,false)</f>
        <v>Fatmawati, S.Pd</v>
      </c>
      <c r="I317" s="79" t="s">
        <v>257</v>
      </c>
      <c r="J317" s="79" t="str">
        <f>VLOOKUP(I317,MetaData!$E$2:$G$40,3,false)</f>
        <v>Teguh</v>
      </c>
      <c r="K317" s="80"/>
    </row>
    <row r="318" ht="15.75" customHeight="1">
      <c r="A318" s="81">
        <v>368.0</v>
      </c>
      <c r="B318" s="77">
        <v>25.0</v>
      </c>
      <c r="C318" s="77" t="s">
        <v>1098</v>
      </c>
      <c r="D318" s="77">
        <v>2.52610321E8</v>
      </c>
      <c r="E318" s="78" t="s">
        <v>472</v>
      </c>
      <c r="F318" s="77" t="s">
        <v>784</v>
      </c>
      <c r="G318" s="82" t="s">
        <v>58</v>
      </c>
      <c r="H318" s="82" t="str">
        <f>VLOOKUP(G318,MetaData!$A$2:$C$13,3,false)</f>
        <v>Fatmawati, S.Pd</v>
      </c>
      <c r="I318" s="82" t="s">
        <v>470</v>
      </c>
      <c r="J318" s="82" t="str">
        <f>VLOOKUP(I318,MetaData!$E$2:$G$40,3,false)</f>
        <v>Arsyila (XI)</v>
      </c>
      <c r="K318" s="83"/>
    </row>
    <row r="319" ht="15.75" customHeight="1">
      <c r="A319" s="76">
        <v>369.0</v>
      </c>
      <c r="B319" s="77">
        <v>26.0</v>
      </c>
      <c r="C319" s="77" t="s">
        <v>1099</v>
      </c>
      <c r="D319" s="77">
        <v>2.52610324E8</v>
      </c>
      <c r="E319" s="78" t="s">
        <v>230</v>
      </c>
      <c r="F319" s="77" t="s">
        <v>782</v>
      </c>
      <c r="G319" s="79" t="s">
        <v>58</v>
      </c>
      <c r="H319" s="79" t="str">
        <f>VLOOKUP(G319,MetaData!$A$2:$C$13,3,false)</f>
        <v>Fatmawati, S.Pd</v>
      </c>
      <c r="I319" s="79" t="s">
        <v>220</v>
      </c>
      <c r="J319" s="79" t="str">
        <f>VLOOKUP(I319,MetaData!$E$2:$G$40,3,false)</f>
        <v>Rekhsa</v>
      </c>
      <c r="K319" s="80"/>
    </row>
    <row r="320" ht="15.75" customHeight="1">
      <c r="A320" s="81">
        <v>370.0</v>
      </c>
      <c r="B320" s="77">
        <v>27.0</v>
      </c>
      <c r="C320" s="77" t="s">
        <v>1100</v>
      </c>
      <c r="D320" s="77">
        <v>2.52610326E8</v>
      </c>
      <c r="E320" s="78" t="s">
        <v>264</v>
      </c>
      <c r="F320" s="77" t="s">
        <v>782</v>
      </c>
      <c r="G320" s="82" t="s">
        <v>58</v>
      </c>
      <c r="H320" s="82" t="str">
        <f>VLOOKUP(G320,MetaData!$A$2:$C$13,3,false)</f>
        <v>Fatmawati, S.Pd</v>
      </c>
      <c r="I320" s="82" t="s">
        <v>257</v>
      </c>
      <c r="J320" s="82" t="str">
        <f>VLOOKUP(I320,MetaData!$E$2:$G$40,3,false)</f>
        <v>Teguh</v>
      </c>
      <c r="K320" s="83"/>
    </row>
    <row r="321" ht="15.75" customHeight="1">
      <c r="A321" s="76">
        <v>371.0</v>
      </c>
      <c r="B321" s="77">
        <v>28.0</v>
      </c>
      <c r="C321" s="77" t="s">
        <v>1101</v>
      </c>
      <c r="D321" s="77">
        <v>2.52610349E8</v>
      </c>
      <c r="E321" s="78" t="s">
        <v>265</v>
      </c>
      <c r="F321" s="77" t="s">
        <v>782</v>
      </c>
      <c r="G321" s="79" t="s">
        <v>58</v>
      </c>
      <c r="H321" s="79" t="str">
        <f>VLOOKUP(G321,MetaData!$A$2:$C$13,3,false)</f>
        <v>Fatmawati, S.Pd</v>
      </c>
      <c r="I321" s="79" t="s">
        <v>257</v>
      </c>
      <c r="J321" s="79" t="str">
        <f>VLOOKUP(I321,MetaData!$E$2:$G$40,3,false)</f>
        <v>Teguh</v>
      </c>
      <c r="K321" s="80"/>
    </row>
    <row r="322" ht="15.75" customHeight="1">
      <c r="A322" s="81">
        <v>372.0</v>
      </c>
      <c r="B322" s="77">
        <v>29.0</v>
      </c>
      <c r="C322" s="77" t="s">
        <v>1102</v>
      </c>
      <c r="D322" s="77">
        <v>2.5261035E8</v>
      </c>
      <c r="E322" s="78" t="s">
        <v>266</v>
      </c>
      <c r="F322" s="77" t="s">
        <v>782</v>
      </c>
      <c r="G322" s="82" t="s">
        <v>58</v>
      </c>
      <c r="H322" s="82" t="str">
        <f>VLOOKUP(G322,MetaData!$A$2:$C$13,3,false)</f>
        <v>Fatmawati, S.Pd</v>
      </c>
      <c r="I322" s="82" t="s">
        <v>257</v>
      </c>
      <c r="J322" s="82" t="str">
        <f>VLOOKUP(I322,MetaData!$E$2:$G$40,3,false)</f>
        <v>Teguh</v>
      </c>
      <c r="K322" s="83"/>
    </row>
    <row r="323" ht="15.75" customHeight="1">
      <c r="A323" s="76">
        <v>373.0</v>
      </c>
      <c r="B323" s="77">
        <v>30.0</v>
      </c>
      <c r="C323" s="77" t="s">
        <v>1103</v>
      </c>
      <c r="D323" s="77">
        <v>2.52610353E8</v>
      </c>
      <c r="E323" s="78" t="s">
        <v>233</v>
      </c>
      <c r="F323" s="77" t="s">
        <v>782</v>
      </c>
      <c r="G323" s="79" t="s">
        <v>58</v>
      </c>
      <c r="H323" s="79" t="str">
        <f>VLOOKUP(G323,MetaData!$A$2:$C$13,3,false)</f>
        <v>Fatmawati, S.Pd</v>
      </c>
      <c r="I323" s="79" t="s">
        <v>220</v>
      </c>
      <c r="J323" s="79" t="str">
        <f>VLOOKUP(I323,MetaData!$E$2:$G$40,3,false)</f>
        <v>Rekhsa</v>
      </c>
      <c r="K323" s="80"/>
    </row>
    <row r="324" ht="15.75" customHeight="1">
      <c r="A324" s="81">
        <v>374.0</v>
      </c>
      <c r="B324" s="77">
        <v>31.0</v>
      </c>
      <c r="C324" s="77" t="s">
        <v>1104</v>
      </c>
      <c r="D324" s="77">
        <v>2.52610364E8</v>
      </c>
      <c r="E324" s="78" t="s">
        <v>267</v>
      </c>
      <c r="F324" s="77" t="s">
        <v>782</v>
      </c>
      <c r="G324" s="82" t="s">
        <v>58</v>
      </c>
      <c r="H324" s="82" t="str">
        <f>VLOOKUP(G324,MetaData!$A$2:$C$13,3,false)</f>
        <v>Fatmawati, S.Pd</v>
      </c>
      <c r="I324" s="82" t="s">
        <v>257</v>
      </c>
      <c r="J324" s="82" t="str">
        <f>VLOOKUP(I324,MetaData!$E$2:$G$40,3,false)</f>
        <v>Teguh</v>
      </c>
      <c r="K324" s="83"/>
    </row>
    <row r="325" ht="15.75" customHeight="1">
      <c r="A325" s="76">
        <v>375.0</v>
      </c>
      <c r="B325" s="77">
        <v>32.0</v>
      </c>
      <c r="C325" s="77" t="s">
        <v>1105</v>
      </c>
      <c r="D325" s="77">
        <v>2.52610376E8</v>
      </c>
      <c r="E325" s="78" t="s">
        <v>268</v>
      </c>
      <c r="F325" s="77" t="s">
        <v>782</v>
      </c>
      <c r="G325" s="79" t="s">
        <v>58</v>
      </c>
      <c r="H325" s="79" t="str">
        <f>VLOOKUP(G325,MetaData!$A$2:$C$13,3,false)</f>
        <v>Fatmawati, S.Pd</v>
      </c>
      <c r="I325" s="79" t="s">
        <v>257</v>
      </c>
      <c r="J325" s="79" t="str">
        <f>VLOOKUP(I325,MetaData!$E$2:$G$40,3,false)</f>
        <v>Teguh</v>
      </c>
      <c r="K325" s="80"/>
    </row>
    <row r="326" ht="15.75" customHeight="1">
      <c r="A326" s="81">
        <v>376.0</v>
      </c>
      <c r="B326" s="77">
        <v>33.0</v>
      </c>
      <c r="C326" s="77" t="s">
        <v>1106</v>
      </c>
      <c r="D326" s="77">
        <v>2.52610392E8</v>
      </c>
      <c r="E326" s="78" t="s">
        <v>473</v>
      </c>
      <c r="F326" s="77" t="s">
        <v>784</v>
      </c>
      <c r="G326" s="82" t="s">
        <v>58</v>
      </c>
      <c r="H326" s="82" t="str">
        <f>VLOOKUP(G326,MetaData!$A$2:$C$13,3,false)</f>
        <v>Fatmawati, S.Pd</v>
      </c>
      <c r="I326" s="82" t="s">
        <v>470</v>
      </c>
      <c r="J326" s="82" t="str">
        <f>VLOOKUP(I326,MetaData!$E$2:$G$40,3,false)</f>
        <v>Arsyila (XI)</v>
      </c>
      <c r="K326" s="83"/>
    </row>
    <row r="327" ht="15.75" customHeight="1">
      <c r="A327" s="76">
        <v>377.0</v>
      </c>
      <c r="B327" s="77">
        <v>34.0</v>
      </c>
      <c r="C327" s="77" t="s">
        <v>1107</v>
      </c>
      <c r="D327" s="77">
        <v>2.52610395E8</v>
      </c>
      <c r="E327" s="78" t="s">
        <v>474</v>
      </c>
      <c r="F327" s="77" t="s">
        <v>784</v>
      </c>
      <c r="G327" s="79" t="s">
        <v>58</v>
      </c>
      <c r="H327" s="79" t="str">
        <f>VLOOKUP(G327,MetaData!$A$2:$C$13,3,false)</f>
        <v>Fatmawati, S.Pd</v>
      </c>
      <c r="I327" s="79" t="s">
        <v>470</v>
      </c>
      <c r="J327" s="79" t="str">
        <f>VLOOKUP(I327,MetaData!$E$2:$G$40,3,false)</f>
        <v>Arsyila (XI)</v>
      </c>
      <c r="K327" s="80"/>
    </row>
    <row r="328" ht="15.75" customHeight="1">
      <c r="A328" s="81">
        <v>378.0</v>
      </c>
      <c r="B328" s="77">
        <v>35.0</v>
      </c>
      <c r="C328" s="77" t="s">
        <v>1108</v>
      </c>
      <c r="D328" s="77">
        <v>2.52610399E8</v>
      </c>
      <c r="E328" s="78" t="s">
        <v>475</v>
      </c>
      <c r="F328" s="77" t="s">
        <v>784</v>
      </c>
      <c r="G328" s="82" t="s">
        <v>58</v>
      </c>
      <c r="H328" s="82" t="str">
        <f>VLOOKUP(G328,MetaData!$A$2:$C$13,3,false)</f>
        <v>Fatmawati, S.Pd</v>
      </c>
      <c r="I328" s="82" t="s">
        <v>470</v>
      </c>
      <c r="J328" s="82" t="str">
        <f>VLOOKUP(I328,MetaData!$E$2:$G$40,3,false)</f>
        <v>Arsyila (XI)</v>
      </c>
      <c r="K328" s="83"/>
    </row>
    <row r="329" ht="15.75" customHeight="1">
      <c r="A329" s="76">
        <v>379.0</v>
      </c>
      <c r="B329" s="77">
        <v>36.0</v>
      </c>
      <c r="C329" s="77" t="s">
        <v>1109</v>
      </c>
      <c r="D329" s="77">
        <v>2.52610408E8</v>
      </c>
      <c r="E329" s="78" t="s">
        <v>476</v>
      </c>
      <c r="F329" s="77" t="s">
        <v>784</v>
      </c>
      <c r="G329" s="79" t="s">
        <v>58</v>
      </c>
      <c r="H329" s="79" t="str">
        <f>VLOOKUP(G329,MetaData!$A$2:$C$13,3,false)</f>
        <v>Fatmawati, S.Pd</v>
      </c>
      <c r="I329" s="79" t="s">
        <v>470</v>
      </c>
      <c r="J329" s="79" t="str">
        <f>VLOOKUP(I329,MetaData!$E$2:$G$40,3,false)</f>
        <v>Arsyila (XI)</v>
      </c>
      <c r="K329" s="80"/>
    </row>
    <row r="330" ht="15.75" customHeight="1">
      <c r="A330" s="81">
        <v>380.0</v>
      </c>
      <c r="B330" s="77">
        <v>37.0</v>
      </c>
      <c r="C330" s="77" t="s">
        <v>1110</v>
      </c>
      <c r="D330" s="77">
        <v>2.52610413E8</v>
      </c>
      <c r="E330" s="78" t="s">
        <v>477</v>
      </c>
      <c r="F330" s="77" t="s">
        <v>784</v>
      </c>
      <c r="G330" s="82" t="s">
        <v>58</v>
      </c>
      <c r="H330" s="82" t="str">
        <f>VLOOKUP(G330,MetaData!$A$2:$C$13,3,false)</f>
        <v>Fatmawati, S.Pd</v>
      </c>
      <c r="I330" s="82" t="s">
        <v>470</v>
      </c>
      <c r="J330" s="82" t="str">
        <f>VLOOKUP(I330,MetaData!$E$2:$G$40,3,false)</f>
        <v>Arsyila (XI)</v>
      </c>
      <c r="K330" s="83"/>
    </row>
    <row r="331" ht="15.75" customHeight="1">
      <c r="A331" s="76">
        <v>381.0</v>
      </c>
      <c r="B331" s="77">
        <v>38.0</v>
      </c>
      <c r="C331" s="77" t="s">
        <v>1111</v>
      </c>
      <c r="D331" s="77">
        <v>2.5261042E8</v>
      </c>
      <c r="E331" s="78" t="s">
        <v>479</v>
      </c>
      <c r="F331" s="77" t="s">
        <v>784</v>
      </c>
      <c r="G331" s="79" t="s">
        <v>58</v>
      </c>
      <c r="H331" s="79" t="str">
        <f>VLOOKUP(G331,MetaData!$A$2:$C$13,3,false)</f>
        <v>Fatmawati, S.Pd</v>
      </c>
      <c r="I331" s="79" t="s">
        <v>470</v>
      </c>
      <c r="J331" s="79" t="str">
        <f>VLOOKUP(I331,MetaData!$E$2:$G$40,3,false)</f>
        <v>Arsyila (XI)</v>
      </c>
      <c r="K331" s="80"/>
    </row>
    <row r="332" ht="15.75" customHeight="1">
      <c r="A332" s="81">
        <v>382.0</v>
      </c>
      <c r="B332" s="77">
        <v>39.0</v>
      </c>
      <c r="C332" s="77" t="s">
        <v>1112</v>
      </c>
      <c r="D332" s="77">
        <v>2.52610421E8</v>
      </c>
      <c r="E332" s="78" t="s">
        <v>478</v>
      </c>
      <c r="F332" s="77" t="s">
        <v>784</v>
      </c>
      <c r="G332" s="82" t="s">
        <v>58</v>
      </c>
      <c r="H332" s="82" t="str">
        <f>VLOOKUP(G332,MetaData!$A$2:$C$13,3,false)</f>
        <v>Fatmawati, S.Pd</v>
      </c>
      <c r="I332" s="82" t="s">
        <v>470</v>
      </c>
      <c r="J332" s="82" t="str">
        <f>VLOOKUP(I332,MetaData!$E$2:$G$40,3,false)</f>
        <v>Arsyila (XI)</v>
      </c>
      <c r="K332" s="83"/>
    </row>
    <row r="333" ht="15.75" customHeight="1">
      <c r="A333" s="76">
        <v>383.0</v>
      </c>
      <c r="B333" s="77">
        <v>40.0</v>
      </c>
      <c r="C333" s="77" t="s">
        <v>1113</v>
      </c>
      <c r="D333" s="77">
        <v>2.52610444E8</v>
      </c>
      <c r="E333" s="78" t="s">
        <v>480</v>
      </c>
      <c r="F333" s="77" t="s">
        <v>784</v>
      </c>
      <c r="G333" s="79" t="s">
        <v>58</v>
      </c>
      <c r="H333" s="79" t="str">
        <f>VLOOKUP(G333,MetaData!$A$2:$C$13,3,false)</f>
        <v>Fatmawati, S.Pd</v>
      </c>
      <c r="I333" s="79" t="s">
        <v>470</v>
      </c>
      <c r="J333" s="79" t="str">
        <f>VLOOKUP(I333,MetaData!$E$2:$G$40,3,false)</f>
        <v>Arsyila (XI)</v>
      </c>
      <c r="K333" s="80"/>
    </row>
    <row r="334" ht="15.75" customHeight="1">
      <c r="A334" s="81">
        <v>384.0</v>
      </c>
      <c r="B334" s="77">
        <v>41.0</v>
      </c>
      <c r="C334" s="77" t="s">
        <v>1114</v>
      </c>
      <c r="D334" s="77">
        <v>2.52610445E8</v>
      </c>
      <c r="E334" s="78" t="s">
        <v>481</v>
      </c>
      <c r="F334" s="77" t="s">
        <v>784</v>
      </c>
      <c r="G334" s="82" t="s">
        <v>58</v>
      </c>
      <c r="H334" s="82" t="str">
        <f>VLOOKUP(G334,MetaData!$A$2:$C$13,3,false)</f>
        <v>Fatmawati, S.Pd</v>
      </c>
      <c r="I334" s="82" t="s">
        <v>470</v>
      </c>
      <c r="J334" s="82" t="str">
        <f>VLOOKUP(I334,MetaData!$E$2:$G$40,3,false)</f>
        <v>Arsyila (XI)</v>
      </c>
      <c r="K334" s="83"/>
    </row>
    <row r="335" ht="15.75" customHeight="1">
      <c r="A335" s="76">
        <v>385.0</v>
      </c>
      <c r="B335" s="77">
        <v>42.0</v>
      </c>
      <c r="C335" s="77" t="s">
        <v>1115</v>
      </c>
      <c r="D335" s="77">
        <v>2.52610463E8</v>
      </c>
      <c r="E335" s="78" t="s">
        <v>269</v>
      </c>
      <c r="F335" s="77" t="s">
        <v>782</v>
      </c>
      <c r="G335" s="79" t="s">
        <v>58</v>
      </c>
      <c r="H335" s="79" t="str">
        <f>VLOOKUP(G335,MetaData!$A$2:$C$13,3,false)</f>
        <v>Fatmawati, S.Pd</v>
      </c>
      <c r="I335" s="79" t="s">
        <v>257</v>
      </c>
      <c r="J335" s="79" t="str">
        <f>VLOOKUP(I335,MetaData!$E$2:$G$40,3,false)</f>
        <v>Teguh</v>
      </c>
      <c r="K335" s="80"/>
    </row>
    <row r="336" ht="15.75" customHeight="1">
      <c r="A336" s="81">
        <v>386.0</v>
      </c>
      <c r="B336" s="77">
        <v>43.0</v>
      </c>
      <c r="C336" s="77" t="s">
        <v>1116</v>
      </c>
      <c r="D336" s="77">
        <v>2.5261047E8</v>
      </c>
      <c r="E336" s="78" t="s">
        <v>238</v>
      </c>
      <c r="F336" s="77" t="s">
        <v>782</v>
      </c>
      <c r="G336" s="82" t="s">
        <v>58</v>
      </c>
      <c r="H336" s="82" t="str">
        <f>VLOOKUP(G336,MetaData!$A$2:$C$13,3,false)</f>
        <v>Fatmawati, S.Pd</v>
      </c>
      <c r="I336" s="82" t="s">
        <v>220</v>
      </c>
      <c r="J336" s="82" t="str">
        <f>VLOOKUP(I336,MetaData!$E$2:$G$40,3,false)</f>
        <v>Rekhsa</v>
      </c>
      <c r="K336" s="83"/>
    </row>
    <row r="337" ht="15.75" customHeight="1">
      <c r="A337" s="76">
        <v>387.0</v>
      </c>
      <c r="B337" s="77">
        <v>44.0</v>
      </c>
      <c r="C337" s="77" t="s">
        <v>1117</v>
      </c>
      <c r="D337" s="77">
        <v>2.526105E8</v>
      </c>
      <c r="E337" s="78" t="s">
        <v>270</v>
      </c>
      <c r="F337" s="77" t="s">
        <v>782</v>
      </c>
      <c r="G337" s="79" t="s">
        <v>58</v>
      </c>
      <c r="H337" s="79" t="str">
        <f>VLOOKUP(G337,MetaData!$A$2:$C$13,3,false)</f>
        <v>Fatmawati, S.Pd</v>
      </c>
      <c r="I337" s="79" t="s">
        <v>257</v>
      </c>
      <c r="J337" s="79" t="str">
        <f>VLOOKUP(I337,MetaData!$E$2:$G$40,3,false)</f>
        <v>Teguh</v>
      </c>
      <c r="K337" s="80"/>
    </row>
    <row r="338" ht="15.75" customHeight="1">
      <c r="A338" s="81">
        <v>388.0</v>
      </c>
      <c r="B338" s="77">
        <v>45.0</v>
      </c>
      <c r="C338" s="77" t="s">
        <v>1118</v>
      </c>
      <c r="D338" s="77">
        <v>2.52610522E8</v>
      </c>
      <c r="E338" s="78" t="s">
        <v>482</v>
      </c>
      <c r="F338" s="77" t="s">
        <v>784</v>
      </c>
      <c r="G338" s="82" t="s">
        <v>58</v>
      </c>
      <c r="H338" s="82" t="str">
        <f>VLOOKUP(G338,MetaData!$A$2:$C$13,3,false)</f>
        <v>Fatmawati, S.Pd</v>
      </c>
      <c r="I338" s="82" t="s">
        <v>470</v>
      </c>
      <c r="J338" s="82" t="str">
        <f>VLOOKUP(I338,MetaData!$E$2:$G$40,3,false)</f>
        <v>Arsyila (XI)</v>
      </c>
      <c r="K338" s="83"/>
    </row>
    <row r="339" ht="15.75" customHeight="1">
      <c r="A339" s="76">
        <v>389.0</v>
      </c>
      <c r="B339" s="77">
        <v>46.0</v>
      </c>
      <c r="C339" s="77" t="s">
        <v>1119</v>
      </c>
      <c r="D339" s="77">
        <v>2.52610536E8</v>
      </c>
      <c r="E339" s="78" t="s">
        <v>483</v>
      </c>
      <c r="F339" s="77" t="s">
        <v>784</v>
      </c>
      <c r="G339" s="79" t="s">
        <v>58</v>
      </c>
      <c r="H339" s="79" t="str">
        <f>VLOOKUP(G339,MetaData!$A$2:$C$13,3,false)</f>
        <v>Fatmawati, S.Pd</v>
      </c>
      <c r="I339" s="79" t="s">
        <v>470</v>
      </c>
      <c r="J339" s="79" t="str">
        <f>VLOOKUP(I339,MetaData!$E$2:$G$40,3,false)</f>
        <v>Arsyila (XI)</v>
      </c>
      <c r="K339" s="80"/>
    </row>
    <row r="340" ht="15.75" customHeight="1">
      <c r="A340" s="81">
        <v>390.0</v>
      </c>
      <c r="B340" s="77">
        <v>47.0</v>
      </c>
      <c r="C340" s="77" t="s">
        <v>1120</v>
      </c>
      <c r="D340" s="77">
        <v>2.52610548E8</v>
      </c>
      <c r="E340" s="78" t="s">
        <v>484</v>
      </c>
      <c r="F340" s="77" t="s">
        <v>784</v>
      </c>
      <c r="G340" s="82" t="s">
        <v>58</v>
      </c>
      <c r="H340" s="82" t="str">
        <f>VLOOKUP(G340,MetaData!$A$2:$C$13,3,false)</f>
        <v>Fatmawati, S.Pd</v>
      </c>
      <c r="I340" s="82" t="s">
        <v>470</v>
      </c>
      <c r="J340" s="82" t="str">
        <f>VLOOKUP(I340,MetaData!$E$2:$G$40,3,false)</f>
        <v>Arsyila (XI)</v>
      </c>
      <c r="K340" s="83"/>
    </row>
    <row r="341" ht="15.75" customHeight="1">
      <c r="A341" s="76">
        <v>391.0</v>
      </c>
      <c r="B341" s="77">
        <v>48.0</v>
      </c>
      <c r="C341" s="77" t="s">
        <v>1121</v>
      </c>
      <c r="D341" s="77">
        <v>2.52610558E8</v>
      </c>
      <c r="E341" s="78" t="s">
        <v>271</v>
      </c>
      <c r="F341" s="77" t="s">
        <v>782</v>
      </c>
      <c r="G341" s="79" t="s">
        <v>58</v>
      </c>
      <c r="H341" s="79" t="str">
        <f>VLOOKUP(G341,MetaData!$A$2:$C$13,3,false)</f>
        <v>Fatmawati, S.Pd</v>
      </c>
      <c r="I341" s="79" t="s">
        <v>257</v>
      </c>
      <c r="J341" s="79" t="str">
        <f>VLOOKUP(I341,MetaData!$E$2:$G$40,3,false)</f>
        <v>Teguh</v>
      </c>
      <c r="K341" s="80"/>
    </row>
    <row r="342" ht="15.75" customHeight="1">
      <c r="A342" s="85">
        <v>399.0</v>
      </c>
      <c r="B342" s="77">
        <v>1.0</v>
      </c>
      <c r="C342" s="77" t="s">
        <v>1122</v>
      </c>
      <c r="D342" s="77">
        <v>2.52610003E8</v>
      </c>
      <c r="E342" s="78" t="s">
        <v>222</v>
      </c>
      <c r="F342" s="77" t="s">
        <v>782</v>
      </c>
      <c r="G342" s="82" t="s">
        <v>63</v>
      </c>
      <c r="H342" s="82" t="str">
        <f>VLOOKUP(G342,MetaData!$A$2:$C$13,3,false)</f>
        <v>Dra. Nani Suryani, M.Pd</v>
      </c>
      <c r="I342" s="82" t="s">
        <v>220</v>
      </c>
      <c r="J342" s="82" t="str">
        <f>VLOOKUP(I342,MetaData!$E$2:$G$40,3,false)</f>
        <v>Rekhsa</v>
      </c>
      <c r="K342" s="83"/>
    </row>
    <row r="343" ht="15.75" customHeight="1">
      <c r="A343" s="84">
        <v>400.0</v>
      </c>
      <c r="B343" s="77">
        <v>2.0</v>
      </c>
      <c r="C343" s="77" t="s">
        <v>1123</v>
      </c>
      <c r="D343" s="77">
        <v>2.52610019E8</v>
      </c>
      <c r="E343" s="78" t="s">
        <v>224</v>
      </c>
      <c r="F343" s="77" t="s">
        <v>782</v>
      </c>
      <c r="G343" s="79" t="s">
        <v>63</v>
      </c>
      <c r="H343" s="79" t="str">
        <f>VLOOKUP(G343,MetaData!$A$2:$C$13,3,false)</f>
        <v>Dra. Nani Suryani, M.Pd</v>
      </c>
      <c r="I343" s="79" t="s">
        <v>220</v>
      </c>
      <c r="J343" s="79" t="str">
        <f>VLOOKUP(I343,MetaData!$E$2:$G$40,3,false)</f>
        <v>Rekhsa</v>
      </c>
      <c r="K343" s="80"/>
    </row>
    <row r="344" ht="15.75" customHeight="1">
      <c r="A344" s="85">
        <v>401.0</v>
      </c>
      <c r="B344" s="77">
        <v>3.0</v>
      </c>
      <c r="C344" s="77" t="s">
        <v>1124</v>
      </c>
      <c r="D344" s="77">
        <v>2.52610027E8</v>
      </c>
      <c r="E344" s="78" t="s">
        <v>614</v>
      </c>
      <c r="F344" s="77" t="s">
        <v>784</v>
      </c>
      <c r="G344" s="82" t="s">
        <v>63</v>
      </c>
      <c r="H344" s="82" t="str">
        <f>VLOOKUP(G344,MetaData!$A$2:$C$13,3,false)</f>
        <v>Dra. Nani Suryani, M.Pd</v>
      </c>
      <c r="I344" s="82" t="s">
        <v>613</v>
      </c>
      <c r="J344" s="82" t="str">
        <f>VLOOKUP(I344,MetaData!$E$2:$G$40,3,false)</f>
        <v>Tiara (XII)</v>
      </c>
      <c r="K344" s="83"/>
    </row>
    <row r="345" ht="15.75" customHeight="1">
      <c r="A345" s="84">
        <v>402.0</v>
      </c>
      <c r="B345" s="77">
        <v>4.0</v>
      </c>
      <c r="C345" s="77" t="s">
        <v>1125</v>
      </c>
      <c r="D345" s="77">
        <v>2.52610071E8</v>
      </c>
      <c r="E345" s="78" t="s">
        <v>615</v>
      </c>
      <c r="F345" s="77" t="s">
        <v>784</v>
      </c>
      <c r="G345" s="79" t="s">
        <v>63</v>
      </c>
      <c r="H345" s="79" t="str">
        <f>VLOOKUP(G345,MetaData!$A$2:$C$13,3,false)</f>
        <v>Dra. Nani Suryani, M.Pd</v>
      </c>
      <c r="I345" s="79" t="s">
        <v>613</v>
      </c>
      <c r="J345" s="79" t="str">
        <f>VLOOKUP(I345,MetaData!$E$2:$G$40,3,false)</f>
        <v>Tiara (XII)</v>
      </c>
      <c r="K345" s="80"/>
    </row>
    <row r="346" ht="15.75" customHeight="1">
      <c r="A346" s="85">
        <v>403.0</v>
      </c>
      <c r="B346" s="77">
        <v>5.0</v>
      </c>
      <c r="C346" s="77" t="s">
        <v>1126</v>
      </c>
      <c r="D346" s="77">
        <v>2.52610073E8</v>
      </c>
      <c r="E346" s="78" t="s">
        <v>616</v>
      </c>
      <c r="F346" s="77" t="s">
        <v>784</v>
      </c>
      <c r="G346" s="82" t="s">
        <v>63</v>
      </c>
      <c r="H346" s="82" t="str">
        <f>VLOOKUP(G346,MetaData!$A$2:$C$13,3,false)</f>
        <v>Dra. Nani Suryani, M.Pd</v>
      </c>
      <c r="I346" s="82" t="s">
        <v>613</v>
      </c>
      <c r="J346" s="82" t="str">
        <f>VLOOKUP(I346,MetaData!$E$2:$G$40,3,false)</f>
        <v>Tiara (XII)</v>
      </c>
      <c r="K346" s="83"/>
    </row>
    <row r="347" ht="15.75" customHeight="1">
      <c r="A347" s="84">
        <v>404.0</v>
      </c>
      <c r="B347" s="77">
        <v>6.0</v>
      </c>
      <c r="C347" s="77" t="s">
        <v>1127</v>
      </c>
      <c r="D347" s="77">
        <v>2.52610078E8</v>
      </c>
      <c r="E347" s="78" t="s">
        <v>240</v>
      </c>
      <c r="F347" s="77" t="s">
        <v>782</v>
      </c>
      <c r="G347" s="79" t="s">
        <v>63</v>
      </c>
      <c r="H347" s="79" t="str">
        <f>VLOOKUP(G347,MetaData!$A$2:$C$13,3,false)</f>
        <v>Dra. Nani Suryani, M.Pd</v>
      </c>
      <c r="I347" s="79" t="s">
        <v>239</v>
      </c>
      <c r="J347" s="79" t="str">
        <f>VLOOKUP(I347,MetaData!$E$2:$G$40,3,false)</f>
        <v>Veril (XII)</v>
      </c>
      <c r="K347" s="80"/>
    </row>
    <row r="348" ht="15.75" customHeight="1">
      <c r="A348" s="85">
        <v>405.0</v>
      </c>
      <c r="B348" s="77">
        <v>7.0</v>
      </c>
      <c r="C348" s="77" t="s">
        <v>1128</v>
      </c>
      <c r="D348" s="77">
        <v>2.52610086E8</v>
      </c>
      <c r="E348" s="78" t="s">
        <v>617</v>
      </c>
      <c r="F348" s="77" t="s">
        <v>784</v>
      </c>
      <c r="G348" s="82" t="s">
        <v>63</v>
      </c>
      <c r="H348" s="82" t="str">
        <f>VLOOKUP(G348,MetaData!$A$2:$C$13,3,false)</f>
        <v>Dra. Nani Suryani, M.Pd</v>
      </c>
      <c r="I348" s="82" t="s">
        <v>613</v>
      </c>
      <c r="J348" s="82" t="str">
        <f>VLOOKUP(I348,MetaData!$E$2:$G$40,3,false)</f>
        <v>Tiara (XII)</v>
      </c>
      <c r="K348" s="83"/>
    </row>
    <row r="349" ht="15.75" customHeight="1">
      <c r="A349" s="84">
        <v>406.0</v>
      </c>
      <c r="B349" s="77">
        <v>8.0</v>
      </c>
      <c r="C349" s="77" t="s">
        <v>1129</v>
      </c>
      <c r="D349" s="77">
        <v>2.52610092E8</v>
      </c>
      <c r="E349" s="78" t="s">
        <v>241</v>
      </c>
      <c r="F349" s="77" t="s">
        <v>782</v>
      </c>
      <c r="G349" s="79" t="s">
        <v>63</v>
      </c>
      <c r="H349" s="79" t="str">
        <f>VLOOKUP(G349,MetaData!$A$2:$C$13,3,false)</f>
        <v>Dra. Nani Suryani, M.Pd</v>
      </c>
      <c r="I349" s="79" t="s">
        <v>239</v>
      </c>
      <c r="J349" s="79" t="str">
        <f>VLOOKUP(I349,MetaData!$E$2:$G$40,3,false)</f>
        <v>Veril (XII)</v>
      </c>
      <c r="K349" s="80"/>
    </row>
    <row r="350" ht="15.75" customHeight="1">
      <c r="A350" s="85">
        <v>407.0</v>
      </c>
      <c r="B350" s="77">
        <v>9.0</v>
      </c>
      <c r="C350" s="77" t="s">
        <v>1130</v>
      </c>
      <c r="D350" s="77">
        <v>2.52610095E8</v>
      </c>
      <c r="E350" s="78" t="s">
        <v>618</v>
      </c>
      <c r="F350" s="77" t="s">
        <v>784</v>
      </c>
      <c r="G350" s="82" t="s">
        <v>63</v>
      </c>
      <c r="H350" s="82" t="str">
        <f>VLOOKUP(G350,MetaData!$A$2:$C$13,3,false)</f>
        <v>Dra. Nani Suryani, M.Pd</v>
      </c>
      <c r="I350" s="82" t="s">
        <v>613</v>
      </c>
      <c r="J350" s="82" t="str">
        <f>VLOOKUP(I350,MetaData!$E$2:$G$40,3,false)</f>
        <v>Tiara (XII)</v>
      </c>
      <c r="K350" s="83"/>
    </row>
    <row r="351" ht="15.75" customHeight="1">
      <c r="A351" s="84">
        <v>408.0</v>
      </c>
      <c r="B351" s="77">
        <v>10.0</v>
      </c>
      <c r="C351" s="77" t="s">
        <v>1131</v>
      </c>
      <c r="D351" s="77">
        <v>2.52610117E8</v>
      </c>
      <c r="E351" s="78" t="s">
        <v>619</v>
      </c>
      <c r="F351" s="77" t="s">
        <v>784</v>
      </c>
      <c r="G351" s="79" t="s">
        <v>63</v>
      </c>
      <c r="H351" s="79" t="str">
        <f>VLOOKUP(G351,MetaData!$A$2:$C$13,3,false)</f>
        <v>Dra. Nani Suryani, M.Pd</v>
      </c>
      <c r="I351" s="79" t="s">
        <v>613</v>
      </c>
      <c r="J351" s="79" t="str">
        <f>VLOOKUP(I351,MetaData!$E$2:$G$40,3,false)</f>
        <v>Tiara (XII)</v>
      </c>
      <c r="K351" s="80"/>
    </row>
    <row r="352" ht="15.75" customHeight="1">
      <c r="A352" s="85">
        <v>409.0</v>
      </c>
      <c r="B352" s="77">
        <v>11.0</v>
      </c>
      <c r="C352" s="77" t="s">
        <v>1132</v>
      </c>
      <c r="D352" s="77">
        <v>2.52610133E8</v>
      </c>
      <c r="E352" s="78" t="s">
        <v>620</v>
      </c>
      <c r="F352" s="77" t="s">
        <v>784</v>
      </c>
      <c r="G352" s="82" t="s">
        <v>63</v>
      </c>
      <c r="H352" s="82" t="str">
        <f>VLOOKUP(G352,MetaData!$A$2:$C$13,3,false)</f>
        <v>Dra. Nani Suryani, M.Pd</v>
      </c>
      <c r="I352" s="82" t="s">
        <v>613</v>
      </c>
      <c r="J352" s="82" t="str">
        <f>VLOOKUP(I352,MetaData!$E$2:$G$40,3,false)</f>
        <v>Tiara (XII)</v>
      </c>
      <c r="K352" s="83"/>
    </row>
    <row r="353" ht="15.75" customHeight="1">
      <c r="A353" s="84">
        <v>410.0</v>
      </c>
      <c r="B353" s="77">
        <v>12.0</v>
      </c>
      <c r="C353" s="77" t="s">
        <v>1133</v>
      </c>
      <c r="D353" s="77">
        <v>2.52610135E8</v>
      </c>
      <c r="E353" s="78" t="s">
        <v>242</v>
      </c>
      <c r="F353" s="77" t="s">
        <v>782</v>
      </c>
      <c r="G353" s="79" t="s">
        <v>63</v>
      </c>
      <c r="H353" s="79" t="str">
        <f>VLOOKUP(G353,MetaData!$A$2:$C$13,3,false)</f>
        <v>Dra. Nani Suryani, M.Pd</v>
      </c>
      <c r="I353" s="79" t="s">
        <v>239</v>
      </c>
      <c r="J353" s="79" t="str">
        <f>VLOOKUP(I353,MetaData!$E$2:$G$40,3,false)</f>
        <v>Veril (XII)</v>
      </c>
      <c r="K353" s="80"/>
    </row>
    <row r="354" ht="15.75" customHeight="1">
      <c r="A354" s="85">
        <v>411.0</v>
      </c>
      <c r="B354" s="77">
        <v>13.0</v>
      </c>
      <c r="C354" s="77" t="s">
        <v>1134</v>
      </c>
      <c r="D354" s="77">
        <v>2.52610146E8</v>
      </c>
      <c r="E354" s="78" t="s">
        <v>621</v>
      </c>
      <c r="F354" s="77" t="s">
        <v>784</v>
      </c>
      <c r="G354" s="82" t="s">
        <v>63</v>
      </c>
      <c r="H354" s="82" t="str">
        <f>VLOOKUP(G354,MetaData!$A$2:$C$13,3,false)</f>
        <v>Dra. Nani Suryani, M.Pd</v>
      </c>
      <c r="I354" s="82" t="s">
        <v>613</v>
      </c>
      <c r="J354" s="82" t="str">
        <f>VLOOKUP(I354,MetaData!$E$2:$G$40,3,false)</f>
        <v>Tiara (XII)</v>
      </c>
      <c r="K354" s="83"/>
    </row>
    <row r="355" ht="15.75" customHeight="1">
      <c r="A355" s="84">
        <v>412.0</v>
      </c>
      <c r="B355" s="77">
        <v>14.0</v>
      </c>
      <c r="C355" s="77" t="s">
        <v>1135</v>
      </c>
      <c r="D355" s="77">
        <v>2.52610178E8</v>
      </c>
      <c r="E355" s="78" t="s">
        <v>622</v>
      </c>
      <c r="F355" s="77" t="s">
        <v>784</v>
      </c>
      <c r="G355" s="79" t="s">
        <v>63</v>
      </c>
      <c r="H355" s="79" t="str">
        <f>VLOOKUP(G355,MetaData!$A$2:$C$13,3,false)</f>
        <v>Dra. Nani Suryani, M.Pd</v>
      </c>
      <c r="I355" s="79" t="s">
        <v>613</v>
      </c>
      <c r="J355" s="79" t="str">
        <f>VLOOKUP(I355,MetaData!$E$2:$G$40,3,false)</f>
        <v>Tiara (XII)</v>
      </c>
      <c r="K355" s="80"/>
    </row>
    <row r="356" ht="15.75" customHeight="1">
      <c r="A356" s="85">
        <v>413.0</v>
      </c>
      <c r="B356" s="77">
        <v>15.0</v>
      </c>
      <c r="C356" s="77" t="s">
        <v>1136</v>
      </c>
      <c r="D356" s="77">
        <v>2.52610211E8</v>
      </c>
      <c r="E356" s="78" t="s">
        <v>227</v>
      </c>
      <c r="F356" s="77" t="s">
        <v>782</v>
      </c>
      <c r="G356" s="82" t="s">
        <v>63</v>
      </c>
      <c r="H356" s="82" t="str">
        <f>VLOOKUP(G356,MetaData!$A$2:$C$13,3,false)</f>
        <v>Dra. Nani Suryani, M.Pd</v>
      </c>
      <c r="I356" s="82" t="s">
        <v>220</v>
      </c>
      <c r="J356" s="82" t="str">
        <f>VLOOKUP(I356,MetaData!$E$2:$G$40,3,false)</f>
        <v>Rekhsa</v>
      </c>
      <c r="K356" s="83"/>
    </row>
    <row r="357" ht="15.75" customHeight="1">
      <c r="A357" s="84">
        <v>414.0</v>
      </c>
      <c r="B357" s="77">
        <v>16.0</v>
      </c>
      <c r="C357" s="77" t="s">
        <v>1137</v>
      </c>
      <c r="D357" s="77">
        <v>2.52610212E8</v>
      </c>
      <c r="E357" s="78" t="s">
        <v>623</v>
      </c>
      <c r="F357" s="77" t="s">
        <v>784</v>
      </c>
      <c r="G357" s="79" t="s">
        <v>63</v>
      </c>
      <c r="H357" s="79" t="str">
        <f>VLOOKUP(G357,MetaData!$A$2:$C$13,3,false)</f>
        <v>Dra. Nani Suryani, M.Pd</v>
      </c>
      <c r="I357" s="79" t="s">
        <v>613</v>
      </c>
      <c r="J357" s="79" t="str">
        <f>VLOOKUP(I357,MetaData!$E$2:$G$40,3,false)</f>
        <v>Tiara (XII)</v>
      </c>
      <c r="K357" s="80"/>
    </row>
    <row r="358" ht="15.75" customHeight="1">
      <c r="A358" s="85">
        <v>415.0</v>
      </c>
      <c r="B358" s="77">
        <v>17.0</v>
      </c>
      <c r="C358" s="77" t="s">
        <v>1138</v>
      </c>
      <c r="D358" s="77">
        <v>2.5261022E8</v>
      </c>
      <c r="E358" s="78" t="s">
        <v>624</v>
      </c>
      <c r="F358" s="77" t="s">
        <v>784</v>
      </c>
      <c r="G358" s="82" t="s">
        <v>63</v>
      </c>
      <c r="H358" s="82" t="str">
        <f>VLOOKUP(G358,MetaData!$A$2:$C$13,3,false)</f>
        <v>Dra. Nani Suryani, M.Pd</v>
      </c>
      <c r="I358" s="82" t="s">
        <v>613</v>
      </c>
      <c r="J358" s="82" t="str">
        <f>VLOOKUP(I358,MetaData!$E$2:$G$40,3,false)</f>
        <v>Tiara (XII)</v>
      </c>
      <c r="K358" s="83"/>
    </row>
    <row r="359" ht="15.75" customHeight="1">
      <c r="A359" s="84">
        <v>416.0</v>
      </c>
      <c r="B359" s="77">
        <v>18.0</v>
      </c>
      <c r="C359" s="77" t="s">
        <v>1139</v>
      </c>
      <c r="D359" s="77">
        <v>2.52610231E8</v>
      </c>
      <c r="E359" s="78" t="s">
        <v>243</v>
      </c>
      <c r="F359" s="77" t="s">
        <v>782</v>
      </c>
      <c r="G359" s="79" t="s">
        <v>63</v>
      </c>
      <c r="H359" s="79" t="str">
        <f>VLOOKUP(G359,MetaData!$A$2:$C$13,3,false)</f>
        <v>Dra. Nani Suryani, M.Pd</v>
      </c>
      <c r="I359" s="79" t="s">
        <v>239</v>
      </c>
      <c r="J359" s="79" t="str">
        <f>VLOOKUP(I359,MetaData!$E$2:$G$40,3,false)</f>
        <v>Veril (XII)</v>
      </c>
      <c r="K359" s="80"/>
    </row>
    <row r="360" ht="15.75" customHeight="1">
      <c r="A360" s="85">
        <v>417.0</v>
      </c>
      <c r="B360" s="77">
        <v>19.0</v>
      </c>
      <c r="C360" s="77" t="s">
        <v>1140</v>
      </c>
      <c r="D360" s="77">
        <v>2.52610232E8</v>
      </c>
      <c r="E360" s="78" t="s">
        <v>244</v>
      </c>
      <c r="F360" s="77" t="s">
        <v>782</v>
      </c>
      <c r="G360" s="82" t="s">
        <v>63</v>
      </c>
      <c r="H360" s="82" t="str">
        <f>VLOOKUP(G360,MetaData!$A$2:$C$13,3,false)</f>
        <v>Dra. Nani Suryani, M.Pd</v>
      </c>
      <c r="I360" s="82" t="s">
        <v>239</v>
      </c>
      <c r="J360" s="82" t="str">
        <f>VLOOKUP(I360,MetaData!$E$2:$G$40,3,false)</f>
        <v>Veril (XII)</v>
      </c>
      <c r="K360" s="83"/>
    </row>
    <row r="361" ht="15.75" customHeight="1">
      <c r="A361" s="84">
        <v>418.0</v>
      </c>
      <c r="B361" s="77">
        <v>20.0</v>
      </c>
      <c r="C361" s="77" t="s">
        <v>1141</v>
      </c>
      <c r="D361" s="77">
        <v>2.52610236E8</v>
      </c>
      <c r="E361" s="78" t="s">
        <v>625</v>
      </c>
      <c r="F361" s="77" t="s">
        <v>784</v>
      </c>
      <c r="G361" s="79" t="s">
        <v>63</v>
      </c>
      <c r="H361" s="79" t="str">
        <f>VLOOKUP(G361,MetaData!$A$2:$C$13,3,false)</f>
        <v>Dra. Nani Suryani, M.Pd</v>
      </c>
      <c r="I361" s="79" t="s">
        <v>613</v>
      </c>
      <c r="J361" s="79" t="str">
        <f>VLOOKUP(I361,MetaData!$E$2:$G$40,3,false)</f>
        <v>Tiara (XII)</v>
      </c>
      <c r="K361" s="80"/>
    </row>
    <row r="362" ht="15.75" customHeight="1">
      <c r="A362" s="85">
        <v>419.0</v>
      </c>
      <c r="B362" s="77">
        <v>21.0</v>
      </c>
      <c r="C362" s="77" t="s">
        <v>1142</v>
      </c>
      <c r="D362" s="77">
        <v>2.5261024E8</v>
      </c>
      <c r="E362" s="78" t="s">
        <v>245</v>
      </c>
      <c r="F362" s="77" t="s">
        <v>782</v>
      </c>
      <c r="G362" s="82" t="s">
        <v>63</v>
      </c>
      <c r="H362" s="82" t="str">
        <f>VLOOKUP(G362,MetaData!$A$2:$C$13,3,false)</f>
        <v>Dra. Nani Suryani, M.Pd</v>
      </c>
      <c r="I362" s="82" t="s">
        <v>239</v>
      </c>
      <c r="J362" s="82" t="str">
        <f>VLOOKUP(I362,MetaData!$E$2:$G$40,3,false)</f>
        <v>Veril (XII)</v>
      </c>
      <c r="K362" s="83"/>
    </row>
    <row r="363" ht="15.75" customHeight="1">
      <c r="A363" s="84">
        <v>420.0</v>
      </c>
      <c r="B363" s="77">
        <v>22.0</v>
      </c>
      <c r="C363" s="77" t="s">
        <v>1143</v>
      </c>
      <c r="D363" s="77">
        <v>2.52610248E8</v>
      </c>
      <c r="E363" s="78" t="s">
        <v>626</v>
      </c>
      <c r="F363" s="77" t="s">
        <v>784</v>
      </c>
      <c r="G363" s="79" t="s">
        <v>63</v>
      </c>
      <c r="H363" s="79" t="str">
        <f>VLOOKUP(G363,MetaData!$A$2:$C$13,3,false)</f>
        <v>Dra. Nani Suryani, M.Pd</v>
      </c>
      <c r="I363" s="79" t="s">
        <v>613</v>
      </c>
      <c r="J363" s="79" t="str">
        <f>VLOOKUP(I363,MetaData!$E$2:$G$40,3,false)</f>
        <v>Tiara (XII)</v>
      </c>
      <c r="K363" s="80"/>
    </row>
    <row r="364" ht="15.75" customHeight="1">
      <c r="A364" s="85">
        <v>421.0</v>
      </c>
      <c r="B364" s="77">
        <v>23.0</v>
      </c>
      <c r="C364" s="77" t="s">
        <v>1144</v>
      </c>
      <c r="D364" s="77">
        <v>2.52610256E8</v>
      </c>
      <c r="E364" s="78" t="s">
        <v>458</v>
      </c>
      <c r="F364" s="77" t="s">
        <v>784</v>
      </c>
      <c r="G364" s="82" t="s">
        <v>63</v>
      </c>
      <c r="H364" s="82" t="str">
        <f>VLOOKUP(G364,MetaData!$A$2:$C$13,3,false)</f>
        <v>Dra. Nani Suryani, M.Pd</v>
      </c>
      <c r="I364" s="82" t="s">
        <v>457</v>
      </c>
      <c r="J364" s="82" t="str">
        <f>VLOOKUP(I364,MetaData!$E$2:$G$40,3,false)</f>
        <v>Almira (XI)</v>
      </c>
      <c r="K364" s="83"/>
    </row>
    <row r="365" ht="15.75" customHeight="1">
      <c r="A365" s="84">
        <v>422.0</v>
      </c>
      <c r="B365" s="77">
        <v>24.0</v>
      </c>
      <c r="C365" s="77" t="s">
        <v>1145</v>
      </c>
      <c r="D365" s="77">
        <v>2.52610263E8</v>
      </c>
      <c r="E365" s="78" t="s">
        <v>459</v>
      </c>
      <c r="F365" s="77" t="s">
        <v>784</v>
      </c>
      <c r="G365" s="79" t="s">
        <v>63</v>
      </c>
      <c r="H365" s="79" t="str">
        <f>VLOOKUP(G365,MetaData!$A$2:$C$13,3,false)</f>
        <v>Dra. Nani Suryani, M.Pd</v>
      </c>
      <c r="I365" s="79" t="s">
        <v>457</v>
      </c>
      <c r="J365" s="79" t="str">
        <f>VLOOKUP(I365,MetaData!$E$2:$G$40,3,false)</f>
        <v>Almira (XI)</v>
      </c>
      <c r="K365" s="80"/>
    </row>
    <row r="366" ht="15.75" customHeight="1">
      <c r="A366" s="85">
        <v>423.0</v>
      </c>
      <c r="B366" s="77">
        <v>25.0</v>
      </c>
      <c r="C366" s="77" t="s">
        <v>1146</v>
      </c>
      <c r="D366" s="77">
        <v>2.52610297E8</v>
      </c>
      <c r="E366" s="78" t="s">
        <v>460</v>
      </c>
      <c r="F366" s="77" t="s">
        <v>784</v>
      </c>
      <c r="G366" s="82" t="s">
        <v>63</v>
      </c>
      <c r="H366" s="82" t="str">
        <f>VLOOKUP(G366,MetaData!$A$2:$C$13,3,false)</f>
        <v>Dra. Nani Suryani, M.Pd</v>
      </c>
      <c r="I366" s="82" t="s">
        <v>457</v>
      </c>
      <c r="J366" s="82" t="str">
        <f>VLOOKUP(I366,MetaData!$E$2:$G$40,3,false)</f>
        <v>Almira (XI)</v>
      </c>
      <c r="K366" s="83"/>
    </row>
    <row r="367" ht="15.75" customHeight="1">
      <c r="A367" s="84">
        <v>424.0</v>
      </c>
      <c r="B367" s="77">
        <v>26.0</v>
      </c>
      <c r="C367" s="77" t="s">
        <v>1147</v>
      </c>
      <c r="D367" s="77">
        <v>2.52610325E8</v>
      </c>
      <c r="E367" s="78" t="s">
        <v>246</v>
      </c>
      <c r="F367" s="77" t="s">
        <v>782</v>
      </c>
      <c r="G367" s="79" t="s">
        <v>63</v>
      </c>
      <c r="H367" s="79" t="str">
        <f>VLOOKUP(G367,MetaData!$A$2:$C$13,3,false)</f>
        <v>Dra. Nani Suryani, M.Pd</v>
      </c>
      <c r="I367" s="79" t="s">
        <v>239</v>
      </c>
      <c r="J367" s="79" t="str">
        <f>VLOOKUP(I367,MetaData!$E$2:$G$40,3,false)</f>
        <v>Veril (XII)</v>
      </c>
      <c r="K367" s="80"/>
    </row>
    <row r="368" ht="15.75" customHeight="1">
      <c r="A368" s="85">
        <v>425.0</v>
      </c>
      <c r="B368" s="77">
        <v>27.0</v>
      </c>
      <c r="C368" s="77" t="s">
        <v>1148</v>
      </c>
      <c r="D368" s="77">
        <v>2.52610337E8</v>
      </c>
      <c r="E368" s="78" t="s">
        <v>247</v>
      </c>
      <c r="F368" s="77" t="s">
        <v>782</v>
      </c>
      <c r="G368" s="82" t="s">
        <v>63</v>
      </c>
      <c r="H368" s="82" t="str">
        <f>VLOOKUP(G368,MetaData!$A$2:$C$13,3,false)</f>
        <v>Dra. Nani Suryani, M.Pd</v>
      </c>
      <c r="I368" s="82" t="s">
        <v>239</v>
      </c>
      <c r="J368" s="82" t="str">
        <f>VLOOKUP(I368,MetaData!$E$2:$G$40,3,false)</f>
        <v>Veril (XII)</v>
      </c>
      <c r="K368" s="83"/>
    </row>
    <row r="369" ht="15.75" customHeight="1">
      <c r="A369" s="84">
        <v>426.0</v>
      </c>
      <c r="B369" s="77">
        <v>28.0</v>
      </c>
      <c r="C369" s="77" t="s">
        <v>1149</v>
      </c>
      <c r="D369" s="77">
        <v>2.52610341E8</v>
      </c>
      <c r="E369" s="78" t="s">
        <v>248</v>
      </c>
      <c r="F369" s="77" t="s">
        <v>782</v>
      </c>
      <c r="G369" s="79" t="s">
        <v>63</v>
      </c>
      <c r="H369" s="79" t="str">
        <f>VLOOKUP(G369,MetaData!$A$2:$C$13,3,false)</f>
        <v>Dra. Nani Suryani, M.Pd</v>
      </c>
      <c r="I369" s="79" t="s">
        <v>239</v>
      </c>
      <c r="J369" s="79" t="str">
        <f>VLOOKUP(I369,MetaData!$E$2:$G$40,3,false)</f>
        <v>Veril (XII)</v>
      </c>
      <c r="K369" s="80"/>
    </row>
    <row r="370" ht="15.75" customHeight="1">
      <c r="A370" s="85">
        <v>427.0</v>
      </c>
      <c r="B370" s="77">
        <v>29.0</v>
      </c>
      <c r="C370" s="77" t="s">
        <v>1150</v>
      </c>
      <c r="D370" s="77">
        <v>2.52610344E8</v>
      </c>
      <c r="E370" s="78" t="s">
        <v>249</v>
      </c>
      <c r="F370" s="77" t="s">
        <v>782</v>
      </c>
      <c r="G370" s="82" t="s">
        <v>63</v>
      </c>
      <c r="H370" s="82" t="str">
        <f>VLOOKUP(G370,MetaData!$A$2:$C$13,3,false)</f>
        <v>Dra. Nani Suryani, M.Pd</v>
      </c>
      <c r="I370" s="82" t="s">
        <v>239</v>
      </c>
      <c r="J370" s="82" t="str">
        <f>VLOOKUP(I370,MetaData!$E$2:$G$40,3,false)</f>
        <v>Veril (XII)</v>
      </c>
      <c r="K370" s="83"/>
    </row>
    <row r="371" ht="15.75" customHeight="1">
      <c r="A371" s="84">
        <v>428.0</v>
      </c>
      <c r="B371" s="77">
        <v>30.0</v>
      </c>
      <c r="C371" s="77" t="s">
        <v>1151</v>
      </c>
      <c r="D371" s="77">
        <v>2.52610347E8</v>
      </c>
      <c r="E371" s="78" t="s">
        <v>250</v>
      </c>
      <c r="F371" s="77" t="s">
        <v>782</v>
      </c>
      <c r="G371" s="79" t="s">
        <v>63</v>
      </c>
      <c r="H371" s="79" t="str">
        <f>VLOOKUP(G371,MetaData!$A$2:$C$13,3,false)</f>
        <v>Dra. Nani Suryani, M.Pd</v>
      </c>
      <c r="I371" s="79" t="s">
        <v>239</v>
      </c>
      <c r="J371" s="79" t="str">
        <f>VLOOKUP(I371,MetaData!$E$2:$G$40,3,false)</f>
        <v>Veril (XII)</v>
      </c>
      <c r="K371" s="80"/>
    </row>
    <row r="372" ht="15.75" customHeight="1">
      <c r="A372" s="85">
        <v>429.0</v>
      </c>
      <c r="B372" s="77">
        <v>31.0</v>
      </c>
      <c r="C372" s="77" t="s">
        <v>1152</v>
      </c>
      <c r="D372" s="77">
        <v>2.52610358E8</v>
      </c>
      <c r="E372" s="78" t="s">
        <v>251</v>
      </c>
      <c r="F372" s="77" t="s">
        <v>782</v>
      </c>
      <c r="G372" s="82" t="s">
        <v>63</v>
      </c>
      <c r="H372" s="82" t="str">
        <f>VLOOKUP(G372,MetaData!$A$2:$C$13,3,false)</f>
        <v>Dra. Nani Suryani, M.Pd</v>
      </c>
      <c r="I372" s="82" t="s">
        <v>239</v>
      </c>
      <c r="J372" s="82" t="str">
        <f>VLOOKUP(I372,MetaData!$E$2:$G$40,3,false)</f>
        <v>Veril (XII)</v>
      </c>
      <c r="K372" s="83"/>
    </row>
    <row r="373" ht="15.75" customHeight="1">
      <c r="A373" s="84">
        <v>430.0</v>
      </c>
      <c r="B373" s="77">
        <v>32.0</v>
      </c>
      <c r="C373" s="77" t="s">
        <v>1153</v>
      </c>
      <c r="D373" s="77">
        <v>2.52610368E8</v>
      </c>
      <c r="E373" s="78" t="s">
        <v>252</v>
      </c>
      <c r="F373" s="77" t="s">
        <v>782</v>
      </c>
      <c r="G373" s="79" t="s">
        <v>63</v>
      </c>
      <c r="H373" s="79" t="str">
        <f>VLOOKUP(G373,MetaData!$A$2:$C$13,3,false)</f>
        <v>Dra. Nani Suryani, M.Pd</v>
      </c>
      <c r="I373" s="79" t="s">
        <v>239</v>
      </c>
      <c r="J373" s="79" t="str">
        <f>VLOOKUP(I373,MetaData!$E$2:$G$40,3,false)</f>
        <v>Veril (XII)</v>
      </c>
      <c r="K373" s="80"/>
    </row>
    <row r="374" ht="15.75" customHeight="1">
      <c r="A374" s="85">
        <v>431.0</v>
      </c>
      <c r="B374" s="77">
        <v>33.0</v>
      </c>
      <c r="C374" s="77" t="s">
        <v>1154</v>
      </c>
      <c r="D374" s="77">
        <v>2.52610372E8</v>
      </c>
      <c r="E374" s="78" t="s">
        <v>253</v>
      </c>
      <c r="F374" s="77" t="s">
        <v>782</v>
      </c>
      <c r="G374" s="82" t="s">
        <v>63</v>
      </c>
      <c r="H374" s="82" t="str">
        <f>VLOOKUP(G374,MetaData!$A$2:$C$13,3,false)</f>
        <v>Dra. Nani Suryani, M.Pd</v>
      </c>
      <c r="I374" s="82" t="s">
        <v>239</v>
      </c>
      <c r="J374" s="82" t="str">
        <f>VLOOKUP(I374,MetaData!$E$2:$G$40,3,false)</f>
        <v>Veril (XII)</v>
      </c>
      <c r="K374" s="83"/>
    </row>
    <row r="375" ht="15.75" customHeight="1">
      <c r="A375" s="84">
        <v>432.0</v>
      </c>
      <c r="B375" s="77">
        <v>34.0</v>
      </c>
      <c r="C375" s="77" t="s">
        <v>1155</v>
      </c>
      <c r="D375" s="77">
        <v>2.52610397E8</v>
      </c>
      <c r="E375" s="78" t="s">
        <v>254</v>
      </c>
      <c r="F375" s="77" t="s">
        <v>782</v>
      </c>
      <c r="G375" s="79" t="s">
        <v>63</v>
      </c>
      <c r="H375" s="79" t="str">
        <f>VLOOKUP(G375,MetaData!$A$2:$C$13,3,false)</f>
        <v>Dra. Nani Suryani, M.Pd</v>
      </c>
      <c r="I375" s="79" t="s">
        <v>239</v>
      </c>
      <c r="J375" s="79" t="str">
        <f>VLOOKUP(I375,MetaData!$E$2:$G$40,3,false)</f>
        <v>Veril (XII)</v>
      </c>
      <c r="K375" s="80"/>
    </row>
    <row r="376" ht="15.75" customHeight="1">
      <c r="A376" s="85">
        <v>433.0</v>
      </c>
      <c r="B376" s="77">
        <v>35.0</v>
      </c>
      <c r="C376" s="77" t="s">
        <v>1156</v>
      </c>
      <c r="D376" s="77">
        <v>2.52610398E8</v>
      </c>
      <c r="E376" s="78" t="s">
        <v>461</v>
      </c>
      <c r="F376" s="77" t="s">
        <v>784</v>
      </c>
      <c r="G376" s="82" t="s">
        <v>63</v>
      </c>
      <c r="H376" s="82" t="str">
        <f>VLOOKUP(G376,MetaData!$A$2:$C$13,3,false)</f>
        <v>Dra. Nani Suryani, M.Pd</v>
      </c>
      <c r="I376" s="82" t="s">
        <v>457</v>
      </c>
      <c r="J376" s="82" t="str">
        <f>VLOOKUP(I376,MetaData!$E$2:$G$40,3,false)</f>
        <v>Almira (XI)</v>
      </c>
      <c r="K376" s="83"/>
    </row>
    <row r="377" ht="15.75" customHeight="1">
      <c r="A377" s="84">
        <v>434.0</v>
      </c>
      <c r="B377" s="77">
        <v>36.0</v>
      </c>
      <c r="C377" s="77" t="s">
        <v>1157</v>
      </c>
      <c r="D377" s="77">
        <v>2.52610425E8</v>
      </c>
      <c r="E377" s="78" t="s">
        <v>462</v>
      </c>
      <c r="F377" s="77" t="s">
        <v>784</v>
      </c>
      <c r="G377" s="79" t="s">
        <v>63</v>
      </c>
      <c r="H377" s="79" t="str">
        <f>VLOOKUP(G377,MetaData!$A$2:$C$13,3,false)</f>
        <v>Dra. Nani Suryani, M.Pd</v>
      </c>
      <c r="I377" s="79" t="s">
        <v>457</v>
      </c>
      <c r="J377" s="79" t="str">
        <f>VLOOKUP(I377,MetaData!$E$2:$G$40,3,false)</f>
        <v>Almira (XI)</v>
      </c>
      <c r="K377" s="80"/>
    </row>
    <row r="378" ht="15.75" customHeight="1">
      <c r="A378" s="85">
        <v>435.0</v>
      </c>
      <c r="B378" s="77">
        <v>37.0</v>
      </c>
      <c r="C378" s="77" t="s">
        <v>1158</v>
      </c>
      <c r="D378" s="77">
        <v>2.52610441E8</v>
      </c>
      <c r="E378" s="78" t="s">
        <v>463</v>
      </c>
      <c r="F378" s="77" t="s">
        <v>784</v>
      </c>
      <c r="G378" s="82" t="s">
        <v>63</v>
      </c>
      <c r="H378" s="82" t="str">
        <f>VLOOKUP(G378,MetaData!$A$2:$C$13,3,false)</f>
        <v>Dra. Nani Suryani, M.Pd</v>
      </c>
      <c r="I378" s="82" t="s">
        <v>457</v>
      </c>
      <c r="J378" s="82" t="str">
        <f>VLOOKUP(I378,MetaData!$E$2:$G$40,3,false)</f>
        <v>Almira (XI)</v>
      </c>
      <c r="K378" s="83"/>
    </row>
    <row r="379" ht="15.75" customHeight="1">
      <c r="A379" s="84">
        <v>436.0</v>
      </c>
      <c r="B379" s="77">
        <v>38.0</v>
      </c>
      <c r="C379" s="77" t="s">
        <v>1159</v>
      </c>
      <c r="D379" s="77">
        <v>2.52610457E8</v>
      </c>
      <c r="E379" s="78" t="s">
        <v>464</v>
      </c>
      <c r="F379" s="77" t="s">
        <v>784</v>
      </c>
      <c r="G379" s="79" t="s">
        <v>63</v>
      </c>
      <c r="H379" s="79" t="str">
        <f>VLOOKUP(G379,MetaData!$A$2:$C$13,3,false)</f>
        <v>Dra. Nani Suryani, M.Pd</v>
      </c>
      <c r="I379" s="79" t="s">
        <v>457</v>
      </c>
      <c r="J379" s="79" t="str">
        <f>VLOOKUP(I379,MetaData!$E$2:$G$40,3,false)</f>
        <v>Almira (XI)</v>
      </c>
      <c r="K379" s="80"/>
    </row>
    <row r="380" ht="15.75" customHeight="1">
      <c r="A380" s="85">
        <v>437.0</v>
      </c>
      <c r="B380" s="77">
        <v>39.0</v>
      </c>
      <c r="C380" s="77" t="s">
        <v>1160</v>
      </c>
      <c r="D380" s="77">
        <v>2.5261046E8</v>
      </c>
      <c r="E380" s="78" t="s">
        <v>255</v>
      </c>
      <c r="F380" s="77" t="s">
        <v>782</v>
      </c>
      <c r="G380" s="82" t="s">
        <v>63</v>
      </c>
      <c r="H380" s="82" t="str">
        <f>VLOOKUP(G380,MetaData!$A$2:$C$13,3,false)</f>
        <v>Dra. Nani Suryani, M.Pd</v>
      </c>
      <c r="I380" s="82" t="s">
        <v>239</v>
      </c>
      <c r="J380" s="82" t="str">
        <f>VLOOKUP(I380,MetaData!$E$2:$G$40,3,false)</f>
        <v>Veril (XII)</v>
      </c>
      <c r="K380" s="83"/>
    </row>
    <row r="381" ht="15.75" customHeight="1">
      <c r="A381" s="84">
        <v>438.0</v>
      </c>
      <c r="B381" s="77">
        <v>40.0</v>
      </c>
      <c r="C381" s="77" t="s">
        <v>1161</v>
      </c>
      <c r="D381" s="77">
        <v>2.52610465E8</v>
      </c>
      <c r="E381" s="78" t="s">
        <v>465</v>
      </c>
      <c r="F381" s="77" t="s">
        <v>784</v>
      </c>
      <c r="G381" s="79" t="s">
        <v>63</v>
      </c>
      <c r="H381" s="79" t="str">
        <f>VLOOKUP(G381,MetaData!$A$2:$C$13,3,false)</f>
        <v>Dra. Nani Suryani, M.Pd</v>
      </c>
      <c r="I381" s="79" t="s">
        <v>457</v>
      </c>
      <c r="J381" s="79" t="str">
        <f>VLOOKUP(I381,MetaData!$E$2:$G$40,3,false)</f>
        <v>Almira (XI)</v>
      </c>
      <c r="K381" s="80"/>
    </row>
    <row r="382" ht="15.75" customHeight="1">
      <c r="A382" s="85">
        <v>439.0</v>
      </c>
      <c r="B382" s="77">
        <v>41.0</v>
      </c>
      <c r="C382" s="77" t="s">
        <v>1162</v>
      </c>
      <c r="D382" s="77">
        <v>2.52610473E8</v>
      </c>
      <c r="E382" s="78" t="s">
        <v>441</v>
      </c>
      <c r="F382" s="77" t="s">
        <v>784</v>
      </c>
      <c r="G382" s="82" t="s">
        <v>63</v>
      </c>
      <c r="H382" s="82" t="str">
        <f>VLOOKUP(G382,MetaData!$A$2:$C$13,3,false)</f>
        <v>Dra. Nani Suryani, M.Pd</v>
      </c>
      <c r="I382" s="82" t="s">
        <v>428</v>
      </c>
      <c r="J382" s="82" t="str">
        <f>VLOOKUP(I382,MetaData!$E$2:$G$40,3,false)</f>
        <v>Iga</v>
      </c>
      <c r="K382" s="83"/>
    </row>
    <row r="383" ht="15.75" customHeight="1">
      <c r="A383" s="84">
        <v>440.0</v>
      </c>
      <c r="B383" s="77">
        <v>42.0</v>
      </c>
      <c r="C383" s="77" t="s">
        <v>1163</v>
      </c>
      <c r="D383" s="77">
        <v>2.52610487E8</v>
      </c>
      <c r="E383" s="78" t="s">
        <v>256</v>
      </c>
      <c r="F383" s="77" t="s">
        <v>782</v>
      </c>
      <c r="G383" s="79" t="s">
        <v>63</v>
      </c>
      <c r="H383" s="79" t="str">
        <f>VLOOKUP(G383,MetaData!$A$2:$C$13,3,false)</f>
        <v>Dra. Nani Suryani, M.Pd</v>
      </c>
      <c r="I383" s="79" t="s">
        <v>239</v>
      </c>
      <c r="J383" s="79" t="str">
        <f>VLOOKUP(I383,MetaData!$E$2:$G$40,3,false)</f>
        <v>Veril (XII)</v>
      </c>
      <c r="K383" s="80"/>
    </row>
    <row r="384" ht="15.75" customHeight="1">
      <c r="A384" s="85">
        <v>441.0</v>
      </c>
      <c r="B384" s="77">
        <v>43.0</v>
      </c>
      <c r="C384" s="77" t="s">
        <v>1164</v>
      </c>
      <c r="D384" s="77">
        <v>2.52610511E8</v>
      </c>
      <c r="E384" s="78" t="s">
        <v>466</v>
      </c>
      <c r="F384" s="77" t="s">
        <v>784</v>
      </c>
      <c r="G384" s="82" t="s">
        <v>63</v>
      </c>
      <c r="H384" s="82" t="str">
        <f>VLOOKUP(G384,MetaData!$A$2:$C$13,3,false)</f>
        <v>Dra. Nani Suryani, M.Pd</v>
      </c>
      <c r="I384" s="82" t="s">
        <v>457</v>
      </c>
      <c r="J384" s="82" t="str">
        <f>VLOOKUP(I384,MetaData!$E$2:$G$40,3,false)</f>
        <v>Almira (XI)</v>
      </c>
      <c r="K384" s="83"/>
    </row>
    <row r="385" ht="15.75" customHeight="1">
      <c r="A385" s="84">
        <v>442.0</v>
      </c>
      <c r="B385" s="77">
        <v>44.0</v>
      </c>
      <c r="C385" s="77" t="s">
        <v>1165</v>
      </c>
      <c r="D385" s="77">
        <v>2.5261053E8</v>
      </c>
      <c r="E385" s="78" t="s">
        <v>467</v>
      </c>
      <c r="F385" s="77" t="s">
        <v>784</v>
      </c>
      <c r="G385" s="79" t="s">
        <v>63</v>
      </c>
      <c r="H385" s="79" t="str">
        <f>VLOOKUP(G385,MetaData!$A$2:$C$13,3,false)</f>
        <v>Dra. Nani Suryani, M.Pd</v>
      </c>
      <c r="I385" s="79" t="s">
        <v>457</v>
      </c>
      <c r="J385" s="79" t="str">
        <f>VLOOKUP(I385,MetaData!$E$2:$G$40,3,false)</f>
        <v>Almira (XI)</v>
      </c>
      <c r="K385" s="80"/>
    </row>
    <row r="386" ht="15.75" customHeight="1">
      <c r="A386" s="85">
        <v>443.0</v>
      </c>
      <c r="B386" s="77">
        <v>45.0</v>
      </c>
      <c r="C386" s="77" t="s">
        <v>1166</v>
      </c>
      <c r="D386" s="77">
        <v>2.52610537E8</v>
      </c>
      <c r="E386" s="78" t="s">
        <v>468</v>
      </c>
      <c r="F386" s="77" t="s">
        <v>784</v>
      </c>
      <c r="G386" s="82" t="s">
        <v>63</v>
      </c>
      <c r="H386" s="82" t="str">
        <f>VLOOKUP(G386,MetaData!$A$2:$C$13,3,false)</f>
        <v>Dra. Nani Suryani, M.Pd</v>
      </c>
      <c r="I386" s="82" t="s">
        <v>457</v>
      </c>
      <c r="J386" s="82" t="str">
        <f>VLOOKUP(I386,MetaData!$E$2:$G$40,3,false)</f>
        <v>Almira (XI)</v>
      </c>
      <c r="K386" s="83"/>
    </row>
    <row r="387" ht="15.75" customHeight="1">
      <c r="A387" s="84">
        <v>444.0</v>
      </c>
      <c r="B387" s="77">
        <v>46.0</v>
      </c>
      <c r="C387" s="77" t="s">
        <v>1167</v>
      </c>
      <c r="D387" s="77">
        <v>2.52610542E8</v>
      </c>
      <c r="E387" s="78" t="s">
        <v>469</v>
      </c>
      <c r="F387" s="77" t="s">
        <v>784</v>
      </c>
      <c r="G387" s="79" t="s">
        <v>63</v>
      </c>
      <c r="H387" s="79" t="str">
        <f>VLOOKUP(G387,MetaData!$A$2:$C$13,3,false)</f>
        <v>Dra. Nani Suryani, M.Pd</v>
      </c>
      <c r="I387" s="79" t="s">
        <v>457</v>
      </c>
      <c r="J387" s="79" t="str">
        <f>VLOOKUP(I387,MetaData!$E$2:$G$40,3,false)</f>
        <v>Almira (XI)</v>
      </c>
      <c r="K387" s="80"/>
    </row>
    <row r="388" ht="15.75" customHeight="1">
      <c r="A388" s="81">
        <v>452.0</v>
      </c>
      <c r="B388" s="77">
        <v>1.0</v>
      </c>
      <c r="C388" s="77" t="s">
        <v>1168</v>
      </c>
      <c r="D388" s="77">
        <v>2.52610001E8</v>
      </c>
      <c r="E388" s="78" t="s">
        <v>221</v>
      </c>
      <c r="F388" s="77" t="s">
        <v>782</v>
      </c>
      <c r="G388" s="82" t="s">
        <v>69</v>
      </c>
      <c r="H388" s="82" t="str">
        <f>VLOOKUP(G388,MetaData!$A$2:$C$13,3,false)</f>
        <v>Eva Fauziah, S.Pd</v>
      </c>
      <c r="I388" s="82" t="s">
        <v>220</v>
      </c>
      <c r="J388" s="82" t="str">
        <f>VLOOKUP(I388,MetaData!$E$2:$G$40,3,false)</f>
        <v>Rekhsa</v>
      </c>
      <c r="K388" s="83"/>
    </row>
    <row r="389" ht="15.75" customHeight="1">
      <c r="A389" s="76">
        <v>453.0</v>
      </c>
      <c r="B389" s="77">
        <v>2.0</v>
      </c>
      <c r="C389" s="77" t="s">
        <v>1169</v>
      </c>
      <c r="D389" s="77">
        <v>2.52610012E8</v>
      </c>
      <c r="E389" s="78" t="s">
        <v>396</v>
      </c>
      <c r="F389" s="77" t="s">
        <v>782</v>
      </c>
      <c r="G389" s="79" t="s">
        <v>69</v>
      </c>
      <c r="H389" s="79" t="str">
        <f>VLOOKUP(G389,MetaData!$A$2:$C$13,3,false)</f>
        <v>Eva Fauziah, S.Pd</v>
      </c>
      <c r="I389" s="79" t="s">
        <v>395</v>
      </c>
      <c r="J389" s="79" t="str">
        <f>VLOOKUP(I389,MetaData!$E$2:$G$40,3,false)</f>
        <v>Irghi (XII)</v>
      </c>
      <c r="K389" s="80"/>
    </row>
    <row r="390" ht="15.75" customHeight="1">
      <c r="A390" s="81">
        <v>454.0</v>
      </c>
      <c r="B390" s="77">
        <v>3.0</v>
      </c>
      <c r="C390" s="77" t="s">
        <v>1170</v>
      </c>
      <c r="D390" s="77">
        <v>2.52610014E8</v>
      </c>
      <c r="E390" s="78" t="s">
        <v>429</v>
      </c>
      <c r="F390" s="77" t="s">
        <v>784</v>
      </c>
      <c r="G390" s="82" t="s">
        <v>69</v>
      </c>
      <c r="H390" s="82" t="str">
        <f>VLOOKUP(G390,MetaData!$A$2:$C$13,3,false)</f>
        <v>Eva Fauziah, S.Pd</v>
      </c>
      <c r="I390" s="82" t="s">
        <v>428</v>
      </c>
      <c r="J390" s="82" t="str">
        <f>VLOOKUP(I390,MetaData!$E$2:$G$40,3,false)</f>
        <v>Iga</v>
      </c>
      <c r="K390" s="83"/>
    </row>
    <row r="391" ht="15.75" customHeight="1">
      <c r="A391" s="76">
        <v>455.0</v>
      </c>
      <c r="B391" s="77">
        <v>4.0</v>
      </c>
      <c r="C391" s="77" t="s">
        <v>1171</v>
      </c>
      <c r="D391" s="77">
        <v>2.5261002E8</v>
      </c>
      <c r="E391" s="78" t="s">
        <v>397</v>
      </c>
      <c r="F391" s="77" t="s">
        <v>782</v>
      </c>
      <c r="G391" s="79" t="s">
        <v>69</v>
      </c>
      <c r="H391" s="79" t="str">
        <f>VLOOKUP(G391,MetaData!$A$2:$C$13,3,false)</f>
        <v>Eva Fauziah, S.Pd</v>
      </c>
      <c r="I391" s="79" t="s">
        <v>395</v>
      </c>
      <c r="J391" s="79" t="str">
        <f>VLOOKUP(I391,MetaData!$E$2:$G$40,3,false)</f>
        <v>Irghi (XII)</v>
      </c>
      <c r="K391" s="80"/>
    </row>
    <row r="392" ht="15.75" customHeight="1">
      <c r="A392" s="81">
        <v>456.0</v>
      </c>
      <c r="B392" s="77">
        <v>5.0</v>
      </c>
      <c r="C392" s="77" t="s">
        <v>1172</v>
      </c>
      <c r="D392" s="77">
        <v>2.52610032E8</v>
      </c>
      <c r="E392" s="78" t="s">
        <v>398</v>
      </c>
      <c r="F392" s="77" t="s">
        <v>782</v>
      </c>
      <c r="G392" s="82" t="s">
        <v>69</v>
      </c>
      <c r="H392" s="82" t="str">
        <f>VLOOKUP(G392,MetaData!$A$2:$C$13,3,false)</f>
        <v>Eva Fauziah, S.Pd</v>
      </c>
      <c r="I392" s="82" t="s">
        <v>395</v>
      </c>
      <c r="J392" s="82" t="str">
        <f>VLOOKUP(I392,MetaData!$E$2:$G$40,3,false)</f>
        <v>Irghi (XII)</v>
      </c>
      <c r="K392" s="83"/>
    </row>
    <row r="393" ht="15.75" customHeight="1">
      <c r="A393" s="76">
        <v>457.0</v>
      </c>
      <c r="B393" s="77">
        <v>6.0</v>
      </c>
      <c r="C393" s="77" t="s">
        <v>1173</v>
      </c>
      <c r="D393" s="77">
        <v>2.52610037E8</v>
      </c>
      <c r="E393" s="78" t="s">
        <v>750</v>
      </c>
      <c r="F393" s="77" t="s">
        <v>784</v>
      </c>
      <c r="G393" s="79" t="s">
        <v>69</v>
      </c>
      <c r="H393" s="79" t="str">
        <f>VLOOKUP(G393,MetaData!$A$2:$C$13,3,false)</f>
        <v>Eva Fauziah, S.Pd</v>
      </c>
      <c r="I393" s="79" t="s">
        <v>749</v>
      </c>
      <c r="J393" s="79" t="str">
        <f>VLOOKUP(I393,MetaData!$E$2:$G$40,3,false)</f>
        <v>Citra</v>
      </c>
      <c r="K393" s="80"/>
    </row>
    <row r="394" ht="15.75" customHeight="1">
      <c r="A394" s="81">
        <v>458.0</v>
      </c>
      <c r="B394" s="77">
        <v>7.0</v>
      </c>
      <c r="C394" s="77" t="s">
        <v>1174</v>
      </c>
      <c r="D394" s="77">
        <v>2.52610054E8</v>
      </c>
      <c r="E394" s="78" t="s">
        <v>751</v>
      </c>
      <c r="F394" s="77" t="s">
        <v>784</v>
      </c>
      <c r="G394" s="82" t="s">
        <v>69</v>
      </c>
      <c r="H394" s="82" t="str">
        <f>VLOOKUP(G394,MetaData!$A$2:$C$13,3,false)</f>
        <v>Eva Fauziah, S.Pd</v>
      </c>
      <c r="I394" s="82" t="s">
        <v>749</v>
      </c>
      <c r="J394" s="82" t="str">
        <f>VLOOKUP(I394,MetaData!$E$2:$G$40,3,false)</f>
        <v>Citra</v>
      </c>
      <c r="K394" s="83"/>
    </row>
    <row r="395" ht="15.75" customHeight="1">
      <c r="A395" s="76">
        <v>459.0</v>
      </c>
      <c r="B395" s="77">
        <v>8.0</v>
      </c>
      <c r="C395" s="77" t="s">
        <v>1175</v>
      </c>
      <c r="D395" s="77">
        <v>2.52610059E8</v>
      </c>
      <c r="E395" s="78" t="s">
        <v>399</v>
      </c>
      <c r="F395" s="77" t="s">
        <v>782</v>
      </c>
      <c r="G395" s="79" t="s">
        <v>69</v>
      </c>
      <c r="H395" s="79" t="str">
        <f>VLOOKUP(G395,MetaData!$A$2:$C$13,3,false)</f>
        <v>Eva Fauziah, S.Pd</v>
      </c>
      <c r="I395" s="79" t="s">
        <v>395</v>
      </c>
      <c r="J395" s="79" t="str">
        <f>VLOOKUP(I395,MetaData!$E$2:$G$40,3,false)</f>
        <v>Irghi (XII)</v>
      </c>
      <c r="K395" s="80"/>
    </row>
    <row r="396" ht="15.75" customHeight="1">
      <c r="A396" s="81">
        <v>460.0</v>
      </c>
      <c r="B396" s="77">
        <v>9.0</v>
      </c>
      <c r="C396" s="77" t="s">
        <v>1176</v>
      </c>
      <c r="D396" s="77">
        <v>2.52610089E8</v>
      </c>
      <c r="E396" s="78" t="s">
        <v>752</v>
      </c>
      <c r="F396" s="77" t="s">
        <v>784</v>
      </c>
      <c r="G396" s="82" t="s">
        <v>69</v>
      </c>
      <c r="H396" s="82" t="str">
        <f>VLOOKUP(G396,MetaData!$A$2:$C$13,3,false)</f>
        <v>Eva Fauziah, S.Pd</v>
      </c>
      <c r="I396" s="82" t="s">
        <v>749</v>
      </c>
      <c r="J396" s="82" t="str">
        <f>VLOOKUP(I396,MetaData!$E$2:$G$40,3,false)</f>
        <v>Citra</v>
      </c>
      <c r="K396" s="83"/>
    </row>
    <row r="397" ht="15.75" customHeight="1">
      <c r="A397" s="76">
        <v>461.0</v>
      </c>
      <c r="B397" s="77">
        <v>10.0</v>
      </c>
      <c r="C397" s="77" t="s">
        <v>1177</v>
      </c>
      <c r="D397" s="77">
        <v>2.52610091E8</v>
      </c>
      <c r="E397" s="78" t="s">
        <v>753</v>
      </c>
      <c r="F397" s="77" t="s">
        <v>784</v>
      </c>
      <c r="G397" s="79" t="s">
        <v>69</v>
      </c>
      <c r="H397" s="79" t="str">
        <f>VLOOKUP(G397,MetaData!$A$2:$C$13,3,false)</f>
        <v>Eva Fauziah, S.Pd</v>
      </c>
      <c r="I397" s="79" t="s">
        <v>749</v>
      </c>
      <c r="J397" s="79" t="str">
        <f>VLOOKUP(I397,MetaData!$E$2:$G$40,3,false)</f>
        <v>Citra</v>
      </c>
      <c r="K397" s="80"/>
    </row>
    <row r="398" ht="15.75" customHeight="1">
      <c r="A398" s="81">
        <v>462.0</v>
      </c>
      <c r="B398" s="77">
        <v>11.0</v>
      </c>
      <c r="C398" s="77" t="s">
        <v>1178</v>
      </c>
      <c r="D398" s="77">
        <v>2.52610099E8</v>
      </c>
      <c r="E398" s="78" t="s">
        <v>754</v>
      </c>
      <c r="F398" s="77" t="s">
        <v>784</v>
      </c>
      <c r="G398" s="82" t="s">
        <v>69</v>
      </c>
      <c r="H398" s="82" t="str">
        <f>VLOOKUP(G398,MetaData!$A$2:$C$13,3,false)</f>
        <v>Eva Fauziah, S.Pd</v>
      </c>
      <c r="I398" s="82" t="s">
        <v>749</v>
      </c>
      <c r="J398" s="82" t="str">
        <f>VLOOKUP(I398,MetaData!$E$2:$G$40,3,false)</f>
        <v>Citra</v>
      </c>
      <c r="K398" s="83"/>
    </row>
    <row r="399" ht="15.75" customHeight="1">
      <c r="A399" s="76">
        <v>463.0</v>
      </c>
      <c r="B399" s="77">
        <v>12.0</v>
      </c>
      <c r="C399" s="77" t="s">
        <v>1179</v>
      </c>
      <c r="D399" s="77">
        <v>2.52610103E8</v>
      </c>
      <c r="E399" s="78" t="s">
        <v>755</v>
      </c>
      <c r="F399" s="77" t="s">
        <v>784</v>
      </c>
      <c r="G399" s="79" t="s">
        <v>69</v>
      </c>
      <c r="H399" s="79" t="str">
        <f>VLOOKUP(G399,MetaData!$A$2:$C$13,3,false)</f>
        <v>Eva Fauziah, S.Pd</v>
      </c>
      <c r="I399" s="79" t="s">
        <v>749</v>
      </c>
      <c r="J399" s="79" t="str">
        <f>VLOOKUP(I399,MetaData!$E$2:$G$40,3,false)</f>
        <v>Citra</v>
      </c>
      <c r="K399" s="80"/>
    </row>
    <row r="400" ht="15.75" customHeight="1">
      <c r="A400" s="81">
        <v>464.0</v>
      </c>
      <c r="B400" s="77">
        <v>13.0</v>
      </c>
      <c r="C400" s="77" t="s">
        <v>1180</v>
      </c>
      <c r="D400" s="77">
        <v>2.52610119E8</v>
      </c>
      <c r="E400" s="78" t="s">
        <v>756</v>
      </c>
      <c r="F400" s="77" t="s">
        <v>784</v>
      </c>
      <c r="G400" s="82" t="s">
        <v>69</v>
      </c>
      <c r="H400" s="82" t="str">
        <f>VLOOKUP(G400,MetaData!$A$2:$C$13,3,false)</f>
        <v>Eva Fauziah, S.Pd</v>
      </c>
      <c r="I400" s="82" t="s">
        <v>749</v>
      </c>
      <c r="J400" s="82" t="str">
        <f>VLOOKUP(I400,MetaData!$E$2:$G$40,3,false)</f>
        <v>Citra</v>
      </c>
      <c r="K400" s="83"/>
    </row>
    <row r="401" ht="15.75" customHeight="1">
      <c r="A401" s="76">
        <v>465.0</v>
      </c>
      <c r="B401" s="77">
        <v>14.0</v>
      </c>
      <c r="C401" s="77" t="s">
        <v>1181</v>
      </c>
      <c r="D401" s="77">
        <v>2.52610128E8</v>
      </c>
      <c r="E401" s="78" t="s">
        <v>400</v>
      </c>
      <c r="F401" s="77" t="s">
        <v>782</v>
      </c>
      <c r="G401" s="79" t="s">
        <v>69</v>
      </c>
      <c r="H401" s="79" t="str">
        <f>VLOOKUP(G401,MetaData!$A$2:$C$13,3,false)</f>
        <v>Eva Fauziah, S.Pd</v>
      </c>
      <c r="I401" s="79" t="s">
        <v>395</v>
      </c>
      <c r="J401" s="79" t="str">
        <f>VLOOKUP(I401,MetaData!$E$2:$G$40,3,false)</f>
        <v>Irghi (XII)</v>
      </c>
      <c r="K401" s="80"/>
    </row>
    <row r="402" ht="15.75" customHeight="1">
      <c r="A402" s="81">
        <v>466.0</v>
      </c>
      <c r="B402" s="77">
        <v>16.0</v>
      </c>
      <c r="C402" s="77" t="s">
        <v>1182</v>
      </c>
      <c r="D402" s="77">
        <v>2.52610165E8</v>
      </c>
      <c r="E402" s="78" t="s">
        <v>449</v>
      </c>
      <c r="F402" s="77" t="s">
        <v>784</v>
      </c>
      <c r="G402" s="82" t="s">
        <v>69</v>
      </c>
      <c r="H402" s="82" t="str">
        <f>VLOOKUP(G402,MetaData!$A$2:$C$13,3,false)</f>
        <v>Eva Fauziah, S.Pd</v>
      </c>
      <c r="I402" s="82" t="s">
        <v>443</v>
      </c>
      <c r="J402" s="82" t="str">
        <f>VLOOKUP(I402,MetaData!$E$2:$G$40,3,false)</f>
        <v>Ayun</v>
      </c>
      <c r="K402" s="83"/>
    </row>
    <row r="403" ht="15.75" customHeight="1">
      <c r="A403" s="76">
        <v>467.0</v>
      </c>
      <c r="B403" s="77">
        <v>17.0</v>
      </c>
      <c r="C403" s="77" t="s">
        <v>1183</v>
      </c>
      <c r="D403" s="77">
        <v>2.52610168E8</v>
      </c>
      <c r="E403" s="78" t="s">
        <v>757</v>
      </c>
      <c r="F403" s="77" t="s">
        <v>784</v>
      </c>
      <c r="G403" s="79" t="s">
        <v>69</v>
      </c>
      <c r="H403" s="79" t="str">
        <f>VLOOKUP(G403,MetaData!$A$2:$C$13,3,false)</f>
        <v>Eva Fauziah, S.Pd</v>
      </c>
      <c r="I403" s="79" t="s">
        <v>749</v>
      </c>
      <c r="J403" s="79" t="str">
        <f>VLOOKUP(I403,MetaData!$E$2:$G$40,3,false)</f>
        <v>Citra</v>
      </c>
      <c r="K403" s="80"/>
    </row>
    <row r="404" ht="15.75" customHeight="1">
      <c r="A404" s="81">
        <v>468.0</v>
      </c>
      <c r="B404" s="77">
        <v>18.0</v>
      </c>
      <c r="C404" s="77" t="s">
        <v>1184</v>
      </c>
      <c r="D404" s="77">
        <v>2.52610169E8</v>
      </c>
      <c r="E404" s="78" t="s">
        <v>401</v>
      </c>
      <c r="F404" s="77" t="s">
        <v>782</v>
      </c>
      <c r="G404" s="82" t="s">
        <v>69</v>
      </c>
      <c r="H404" s="82" t="str">
        <f>VLOOKUP(G404,MetaData!$A$2:$C$13,3,false)</f>
        <v>Eva Fauziah, S.Pd</v>
      </c>
      <c r="I404" s="82" t="s">
        <v>395</v>
      </c>
      <c r="J404" s="82" t="str">
        <f>VLOOKUP(I404,MetaData!$E$2:$G$40,3,false)</f>
        <v>Irghi (XII)</v>
      </c>
      <c r="K404" s="83"/>
    </row>
    <row r="405" ht="15.75" customHeight="1">
      <c r="A405" s="76">
        <v>469.0</v>
      </c>
      <c r="B405" s="77">
        <v>19.0</v>
      </c>
      <c r="C405" s="77" t="s">
        <v>1185</v>
      </c>
      <c r="D405" s="77">
        <v>2.52610222E8</v>
      </c>
      <c r="E405" s="78" t="s">
        <v>758</v>
      </c>
      <c r="F405" s="77" t="s">
        <v>784</v>
      </c>
      <c r="G405" s="79" t="s">
        <v>69</v>
      </c>
      <c r="H405" s="79" t="str">
        <f>VLOOKUP(G405,MetaData!$A$2:$C$13,3,false)</f>
        <v>Eva Fauziah, S.Pd</v>
      </c>
      <c r="I405" s="79" t="s">
        <v>749</v>
      </c>
      <c r="J405" s="79" t="str">
        <f>VLOOKUP(I405,MetaData!$E$2:$G$40,3,false)</f>
        <v>Citra</v>
      </c>
      <c r="K405" s="80"/>
    </row>
    <row r="406" ht="15.75" customHeight="1">
      <c r="A406" s="81">
        <v>470.0</v>
      </c>
      <c r="B406" s="77">
        <v>20.0</v>
      </c>
      <c r="C406" s="77" t="s">
        <v>1186</v>
      </c>
      <c r="D406" s="77">
        <v>2.52610226E8</v>
      </c>
      <c r="E406" s="78" t="s">
        <v>759</v>
      </c>
      <c r="F406" s="77" t="s">
        <v>784</v>
      </c>
      <c r="G406" s="82" t="s">
        <v>69</v>
      </c>
      <c r="H406" s="82" t="str">
        <f>VLOOKUP(G406,MetaData!$A$2:$C$13,3,false)</f>
        <v>Eva Fauziah, S.Pd</v>
      </c>
      <c r="I406" s="82" t="s">
        <v>749</v>
      </c>
      <c r="J406" s="82" t="str">
        <f>VLOOKUP(I406,MetaData!$E$2:$G$40,3,false)</f>
        <v>Citra</v>
      </c>
      <c r="K406" s="83"/>
    </row>
    <row r="407" ht="15.75" customHeight="1">
      <c r="A407" s="76">
        <v>471.0</v>
      </c>
      <c r="B407" s="77">
        <v>21.0</v>
      </c>
      <c r="C407" s="77" t="s">
        <v>1187</v>
      </c>
      <c r="D407" s="77">
        <v>2.52610234E8</v>
      </c>
      <c r="E407" s="78" t="s">
        <v>760</v>
      </c>
      <c r="F407" s="77" t="s">
        <v>784</v>
      </c>
      <c r="G407" s="79" t="s">
        <v>69</v>
      </c>
      <c r="H407" s="79" t="str">
        <f>VLOOKUP(G407,MetaData!$A$2:$C$13,3,false)</f>
        <v>Eva Fauziah, S.Pd</v>
      </c>
      <c r="I407" s="79" t="s">
        <v>749</v>
      </c>
      <c r="J407" s="79" t="str">
        <f>VLOOKUP(I407,MetaData!$E$2:$G$40,3,false)</f>
        <v>Citra</v>
      </c>
      <c r="K407" s="80"/>
    </row>
    <row r="408" ht="15.75" customHeight="1">
      <c r="A408" s="81">
        <v>472.0</v>
      </c>
      <c r="B408" s="77">
        <v>22.0</v>
      </c>
      <c r="C408" s="77" t="s">
        <v>1188</v>
      </c>
      <c r="D408" s="77">
        <v>2.52610235E8</v>
      </c>
      <c r="E408" s="78" t="s">
        <v>451</v>
      </c>
      <c r="F408" s="77" t="s">
        <v>784</v>
      </c>
      <c r="G408" s="82" t="s">
        <v>69</v>
      </c>
      <c r="H408" s="82" t="str">
        <f>VLOOKUP(G408,MetaData!$A$2:$C$13,3,false)</f>
        <v>Eva Fauziah, S.Pd</v>
      </c>
      <c r="I408" s="82" t="s">
        <v>443</v>
      </c>
      <c r="J408" s="82" t="str">
        <f>VLOOKUP(I408,MetaData!$E$2:$G$40,3,false)</f>
        <v>Ayun</v>
      </c>
      <c r="K408" s="83"/>
    </row>
    <row r="409" ht="15.75" customHeight="1">
      <c r="A409" s="76">
        <v>473.0</v>
      </c>
      <c r="B409" s="77">
        <v>24.0</v>
      </c>
      <c r="C409" s="77" t="s">
        <v>1189</v>
      </c>
      <c r="D409" s="77">
        <v>2.52610243E8</v>
      </c>
      <c r="E409" s="78" t="s">
        <v>402</v>
      </c>
      <c r="F409" s="77" t="s">
        <v>782</v>
      </c>
      <c r="G409" s="79" t="s">
        <v>69</v>
      </c>
      <c r="H409" s="79" t="str">
        <f>VLOOKUP(G409,MetaData!$A$2:$C$13,3,false)</f>
        <v>Eva Fauziah, S.Pd</v>
      </c>
      <c r="I409" s="79" t="s">
        <v>395</v>
      </c>
      <c r="J409" s="79" t="str">
        <f>VLOOKUP(I409,MetaData!$E$2:$G$40,3,false)</f>
        <v>Irghi (XII)</v>
      </c>
      <c r="K409" s="80"/>
    </row>
    <row r="410" ht="15.75" customHeight="1">
      <c r="A410" s="81">
        <v>474.0</v>
      </c>
      <c r="B410" s="77">
        <v>25.0</v>
      </c>
      <c r="C410" s="77" t="s">
        <v>1190</v>
      </c>
      <c r="D410" s="77">
        <v>2.52610251E8</v>
      </c>
      <c r="E410" s="78" t="s">
        <v>403</v>
      </c>
      <c r="F410" s="77" t="s">
        <v>782</v>
      </c>
      <c r="G410" s="82" t="s">
        <v>69</v>
      </c>
      <c r="H410" s="82" t="str">
        <f>VLOOKUP(G410,MetaData!$A$2:$C$13,3,false)</f>
        <v>Eva Fauziah, S.Pd</v>
      </c>
      <c r="I410" s="82" t="s">
        <v>395</v>
      </c>
      <c r="J410" s="82" t="str">
        <f>VLOOKUP(I410,MetaData!$E$2:$G$40,3,false)</f>
        <v>Irghi (XII)</v>
      </c>
      <c r="K410" s="83"/>
    </row>
    <row r="411" ht="15.75" customHeight="1">
      <c r="A411" s="76">
        <v>475.0</v>
      </c>
      <c r="B411" s="77">
        <v>26.0</v>
      </c>
      <c r="C411" s="77" t="s">
        <v>1191</v>
      </c>
      <c r="D411" s="77">
        <v>2.52610262E8</v>
      </c>
      <c r="E411" s="78" t="s">
        <v>761</v>
      </c>
      <c r="F411" s="77" t="s">
        <v>784</v>
      </c>
      <c r="G411" s="79" t="s">
        <v>69</v>
      </c>
      <c r="H411" s="79" t="str">
        <f>VLOOKUP(G411,MetaData!$A$2:$C$13,3,false)</f>
        <v>Eva Fauziah, S.Pd</v>
      </c>
      <c r="I411" s="79" t="s">
        <v>749</v>
      </c>
      <c r="J411" s="79" t="str">
        <f>VLOOKUP(I411,MetaData!$E$2:$G$40,3,false)</f>
        <v>Citra</v>
      </c>
      <c r="K411" s="80"/>
    </row>
    <row r="412" ht="15.75" customHeight="1">
      <c r="A412" s="81">
        <v>476.0</v>
      </c>
      <c r="B412" s="77">
        <v>27.0</v>
      </c>
      <c r="C412" s="77" t="s">
        <v>1192</v>
      </c>
      <c r="D412" s="77">
        <v>2.52610272E8</v>
      </c>
      <c r="E412" s="78" t="s">
        <v>590</v>
      </c>
      <c r="F412" s="77" t="s">
        <v>784</v>
      </c>
      <c r="G412" s="82" t="s">
        <v>69</v>
      </c>
      <c r="H412" s="82" t="str">
        <f>VLOOKUP(G412,MetaData!$A$2:$C$13,3,false)</f>
        <v>Eva Fauziah, S.Pd</v>
      </c>
      <c r="I412" s="82" t="s">
        <v>589</v>
      </c>
      <c r="J412" s="82" t="str">
        <f>VLOOKUP(I412,MetaData!$E$2:$G$40,3,false)</f>
        <v>Lexa (XI)</v>
      </c>
      <c r="K412" s="83"/>
    </row>
    <row r="413" ht="15.75" customHeight="1">
      <c r="A413" s="76">
        <v>477.0</v>
      </c>
      <c r="B413" s="77">
        <v>28.0</v>
      </c>
      <c r="C413" s="77" t="s">
        <v>1193</v>
      </c>
      <c r="D413" s="77">
        <v>2.52610283E8</v>
      </c>
      <c r="E413" s="78" t="s">
        <v>591</v>
      </c>
      <c r="F413" s="77" t="s">
        <v>784</v>
      </c>
      <c r="G413" s="79" t="s">
        <v>69</v>
      </c>
      <c r="H413" s="79" t="str">
        <f>VLOOKUP(G413,MetaData!$A$2:$C$13,3,false)</f>
        <v>Eva Fauziah, S.Pd</v>
      </c>
      <c r="I413" s="79" t="s">
        <v>589</v>
      </c>
      <c r="J413" s="79" t="str">
        <f>VLOOKUP(I413,MetaData!$E$2:$G$40,3,false)</f>
        <v>Lexa (XI)</v>
      </c>
      <c r="K413" s="80"/>
    </row>
    <row r="414" ht="15.75" customHeight="1">
      <c r="A414" s="81">
        <v>478.0</v>
      </c>
      <c r="B414" s="77">
        <v>29.0</v>
      </c>
      <c r="C414" s="77" t="s">
        <v>1194</v>
      </c>
      <c r="D414" s="77">
        <v>2.52610305E8</v>
      </c>
      <c r="E414" s="78" t="s">
        <v>404</v>
      </c>
      <c r="F414" s="77" t="s">
        <v>782</v>
      </c>
      <c r="G414" s="82" t="s">
        <v>69</v>
      </c>
      <c r="H414" s="82" t="str">
        <f>VLOOKUP(G414,MetaData!$A$2:$C$13,3,false)</f>
        <v>Eva Fauziah, S.Pd</v>
      </c>
      <c r="I414" s="82" t="s">
        <v>395</v>
      </c>
      <c r="J414" s="82" t="str">
        <f>VLOOKUP(I414,MetaData!$E$2:$G$40,3,false)</f>
        <v>Irghi (XII)</v>
      </c>
      <c r="K414" s="83"/>
    </row>
    <row r="415" ht="15.75" customHeight="1">
      <c r="A415" s="76">
        <v>479.0</v>
      </c>
      <c r="B415" s="77">
        <v>30.0</v>
      </c>
      <c r="C415" s="77" t="s">
        <v>1195</v>
      </c>
      <c r="D415" s="77">
        <v>2.52610327E8</v>
      </c>
      <c r="E415" s="78" t="s">
        <v>405</v>
      </c>
      <c r="F415" s="77" t="s">
        <v>782</v>
      </c>
      <c r="G415" s="79" t="s">
        <v>69</v>
      </c>
      <c r="H415" s="79" t="str">
        <f>VLOOKUP(G415,MetaData!$A$2:$C$13,3,false)</f>
        <v>Eva Fauziah, S.Pd</v>
      </c>
      <c r="I415" s="79" t="s">
        <v>395</v>
      </c>
      <c r="J415" s="79" t="str">
        <f>VLOOKUP(I415,MetaData!$E$2:$G$40,3,false)</f>
        <v>Irghi (XII)</v>
      </c>
      <c r="K415" s="80"/>
    </row>
    <row r="416" ht="15.75" customHeight="1">
      <c r="A416" s="81">
        <v>480.0</v>
      </c>
      <c r="B416" s="77">
        <v>31.0</v>
      </c>
      <c r="C416" s="77" t="s">
        <v>1196</v>
      </c>
      <c r="D416" s="77">
        <v>2.52610335E8</v>
      </c>
      <c r="E416" s="78" t="s">
        <v>406</v>
      </c>
      <c r="F416" s="77" t="s">
        <v>782</v>
      </c>
      <c r="G416" s="82" t="s">
        <v>69</v>
      </c>
      <c r="H416" s="82" t="str">
        <f>VLOOKUP(G416,MetaData!$A$2:$C$13,3,false)</f>
        <v>Eva Fauziah, S.Pd</v>
      </c>
      <c r="I416" s="82" t="s">
        <v>395</v>
      </c>
      <c r="J416" s="82" t="str">
        <f>VLOOKUP(I416,MetaData!$E$2:$G$40,3,false)</f>
        <v>Irghi (XII)</v>
      </c>
      <c r="K416" s="83"/>
    </row>
    <row r="417" ht="15.75" customHeight="1">
      <c r="A417" s="76">
        <v>481.0</v>
      </c>
      <c r="B417" s="77">
        <v>32.0</v>
      </c>
      <c r="C417" s="77" t="s">
        <v>1197</v>
      </c>
      <c r="D417" s="77">
        <v>2.52610375E8</v>
      </c>
      <c r="E417" s="78" t="s">
        <v>235</v>
      </c>
      <c r="F417" s="77" t="s">
        <v>782</v>
      </c>
      <c r="G417" s="79" t="s">
        <v>69</v>
      </c>
      <c r="H417" s="79" t="str">
        <f>VLOOKUP(G417,MetaData!$A$2:$C$13,3,false)</f>
        <v>Eva Fauziah, S.Pd</v>
      </c>
      <c r="I417" s="79" t="s">
        <v>220</v>
      </c>
      <c r="J417" s="79" t="str">
        <f>VLOOKUP(I417,MetaData!$E$2:$G$40,3,false)</f>
        <v>Rekhsa</v>
      </c>
      <c r="K417" s="80"/>
    </row>
    <row r="418" ht="15.75" customHeight="1">
      <c r="A418" s="81">
        <v>482.0</v>
      </c>
      <c r="B418" s="77">
        <v>33.0</v>
      </c>
      <c r="C418" s="77" t="s">
        <v>1198</v>
      </c>
      <c r="D418" s="77">
        <v>2.52610396E8</v>
      </c>
      <c r="E418" s="78" t="s">
        <v>592</v>
      </c>
      <c r="F418" s="77" t="s">
        <v>784</v>
      </c>
      <c r="G418" s="82" t="s">
        <v>69</v>
      </c>
      <c r="H418" s="82" t="str">
        <f>VLOOKUP(G418,MetaData!$A$2:$C$13,3,false)</f>
        <v>Eva Fauziah, S.Pd</v>
      </c>
      <c r="I418" s="82" t="s">
        <v>589</v>
      </c>
      <c r="J418" s="82" t="str">
        <f>VLOOKUP(I418,MetaData!$E$2:$G$40,3,false)</f>
        <v>Lexa (XI)</v>
      </c>
      <c r="K418" s="83"/>
    </row>
    <row r="419" ht="15.75" customHeight="1">
      <c r="A419" s="76">
        <v>483.0</v>
      </c>
      <c r="B419" s="77">
        <v>34.0</v>
      </c>
      <c r="C419" s="77" t="s">
        <v>1199</v>
      </c>
      <c r="D419" s="77">
        <v>2.52610402E8</v>
      </c>
      <c r="E419" s="78" t="s">
        <v>407</v>
      </c>
      <c r="F419" s="77" t="s">
        <v>782</v>
      </c>
      <c r="G419" s="79" t="s">
        <v>69</v>
      </c>
      <c r="H419" s="79" t="str">
        <f>VLOOKUP(G419,MetaData!$A$2:$C$13,3,false)</f>
        <v>Eva Fauziah, S.Pd</v>
      </c>
      <c r="I419" s="79" t="s">
        <v>395</v>
      </c>
      <c r="J419" s="79" t="str">
        <f>VLOOKUP(I419,MetaData!$E$2:$G$40,3,false)</f>
        <v>Irghi (XII)</v>
      </c>
      <c r="K419" s="80"/>
    </row>
    <row r="420" ht="15.75" customHeight="1">
      <c r="A420" s="81">
        <v>484.0</v>
      </c>
      <c r="B420" s="77">
        <v>35.0</v>
      </c>
      <c r="C420" s="77" t="s">
        <v>1200</v>
      </c>
      <c r="D420" s="77">
        <v>2.52610403E8</v>
      </c>
      <c r="E420" s="78" t="s">
        <v>593</v>
      </c>
      <c r="F420" s="77" t="s">
        <v>784</v>
      </c>
      <c r="G420" s="82" t="s">
        <v>69</v>
      </c>
      <c r="H420" s="82" t="str">
        <f>VLOOKUP(G420,MetaData!$A$2:$C$13,3,false)</f>
        <v>Eva Fauziah, S.Pd</v>
      </c>
      <c r="I420" s="82" t="s">
        <v>589</v>
      </c>
      <c r="J420" s="82" t="str">
        <f>VLOOKUP(I420,MetaData!$E$2:$G$40,3,false)</f>
        <v>Lexa (XI)</v>
      </c>
      <c r="K420" s="83"/>
    </row>
    <row r="421" ht="15.75" customHeight="1">
      <c r="A421" s="76">
        <v>485.0</v>
      </c>
      <c r="B421" s="77">
        <v>37.0</v>
      </c>
      <c r="C421" s="77" t="s">
        <v>1201</v>
      </c>
      <c r="D421" s="77">
        <v>2.52610443E8</v>
      </c>
      <c r="E421" s="78" t="s">
        <v>594</v>
      </c>
      <c r="F421" s="77" t="s">
        <v>784</v>
      </c>
      <c r="G421" s="79" t="s">
        <v>69</v>
      </c>
      <c r="H421" s="79" t="str">
        <f>VLOOKUP(G421,MetaData!$A$2:$C$13,3,false)</f>
        <v>Eva Fauziah, S.Pd</v>
      </c>
      <c r="I421" s="79" t="s">
        <v>589</v>
      </c>
      <c r="J421" s="79" t="str">
        <f>VLOOKUP(I421,MetaData!$E$2:$G$40,3,false)</f>
        <v>Lexa (XI)</v>
      </c>
      <c r="K421" s="80"/>
    </row>
    <row r="422" ht="15.75" customHeight="1">
      <c r="A422" s="81">
        <v>486.0</v>
      </c>
      <c r="B422" s="77">
        <v>38.0</v>
      </c>
      <c r="C422" s="77" t="s">
        <v>1202</v>
      </c>
      <c r="D422" s="77">
        <v>2.52610459E8</v>
      </c>
      <c r="E422" s="78" t="s">
        <v>408</v>
      </c>
      <c r="F422" s="77" t="s">
        <v>782</v>
      </c>
      <c r="G422" s="82" t="s">
        <v>69</v>
      </c>
      <c r="H422" s="82" t="str">
        <f>VLOOKUP(G422,MetaData!$A$2:$C$13,3,false)</f>
        <v>Eva Fauziah, S.Pd</v>
      </c>
      <c r="I422" s="82" t="s">
        <v>395</v>
      </c>
      <c r="J422" s="82" t="str">
        <f>VLOOKUP(I422,MetaData!$E$2:$G$40,3,false)</f>
        <v>Irghi (XII)</v>
      </c>
      <c r="K422" s="83"/>
    </row>
    <row r="423" ht="15.75" customHeight="1">
      <c r="A423" s="76">
        <v>487.0</v>
      </c>
      <c r="B423" s="77">
        <v>39.0</v>
      </c>
      <c r="C423" s="77" t="s">
        <v>1203</v>
      </c>
      <c r="D423" s="77">
        <v>2.52610462E8</v>
      </c>
      <c r="E423" s="78" t="s">
        <v>595</v>
      </c>
      <c r="F423" s="77" t="s">
        <v>784</v>
      </c>
      <c r="G423" s="79" t="s">
        <v>69</v>
      </c>
      <c r="H423" s="79" t="str">
        <f>VLOOKUP(G423,MetaData!$A$2:$C$13,3,false)</f>
        <v>Eva Fauziah, S.Pd</v>
      </c>
      <c r="I423" s="79" t="s">
        <v>589</v>
      </c>
      <c r="J423" s="79" t="str">
        <f>VLOOKUP(I423,MetaData!$E$2:$G$40,3,false)</f>
        <v>Lexa (XI)</v>
      </c>
      <c r="K423" s="80"/>
    </row>
    <row r="424" ht="15.75" customHeight="1">
      <c r="A424" s="81">
        <v>488.0</v>
      </c>
      <c r="B424" s="77">
        <v>40.0</v>
      </c>
      <c r="C424" s="77" t="s">
        <v>1204</v>
      </c>
      <c r="D424" s="77">
        <v>2.52610469E8</v>
      </c>
      <c r="E424" s="78" t="s">
        <v>409</v>
      </c>
      <c r="F424" s="77" t="s">
        <v>782</v>
      </c>
      <c r="G424" s="82" t="s">
        <v>69</v>
      </c>
      <c r="H424" s="82" t="str">
        <f>VLOOKUP(G424,MetaData!$A$2:$C$13,3,false)</f>
        <v>Eva Fauziah, S.Pd</v>
      </c>
      <c r="I424" s="82" t="s">
        <v>395</v>
      </c>
      <c r="J424" s="82" t="str">
        <f>VLOOKUP(I424,MetaData!$E$2:$G$40,3,false)</f>
        <v>Irghi (XII)</v>
      </c>
      <c r="K424" s="83"/>
    </row>
    <row r="425" ht="15.75" customHeight="1">
      <c r="A425" s="76">
        <v>489.0</v>
      </c>
      <c r="B425" s="77">
        <v>41.0</v>
      </c>
      <c r="C425" s="77" t="s">
        <v>1205</v>
      </c>
      <c r="D425" s="77">
        <v>2.52610493E8</v>
      </c>
      <c r="E425" s="78" t="s">
        <v>596</v>
      </c>
      <c r="F425" s="77" t="s">
        <v>784</v>
      </c>
      <c r="G425" s="79" t="s">
        <v>69</v>
      </c>
      <c r="H425" s="79" t="str">
        <f>VLOOKUP(G425,MetaData!$A$2:$C$13,3,false)</f>
        <v>Eva Fauziah, S.Pd</v>
      </c>
      <c r="I425" s="79" t="s">
        <v>589</v>
      </c>
      <c r="J425" s="79" t="str">
        <f>VLOOKUP(I425,MetaData!$E$2:$G$40,3,false)</f>
        <v>Lexa (XI)</v>
      </c>
      <c r="K425" s="80"/>
    </row>
    <row r="426" ht="15.75" customHeight="1">
      <c r="A426" s="81">
        <v>490.0</v>
      </c>
      <c r="B426" s="77">
        <v>42.0</v>
      </c>
      <c r="C426" s="77" t="s">
        <v>1206</v>
      </c>
      <c r="D426" s="77">
        <v>2.52610509E8</v>
      </c>
      <c r="E426" s="78" t="s">
        <v>597</v>
      </c>
      <c r="F426" s="77" t="s">
        <v>784</v>
      </c>
      <c r="G426" s="82" t="s">
        <v>69</v>
      </c>
      <c r="H426" s="82" t="str">
        <f>VLOOKUP(G426,MetaData!$A$2:$C$13,3,false)</f>
        <v>Eva Fauziah, S.Pd</v>
      </c>
      <c r="I426" s="82" t="s">
        <v>589</v>
      </c>
      <c r="J426" s="82" t="str">
        <f>VLOOKUP(I426,MetaData!$E$2:$G$40,3,false)</f>
        <v>Lexa (XI)</v>
      </c>
      <c r="K426" s="83"/>
    </row>
    <row r="427" ht="15.75" customHeight="1">
      <c r="A427" s="76">
        <v>491.0</v>
      </c>
      <c r="B427" s="77">
        <v>43.0</v>
      </c>
      <c r="C427" s="77" t="s">
        <v>1207</v>
      </c>
      <c r="D427" s="77">
        <v>2.5261051E8</v>
      </c>
      <c r="E427" s="78" t="s">
        <v>598</v>
      </c>
      <c r="F427" s="77" t="s">
        <v>784</v>
      </c>
      <c r="G427" s="79" t="s">
        <v>69</v>
      </c>
      <c r="H427" s="79" t="str">
        <f>VLOOKUP(G427,MetaData!$A$2:$C$13,3,false)</f>
        <v>Eva Fauziah, S.Pd</v>
      </c>
      <c r="I427" s="79" t="s">
        <v>589</v>
      </c>
      <c r="J427" s="79" t="str">
        <f>VLOOKUP(I427,MetaData!$E$2:$G$40,3,false)</f>
        <v>Lexa (XI)</v>
      </c>
      <c r="K427" s="80"/>
    </row>
    <row r="428" ht="15.75" customHeight="1">
      <c r="A428" s="81">
        <v>492.0</v>
      </c>
      <c r="B428" s="77">
        <v>44.0</v>
      </c>
      <c r="C428" s="77" t="s">
        <v>1208</v>
      </c>
      <c r="D428" s="77">
        <v>2.52610521E8</v>
      </c>
      <c r="E428" s="78" t="s">
        <v>599</v>
      </c>
      <c r="F428" s="77" t="s">
        <v>784</v>
      </c>
      <c r="G428" s="82" t="s">
        <v>69</v>
      </c>
      <c r="H428" s="82" t="str">
        <f>VLOOKUP(G428,MetaData!$A$2:$C$13,3,false)</f>
        <v>Eva Fauziah, S.Pd</v>
      </c>
      <c r="I428" s="82" t="s">
        <v>589</v>
      </c>
      <c r="J428" s="82" t="str">
        <f>VLOOKUP(I428,MetaData!$E$2:$G$40,3,false)</f>
        <v>Lexa (XI)</v>
      </c>
      <c r="K428" s="83"/>
    </row>
    <row r="429" ht="15.75" customHeight="1">
      <c r="A429" s="76">
        <v>493.0</v>
      </c>
      <c r="B429" s="77">
        <v>45.0</v>
      </c>
      <c r="C429" s="77" t="s">
        <v>1209</v>
      </c>
      <c r="D429" s="77">
        <v>2.52610526E8</v>
      </c>
      <c r="E429" s="78" t="s">
        <v>600</v>
      </c>
      <c r="F429" s="77" t="s">
        <v>784</v>
      </c>
      <c r="G429" s="79" t="s">
        <v>69</v>
      </c>
      <c r="H429" s="79" t="str">
        <f>VLOOKUP(G429,MetaData!$A$2:$C$13,3,false)</f>
        <v>Eva Fauziah, S.Pd</v>
      </c>
      <c r="I429" s="79" t="s">
        <v>589</v>
      </c>
      <c r="J429" s="79" t="str">
        <f>VLOOKUP(I429,MetaData!$E$2:$G$40,3,false)</f>
        <v>Lexa (XI)</v>
      </c>
      <c r="K429" s="80"/>
    </row>
    <row r="430" ht="15.75" customHeight="1">
      <c r="A430" s="85">
        <v>501.0</v>
      </c>
      <c r="B430" s="77">
        <v>1.0</v>
      </c>
      <c r="C430" s="77" t="s">
        <v>1210</v>
      </c>
      <c r="D430" s="77">
        <v>2.5261001E8</v>
      </c>
      <c r="E430" s="78" t="s">
        <v>737</v>
      </c>
      <c r="F430" s="77" t="s">
        <v>784</v>
      </c>
      <c r="G430" s="82" t="s">
        <v>74</v>
      </c>
      <c r="H430" s="82" t="str">
        <f>VLOOKUP(G430,MetaData!$A$2:$C$13,3,false)</f>
        <v>Rahmalia Dewi, S.Si</v>
      </c>
      <c r="I430" s="82" t="s">
        <v>736</v>
      </c>
      <c r="J430" s="82" t="str">
        <f>VLOOKUP(I430,MetaData!$E$2:$G$40,3,false)</f>
        <v>Kusniawati</v>
      </c>
      <c r="K430" s="83"/>
    </row>
    <row r="431" ht="15.75" customHeight="1">
      <c r="A431" s="84">
        <v>502.0</v>
      </c>
      <c r="B431" s="77">
        <v>2.0</v>
      </c>
      <c r="C431" s="77" t="s">
        <v>1211</v>
      </c>
      <c r="D431" s="77">
        <v>2.52610031E8</v>
      </c>
      <c r="E431" s="78" t="s">
        <v>738</v>
      </c>
      <c r="F431" s="77" t="s">
        <v>784</v>
      </c>
      <c r="G431" s="79" t="s">
        <v>74</v>
      </c>
      <c r="H431" s="79" t="str">
        <f>VLOOKUP(G431,MetaData!$A$2:$C$13,3,false)</f>
        <v>Rahmalia Dewi, S.Si</v>
      </c>
      <c r="I431" s="79" t="s">
        <v>736</v>
      </c>
      <c r="J431" s="79" t="str">
        <f>VLOOKUP(I431,MetaData!$E$2:$G$40,3,false)</f>
        <v>Kusniawati</v>
      </c>
      <c r="K431" s="80"/>
    </row>
    <row r="432" ht="15.75" customHeight="1">
      <c r="A432" s="85">
        <v>503.0</v>
      </c>
      <c r="B432" s="77">
        <v>3.0</v>
      </c>
      <c r="C432" s="77" t="s">
        <v>1212</v>
      </c>
      <c r="D432" s="77">
        <v>2.52610033E8</v>
      </c>
      <c r="E432" s="78" t="s">
        <v>378</v>
      </c>
      <c r="F432" s="77" t="s">
        <v>782</v>
      </c>
      <c r="G432" s="82" t="s">
        <v>74</v>
      </c>
      <c r="H432" s="82" t="str">
        <f>VLOOKUP(G432,MetaData!$A$2:$C$13,3,false)</f>
        <v>Rahmalia Dewi, S.Si</v>
      </c>
      <c r="I432" s="82" t="s">
        <v>377</v>
      </c>
      <c r="J432" s="82" t="str">
        <f>VLOOKUP(I432,MetaData!$E$2:$G$40,3,false)</f>
        <v>Khadafi (XII)</v>
      </c>
      <c r="K432" s="83"/>
    </row>
    <row r="433" ht="15.75" customHeight="1">
      <c r="A433" s="84">
        <v>504.0</v>
      </c>
      <c r="B433" s="77">
        <v>4.0</v>
      </c>
      <c r="C433" s="77" t="s">
        <v>1213</v>
      </c>
      <c r="D433" s="77">
        <v>2.52610047E8</v>
      </c>
      <c r="E433" s="78" t="s">
        <v>739</v>
      </c>
      <c r="F433" s="77" t="s">
        <v>784</v>
      </c>
      <c r="G433" s="79" t="s">
        <v>74</v>
      </c>
      <c r="H433" s="79" t="str">
        <f>VLOOKUP(G433,MetaData!$A$2:$C$13,3,false)</f>
        <v>Rahmalia Dewi, S.Si</v>
      </c>
      <c r="I433" s="79" t="s">
        <v>736</v>
      </c>
      <c r="J433" s="79" t="str">
        <f>VLOOKUP(I433,MetaData!$E$2:$G$40,3,false)</f>
        <v>Kusniawati</v>
      </c>
      <c r="K433" s="80"/>
    </row>
    <row r="434" ht="15.75" customHeight="1">
      <c r="A434" s="85">
        <v>505.0</v>
      </c>
      <c r="B434" s="77">
        <v>5.0</v>
      </c>
      <c r="C434" s="77" t="s">
        <v>1214</v>
      </c>
      <c r="D434" s="77">
        <v>2.52610066E8</v>
      </c>
      <c r="E434" s="78" t="s">
        <v>740</v>
      </c>
      <c r="F434" s="77" t="s">
        <v>784</v>
      </c>
      <c r="G434" s="82" t="s">
        <v>74</v>
      </c>
      <c r="H434" s="82" t="str">
        <f>VLOOKUP(G434,MetaData!$A$2:$C$13,3,false)</f>
        <v>Rahmalia Dewi, S.Si</v>
      </c>
      <c r="I434" s="82" t="s">
        <v>736</v>
      </c>
      <c r="J434" s="82" t="str">
        <f>VLOOKUP(I434,MetaData!$E$2:$G$40,3,false)</f>
        <v>Kusniawati</v>
      </c>
      <c r="K434" s="83"/>
    </row>
    <row r="435" ht="15.75" customHeight="1">
      <c r="A435" s="84">
        <v>506.0</v>
      </c>
      <c r="B435" s="77">
        <v>6.0</v>
      </c>
      <c r="C435" s="77" t="s">
        <v>1215</v>
      </c>
      <c r="D435" s="77">
        <v>2.52610085E8</v>
      </c>
      <c r="E435" s="78" t="s">
        <v>741</v>
      </c>
      <c r="F435" s="77" t="s">
        <v>784</v>
      </c>
      <c r="G435" s="79" t="s">
        <v>74</v>
      </c>
      <c r="H435" s="79" t="str">
        <f>VLOOKUP(G435,MetaData!$A$2:$C$13,3,false)</f>
        <v>Rahmalia Dewi, S.Si</v>
      </c>
      <c r="I435" s="79" t="s">
        <v>736</v>
      </c>
      <c r="J435" s="79" t="str">
        <f>VLOOKUP(I435,MetaData!$E$2:$G$40,3,false)</f>
        <v>Kusniawati</v>
      </c>
      <c r="K435" s="80"/>
    </row>
    <row r="436" ht="15.75" customHeight="1">
      <c r="A436" s="85">
        <v>507.0</v>
      </c>
      <c r="B436" s="77">
        <v>7.0</v>
      </c>
      <c r="C436" s="77" t="s">
        <v>1216</v>
      </c>
      <c r="D436" s="77">
        <v>2.52610098E8</v>
      </c>
      <c r="E436" s="78" t="s">
        <v>446</v>
      </c>
      <c r="F436" s="77" t="s">
        <v>784</v>
      </c>
      <c r="G436" s="82" t="s">
        <v>74</v>
      </c>
      <c r="H436" s="82" t="str">
        <f>VLOOKUP(G436,MetaData!$A$2:$C$13,3,false)</f>
        <v>Rahmalia Dewi, S.Si</v>
      </c>
      <c r="I436" s="82" t="s">
        <v>443</v>
      </c>
      <c r="J436" s="82" t="str">
        <f>VLOOKUP(I436,MetaData!$E$2:$G$40,3,false)</f>
        <v>Ayun</v>
      </c>
      <c r="K436" s="83"/>
    </row>
    <row r="437" ht="15.75" customHeight="1">
      <c r="A437" s="84">
        <v>508.0</v>
      </c>
      <c r="B437" s="77">
        <v>8.0</v>
      </c>
      <c r="C437" s="77" t="s">
        <v>1217</v>
      </c>
      <c r="D437" s="77">
        <v>2.52610105E8</v>
      </c>
      <c r="E437" s="78" t="s">
        <v>379</v>
      </c>
      <c r="F437" s="77" t="s">
        <v>782</v>
      </c>
      <c r="G437" s="79" t="s">
        <v>74</v>
      </c>
      <c r="H437" s="79" t="str">
        <f>VLOOKUP(G437,MetaData!$A$2:$C$13,3,false)</f>
        <v>Rahmalia Dewi, S.Si</v>
      </c>
      <c r="I437" s="79" t="s">
        <v>377</v>
      </c>
      <c r="J437" s="79" t="str">
        <f>VLOOKUP(I437,MetaData!$E$2:$G$40,3,false)</f>
        <v>Khadafi (XII)</v>
      </c>
      <c r="K437" s="80"/>
    </row>
    <row r="438" ht="15.75" customHeight="1">
      <c r="A438" s="85">
        <v>509.0</v>
      </c>
      <c r="B438" s="77">
        <v>9.0</v>
      </c>
      <c r="C438" s="77" t="s">
        <v>1218</v>
      </c>
      <c r="D438" s="77">
        <v>2.5261011E8</v>
      </c>
      <c r="E438" s="78" t="s">
        <v>380</v>
      </c>
      <c r="F438" s="77" t="s">
        <v>782</v>
      </c>
      <c r="G438" s="82" t="s">
        <v>74</v>
      </c>
      <c r="H438" s="82" t="str">
        <f>VLOOKUP(G438,MetaData!$A$2:$C$13,3,false)</f>
        <v>Rahmalia Dewi, S.Si</v>
      </c>
      <c r="I438" s="82" t="s">
        <v>377</v>
      </c>
      <c r="J438" s="82" t="str">
        <f>VLOOKUP(I438,MetaData!$E$2:$G$40,3,false)</f>
        <v>Khadafi (XII)</v>
      </c>
      <c r="K438" s="83"/>
    </row>
    <row r="439" ht="15.75" customHeight="1">
      <c r="A439" s="84">
        <v>510.0</v>
      </c>
      <c r="B439" s="77">
        <v>10.0</v>
      </c>
      <c r="C439" s="77" t="s">
        <v>1219</v>
      </c>
      <c r="D439" s="77">
        <v>2.52610111E8</v>
      </c>
      <c r="E439" s="78" t="s">
        <v>381</v>
      </c>
      <c r="F439" s="77" t="s">
        <v>782</v>
      </c>
      <c r="G439" s="79" t="s">
        <v>74</v>
      </c>
      <c r="H439" s="79" t="str">
        <f>VLOOKUP(G439,MetaData!$A$2:$C$13,3,false)</f>
        <v>Rahmalia Dewi, S.Si</v>
      </c>
      <c r="I439" s="79" t="s">
        <v>377</v>
      </c>
      <c r="J439" s="79" t="str">
        <f>VLOOKUP(I439,MetaData!$E$2:$G$40,3,false)</f>
        <v>Khadafi (XII)</v>
      </c>
      <c r="K439" s="80"/>
    </row>
    <row r="440" ht="15.75" customHeight="1">
      <c r="A440" s="85">
        <v>511.0</v>
      </c>
      <c r="B440" s="77">
        <v>11.0</v>
      </c>
      <c r="C440" s="77" t="s">
        <v>1220</v>
      </c>
      <c r="D440" s="77">
        <v>2.52610112E8</v>
      </c>
      <c r="E440" s="78" t="s">
        <v>742</v>
      </c>
      <c r="F440" s="77" t="s">
        <v>784</v>
      </c>
      <c r="G440" s="82" t="s">
        <v>74</v>
      </c>
      <c r="H440" s="82" t="str">
        <f>VLOOKUP(G440,MetaData!$A$2:$C$13,3,false)</f>
        <v>Rahmalia Dewi, S.Si</v>
      </c>
      <c r="I440" s="82" t="s">
        <v>736</v>
      </c>
      <c r="J440" s="82" t="str">
        <f>VLOOKUP(I440,MetaData!$E$2:$G$40,3,false)</f>
        <v>Kusniawati</v>
      </c>
      <c r="K440" s="83"/>
    </row>
    <row r="441" ht="15.75" customHeight="1">
      <c r="A441" s="84">
        <v>512.0</v>
      </c>
      <c r="B441" s="77">
        <v>12.0</v>
      </c>
      <c r="C441" s="77" t="s">
        <v>1221</v>
      </c>
      <c r="D441" s="77">
        <v>2.52610114E8</v>
      </c>
      <c r="E441" s="78" t="s">
        <v>743</v>
      </c>
      <c r="F441" s="77" t="s">
        <v>784</v>
      </c>
      <c r="G441" s="79" t="s">
        <v>74</v>
      </c>
      <c r="H441" s="79" t="str">
        <f>VLOOKUP(G441,MetaData!$A$2:$C$13,3,false)</f>
        <v>Rahmalia Dewi, S.Si</v>
      </c>
      <c r="I441" s="79" t="s">
        <v>736</v>
      </c>
      <c r="J441" s="79" t="str">
        <f>VLOOKUP(I441,MetaData!$E$2:$G$40,3,false)</f>
        <v>Kusniawati</v>
      </c>
      <c r="K441" s="80"/>
    </row>
    <row r="442" ht="15.75" customHeight="1">
      <c r="A442" s="85">
        <v>513.0</v>
      </c>
      <c r="B442" s="77">
        <v>13.0</v>
      </c>
      <c r="C442" s="77" t="s">
        <v>1222</v>
      </c>
      <c r="D442" s="77">
        <v>2.52610116E8</v>
      </c>
      <c r="E442" s="78" t="s">
        <v>744</v>
      </c>
      <c r="F442" s="77" t="s">
        <v>784</v>
      </c>
      <c r="G442" s="82" t="s">
        <v>74</v>
      </c>
      <c r="H442" s="82" t="str">
        <f>VLOOKUP(G442,MetaData!$A$2:$C$13,3,false)</f>
        <v>Rahmalia Dewi, S.Si</v>
      </c>
      <c r="I442" s="82" t="s">
        <v>736</v>
      </c>
      <c r="J442" s="82" t="str">
        <f>VLOOKUP(I442,MetaData!$E$2:$G$40,3,false)</f>
        <v>Kusniawati</v>
      </c>
      <c r="K442" s="83"/>
    </row>
    <row r="443" ht="15.75" customHeight="1">
      <c r="A443" s="84">
        <v>514.0</v>
      </c>
      <c r="B443" s="77">
        <v>14.0</v>
      </c>
      <c r="C443" s="77" t="s">
        <v>1223</v>
      </c>
      <c r="D443" s="77">
        <v>2.52610131E8</v>
      </c>
      <c r="E443" s="78" t="s">
        <v>745</v>
      </c>
      <c r="F443" s="77" t="s">
        <v>784</v>
      </c>
      <c r="G443" s="79" t="s">
        <v>74</v>
      </c>
      <c r="H443" s="79" t="str">
        <f>VLOOKUP(G443,MetaData!$A$2:$C$13,3,false)</f>
        <v>Rahmalia Dewi, S.Si</v>
      </c>
      <c r="I443" s="79" t="s">
        <v>736</v>
      </c>
      <c r="J443" s="79" t="str">
        <f>VLOOKUP(I443,MetaData!$E$2:$G$40,3,false)</f>
        <v>Kusniawati</v>
      </c>
      <c r="K443" s="80"/>
    </row>
    <row r="444" ht="15.75" customHeight="1">
      <c r="A444" s="85">
        <v>515.0</v>
      </c>
      <c r="B444" s="77">
        <v>16.0</v>
      </c>
      <c r="C444" s="77" t="s">
        <v>1224</v>
      </c>
      <c r="D444" s="77">
        <v>2.52610184E8</v>
      </c>
      <c r="E444" s="78" t="s">
        <v>382</v>
      </c>
      <c r="F444" s="77" t="s">
        <v>782</v>
      </c>
      <c r="G444" s="82" t="s">
        <v>74</v>
      </c>
      <c r="H444" s="82" t="str">
        <f>VLOOKUP(G444,MetaData!$A$2:$C$13,3,false)</f>
        <v>Rahmalia Dewi, S.Si</v>
      </c>
      <c r="I444" s="82" t="s">
        <v>377</v>
      </c>
      <c r="J444" s="82" t="str">
        <f>VLOOKUP(I444,MetaData!$E$2:$G$40,3,false)</f>
        <v>Khadafi (XII)</v>
      </c>
      <c r="K444" s="83"/>
    </row>
    <row r="445" ht="15.75" customHeight="1">
      <c r="A445" s="84">
        <v>516.0</v>
      </c>
      <c r="B445" s="77">
        <v>17.0</v>
      </c>
      <c r="C445" s="77" t="s">
        <v>1225</v>
      </c>
      <c r="D445" s="77">
        <v>2.52610196E8</v>
      </c>
      <c r="E445" s="78" t="s">
        <v>746</v>
      </c>
      <c r="F445" s="77" t="s">
        <v>784</v>
      </c>
      <c r="G445" s="79" t="s">
        <v>74</v>
      </c>
      <c r="H445" s="79" t="str">
        <f>VLOOKUP(G445,MetaData!$A$2:$C$13,3,false)</f>
        <v>Rahmalia Dewi, S.Si</v>
      </c>
      <c r="I445" s="79" t="s">
        <v>736</v>
      </c>
      <c r="J445" s="79" t="str">
        <f>VLOOKUP(I445,MetaData!$E$2:$G$40,3,false)</f>
        <v>Kusniawati</v>
      </c>
      <c r="K445" s="80"/>
    </row>
    <row r="446" ht="15.75" customHeight="1">
      <c r="A446" s="85">
        <v>517.0</v>
      </c>
      <c r="B446" s="77">
        <v>18.0</v>
      </c>
      <c r="C446" s="77" t="s">
        <v>1226</v>
      </c>
      <c r="D446" s="77">
        <v>2.52610217E8</v>
      </c>
      <c r="E446" s="78" t="s">
        <v>747</v>
      </c>
      <c r="F446" s="77" t="s">
        <v>784</v>
      </c>
      <c r="G446" s="82" t="s">
        <v>74</v>
      </c>
      <c r="H446" s="82" t="str">
        <f>VLOOKUP(G446,MetaData!$A$2:$C$13,3,false)</f>
        <v>Rahmalia Dewi, S.Si</v>
      </c>
      <c r="I446" s="82" t="s">
        <v>736</v>
      </c>
      <c r="J446" s="82" t="str">
        <f>VLOOKUP(I446,MetaData!$E$2:$G$40,3,false)</f>
        <v>Kusniawati</v>
      </c>
      <c r="K446" s="83"/>
    </row>
    <row r="447" ht="15.75" customHeight="1">
      <c r="A447" s="84">
        <v>518.0</v>
      </c>
      <c r="B447" s="77">
        <v>20.0</v>
      </c>
      <c r="C447" s="77" t="s">
        <v>1227</v>
      </c>
      <c r="D447" s="77">
        <v>2.52610241E8</v>
      </c>
      <c r="E447" s="78" t="s">
        <v>748</v>
      </c>
      <c r="F447" s="77" t="s">
        <v>784</v>
      </c>
      <c r="G447" s="79" t="s">
        <v>74</v>
      </c>
      <c r="H447" s="79" t="str">
        <f>VLOOKUP(G447,MetaData!$A$2:$C$13,3,false)</f>
        <v>Rahmalia Dewi, S.Si</v>
      </c>
      <c r="I447" s="79" t="s">
        <v>736</v>
      </c>
      <c r="J447" s="79" t="str">
        <f>VLOOKUP(I447,MetaData!$E$2:$G$40,3,false)</f>
        <v>Kusniawati</v>
      </c>
      <c r="K447" s="80"/>
    </row>
    <row r="448" ht="15.75" customHeight="1">
      <c r="A448" s="85">
        <v>519.0</v>
      </c>
      <c r="B448" s="77">
        <v>21.0</v>
      </c>
      <c r="C448" s="77" t="s">
        <v>1228</v>
      </c>
      <c r="D448" s="77">
        <v>2.52610253E8</v>
      </c>
      <c r="E448" s="78" t="s">
        <v>578</v>
      </c>
      <c r="F448" s="77" t="s">
        <v>784</v>
      </c>
      <c r="G448" s="82" t="s">
        <v>74</v>
      </c>
      <c r="H448" s="82" t="str">
        <f>VLOOKUP(G448,MetaData!$A$2:$C$13,3,false)</f>
        <v>Rahmalia Dewi, S.Si</v>
      </c>
      <c r="I448" s="82" t="s">
        <v>577</v>
      </c>
      <c r="J448" s="82" t="str">
        <f>VLOOKUP(I448,MetaData!$E$2:$G$40,3,false)</f>
        <v>Annisa Alya (XII)</v>
      </c>
      <c r="K448" s="83"/>
    </row>
    <row r="449" ht="15.75" customHeight="1">
      <c r="A449" s="84">
        <v>520.0</v>
      </c>
      <c r="B449" s="77">
        <v>22.0</v>
      </c>
      <c r="C449" s="77" t="s">
        <v>1229</v>
      </c>
      <c r="D449" s="77">
        <v>2.52610289E8</v>
      </c>
      <c r="E449" s="78" t="s">
        <v>383</v>
      </c>
      <c r="F449" s="77" t="s">
        <v>782</v>
      </c>
      <c r="G449" s="79" t="s">
        <v>74</v>
      </c>
      <c r="H449" s="79" t="str">
        <f>VLOOKUP(G449,MetaData!$A$2:$C$13,3,false)</f>
        <v>Rahmalia Dewi, S.Si</v>
      </c>
      <c r="I449" s="79" t="s">
        <v>377</v>
      </c>
      <c r="J449" s="79" t="str">
        <f>VLOOKUP(I449,MetaData!$E$2:$G$40,3,false)</f>
        <v>Khadafi (XII)</v>
      </c>
      <c r="K449" s="80"/>
    </row>
    <row r="450" ht="15.75" customHeight="1">
      <c r="A450" s="85">
        <v>521.0</v>
      </c>
      <c r="B450" s="77">
        <v>23.0</v>
      </c>
      <c r="C450" s="77" t="s">
        <v>1230</v>
      </c>
      <c r="D450" s="77">
        <v>2.52610292E8</v>
      </c>
      <c r="E450" s="78" t="s">
        <v>579</v>
      </c>
      <c r="F450" s="77" t="s">
        <v>784</v>
      </c>
      <c r="G450" s="82" t="s">
        <v>74</v>
      </c>
      <c r="H450" s="82" t="str">
        <f>VLOOKUP(G450,MetaData!$A$2:$C$13,3,false)</f>
        <v>Rahmalia Dewi, S.Si</v>
      </c>
      <c r="I450" s="82" t="s">
        <v>577</v>
      </c>
      <c r="J450" s="82" t="str">
        <f>VLOOKUP(I450,MetaData!$E$2:$G$40,3,false)</f>
        <v>Annisa Alya (XII)</v>
      </c>
      <c r="K450" s="83"/>
    </row>
    <row r="451" ht="15.75" customHeight="1">
      <c r="A451" s="84">
        <v>522.0</v>
      </c>
      <c r="B451" s="77">
        <v>24.0</v>
      </c>
      <c r="C451" s="77" t="s">
        <v>1231</v>
      </c>
      <c r="D451" s="77">
        <v>2.52610295E8</v>
      </c>
      <c r="E451" s="78" t="s">
        <v>580</v>
      </c>
      <c r="F451" s="77" t="s">
        <v>784</v>
      </c>
      <c r="G451" s="79" t="s">
        <v>74</v>
      </c>
      <c r="H451" s="79" t="str">
        <f>VLOOKUP(G451,MetaData!$A$2:$C$13,3,false)</f>
        <v>Rahmalia Dewi, S.Si</v>
      </c>
      <c r="I451" s="79" t="s">
        <v>577</v>
      </c>
      <c r="J451" s="79" t="str">
        <f>VLOOKUP(I451,MetaData!$E$2:$G$40,3,false)</f>
        <v>Annisa Alya (XII)</v>
      </c>
      <c r="K451" s="80"/>
    </row>
    <row r="452" ht="15.75" customHeight="1">
      <c r="A452" s="85">
        <v>523.0</v>
      </c>
      <c r="B452" s="77">
        <v>25.0</v>
      </c>
      <c r="C452" s="77" t="s">
        <v>1232</v>
      </c>
      <c r="D452" s="77">
        <v>2.5261031E8</v>
      </c>
      <c r="E452" s="78" t="s">
        <v>384</v>
      </c>
      <c r="F452" s="77" t="s">
        <v>782</v>
      </c>
      <c r="G452" s="82" t="s">
        <v>74</v>
      </c>
      <c r="H452" s="82" t="str">
        <f>VLOOKUP(G452,MetaData!$A$2:$C$13,3,false)</f>
        <v>Rahmalia Dewi, S.Si</v>
      </c>
      <c r="I452" s="82" t="s">
        <v>377</v>
      </c>
      <c r="J452" s="82" t="str">
        <f>VLOOKUP(I452,MetaData!$E$2:$G$40,3,false)</f>
        <v>Khadafi (XII)</v>
      </c>
      <c r="K452" s="83"/>
    </row>
    <row r="453" ht="15.75" customHeight="1">
      <c r="A453" s="84">
        <v>524.0</v>
      </c>
      <c r="B453" s="77">
        <v>26.0</v>
      </c>
      <c r="C453" s="77" t="s">
        <v>1233</v>
      </c>
      <c r="D453" s="77">
        <v>2.52610315E8</v>
      </c>
      <c r="E453" s="78" t="s">
        <v>385</v>
      </c>
      <c r="F453" s="77" t="s">
        <v>782</v>
      </c>
      <c r="G453" s="79" t="s">
        <v>74</v>
      </c>
      <c r="H453" s="79" t="str">
        <f>VLOOKUP(G453,MetaData!$A$2:$C$13,3,false)</f>
        <v>Rahmalia Dewi, S.Si</v>
      </c>
      <c r="I453" s="79" t="s">
        <v>377</v>
      </c>
      <c r="J453" s="79" t="str">
        <f>VLOOKUP(I453,MetaData!$E$2:$G$40,3,false)</f>
        <v>Khadafi (XII)</v>
      </c>
      <c r="K453" s="80"/>
    </row>
    <row r="454" ht="15.75" customHeight="1">
      <c r="A454" s="85">
        <v>525.0</v>
      </c>
      <c r="B454" s="77">
        <v>27.0</v>
      </c>
      <c r="C454" s="77" t="s">
        <v>1234</v>
      </c>
      <c r="D454" s="77">
        <v>2.52610328E8</v>
      </c>
      <c r="E454" s="78" t="s">
        <v>386</v>
      </c>
      <c r="F454" s="77" t="s">
        <v>782</v>
      </c>
      <c r="G454" s="82" t="s">
        <v>74</v>
      </c>
      <c r="H454" s="82" t="str">
        <f>VLOOKUP(G454,MetaData!$A$2:$C$13,3,false)</f>
        <v>Rahmalia Dewi, S.Si</v>
      </c>
      <c r="I454" s="82" t="s">
        <v>377</v>
      </c>
      <c r="J454" s="82" t="str">
        <f>VLOOKUP(I454,MetaData!$E$2:$G$40,3,false)</f>
        <v>Khadafi (XII)</v>
      </c>
      <c r="K454" s="83"/>
    </row>
    <row r="455" ht="15.75" customHeight="1">
      <c r="A455" s="84">
        <v>526.0</v>
      </c>
      <c r="B455" s="77">
        <v>28.0</v>
      </c>
      <c r="C455" s="77" t="s">
        <v>1235</v>
      </c>
      <c r="D455" s="77">
        <v>2.52610346E8</v>
      </c>
      <c r="E455" s="78" t="s">
        <v>387</v>
      </c>
      <c r="F455" s="77" t="s">
        <v>782</v>
      </c>
      <c r="G455" s="79" t="s">
        <v>74</v>
      </c>
      <c r="H455" s="79" t="str">
        <f>VLOOKUP(G455,MetaData!$A$2:$C$13,3,false)</f>
        <v>Rahmalia Dewi, S.Si</v>
      </c>
      <c r="I455" s="79" t="s">
        <v>377</v>
      </c>
      <c r="J455" s="79" t="str">
        <f>VLOOKUP(I455,MetaData!$E$2:$G$40,3,false)</f>
        <v>Khadafi (XII)</v>
      </c>
      <c r="K455" s="80"/>
    </row>
    <row r="456" ht="15.75" customHeight="1">
      <c r="A456" s="85">
        <v>527.0</v>
      </c>
      <c r="B456" s="77">
        <v>29.0</v>
      </c>
      <c r="C456" s="77" t="s">
        <v>1236</v>
      </c>
      <c r="D456" s="77">
        <v>2.52610348E8</v>
      </c>
      <c r="E456" s="78" t="s">
        <v>388</v>
      </c>
      <c r="F456" s="77" t="s">
        <v>782</v>
      </c>
      <c r="G456" s="82" t="s">
        <v>74</v>
      </c>
      <c r="H456" s="82" t="str">
        <f>VLOOKUP(G456,MetaData!$A$2:$C$13,3,false)</f>
        <v>Rahmalia Dewi, S.Si</v>
      </c>
      <c r="I456" s="82" t="s">
        <v>377</v>
      </c>
      <c r="J456" s="82" t="str">
        <f>VLOOKUP(I456,MetaData!$E$2:$G$40,3,false)</f>
        <v>Khadafi (XII)</v>
      </c>
      <c r="K456" s="83"/>
    </row>
    <row r="457" ht="15.75" customHeight="1">
      <c r="A457" s="84">
        <v>528.0</v>
      </c>
      <c r="B457" s="77">
        <v>30.0</v>
      </c>
      <c r="C457" s="77" t="s">
        <v>1237</v>
      </c>
      <c r="D457" s="77">
        <v>2.52610356E8</v>
      </c>
      <c r="E457" s="78" t="s">
        <v>389</v>
      </c>
      <c r="F457" s="77" t="s">
        <v>782</v>
      </c>
      <c r="G457" s="79" t="s">
        <v>74</v>
      </c>
      <c r="H457" s="79" t="str">
        <f>VLOOKUP(G457,MetaData!$A$2:$C$13,3,false)</f>
        <v>Rahmalia Dewi, S.Si</v>
      </c>
      <c r="I457" s="79" t="s">
        <v>377</v>
      </c>
      <c r="J457" s="79" t="str">
        <f>VLOOKUP(I457,MetaData!$E$2:$G$40,3,false)</f>
        <v>Khadafi (XII)</v>
      </c>
      <c r="K457" s="80"/>
    </row>
    <row r="458" ht="15.75" customHeight="1">
      <c r="A458" s="85">
        <v>529.0</v>
      </c>
      <c r="B458" s="77">
        <v>31.0</v>
      </c>
      <c r="C458" s="77" t="s">
        <v>1238</v>
      </c>
      <c r="D458" s="77">
        <v>2.52610367E8</v>
      </c>
      <c r="E458" s="78" t="s">
        <v>390</v>
      </c>
      <c r="F458" s="77" t="s">
        <v>782</v>
      </c>
      <c r="G458" s="82" t="s">
        <v>74</v>
      </c>
      <c r="H458" s="82" t="str">
        <f>VLOOKUP(G458,MetaData!$A$2:$C$13,3,false)</f>
        <v>Rahmalia Dewi, S.Si</v>
      </c>
      <c r="I458" s="82" t="s">
        <v>377</v>
      </c>
      <c r="J458" s="82" t="str">
        <f>VLOOKUP(I458,MetaData!$E$2:$G$40,3,false)</f>
        <v>Khadafi (XII)</v>
      </c>
      <c r="K458" s="83"/>
    </row>
    <row r="459" ht="15.75" customHeight="1">
      <c r="A459" s="84">
        <v>530.0</v>
      </c>
      <c r="B459" s="77">
        <v>32.0</v>
      </c>
      <c r="C459" s="77" t="s">
        <v>1239</v>
      </c>
      <c r="D459" s="77">
        <v>2.5261038E8</v>
      </c>
      <c r="E459" s="78" t="s">
        <v>391</v>
      </c>
      <c r="F459" s="77" t="s">
        <v>782</v>
      </c>
      <c r="G459" s="79" t="s">
        <v>74</v>
      </c>
      <c r="H459" s="79" t="str">
        <f>VLOOKUP(G459,MetaData!$A$2:$C$13,3,false)</f>
        <v>Rahmalia Dewi, S.Si</v>
      </c>
      <c r="I459" s="79" t="s">
        <v>377</v>
      </c>
      <c r="J459" s="79" t="str">
        <f>VLOOKUP(I459,MetaData!$E$2:$G$40,3,false)</f>
        <v>Khadafi (XII)</v>
      </c>
      <c r="K459" s="80"/>
    </row>
    <row r="460" ht="15.75" customHeight="1">
      <c r="A460" s="85">
        <v>531.0</v>
      </c>
      <c r="B460" s="77">
        <v>33.0</v>
      </c>
      <c r="C460" s="77" t="s">
        <v>1240</v>
      </c>
      <c r="D460" s="77">
        <v>2.52610385E8</v>
      </c>
      <c r="E460" s="78" t="s">
        <v>581</v>
      </c>
      <c r="F460" s="77" t="s">
        <v>784</v>
      </c>
      <c r="G460" s="82" t="s">
        <v>74</v>
      </c>
      <c r="H460" s="82" t="str">
        <f>VLOOKUP(G460,MetaData!$A$2:$C$13,3,false)</f>
        <v>Rahmalia Dewi, S.Si</v>
      </c>
      <c r="I460" s="82" t="s">
        <v>577</v>
      </c>
      <c r="J460" s="82" t="str">
        <f>VLOOKUP(I460,MetaData!$E$2:$G$40,3,false)</f>
        <v>Annisa Alya (XII)</v>
      </c>
      <c r="K460" s="83"/>
    </row>
    <row r="461" ht="15.75" customHeight="1">
      <c r="A461" s="84">
        <v>532.0</v>
      </c>
      <c r="B461" s="77">
        <v>34.0</v>
      </c>
      <c r="C461" s="77" t="s">
        <v>1241</v>
      </c>
      <c r="D461" s="77">
        <v>2.52610388E8</v>
      </c>
      <c r="E461" s="78" t="s">
        <v>436</v>
      </c>
      <c r="F461" s="77" t="s">
        <v>784</v>
      </c>
      <c r="G461" s="79" t="s">
        <v>74</v>
      </c>
      <c r="H461" s="79" t="str">
        <f>VLOOKUP(G461,MetaData!$A$2:$C$13,3,false)</f>
        <v>Rahmalia Dewi, S.Si</v>
      </c>
      <c r="I461" s="79" t="s">
        <v>428</v>
      </c>
      <c r="J461" s="79" t="str">
        <f>VLOOKUP(I461,MetaData!$E$2:$G$40,3,false)</f>
        <v>Iga</v>
      </c>
      <c r="K461" s="80"/>
    </row>
    <row r="462" ht="15.75" customHeight="1">
      <c r="A462" s="85">
        <v>533.0</v>
      </c>
      <c r="B462" s="77">
        <v>35.0</v>
      </c>
      <c r="C462" s="77" t="s">
        <v>1242</v>
      </c>
      <c r="D462" s="77">
        <v>2.52610417E8</v>
      </c>
      <c r="E462" s="78" t="s">
        <v>438</v>
      </c>
      <c r="F462" s="77" t="s">
        <v>784</v>
      </c>
      <c r="G462" s="82" t="s">
        <v>74</v>
      </c>
      <c r="H462" s="82" t="str">
        <f>VLOOKUP(G462,MetaData!$A$2:$C$13,3,false)</f>
        <v>Rahmalia Dewi, S.Si</v>
      </c>
      <c r="I462" s="82" t="s">
        <v>428</v>
      </c>
      <c r="J462" s="82" t="str">
        <f>VLOOKUP(I462,MetaData!$E$2:$G$40,3,false)</f>
        <v>Iga</v>
      </c>
      <c r="K462" s="83"/>
    </row>
    <row r="463" ht="15.75" customHeight="1">
      <c r="A463" s="84">
        <v>534.0</v>
      </c>
      <c r="B463" s="77">
        <v>36.0</v>
      </c>
      <c r="C463" s="77" t="s">
        <v>1243</v>
      </c>
      <c r="D463" s="77">
        <v>2.52610458E8</v>
      </c>
      <c r="E463" s="78" t="s">
        <v>392</v>
      </c>
      <c r="F463" s="77" t="s">
        <v>782</v>
      </c>
      <c r="G463" s="79" t="s">
        <v>74</v>
      </c>
      <c r="H463" s="79" t="str">
        <f>VLOOKUP(G463,MetaData!$A$2:$C$13,3,false)</f>
        <v>Rahmalia Dewi, S.Si</v>
      </c>
      <c r="I463" s="79" t="s">
        <v>377</v>
      </c>
      <c r="J463" s="79" t="str">
        <f>VLOOKUP(I463,MetaData!$E$2:$G$40,3,false)</f>
        <v>Khadafi (XII)</v>
      </c>
      <c r="K463" s="80"/>
    </row>
    <row r="464" ht="15.75" customHeight="1">
      <c r="A464" s="85">
        <v>535.0</v>
      </c>
      <c r="B464" s="77">
        <v>37.0</v>
      </c>
      <c r="C464" s="77" t="s">
        <v>1244</v>
      </c>
      <c r="D464" s="77">
        <v>2.52610482E8</v>
      </c>
      <c r="E464" s="78" t="s">
        <v>393</v>
      </c>
      <c r="F464" s="77" t="s">
        <v>782</v>
      </c>
      <c r="G464" s="82" t="s">
        <v>74</v>
      </c>
      <c r="H464" s="82" t="str">
        <f>VLOOKUP(G464,MetaData!$A$2:$C$13,3,false)</f>
        <v>Rahmalia Dewi, S.Si</v>
      </c>
      <c r="I464" s="82" t="s">
        <v>377</v>
      </c>
      <c r="J464" s="82" t="str">
        <f>VLOOKUP(I464,MetaData!$E$2:$G$40,3,false)</f>
        <v>Khadafi (XII)</v>
      </c>
      <c r="K464" s="83"/>
    </row>
    <row r="465" ht="15.75" customHeight="1">
      <c r="A465" s="84">
        <v>536.0</v>
      </c>
      <c r="B465" s="77">
        <v>38.0</v>
      </c>
      <c r="C465" s="77" t="s">
        <v>1245</v>
      </c>
      <c r="D465" s="77">
        <v>2.52610499E8</v>
      </c>
      <c r="E465" s="78" t="s">
        <v>582</v>
      </c>
      <c r="F465" s="77" t="s">
        <v>784</v>
      </c>
      <c r="G465" s="79" t="s">
        <v>74</v>
      </c>
      <c r="H465" s="79" t="str">
        <f>VLOOKUP(G465,MetaData!$A$2:$C$13,3,false)</f>
        <v>Rahmalia Dewi, S.Si</v>
      </c>
      <c r="I465" s="79" t="s">
        <v>577</v>
      </c>
      <c r="J465" s="79" t="str">
        <f>VLOOKUP(I465,MetaData!$E$2:$G$40,3,false)</f>
        <v>Annisa Alya (XII)</v>
      </c>
      <c r="K465" s="80"/>
    </row>
    <row r="466" ht="15.75" customHeight="1">
      <c r="A466" s="85">
        <v>537.0</v>
      </c>
      <c r="B466" s="77">
        <v>39.0</v>
      </c>
      <c r="C466" s="77" t="s">
        <v>1246</v>
      </c>
      <c r="D466" s="77">
        <v>2.52610503E8</v>
      </c>
      <c r="E466" s="78" t="s">
        <v>583</v>
      </c>
      <c r="F466" s="77" t="s">
        <v>784</v>
      </c>
      <c r="G466" s="82" t="s">
        <v>74</v>
      </c>
      <c r="H466" s="82" t="str">
        <f>VLOOKUP(G466,MetaData!$A$2:$C$13,3,false)</f>
        <v>Rahmalia Dewi, S.Si</v>
      </c>
      <c r="I466" s="82" t="s">
        <v>577</v>
      </c>
      <c r="J466" s="82" t="str">
        <f>VLOOKUP(I466,MetaData!$E$2:$G$40,3,false)</f>
        <v>Annisa Alya (XII)</v>
      </c>
      <c r="K466" s="83"/>
    </row>
    <row r="467" ht="15.75" customHeight="1">
      <c r="A467" s="84">
        <v>538.0</v>
      </c>
      <c r="B467" s="77">
        <v>40.0</v>
      </c>
      <c r="C467" s="77" t="s">
        <v>1247</v>
      </c>
      <c r="D467" s="77">
        <v>2.52610506E8</v>
      </c>
      <c r="E467" s="78" t="s">
        <v>584</v>
      </c>
      <c r="F467" s="77" t="s">
        <v>784</v>
      </c>
      <c r="G467" s="79" t="s">
        <v>74</v>
      </c>
      <c r="H467" s="79" t="str">
        <f>VLOOKUP(G467,MetaData!$A$2:$C$13,3,false)</f>
        <v>Rahmalia Dewi, S.Si</v>
      </c>
      <c r="I467" s="79" t="s">
        <v>577</v>
      </c>
      <c r="J467" s="79" t="str">
        <f>VLOOKUP(I467,MetaData!$E$2:$G$40,3,false)</f>
        <v>Annisa Alya (XII)</v>
      </c>
      <c r="K467" s="80"/>
    </row>
    <row r="468" ht="15.75" customHeight="1">
      <c r="A468" s="85">
        <v>539.0</v>
      </c>
      <c r="B468" s="77">
        <v>41.0</v>
      </c>
      <c r="C468" s="77" t="s">
        <v>1248</v>
      </c>
      <c r="D468" s="77">
        <v>2.52610518E8</v>
      </c>
      <c r="E468" s="78" t="s">
        <v>585</v>
      </c>
      <c r="F468" s="77" t="s">
        <v>784</v>
      </c>
      <c r="G468" s="82" t="s">
        <v>74</v>
      </c>
      <c r="H468" s="82" t="str">
        <f>VLOOKUP(G468,MetaData!$A$2:$C$13,3,false)</f>
        <v>Rahmalia Dewi, S.Si</v>
      </c>
      <c r="I468" s="82" t="s">
        <v>577</v>
      </c>
      <c r="J468" s="82" t="str">
        <f>VLOOKUP(I468,MetaData!$E$2:$G$40,3,false)</f>
        <v>Annisa Alya (XII)</v>
      </c>
      <c r="K468" s="83"/>
    </row>
    <row r="469" ht="15.75" customHeight="1">
      <c r="A469" s="84">
        <v>540.0</v>
      </c>
      <c r="B469" s="77">
        <v>42.0</v>
      </c>
      <c r="C469" s="77" t="s">
        <v>1249</v>
      </c>
      <c r="D469" s="77">
        <v>2.52610524E8</v>
      </c>
      <c r="E469" s="78" t="s">
        <v>586</v>
      </c>
      <c r="F469" s="77" t="s">
        <v>784</v>
      </c>
      <c r="G469" s="79" t="s">
        <v>74</v>
      </c>
      <c r="H469" s="79" t="str">
        <f>VLOOKUP(G469,MetaData!$A$2:$C$13,3,false)</f>
        <v>Rahmalia Dewi, S.Si</v>
      </c>
      <c r="I469" s="79" t="s">
        <v>577</v>
      </c>
      <c r="J469" s="79" t="str">
        <f>VLOOKUP(I469,MetaData!$E$2:$G$40,3,false)</f>
        <v>Annisa Alya (XII)</v>
      </c>
      <c r="K469" s="80"/>
    </row>
    <row r="470" ht="15.75" customHeight="1">
      <c r="A470" s="85">
        <v>541.0</v>
      </c>
      <c r="B470" s="77">
        <v>43.0</v>
      </c>
      <c r="C470" s="77" t="s">
        <v>1250</v>
      </c>
      <c r="D470" s="77">
        <v>2.52610545E8</v>
      </c>
      <c r="E470" s="78" t="s">
        <v>442</v>
      </c>
      <c r="F470" s="77" t="s">
        <v>784</v>
      </c>
      <c r="G470" s="82" t="s">
        <v>74</v>
      </c>
      <c r="H470" s="82" t="str">
        <f>VLOOKUP(G470,MetaData!$A$2:$C$13,3,false)</f>
        <v>Rahmalia Dewi, S.Si</v>
      </c>
      <c r="I470" s="82" t="s">
        <v>428</v>
      </c>
      <c r="J470" s="82" t="str">
        <f>VLOOKUP(I470,MetaData!$E$2:$G$40,3,false)</f>
        <v>Iga</v>
      </c>
      <c r="K470" s="83"/>
    </row>
    <row r="471" ht="15.75" customHeight="1">
      <c r="A471" s="84">
        <v>542.0</v>
      </c>
      <c r="B471" s="77">
        <v>44.0</v>
      </c>
      <c r="C471" s="77" t="s">
        <v>1251</v>
      </c>
      <c r="D471" s="77">
        <v>2.52610551E8</v>
      </c>
      <c r="E471" s="78" t="s">
        <v>587</v>
      </c>
      <c r="F471" s="77" t="s">
        <v>784</v>
      </c>
      <c r="G471" s="79" t="s">
        <v>74</v>
      </c>
      <c r="H471" s="79" t="str">
        <f>VLOOKUP(G471,MetaData!$A$2:$C$13,3,false)</f>
        <v>Rahmalia Dewi, S.Si</v>
      </c>
      <c r="I471" s="79" t="s">
        <v>577</v>
      </c>
      <c r="J471" s="79" t="str">
        <f>VLOOKUP(I471,MetaData!$E$2:$G$40,3,false)</f>
        <v>Annisa Alya (XII)</v>
      </c>
      <c r="K471" s="80"/>
    </row>
    <row r="472" ht="15.75" customHeight="1">
      <c r="A472" s="85">
        <v>543.0</v>
      </c>
      <c r="B472" s="77">
        <v>47.0</v>
      </c>
      <c r="C472" s="77" t="s">
        <v>1252</v>
      </c>
      <c r="D472" s="77">
        <v>2.52610561E8</v>
      </c>
      <c r="E472" s="78" t="s">
        <v>394</v>
      </c>
      <c r="F472" s="77" t="s">
        <v>782</v>
      </c>
      <c r="G472" s="82" t="s">
        <v>74</v>
      </c>
      <c r="H472" s="82" t="str">
        <f>VLOOKUP(G472,MetaData!$A$2:$C$13,3,false)</f>
        <v>Rahmalia Dewi, S.Si</v>
      </c>
      <c r="I472" s="82" t="s">
        <v>377</v>
      </c>
      <c r="J472" s="82" t="str">
        <f>VLOOKUP(I472,MetaData!$E$2:$G$40,3,false)</f>
        <v>Khadafi (XII)</v>
      </c>
      <c r="K472" s="83"/>
    </row>
    <row r="473" ht="15.75" customHeight="1">
      <c r="A473" s="84">
        <v>544.0</v>
      </c>
      <c r="B473" s="77">
        <v>48.0</v>
      </c>
      <c r="C473" s="77" t="s">
        <v>1253</v>
      </c>
      <c r="D473" s="77">
        <v>2.52610565E8</v>
      </c>
      <c r="E473" s="78" t="s">
        <v>588</v>
      </c>
      <c r="F473" s="77" t="s">
        <v>784</v>
      </c>
      <c r="G473" s="79" t="s">
        <v>74</v>
      </c>
      <c r="H473" s="79" t="str">
        <f>VLOOKUP(G473,MetaData!$A$2:$C$13,3,false)</f>
        <v>Rahmalia Dewi, S.Si</v>
      </c>
      <c r="I473" s="79" t="s">
        <v>577</v>
      </c>
      <c r="J473" s="79" t="str">
        <f>VLOOKUP(I473,MetaData!$E$2:$G$40,3,false)</f>
        <v>Annisa Alya (XII)</v>
      </c>
      <c r="K473" s="80"/>
    </row>
    <row r="474" ht="15.75" customHeight="1">
      <c r="A474" s="85">
        <v>551.0</v>
      </c>
      <c r="B474" s="77">
        <v>1.0</v>
      </c>
      <c r="C474" s="77" t="s">
        <v>1254</v>
      </c>
      <c r="D474" s="77">
        <v>2.52610015E8</v>
      </c>
      <c r="E474" s="78" t="s">
        <v>361</v>
      </c>
      <c r="F474" s="77" t="s">
        <v>782</v>
      </c>
      <c r="G474" s="82" t="s">
        <v>79</v>
      </c>
      <c r="H474" s="82" t="str">
        <f>VLOOKUP(G474,MetaData!$A$2:$C$13,3,false)</f>
        <v>Sari Rahayu, S.Pd, M.Pd</v>
      </c>
      <c r="I474" s="82" t="s">
        <v>360</v>
      </c>
      <c r="J474" s="82" t="str">
        <f>VLOOKUP(I474,MetaData!$E$2:$G$40,3,false)</f>
        <v>Almeer (XII)</v>
      </c>
      <c r="K474" s="83"/>
    </row>
    <row r="475" ht="15.75" customHeight="1">
      <c r="A475" s="84">
        <v>552.0</v>
      </c>
      <c r="B475" s="77">
        <v>2.0</v>
      </c>
      <c r="C475" s="77" t="s">
        <v>1255</v>
      </c>
      <c r="D475" s="77">
        <v>2.52610021E8</v>
      </c>
      <c r="E475" s="78" t="s">
        <v>724</v>
      </c>
      <c r="F475" s="77" t="s">
        <v>784</v>
      </c>
      <c r="G475" s="79" t="s">
        <v>79</v>
      </c>
      <c r="H475" s="79" t="str">
        <f>VLOOKUP(G475,MetaData!$A$2:$C$13,3,false)</f>
        <v>Sari Rahayu, S.Pd, M.Pd</v>
      </c>
      <c r="I475" s="79" t="s">
        <v>723</v>
      </c>
      <c r="J475" s="79" t="str">
        <f>VLOOKUP(I475,MetaData!$E$2:$G$40,3,false)</f>
        <v>Ninda (XII)</v>
      </c>
      <c r="K475" s="80"/>
    </row>
    <row r="476" ht="15.75" customHeight="1">
      <c r="A476" s="85">
        <v>553.0</v>
      </c>
      <c r="B476" s="77">
        <v>3.0</v>
      </c>
      <c r="C476" s="77" t="s">
        <v>1256</v>
      </c>
      <c r="D476" s="77">
        <v>2.52610029E8</v>
      </c>
      <c r="E476" s="78" t="s">
        <v>725</v>
      </c>
      <c r="F476" s="77" t="s">
        <v>784</v>
      </c>
      <c r="G476" s="82" t="s">
        <v>79</v>
      </c>
      <c r="H476" s="82" t="str">
        <f>VLOOKUP(G476,MetaData!$A$2:$C$13,3,false)</f>
        <v>Sari Rahayu, S.Pd, M.Pd</v>
      </c>
      <c r="I476" s="82" t="s">
        <v>723</v>
      </c>
      <c r="J476" s="82" t="str">
        <f>VLOOKUP(I476,MetaData!$E$2:$G$40,3,false)</f>
        <v>Ninda (XII)</v>
      </c>
      <c r="K476" s="83"/>
    </row>
    <row r="477" ht="15.75" customHeight="1">
      <c r="A477" s="84">
        <v>554.0</v>
      </c>
      <c r="B477" s="77">
        <v>4.0</v>
      </c>
      <c r="C477" s="77" t="s">
        <v>1257</v>
      </c>
      <c r="D477" s="77">
        <v>2.5261003E8</v>
      </c>
      <c r="E477" s="78" t="s">
        <v>726</v>
      </c>
      <c r="F477" s="77" t="s">
        <v>784</v>
      </c>
      <c r="G477" s="79" t="s">
        <v>79</v>
      </c>
      <c r="H477" s="79" t="str">
        <f>VLOOKUP(G477,MetaData!$A$2:$C$13,3,false)</f>
        <v>Sari Rahayu, S.Pd, M.Pd</v>
      </c>
      <c r="I477" s="79" t="s">
        <v>723</v>
      </c>
      <c r="J477" s="79" t="str">
        <f>VLOOKUP(I477,MetaData!$E$2:$G$40,3,false)</f>
        <v>Ninda (XII)</v>
      </c>
      <c r="K477" s="80"/>
    </row>
    <row r="478" ht="15.75" customHeight="1">
      <c r="A478" s="85">
        <v>555.0</v>
      </c>
      <c r="B478" s="77">
        <v>5.0</v>
      </c>
      <c r="C478" s="77" t="s">
        <v>1258</v>
      </c>
      <c r="D478" s="77">
        <v>2.52610046E8</v>
      </c>
      <c r="E478" s="78" t="s">
        <v>727</v>
      </c>
      <c r="F478" s="77" t="s">
        <v>784</v>
      </c>
      <c r="G478" s="82" t="s">
        <v>79</v>
      </c>
      <c r="H478" s="82" t="str">
        <f>VLOOKUP(G478,MetaData!$A$2:$C$13,3,false)</f>
        <v>Sari Rahayu, S.Pd, M.Pd</v>
      </c>
      <c r="I478" s="82" t="s">
        <v>723</v>
      </c>
      <c r="J478" s="82" t="str">
        <f>VLOOKUP(I478,MetaData!$E$2:$G$40,3,false)</f>
        <v>Ninda (XII)</v>
      </c>
      <c r="K478" s="83"/>
    </row>
    <row r="479" ht="15.75" customHeight="1">
      <c r="A479" s="84">
        <v>556.0</v>
      </c>
      <c r="B479" s="77">
        <v>6.0</v>
      </c>
      <c r="C479" s="77" t="s">
        <v>1259</v>
      </c>
      <c r="D479" s="77">
        <v>2.52610068E8</v>
      </c>
      <c r="E479" s="78" t="s">
        <v>728</v>
      </c>
      <c r="F479" s="77" t="s">
        <v>784</v>
      </c>
      <c r="G479" s="79" t="s">
        <v>79</v>
      </c>
      <c r="H479" s="79" t="str">
        <f>VLOOKUP(G479,MetaData!$A$2:$C$13,3,false)</f>
        <v>Sari Rahayu, S.Pd, M.Pd</v>
      </c>
      <c r="I479" s="79" t="s">
        <v>723</v>
      </c>
      <c r="J479" s="79" t="str">
        <f>VLOOKUP(I479,MetaData!$E$2:$G$40,3,false)</f>
        <v>Ninda (XII)</v>
      </c>
      <c r="K479" s="80"/>
    </row>
    <row r="480" ht="15.75" customHeight="1">
      <c r="A480" s="85">
        <v>557.0</v>
      </c>
      <c r="B480" s="77">
        <v>7.0</v>
      </c>
      <c r="C480" s="77" t="s">
        <v>1260</v>
      </c>
      <c r="D480" s="77">
        <v>2.5261008E8</v>
      </c>
      <c r="E480" s="78" t="s">
        <v>362</v>
      </c>
      <c r="F480" s="77" t="s">
        <v>782</v>
      </c>
      <c r="G480" s="82" t="s">
        <v>79</v>
      </c>
      <c r="H480" s="82" t="str">
        <f>VLOOKUP(G480,MetaData!$A$2:$C$13,3,false)</f>
        <v>Sari Rahayu, S.Pd, M.Pd</v>
      </c>
      <c r="I480" s="82" t="s">
        <v>360</v>
      </c>
      <c r="J480" s="82" t="str">
        <f>VLOOKUP(I480,MetaData!$E$2:$G$40,3,false)</f>
        <v>Almeer (XII)</v>
      </c>
      <c r="K480" s="83"/>
    </row>
    <row r="481" ht="15.75" customHeight="1">
      <c r="A481" s="84">
        <v>558.0</v>
      </c>
      <c r="B481" s="77">
        <v>8.0</v>
      </c>
      <c r="C481" s="77" t="s">
        <v>1261</v>
      </c>
      <c r="D481" s="77">
        <v>2.52610081E8</v>
      </c>
      <c r="E481" s="78" t="s">
        <v>729</v>
      </c>
      <c r="F481" s="77" t="s">
        <v>784</v>
      </c>
      <c r="G481" s="79" t="s">
        <v>79</v>
      </c>
      <c r="H481" s="79" t="str">
        <f>VLOOKUP(G481,MetaData!$A$2:$C$13,3,false)</f>
        <v>Sari Rahayu, S.Pd, M.Pd</v>
      </c>
      <c r="I481" s="79" t="s">
        <v>723</v>
      </c>
      <c r="J481" s="79" t="str">
        <f>VLOOKUP(I481,MetaData!$E$2:$G$40,3,false)</f>
        <v>Ninda (XII)</v>
      </c>
      <c r="K481" s="80"/>
    </row>
    <row r="482" ht="15.75" customHeight="1">
      <c r="A482" s="85">
        <v>559.0</v>
      </c>
      <c r="B482" s="77">
        <v>10.0</v>
      </c>
      <c r="C482" s="77" t="s">
        <v>1262</v>
      </c>
      <c r="D482" s="77">
        <v>2.52610106E8</v>
      </c>
      <c r="E482" s="78" t="s">
        <v>447</v>
      </c>
      <c r="F482" s="77" t="s">
        <v>784</v>
      </c>
      <c r="G482" s="82" t="s">
        <v>79</v>
      </c>
      <c r="H482" s="82" t="str">
        <f>VLOOKUP(G482,MetaData!$A$2:$C$13,3,false)</f>
        <v>Sari Rahayu, S.Pd, M.Pd</v>
      </c>
      <c r="I482" s="82" t="s">
        <v>443</v>
      </c>
      <c r="J482" s="82" t="str">
        <f>VLOOKUP(I482,MetaData!$E$2:$G$40,3,false)</f>
        <v>Ayun</v>
      </c>
      <c r="K482" s="83"/>
    </row>
    <row r="483" ht="15.75" customHeight="1">
      <c r="A483" s="84">
        <v>560.0</v>
      </c>
      <c r="B483" s="77">
        <v>11.0</v>
      </c>
      <c r="C483" s="77" t="s">
        <v>1263</v>
      </c>
      <c r="D483" s="77">
        <v>2.52610107E8</v>
      </c>
      <c r="E483" s="78" t="s">
        <v>730</v>
      </c>
      <c r="F483" s="77" t="s">
        <v>784</v>
      </c>
      <c r="G483" s="79" t="s">
        <v>79</v>
      </c>
      <c r="H483" s="79" t="str">
        <f>VLOOKUP(G483,MetaData!$A$2:$C$13,3,false)</f>
        <v>Sari Rahayu, S.Pd, M.Pd</v>
      </c>
      <c r="I483" s="79" t="s">
        <v>723</v>
      </c>
      <c r="J483" s="79" t="str">
        <f>VLOOKUP(I483,MetaData!$E$2:$G$40,3,false)</f>
        <v>Ninda (XII)</v>
      </c>
      <c r="K483" s="80"/>
    </row>
    <row r="484" ht="15.75" customHeight="1">
      <c r="A484" s="85">
        <v>561.0</v>
      </c>
      <c r="B484" s="77">
        <v>12.0</v>
      </c>
      <c r="C484" s="77" t="s">
        <v>1264</v>
      </c>
      <c r="D484" s="77">
        <v>2.52610127E8</v>
      </c>
      <c r="E484" s="78" t="s">
        <v>363</v>
      </c>
      <c r="F484" s="77" t="s">
        <v>782</v>
      </c>
      <c r="G484" s="82" t="s">
        <v>79</v>
      </c>
      <c r="H484" s="82" t="str">
        <f>VLOOKUP(G484,MetaData!$A$2:$C$13,3,false)</f>
        <v>Sari Rahayu, S.Pd, M.Pd</v>
      </c>
      <c r="I484" s="82" t="s">
        <v>360</v>
      </c>
      <c r="J484" s="82" t="str">
        <f>VLOOKUP(I484,MetaData!$E$2:$G$40,3,false)</f>
        <v>Almeer (XII)</v>
      </c>
      <c r="K484" s="83"/>
    </row>
    <row r="485" ht="15.75" customHeight="1">
      <c r="A485" s="84">
        <v>562.0</v>
      </c>
      <c r="B485" s="77">
        <v>13.0</v>
      </c>
      <c r="C485" s="77" t="s">
        <v>1265</v>
      </c>
      <c r="D485" s="77">
        <v>2.52610143E8</v>
      </c>
      <c r="E485" s="78" t="s">
        <v>364</v>
      </c>
      <c r="F485" s="77" t="s">
        <v>782</v>
      </c>
      <c r="G485" s="79" t="s">
        <v>79</v>
      </c>
      <c r="H485" s="79" t="str">
        <f>VLOOKUP(G485,MetaData!$A$2:$C$13,3,false)</f>
        <v>Sari Rahayu, S.Pd, M.Pd</v>
      </c>
      <c r="I485" s="79" t="s">
        <v>360</v>
      </c>
      <c r="J485" s="79" t="str">
        <f>VLOOKUP(I485,MetaData!$E$2:$G$40,3,false)</f>
        <v>Almeer (XII)</v>
      </c>
      <c r="K485" s="80"/>
    </row>
    <row r="486" ht="15.75" customHeight="1">
      <c r="A486" s="85">
        <v>563.0</v>
      </c>
      <c r="B486" s="77">
        <v>14.0</v>
      </c>
      <c r="C486" s="77" t="s">
        <v>1266</v>
      </c>
      <c r="D486" s="77">
        <v>2.52610147E8</v>
      </c>
      <c r="E486" s="78" t="s">
        <v>365</v>
      </c>
      <c r="F486" s="77" t="s">
        <v>782</v>
      </c>
      <c r="G486" s="82" t="s">
        <v>79</v>
      </c>
      <c r="H486" s="82" t="str">
        <f>VLOOKUP(G486,MetaData!$A$2:$C$13,3,false)</f>
        <v>Sari Rahayu, S.Pd, M.Pd</v>
      </c>
      <c r="I486" s="82" t="s">
        <v>360</v>
      </c>
      <c r="J486" s="82" t="str">
        <f>VLOOKUP(I486,MetaData!$E$2:$G$40,3,false)</f>
        <v>Almeer (XII)</v>
      </c>
      <c r="K486" s="83"/>
    </row>
    <row r="487" ht="15.75" customHeight="1">
      <c r="A487" s="84">
        <v>564.0</v>
      </c>
      <c r="B487" s="77">
        <v>15.0</v>
      </c>
      <c r="C487" s="77" t="s">
        <v>1267</v>
      </c>
      <c r="D487" s="77">
        <v>2.52610149E8</v>
      </c>
      <c r="E487" s="78" t="s">
        <v>731</v>
      </c>
      <c r="F487" s="77" t="s">
        <v>784</v>
      </c>
      <c r="G487" s="79" t="s">
        <v>79</v>
      </c>
      <c r="H487" s="79" t="str">
        <f>VLOOKUP(G487,MetaData!$A$2:$C$13,3,false)</f>
        <v>Sari Rahayu, S.Pd, M.Pd</v>
      </c>
      <c r="I487" s="79" t="s">
        <v>723</v>
      </c>
      <c r="J487" s="79" t="str">
        <f>VLOOKUP(I487,MetaData!$E$2:$G$40,3,false)</f>
        <v>Ninda (XII)</v>
      </c>
      <c r="K487" s="80"/>
    </row>
    <row r="488" ht="15.75" customHeight="1">
      <c r="A488" s="85">
        <v>565.0</v>
      </c>
      <c r="B488" s="77">
        <v>16.0</v>
      </c>
      <c r="C488" s="77" t="s">
        <v>1268</v>
      </c>
      <c r="D488" s="77">
        <v>2.52610152E8</v>
      </c>
      <c r="E488" s="78" t="s">
        <v>732</v>
      </c>
      <c r="F488" s="77" t="s">
        <v>784</v>
      </c>
      <c r="G488" s="82" t="s">
        <v>79</v>
      </c>
      <c r="H488" s="82" t="str">
        <f>VLOOKUP(G488,MetaData!$A$2:$C$13,3,false)</f>
        <v>Sari Rahayu, S.Pd, M.Pd</v>
      </c>
      <c r="I488" s="82" t="s">
        <v>723</v>
      </c>
      <c r="J488" s="82" t="str">
        <f>VLOOKUP(I488,MetaData!$E$2:$G$40,3,false)</f>
        <v>Ninda (XII)</v>
      </c>
      <c r="K488" s="83"/>
    </row>
    <row r="489" ht="15.75" customHeight="1">
      <c r="A489" s="84">
        <v>566.0</v>
      </c>
      <c r="B489" s="77">
        <v>17.0</v>
      </c>
      <c r="C489" s="77" t="s">
        <v>1269</v>
      </c>
      <c r="D489" s="77">
        <v>2.52610208E8</v>
      </c>
      <c r="E489" s="78" t="s">
        <v>733</v>
      </c>
      <c r="F489" s="77" t="s">
        <v>784</v>
      </c>
      <c r="G489" s="79" t="s">
        <v>79</v>
      </c>
      <c r="H489" s="79" t="str">
        <f>VLOOKUP(G489,MetaData!$A$2:$C$13,3,false)</f>
        <v>Sari Rahayu, S.Pd, M.Pd</v>
      </c>
      <c r="I489" s="79" t="s">
        <v>723</v>
      </c>
      <c r="J489" s="79" t="str">
        <f>VLOOKUP(I489,MetaData!$E$2:$G$40,3,false)</f>
        <v>Ninda (XII)</v>
      </c>
      <c r="K489" s="80"/>
    </row>
    <row r="490" ht="15.75" customHeight="1">
      <c r="A490" s="85">
        <v>567.0</v>
      </c>
      <c r="B490" s="77">
        <v>18.0</v>
      </c>
      <c r="C490" s="77" t="s">
        <v>1270</v>
      </c>
      <c r="D490" s="77">
        <v>2.52610218E8</v>
      </c>
      <c r="E490" s="78" t="s">
        <v>366</v>
      </c>
      <c r="F490" s="77" t="s">
        <v>782</v>
      </c>
      <c r="G490" s="82" t="s">
        <v>79</v>
      </c>
      <c r="H490" s="82" t="str">
        <f>VLOOKUP(G490,MetaData!$A$2:$C$13,3,false)</f>
        <v>Sari Rahayu, S.Pd, M.Pd</v>
      </c>
      <c r="I490" s="82" t="s">
        <v>360</v>
      </c>
      <c r="J490" s="82" t="str">
        <f>VLOOKUP(I490,MetaData!$E$2:$G$40,3,false)</f>
        <v>Almeer (XII)</v>
      </c>
      <c r="K490" s="83"/>
    </row>
    <row r="491" ht="15.75" customHeight="1">
      <c r="A491" s="84">
        <v>568.0</v>
      </c>
      <c r="B491" s="77">
        <v>19.0</v>
      </c>
      <c r="C491" s="77" t="s">
        <v>1271</v>
      </c>
      <c r="D491" s="77">
        <v>2.52610267E8</v>
      </c>
      <c r="E491" s="78" t="s">
        <v>734</v>
      </c>
      <c r="F491" s="77" t="s">
        <v>784</v>
      </c>
      <c r="G491" s="79" t="s">
        <v>79</v>
      </c>
      <c r="H491" s="79" t="str">
        <f>VLOOKUP(G491,MetaData!$A$2:$C$13,3,false)</f>
        <v>Sari Rahayu, S.Pd, M.Pd</v>
      </c>
      <c r="I491" s="79" t="s">
        <v>723</v>
      </c>
      <c r="J491" s="79" t="str">
        <f>VLOOKUP(I491,MetaData!$E$2:$G$40,3,false)</f>
        <v>Ninda (XII)</v>
      </c>
      <c r="K491" s="80"/>
    </row>
    <row r="492" ht="15.75" customHeight="1">
      <c r="A492" s="85">
        <v>569.0</v>
      </c>
      <c r="B492" s="77">
        <v>20.0</v>
      </c>
      <c r="C492" s="77" t="s">
        <v>1272</v>
      </c>
      <c r="D492" s="77">
        <v>2.52610269E8</v>
      </c>
      <c r="E492" s="78" t="s">
        <v>367</v>
      </c>
      <c r="F492" s="77" t="s">
        <v>782</v>
      </c>
      <c r="G492" s="82" t="s">
        <v>79</v>
      </c>
      <c r="H492" s="82" t="str">
        <f>VLOOKUP(G492,MetaData!$A$2:$C$13,3,false)</f>
        <v>Sari Rahayu, S.Pd, M.Pd</v>
      </c>
      <c r="I492" s="82" t="s">
        <v>360</v>
      </c>
      <c r="J492" s="82" t="str">
        <f>VLOOKUP(I492,MetaData!$E$2:$G$40,3,false)</f>
        <v>Almeer (XII)</v>
      </c>
      <c r="K492" s="83"/>
    </row>
    <row r="493" ht="15.75" customHeight="1">
      <c r="A493" s="84">
        <v>570.0</v>
      </c>
      <c r="B493" s="77">
        <v>21.0</v>
      </c>
      <c r="C493" s="77" t="s">
        <v>1273</v>
      </c>
      <c r="D493" s="77">
        <v>2.5261027E8</v>
      </c>
      <c r="E493" s="78" t="s">
        <v>735</v>
      </c>
      <c r="F493" s="77" t="s">
        <v>784</v>
      </c>
      <c r="G493" s="79" t="s">
        <v>79</v>
      </c>
      <c r="H493" s="79" t="str">
        <f>VLOOKUP(G493,MetaData!$A$2:$C$13,3,false)</f>
        <v>Sari Rahayu, S.Pd, M.Pd</v>
      </c>
      <c r="I493" s="79" t="s">
        <v>723</v>
      </c>
      <c r="J493" s="79" t="str">
        <f>VLOOKUP(I493,MetaData!$E$2:$G$40,3,false)</f>
        <v>Ninda (XII)</v>
      </c>
      <c r="K493" s="80"/>
    </row>
    <row r="494" ht="15.75" customHeight="1">
      <c r="A494" s="85">
        <v>571.0</v>
      </c>
      <c r="B494" s="77">
        <v>22.0</v>
      </c>
      <c r="C494" s="77" t="s">
        <v>1274</v>
      </c>
      <c r="D494" s="77">
        <v>2.52610271E8</v>
      </c>
      <c r="E494" s="78" t="s">
        <v>368</v>
      </c>
      <c r="F494" s="77" t="s">
        <v>782</v>
      </c>
      <c r="G494" s="82" t="s">
        <v>79</v>
      </c>
      <c r="H494" s="82" t="str">
        <f>VLOOKUP(G494,MetaData!$A$2:$C$13,3,false)</f>
        <v>Sari Rahayu, S.Pd, M.Pd</v>
      </c>
      <c r="I494" s="82" t="s">
        <v>360</v>
      </c>
      <c r="J494" s="82" t="str">
        <f>VLOOKUP(I494,MetaData!$E$2:$G$40,3,false)</f>
        <v>Almeer (XII)</v>
      </c>
      <c r="K494" s="83"/>
    </row>
    <row r="495" ht="15.75" customHeight="1">
      <c r="A495" s="84">
        <v>572.0</v>
      </c>
      <c r="B495" s="77">
        <v>23.0</v>
      </c>
      <c r="C495" s="77" t="s">
        <v>1275</v>
      </c>
      <c r="D495" s="77">
        <v>2.52610296E8</v>
      </c>
      <c r="E495" s="78" t="s">
        <v>565</v>
      </c>
      <c r="F495" s="77" t="s">
        <v>784</v>
      </c>
      <c r="G495" s="79" t="s">
        <v>79</v>
      </c>
      <c r="H495" s="79" t="str">
        <f>VLOOKUP(G495,MetaData!$A$2:$C$13,3,false)</f>
        <v>Sari Rahayu, S.Pd, M.Pd</v>
      </c>
      <c r="I495" s="79" t="s">
        <v>564</v>
      </c>
      <c r="J495" s="79" t="str">
        <f>VLOOKUP(I495,MetaData!$E$2:$G$40,3,false)</f>
        <v>Fiona (XI)</v>
      </c>
      <c r="K495" s="80"/>
    </row>
    <row r="496" ht="15.75" customHeight="1">
      <c r="A496" s="85">
        <v>573.0</v>
      </c>
      <c r="B496" s="77">
        <v>24.0</v>
      </c>
      <c r="C496" s="77" t="s">
        <v>1276</v>
      </c>
      <c r="D496" s="77">
        <v>2.52610298E8</v>
      </c>
      <c r="E496" s="78" t="s">
        <v>369</v>
      </c>
      <c r="F496" s="77" t="s">
        <v>782</v>
      </c>
      <c r="G496" s="82" t="s">
        <v>79</v>
      </c>
      <c r="H496" s="82" t="str">
        <f>VLOOKUP(G496,MetaData!$A$2:$C$13,3,false)</f>
        <v>Sari Rahayu, S.Pd, M.Pd</v>
      </c>
      <c r="I496" s="82" t="s">
        <v>360</v>
      </c>
      <c r="J496" s="82" t="str">
        <f>VLOOKUP(I496,MetaData!$E$2:$G$40,3,false)</f>
        <v>Almeer (XII)</v>
      </c>
      <c r="K496" s="83"/>
    </row>
    <row r="497" ht="15.75" customHeight="1">
      <c r="A497" s="84">
        <v>574.0</v>
      </c>
      <c r="B497" s="77">
        <v>26.0</v>
      </c>
      <c r="C497" s="77" t="s">
        <v>1277</v>
      </c>
      <c r="D497" s="77">
        <v>2.52610307E8</v>
      </c>
      <c r="E497" s="78" t="s">
        <v>566</v>
      </c>
      <c r="F497" s="77" t="s">
        <v>784</v>
      </c>
      <c r="G497" s="79" t="s">
        <v>79</v>
      </c>
      <c r="H497" s="79" t="str">
        <f>VLOOKUP(G497,MetaData!$A$2:$C$13,3,false)</f>
        <v>Sari Rahayu, S.Pd, M.Pd</v>
      </c>
      <c r="I497" s="79" t="s">
        <v>564</v>
      </c>
      <c r="J497" s="79" t="str">
        <f>VLOOKUP(I497,MetaData!$E$2:$G$40,3,false)</f>
        <v>Fiona (XI)</v>
      </c>
      <c r="K497" s="80"/>
    </row>
    <row r="498" ht="15.75" customHeight="1">
      <c r="A498" s="85">
        <v>575.0</v>
      </c>
      <c r="B498" s="77">
        <v>27.0</v>
      </c>
      <c r="C498" s="77" t="s">
        <v>1278</v>
      </c>
      <c r="D498" s="77">
        <v>2.52610331E8</v>
      </c>
      <c r="E498" s="78" t="s">
        <v>370</v>
      </c>
      <c r="F498" s="77" t="s">
        <v>782</v>
      </c>
      <c r="G498" s="82" t="s">
        <v>79</v>
      </c>
      <c r="H498" s="82" t="str">
        <f>VLOOKUP(G498,MetaData!$A$2:$C$13,3,false)</f>
        <v>Sari Rahayu, S.Pd, M.Pd</v>
      </c>
      <c r="I498" s="82" t="s">
        <v>360</v>
      </c>
      <c r="J498" s="82" t="str">
        <f>VLOOKUP(I498,MetaData!$E$2:$G$40,3,false)</f>
        <v>Almeer (XII)</v>
      </c>
      <c r="K498" s="83"/>
    </row>
    <row r="499" ht="15.75" customHeight="1">
      <c r="A499" s="84">
        <v>576.0</v>
      </c>
      <c r="B499" s="77">
        <v>28.0</v>
      </c>
      <c r="C499" s="77" t="s">
        <v>1279</v>
      </c>
      <c r="D499" s="77">
        <v>2.52610339E8</v>
      </c>
      <c r="E499" s="78" t="s">
        <v>371</v>
      </c>
      <c r="F499" s="77" t="s">
        <v>782</v>
      </c>
      <c r="G499" s="79" t="s">
        <v>79</v>
      </c>
      <c r="H499" s="79" t="str">
        <f>VLOOKUP(G499,MetaData!$A$2:$C$13,3,false)</f>
        <v>Sari Rahayu, S.Pd, M.Pd</v>
      </c>
      <c r="I499" s="79" t="s">
        <v>360</v>
      </c>
      <c r="J499" s="79" t="str">
        <f>VLOOKUP(I499,MetaData!$E$2:$G$40,3,false)</f>
        <v>Almeer (XII)</v>
      </c>
      <c r="K499" s="80"/>
    </row>
    <row r="500" ht="15.75" customHeight="1">
      <c r="A500" s="85">
        <v>577.0</v>
      </c>
      <c r="B500" s="77">
        <v>29.0</v>
      </c>
      <c r="C500" s="77" t="s">
        <v>1280</v>
      </c>
      <c r="D500" s="77">
        <v>2.52610359E8</v>
      </c>
      <c r="E500" s="78" t="s">
        <v>372</v>
      </c>
      <c r="F500" s="77" t="s">
        <v>782</v>
      </c>
      <c r="G500" s="82" t="s">
        <v>79</v>
      </c>
      <c r="H500" s="82" t="str">
        <f>VLOOKUP(G500,MetaData!$A$2:$C$13,3,false)</f>
        <v>Sari Rahayu, S.Pd, M.Pd</v>
      </c>
      <c r="I500" s="82" t="s">
        <v>360</v>
      </c>
      <c r="J500" s="82" t="str">
        <f>VLOOKUP(I500,MetaData!$E$2:$G$40,3,false)</f>
        <v>Almeer (XII)</v>
      </c>
      <c r="K500" s="83"/>
    </row>
    <row r="501" ht="15.75" customHeight="1">
      <c r="A501" s="84">
        <v>578.0</v>
      </c>
      <c r="B501" s="77">
        <v>30.0</v>
      </c>
      <c r="C501" s="77" t="s">
        <v>1281</v>
      </c>
      <c r="D501" s="77">
        <v>2.52610377E8</v>
      </c>
      <c r="E501" s="78" t="s">
        <v>373</v>
      </c>
      <c r="F501" s="77" t="s">
        <v>782</v>
      </c>
      <c r="G501" s="79" t="s">
        <v>79</v>
      </c>
      <c r="H501" s="79" t="str">
        <f>VLOOKUP(G501,MetaData!$A$2:$C$13,3,false)</f>
        <v>Sari Rahayu, S.Pd, M.Pd</v>
      </c>
      <c r="I501" s="79" t="s">
        <v>360</v>
      </c>
      <c r="J501" s="79" t="str">
        <f>VLOOKUP(I501,MetaData!$E$2:$G$40,3,false)</f>
        <v>Almeer (XII)</v>
      </c>
      <c r="K501" s="80"/>
    </row>
    <row r="502" ht="15.75" customHeight="1">
      <c r="A502" s="85">
        <v>579.0</v>
      </c>
      <c r="B502" s="77">
        <v>31.0</v>
      </c>
      <c r="C502" s="77" t="s">
        <v>1282</v>
      </c>
      <c r="D502" s="77">
        <v>2.52610387E8</v>
      </c>
      <c r="E502" s="78" t="s">
        <v>567</v>
      </c>
      <c r="F502" s="77" t="s">
        <v>784</v>
      </c>
      <c r="G502" s="82" t="s">
        <v>79</v>
      </c>
      <c r="H502" s="82" t="str">
        <f>VLOOKUP(G502,MetaData!$A$2:$C$13,3,false)</f>
        <v>Sari Rahayu, S.Pd, M.Pd</v>
      </c>
      <c r="I502" s="82" t="s">
        <v>564</v>
      </c>
      <c r="J502" s="82" t="str">
        <f>VLOOKUP(I502,MetaData!$E$2:$G$40,3,false)</f>
        <v>Fiona (XI)</v>
      </c>
      <c r="K502" s="83"/>
    </row>
    <row r="503" ht="15.75" customHeight="1">
      <c r="A503" s="84">
        <v>580.0</v>
      </c>
      <c r="B503" s="77">
        <v>32.0</v>
      </c>
      <c r="C503" s="77" t="s">
        <v>1283</v>
      </c>
      <c r="D503" s="77">
        <v>2.52610391E8</v>
      </c>
      <c r="E503" s="78" t="s">
        <v>452</v>
      </c>
      <c r="F503" s="77" t="s">
        <v>784</v>
      </c>
      <c r="G503" s="79" t="s">
        <v>79</v>
      </c>
      <c r="H503" s="79" t="str">
        <f>VLOOKUP(G503,MetaData!$A$2:$C$13,3,false)</f>
        <v>Sari Rahayu, S.Pd, M.Pd</v>
      </c>
      <c r="I503" s="79" t="s">
        <v>443</v>
      </c>
      <c r="J503" s="79" t="str">
        <f>VLOOKUP(I503,MetaData!$E$2:$G$40,3,false)</f>
        <v>Ayun</v>
      </c>
      <c r="K503" s="80"/>
    </row>
    <row r="504" ht="15.75" customHeight="1">
      <c r="A504" s="85">
        <v>581.0</v>
      </c>
      <c r="B504" s="77">
        <v>33.0</v>
      </c>
      <c r="C504" s="77" t="s">
        <v>1284</v>
      </c>
      <c r="D504" s="77">
        <v>2.526104E8</v>
      </c>
      <c r="E504" s="78" t="s">
        <v>237</v>
      </c>
      <c r="F504" s="77" t="s">
        <v>782</v>
      </c>
      <c r="G504" s="82" t="s">
        <v>79</v>
      </c>
      <c r="H504" s="82" t="str">
        <f>VLOOKUP(G504,MetaData!$A$2:$C$13,3,false)</f>
        <v>Sari Rahayu, S.Pd, M.Pd</v>
      </c>
      <c r="I504" s="82" t="s">
        <v>220</v>
      </c>
      <c r="J504" s="82" t="str">
        <f>VLOOKUP(I504,MetaData!$E$2:$G$40,3,false)</f>
        <v>Rekhsa</v>
      </c>
      <c r="K504" s="83"/>
    </row>
    <row r="505" ht="15.75" customHeight="1">
      <c r="A505" s="84">
        <v>582.0</v>
      </c>
      <c r="B505" s="77">
        <v>34.0</v>
      </c>
      <c r="C505" s="77" t="s">
        <v>1285</v>
      </c>
      <c r="D505" s="77">
        <v>2.52610405E8</v>
      </c>
      <c r="E505" s="78" t="s">
        <v>568</v>
      </c>
      <c r="F505" s="77" t="s">
        <v>784</v>
      </c>
      <c r="G505" s="79" t="s">
        <v>79</v>
      </c>
      <c r="H505" s="79" t="str">
        <f>VLOOKUP(G505,MetaData!$A$2:$C$13,3,false)</f>
        <v>Sari Rahayu, S.Pd, M.Pd</v>
      </c>
      <c r="I505" s="79" t="s">
        <v>564</v>
      </c>
      <c r="J505" s="79" t="str">
        <f>VLOOKUP(I505,MetaData!$E$2:$G$40,3,false)</f>
        <v>Fiona (XI)</v>
      </c>
      <c r="K505" s="80"/>
    </row>
    <row r="506" ht="15.75" customHeight="1">
      <c r="A506" s="85">
        <v>583.0</v>
      </c>
      <c r="B506" s="77">
        <v>35.0</v>
      </c>
      <c r="C506" s="77" t="s">
        <v>1286</v>
      </c>
      <c r="D506" s="77">
        <v>2.52610407E8</v>
      </c>
      <c r="E506" s="78" t="s">
        <v>569</v>
      </c>
      <c r="F506" s="77" t="s">
        <v>784</v>
      </c>
      <c r="G506" s="82" t="s">
        <v>79</v>
      </c>
      <c r="H506" s="82" t="str">
        <f>VLOOKUP(G506,MetaData!$A$2:$C$13,3,false)</f>
        <v>Sari Rahayu, S.Pd, M.Pd</v>
      </c>
      <c r="I506" s="82" t="s">
        <v>564</v>
      </c>
      <c r="J506" s="82" t="str">
        <f>VLOOKUP(I506,MetaData!$E$2:$G$40,3,false)</f>
        <v>Fiona (XI)</v>
      </c>
      <c r="K506" s="83"/>
    </row>
    <row r="507" ht="15.75" customHeight="1">
      <c r="A507" s="84">
        <v>584.0</v>
      </c>
      <c r="B507" s="77">
        <v>36.0</v>
      </c>
      <c r="C507" s="77" t="s">
        <v>1287</v>
      </c>
      <c r="D507" s="77">
        <v>2.52610411E8</v>
      </c>
      <c r="E507" s="78" t="s">
        <v>570</v>
      </c>
      <c r="F507" s="77" t="s">
        <v>784</v>
      </c>
      <c r="G507" s="79" t="s">
        <v>79</v>
      </c>
      <c r="H507" s="79" t="str">
        <f>VLOOKUP(G507,MetaData!$A$2:$C$13,3,false)</f>
        <v>Sari Rahayu, S.Pd, M.Pd</v>
      </c>
      <c r="I507" s="79" t="s">
        <v>564</v>
      </c>
      <c r="J507" s="79" t="str">
        <f>VLOOKUP(I507,MetaData!$E$2:$G$40,3,false)</f>
        <v>Fiona (XI)</v>
      </c>
      <c r="K507" s="80"/>
    </row>
    <row r="508" ht="15.75" customHeight="1">
      <c r="A508" s="85">
        <v>585.0</v>
      </c>
      <c r="B508" s="77">
        <v>39.0</v>
      </c>
      <c r="C508" s="77" t="s">
        <v>1288</v>
      </c>
      <c r="D508" s="77">
        <v>2.52610448E8</v>
      </c>
      <c r="E508" s="78" t="s">
        <v>374</v>
      </c>
      <c r="F508" s="77" t="s">
        <v>782</v>
      </c>
      <c r="G508" s="82" t="s">
        <v>79</v>
      </c>
      <c r="H508" s="82" t="str">
        <f>VLOOKUP(G508,MetaData!$A$2:$C$13,3,false)</f>
        <v>Sari Rahayu, S.Pd, M.Pd</v>
      </c>
      <c r="I508" s="82" t="s">
        <v>360</v>
      </c>
      <c r="J508" s="82" t="str">
        <f>VLOOKUP(I508,MetaData!$E$2:$G$40,3,false)</f>
        <v>Almeer (XII)</v>
      </c>
      <c r="K508" s="83"/>
    </row>
    <row r="509" ht="15.75" customHeight="1">
      <c r="A509" s="84">
        <v>586.0</v>
      </c>
      <c r="B509" s="77">
        <v>40.0</v>
      </c>
      <c r="C509" s="77" t="s">
        <v>1289</v>
      </c>
      <c r="D509" s="77">
        <v>2.52610455E8</v>
      </c>
      <c r="E509" s="78" t="s">
        <v>375</v>
      </c>
      <c r="F509" s="77" t="s">
        <v>782</v>
      </c>
      <c r="G509" s="79" t="s">
        <v>79</v>
      </c>
      <c r="H509" s="79" t="str">
        <f>VLOOKUP(G509,MetaData!$A$2:$C$13,3,false)</f>
        <v>Sari Rahayu, S.Pd, M.Pd</v>
      </c>
      <c r="I509" s="79" t="s">
        <v>360</v>
      </c>
      <c r="J509" s="79" t="str">
        <f>VLOOKUP(I509,MetaData!$E$2:$G$40,3,false)</f>
        <v>Almeer (XII)</v>
      </c>
      <c r="K509" s="80"/>
    </row>
    <row r="510" ht="15.75" customHeight="1">
      <c r="A510" s="85">
        <v>587.0</v>
      </c>
      <c r="B510" s="77">
        <v>41.0</v>
      </c>
      <c r="C510" s="77" t="s">
        <v>1290</v>
      </c>
      <c r="D510" s="77">
        <v>2.5261049E8</v>
      </c>
      <c r="E510" s="78" t="s">
        <v>455</v>
      </c>
      <c r="F510" s="77" t="s">
        <v>784</v>
      </c>
      <c r="G510" s="82" t="s">
        <v>79</v>
      </c>
      <c r="H510" s="82" t="str">
        <f>VLOOKUP(G510,MetaData!$A$2:$C$13,3,false)</f>
        <v>Sari Rahayu, S.Pd, M.Pd</v>
      </c>
      <c r="I510" s="82" t="s">
        <v>443</v>
      </c>
      <c r="J510" s="82" t="str">
        <f>VLOOKUP(I510,MetaData!$E$2:$G$40,3,false)</f>
        <v>Ayun</v>
      </c>
      <c r="K510" s="83"/>
    </row>
    <row r="511" ht="15.75" customHeight="1">
      <c r="A511" s="84">
        <v>588.0</v>
      </c>
      <c r="B511" s="77">
        <v>42.0</v>
      </c>
      <c r="C511" s="77" t="s">
        <v>1291</v>
      </c>
      <c r="D511" s="77">
        <v>2.52610494E8</v>
      </c>
      <c r="E511" s="78" t="s">
        <v>376</v>
      </c>
      <c r="F511" s="77" t="s">
        <v>782</v>
      </c>
      <c r="G511" s="79" t="s">
        <v>79</v>
      </c>
      <c r="H511" s="79" t="str">
        <f>VLOOKUP(G511,MetaData!$A$2:$C$13,3,false)</f>
        <v>Sari Rahayu, S.Pd, M.Pd</v>
      </c>
      <c r="I511" s="79" t="s">
        <v>360</v>
      </c>
      <c r="J511" s="79" t="str">
        <f>VLOOKUP(I511,MetaData!$E$2:$G$40,3,false)</f>
        <v>Almeer (XII)</v>
      </c>
      <c r="K511" s="80"/>
    </row>
    <row r="512" ht="15.75" customHeight="1">
      <c r="A512" s="85">
        <v>589.0</v>
      </c>
      <c r="B512" s="77">
        <v>43.0</v>
      </c>
      <c r="C512" s="77" t="s">
        <v>1292</v>
      </c>
      <c r="D512" s="77">
        <v>2.52610496E8</v>
      </c>
      <c r="E512" s="78" t="s">
        <v>571</v>
      </c>
      <c r="F512" s="77" t="s">
        <v>784</v>
      </c>
      <c r="G512" s="82" t="s">
        <v>79</v>
      </c>
      <c r="H512" s="82" t="str">
        <f>VLOOKUP(G512,MetaData!$A$2:$C$13,3,false)</f>
        <v>Sari Rahayu, S.Pd, M.Pd</v>
      </c>
      <c r="I512" s="82" t="s">
        <v>564</v>
      </c>
      <c r="J512" s="82" t="str">
        <f>VLOOKUP(I512,MetaData!$E$2:$G$40,3,false)</f>
        <v>Fiona (XI)</v>
      </c>
      <c r="K512" s="83"/>
    </row>
    <row r="513" ht="15.75" customHeight="1">
      <c r="A513" s="84">
        <v>590.0</v>
      </c>
      <c r="B513" s="77">
        <v>44.0</v>
      </c>
      <c r="C513" s="77" t="s">
        <v>1293</v>
      </c>
      <c r="D513" s="77">
        <v>2.52610502E8</v>
      </c>
      <c r="E513" s="78" t="s">
        <v>572</v>
      </c>
      <c r="F513" s="77" t="s">
        <v>784</v>
      </c>
      <c r="G513" s="79" t="s">
        <v>79</v>
      </c>
      <c r="H513" s="79" t="str">
        <f>VLOOKUP(G513,MetaData!$A$2:$C$13,3,false)</f>
        <v>Sari Rahayu, S.Pd, M.Pd</v>
      </c>
      <c r="I513" s="79" t="s">
        <v>564</v>
      </c>
      <c r="J513" s="79" t="str">
        <f>VLOOKUP(I513,MetaData!$E$2:$G$40,3,false)</f>
        <v>Fiona (XI)</v>
      </c>
      <c r="K513" s="80"/>
    </row>
    <row r="514" ht="15.75" customHeight="1">
      <c r="A514" s="85">
        <v>591.0</v>
      </c>
      <c r="B514" s="77">
        <v>45.0</v>
      </c>
      <c r="C514" s="77" t="s">
        <v>1294</v>
      </c>
      <c r="D514" s="77">
        <v>2.52610516E8</v>
      </c>
      <c r="E514" s="78" t="s">
        <v>573</v>
      </c>
      <c r="F514" s="77" t="s">
        <v>784</v>
      </c>
      <c r="G514" s="82" t="s">
        <v>79</v>
      </c>
      <c r="H514" s="82" t="str">
        <f>VLOOKUP(G514,MetaData!$A$2:$C$13,3,false)</f>
        <v>Sari Rahayu, S.Pd, M.Pd</v>
      </c>
      <c r="I514" s="82" t="s">
        <v>564</v>
      </c>
      <c r="J514" s="82" t="str">
        <f>VLOOKUP(I514,MetaData!$E$2:$G$40,3,false)</f>
        <v>Fiona (XI)</v>
      </c>
      <c r="K514" s="83"/>
    </row>
    <row r="515" ht="15.75" customHeight="1">
      <c r="A515" s="84">
        <v>592.0</v>
      </c>
      <c r="B515" s="77">
        <v>46.0</v>
      </c>
      <c r="C515" s="77" t="s">
        <v>1295</v>
      </c>
      <c r="D515" s="77">
        <v>2.52610531E8</v>
      </c>
      <c r="E515" s="78" t="s">
        <v>574</v>
      </c>
      <c r="F515" s="77" t="s">
        <v>784</v>
      </c>
      <c r="G515" s="79" t="s">
        <v>79</v>
      </c>
      <c r="H515" s="79" t="str">
        <f>VLOOKUP(G515,MetaData!$A$2:$C$13,3,false)</f>
        <v>Sari Rahayu, S.Pd, M.Pd</v>
      </c>
      <c r="I515" s="79" t="s">
        <v>564</v>
      </c>
      <c r="J515" s="79" t="str">
        <f>VLOOKUP(I515,MetaData!$E$2:$G$40,3,false)</f>
        <v>Fiona (XI)</v>
      </c>
      <c r="K515" s="80"/>
    </row>
    <row r="516" ht="15.75" customHeight="1">
      <c r="A516" s="85">
        <v>593.0</v>
      </c>
      <c r="B516" s="77">
        <v>47.0</v>
      </c>
      <c r="C516" s="77" t="s">
        <v>1296</v>
      </c>
      <c r="D516" s="77">
        <v>2.5261055E8</v>
      </c>
      <c r="E516" s="78" t="s">
        <v>575</v>
      </c>
      <c r="F516" s="77" t="s">
        <v>784</v>
      </c>
      <c r="G516" s="82" t="s">
        <v>79</v>
      </c>
      <c r="H516" s="82" t="str">
        <f>VLOOKUP(G516,MetaData!$A$2:$C$13,3,false)</f>
        <v>Sari Rahayu, S.Pd, M.Pd</v>
      </c>
      <c r="I516" s="82" t="s">
        <v>564</v>
      </c>
      <c r="J516" s="82" t="str">
        <f>VLOOKUP(I516,MetaData!$E$2:$G$40,3,false)</f>
        <v>Fiona (XI)</v>
      </c>
      <c r="K516" s="83"/>
    </row>
    <row r="517" ht="15.75" customHeight="1">
      <c r="A517" s="86">
        <v>594.0</v>
      </c>
      <c r="B517" s="77">
        <v>48.0</v>
      </c>
      <c r="C517" s="77" t="s">
        <v>1297</v>
      </c>
      <c r="D517" s="77">
        <v>2.52610562E8</v>
      </c>
      <c r="E517" s="78" t="s">
        <v>576</v>
      </c>
      <c r="F517" s="77" t="s">
        <v>784</v>
      </c>
      <c r="G517" s="87" t="s">
        <v>79</v>
      </c>
      <c r="H517" s="87" t="str">
        <f>VLOOKUP(G517,MetaData!$A$2:$C$13,3,false)</f>
        <v>Sari Rahayu, S.Pd, M.Pd</v>
      </c>
      <c r="I517" s="87" t="s">
        <v>564</v>
      </c>
      <c r="J517" s="87" t="str">
        <f>VLOOKUP(I517,MetaData!$E$2:$G$40,3,false)</f>
        <v>Fiona (XI)</v>
      </c>
      <c r="K517" s="88"/>
    </row>
    <row r="518" ht="15.75" customHeight="1">
      <c r="A518" s="70"/>
      <c r="B518" s="71"/>
      <c r="C518" s="71"/>
      <c r="D518" s="71"/>
      <c r="E518" s="71"/>
      <c r="F518" s="71"/>
    </row>
    <row r="519" ht="15.75" customHeight="1">
      <c r="A519" s="70"/>
      <c r="B519" s="71"/>
      <c r="C519" s="71"/>
      <c r="D519" s="71"/>
      <c r="E519" s="71"/>
      <c r="F519" s="71"/>
    </row>
    <row r="520" ht="15.75" customHeight="1">
      <c r="A520" s="70"/>
      <c r="B520" s="71"/>
      <c r="C520" s="71"/>
      <c r="D520" s="71"/>
      <c r="E520" s="71"/>
      <c r="F520" s="71"/>
    </row>
    <row r="521" ht="15.75" customHeight="1">
      <c r="A521" s="70"/>
      <c r="B521" s="71"/>
      <c r="C521" s="71"/>
      <c r="D521" s="71"/>
      <c r="E521" s="71"/>
      <c r="F521" s="71"/>
    </row>
    <row r="522" ht="15.75" customHeight="1">
      <c r="A522" s="70"/>
      <c r="B522" s="71"/>
      <c r="C522" s="71"/>
      <c r="D522" s="71"/>
      <c r="E522" s="71"/>
      <c r="F522" s="71"/>
    </row>
    <row r="523" ht="15.75" customHeight="1">
      <c r="A523" s="70"/>
      <c r="B523" s="71"/>
      <c r="C523" s="71"/>
      <c r="D523" s="71"/>
      <c r="E523" s="71"/>
      <c r="F523" s="71"/>
    </row>
    <row r="524" ht="15.75" customHeight="1">
      <c r="A524" s="70"/>
      <c r="B524" s="71"/>
      <c r="C524" s="71"/>
      <c r="D524" s="71"/>
      <c r="E524" s="71"/>
      <c r="F524" s="71"/>
    </row>
    <row r="525" ht="15.75" customHeight="1">
      <c r="A525" s="70"/>
      <c r="B525" s="71"/>
      <c r="C525" s="71"/>
      <c r="D525" s="71"/>
      <c r="E525" s="71"/>
      <c r="F525" s="71"/>
    </row>
    <row r="526" ht="15.75" customHeight="1">
      <c r="A526" s="70"/>
      <c r="B526" s="71"/>
      <c r="C526" s="71"/>
      <c r="D526" s="71"/>
      <c r="E526" s="71"/>
      <c r="F526" s="71"/>
    </row>
    <row r="527" ht="15.75" customHeight="1">
      <c r="A527" s="70"/>
      <c r="B527" s="71"/>
      <c r="C527" s="71"/>
      <c r="D527" s="71"/>
      <c r="E527" s="71"/>
      <c r="F527" s="71"/>
    </row>
    <row r="528" ht="15.75" customHeight="1">
      <c r="A528" s="70"/>
      <c r="B528" s="71"/>
      <c r="C528" s="71"/>
      <c r="D528" s="71"/>
      <c r="E528" s="71"/>
      <c r="F528" s="71"/>
    </row>
    <row r="529" ht="15.75" customHeight="1">
      <c r="A529" s="70"/>
      <c r="B529" s="71"/>
      <c r="C529" s="71"/>
      <c r="D529" s="71"/>
      <c r="E529" s="71"/>
      <c r="F529" s="71"/>
    </row>
    <row r="530" ht="15.75" customHeight="1">
      <c r="A530" s="70"/>
      <c r="B530" s="71"/>
      <c r="C530" s="71"/>
      <c r="D530" s="71"/>
      <c r="E530" s="71"/>
      <c r="F530" s="71"/>
    </row>
    <row r="531" ht="15.75" customHeight="1">
      <c r="A531" s="70"/>
      <c r="B531" s="71"/>
      <c r="C531" s="71"/>
      <c r="D531" s="71"/>
      <c r="E531" s="71"/>
      <c r="F531" s="71"/>
    </row>
    <row r="532" ht="15.75" customHeight="1">
      <c r="A532" s="70"/>
      <c r="B532" s="71"/>
      <c r="C532" s="71"/>
      <c r="D532" s="71"/>
      <c r="E532" s="71"/>
      <c r="F532" s="71"/>
    </row>
    <row r="533" ht="15.75" customHeight="1">
      <c r="A533" s="70"/>
      <c r="B533" s="71"/>
      <c r="C533" s="71"/>
      <c r="D533" s="71"/>
      <c r="E533" s="71"/>
      <c r="F533" s="71"/>
    </row>
    <row r="534" ht="15.75" customHeight="1">
      <c r="A534" s="70"/>
      <c r="B534" s="71"/>
      <c r="C534" s="71"/>
      <c r="D534" s="71"/>
      <c r="E534" s="71"/>
      <c r="F534" s="71"/>
    </row>
    <row r="535" ht="15.75" customHeight="1">
      <c r="A535" s="70"/>
      <c r="B535" s="71"/>
      <c r="C535" s="71"/>
      <c r="D535" s="71"/>
      <c r="E535" s="71"/>
      <c r="F535" s="71"/>
    </row>
    <row r="536" ht="15.75" customHeight="1">
      <c r="A536" s="70"/>
      <c r="B536" s="71"/>
      <c r="C536" s="71"/>
      <c r="D536" s="71"/>
      <c r="E536" s="71"/>
      <c r="F536" s="71"/>
    </row>
    <row r="537" ht="15.75" customHeight="1">
      <c r="A537" s="70"/>
      <c r="B537" s="71"/>
      <c r="C537" s="71"/>
      <c r="D537" s="71"/>
      <c r="E537" s="71"/>
      <c r="F537" s="71"/>
    </row>
    <row r="538" ht="15.75" customHeight="1">
      <c r="A538" s="70"/>
      <c r="B538" s="71"/>
      <c r="C538" s="71"/>
      <c r="D538" s="71"/>
      <c r="E538" s="71"/>
      <c r="F538" s="71"/>
    </row>
    <row r="539" ht="15.75" customHeight="1">
      <c r="A539" s="70"/>
      <c r="B539" s="71"/>
      <c r="C539" s="71"/>
      <c r="D539" s="71"/>
      <c r="E539" s="71"/>
      <c r="F539" s="71"/>
    </row>
    <row r="540" ht="15.75" customHeight="1">
      <c r="A540" s="70"/>
      <c r="B540" s="71"/>
      <c r="C540" s="71"/>
      <c r="D540" s="71"/>
      <c r="E540" s="71"/>
      <c r="F540" s="71"/>
    </row>
    <row r="541" ht="15.75" customHeight="1">
      <c r="A541" s="70"/>
      <c r="B541" s="71"/>
      <c r="C541" s="71"/>
      <c r="D541" s="71"/>
      <c r="E541" s="71"/>
      <c r="F541" s="71"/>
    </row>
    <row r="542" ht="15.75" customHeight="1">
      <c r="A542" s="70"/>
      <c r="B542" s="71"/>
      <c r="C542" s="71"/>
      <c r="D542" s="71"/>
      <c r="E542" s="71"/>
      <c r="F542" s="71"/>
    </row>
    <row r="543" ht="15.75" customHeight="1">
      <c r="A543" s="70"/>
      <c r="B543" s="71"/>
      <c r="C543" s="71"/>
      <c r="D543" s="71"/>
      <c r="E543" s="71"/>
      <c r="F543" s="71"/>
    </row>
    <row r="544" ht="15.75" customHeight="1">
      <c r="A544" s="70"/>
      <c r="B544" s="71"/>
      <c r="C544" s="71"/>
      <c r="D544" s="71"/>
      <c r="E544" s="71"/>
      <c r="F544" s="71"/>
    </row>
    <row r="545" ht="15.75" customHeight="1">
      <c r="A545" s="70"/>
      <c r="B545" s="71"/>
      <c r="C545" s="71"/>
      <c r="D545" s="71"/>
      <c r="E545" s="71"/>
      <c r="F545" s="71"/>
    </row>
    <row r="546" ht="15.75" customHeight="1">
      <c r="A546" s="70"/>
      <c r="B546" s="71"/>
      <c r="C546" s="71"/>
      <c r="D546" s="71"/>
      <c r="E546" s="71"/>
      <c r="F546" s="71"/>
    </row>
    <row r="547" ht="15.75" customHeight="1">
      <c r="A547" s="70"/>
      <c r="B547" s="71"/>
      <c r="C547" s="71"/>
      <c r="D547" s="71"/>
      <c r="E547" s="71"/>
      <c r="F547" s="71"/>
    </row>
    <row r="548" ht="15.75" customHeight="1">
      <c r="A548" s="70"/>
      <c r="B548" s="71"/>
      <c r="C548" s="71"/>
      <c r="D548" s="71"/>
      <c r="E548" s="71"/>
      <c r="F548" s="71"/>
    </row>
    <row r="549" ht="15.75" customHeight="1">
      <c r="A549" s="70"/>
      <c r="B549" s="71"/>
      <c r="C549" s="71"/>
      <c r="D549" s="71"/>
      <c r="E549" s="71"/>
      <c r="F549" s="71"/>
    </row>
    <row r="550" ht="15.75" customHeight="1">
      <c r="A550" s="70"/>
      <c r="B550" s="71"/>
      <c r="C550" s="71"/>
      <c r="D550" s="71"/>
      <c r="E550" s="71"/>
      <c r="F550" s="71"/>
    </row>
    <row r="551" ht="15.75" customHeight="1">
      <c r="A551" s="70"/>
      <c r="B551" s="71"/>
      <c r="C551" s="71"/>
      <c r="D551" s="71"/>
      <c r="E551" s="71"/>
      <c r="F551" s="71"/>
    </row>
    <row r="552" ht="15.75" customHeight="1">
      <c r="A552" s="70"/>
      <c r="B552" s="71"/>
      <c r="C552" s="71"/>
      <c r="D552" s="71"/>
      <c r="E552" s="71"/>
      <c r="F552" s="71"/>
    </row>
    <row r="553" ht="15.75" customHeight="1">
      <c r="A553" s="70"/>
      <c r="B553" s="71"/>
      <c r="C553" s="71"/>
      <c r="D553" s="71"/>
      <c r="E553" s="71"/>
      <c r="F553" s="71"/>
    </row>
    <row r="554" ht="15.75" customHeight="1">
      <c r="A554" s="70"/>
      <c r="B554" s="71"/>
      <c r="C554" s="71"/>
      <c r="D554" s="71"/>
      <c r="E554" s="71"/>
      <c r="F554" s="71"/>
    </row>
    <row r="555" ht="15.75" customHeight="1">
      <c r="A555" s="70"/>
      <c r="B555" s="71"/>
      <c r="C555" s="71"/>
      <c r="D555" s="71"/>
      <c r="E555" s="71"/>
      <c r="F555" s="71"/>
    </row>
    <row r="556" ht="15.75" customHeight="1">
      <c r="A556" s="70"/>
      <c r="B556" s="71"/>
      <c r="C556" s="71"/>
      <c r="D556" s="71"/>
      <c r="E556" s="71"/>
      <c r="F556" s="71"/>
    </row>
    <row r="557" ht="15.75" customHeight="1">
      <c r="A557" s="70"/>
      <c r="B557" s="71"/>
      <c r="C557" s="71"/>
      <c r="D557" s="71"/>
      <c r="E557" s="71"/>
      <c r="F557" s="71"/>
    </row>
    <row r="558" ht="15.75" customHeight="1">
      <c r="A558" s="70"/>
      <c r="B558" s="71"/>
      <c r="C558" s="71"/>
      <c r="D558" s="71"/>
      <c r="E558" s="71"/>
      <c r="F558" s="71"/>
    </row>
    <row r="559" ht="15.75" customHeight="1">
      <c r="A559" s="70"/>
      <c r="B559" s="71"/>
      <c r="C559" s="71"/>
      <c r="D559" s="71"/>
      <c r="E559" s="71"/>
      <c r="F559" s="71"/>
    </row>
    <row r="560" ht="15.75" customHeight="1">
      <c r="A560" s="70"/>
      <c r="B560" s="71"/>
      <c r="C560" s="71"/>
      <c r="D560" s="71"/>
      <c r="E560" s="71"/>
      <c r="F560" s="71"/>
    </row>
    <row r="561" ht="15.75" customHeight="1">
      <c r="A561" s="70"/>
      <c r="B561" s="71"/>
      <c r="C561" s="71"/>
      <c r="D561" s="71"/>
      <c r="E561" s="71"/>
      <c r="F561" s="71"/>
    </row>
    <row r="562" ht="15.75" customHeight="1">
      <c r="A562" s="70"/>
      <c r="B562" s="71"/>
      <c r="C562" s="71"/>
      <c r="D562" s="71"/>
      <c r="E562" s="71"/>
      <c r="F562" s="71"/>
    </row>
    <row r="563" ht="15.75" customHeight="1">
      <c r="A563" s="70"/>
      <c r="B563" s="71"/>
      <c r="C563" s="71"/>
      <c r="D563" s="71"/>
      <c r="E563" s="71"/>
      <c r="F563" s="71"/>
    </row>
    <row r="564" ht="15.75" customHeight="1">
      <c r="A564" s="70"/>
      <c r="B564" s="71"/>
      <c r="C564" s="71"/>
      <c r="D564" s="71"/>
      <c r="E564" s="71"/>
      <c r="F564" s="71"/>
    </row>
    <row r="565" ht="15.75" customHeight="1">
      <c r="A565" s="70"/>
      <c r="B565" s="71"/>
      <c r="C565" s="71"/>
      <c r="D565" s="71"/>
      <c r="E565" s="71"/>
      <c r="F565" s="71"/>
    </row>
    <row r="566" ht="15.75" customHeight="1">
      <c r="A566" s="70"/>
      <c r="B566" s="71"/>
      <c r="C566" s="71"/>
      <c r="D566" s="71"/>
      <c r="E566" s="71"/>
      <c r="F566" s="71"/>
    </row>
    <row r="567" ht="15.75" customHeight="1">
      <c r="A567" s="70"/>
      <c r="B567" s="71"/>
      <c r="C567" s="71"/>
      <c r="D567" s="71"/>
      <c r="E567" s="71"/>
      <c r="F567" s="71"/>
    </row>
    <row r="568" ht="15.75" customHeight="1">
      <c r="A568" s="70"/>
      <c r="B568" s="71"/>
      <c r="C568" s="71"/>
      <c r="D568" s="71"/>
      <c r="E568" s="71"/>
      <c r="F568" s="71"/>
    </row>
    <row r="569" ht="15.75" customHeight="1">
      <c r="A569" s="70"/>
      <c r="B569" s="71"/>
      <c r="C569" s="71"/>
      <c r="D569" s="71"/>
      <c r="E569" s="71"/>
      <c r="F569" s="71"/>
    </row>
    <row r="570" ht="15.75" customHeight="1">
      <c r="A570" s="70"/>
      <c r="B570" s="71"/>
      <c r="C570" s="71"/>
      <c r="D570" s="71"/>
      <c r="E570" s="71"/>
      <c r="F570" s="71"/>
    </row>
    <row r="571" ht="15.75" customHeight="1">
      <c r="A571" s="70"/>
      <c r="B571" s="71"/>
      <c r="C571" s="71"/>
      <c r="D571" s="71"/>
      <c r="E571" s="71"/>
      <c r="F571" s="71"/>
    </row>
    <row r="572" ht="15.75" customHeight="1">
      <c r="A572" s="70"/>
      <c r="B572" s="71"/>
      <c r="C572" s="71"/>
      <c r="D572" s="71"/>
      <c r="E572" s="71"/>
      <c r="F572" s="71"/>
    </row>
    <row r="573" ht="15.75" customHeight="1">
      <c r="A573" s="70"/>
      <c r="B573" s="71"/>
      <c r="C573" s="71"/>
      <c r="D573" s="71"/>
      <c r="E573" s="71"/>
      <c r="F573" s="71"/>
    </row>
    <row r="574" ht="15.75" customHeight="1">
      <c r="A574" s="70"/>
      <c r="B574" s="71"/>
      <c r="C574" s="71"/>
      <c r="D574" s="71"/>
      <c r="E574" s="71"/>
      <c r="F574" s="71"/>
    </row>
    <row r="575" ht="15.75" customHeight="1">
      <c r="A575" s="70"/>
      <c r="B575" s="71"/>
      <c r="C575" s="71"/>
      <c r="D575" s="71"/>
      <c r="E575" s="71"/>
      <c r="F575" s="71"/>
    </row>
    <row r="576" ht="15.75" customHeight="1">
      <c r="A576" s="70"/>
      <c r="B576" s="71"/>
      <c r="C576" s="71"/>
      <c r="D576" s="71"/>
      <c r="E576" s="71"/>
      <c r="F576" s="71"/>
    </row>
    <row r="577" ht="15.75" customHeight="1">
      <c r="A577" s="70"/>
      <c r="B577" s="71"/>
      <c r="C577" s="71"/>
      <c r="D577" s="71"/>
      <c r="E577" s="71"/>
      <c r="F577" s="71"/>
    </row>
    <row r="578" ht="15.75" customHeight="1">
      <c r="A578" s="70"/>
      <c r="B578" s="71"/>
      <c r="C578" s="71"/>
      <c r="D578" s="71"/>
      <c r="E578" s="71"/>
      <c r="F578" s="71"/>
    </row>
    <row r="579" ht="15.75" customHeight="1">
      <c r="A579" s="70"/>
      <c r="B579" s="71"/>
      <c r="C579" s="71"/>
      <c r="D579" s="71"/>
      <c r="E579" s="71"/>
      <c r="F579" s="71"/>
    </row>
    <row r="580" ht="15.75" customHeight="1">
      <c r="A580" s="70"/>
      <c r="B580" s="71"/>
      <c r="C580" s="71"/>
      <c r="D580" s="71"/>
      <c r="E580" s="71"/>
      <c r="F580" s="71"/>
    </row>
    <row r="581" ht="15.75" customHeight="1">
      <c r="A581" s="70"/>
      <c r="B581" s="71"/>
      <c r="C581" s="71"/>
      <c r="D581" s="71"/>
      <c r="E581" s="71"/>
      <c r="F581" s="71"/>
    </row>
    <row r="582" ht="15.75" customHeight="1">
      <c r="A582" s="70"/>
      <c r="B582" s="71"/>
      <c r="C582" s="71"/>
      <c r="D582" s="71"/>
      <c r="E582" s="71"/>
      <c r="F582" s="71"/>
    </row>
    <row r="583" ht="15.75" customHeight="1">
      <c r="A583" s="70"/>
      <c r="B583" s="71"/>
      <c r="C583" s="71"/>
      <c r="D583" s="71"/>
      <c r="E583" s="71"/>
      <c r="F583" s="71"/>
    </row>
    <row r="584" ht="15.75" customHeight="1">
      <c r="A584" s="70"/>
      <c r="B584" s="71"/>
      <c r="C584" s="71"/>
      <c r="D584" s="71"/>
      <c r="E584" s="71"/>
      <c r="F584" s="71"/>
    </row>
    <row r="585" ht="15.75" customHeight="1">
      <c r="A585" s="70"/>
      <c r="B585" s="71"/>
      <c r="C585" s="71"/>
      <c r="D585" s="71"/>
      <c r="E585" s="71"/>
      <c r="F585" s="71"/>
    </row>
    <row r="586" ht="15.75" customHeight="1">
      <c r="A586" s="70"/>
      <c r="B586" s="71"/>
      <c r="C586" s="71"/>
      <c r="D586" s="71"/>
      <c r="E586" s="71"/>
      <c r="F586" s="71"/>
    </row>
    <row r="587" ht="15.75" customHeight="1">
      <c r="A587" s="70"/>
      <c r="B587" s="71"/>
      <c r="C587" s="71"/>
      <c r="D587" s="71"/>
      <c r="E587" s="71"/>
      <c r="F587" s="71"/>
    </row>
    <row r="588" ht="15.75" customHeight="1">
      <c r="A588" s="70"/>
      <c r="B588" s="71"/>
      <c r="C588" s="71"/>
      <c r="D588" s="71"/>
      <c r="E588" s="71"/>
      <c r="F588" s="71"/>
    </row>
    <row r="589" ht="15.75" customHeight="1">
      <c r="A589" s="70"/>
      <c r="B589" s="71"/>
      <c r="C589" s="71"/>
      <c r="D589" s="71"/>
      <c r="E589" s="71"/>
      <c r="F589" s="71"/>
    </row>
    <row r="590" ht="15.75" customHeight="1">
      <c r="A590" s="70"/>
      <c r="B590" s="71"/>
      <c r="C590" s="71"/>
      <c r="D590" s="71"/>
      <c r="E590" s="71"/>
      <c r="F590" s="71"/>
    </row>
    <row r="591" ht="15.75" customHeight="1">
      <c r="A591" s="70"/>
      <c r="B591" s="71"/>
      <c r="C591" s="71"/>
      <c r="D591" s="71"/>
      <c r="E591" s="71"/>
      <c r="F591" s="71"/>
    </row>
    <row r="592" ht="15.75" customHeight="1">
      <c r="A592" s="70"/>
      <c r="B592" s="71"/>
      <c r="C592" s="71"/>
      <c r="D592" s="71"/>
      <c r="E592" s="71"/>
      <c r="F592" s="71"/>
    </row>
    <row r="593" ht="15.75" customHeight="1">
      <c r="A593" s="70"/>
      <c r="B593" s="71"/>
      <c r="C593" s="71"/>
      <c r="D593" s="71"/>
      <c r="E593" s="71"/>
      <c r="F593" s="71"/>
    </row>
    <row r="594" ht="15.75" customHeight="1">
      <c r="A594" s="70"/>
      <c r="B594" s="71"/>
      <c r="C594" s="71"/>
      <c r="D594" s="71"/>
      <c r="E594" s="71"/>
      <c r="F594" s="71"/>
    </row>
    <row r="595" ht="15.75" customHeight="1">
      <c r="A595" s="70"/>
      <c r="B595" s="71"/>
      <c r="C595" s="71"/>
      <c r="D595" s="71"/>
      <c r="E595" s="71"/>
      <c r="F595" s="71"/>
    </row>
    <row r="596" ht="15.75" customHeight="1">
      <c r="A596" s="70"/>
      <c r="B596" s="71"/>
      <c r="C596" s="71"/>
      <c r="D596" s="71"/>
      <c r="E596" s="71"/>
      <c r="F596" s="71"/>
    </row>
    <row r="597" ht="15.75" customHeight="1">
      <c r="A597" s="70"/>
      <c r="B597" s="71"/>
      <c r="C597" s="71"/>
      <c r="D597" s="71"/>
      <c r="E597" s="71"/>
      <c r="F597" s="71"/>
    </row>
    <row r="598" ht="15.75" customHeight="1">
      <c r="A598" s="70"/>
      <c r="B598" s="71"/>
      <c r="C598" s="71"/>
      <c r="D598" s="71"/>
      <c r="E598" s="71"/>
      <c r="F598" s="71"/>
    </row>
    <row r="599" ht="15.75" customHeight="1">
      <c r="A599" s="70"/>
      <c r="B599" s="71"/>
      <c r="C599" s="71"/>
      <c r="D599" s="71"/>
      <c r="E599" s="71"/>
      <c r="F599" s="71"/>
    </row>
    <row r="600" ht="15.75" customHeight="1">
      <c r="A600" s="70"/>
      <c r="B600" s="71"/>
      <c r="C600" s="71"/>
      <c r="D600" s="71"/>
      <c r="E600" s="71"/>
      <c r="F600" s="71"/>
    </row>
    <row r="601" ht="15.75" customHeight="1">
      <c r="A601" s="70"/>
      <c r="B601" s="71"/>
      <c r="C601" s="71"/>
      <c r="D601" s="71"/>
      <c r="E601" s="71"/>
      <c r="F601" s="71"/>
    </row>
    <row r="602" ht="15.75" customHeight="1">
      <c r="A602" s="70"/>
      <c r="B602" s="71"/>
      <c r="C602" s="71"/>
      <c r="D602" s="71"/>
      <c r="E602" s="71"/>
      <c r="F602" s="71"/>
    </row>
    <row r="603" ht="15.75" customHeight="1">
      <c r="A603" s="70"/>
      <c r="B603" s="71"/>
      <c r="C603" s="71"/>
      <c r="D603" s="71"/>
      <c r="E603" s="71"/>
      <c r="F603" s="71"/>
    </row>
    <row r="604" ht="15.75" customHeight="1">
      <c r="A604" s="70"/>
      <c r="B604" s="71"/>
      <c r="C604" s="71"/>
      <c r="D604" s="71"/>
      <c r="E604" s="71"/>
      <c r="F604" s="71"/>
    </row>
    <row r="605" ht="15.75" customHeight="1">
      <c r="A605" s="70"/>
      <c r="B605" s="71"/>
      <c r="C605" s="71"/>
      <c r="D605" s="71"/>
      <c r="E605" s="71"/>
      <c r="F605" s="71"/>
    </row>
    <row r="606" ht="15.75" customHeight="1">
      <c r="A606" s="70"/>
      <c r="B606" s="71"/>
      <c r="C606" s="71"/>
      <c r="D606" s="71"/>
      <c r="E606" s="71"/>
      <c r="F606" s="71"/>
    </row>
    <row r="607" ht="15.75" customHeight="1">
      <c r="A607" s="70"/>
      <c r="B607" s="71"/>
      <c r="C607" s="71"/>
      <c r="D607" s="71"/>
      <c r="E607" s="71"/>
      <c r="F607" s="71"/>
    </row>
    <row r="608" ht="15.75" customHeight="1">
      <c r="A608" s="70"/>
      <c r="B608" s="71"/>
      <c r="C608" s="71"/>
      <c r="D608" s="71"/>
      <c r="E608" s="71"/>
      <c r="F608" s="71"/>
    </row>
    <row r="609" ht="15.75" customHeight="1">
      <c r="A609" s="70"/>
      <c r="B609" s="71"/>
      <c r="C609" s="71"/>
      <c r="D609" s="71"/>
      <c r="E609" s="71"/>
      <c r="F609" s="71"/>
    </row>
    <row r="610" ht="15.75" customHeight="1">
      <c r="A610" s="70"/>
      <c r="B610" s="71"/>
      <c r="C610" s="71"/>
      <c r="D610" s="71"/>
      <c r="E610" s="71"/>
      <c r="F610" s="71"/>
    </row>
    <row r="611" ht="15.75" customHeight="1">
      <c r="A611" s="70"/>
      <c r="B611" s="71"/>
      <c r="C611" s="71"/>
      <c r="D611" s="71"/>
      <c r="E611" s="71"/>
      <c r="F611" s="71"/>
    </row>
    <row r="612" ht="15.75" customHeight="1">
      <c r="A612" s="70"/>
      <c r="B612" s="71"/>
      <c r="C612" s="71"/>
      <c r="D612" s="71"/>
      <c r="E612" s="71"/>
      <c r="F612" s="71"/>
    </row>
    <row r="613" ht="15.75" customHeight="1">
      <c r="A613" s="70"/>
      <c r="B613" s="71"/>
      <c r="C613" s="71"/>
      <c r="D613" s="71"/>
      <c r="E613" s="71"/>
      <c r="F613" s="71"/>
    </row>
    <row r="614" ht="15.75" customHeight="1">
      <c r="A614" s="70"/>
      <c r="B614" s="71"/>
      <c r="C614" s="71"/>
      <c r="D614" s="71"/>
      <c r="E614" s="71"/>
      <c r="F614" s="71"/>
    </row>
    <row r="615" ht="15.75" customHeight="1">
      <c r="A615" s="70"/>
      <c r="B615" s="71"/>
      <c r="C615" s="71"/>
      <c r="D615" s="71"/>
      <c r="E615" s="71"/>
      <c r="F615" s="71"/>
    </row>
    <row r="616" ht="15.75" customHeight="1">
      <c r="A616" s="70"/>
      <c r="B616" s="71"/>
      <c r="C616" s="71"/>
      <c r="D616" s="71"/>
      <c r="E616" s="71"/>
      <c r="F616" s="71"/>
    </row>
    <row r="617" ht="15.75" customHeight="1">
      <c r="A617" s="70"/>
      <c r="B617" s="71"/>
      <c r="C617" s="71"/>
      <c r="D617" s="71"/>
      <c r="E617" s="71"/>
      <c r="F617" s="71"/>
    </row>
    <row r="618" ht="15.75" customHeight="1">
      <c r="A618" s="70"/>
      <c r="B618" s="71"/>
      <c r="C618" s="71"/>
      <c r="D618" s="71"/>
      <c r="E618" s="71"/>
      <c r="F618" s="71"/>
    </row>
    <row r="619" ht="15.75" customHeight="1">
      <c r="A619" s="70"/>
      <c r="B619" s="71"/>
      <c r="C619" s="71"/>
      <c r="D619" s="71"/>
      <c r="E619" s="71"/>
      <c r="F619" s="71"/>
    </row>
    <row r="620" ht="15.75" customHeight="1">
      <c r="A620" s="70"/>
      <c r="B620" s="71"/>
      <c r="C620" s="71"/>
      <c r="D620" s="71"/>
      <c r="E620" s="71"/>
      <c r="F620" s="71"/>
    </row>
    <row r="621" ht="15.75" customHeight="1">
      <c r="A621" s="70"/>
      <c r="B621" s="71"/>
      <c r="C621" s="71"/>
      <c r="D621" s="71"/>
      <c r="E621" s="71"/>
      <c r="F621" s="71"/>
    </row>
    <row r="622" ht="15.75" customHeight="1">
      <c r="A622" s="70"/>
      <c r="B622" s="71"/>
      <c r="C622" s="71"/>
      <c r="D622" s="71"/>
      <c r="E622" s="71"/>
      <c r="F622" s="71"/>
    </row>
    <row r="623" ht="15.75" customHeight="1">
      <c r="A623" s="70"/>
      <c r="B623" s="71"/>
      <c r="C623" s="71"/>
      <c r="D623" s="71"/>
      <c r="E623" s="71"/>
      <c r="F623" s="71"/>
    </row>
    <row r="624" ht="15.75" customHeight="1">
      <c r="A624" s="70"/>
      <c r="B624" s="71"/>
      <c r="C624" s="71"/>
      <c r="D624" s="71"/>
      <c r="E624" s="71"/>
      <c r="F624" s="71"/>
    </row>
    <row r="625" ht="15.75" customHeight="1">
      <c r="A625" s="70"/>
      <c r="B625" s="71"/>
      <c r="C625" s="71"/>
      <c r="D625" s="71"/>
      <c r="E625" s="71"/>
      <c r="F625" s="71"/>
    </row>
    <row r="626" ht="15.75" customHeight="1">
      <c r="A626" s="70"/>
      <c r="B626" s="71"/>
      <c r="C626" s="71"/>
      <c r="D626" s="71"/>
      <c r="E626" s="71"/>
      <c r="F626" s="71"/>
    </row>
    <row r="627" ht="15.75" customHeight="1">
      <c r="A627" s="70"/>
      <c r="B627" s="71"/>
      <c r="C627" s="71"/>
      <c r="D627" s="71"/>
      <c r="E627" s="71"/>
      <c r="F627" s="71"/>
    </row>
    <row r="628" ht="15.75" customHeight="1">
      <c r="A628" s="70"/>
      <c r="B628" s="71"/>
      <c r="C628" s="71"/>
      <c r="D628" s="71"/>
      <c r="E628" s="71"/>
      <c r="F628" s="71"/>
    </row>
    <row r="629" ht="15.75" customHeight="1">
      <c r="A629" s="70"/>
      <c r="B629" s="71"/>
      <c r="C629" s="71"/>
      <c r="D629" s="71"/>
      <c r="E629" s="71"/>
      <c r="F629" s="71"/>
    </row>
    <row r="630" ht="15.75" customHeight="1">
      <c r="A630" s="70"/>
      <c r="B630" s="71"/>
      <c r="C630" s="71"/>
      <c r="D630" s="71"/>
      <c r="E630" s="71"/>
      <c r="F630" s="71"/>
    </row>
    <row r="631" ht="15.75" customHeight="1">
      <c r="A631" s="70"/>
      <c r="B631" s="71"/>
      <c r="C631" s="71"/>
      <c r="D631" s="71"/>
      <c r="E631" s="71"/>
      <c r="F631" s="71"/>
    </row>
    <row r="632" ht="15.75" customHeight="1">
      <c r="A632" s="70"/>
      <c r="B632" s="71"/>
      <c r="C632" s="71"/>
      <c r="D632" s="71"/>
      <c r="E632" s="71"/>
      <c r="F632" s="71"/>
    </row>
    <row r="633" ht="15.75" customHeight="1">
      <c r="A633" s="70"/>
      <c r="B633" s="71"/>
      <c r="C633" s="71"/>
      <c r="D633" s="71"/>
      <c r="E633" s="71"/>
      <c r="F633" s="71"/>
    </row>
    <row r="634" ht="15.75" customHeight="1">
      <c r="A634" s="70"/>
      <c r="B634" s="71"/>
      <c r="C634" s="71"/>
      <c r="D634" s="71"/>
      <c r="E634" s="71"/>
      <c r="F634" s="71"/>
    </row>
    <row r="635" ht="15.75" customHeight="1">
      <c r="A635" s="70"/>
      <c r="B635" s="71"/>
      <c r="C635" s="71"/>
      <c r="D635" s="71"/>
      <c r="E635" s="71"/>
      <c r="F635" s="71"/>
    </row>
    <row r="636" ht="15.75" customHeight="1">
      <c r="A636" s="70"/>
      <c r="B636" s="71"/>
      <c r="C636" s="71"/>
      <c r="D636" s="71"/>
      <c r="E636" s="71"/>
      <c r="F636" s="71"/>
    </row>
    <row r="637" ht="15.75" customHeight="1">
      <c r="A637" s="70"/>
      <c r="B637" s="71"/>
      <c r="C637" s="71"/>
      <c r="D637" s="71"/>
      <c r="E637" s="71"/>
      <c r="F637" s="71"/>
    </row>
    <row r="638" ht="15.75" customHeight="1">
      <c r="A638" s="70"/>
      <c r="B638" s="71"/>
      <c r="C638" s="71"/>
      <c r="D638" s="71"/>
      <c r="E638" s="71"/>
      <c r="F638" s="71"/>
    </row>
    <row r="639" ht="15.75" customHeight="1">
      <c r="A639" s="70"/>
      <c r="B639" s="71"/>
      <c r="C639" s="71"/>
      <c r="D639" s="71"/>
      <c r="E639" s="71"/>
      <c r="F639" s="71"/>
    </row>
    <row r="640" ht="15.75" customHeight="1">
      <c r="A640" s="70"/>
      <c r="B640" s="71"/>
      <c r="C640" s="71"/>
      <c r="D640" s="71"/>
      <c r="E640" s="71"/>
      <c r="F640" s="71"/>
    </row>
    <row r="641" ht="15.75" customHeight="1">
      <c r="A641" s="70"/>
      <c r="B641" s="71"/>
      <c r="C641" s="71"/>
      <c r="D641" s="71"/>
      <c r="E641" s="71"/>
      <c r="F641" s="71"/>
    </row>
    <row r="642" ht="15.75" customHeight="1">
      <c r="A642" s="70"/>
      <c r="B642" s="71"/>
      <c r="C642" s="71"/>
      <c r="D642" s="71"/>
      <c r="E642" s="71"/>
      <c r="F642" s="71"/>
    </row>
    <row r="643" ht="15.75" customHeight="1">
      <c r="A643" s="70"/>
      <c r="B643" s="71"/>
      <c r="C643" s="71"/>
      <c r="D643" s="71"/>
      <c r="E643" s="71"/>
      <c r="F643" s="71"/>
    </row>
    <row r="644" ht="15.75" customHeight="1">
      <c r="A644" s="70"/>
      <c r="B644" s="71"/>
      <c r="C644" s="71"/>
      <c r="D644" s="71"/>
      <c r="E644" s="71"/>
      <c r="F644" s="71"/>
    </row>
    <row r="645" ht="15.75" customHeight="1">
      <c r="A645" s="70"/>
      <c r="B645" s="71"/>
      <c r="C645" s="71"/>
      <c r="D645" s="71"/>
      <c r="E645" s="71"/>
      <c r="F645" s="71"/>
    </row>
    <row r="646" ht="15.75" customHeight="1">
      <c r="A646" s="70"/>
      <c r="B646" s="71"/>
      <c r="C646" s="71"/>
      <c r="D646" s="71"/>
      <c r="E646" s="71"/>
      <c r="F646" s="71"/>
    </row>
    <row r="647" ht="15.75" customHeight="1">
      <c r="A647" s="70"/>
      <c r="B647" s="71"/>
      <c r="C647" s="71"/>
      <c r="D647" s="71"/>
      <c r="E647" s="71"/>
      <c r="F647" s="71"/>
    </row>
    <row r="648" ht="15.75" customHeight="1">
      <c r="A648" s="70"/>
      <c r="B648" s="71"/>
      <c r="C648" s="71"/>
      <c r="D648" s="71"/>
      <c r="E648" s="71"/>
      <c r="F648" s="71"/>
    </row>
    <row r="649" ht="15.75" customHeight="1">
      <c r="A649" s="70"/>
      <c r="B649" s="71"/>
      <c r="C649" s="71"/>
      <c r="D649" s="71"/>
      <c r="E649" s="71"/>
      <c r="F649" s="71"/>
    </row>
    <row r="650" ht="15.75" customHeight="1">
      <c r="A650" s="70"/>
      <c r="B650" s="71"/>
      <c r="C650" s="71"/>
      <c r="D650" s="71"/>
      <c r="E650" s="71"/>
      <c r="F650" s="71"/>
    </row>
    <row r="651" ht="15.75" customHeight="1">
      <c r="A651" s="70"/>
      <c r="B651" s="71"/>
      <c r="C651" s="71"/>
      <c r="D651" s="71"/>
      <c r="E651" s="71"/>
      <c r="F651" s="71"/>
    </row>
    <row r="652" ht="15.75" customHeight="1">
      <c r="A652" s="70"/>
      <c r="B652" s="71"/>
      <c r="C652" s="71"/>
      <c r="D652" s="71"/>
      <c r="E652" s="71"/>
      <c r="F652" s="71"/>
    </row>
    <row r="653" ht="15.75" customHeight="1">
      <c r="A653" s="70"/>
      <c r="B653" s="71"/>
      <c r="C653" s="71"/>
      <c r="D653" s="71"/>
      <c r="E653" s="71"/>
      <c r="F653" s="71"/>
    </row>
    <row r="654" ht="15.75" customHeight="1">
      <c r="A654" s="70"/>
      <c r="B654" s="71"/>
      <c r="C654" s="71"/>
      <c r="D654" s="71"/>
      <c r="E654" s="71"/>
      <c r="F654" s="71"/>
    </row>
    <row r="655" ht="15.75" customHeight="1">
      <c r="A655" s="70"/>
      <c r="B655" s="71"/>
      <c r="C655" s="71"/>
      <c r="D655" s="71"/>
      <c r="E655" s="71"/>
      <c r="F655" s="71"/>
    </row>
    <row r="656" ht="15.75" customHeight="1">
      <c r="A656" s="70"/>
      <c r="B656" s="71"/>
      <c r="C656" s="71"/>
      <c r="D656" s="71"/>
      <c r="E656" s="71"/>
      <c r="F656" s="71"/>
    </row>
    <row r="657" ht="15.75" customHeight="1">
      <c r="A657" s="70"/>
      <c r="B657" s="71"/>
      <c r="C657" s="71"/>
      <c r="D657" s="71"/>
      <c r="E657" s="71"/>
      <c r="F657" s="71"/>
    </row>
    <row r="658" ht="15.75" customHeight="1">
      <c r="A658" s="70"/>
      <c r="B658" s="71"/>
      <c r="C658" s="71"/>
      <c r="D658" s="71"/>
      <c r="E658" s="71"/>
      <c r="F658" s="71"/>
    </row>
    <row r="659" ht="15.75" customHeight="1">
      <c r="A659" s="70"/>
      <c r="B659" s="71"/>
      <c r="C659" s="71"/>
      <c r="D659" s="71"/>
      <c r="E659" s="71"/>
      <c r="F659" s="71"/>
    </row>
    <row r="660" ht="15.75" customHeight="1">
      <c r="A660" s="70"/>
      <c r="B660" s="71"/>
      <c r="C660" s="71"/>
      <c r="D660" s="71"/>
      <c r="E660" s="71"/>
      <c r="F660" s="71"/>
    </row>
    <row r="661" ht="15.75" customHeight="1">
      <c r="A661" s="70"/>
      <c r="B661" s="71"/>
      <c r="C661" s="71"/>
      <c r="D661" s="71"/>
      <c r="E661" s="71"/>
      <c r="F661" s="71"/>
    </row>
    <row r="662" ht="15.75" customHeight="1">
      <c r="A662" s="70"/>
      <c r="B662" s="71"/>
      <c r="C662" s="71"/>
      <c r="D662" s="71"/>
      <c r="E662" s="71"/>
      <c r="F662" s="71"/>
    </row>
    <row r="663" ht="15.75" customHeight="1">
      <c r="A663" s="70"/>
      <c r="B663" s="71"/>
      <c r="C663" s="71"/>
      <c r="D663" s="71"/>
      <c r="E663" s="71"/>
      <c r="F663" s="71"/>
    </row>
    <row r="664" ht="15.75" customHeight="1">
      <c r="A664" s="70"/>
      <c r="B664" s="71"/>
      <c r="C664" s="71"/>
      <c r="D664" s="71"/>
      <c r="E664" s="71"/>
      <c r="F664" s="71"/>
    </row>
    <row r="665" ht="15.75" customHeight="1">
      <c r="A665" s="70"/>
      <c r="B665" s="71"/>
      <c r="C665" s="71"/>
      <c r="D665" s="71"/>
      <c r="E665" s="71"/>
      <c r="F665" s="71"/>
    </row>
    <row r="666" ht="15.75" customHeight="1">
      <c r="A666" s="70"/>
      <c r="B666" s="71"/>
      <c r="C666" s="71"/>
      <c r="D666" s="71"/>
      <c r="E666" s="71"/>
      <c r="F666" s="71"/>
    </row>
    <row r="667" ht="15.75" customHeight="1">
      <c r="A667" s="70"/>
      <c r="B667" s="71"/>
      <c r="C667" s="71"/>
      <c r="D667" s="71"/>
      <c r="E667" s="71"/>
      <c r="F667" s="71"/>
    </row>
    <row r="668" ht="15.75" customHeight="1">
      <c r="A668" s="70"/>
      <c r="B668" s="71"/>
      <c r="C668" s="71"/>
      <c r="D668" s="71"/>
      <c r="E668" s="71"/>
      <c r="F668" s="71"/>
    </row>
    <row r="669" ht="15.75" customHeight="1">
      <c r="A669" s="70"/>
      <c r="B669" s="71"/>
      <c r="C669" s="71"/>
      <c r="D669" s="71"/>
      <c r="E669" s="71"/>
      <c r="F669" s="71"/>
    </row>
    <row r="670" ht="15.75" customHeight="1">
      <c r="A670" s="70"/>
      <c r="B670" s="71"/>
      <c r="C670" s="71"/>
      <c r="D670" s="71"/>
      <c r="E670" s="71"/>
      <c r="F670" s="71"/>
    </row>
    <row r="671" ht="15.75" customHeight="1">
      <c r="A671" s="70"/>
      <c r="B671" s="71"/>
      <c r="C671" s="71"/>
      <c r="D671" s="71"/>
      <c r="E671" s="71"/>
      <c r="F671" s="71"/>
    </row>
    <row r="672" ht="15.75" customHeight="1">
      <c r="A672" s="70"/>
      <c r="B672" s="71"/>
      <c r="C672" s="71"/>
      <c r="D672" s="71"/>
      <c r="E672" s="71"/>
      <c r="F672" s="71"/>
    </row>
    <row r="673" ht="15.75" customHeight="1">
      <c r="A673" s="70"/>
      <c r="B673" s="71"/>
      <c r="C673" s="71"/>
      <c r="D673" s="71"/>
      <c r="E673" s="71"/>
      <c r="F673" s="71"/>
    </row>
    <row r="674" ht="15.75" customHeight="1">
      <c r="A674" s="70"/>
      <c r="B674" s="71"/>
      <c r="C674" s="71"/>
      <c r="D674" s="71"/>
      <c r="E674" s="71"/>
      <c r="F674" s="71"/>
    </row>
    <row r="675" ht="15.75" customHeight="1">
      <c r="A675" s="70"/>
      <c r="B675" s="71"/>
      <c r="C675" s="71"/>
      <c r="D675" s="71"/>
      <c r="E675" s="71"/>
      <c r="F675" s="71"/>
    </row>
    <row r="676" ht="15.75" customHeight="1">
      <c r="A676" s="70"/>
      <c r="B676" s="71"/>
      <c r="C676" s="71"/>
      <c r="D676" s="71"/>
      <c r="E676" s="71"/>
      <c r="F676" s="71"/>
    </row>
    <row r="677" ht="15.75" customHeight="1">
      <c r="A677" s="70"/>
      <c r="B677" s="71"/>
      <c r="C677" s="71"/>
      <c r="D677" s="71"/>
      <c r="E677" s="71"/>
      <c r="F677" s="71"/>
    </row>
    <row r="678" ht="15.75" customHeight="1">
      <c r="A678" s="70"/>
      <c r="B678" s="71"/>
      <c r="C678" s="71"/>
      <c r="D678" s="71"/>
      <c r="E678" s="71"/>
      <c r="F678" s="71"/>
    </row>
    <row r="679" ht="15.75" customHeight="1">
      <c r="A679" s="70"/>
      <c r="B679" s="71"/>
      <c r="C679" s="71"/>
      <c r="D679" s="71"/>
      <c r="E679" s="71"/>
      <c r="F679" s="71"/>
    </row>
    <row r="680" ht="15.75" customHeight="1">
      <c r="A680" s="70"/>
      <c r="B680" s="71"/>
      <c r="C680" s="71"/>
      <c r="D680" s="71"/>
      <c r="E680" s="71"/>
      <c r="F680" s="71"/>
    </row>
    <row r="681" ht="15.75" customHeight="1">
      <c r="A681" s="70"/>
      <c r="B681" s="71"/>
      <c r="C681" s="71"/>
      <c r="D681" s="71"/>
      <c r="E681" s="71"/>
      <c r="F681" s="71"/>
    </row>
    <row r="682" ht="15.75" customHeight="1">
      <c r="A682" s="70"/>
      <c r="B682" s="71"/>
      <c r="C682" s="71"/>
      <c r="D682" s="71"/>
      <c r="E682" s="71"/>
      <c r="F682" s="71"/>
    </row>
    <row r="683" ht="15.75" customHeight="1">
      <c r="A683" s="70"/>
      <c r="B683" s="71"/>
      <c r="C683" s="71"/>
      <c r="D683" s="71"/>
      <c r="E683" s="71"/>
      <c r="F683" s="71"/>
    </row>
    <row r="684" ht="15.75" customHeight="1">
      <c r="A684" s="70"/>
      <c r="B684" s="71"/>
      <c r="C684" s="71"/>
      <c r="D684" s="71"/>
      <c r="E684" s="71"/>
      <c r="F684" s="71"/>
    </row>
    <row r="685" ht="15.75" customHeight="1">
      <c r="A685" s="70"/>
      <c r="B685" s="71"/>
      <c r="C685" s="71"/>
      <c r="D685" s="71"/>
      <c r="E685" s="71"/>
      <c r="F685" s="71"/>
    </row>
    <row r="686" ht="15.75" customHeight="1">
      <c r="A686" s="70"/>
      <c r="B686" s="71"/>
      <c r="C686" s="71"/>
      <c r="D686" s="71"/>
      <c r="E686" s="71"/>
      <c r="F686" s="71"/>
    </row>
    <row r="687" ht="15.75" customHeight="1">
      <c r="A687" s="70"/>
      <c r="B687" s="71"/>
      <c r="C687" s="71"/>
      <c r="D687" s="71"/>
      <c r="E687" s="71"/>
      <c r="F687" s="71"/>
    </row>
    <row r="688" ht="15.75" customHeight="1">
      <c r="A688" s="70"/>
      <c r="B688" s="71"/>
      <c r="C688" s="71"/>
      <c r="D688" s="71"/>
      <c r="E688" s="71"/>
      <c r="F688" s="71"/>
    </row>
    <row r="689" ht="15.75" customHeight="1">
      <c r="A689" s="70"/>
      <c r="B689" s="71"/>
      <c r="C689" s="71"/>
      <c r="D689" s="71"/>
      <c r="E689" s="71"/>
      <c r="F689" s="71"/>
    </row>
    <row r="690" ht="15.75" customHeight="1">
      <c r="A690" s="70"/>
      <c r="B690" s="71"/>
      <c r="C690" s="71"/>
      <c r="D690" s="71"/>
      <c r="E690" s="71"/>
      <c r="F690" s="71"/>
    </row>
    <row r="691" ht="15.75" customHeight="1">
      <c r="A691" s="70"/>
      <c r="B691" s="71"/>
      <c r="C691" s="71"/>
      <c r="D691" s="71"/>
      <c r="E691" s="71"/>
      <c r="F691" s="71"/>
    </row>
    <row r="692" ht="15.75" customHeight="1">
      <c r="A692" s="70"/>
      <c r="B692" s="71"/>
      <c r="C692" s="71"/>
      <c r="D692" s="71"/>
      <c r="E692" s="71"/>
      <c r="F692" s="71"/>
    </row>
    <row r="693" ht="15.75" customHeight="1">
      <c r="A693" s="70"/>
      <c r="B693" s="71"/>
      <c r="C693" s="71"/>
      <c r="D693" s="71"/>
      <c r="E693" s="71"/>
      <c r="F693" s="71"/>
    </row>
    <row r="694" ht="15.75" customHeight="1">
      <c r="A694" s="70"/>
      <c r="B694" s="71"/>
      <c r="C694" s="71"/>
      <c r="D694" s="71"/>
      <c r="E694" s="71"/>
      <c r="F694" s="71"/>
    </row>
    <row r="695" ht="15.75" customHeight="1">
      <c r="A695" s="70"/>
      <c r="B695" s="71"/>
      <c r="C695" s="71"/>
      <c r="D695" s="71"/>
      <c r="E695" s="71"/>
      <c r="F695" s="71"/>
    </row>
    <row r="696" ht="15.75" customHeight="1">
      <c r="A696" s="70"/>
      <c r="B696" s="71"/>
      <c r="C696" s="71"/>
      <c r="D696" s="71"/>
      <c r="E696" s="71"/>
      <c r="F696" s="71"/>
    </row>
    <row r="697" ht="15.75" customHeight="1">
      <c r="A697" s="70"/>
      <c r="B697" s="71"/>
      <c r="C697" s="71"/>
      <c r="D697" s="71"/>
      <c r="E697" s="71"/>
      <c r="F697" s="71"/>
    </row>
    <row r="698" ht="15.75" customHeight="1">
      <c r="A698" s="70"/>
      <c r="B698" s="71"/>
      <c r="C698" s="71"/>
      <c r="D698" s="71"/>
      <c r="E698" s="71"/>
      <c r="F698" s="71"/>
    </row>
    <row r="699" ht="15.75" customHeight="1">
      <c r="A699" s="70"/>
      <c r="B699" s="71"/>
      <c r="C699" s="71"/>
      <c r="D699" s="71"/>
      <c r="E699" s="71"/>
      <c r="F699" s="71"/>
    </row>
    <row r="700" ht="15.75" customHeight="1">
      <c r="A700" s="70"/>
      <c r="B700" s="71"/>
      <c r="C700" s="71"/>
      <c r="D700" s="71"/>
      <c r="E700" s="71"/>
      <c r="F700" s="71"/>
    </row>
    <row r="701" ht="15.75" customHeight="1">
      <c r="A701" s="70"/>
      <c r="B701" s="71"/>
      <c r="C701" s="71"/>
      <c r="D701" s="71"/>
      <c r="E701" s="71"/>
      <c r="F701" s="71"/>
    </row>
    <row r="702" ht="15.75" customHeight="1">
      <c r="A702" s="70"/>
      <c r="B702" s="71"/>
      <c r="C702" s="71"/>
      <c r="D702" s="71"/>
      <c r="E702" s="71"/>
      <c r="F702" s="71"/>
    </row>
    <row r="703" ht="15.75" customHeight="1">
      <c r="A703" s="70"/>
      <c r="B703" s="71"/>
      <c r="C703" s="71"/>
      <c r="D703" s="71"/>
      <c r="E703" s="71"/>
      <c r="F703" s="71"/>
    </row>
    <row r="704" ht="15.75" customHeight="1">
      <c r="A704" s="70"/>
      <c r="B704" s="71"/>
      <c r="C704" s="71"/>
      <c r="D704" s="71"/>
      <c r="E704" s="71"/>
      <c r="F704" s="71"/>
    </row>
    <row r="705" ht="15.75" customHeight="1">
      <c r="A705" s="70"/>
      <c r="B705" s="71"/>
      <c r="C705" s="71"/>
      <c r="D705" s="71"/>
      <c r="E705" s="71"/>
      <c r="F705" s="71"/>
    </row>
    <row r="706" ht="15.75" customHeight="1">
      <c r="A706" s="70"/>
      <c r="B706" s="71"/>
      <c r="C706" s="71"/>
      <c r="D706" s="71"/>
      <c r="E706" s="71"/>
      <c r="F706" s="71"/>
    </row>
    <row r="707" ht="15.75" customHeight="1">
      <c r="A707" s="70"/>
      <c r="B707" s="71"/>
      <c r="C707" s="71"/>
      <c r="D707" s="71"/>
      <c r="E707" s="71"/>
      <c r="F707" s="71"/>
    </row>
    <row r="708" ht="15.75" customHeight="1">
      <c r="A708" s="70"/>
      <c r="B708" s="71"/>
      <c r="C708" s="71"/>
      <c r="D708" s="71"/>
      <c r="E708" s="71"/>
      <c r="F708" s="71"/>
    </row>
    <row r="709" ht="15.75" customHeight="1">
      <c r="A709" s="70"/>
      <c r="B709" s="71"/>
      <c r="C709" s="71"/>
      <c r="D709" s="71"/>
      <c r="E709" s="71"/>
      <c r="F709" s="71"/>
    </row>
    <row r="710" ht="15.75" customHeight="1">
      <c r="A710" s="70"/>
      <c r="B710" s="71"/>
      <c r="C710" s="71"/>
      <c r="D710" s="71"/>
      <c r="E710" s="71"/>
      <c r="F710" s="71"/>
    </row>
    <row r="711" ht="15.75" customHeight="1">
      <c r="A711" s="70"/>
      <c r="B711" s="71"/>
      <c r="C711" s="71"/>
      <c r="D711" s="71"/>
      <c r="E711" s="71"/>
      <c r="F711" s="71"/>
    </row>
    <row r="712" ht="15.75" customHeight="1">
      <c r="A712" s="70"/>
      <c r="B712" s="71"/>
      <c r="C712" s="71"/>
      <c r="D712" s="71"/>
      <c r="E712" s="71"/>
      <c r="F712" s="71"/>
    </row>
    <row r="713" ht="15.75" customHeight="1">
      <c r="A713" s="70"/>
      <c r="B713" s="71"/>
      <c r="C713" s="71"/>
      <c r="D713" s="71"/>
      <c r="E713" s="71"/>
      <c r="F713" s="71"/>
    </row>
    <row r="714" ht="15.75" customHeight="1">
      <c r="A714" s="70"/>
      <c r="B714" s="71"/>
      <c r="C714" s="71"/>
      <c r="D714" s="71"/>
      <c r="E714" s="71"/>
      <c r="F714" s="71"/>
    </row>
    <row r="715" ht="15.75" customHeight="1">
      <c r="A715" s="70"/>
      <c r="B715" s="71"/>
      <c r="C715" s="71"/>
      <c r="D715" s="71"/>
      <c r="E715" s="71"/>
      <c r="F715" s="71"/>
    </row>
    <row r="716" ht="15.75" customHeight="1">
      <c r="A716" s="70"/>
      <c r="B716" s="71"/>
      <c r="C716" s="71"/>
      <c r="D716" s="71"/>
      <c r="E716" s="71"/>
      <c r="F716" s="71"/>
    </row>
    <row r="717" ht="15.75" customHeight="1">
      <c r="A717" s="70"/>
      <c r="B717" s="71"/>
      <c r="C717" s="71"/>
      <c r="D717" s="71"/>
      <c r="E717" s="71"/>
      <c r="F717" s="71"/>
    </row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3:G517 I3:I517">
      <formula1>#REF!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9.13"/>
    <col customWidth="1" min="3" max="4" width="13.38"/>
    <col customWidth="1" min="5" max="5" width="38.38"/>
    <col customWidth="1" min="6" max="6" width="13.38"/>
    <col customWidth="1" min="9" max="9" width="14.75"/>
    <col customWidth="1" min="10" max="10" width="13.75"/>
    <col customWidth="1" min="11" max="11" width="13.63"/>
  </cols>
  <sheetData>
    <row r="1" ht="15.75" customHeight="1">
      <c r="A1" s="70"/>
      <c r="B1" s="71"/>
      <c r="C1" s="71"/>
      <c r="D1" s="71"/>
      <c r="E1" s="71"/>
      <c r="F1" s="71"/>
    </row>
    <row r="2" ht="15.75" customHeight="1">
      <c r="A2" s="72" t="s">
        <v>774</v>
      </c>
      <c r="B2" s="73" t="s">
        <v>775</v>
      </c>
      <c r="C2" s="73" t="s">
        <v>776</v>
      </c>
      <c r="D2" s="73" t="s">
        <v>777</v>
      </c>
      <c r="E2" s="73" t="s">
        <v>219</v>
      </c>
      <c r="F2" s="73" t="s">
        <v>778</v>
      </c>
      <c r="G2" s="74" t="s">
        <v>158</v>
      </c>
      <c r="H2" s="74" t="s">
        <v>779</v>
      </c>
      <c r="I2" s="74" t="s">
        <v>218</v>
      </c>
      <c r="J2" s="74" t="s">
        <v>5</v>
      </c>
      <c r="K2" s="75" t="s">
        <v>780</v>
      </c>
    </row>
    <row r="3" ht="15.75" customHeight="1">
      <c r="A3" s="76">
        <v>3.0</v>
      </c>
      <c r="B3" s="77">
        <v>1.0</v>
      </c>
      <c r="C3" s="77" t="s">
        <v>781</v>
      </c>
      <c r="D3" s="77">
        <v>2.52610008E8</v>
      </c>
      <c r="E3" s="78" t="s">
        <v>411</v>
      </c>
      <c r="F3" s="77" t="s">
        <v>782</v>
      </c>
      <c r="G3" s="79" t="s">
        <v>13</v>
      </c>
      <c r="H3" s="79" t="str">
        <f>VLOOKUP(G3,MetaData!$A$2:$C$13,3,false)</f>
        <v>Selly Amalia, S.Hum</v>
      </c>
      <c r="I3" s="79" t="s">
        <v>410</v>
      </c>
      <c r="J3" s="79" t="str">
        <f>VLOOKUP(I3,MetaData!$E$2:$G$40,3,false)</f>
        <v>Rony</v>
      </c>
      <c r="K3" s="80"/>
    </row>
    <row r="4" ht="15.75" customHeight="1">
      <c r="A4" s="81">
        <v>4.0</v>
      </c>
      <c r="B4" s="77">
        <v>2.0</v>
      </c>
      <c r="C4" s="77" t="s">
        <v>783</v>
      </c>
      <c r="D4" s="77">
        <v>2.52610048E8</v>
      </c>
      <c r="E4" s="78" t="s">
        <v>763</v>
      </c>
      <c r="F4" s="77" t="s">
        <v>784</v>
      </c>
      <c r="G4" s="82" t="s">
        <v>13</v>
      </c>
      <c r="H4" s="82" t="str">
        <f>VLOOKUP(G4,MetaData!$A$2:$C$13,3,false)</f>
        <v>Selly Amalia, S.Hum</v>
      </c>
      <c r="I4" s="82" t="s">
        <v>762</v>
      </c>
      <c r="J4" s="82" t="str">
        <f>VLOOKUP(I4,MetaData!$E$2:$G$40,3,false)</f>
        <v>Syifa</v>
      </c>
      <c r="K4" s="83"/>
    </row>
    <row r="5" ht="15.75" customHeight="1">
      <c r="A5" s="76">
        <v>5.0</v>
      </c>
      <c r="B5" s="77">
        <v>3.0</v>
      </c>
      <c r="C5" s="77" t="s">
        <v>785</v>
      </c>
      <c r="D5" s="77">
        <v>2.52610053E8</v>
      </c>
      <c r="E5" s="78" t="s">
        <v>764</v>
      </c>
      <c r="F5" s="77" t="s">
        <v>784</v>
      </c>
      <c r="G5" s="79" t="s">
        <v>13</v>
      </c>
      <c r="H5" s="79" t="str">
        <f>VLOOKUP(G5,MetaData!$A$2:$C$13,3,false)</f>
        <v>Selly Amalia, S.Hum</v>
      </c>
      <c r="I5" s="79" t="s">
        <v>762</v>
      </c>
      <c r="J5" s="79" t="str">
        <f>VLOOKUP(I5,MetaData!$E$2:$G$40,3,false)</f>
        <v>Syifa</v>
      </c>
      <c r="K5" s="80"/>
    </row>
    <row r="6" ht="15.75" customHeight="1">
      <c r="A6" s="81">
        <v>6.0</v>
      </c>
      <c r="B6" s="77">
        <v>4.0</v>
      </c>
      <c r="C6" s="77" t="s">
        <v>786</v>
      </c>
      <c r="D6" s="77">
        <v>2.52610082E8</v>
      </c>
      <c r="E6" s="78" t="s">
        <v>412</v>
      </c>
      <c r="F6" s="77" t="s">
        <v>782</v>
      </c>
      <c r="G6" s="82" t="s">
        <v>13</v>
      </c>
      <c r="H6" s="82" t="str">
        <f>VLOOKUP(G6,MetaData!$A$2:$C$13,3,false)</f>
        <v>Selly Amalia, S.Hum</v>
      </c>
      <c r="I6" s="82" t="s">
        <v>410</v>
      </c>
      <c r="J6" s="82" t="str">
        <f>VLOOKUP(I6,MetaData!$E$2:$G$40,3,false)</f>
        <v>Rony</v>
      </c>
      <c r="K6" s="83"/>
    </row>
    <row r="7" ht="15.75" customHeight="1">
      <c r="A7" s="76">
        <v>7.0</v>
      </c>
      <c r="B7" s="77">
        <v>5.0</v>
      </c>
      <c r="C7" s="77" t="s">
        <v>787</v>
      </c>
      <c r="D7" s="77">
        <v>2.52610083E8</v>
      </c>
      <c r="E7" s="78" t="s">
        <v>765</v>
      </c>
      <c r="F7" s="77" t="s">
        <v>784</v>
      </c>
      <c r="G7" s="79" t="s">
        <v>13</v>
      </c>
      <c r="H7" s="79" t="str">
        <f>VLOOKUP(G7,MetaData!$A$2:$C$13,3,false)</f>
        <v>Selly Amalia, S.Hum</v>
      </c>
      <c r="I7" s="79" t="s">
        <v>762</v>
      </c>
      <c r="J7" s="79" t="str">
        <f>VLOOKUP(I7,MetaData!$E$2:$G$40,3,false)</f>
        <v>Syifa</v>
      </c>
      <c r="K7" s="80"/>
    </row>
    <row r="8" ht="15.75" customHeight="1">
      <c r="A8" s="81">
        <v>8.0</v>
      </c>
      <c r="B8" s="77">
        <v>6.0</v>
      </c>
      <c r="C8" s="77" t="s">
        <v>788</v>
      </c>
      <c r="D8" s="77">
        <v>2.52610087E8</v>
      </c>
      <c r="E8" s="78" t="s">
        <v>766</v>
      </c>
      <c r="F8" s="77" t="s">
        <v>784</v>
      </c>
      <c r="G8" s="82" t="s">
        <v>13</v>
      </c>
      <c r="H8" s="82" t="str">
        <f>VLOOKUP(G8,MetaData!$A$2:$C$13,3,false)</f>
        <v>Selly Amalia, S.Hum</v>
      </c>
      <c r="I8" s="82" t="s">
        <v>762</v>
      </c>
      <c r="J8" s="82" t="str">
        <f>VLOOKUP(I8,MetaData!$E$2:$G$40,3,false)</f>
        <v>Syifa</v>
      </c>
      <c r="K8" s="83"/>
    </row>
    <row r="9" ht="15.75" customHeight="1">
      <c r="A9" s="76">
        <v>9.0</v>
      </c>
      <c r="B9" s="77">
        <v>7.0</v>
      </c>
      <c r="C9" s="77" t="s">
        <v>789</v>
      </c>
      <c r="D9" s="77">
        <v>2.52610088E8</v>
      </c>
      <c r="E9" s="78" t="s">
        <v>767</v>
      </c>
      <c r="F9" s="77" t="s">
        <v>784</v>
      </c>
      <c r="G9" s="79" t="s">
        <v>13</v>
      </c>
      <c r="H9" s="79" t="str">
        <f>VLOOKUP(G9,MetaData!$A$2:$C$13,3,false)</f>
        <v>Selly Amalia, S.Hum</v>
      </c>
      <c r="I9" s="79" t="s">
        <v>762</v>
      </c>
      <c r="J9" s="79" t="str">
        <f>VLOOKUP(I9,MetaData!$E$2:$G$40,3,false)</f>
        <v>Syifa</v>
      </c>
      <c r="K9" s="80"/>
    </row>
    <row r="10" ht="15.75" customHeight="1">
      <c r="A10" s="81">
        <v>10.0</v>
      </c>
      <c r="B10" s="77">
        <v>8.0</v>
      </c>
      <c r="C10" s="77" t="s">
        <v>790</v>
      </c>
      <c r="D10" s="77">
        <v>2.526101E8</v>
      </c>
      <c r="E10" s="78" t="s">
        <v>768</v>
      </c>
      <c r="F10" s="77" t="s">
        <v>784</v>
      </c>
      <c r="G10" s="82" t="s">
        <v>13</v>
      </c>
      <c r="H10" s="82" t="str">
        <f>VLOOKUP(G10,MetaData!$A$2:$C$13,3,false)</f>
        <v>Selly Amalia, S.Hum</v>
      </c>
      <c r="I10" s="82" t="s">
        <v>762</v>
      </c>
      <c r="J10" s="82" t="str">
        <f>VLOOKUP(I10,MetaData!$E$2:$G$40,3,false)</f>
        <v>Syifa</v>
      </c>
      <c r="K10" s="83"/>
    </row>
    <row r="11" ht="15.75" customHeight="1">
      <c r="A11" s="76">
        <v>11.0</v>
      </c>
      <c r="B11" s="77">
        <v>9.0</v>
      </c>
      <c r="C11" s="77" t="s">
        <v>791</v>
      </c>
      <c r="D11" s="77">
        <v>2.52610101E8</v>
      </c>
      <c r="E11" s="78" t="s">
        <v>769</v>
      </c>
      <c r="F11" s="77" t="s">
        <v>784</v>
      </c>
      <c r="G11" s="79" t="s">
        <v>13</v>
      </c>
      <c r="H11" s="79" t="str">
        <f>VLOOKUP(G11,MetaData!$A$2:$C$13,3,false)</f>
        <v>Selly Amalia, S.Hum</v>
      </c>
      <c r="I11" s="79" t="s">
        <v>762</v>
      </c>
      <c r="J11" s="79" t="str">
        <f>VLOOKUP(I11,MetaData!$E$2:$G$40,3,false)</f>
        <v>Syifa</v>
      </c>
      <c r="K11" s="80"/>
    </row>
    <row r="12" ht="15.75" customHeight="1">
      <c r="A12" s="81">
        <v>12.0</v>
      </c>
      <c r="B12" s="77">
        <v>10.0</v>
      </c>
      <c r="C12" s="77" t="s">
        <v>792</v>
      </c>
      <c r="D12" s="77">
        <v>2.52610122E8</v>
      </c>
      <c r="E12" s="78" t="s">
        <v>448</v>
      </c>
      <c r="F12" s="77" t="s">
        <v>784</v>
      </c>
      <c r="G12" s="82" t="s">
        <v>13</v>
      </c>
      <c r="H12" s="82" t="str">
        <f>VLOOKUP(G12,MetaData!$A$2:$C$13,3,false)</f>
        <v>Selly Amalia, S.Hum</v>
      </c>
      <c r="I12" s="82" t="s">
        <v>443</v>
      </c>
      <c r="J12" s="82" t="str">
        <f>VLOOKUP(I12,MetaData!$E$2:$G$40,3,false)</f>
        <v>Ayun</v>
      </c>
      <c r="K12" s="83"/>
    </row>
    <row r="13" ht="15.75" customHeight="1">
      <c r="A13" s="76">
        <v>13.0</v>
      </c>
      <c r="B13" s="77">
        <v>11.0</v>
      </c>
      <c r="C13" s="77" t="s">
        <v>793</v>
      </c>
      <c r="D13" s="77">
        <v>2.52610126E8</v>
      </c>
      <c r="E13" s="78" t="s">
        <v>413</v>
      </c>
      <c r="F13" s="77" t="s">
        <v>782</v>
      </c>
      <c r="G13" s="79" t="s">
        <v>13</v>
      </c>
      <c r="H13" s="79" t="str">
        <f>VLOOKUP(G13,MetaData!$A$2:$C$13,3,false)</f>
        <v>Selly Amalia, S.Hum</v>
      </c>
      <c r="I13" s="79" t="s">
        <v>410</v>
      </c>
      <c r="J13" s="79" t="str">
        <f>VLOOKUP(I13,MetaData!$E$2:$G$40,3,false)</f>
        <v>Rony</v>
      </c>
      <c r="K13" s="80"/>
    </row>
    <row r="14" ht="15.75" customHeight="1">
      <c r="A14" s="81">
        <v>14.0</v>
      </c>
      <c r="B14" s="77">
        <v>12.0</v>
      </c>
      <c r="C14" s="77" t="s">
        <v>794</v>
      </c>
      <c r="D14" s="77">
        <v>2.5261013E8</v>
      </c>
      <c r="E14" s="78" t="s">
        <v>770</v>
      </c>
      <c r="F14" s="77" t="s">
        <v>784</v>
      </c>
      <c r="G14" s="82" t="s">
        <v>13</v>
      </c>
      <c r="H14" s="82" t="str">
        <f>VLOOKUP(G14,MetaData!$A$2:$C$13,3,false)</f>
        <v>Selly Amalia, S.Hum</v>
      </c>
      <c r="I14" s="82" t="s">
        <v>762</v>
      </c>
      <c r="J14" s="82" t="str">
        <f>VLOOKUP(I14,MetaData!$E$2:$G$40,3,false)</f>
        <v>Syifa</v>
      </c>
      <c r="K14" s="83"/>
    </row>
    <row r="15" ht="15.75" customHeight="1">
      <c r="A15" s="76">
        <v>15.0</v>
      </c>
      <c r="B15" s="77">
        <v>13.0</v>
      </c>
      <c r="C15" s="77" t="s">
        <v>795</v>
      </c>
      <c r="D15" s="77">
        <v>2.52610171E8</v>
      </c>
      <c r="E15" s="78" t="s">
        <v>414</v>
      </c>
      <c r="F15" s="77" t="s">
        <v>782</v>
      </c>
      <c r="G15" s="79" t="s">
        <v>13</v>
      </c>
      <c r="H15" s="79" t="str">
        <f>VLOOKUP(G15,MetaData!$A$2:$C$13,3,false)</f>
        <v>Selly Amalia, S.Hum</v>
      </c>
      <c r="I15" s="79" t="s">
        <v>410</v>
      </c>
      <c r="J15" s="79" t="str">
        <f>VLOOKUP(I15,MetaData!$E$2:$G$40,3,false)</f>
        <v>Rony</v>
      </c>
      <c r="K15" s="80"/>
    </row>
    <row r="16" ht="15.75" customHeight="1">
      <c r="A16" s="81">
        <v>16.0</v>
      </c>
      <c r="B16" s="77">
        <v>14.0</v>
      </c>
      <c r="C16" s="77" t="s">
        <v>796</v>
      </c>
      <c r="D16" s="77">
        <v>2.52610175E8</v>
      </c>
      <c r="E16" s="78" t="s">
        <v>771</v>
      </c>
      <c r="F16" s="77" t="s">
        <v>784</v>
      </c>
      <c r="G16" s="82" t="s">
        <v>13</v>
      </c>
      <c r="H16" s="82" t="str">
        <f>VLOOKUP(G16,MetaData!$A$2:$C$13,3,false)</f>
        <v>Selly Amalia, S.Hum</v>
      </c>
      <c r="I16" s="82" t="s">
        <v>762</v>
      </c>
      <c r="J16" s="82" t="str">
        <f>VLOOKUP(I16,MetaData!$E$2:$G$40,3,false)</f>
        <v>Syifa</v>
      </c>
      <c r="K16" s="83"/>
    </row>
    <row r="17" ht="15.75" customHeight="1">
      <c r="A17" s="76">
        <v>17.0</v>
      </c>
      <c r="B17" s="77">
        <v>15.0</v>
      </c>
      <c r="C17" s="77" t="s">
        <v>797</v>
      </c>
      <c r="D17" s="77">
        <v>2.52610193E8</v>
      </c>
      <c r="E17" s="78" t="s">
        <v>415</v>
      </c>
      <c r="F17" s="77" t="s">
        <v>782</v>
      </c>
      <c r="G17" s="79" t="s">
        <v>13</v>
      </c>
      <c r="H17" s="79" t="str">
        <f>VLOOKUP(G17,MetaData!$A$2:$C$13,3,false)</f>
        <v>Selly Amalia, S.Hum</v>
      </c>
      <c r="I17" s="79" t="s">
        <v>410</v>
      </c>
      <c r="J17" s="79" t="str">
        <f>VLOOKUP(I17,MetaData!$E$2:$G$40,3,false)</f>
        <v>Rony</v>
      </c>
      <c r="K17" s="80"/>
    </row>
    <row r="18" ht="15.75" customHeight="1">
      <c r="A18" s="81">
        <v>18.0</v>
      </c>
      <c r="B18" s="77">
        <v>16.0</v>
      </c>
      <c r="C18" s="77" t="s">
        <v>798</v>
      </c>
      <c r="D18" s="77">
        <v>2.52610202E8</v>
      </c>
      <c r="E18" s="78" t="s">
        <v>416</v>
      </c>
      <c r="F18" s="77" t="s">
        <v>782</v>
      </c>
      <c r="G18" s="82" t="s">
        <v>13</v>
      </c>
      <c r="H18" s="82" t="str">
        <f>VLOOKUP(G18,MetaData!$A$2:$C$13,3,false)</f>
        <v>Selly Amalia, S.Hum</v>
      </c>
      <c r="I18" s="82" t="s">
        <v>410</v>
      </c>
      <c r="J18" s="82" t="str">
        <f>VLOOKUP(I18,MetaData!$E$2:$G$40,3,false)</f>
        <v>Rony</v>
      </c>
      <c r="K18" s="83"/>
    </row>
    <row r="19" ht="15.75" customHeight="1">
      <c r="A19" s="76">
        <v>19.0</v>
      </c>
      <c r="B19" s="77">
        <v>17.0</v>
      </c>
      <c r="C19" s="77" t="s">
        <v>799</v>
      </c>
      <c r="D19" s="77">
        <v>2.52610206E8</v>
      </c>
      <c r="E19" s="78" t="s">
        <v>772</v>
      </c>
      <c r="F19" s="77" t="s">
        <v>784</v>
      </c>
      <c r="G19" s="79" t="s">
        <v>13</v>
      </c>
      <c r="H19" s="79" t="str">
        <f>VLOOKUP(G19,MetaData!$A$2:$C$13,3,false)</f>
        <v>Selly Amalia, S.Hum</v>
      </c>
      <c r="I19" s="79" t="s">
        <v>762</v>
      </c>
      <c r="J19" s="79" t="str">
        <f>VLOOKUP(I19,MetaData!$E$2:$G$40,3,false)</f>
        <v>Syifa</v>
      </c>
      <c r="K19" s="80"/>
    </row>
    <row r="20" ht="15.75" customHeight="1">
      <c r="A20" s="81">
        <v>20.0</v>
      </c>
      <c r="B20" s="77">
        <v>18.0</v>
      </c>
      <c r="C20" s="77" t="s">
        <v>800</v>
      </c>
      <c r="D20" s="77">
        <v>2.52610224E8</v>
      </c>
      <c r="E20" s="78" t="s">
        <v>773</v>
      </c>
      <c r="F20" s="77" t="s">
        <v>784</v>
      </c>
      <c r="G20" s="82" t="s">
        <v>13</v>
      </c>
      <c r="H20" s="82" t="str">
        <f>VLOOKUP(G20,MetaData!$A$2:$C$13,3,false)</f>
        <v>Selly Amalia, S.Hum</v>
      </c>
      <c r="I20" s="82" t="s">
        <v>762</v>
      </c>
      <c r="J20" s="82" t="str">
        <f>VLOOKUP(I20,MetaData!$E$2:$G$40,3,false)</f>
        <v>Syifa</v>
      </c>
      <c r="K20" s="83"/>
    </row>
    <row r="21" ht="15.75" customHeight="1">
      <c r="A21" s="76">
        <v>21.0</v>
      </c>
      <c r="B21" s="77">
        <v>19.0</v>
      </c>
      <c r="C21" s="77" t="s">
        <v>801</v>
      </c>
      <c r="D21" s="77">
        <v>2.52610239E8</v>
      </c>
      <c r="E21" s="78" t="s">
        <v>602</v>
      </c>
      <c r="F21" s="77" t="s">
        <v>784</v>
      </c>
      <c r="G21" s="79" t="s">
        <v>13</v>
      </c>
      <c r="H21" s="79" t="str">
        <f>VLOOKUP(G21,MetaData!$A$2:$C$13,3,false)</f>
        <v>Selly Amalia, S.Hum</v>
      </c>
      <c r="I21" s="79" t="s">
        <v>601</v>
      </c>
      <c r="J21" s="79" t="str">
        <f>VLOOKUP(I21,MetaData!$E$2:$G$40,3,false)</f>
        <v>Oshe (XI)</v>
      </c>
      <c r="K21" s="80"/>
    </row>
    <row r="22" ht="15.75" customHeight="1">
      <c r="A22" s="81">
        <v>22.0</v>
      </c>
      <c r="B22" s="77">
        <v>20.0</v>
      </c>
      <c r="C22" s="77" t="s">
        <v>802</v>
      </c>
      <c r="D22" s="77">
        <v>2.52610246E8</v>
      </c>
      <c r="E22" s="78" t="s">
        <v>603</v>
      </c>
      <c r="F22" s="77" t="s">
        <v>784</v>
      </c>
      <c r="G22" s="82" t="s">
        <v>13</v>
      </c>
      <c r="H22" s="82" t="str">
        <f>VLOOKUP(G22,MetaData!$A$2:$C$13,3,false)</f>
        <v>Selly Amalia, S.Hum</v>
      </c>
      <c r="I22" s="82" t="s">
        <v>601</v>
      </c>
      <c r="J22" s="82" t="str">
        <f>VLOOKUP(I22,MetaData!$E$2:$G$40,3,false)</f>
        <v>Oshe (XI)</v>
      </c>
      <c r="K22" s="83"/>
    </row>
    <row r="23" ht="15.75" customHeight="1">
      <c r="A23" s="76">
        <v>23.0</v>
      </c>
      <c r="B23" s="77">
        <v>21.0</v>
      </c>
      <c r="C23" s="77" t="s">
        <v>803</v>
      </c>
      <c r="D23" s="77">
        <v>2.52610311E8</v>
      </c>
      <c r="E23" s="78" t="s">
        <v>604</v>
      </c>
      <c r="F23" s="77" t="s">
        <v>784</v>
      </c>
      <c r="G23" s="79" t="s">
        <v>13</v>
      </c>
      <c r="H23" s="79" t="str">
        <f>VLOOKUP(G23,MetaData!$A$2:$C$13,3,false)</f>
        <v>Selly Amalia, S.Hum</v>
      </c>
      <c r="I23" s="79" t="s">
        <v>601</v>
      </c>
      <c r="J23" s="79" t="str">
        <f>VLOOKUP(I23,MetaData!$E$2:$G$40,3,false)</f>
        <v>Oshe (XI)</v>
      </c>
      <c r="K23" s="80"/>
    </row>
    <row r="24" ht="15.75" customHeight="1">
      <c r="A24" s="81">
        <v>24.0</v>
      </c>
      <c r="B24" s="77">
        <v>22.0</v>
      </c>
      <c r="C24" s="77" t="s">
        <v>804</v>
      </c>
      <c r="D24" s="77">
        <v>2.52610316E8</v>
      </c>
      <c r="E24" s="78" t="s">
        <v>417</v>
      </c>
      <c r="F24" s="77" t="s">
        <v>782</v>
      </c>
      <c r="G24" s="82" t="s">
        <v>13</v>
      </c>
      <c r="H24" s="82" t="str">
        <f>VLOOKUP(G24,MetaData!$A$2:$C$13,3,false)</f>
        <v>Selly Amalia, S.Hum</v>
      </c>
      <c r="I24" s="82" t="s">
        <v>410</v>
      </c>
      <c r="J24" s="82" t="str">
        <f>VLOOKUP(I24,MetaData!$E$2:$G$40,3,false)</f>
        <v>Rony</v>
      </c>
      <c r="K24" s="83"/>
    </row>
    <row r="25" ht="15.75" customHeight="1">
      <c r="A25" s="76">
        <v>25.0</v>
      </c>
      <c r="B25" s="77">
        <v>23.0</v>
      </c>
      <c r="C25" s="77" t="s">
        <v>805</v>
      </c>
      <c r="D25" s="77">
        <v>2.5261033E8</v>
      </c>
      <c r="E25" s="78" t="s">
        <v>418</v>
      </c>
      <c r="F25" s="77" t="s">
        <v>782</v>
      </c>
      <c r="G25" s="79" t="s">
        <v>13</v>
      </c>
      <c r="H25" s="79" t="str">
        <f>VLOOKUP(G25,MetaData!$A$2:$C$13,3,false)</f>
        <v>Selly Amalia, S.Hum</v>
      </c>
      <c r="I25" s="79" t="s">
        <v>410</v>
      </c>
      <c r="J25" s="79" t="str">
        <f>VLOOKUP(I25,MetaData!$E$2:$G$40,3,false)</f>
        <v>Rony</v>
      </c>
      <c r="K25" s="80"/>
    </row>
    <row r="26" ht="15.75" customHeight="1">
      <c r="A26" s="81">
        <v>26.0</v>
      </c>
      <c r="B26" s="77">
        <v>24.0</v>
      </c>
      <c r="C26" s="77" t="s">
        <v>806</v>
      </c>
      <c r="D26" s="77">
        <v>2.52610334E8</v>
      </c>
      <c r="E26" s="78" t="s">
        <v>231</v>
      </c>
      <c r="F26" s="77" t="s">
        <v>782</v>
      </c>
      <c r="G26" s="82" t="s">
        <v>13</v>
      </c>
      <c r="H26" s="82" t="str">
        <f>VLOOKUP(G26,MetaData!$A$2:$C$13,3,false)</f>
        <v>Selly Amalia, S.Hum</v>
      </c>
      <c r="I26" s="82" t="s">
        <v>220</v>
      </c>
      <c r="J26" s="82" t="str">
        <f>VLOOKUP(I26,MetaData!$E$2:$G$40,3,false)</f>
        <v>Rekhsa</v>
      </c>
      <c r="K26" s="83"/>
    </row>
    <row r="27" ht="15.75" customHeight="1">
      <c r="A27" s="76">
        <v>27.0</v>
      </c>
      <c r="B27" s="77">
        <v>25.0</v>
      </c>
      <c r="C27" s="77" t="s">
        <v>807</v>
      </c>
      <c r="D27" s="77">
        <v>2.52610343E8</v>
      </c>
      <c r="E27" s="78" t="s">
        <v>419</v>
      </c>
      <c r="F27" s="77" t="s">
        <v>782</v>
      </c>
      <c r="G27" s="79" t="s">
        <v>13</v>
      </c>
      <c r="H27" s="79" t="str">
        <f>VLOOKUP(G27,MetaData!$A$2:$C$13,3,false)</f>
        <v>Selly Amalia, S.Hum</v>
      </c>
      <c r="I27" s="79" t="s">
        <v>410</v>
      </c>
      <c r="J27" s="79" t="str">
        <f>VLOOKUP(I27,MetaData!$E$2:$G$40,3,false)</f>
        <v>Rony</v>
      </c>
      <c r="K27" s="80"/>
    </row>
    <row r="28" ht="15.75" customHeight="1">
      <c r="A28" s="81">
        <v>28.0</v>
      </c>
      <c r="B28" s="77">
        <v>26.0</v>
      </c>
      <c r="C28" s="77" t="s">
        <v>808</v>
      </c>
      <c r="D28" s="77">
        <v>2.52610351E8</v>
      </c>
      <c r="E28" s="78" t="s">
        <v>420</v>
      </c>
      <c r="F28" s="77" t="s">
        <v>782</v>
      </c>
      <c r="G28" s="82" t="s">
        <v>13</v>
      </c>
      <c r="H28" s="82" t="str">
        <f>VLOOKUP(G28,MetaData!$A$2:$C$13,3,false)</f>
        <v>Selly Amalia, S.Hum</v>
      </c>
      <c r="I28" s="82" t="s">
        <v>410</v>
      </c>
      <c r="J28" s="82" t="str">
        <f>VLOOKUP(I28,MetaData!$E$2:$G$40,3,false)</f>
        <v>Rony</v>
      </c>
      <c r="K28" s="83"/>
    </row>
    <row r="29" ht="15.75" customHeight="1">
      <c r="A29" s="76">
        <v>29.0</v>
      </c>
      <c r="B29" s="77">
        <v>27.0</v>
      </c>
      <c r="C29" s="77" t="s">
        <v>809</v>
      </c>
      <c r="D29" s="77">
        <v>2.52610369E8</v>
      </c>
      <c r="E29" s="78" t="s">
        <v>421</v>
      </c>
      <c r="F29" s="77" t="s">
        <v>782</v>
      </c>
      <c r="G29" s="79" t="s">
        <v>13</v>
      </c>
      <c r="H29" s="79" t="str">
        <f>VLOOKUP(G29,MetaData!$A$2:$C$13,3,false)</f>
        <v>Selly Amalia, S.Hum</v>
      </c>
      <c r="I29" s="79" t="s">
        <v>410</v>
      </c>
      <c r="J29" s="79" t="str">
        <f>VLOOKUP(I29,MetaData!$E$2:$G$40,3,false)</f>
        <v>Rony</v>
      </c>
      <c r="K29" s="80"/>
    </row>
    <row r="30" ht="15.75" customHeight="1">
      <c r="A30" s="81">
        <v>30.0</v>
      </c>
      <c r="B30" s="77">
        <v>28.0</v>
      </c>
      <c r="C30" s="77" t="s">
        <v>810</v>
      </c>
      <c r="D30" s="77">
        <v>2.52610371E8</v>
      </c>
      <c r="E30" s="78" t="s">
        <v>422</v>
      </c>
      <c r="F30" s="77" t="s">
        <v>782</v>
      </c>
      <c r="G30" s="82" t="s">
        <v>13</v>
      </c>
      <c r="H30" s="82" t="str">
        <f>VLOOKUP(G30,MetaData!$A$2:$C$13,3,false)</f>
        <v>Selly Amalia, S.Hum</v>
      </c>
      <c r="I30" s="82" t="s">
        <v>410</v>
      </c>
      <c r="J30" s="82" t="str">
        <f>VLOOKUP(I30,MetaData!$E$2:$G$40,3,false)</f>
        <v>Rony</v>
      </c>
      <c r="K30" s="83"/>
    </row>
    <row r="31" ht="15.75" customHeight="1">
      <c r="A31" s="76">
        <v>31.0</v>
      </c>
      <c r="B31" s="77">
        <v>29.0</v>
      </c>
      <c r="C31" s="77" t="s">
        <v>811</v>
      </c>
      <c r="D31" s="77">
        <v>2.5261039E8</v>
      </c>
      <c r="E31" s="78" t="s">
        <v>605</v>
      </c>
      <c r="F31" s="77" t="s">
        <v>784</v>
      </c>
      <c r="G31" s="79" t="s">
        <v>13</v>
      </c>
      <c r="H31" s="79" t="str">
        <f>VLOOKUP(G31,MetaData!$A$2:$C$13,3,false)</f>
        <v>Selly Amalia, S.Hum</v>
      </c>
      <c r="I31" s="79" t="s">
        <v>601</v>
      </c>
      <c r="J31" s="79" t="str">
        <f>VLOOKUP(I31,MetaData!$E$2:$G$40,3,false)</f>
        <v>Oshe (XI)</v>
      </c>
      <c r="K31" s="80"/>
    </row>
    <row r="32" ht="15.75" customHeight="1">
      <c r="A32" s="81">
        <v>32.0</v>
      </c>
      <c r="B32" s="77">
        <v>30.0</v>
      </c>
      <c r="C32" s="77" t="s">
        <v>812</v>
      </c>
      <c r="D32" s="77">
        <v>2.52610393E8</v>
      </c>
      <c r="E32" s="78" t="s">
        <v>606</v>
      </c>
      <c r="F32" s="77" t="s">
        <v>784</v>
      </c>
      <c r="G32" s="82" t="s">
        <v>13</v>
      </c>
      <c r="H32" s="82" t="str">
        <f>VLOOKUP(G32,MetaData!$A$2:$C$13,3,false)</f>
        <v>Selly Amalia, S.Hum</v>
      </c>
      <c r="I32" s="82" t="s">
        <v>601</v>
      </c>
      <c r="J32" s="82" t="str">
        <f>VLOOKUP(I32,MetaData!$E$2:$G$40,3,false)</f>
        <v>Oshe (XI)</v>
      </c>
      <c r="K32" s="83"/>
    </row>
    <row r="33" ht="15.75" customHeight="1">
      <c r="A33" s="76">
        <v>33.0</v>
      </c>
      <c r="B33" s="77">
        <v>31.0</v>
      </c>
      <c r="C33" s="77" t="s">
        <v>813</v>
      </c>
      <c r="D33" s="77">
        <v>2.52610423E8</v>
      </c>
      <c r="E33" s="78" t="s">
        <v>607</v>
      </c>
      <c r="F33" s="77" t="s">
        <v>784</v>
      </c>
      <c r="G33" s="79" t="s">
        <v>13</v>
      </c>
      <c r="H33" s="79" t="str">
        <f>VLOOKUP(G33,MetaData!$A$2:$C$13,3,false)</f>
        <v>Selly Amalia, S.Hum</v>
      </c>
      <c r="I33" s="79" t="s">
        <v>601</v>
      </c>
      <c r="J33" s="79" t="str">
        <f>VLOOKUP(I33,MetaData!$E$2:$G$40,3,false)</f>
        <v>Oshe (XI)</v>
      </c>
      <c r="K33" s="80"/>
    </row>
    <row r="34" ht="15.75" customHeight="1">
      <c r="A34" s="81">
        <v>34.0</v>
      </c>
      <c r="B34" s="77">
        <v>32.0</v>
      </c>
      <c r="C34" s="77" t="s">
        <v>814</v>
      </c>
      <c r="D34" s="77">
        <v>2.52610424E8</v>
      </c>
      <c r="E34" s="78" t="s">
        <v>608</v>
      </c>
      <c r="F34" s="77" t="s">
        <v>784</v>
      </c>
      <c r="G34" s="82" t="s">
        <v>13</v>
      </c>
      <c r="H34" s="82" t="str">
        <f>VLOOKUP(G34,MetaData!$A$2:$C$13,3,false)</f>
        <v>Selly Amalia, S.Hum</v>
      </c>
      <c r="I34" s="82" t="s">
        <v>601</v>
      </c>
      <c r="J34" s="82" t="str">
        <f>VLOOKUP(I34,MetaData!$E$2:$G$40,3,false)</f>
        <v>Oshe (XI)</v>
      </c>
      <c r="K34" s="83"/>
    </row>
    <row r="35" ht="15.75" customHeight="1">
      <c r="A35" s="76">
        <v>35.0</v>
      </c>
      <c r="B35" s="77">
        <v>33.0</v>
      </c>
      <c r="C35" s="77" t="s">
        <v>815</v>
      </c>
      <c r="D35" s="77">
        <v>2.52610436E8</v>
      </c>
      <c r="E35" s="78" t="s">
        <v>423</v>
      </c>
      <c r="F35" s="77" t="s">
        <v>782</v>
      </c>
      <c r="G35" s="79" t="s">
        <v>13</v>
      </c>
      <c r="H35" s="79" t="str">
        <f>VLOOKUP(G35,MetaData!$A$2:$C$13,3,false)</f>
        <v>Selly Amalia, S.Hum</v>
      </c>
      <c r="I35" s="79" t="s">
        <v>410</v>
      </c>
      <c r="J35" s="79" t="str">
        <f>VLOOKUP(I35,MetaData!$E$2:$G$40,3,false)</f>
        <v>Rony</v>
      </c>
      <c r="K35" s="80"/>
    </row>
    <row r="36" ht="15.75" customHeight="1">
      <c r="A36" s="81">
        <v>36.0</v>
      </c>
      <c r="B36" s="77">
        <v>34.0</v>
      </c>
      <c r="C36" s="77" t="s">
        <v>816</v>
      </c>
      <c r="D36" s="77">
        <v>2.52610452E8</v>
      </c>
      <c r="E36" s="78" t="s">
        <v>424</v>
      </c>
      <c r="F36" s="77" t="s">
        <v>782</v>
      </c>
      <c r="G36" s="82" t="s">
        <v>13</v>
      </c>
      <c r="H36" s="82" t="str">
        <f>VLOOKUP(G36,MetaData!$A$2:$C$13,3,false)</f>
        <v>Selly Amalia, S.Hum</v>
      </c>
      <c r="I36" s="82" t="s">
        <v>410</v>
      </c>
      <c r="J36" s="82" t="str">
        <f>VLOOKUP(I36,MetaData!$E$2:$G$40,3,false)</f>
        <v>Rony</v>
      </c>
      <c r="K36" s="83"/>
    </row>
    <row r="37" ht="15.75" customHeight="1">
      <c r="A37" s="76">
        <v>37.0</v>
      </c>
      <c r="B37" s="77">
        <v>35.0</v>
      </c>
      <c r="C37" s="77" t="s">
        <v>817</v>
      </c>
      <c r="D37" s="77">
        <v>2.52610454E8</v>
      </c>
      <c r="E37" s="78" t="s">
        <v>425</v>
      </c>
      <c r="F37" s="77" t="s">
        <v>782</v>
      </c>
      <c r="G37" s="79" t="s">
        <v>13</v>
      </c>
      <c r="H37" s="79" t="str">
        <f>VLOOKUP(G37,MetaData!$A$2:$C$13,3,false)</f>
        <v>Selly Amalia, S.Hum</v>
      </c>
      <c r="I37" s="79" t="s">
        <v>410</v>
      </c>
      <c r="J37" s="79" t="str">
        <f>VLOOKUP(I37,MetaData!$E$2:$G$40,3,false)</f>
        <v>Rony</v>
      </c>
      <c r="K37" s="80"/>
    </row>
    <row r="38" ht="15.75" customHeight="1">
      <c r="A38" s="81">
        <v>38.0</v>
      </c>
      <c r="B38" s="77">
        <v>36.0</v>
      </c>
      <c r="C38" s="77" t="s">
        <v>818</v>
      </c>
      <c r="D38" s="77">
        <v>2.52610476E8</v>
      </c>
      <c r="E38" s="78" t="s">
        <v>426</v>
      </c>
      <c r="F38" s="77" t="s">
        <v>782</v>
      </c>
      <c r="G38" s="82" t="s">
        <v>13</v>
      </c>
      <c r="H38" s="82" t="str">
        <f>VLOOKUP(G38,MetaData!$A$2:$C$13,3,false)</f>
        <v>Selly Amalia, S.Hum</v>
      </c>
      <c r="I38" s="82" t="s">
        <v>410</v>
      </c>
      <c r="J38" s="82" t="str">
        <f>VLOOKUP(I38,MetaData!$E$2:$G$40,3,false)</f>
        <v>Rony</v>
      </c>
      <c r="K38" s="83"/>
    </row>
    <row r="39" ht="15.75" customHeight="1">
      <c r="A39" s="76">
        <v>39.0</v>
      </c>
      <c r="B39" s="77">
        <v>37.0</v>
      </c>
      <c r="C39" s="77" t="s">
        <v>819</v>
      </c>
      <c r="D39" s="77">
        <v>2.52610477E8</v>
      </c>
      <c r="E39" s="78" t="s">
        <v>454</v>
      </c>
      <c r="F39" s="77" t="s">
        <v>784</v>
      </c>
      <c r="G39" s="79" t="s">
        <v>13</v>
      </c>
      <c r="H39" s="79" t="str">
        <f>VLOOKUP(G39,MetaData!$A$2:$C$13,3,false)</f>
        <v>Selly Amalia, S.Hum</v>
      </c>
      <c r="I39" s="79" t="s">
        <v>443</v>
      </c>
      <c r="J39" s="79" t="str">
        <f>VLOOKUP(I39,MetaData!$E$2:$G$40,3,false)</f>
        <v>Ayun</v>
      </c>
      <c r="K39" s="80"/>
    </row>
    <row r="40" ht="15.75" customHeight="1">
      <c r="A40" s="81">
        <v>40.0</v>
      </c>
      <c r="B40" s="77">
        <v>38.0</v>
      </c>
      <c r="C40" s="77" t="s">
        <v>820</v>
      </c>
      <c r="D40" s="77">
        <v>2.52610489E8</v>
      </c>
      <c r="E40" s="78" t="s">
        <v>609</v>
      </c>
      <c r="F40" s="77" t="s">
        <v>784</v>
      </c>
      <c r="G40" s="82" t="s">
        <v>13</v>
      </c>
      <c r="H40" s="82" t="str">
        <f>VLOOKUP(G40,MetaData!$A$2:$C$13,3,false)</f>
        <v>Selly Amalia, S.Hum</v>
      </c>
      <c r="I40" s="82" t="s">
        <v>601</v>
      </c>
      <c r="J40" s="82" t="str">
        <f>VLOOKUP(I40,MetaData!$E$2:$G$40,3,false)</f>
        <v>Oshe (XI)</v>
      </c>
      <c r="K40" s="83"/>
    </row>
    <row r="41" ht="15.75" customHeight="1">
      <c r="A41" s="76">
        <v>41.0</v>
      </c>
      <c r="B41" s="77">
        <v>39.0</v>
      </c>
      <c r="C41" s="77" t="s">
        <v>821</v>
      </c>
      <c r="D41" s="77">
        <v>2.52610508E8</v>
      </c>
      <c r="E41" s="78" t="s">
        <v>610</v>
      </c>
      <c r="F41" s="77" t="s">
        <v>784</v>
      </c>
      <c r="G41" s="79" t="s">
        <v>13</v>
      </c>
      <c r="H41" s="79" t="str">
        <f>VLOOKUP(G41,MetaData!$A$2:$C$13,3,false)</f>
        <v>Selly Amalia, S.Hum</v>
      </c>
      <c r="I41" s="79" t="s">
        <v>601</v>
      </c>
      <c r="J41" s="79" t="str">
        <f>VLOOKUP(I41,MetaData!$E$2:$G$40,3,false)</f>
        <v>Oshe (XI)</v>
      </c>
      <c r="K41" s="80"/>
    </row>
    <row r="42" ht="15.75" customHeight="1">
      <c r="A42" s="81">
        <v>42.0</v>
      </c>
      <c r="B42" s="77">
        <v>40.0</v>
      </c>
      <c r="C42" s="77" t="s">
        <v>822</v>
      </c>
      <c r="D42" s="77">
        <v>2.52610513E8</v>
      </c>
      <c r="E42" s="78" t="s">
        <v>611</v>
      </c>
      <c r="F42" s="77" t="s">
        <v>784</v>
      </c>
      <c r="G42" s="82" t="s">
        <v>13</v>
      </c>
      <c r="H42" s="82" t="str">
        <f>VLOOKUP(G42,MetaData!$A$2:$C$13,3,false)</f>
        <v>Selly Amalia, S.Hum</v>
      </c>
      <c r="I42" s="82" t="s">
        <v>601</v>
      </c>
      <c r="J42" s="82" t="str">
        <f>VLOOKUP(I42,MetaData!$E$2:$G$40,3,false)</f>
        <v>Oshe (XI)</v>
      </c>
      <c r="K42" s="83"/>
    </row>
    <row r="43" ht="15.75" customHeight="1">
      <c r="A43" s="76">
        <v>43.0</v>
      </c>
      <c r="B43" s="77">
        <v>41.0</v>
      </c>
      <c r="C43" s="77" t="s">
        <v>823</v>
      </c>
      <c r="D43" s="77">
        <v>2.52610564E8</v>
      </c>
      <c r="E43" s="78" t="s">
        <v>427</v>
      </c>
      <c r="F43" s="77" t="s">
        <v>782</v>
      </c>
      <c r="G43" s="79" t="s">
        <v>13</v>
      </c>
      <c r="H43" s="79" t="str">
        <f>VLOOKUP(G43,MetaData!$A$2:$C$13,3,false)</f>
        <v>Selly Amalia, S.Hum</v>
      </c>
      <c r="I43" s="79" t="s">
        <v>410</v>
      </c>
      <c r="J43" s="79" t="str">
        <f>VLOOKUP(I43,MetaData!$E$2:$G$40,3,false)</f>
        <v>Rony</v>
      </c>
      <c r="K43" s="80"/>
    </row>
    <row r="44" ht="15.75" customHeight="1">
      <c r="A44" s="81">
        <v>44.0</v>
      </c>
      <c r="B44" s="77">
        <v>42.0</v>
      </c>
      <c r="C44" s="77" t="s">
        <v>824</v>
      </c>
      <c r="D44" s="77">
        <v>2.52610566E8</v>
      </c>
      <c r="E44" s="78" t="s">
        <v>612</v>
      </c>
      <c r="F44" s="77" t="s">
        <v>784</v>
      </c>
      <c r="G44" s="82" t="s">
        <v>13</v>
      </c>
      <c r="H44" s="82" t="str">
        <f>VLOOKUP(G44,MetaData!$A$2:$C$13,3,false)</f>
        <v>Selly Amalia, S.Hum</v>
      </c>
      <c r="I44" s="82" t="s">
        <v>601</v>
      </c>
      <c r="J44" s="82" t="str">
        <f>VLOOKUP(I44,MetaData!$E$2:$G$40,3,false)</f>
        <v>Oshe (XI)</v>
      </c>
      <c r="K44" s="83"/>
    </row>
    <row r="45" ht="15.75" customHeight="1">
      <c r="A45" s="84">
        <v>52.0</v>
      </c>
      <c r="B45" s="77">
        <v>1.0</v>
      </c>
      <c r="C45" s="77" t="s">
        <v>825</v>
      </c>
      <c r="D45" s="77">
        <v>2.52610011E8</v>
      </c>
      <c r="E45" s="78" t="s">
        <v>711</v>
      </c>
      <c r="F45" s="77" t="s">
        <v>784</v>
      </c>
      <c r="G45" s="79" t="s">
        <v>21</v>
      </c>
      <c r="H45" s="79" t="str">
        <f>VLOOKUP(G45,MetaData!$A$2:$C$13,3,false)</f>
        <v>Muhammad, S.Pd</v>
      </c>
      <c r="I45" s="79" t="s">
        <v>710</v>
      </c>
      <c r="J45" s="79" t="str">
        <f>VLOOKUP(I45,MetaData!$E$2:$G$40,3,false)</f>
        <v>Rania (XII)</v>
      </c>
      <c r="K45" s="80"/>
    </row>
    <row r="46" ht="15.75" customHeight="1">
      <c r="A46" s="85">
        <v>53.0</v>
      </c>
      <c r="B46" s="77">
        <v>2.0</v>
      </c>
      <c r="C46" s="77" t="s">
        <v>826</v>
      </c>
      <c r="D46" s="77">
        <v>2.52610023E8</v>
      </c>
      <c r="E46" s="78" t="s">
        <v>430</v>
      </c>
      <c r="F46" s="77" t="s">
        <v>784</v>
      </c>
      <c r="G46" s="82" t="s">
        <v>21</v>
      </c>
      <c r="H46" s="82" t="str">
        <f>VLOOKUP(G46,MetaData!$A$2:$C$13,3,false)</f>
        <v>Muhammad, S.Pd</v>
      </c>
      <c r="I46" s="82" t="s">
        <v>428</v>
      </c>
      <c r="J46" s="82" t="str">
        <f>VLOOKUP(I46,MetaData!$E$2:$G$40,3,false)</f>
        <v>Iga</v>
      </c>
      <c r="K46" s="83"/>
    </row>
    <row r="47" ht="15.75" customHeight="1">
      <c r="A47" s="84">
        <v>54.0</v>
      </c>
      <c r="B47" s="77">
        <v>3.0</v>
      </c>
      <c r="C47" s="77" t="s">
        <v>827</v>
      </c>
      <c r="D47" s="77">
        <v>2.52610026E8</v>
      </c>
      <c r="E47" s="78" t="s">
        <v>712</v>
      </c>
      <c r="F47" s="77" t="s">
        <v>784</v>
      </c>
      <c r="G47" s="79" t="s">
        <v>21</v>
      </c>
      <c r="H47" s="79" t="str">
        <f>VLOOKUP(G47,MetaData!$A$2:$C$13,3,false)</f>
        <v>Muhammad, S.Pd</v>
      </c>
      <c r="I47" s="79" t="s">
        <v>710</v>
      </c>
      <c r="J47" s="79" t="str">
        <f>VLOOKUP(I47,MetaData!$E$2:$G$40,3,false)</f>
        <v>Rania (XII)</v>
      </c>
      <c r="K47" s="80"/>
    </row>
    <row r="48" ht="15.75" customHeight="1">
      <c r="A48" s="85">
        <v>55.0</v>
      </c>
      <c r="B48" s="77">
        <v>4.0</v>
      </c>
      <c r="C48" s="77" t="s">
        <v>828</v>
      </c>
      <c r="D48" s="77">
        <v>2.52610039E8</v>
      </c>
      <c r="E48" s="78" t="s">
        <v>713</v>
      </c>
      <c r="F48" s="77" t="s">
        <v>784</v>
      </c>
      <c r="G48" s="82" t="s">
        <v>21</v>
      </c>
      <c r="H48" s="82" t="str">
        <f>VLOOKUP(G48,MetaData!$A$2:$C$13,3,false)</f>
        <v>Muhammad, S.Pd</v>
      </c>
      <c r="I48" s="82" t="s">
        <v>710</v>
      </c>
      <c r="J48" s="82" t="str">
        <f>VLOOKUP(I48,MetaData!$E$2:$G$40,3,false)</f>
        <v>Rania (XII)</v>
      </c>
      <c r="K48" s="83"/>
    </row>
    <row r="49" ht="15.75" customHeight="1">
      <c r="A49" s="84">
        <v>56.0</v>
      </c>
      <c r="B49" s="77">
        <v>5.0</v>
      </c>
      <c r="C49" s="77" t="s">
        <v>829</v>
      </c>
      <c r="D49" s="77">
        <v>2.5261005E8</v>
      </c>
      <c r="E49" s="78" t="s">
        <v>714</v>
      </c>
      <c r="F49" s="77" t="s">
        <v>784</v>
      </c>
      <c r="G49" s="79" t="s">
        <v>21</v>
      </c>
      <c r="H49" s="79" t="str">
        <f>VLOOKUP(G49,MetaData!$A$2:$C$13,3,false)</f>
        <v>Muhammad, S.Pd</v>
      </c>
      <c r="I49" s="79" t="s">
        <v>710</v>
      </c>
      <c r="J49" s="79" t="str">
        <f>VLOOKUP(I49,MetaData!$E$2:$G$40,3,false)</f>
        <v>Rania (XII)</v>
      </c>
      <c r="K49" s="80"/>
    </row>
    <row r="50" ht="15.75" customHeight="1">
      <c r="A50" s="85">
        <v>57.0</v>
      </c>
      <c r="B50" s="77">
        <v>6.0</v>
      </c>
      <c r="C50" s="77" t="s">
        <v>830</v>
      </c>
      <c r="D50" s="77">
        <v>2.52610052E8</v>
      </c>
      <c r="E50" s="78" t="s">
        <v>445</v>
      </c>
      <c r="F50" s="77" t="s">
        <v>784</v>
      </c>
      <c r="G50" s="82" t="s">
        <v>21</v>
      </c>
      <c r="H50" s="82" t="str">
        <f>VLOOKUP(G50,MetaData!$A$2:$C$13,3,false)</f>
        <v>Muhammad, S.Pd</v>
      </c>
      <c r="I50" s="82" t="s">
        <v>443</v>
      </c>
      <c r="J50" s="82" t="str">
        <f>VLOOKUP(I50,MetaData!$E$2:$G$40,3,false)</f>
        <v>Ayun</v>
      </c>
      <c r="K50" s="83"/>
    </row>
    <row r="51" ht="15.75" customHeight="1">
      <c r="A51" s="84">
        <v>58.0</v>
      </c>
      <c r="B51" s="77">
        <v>7.0</v>
      </c>
      <c r="C51" s="77" t="s">
        <v>831</v>
      </c>
      <c r="D51" s="77">
        <v>2.52610058E8</v>
      </c>
      <c r="E51" s="78" t="s">
        <v>345</v>
      </c>
      <c r="F51" s="77" t="s">
        <v>782</v>
      </c>
      <c r="G51" s="79" t="s">
        <v>21</v>
      </c>
      <c r="H51" s="79" t="str">
        <f>VLOOKUP(G51,MetaData!$A$2:$C$13,3,false)</f>
        <v>Muhammad, S.Pd</v>
      </c>
      <c r="I51" s="79" t="s">
        <v>344</v>
      </c>
      <c r="J51" s="79" t="str">
        <f>VLOOKUP(I51,MetaData!$E$2:$G$40,3,false)</f>
        <v>Joko</v>
      </c>
      <c r="K51" s="80"/>
    </row>
    <row r="52" ht="15.75" customHeight="1">
      <c r="A52" s="85">
        <v>59.0</v>
      </c>
      <c r="B52" s="77">
        <v>8.0</v>
      </c>
      <c r="C52" s="77" t="s">
        <v>832</v>
      </c>
      <c r="D52" s="77">
        <v>2.52610062E8</v>
      </c>
      <c r="E52" s="78" t="s">
        <v>715</v>
      </c>
      <c r="F52" s="77" t="s">
        <v>784</v>
      </c>
      <c r="G52" s="82" t="s">
        <v>21</v>
      </c>
      <c r="H52" s="82" t="str">
        <f>VLOOKUP(G52,MetaData!$A$2:$C$13,3,false)</f>
        <v>Muhammad, S.Pd</v>
      </c>
      <c r="I52" s="82" t="s">
        <v>710</v>
      </c>
      <c r="J52" s="82" t="str">
        <f>VLOOKUP(I52,MetaData!$E$2:$G$40,3,false)</f>
        <v>Rania (XII)</v>
      </c>
      <c r="K52" s="83"/>
    </row>
    <row r="53" ht="15.75" customHeight="1">
      <c r="A53" s="84">
        <v>60.0</v>
      </c>
      <c r="B53" s="77">
        <v>9.0</v>
      </c>
      <c r="C53" s="77" t="s">
        <v>833</v>
      </c>
      <c r="D53" s="77">
        <v>2.5261007E8</v>
      </c>
      <c r="E53" s="78" t="s">
        <v>716</v>
      </c>
      <c r="F53" s="77" t="s">
        <v>784</v>
      </c>
      <c r="G53" s="79" t="s">
        <v>21</v>
      </c>
      <c r="H53" s="79" t="str">
        <f>VLOOKUP(G53,MetaData!$A$2:$C$13,3,false)</f>
        <v>Muhammad, S.Pd</v>
      </c>
      <c r="I53" s="79" t="s">
        <v>710</v>
      </c>
      <c r="J53" s="79" t="str">
        <f>VLOOKUP(I53,MetaData!$E$2:$G$40,3,false)</f>
        <v>Rania (XII)</v>
      </c>
      <c r="K53" s="80"/>
    </row>
    <row r="54" ht="15.75" customHeight="1">
      <c r="A54" s="85">
        <v>61.0</v>
      </c>
      <c r="B54" s="77">
        <v>10.0</v>
      </c>
      <c r="C54" s="77" t="s">
        <v>834</v>
      </c>
      <c r="D54" s="77">
        <v>2.52610084E8</v>
      </c>
      <c r="E54" s="78" t="s">
        <v>717</v>
      </c>
      <c r="F54" s="77" t="s">
        <v>784</v>
      </c>
      <c r="G54" s="82" t="s">
        <v>21</v>
      </c>
      <c r="H54" s="82" t="str">
        <f>VLOOKUP(G54,MetaData!$A$2:$C$13,3,false)</f>
        <v>Muhammad, S.Pd</v>
      </c>
      <c r="I54" s="82" t="s">
        <v>710</v>
      </c>
      <c r="J54" s="82" t="str">
        <f>VLOOKUP(I54,MetaData!$E$2:$G$40,3,false)</f>
        <v>Rania (XII)</v>
      </c>
      <c r="K54" s="83"/>
    </row>
    <row r="55" ht="15.75" customHeight="1">
      <c r="A55" s="84">
        <v>62.0</v>
      </c>
      <c r="B55" s="77">
        <v>11.0</v>
      </c>
      <c r="C55" s="77" t="s">
        <v>835</v>
      </c>
      <c r="D55" s="77">
        <v>2.5261009E8</v>
      </c>
      <c r="E55" s="78" t="s">
        <v>718</v>
      </c>
      <c r="F55" s="77" t="s">
        <v>784</v>
      </c>
      <c r="G55" s="79" t="s">
        <v>21</v>
      </c>
      <c r="H55" s="79" t="str">
        <f>VLOOKUP(G55,MetaData!$A$2:$C$13,3,false)</f>
        <v>Muhammad, S.Pd</v>
      </c>
      <c r="I55" s="79" t="s">
        <v>710</v>
      </c>
      <c r="J55" s="79" t="str">
        <f>VLOOKUP(I55,MetaData!$E$2:$G$40,3,false)</f>
        <v>Rania (XII)</v>
      </c>
      <c r="K55" s="80"/>
    </row>
    <row r="56" ht="15.75" customHeight="1">
      <c r="A56" s="85">
        <v>63.0</v>
      </c>
      <c r="B56" s="77">
        <v>12.0</v>
      </c>
      <c r="C56" s="77" t="s">
        <v>836</v>
      </c>
      <c r="D56" s="77">
        <v>2.52610102E8</v>
      </c>
      <c r="E56" s="78" t="s">
        <v>719</v>
      </c>
      <c r="F56" s="77" t="s">
        <v>784</v>
      </c>
      <c r="G56" s="82" t="s">
        <v>21</v>
      </c>
      <c r="H56" s="82" t="str">
        <f>VLOOKUP(G56,MetaData!$A$2:$C$13,3,false)</f>
        <v>Muhammad, S.Pd</v>
      </c>
      <c r="I56" s="82" t="s">
        <v>710</v>
      </c>
      <c r="J56" s="82" t="str">
        <f>VLOOKUP(I56,MetaData!$E$2:$G$40,3,false)</f>
        <v>Rania (XII)</v>
      </c>
      <c r="K56" s="83"/>
    </row>
    <row r="57" ht="15.75" customHeight="1">
      <c r="A57" s="84">
        <v>64.0</v>
      </c>
      <c r="B57" s="77">
        <v>13.0</v>
      </c>
      <c r="C57" s="77" t="s">
        <v>837</v>
      </c>
      <c r="D57" s="77">
        <v>2.52610124E8</v>
      </c>
      <c r="E57" s="78" t="s">
        <v>346</v>
      </c>
      <c r="F57" s="77" t="s">
        <v>782</v>
      </c>
      <c r="G57" s="79" t="s">
        <v>21</v>
      </c>
      <c r="H57" s="79" t="str">
        <f>VLOOKUP(G57,MetaData!$A$2:$C$13,3,false)</f>
        <v>Muhammad, S.Pd</v>
      </c>
      <c r="I57" s="79" t="s">
        <v>344</v>
      </c>
      <c r="J57" s="79" t="str">
        <f>VLOOKUP(I57,MetaData!$E$2:$G$40,3,false)</f>
        <v>Joko</v>
      </c>
      <c r="K57" s="80"/>
    </row>
    <row r="58" ht="15.75" customHeight="1">
      <c r="A58" s="85">
        <v>65.0</v>
      </c>
      <c r="B58" s="77">
        <v>14.0</v>
      </c>
      <c r="C58" s="77" t="s">
        <v>838</v>
      </c>
      <c r="D58" s="77">
        <v>2.52610139E8</v>
      </c>
      <c r="E58" s="78" t="s">
        <v>720</v>
      </c>
      <c r="F58" s="77" t="s">
        <v>784</v>
      </c>
      <c r="G58" s="82" t="s">
        <v>21</v>
      </c>
      <c r="H58" s="82" t="str">
        <f>VLOOKUP(G58,MetaData!$A$2:$C$13,3,false)</f>
        <v>Muhammad, S.Pd</v>
      </c>
      <c r="I58" s="82" t="s">
        <v>710</v>
      </c>
      <c r="J58" s="82" t="str">
        <f>VLOOKUP(I58,MetaData!$E$2:$G$40,3,false)</f>
        <v>Rania (XII)</v>
      </c>
      <c r="K58" s="83"/>
    </row>
    <row r="59" ht="15.75" customHeight="1">
      <c r="A59" s="84">
        <v>66.0</v>
      </c>
      <c r="B59" s="77">
        <v>15.0</v>
      </c>
      <c r="C59" s="77" t="s">
        <v>839</v>
      </c>
      <c r="D59" s="77">
        <v>2.52610145E8</v>
      </c>
      <c r="E59" s="78" t="s">
        <v>347</v>
      </c>
      <c r="F59" s="77" t="s">
        <v>782</v>
      </c>
      <c r="G59" s="79" t="s">
        <v>21</v>
      </c>
      <c r="H59" s="79" t="str">
        <f>VLOOKUP(G59,MetaData!$A$2:$C$13,3,false)</f>
        <v>Muhammad, S.Pd</v>
      </c>
      <c r="I59" s="79" t="s">
        <v>344</v>
      </c>
      <c r="J59" s="79" t="str">
        <f>VLOOKUP(I59,MetaData!$E$2:$G$40,3,false)</f>
        <v>Joko</v>
      </c>
      <c r="K59" s="80"/>
    </row>
    <row r="60" ht="15.75" customHeight="1">
      <c r="A60" s="85">
        <v>67.0</v>
      </c>
      <c r="B60" s="77">
        <v>16.0</v>
      </c>
      <c r="C60" s="77" t="s">
        <v>840</v>
      </c>
      <c r="D60" s="77">
        <v>2.52610153E8</v>
      </c>
      <c r="E60" s="78" t="s">
        <v>721</v>
      </c>
      <c r="F60" s="77" t="s">
        <v>784</v>
      </c>
      <c r="G60" s="82" t="s">
        <v>21</v>
      </c>
      <c r="H60" s="82" t="str">
        <f>VLOOKUP(G60,MetaData!$A$2:$C$13,3,false)</f>
        <v>Muhammad, S.Pd</v>
      </c>
      <c r="I60" s="82" t="s">
        <v>710</v>
      </c>
      <c r="J60" s="82" t="str">
        <f>VLOOKUP(I60,MetaData!$E$2:$G$40,3,false)</f>
        <v>Rania (XII)</v>
      </c>
      <c r="K60" s="83"/>
    </row>
    <row r="61" ht="15.75" customHeight="1">
      <c r="A61" s="84">
        <v>68.0</v>
      </c>
      <c r="B61" s="77">
        <v>17.0</v>
      </c>
      <c r="C61" s="77" t="s">
        <v>841</v>
      </c>
      <c r="D61" s="77">
        <v>2.52610154E8</v>
      </c>
      <c r="E61" s="78" t="s">
        <v>722</v>
      </c>
      <c r="F61" s="77" t="s">
        <v>784</v>
      </c>
      <c r="G61" s="79" t="s">
        <v>21</v>
      </c>
      <c r="H61" s="79" t="str">
        <f>VLOOKUP(G61,MetaData!$A$2:$C$13,3,false)</f>
        <v>Muhammad, S.Pd</v>
      </c>
      <c r="I61" s="79" t="s">
        <v>710</v>
      </c>
      <c r="J61" s="79" t="str">
        <f>VLOOKUP(I61,MetaData!$E$2:$G$40,3,false)</f>
        <v>Rania (XII)</v>
      </c>
      <c r="K61" s="80"/>
    </row>
    <row r="62" ht="15.75" customHeight="1">
      <c r="A62" s="85">
        <v>69.0</v>
      </c>
      <c r="B62" s="77">
        <v>18.0</v>
      </c>
      <c r="C62" s="77" t="s">
        <v>842</v>
      </c>
      <c r="D62" s="77">
        <v>2.52610164E8</v>
      </c>
      <c r="E62" s="78" t="s">
        <v>348</v>
      </c>
      <c r="F62" s="77" t="s">
        <v>782</v>
      </c>
      <c r="G62" s="82" t="s">
        <v>21</v>
      </c>
      <c r="H62" s="82" t="str">
        <f>VLOOKUP(G62,MetaData!$A$2:$C$13,3,false)</f>
        <v>Muhammad, S.Pd</v>
      </c>
      <c r="I62" s="82" t="s">
        <v>344</v>
      </c>
      <c r="J62" s="82" t="str">
        <f>VLOOKUP(I62,MetaData!$E$2:$G$40,3,false)</f>
        <v>Joko</v>
      </c>
      <c r="K62" s="83"/>
    </row>
    <row r="63" ht="15.75" customHeight="1">
      <c r="A63" s="84">
        <v>70.0</v>
      </c>
      <c r="B63" s="77">
        <v>19.0</v>
      </c>
      <c r="C63" s="77" t="s">
        <v>843</v>
      </c>
      <c r="D63" s="77">
        <v>2.5261018E8</v>
      </c>
      <c r="E63" s="78" t="s">
        <v>349</v>
      </c>
      <c r="F63" s="77" t="s">
        <v>782</v>
      </c>
      <c r="G63" s="79" t="s">
        <v>21</v>
      </c>
      <c r="H63" s="79" t="str">
        <f>VLOOKUP(G63,MetaData!$A$2:$C$13,3,false)</f>
        <v>Muhammad, S.Pd</v>
      </c>
      <c r="I63" s="79" t="s">
        <v>344</v>
      </c>
      <c r="J63" s="79" t="str">
        <f>VLOOKUP(I63,MetaData!$E$2:$G$40,3,false)</f>
        <v>Joko</v>
      </c>
      <c r="K63" s="80"/>
    </row>
    <row r="64" ht="15.75" customHeight="1">
      <c r="A64" s="85">
        <v>71.0</v>
      </c>
      <c r="B64" s="77">
        <v>20.0</v>
      </c>
      <c r="C64" s="77" t="s">
        <v>844</v>
      </c>
      <c r="D64" s="77">
        <v>2.52610181E8</v>
      </c>
      <c r="E64" s="78" t="s">
        <v>553</v>
      </c>
      <c r="F64" s="77" t="s">
        <v>784</v>
      </c>
      <c r="G64" s="82" t="s">
        <v>21</v>
      </c>
      <c r="H64" s="82" t="str">
        <f>VLOOKUP(G64,MetaData!$A$2:$C$13,3,false)</f>
        <v>Muhammad, S.Pd</v>
      </c>
      <c r="I64" s="82" t="s">
        <v>552</v>
      </c>
      <c r="J64" s="82" t="str">
        <f>VLOOKUP(I64,MetaData!$E$2:$G$40,3,false)</f>
        <v>Nadine (XI)</v>
      </c>
      <c r="K64" s="83"/>
    </row>
    <row r="65" ht="15.75" customHeight="1">
      <c r="A65" s="84">
        <v>72.0</v>
      </c>
      <c r="B65" s="77">
        <v>21.0</v>
      </c>
      <c r="C65" s="77" t="s">
        <v>845</v>
      </c>
      <c r="D65" s="77">
        <v>2.52610185E8</v>
      </c>
      <c r="E65" s="78" t="s">
        <v>350</v>
      </c>
      <c r="F65" s="77" t="s">
        <v>782</v>
      </c>
      <c r="G65" s="79" t="s">
        <v>21</v>
      </c>
      <c r="H65" s="79" t="str">
        <f>VLOOKUP(G65,MetaData!$A$2:$C$13,3,false)</f>
        <v>Muhammad, S.Pd</v>
      </c>
      <c r="I65" s="79" t="s">
        <v>344</v>
      </c>
      <c r="J65" s="79" t="str">
        <f>VLOOKUP(I65,MetaData!$E$2:$G$40,3,false)</f>
        <v>Joko</v>
      </c>
      <c r="K65" s="80"/>
    </row>
    <row r="66" ht="15.75" customHeight="1">
      <c r="A66" s="85">
        <v>73.0</v>
      </c>
      <c r="B66" s="77">
        <v>22.0</v>
      </c>
      <c r="C66" s="77" t="s">
        <v>846</v>
      </c>
      <c r="D66" s="77">
        <v>2.52610186E8</v>
      </c>
      <c r="E66" s="78" t="s">
        <v>351</v>
      </c>
      <c r="F66" s="77" t="s">
        <v>782</v>
      </c>
      <c r="G66" s="82" t="s">
        <v>21</v>
      </c>
      <c r="H66" s="82" t="str">
        <f>VLOOKUP(G66,MetaData!$A$2:$C$13,3,false)</f>
        <v>Muhammad, S.Pd</v>
      </c>
      <c r="I66" s="82" t="s">
        <v>344</v>
      </c>
      <c r="J66" s="82" t="str">
        <f>VLOOKUP(I66,MetaData!$E$2:$G$40,3,false)</f>
        <v>Joko</v>
      </c>
      <c r="K66" s="83"/>
    </row>
    <row r="67" ht="15.75" customHeight="1">
      <c r="A67" s="84">
        <v>74.0</v>
      </c>
      <c r="B67" s="77">
        <v>23.0</v>
      </c>
      <c r="C67" s="77" t="s">
        <v>847</v>
      </c>
      <c r="D67" s="77">
        <v>2.52610238E8</v>
      </c>
      <c r="E67" s="78" t="s">
        <v>554</v>
      </c>
      <c r="F67" s="77" t="s">
        <v>784</v>
      </c>
      <c r="G67" s="79" t="s">
        <v>21</v>
      </c>
      <c r="H67" s="79" t="str">
        <f>VLOOKUP(G67,MetaData!$A$2:$C$13,3,false)</f>
        <v>Muhammad, S.Pd</v>
      </c>
      <c r="I67" s="79" t="s">
        <v>552</v>
      </c>
      <c r="J67" s="79" t="str">
        <f>VLOOKUP(I67,MetaData!$E$2:$G$40,3,false)</f>
        <v>Nadine (XI)</v>
      </c>
      <c r="K67" s="80"/>
    </row>
    <row r="68" ht="15.75" customHeight="1">
      <c r="A68" s="85">
        <v>75.0</v>
      </c>
      <c r="B68" s="77">
        <v>24.0</v>
      </c>
      <c r="C68" s="77" t="s">
        <v>848</v>
      </c>
      <c r="D68" s="77">
        <v>2.52610277E8</v>
      </c>
      <c r="E68" s="78" t="s">
        <v>352</v>
      </c>
      <c r="F68" s="77" t="s">
        <v>782</v>
      </c>
      <c r="G68" s="82" t="s">
        <v>21</v>
      </c>
      <c r="H68" s="82" t="str">
        <f>VLOOKUP(G68,MetaData!$A$2:$C$13,3,false)</f>
        <v>Muhammad, S.Pd</v>
      </c>
      <c r="I68" s="82" t="s">
        <v>344</v>
      </c>
      <c r="J68" s="82" t="str">
        <f>VLOOKUP(I68,MetaData!$E$2:$G$40,3,false)</f>
        <v>Joko</v>
      </c>
      <c r="K68" s="83"/>
    </row>
    <row r="69" ht="15.75" customHeight="1">
      <c r="A69" s="84">
        <v>76.0</v>
      </c>
      <c r="B69" s="77">
        <v>25.0</v>
      </c>
      <c r="C69" s="77" t="s">
        <v>849</v>
      </c>
      <c r="D69" s="77">
        <v>2.5261028E8</v>
      </c>
      <c r="E69" s="78" t="s">
        <v>555</v>
      </c>
      <c r="F69" s="77" t="s">
        <v>784</v>
      </c>
      <c r="G69" s="79" t="s">
        <v>21</v>
      </c>
      <c r="H69" s="79" t="str">
        <f>VLOOKUP(G69,MetaData!$A$2:$C$13,3,false)</f>
        <v>Muhammad, S.Pd</v>
      </c>
      <c r="I69" s="79" t="s">
        <v>552</v>
      </c>
      <c r="J69" s="79" t="str">
        <f>VLOOKUP(I69,MetaData!$E$2:$G$40,3,false)</f>
        <v>Nadine (XI)</v>
      </c>
      <c r="K69" s="80"/>
    </row>
    <row r="70" ht="15.75" customHeight="1">
      <c r="A70" s="85">
        <v>77.0</v>
      </c>
      <c r="B70" s="77">
        <v>26.0</v>
      </c>
      <c r="C70" s="77" t="s">
        <v>850</v>
      </c>
      <c r="D70" s="77">
        <v>2.52610302E8</v>
      </c>
      <c r="E70" s="78" t="s">
        <v>353</v>
      </c>
      <c r="F70" s="77" t="s">
        <v>782</v>
      </c>
      <c r="G70" s="82" t="s">
        <v>21</v>
      </c>
      <c r="H70" s="82" t="str">
        <f>VLOOKUP(G70,MetaData!$A$2:$C$13,3,false)</f>
        <v>Muhammad, S.Pd</v>
      </c>
      <c r="I70" s="82" t="s">
        <v>344</v>
      </c>
      <c r="J70" s="82" t="str">
        <f>VLOOKUP(I70,MetaData!$E$2:$G$40,3,false)</f>
        <v>Joko</v>
      </c>
      <c r="K70" s="83"/>
    </row>
    <row r="71" ht="15.75" customHeight="1">
      <c r="A71" s="84">
        <v>78.0</v>
      </c>
      <c r="B71" s="77">
        <v>27.0</v>
      </c>
      <c r="C71" s="77" t="s">
        <v>851</v>
      </c>
      <c r="D71" s="77">
        <v>2.52610319E8</v>
      </c>
      <c r="E71" s="78" t="s">
        <v>354</v>
      </c>
      <c r="F71" s="77" t="s">
        <v>782</v>
      </c>
      <c r="G71" s="79" t="s">
        <v>21</v>
      </c>
      <c r="H71" s="79" t="str">
        <f>VLOOKUP(G71,MetaData!$A$2:$C$13,3,false)</f>
        <v>Muhammad, S.Pd</v>
      </c>
      <c r="I71" s="79" t="s">
        <v>344</v>
      </c>
      <c r="J71" s="79" t="str">
        <f>VLOOKUP(I71,MetaData!$E$2:$G$40,3,false)</f>
        <v>Joko</v>
      </c>
      <c r="K71" s="80"/>
    </row>
    <row r="72" ht="15.75" customHeight="1">
      <c r="A72" s="85">
        <v>79.0</v>
      </c>
      <c r="B72" s="77">
        <v>28.0</v>
      </c>
      <c r="C72" s="77" t="s">
        <v>852</v>
      </c>
      <c r="D72" s="77">
        <v>2.5261032E8</v>
      </c>
      <c r="E72" s="78" t="s">
        <v>229</v>
      </c>
      <c r="F72" s="77" t="s">
        <v>782</v>
      </c>
      <c r="G72" s="82" t="s">
        <v>21</v>
      </c>
      <c r="H72" s="82" t="str">
        <f>VLOOKUP(G72,MetaData!$A$2:$C$13,3,false)</f>
        <v>Muhammad, S.Pd</v>
      </c>
      <c r="I72" s="82" t="s">
        <v>220</v>
      </c>
      <c r="J72" s="82" t="str">
        <f>VLOOKUP(I72,MetaData!$E$2:$G$40,3,false)</f>
        <v>Rekhsa</v>
      </c>
      <c r="K72" s="83"/>
    </row>
    <row r="73" ht="15.75" customHeight="1">
      <c r="A73" s="84">
        <v>80.0</v>
      </c>
      <c r="B73" s="77">
        <v>29.0</v>
      </c>
      <c r="C73" s="77" t="s">
        <v>853</v>
      </c>
      <c r="D73" s="77">
        <v>2.52610332E8</v>
      </c>
      <c r="E73" s="78" t="s">
        <v>355</v>
      </c>
      <c r="F73" s="77" t="s">
        <v>782</v>
      </c>
      <c r="G73" s="79" t="s">
        <v>21</v>
      </c>
      <c r="H73" s="79" t="str">
        <f>VLOOKUP(G73,MetaData!$A$2:$C$13,3,false)</f>
        <v>Muhammad, S.Pd</v>
      </c>
      <c r="I73" s="79" t="s">
        <v>344</v>
      </c>
      <c r="J73" s="79" t="str">
        <f>VLOOKUP(I73,MetaData!$E$2:$G$40,3,false)</f>
        <v>Joko</v>
      </c>
      <c r="K73" s="80"/>
    </row>
    <row r="74" ht="15.75" customHeight="1">
      <c r="A74" s="85">
        <v>81.0</v>
      </c>
      <c r="B74" s="77">
        <v>30.0</v>
      </c>
      <c r="C74" s="77" t="s">
        <v>854</v>
      </c>
      <c r="D74" s="77">
        <v>2.52610336E8</v>
      </c>
      <c r="E74" s="78" t="s">
        <v>356</v>
      </c>
      <c r="F74" s="77" t="s">
        <v>782</v>
      </c>
      <c r="G74" s="82" t="s">
        <v>21</v>
      </c>
      <c r="H74" s="82" t="str">
        <f>VLOOKUP(G74,MetaData!$A$2:$C$13,3,false)</f>
        <v>Muhammad, S.Pd</v>
      </c>
      <c r="I74" s="82" t="s">
        <v>344</v>
      </c>
      <c r="J74" s="82" t="str">
        <f>VLOOKUP(I74,MetaData!$E$2:$G$40,3,false)</f>
        <v>Joko</v>
      </c>
      <c r="K74" s="83"/>
    </row>
    <row r="75" ht="15.75" customHeight="1">
      <c r="A75" s="84">
        <v>82.0</v>
      </c>
      <c r="B75" s="77">
        <v>31.0</v>
      </c>
      <c r="C75" s="77" t="s">
        <v>855</v>
      </c>
      <c r="D75" s="77">
        <v>2.52610338E8</v>
      </c>
      <c r="E75" s="78" t="s">
        <v>232</v>
      </c>
      <c r="F75" s="77" t="s">
        <v>782</v>
      </c>
      <c r="G75" s="79" t="s">
        <v>21</v>
      </c>
      <c r="H75" s="79" t="str">
        <f>VLOOKUP(G75,MetaData!$A$2:$C$13,3,false)</f>
        <v>Muhammad, S.Pd</v>
      </c>
      <c r="I75" s="79" t="s">
        <v>220</v>
      </c>
      <c r="J75" s="79" t="str">
        <f>VLOOKUP(I75,MetaData!$E$2:$G$40,3,false)</f>
        <v>Rekhsa</v>
      </c>
      <c r="K75" s="80"/>
    </row>
    <row r="76" ht="15.75" customHeight="1">
      <c r="A76" s="85">
        <v>83.0</v>
      </c>
      <c r="B76" s="77">
        <v>32.0</v>
      </c>
      <c r="C76" s="77" t="s">
        <v>856</v>
      </c>
      <c r="D76" s="77">
        <v>2.52610362E8</v>
      </c>
      <c r="E76" s="78" t="s">
        <v>357</v>
      </c>
      <c r="F76" s="77" t="s">
        <v>782</v>
      </c>
      <c r="G76" s="82" t="s">
        <v>21</v>
      </c>
      <c r="H76" s="82" t="str">
        <f>VLOOKUP(G76,MetaData!$A$2:$C$13,3,false)</f>
        <v>Muhammad, S.Pd</v>
      </c>
      <c r="I76" s="82" t="s">
        <v>344</v>
      </c>
      <c r="J76" s="82" t="str">
        <f>VLOOKUP(I76,MetaData!$E$2:$G$40,3,false)</f>
        <v>Joko</v>
      </c>
      <c r="K76" s="83"/>
    </row>
    <row r="77" ht="15.75" customHeight="1">
      <c r="A77" s="84">
        <v>84.0</v>
      </c>
      <c r="B77" s="77">
        <v>33.0</v>
      </c>
      <c r="C77" s="77" t="s">
        <v>857</v>
      </c>
      <c r="D77" s="77">
        <v>2.52610365E8</v>
      </c>
      <c r="E77" s="78" t="s">
        <v>358</v>
      </c>
      <c r="F77" s="77" t="s">
        <v>782</v>
      </c>
      <c r="G77" s="79" t="s">
        <v>21</v>
      </c>
      <c r="H77" s="79" t="str">
        <f>VLOOKUP(G77,MetaData!$A$2:$C$13,3,false)</f>
        <v>Muhammad, S.Pd</v>
      </c>
      <c r="I77" s="79" t="s">
        <v>344</v>
      </c>
      <c r="J77" s="79" t="str">
        <f>VLOOKUP(I77,MetaData!$E$2:$G$40,3,false)</f>
        <v>Joko</v>
      </c>
      <c r="K77" s="80"/>
    </row>
    <row r="78" ht="15.75" customHeight="1">
      <c r="A78" s="85">
        <v>85.0</v>
      </c>
      <c r="B78" s="77">
        <v>34.0</v>
      </c>
      <c r="C78" s="77" t="s">
        <v>858</v>
      </c>
      <c r="D78" s="77">
        <v>2.52610416E8</v>
      </c>
      <c r="E78" s="78" t="s">
        <v>556</v>
      </c>
      <c r="F78" s="77" t="s">
        <v>784</v>
      </c>
      <c r="G78" s="82" t="s">
        <v>21</v>
      </c>
      <c r="H78" s="82" t="str">
        <f>VLOOKUP(G78,MetaData!$A$2:$C$13,3,false)</f>
        <v>Muhammad, S.Pd</v>
      </c>
      <c r="I78" s="82" t="s">
        <v>552</v>
      </c>
      <c r="J78" s="82" t="str">
        <f>VLOOKUP(I78,MetaData!$E$2:$G$40,3,false)</f>
        <v>Nadine (XI)</v>
      </c>
      <c r="K78" s="83"/>
    </row>
    <row r="79" ht="15.75" customHeight="1">
      <c r="A79" s="84">
        <v>86.0</v>
      </c>
      <c r="B79" s="77">
        <v>35.0</v>
      </c>
      <c r="C79" s="77" t="s">
        <v>859</v>
      </c>
      <c r="D79" s="77">
        <v>2.52610419E8</v>
      </c>
      <c r="E79" s="78" t="s">
        <v>557</v>
      </c>
      <c r="F79" s="77" t="s">
        <v>784</v>
      </c>
      <c r="G79" s="79" t="s">
        <v>21</v>
      </c>
      <c r="H79" s="79" t="str">
        <f>VLOOKUP(G79,MetaData!$A$2:$C$13,3,false)</f>
        <v>Muhammad, S.Pd</v>
      </c>
      <c r="I79" s="79" t="s">
        <v>552</v>
      </c>
      <c r="J79" s="79" t="str">
        <f>VLOOKUP(I79,MetaData!$E$2:$G$40,3,false)</f>
        <v>Nadine (XI)</v>
      </c>
      <c r="K79" s="80"/>
    </row>
    <row r="80" ht="15.75" customHeight="1">
      <c r="A80" s="85">
        <v>87.0</v>
      </c>
      <c r="B80" s="77">
        <v>36.0</v>
      </c>
      <c r="C80" s="77" t="s">
        <v>860</v>
      </c>
      <c r="D80" s="77">
        <v>2.52610434E8</v>
      </c>
      <c r="E80" s="78" t="s">
        <v>453</v>
      </c>
      <c r="F80" s="77" t="s">
        <v>784</v>
      </c>
      <c r="G80" s="82" t="s">
        <v>21</v>
      </c>
      <c r="H80" s="82" t="str">
        <f>VLOOKUP(G80,MetaData!$A$2:$C$13,3,false)</f>
        <v>Muhammad, S.Pd</v>
      </c>
      <c r="I80" s="82" t="s">
        <v>443</v>
      </c>
      <c r="J80" s="82" t="str">
        <f>VLOOKUP(I80,MetaData!$E$2:$G$40,3,false)</f>
        <v>Ayun</v>
      </c>
      <c r="K80" s="83"/>
    </row>
    <row r="81" ht="15.75" customHeight="1">
      <c r="A81" s="84">
        <v>88.0</v>
      </c>
      <c r="B81" s="77">
        <v>37.0</v>
      </c>
      <c r="C81" s="77" t="s">
        <v>861</v>
      </c>
      <c r="D81" s="77">
        <v>2.5261044E8</v>
      </c>
      <c r="E81" s="78" t="s">
        <v>558</v>
      </c>
      <c r="F81" s="77" t="s">
        <v>784</v>
      </c>
      <c r="G81" s="79" t="s">
        <v>21</v>
      </c>
      <c r="H81" s="79" t="str">
        <f>VLOOKUP(G81,MetaData!$A$2:$C$13,3,false)</f>
        <v>Muhammad, S.Pd</v>
      </c>
      <c r="I81" s="79" t="s">
        <v>552</v>
      </c>
      <c r="J81" s="79" t="str">
        <f>VLOOKUP(I81,MetaData!$E$2:$G$40,3,false)</f>
        <v>Nadine (XI)</v>
      </c>
      <c r="K81" s="80"/>
    </row>
    <row r="82" ht="15.75" customHeight="1">
      <c r="A82" s="85">
        <v>89.0</v>
      </c>
      <c r="B82" s="77">
        <v>38.0</v>
      </c>
      <c r="C82" s="77" t="s">
        <v>862</v>
      </c>
      <c r="D82" s="77">
        <v>2.52610467E8</v>
      </c>
      <c r="E82" s="78" t="s">
        <v>559</v>
      </c>
      <c r="F82" s="77" t="s">
        <v>784</v>
      </c>
      <c r="G82" s="82" t="s">
        <v>21</v>
      </c>
      <c r="H82" s="82" t="str">
        <f>VLOOKUP(G82,MetaData!$A$2:$C$13,3,false)</f>
        <v>Muhammad, S.Pd</v>
      </c>
      <c r="I82" s="82" t="s">
        <v>552</v>
      </c>
      <c r="J82" s="82" t="str">
        <f>VLOOKUP(I82,MetaData!$E$2:$G$40,3,false)</f>
        <v>Nadine (XI)</v>
      </c>
      <c r="K82" s="83"/>
    </row>
    <row r="83" ht="15.75" customHeight="1">
      <c r="A83" s="84">
        <v>90.0</v>
      </c>
      <c r="B83" s="77">
        <v>39.0</v>
      </c>
      <c r="C83" s="77" t="s">
        <v>863</v>
      </c>
      <c r="D83" s="77">
        <v>2.52610474E8</v>
      </c>
      <c r="E83" s="78" t="s">
        <v>560</v>
      </c>
      <c r="F83" s="77" t="s">
        <v>784</v>
      </c>
      <c r="G83" s="79" t="s">
        <v>21</v>
      </c>
      <c r="H83" s="79" t="str">
        <f>VLOOKUP(G83,MetaData!$A$2:$C$13,3,false)</f>
        <v>Muhammad, S.Pd</v>
      </c>
      <c r="I83" s="79" t="s">
        <v>552</v>
      </c>
      <c r="J83" s="79" t="str">
        <f>VLOOKUP(I83,MetaData!$E$2:$G$40,3,false)</f>
        <v>Nadine (XI)</v>
      </c>
      <c r="K83" s="80"/>
    </row>
    <row r="84" ht="15.75" customHeight="1">
      <c r="A84" s="85">
        <v>91.0</v>
      </c>
      <c r="B84" s="77">
        <v>40.0</v>
      </c>
      <c r="C84" s="77" t="s">
        <v>864</v>
      </c>
      <c r="D84" s="77">
        <v>2.52610497E8</v>
      </c>
      <c r="E84" s="78" t="s">
        <v>561</v>
      </c>
      <c r="F84" s="77" t="s">
        <v>784</v>
      </c>
      <c r="G84" s="82" t="s">
        <v>21</v>
      </c>
      <c r="H84" s="82" t="str">
        <f>VLOOKUP(G84,MetaData!$A$2:$C$13,3,false)</f>
        <v>Muhammad, S.Pd</v>
      </c>
      <c r="I84" s="82" t="s">
        <v>552</v>
      </c>
      <c r="J84" s="82" t="str">
        <f>VLOOKUP(I84,MetaData!$E$2:$G$40,3,false)</f>
        <v>Nadine (XI)</v>
      </c>
      <c r="K84" s="83"/>
    </row>
    <row r="85" ht="15.75" customHeight="1">
      <c r="A85" s="84">
        <v>92.0</v>
      </c>
      <c r="B85" s="77">
        <v>41.0</v>
      </c>
      <c r="C85" s="77" t="s">
        <v>865</v>
      </c>
      <c r="D85" s="77">
        <v>2.52610546E8</v>
      </c>
      <c r="E85" s="78" t="s">
        <v>562</v>
      </c>
      <c r="F85" s="77" t="s">
        <v>784</v>
      </c>
      <c r="G85" s="79" t="s">
        <v>21</v>
      </c>
      <c r="H85" s="79" t="str">
        <f>VLOOKUP(G85,MetaData!$A$2:$C$13,3,false)</f>
        <v>Muhammad, S.Pd</v>
      </c>
      <c r="I85" s="79" t="s">
        <v>552</v>
      </c>
      <c r="J85" s="79" t="str">
        <f>VLOOKUP(I85,MetaData!$E$2:$G$40,3,false)</f>
        <v>Nadine (XI)</v>
      </c>
      <c r="K85" s="80"/>
    </row>
    <row r="86" ht="15.75" customHeight="1">
      <c r="A86" s="85">
        <v>93.0</v>
      </c>
      <c r="B86" s="77">
        <v>42.0</v>
      </c>
      <c r="C86" s="77" t="s">
        <v>866</v>
      </c>
      <c r="D86" s="77">
        <v>2.5261056E8</v>
      </c>
      <c r="E86" s="78" t="s">
        <v>359</v>
      </c>
      <c r="F86" s="77" t="s">
        <v>782</v>
      </c>
      <c r="G86" s="82" t="s">
        <v>21</v>
      </c>
      <c r="H86" s="82" t="str">
        <f>VLOOKUP(G86,MetaData!$A$2:$C$13,3,false)</f>
        <v>Muhammad, S.Pd</v>
      </c>
      <c r="I86" s="82" t="s">
        <v>344</v>
      </c>
      <c r="J86" s="82" t="str">
        <f>VLOOKUP(I86,MetaData!$E$2:$G$40,3,false)</f>
        <v>Joko</v>
      </c>
      <c r="K86" s="83"/>
    </row>
    <row r="87" ht="15.75" customHeight="1">
      <c r="A87" s="84">
        <v>94.0</v>
      </c>
      <c r="B87" s="77">
        <v>43.0</v>
      </c>
      <c r="C87" s="77" t="s">
        <v>867</v>
      </c>
      <c r="D87" s="77">
        <v>2.52610563E8</v>
      </c>
      <c r="E87" s="78" t="s">
        <v>563</v>
      </c>
      <c r="F87" s="77" t="s">
        <v>784</v>
      </c>
      <c r="G87" s="79" t="s">
        <v>21</v>
      </c>
      <c r="H87" s="79" t="str">
        <f>VLOOKUP(G87,MetaData!$A$2:$C$13,3,false)</f>
        <v>Muhammad, S.Pd</v>
      </c>
      <c r="I87" s="79" t="s">
        <v>552</v>
      </c>
      <c r="J87" s="79" t="str">
        <f>VLOOKUP(I87,MetaData!$E$2:$G$40,3,false)</f>
        <v>Nadine (XI)</v>
      </c>
      <c r="K87" s="80"/>
    </row>
    <row r="88" ht="15.75" customHeight="1">
      <c r="A88" s="81">
        <v>102.0</v>
      </c>
      <c r="B88" s="77">
        <v>1.0</v>
      </c>
      <c r="C88" s="77" t="s">
        <v>868</v>
      </c>
      <c r="D88" s="77">
        <v>2.52610002E8</v>
      </c>
      <c r="E88" s="78" t="s">
        <v>331</v>
      </c>
      <c r="F88" s="77" t="s">
        <v>782</v>
      </c>
      <c r="G88" s="82" t="s">
        <v>29</v>
      </c>
      <c r="H88" s="82" t="str">
        <f>VLOOKUP(G88,MetaData!$A$2:$C$13,3,false)</f>
        <v>Syamsi Jawawi, S.Pd</v>
      </c>
      <c r="I88" s="82" t="s">
        <v>330</v>
      </c>
      <c r="J88" s="82" t="str">
        <f>VLOOKUP(I88,MetaData!$E$2:$G$40,3,false)</f>
        <v>Angga</v>
      </c>
      <c r="K88" s="83"/>
    </row>
    <row r="89" ht="15.75" customHeight="1">
      <c r="A89" s="76">
        <v>103.0</v>
      </c>
      <c r="B89" s="77">
        <v>2.0</v>
      </c>
      <c r="C89" s="77" t="s">
        <v>869</v>
      </c>
      <c r="D89" s="77">
        <v>2.52610063E8</v>
      </c>
      <c r="E89" s="78" t="s">
        <v>332</v>
      </c>
      <c r="F89" s="77" t="s">
        <v>782</v>
      </c>
      <c r="G89" s="79" t="s">
        <v>29</v>
      </c>
      <c r="H89" s="79" t="str">
        <f>VLOOKUP(G89,MetaData!$A$2:$C$13,3,false)</f>
        <v>Syamsi Jawawi, S.Pd</v>
      </c>
      <c r="I89" s="79" t="s">
        <v>330</v>
      </c>
      <c r="J89" s="79" t="str">
        <f>VLOOKUP(I89,MetaData!$E$2:$G$40,3,false)</f>
        <v>Angga</v>
      </c>
      <c r="K89" s="80"/>
    </row>
    <row r="90" ht="15.75" customHeight="1">
      <c r="A90" s="81">
        <v>104.0</v>
      </c>
      <c r="B90" s="77">
        <v>3.0</v>
      </c>
      <c r="C90" s="77" t="s">
        <v>870</v>
      </c>
      <c r="D90" s="77">
        <v>2.52610065E8</v>
      </c>
      <c r="E90" s="78" t="s">
        <v>697</v>
      </c>
      <c r="F90" s="77" t="s">
        <v>784</v>
      </c>
      <c r="G90" s="82" t="s">
        <v>29</v>
      </c>
      <c r="H90" s="82" t="str">
        <f>VLOOKUP(G90,MetaData!$A$2:$C$13,3,false)</f>
        <v>Syamsi Jawawi, S.Pd</v>
      </c>
      <c r="I90" s="82" t="s">
        <v>696</v>
      </c>
      <c r="J90" s="82" t="str">
        <f>VLOOKUP(I90,MetaData!$E$2:$G$40,3,false)</f>
        <v>Hanin</v>
      </c>
      <c r="K90" s="83"/>
    </row>
    <row r="91" ht="15.75" customHeight="1">
      <c r="A91" s="76">
        <v>105.0</v>
      </c>
      <c r="B91" s="77">
        <v>4.0</v>
      </c>
      <c r="C91" s="77" t="s">
        <v>871</v>
      </c>
      <c r="D91" s="77">
        <v>2.52610076E8</v>
      </c>
      <c r="E91" s="78" t="s">
        <v>333</v>
      </c>
      <c r="F91" s="77" t="s">
        <v>782</v>
      </c>
      <c r="G91" s="79" t="s">
        <v>29</v>
      </c>
      <c r="H91" s="79" t="str">
        <f>VLOOKUP(G91,MetaData!$A$2:$C$13,3,false)</f>
        <v>Syamsi Jawawi, S.Pd</v>
      </c>
      <c r="I91" s="79" t="s">
        <v>330</v>
      </c>
      <c r="J91" s="79" t="str">
        <f>VLOOKUP(I91,MetaData!$E$2:$G$40,3,false)</f>
        <v>Angga</v>
      </c>
      <c r="K91" s="80"/>
    </row>
    <row r="92" ht="15.75" customHeight="1">
      <c r="A92" s="81">
        <v>106.0</v>
      </c>
      <c r="B92" s="77">
        <v>5.0</v>
      </c>
      <c r="C92" s="77" t="s">
        <v>872</v>
      </c>
      <c r="D92" s="77">
        <v>2.52610079E8</v>
      </c>
      <c r="E92" s="78" t="s">
        <v>334</v>
      </c>
      <c r="F92" s="77" t="s">
        <v>782</v>
      </c>
      <c r="G92" s="82" t="s">
        <v>29</v>
      </c>
      <c r="H92" s="82" t="str">
        <f>VLOOKUP(G92,MetaData!$A$2:$C$13,3,false)</f>
        <v>Syamsi Jawawi, S.Pd</v>
      </c>
      <c r="I92" s="82" t="s">
        <v>330</v>
      </c>
      <c r="J92" s="82" t="str">
        <f>VLOOKUP(I92,MetaData!$E$2:$G$40,3,false)</f>
        <v>Angga</v>
      </c>
      <c r="K92" s="83"/>
    </row>
    <row r="93" ht="15.75" customHeight="1">
      <c r="A93" s="76">
        <v>107.0</v>
      </c>
      <c r="B93" s="77">
        <v>6.0</v>
      </c>
      <c r="C93" s="77" t="s">
        <v>873</v>
      </c>
      <c r="D93" s="77">
        <v>2.52610093E8</v>
      </c>
      <c r="E93" s="78" t="s">
        <v>698</v>
      </c>
      <c r="F93" s="77" t="s">
        <v>784</v>
      </c>
      <c r="G93" s="79" t="s">
        <v>29</v>
      </c>
      <c r="H93" s="79" t="str">
        <f>VLOOKUP(G93,MetaData!$A$2:$C$13,3,false)</f>
        <v>Syamsi Jawawi, S.Pd</v>
      </c>
      <c r="I93" s="79" t="s">
        <v>696</v>
      </c>
      <c r="J93" s="79" t="str">
        <f>VLOOKUP(I93,MetaData!$E$2:$G$40,3,false)</f>
        <v>Hanin</v>
      </c>
      <c r="K93" s="80"/>
    </row>
    <row r="94" ht="15.75" customHeight="1">
      <c r="A94" s="81">
        <v>108.0</v>
      </c>
      <c r="B94" s="77">
        <v>7.0</v>
      </c>
      <c r="C94" s="77" t="s">
        <v>874</v>
      </c>
      <c r="D94" s="77">
        <v>2.52610094E8</v>
      </c>
      <c r="E94" s="78" t="s">
        <v>699</v>
      </c>
      <c r="F94" s="77" t="s">
        <v>784</v>
      </c>
      <c r="G94" s="82" t="s">
        <v>29</v>
      </c>
      <c r="H94" s="82" t="str">
        <f>VLOOKUP(G94,MetaData!$A$2:$C$13,3,false)</f>
        <v>Syamsi Jawawi, S.Pd</v>
      </c>
      <c r="I94" s="82" t="s">
        <v>696</v>
      </c>
      <c r="J94" s="82" t="str">
        <f>VLOOKUP(I94,MetaData!$E$2:$G$40,3,false)</f>
        <v>Hanin</v>
      </c>
      <c r="K94" s="83"/>
    </row>
    <row r="95" ht="15.75" customHeight="1">
      <c r="A95" s="76">
        <v>109.0</v>
      </c>
      <c r="B95" s="77">
        <v>8.0</v>
      </c>
      <c r="C95" s="77" t="s">
        <v>875</v>
      </c>
      <c r="D95" s="77">
        <v>2.52610096E8</v>
      </c>
      <c r="E95" s="78" t="s">
        <v>700</v>
      </c>
      <c r="F95" s="77" t="s">
        <v>784</v>
      </c>
      <c r="G95" s="79" t="s">
        <v>29</v>
      </c>
      <c r="H95" s="79" t="str">
        <f>VLOOKUP(G95,MetaData!$A$2:$C$13,3,false)</f>
        <v>Syamsi Jawawi, S.Pd</v>
      </c>
      <c r="I95" s="79" t="s">
        <v>696</v>
      </c>
      <c r="J95" s="79" t="str">
        <f>VLOOKUP(I95,MetaData!$E$2:$G$40,3,false)</f>
        <v>Hanin</v>
      </c>
      <c r="K95" s="80"/>
    </row>
    <row r="96" ht="15.75" customHeight="1">
      <c r="A96" s="81">
        <v>110.0</v>
      </c>
      <c r="B96" s="77">
        <v>9.0</v>
      </c>
      <c r="C96" s="77" t="s">
        <v>876</v>
      </c>
      <c r="D96" s="77">
        <v>2.52610121E8</v>
      </c>
      <c r="E96" s="78" t="s">
        <v>701</v>
      </c>
      <c r="F96" s="77" t="s">
        <v>784</v>
      </c>
      <c r="G96" s="82" t="s">
        <v>29</v>
      </c>
      <c r="H96" s="82" t="str">
        <f>VLOOKUP(G96,MetaData!$A$2:$C$13,3,false)</f>
        <v>Syamsi Jawawi, S.Pd</v>
      </c>
      <c r="I96" s="82" t="s">
        <v>696</v>
      </c>
      <c r="J96" s="82" t="str">
        <f>VLOOKUP(I96,MetaData!$E$2:$G$40,3,false)</f>
        <v>Hanin</v>
      </c>
      <c r="K96" s="83"/>
    </row>
    <row r="97" ht="15.75" customHeight="1">
      <c r="A97" s="76">
        <v>111.0</v>
      </c>
      <c r="B97" s="77">
        <v>10.0</v>
      </c>
      <c r="C97" s="77" t="s">
        <v>877</v>
      </c>
      <c r="D97" s="77">
        <v>2.52610129E8</v>
      </c>
      <c r="E97" s="78" t="s">
        <v>335</v>
      </c>
      <c r="F97" s="77" t="s">
        <v>782</v>
      </c>
      <c r="G97" s="79" t="s">
        <v>29</v>
      </c>
      <c r="H97" s="79" t="str">
        <f>VLOOKUP(G97,MetaData!$A$2:$C$13,3,false)</f>
        <v>Syamsi Jawawi, S.Pd</v>
      </c>
      <c r="I97" s="79" t="s">
        <v>330</v>
      </c>
      <c r="J97" s="79" t="str">
        <f>VLOOKUP(I97,MetaData!$E$2:$G$40,3,false)</f>
        <v>Angga</v>
      </c>
      <c r="K97" s="80"/>
    </row>
    <row r="98" ht="15.75" customHeight="1">
      <c r="A98" s="81">
        <v>112.0</v>
      </c>
      <c r="B98" s="77">
        <v>11.0</v>
      </c>
      <c r="C98" s="77" t="s">
        <v>878</v>
      </c>
      <c r="D98" s="77">
        <v>2.52610136E8</v>
      </c>
      <c r="E98" s="78" t="s">
        <v>702</v>
      </c>
      <c r="F98" s="77" t="s">
        <v>784</v>
      </c>
      <c r="G98" s="82" t="s">
        <v>29</v>
      </c>
      <c r="H98" s="82" t="str">
        <f>VLOOKUP(G98,MetaData!$A$2:$C$13,3,false)</f>
        <v>Syamsi Jawawi, S.Pd</v>
      </c>
      <c r="I98" s="82" t="s">
        <v>696</v>
      </c>
      <c r="J98" s="82" t="str">
        <f>VLOOKUP(I98,MetaData!$E$2:$G$40,3,false)</f>
        <v>Hanin</v>
      </c>
      <c r="K98" s="83"/>
    </row>
    <row r="99" ht="15.75" customHeight="1">
      <c r="A99" s="76">
        <v>113.0</v>
      </c>
      <c r="B99" s="77">
        <v>12.0</v>
      </c>
      <c r="C99" s="77" t="s">
        <v>879</v>
      </c>
      <c r="D99" s="77">
        <v>2.52610138E8</v>
      </c>
      <c r="E99" s="78" t="s">
        <v>703</v>
      </c>
      <c r="F99" s="77" t="s">
        <v>784</v>
      </c>
      <c r="G99" s="79" t="s">
        <v>29</v>
      </c>
      <c r="H99" s="79" t="str">
        <f>VLOOKUP(G99,MetaData!$A$2:$C$13,3,false)</f>
        <v>Syamsi Jawawi, S.Pd</v>
      </c>
      <c r="I99" s="79" t="s">
        <v>696</v>
      </c>
      <c r="J99" s="79" t="str">
        <f>VLOOKUP(I99,MetaData!$E$2:$G$40,3,false)</f>
        <v>Hanin</v>
      </c>
      <c r="K99" s="80"/>
    </row>
    <row r="100" ht="15.75" customHeight="1">
      <c r="A100" s="81">
        <v>114.0</v>
      </c>
      <c r="B100" s="77">
        <v>13.0</v>
      </c>
      <c r="C100" s="77" t="s">
        <v>880</v>
      </c>
      <c r="D100" s="77">
        <v>2.52610148E8</v>
      </c>
      <c r="E100" s="78" t="s">
        <v>704</v>
      </c>
      <c r="F100" s="77" t="s">
        <v>784</v>
      </c>
      <c r="G100" s="82" t="s">
        <v>29</v>
      </c>
      <c r="H100" s="82" t="str">
        <f>VLOOKUP(G100,MetaData!$A$2:$C$13,3,false)</f>
        <v>Syamsi Jawawi, S.Pd</v>
      </c>
      <c r="I100" s="82" t="s">
        <v>696</v>
      </c>
      <c r="J100" s="82" t="str">
        <f>VLOOKUP(I100,MetaData!$E$2:$G$40,3,false)</f>
        <v>Hanin</v>
      </c>
      <c r="K100" s="83"/>
    </row>
    <row r="101" ht="15.75" customHeight="1">
      <c r="A101" s="76">
        <v>115.0</v>
      </c>
      <c r="B101" s="77">
        <v>14.0</v>
      </c>
      <c r="C101" s="77" t="s">
        <v>881</v>
      </c>
      <c r="D101" s="77">
        <v>2.52610158E8</v>
      </c>
      <c r="E101" s="78" t="s">
        <v>705</v>
      </c>
      <c r="F101" s="77" t="s">
        <v>784</v>
      </c>
      <c r="G101" s="79" t="s">
        <v>29</v>
      </c>
      <c r="H101" s="79" t="str">
        <f>VLOOKUP(G101,MetaData!$A$2:$C$13,3,false)</f>
        <v>Syamsi Jawawi, S.Pd</v>
      </c>
      <c r="I101" s="79" t="s">
        <v>696</v>
      </c>
      <c r="J101" s="79" t="str">
        <f>VLOOKUP(I101,MetaData!$E$2:$G$40,3,false)</f>
        <v>Hanin</v>
      </c>
      <c r="K101" s="80"/>
    </row>
    <row r="102" ht="15.75" customHeight="1">
      <c r="A102" s="81">
        <v>116.0</v>
      </c>
      <c r="B102" s="77">
        <v>15.0</v>
      </c>
      <c r="C102" s="77" t="s">
        <v>882</v>
      </c>
      <c r="D102" s="77">
        <v>2.52610187E8</v>
      </c>
      <c r="E102" s="78" t="s">
        <v>706</v>
      </c>
      <c r="F102" s="77" t="s">
        <v>784</v>
      </c>
      <c r="G102" s="82" t="s">
        <v>29</v>
      </c>
      <c r="H102" s="82" t="str">
        <f>VLOOKUP(G102,MetaData!$A$2:$C$13,3,false)</f>
        <v>Syamsi Jawawi, S.Pd</v>
      </c>
      <c r="I102" s="82" t="s">
        <v>696</v>
      </c>
      <c r="J102" s="82" t="str">
        <f>VLOOKUP(I102,MetaData!$E$2:$G$40,3,false)</f>
        <v>Hanin</v>
      </c>
      <c r="K102" s="83"/>
    </row>
    <row r="103" ht="15.75" customHeight="1">
      <c r="A103" s="76">
        <v>117.0</v>
      </c>
      <c r="B103" s="77">
        <v>16.0</v>
      </c>
      <c r="C103" s="77" t="s">
        <v>883</v>
      </c>
      <c r="D103" s="77">
        <v>2.5261019E8</v>
      </c>
      <c r="E103" s="78" t="s">
        <v>336</v>
      </c>
      <c r="F103" s="77" t="s">
        <v>782</v>
      </c>
      <c r="G103" s="79" t="s">
        <v>29</v>
      </c>
      <c r="H103" s="79" t="str">
        <f>VLOOKUP(G103,MetaData!$A$2:$C$13,3,false)</f>
        <v>Syamsi Jawawi, S.Pd</v>
      </c>
      <c r="I103" s="79" t="s">
        <v>330</v>
      </c>
      <c r="J103" s="79" t="str">
        <f>VLOOKUP(I103,MetaData!$E$2:$G$40,3,false)</f>
        <v>Angga</v>
      </c>
      <c r="K103" s="80"/>
    </row>
    <row r="104" ht="15.75" customHeight="1">
      <c r="A104" s="81">
        <v>118.0</v>
      </c>
      <c r="B104" s="77">
        <v>17.0</v>
      </c>
      <c r="C104" s="77" t="s">
        <v>884</v>
      </c>
      <c r="D104" s="77">
        <v>2.52610201E8</v>
      </c>
      <c r="E104" s="78" t="s">
        <v>337</v>
      </c>
      <c r="F104" s="77" t="s">
        <v>782</v>
      </c>
      <c r="G104" s="82" t="s">
        <v>29</v>
      </c>
      <c r="H104" s="82" t="str">
        <f>VLOOKUP(G104,MetaData!$A$2:$C$13,3,false)</f>
        <v>Syamsi Jawawi, S.Pd</v>
      </c>
      <c r="I104" s="82" t="s">
        <v>330</v>
      </c>
      <c r="J104" s="82" t="str">
        <f>VLOOKUP(I104,MetaData!$E$2:$G$40,3,false)</f>
        <v>Angga</v>
      </c>
      <c r="K104" s="83"/>
    </row>
    <row r="105" ht="15.75" customHeight="1">
      <c r="A105" s="76">
        <v>119.0</v>
      </c>
      <c r="B105" s="77">
        <v>18.0</v>
      </c>
      <c r="C105" s="77" t="s">
        <v>885</v>
      </c>
      <c r="D105" s="77">
        <v>2.52610204E8</v>
      </c>
      <c r="E105" s="78" t="s">
        <v>707</v>
      </c>
      <c r="F105" s="77" t="s">
        <v>784</v>
      </c>
      <c r="G105" s="79" t="s">
        <v>29</v>
      </c>
      <c r="H105" s="79" t="str">
        <f>VLOOKUP(G105,MetaData!$A$2:$C$13,3,false)</f>
        <v>Syamsi Jawawi, S.Pd</v>
      </c>
      <c r="I105" s="79" t="s">
        <v>696</v>
      </c>
      <c r="J105" s="79" t="str">
        <f>VLOOKUP(I105,MetaData!$E$2:$G$40,3,false)</f>
        <v>Hanin</v>
      </c>
      <c r="K105" s="80"/>
    </row>
    <row r="106" ht="15.75" customHeight="1">
      <c r="A106" s="81">
        <v>120.0</v>
      </c>
      <c r="B106" s="77">
        <v>22.0</v>
      </c>
      <c r="C106" s="77" t="s">
        <v>886</v>
      </c>
      <c r="D106" s="77">
        <v>2.52610237E8</v>
      </c>
      <c r="E106" s="78" t="s">
        <v>338</v>
      </c>
      <c r="F106" s="77" t="s">
        <v>782</v>
      </c>
      <c r="G106" s="82" t="s">
        <v>29</v>
      </c>
      <c r="H106" s="82" t="str">
        <f>VLOOKUP(G106,MetaData!$A$2:$C$13,3,false)</f>
        <v>Syamsi Jawawi, S.Pd</v>
      </c>
      <c r="I106" s="82" t="s">
        <v>330</v>
      </c>
      <c r="J106" s="82" t="str">
        <f>VLOOKUP(I106,MetaData!$E$2:$G$40,3,false)</f>
        <v>Angga</v>
      </c>
      <c r="K106" s="83"/>
    </row>
    <row r="107" ht="15.75" customHeight="1">
      <c r="A107" s="76">
        <v>121.0</v>
      </c>
      <c r="B107" s="77">
        <v>23.0</v>
      </c>
      <c r="C107" s="77" t="s">
        <v>887</v>
      </c>
      <c r="D107" s="77">
        <v>2.52610259E8</v>
      </c>
      <c r="E107" s="78" t="s">
        <v>708</v>
      </c>
      <c r="F107" s="77" t="s">
        <v>784</v>
      </c>
      <c r="G107" s="79" t="s">
        <v>29</v>
      </c>
      <c r="H107" s="79" t="str">
        <f>VLOOKUP(G107,MetaData!$A$2:$C$13,3,false)</f>
        <v>Syamsi Jawawi, S.Pd</v>
      </c>
      <c r="I107" s="79" t="s">
        <v>696</v>
      </c>
      <c r="J107" s="79" t="str">
        <f>VLOOKUP(I107,MetaData!$E$2:$G$40,3,false)</f>
        <v>Hanin</v>
      </c>
      <c r="K107" s="80"/>
    </row>
    <row r="108" ht="15.75" customHeight="1">
      <c r="A108" s="81">
        <v>122.0</v>
      </c>
      <c r="B108" s="77">
        <v>25.0</v>
      </c>
      <c r="C108" s="77" t="s">
        <v>888</v>
      </c>
      <c r="D108" s="77">
        <v>2.52610276E8</v>
      </c>
      <c r="E108" s="78" t="s">
        <v>709</v>
      </c>
      <c r="F108" s="77" t="s">
        <v>784</v>
      </c>
      <c r="G108" s="82" t="s">
        <v>29</v>
      </c>
      <c r="H108" s="82" t="str">
        <f>VLOOKUP(G108,MetaData!$A$2:$C$13,3,false)</f>
        <v>Syamsi Jawawi, S.Pd</v>
      </c>
      <c r="I108" s="82" t="s">
        <v>696</v>
      </c>
      <c r="J108" s="82" t="str">
        <f>VLOOKUP(I108,MetaData!$E$2:$G$40,3,false)</f>
        <v>Hanin</v>
      </c>
      <c r="K108" s="83"/>
    </row>
    <row r="109" ht="15.75" customHeight="1">
      <c r="A109" s="76">
        <v>123.0</v>
      </c>
      <c r="B109" s="77">
        <v>26.0</v>
      </c>
      <c r="C109" s="77" t="s">
        <v>889</v>
      </c>
      <c r="D109" s="77">
        <v>2.52610278E8</v>
      </c>
      <c r="E109" s="78" t="s">
        <v>339</v>
      </c>
      <c r="F109" s="77" t="s">
        <v>782</v>
      </c>
      <c r="G109" s="79" t="s">
        <v>29</v>
      </c>
      <c r="H109" s="79" t="str">
        <f>VLOOKUP(G109,MetaData!$A$2:$C$13,3,false)</f>
        <v>Syamsi Jawawi, S.Pd</v>
      </c>
      <c r="I109" s="79" t="s">
        <v>330</v>
      </c>
      <c r="J109" s="79" t="str">
        <f>VLOOKUP(I109,MetaData!$E$2:$G$40,3,false)</f>
        <v>Angga</v>
      </c>
      <c r="K109" s="80"/>
    </row>
    <row r="110" ht="15.75" customHeight="1">
      <c r="A110" s="81">
        <v>124.0</v>
      </c>
      <c r="B110" s="77">
        <v>27.0</v>
      </c>
      <c r="C110" s="77" t="s">
        <v>890</v>
      </c>
      <c r="D110" s="77">
        <v>2.52610287E8</v>
      </c>
      <c r="E110" s="78" t="s">
        <v>540</v>
      </c>
      <c r="F110" s="77" t="s">
        <v>784</v>
      </c>
      <c r="G110" s="82" t="s">
        <v>29</v>
      </c>
      <c r="H110" s="82" t="str">
        <f>VLOOKUP(G110,MetaData!$A$2:$C$13,3,false)</f>
        <v>Syamsi Jawawi, S.Pd</v>
      </c>
      <c r="I110" s="82" t="s">
        <v>538</v>
      </c>
      <c r="J110" s="82" t="str">
        <f>VLOOKUP(I110,MetaData!$E$2:$G$40,3,false)</f>
        <v>Zhafira (XI)</v>
      </c>
      <c r="K110" s="83"/>
    </row>
    <row r="111" ht="15.75" customHeight="1">
      <c r="A111" s="76">
        <v>125.0</v>
      </c>
      <c r="B111" s="77">
        <v>29.0</v>
      </c>
      <c r="C111" s="77" t="s">
        <v>891</v>
      </c>
      <c r="D111" s="77">
        <v>2.52610301E8</v>
      </c>
      <c r="E111" s="78" t="s">
        <v>541</v>
      </c>
      <c r="F111" s="77" t="s">
        <v>784</v>
      </c>
      <c r="G111" s="79" t="s">
        <v>29</v>
      </c>
      <c r="H111" s="79" t="str">
        <f>VLOOKUP(G111,MetaData!$A$2:$C$13,3,false)</f>
        <v>Syamsi Jawawi, S.Pd</v>
      </c>
      <c r="I111" s="79" t="s">
        <v>538</v>
      </c>
      <c r="J111" s="79" t="str">
        <f>VLOOKUP(I111,MetaData!$E$2:$G$40,3,false)</f>
        <v>Zhafira (XI)</v>
      </c>
      <c r="K111" s="80"/>
    </row>
    <row r="112" ht="15.75" customHeight="1">
      <c r="A112" s="81">
        <v>126.0</v>
      </c>
      <c r="B112" s="77">
        <v>32.0</v>
      </c>
      <c r="C112" s="77" t="s">
        <v>892</v>
      </c>
      <c r="D112" s="77">
        <v>2.52610381E8</v>
      </c>
      <c r="E112" s="78" t="s">
        <v>340</v>
      </c>
      <c r="F112" s="77" t="s">
        <v>782</v>
      </c>
      <c r="G112" s="82" t="s">
        <v>29</v>
      </c>
      <c r="H112" s="82" t="str">
        <f>VLOOKUP(G112,MetaData!$A$2:$C$13,3,false)</f>
        <v>Syamsi Jawawi, S.Pd</v>
      </c>
      <c r="I112" s="82" t="s">
        <v>330</v>
      </c>
      <c r="J112" s="82" t="str">
        <f>VLOOKUP(I112,MetaData!$E$2:$G$40,3,false)</f>
        <v>Angga</v>
      </c>
      <c r="K112" s="83"/>
    </row>
    <row r="113" ht="15.75" customHeight="1">
      <c r="A113" s="76">
        <v>127.0</v>
      </c>
      <c r="B113" s="77">
        <v>33.0</v>
      </c>
      <c r="C113" s="77" t="s">
        <v>893</v>
      </c>
      <c r="D113" s="77">
        <v>2.52610386E8</v>
      </c>
      <c r="E113" s="78" t="s">
        <v>542</v>
      </c>
      <c r="F113" s="77" t="s">
        <v>784</v>
      </c>
      <c r="G113" s="79" t="s">
        <v>29</v>
      </c>
      <c r="H113" s="79" t="str">
        <f>VLOOKUP(G113,MetaData!$A$2:$C$13,3,false)</f>
        <v>Syamsi Jawawi, S.Pd</v>
      </c>
      <c r="I113" s="79" t="s">
        <v>538</v>
      </c>
      <c r="J113" s="79" t="str">
        <f>VLOOKUP(I113,MetaData!$E$2:$G$40,3,false)</f>
        <v>Zhafira (XI)</v>
      </c>
      <c r="K113" s="80"/>
    </row>
    <row r="114" ht="15.75" customHeight="1">
      <c r="A114" s="81">
        <v>128.0</v>
      </c>
      <c r="B114" s="77">
        <v>34.0</v>
      </c>
      <c r="C114" s="77" t="s">
        <v>894</v>
      </c>
      <c r="D114" s="77">
        <v>2.52610415E8</v>
      </c>
      <c r="E114" s="78" t="s">
        <v>543</v>
      </c>
      <c r="F114" s="77" t="s">
        <v>784</v>
      </c>
      <c r="G114" s="82" t="s">
        <v>29</v>
      </c>
      <c r="H114" s="82" t="str">
        <f>VLOOKUP(G114,MetaData!$A$2:$C$13,3,false)</f>
        <v>Syamsi Jawawi, S.Pd</v>
      </c>
      <c r="I114" s="82" t="s">
        <v>538</v>
      </c>
      <c r="J114" s="82" t="str">
        <f>VLOOKUP(I114,MetaData!$E$2:$G$40,3,false)</f>
        <v>Zhafira (XI)</v>
      </c>
      <c r="K114" s="83"/>
    </row>
    <row r="115" ht="15.75" customHeight="1">
      <c r="A115" s="76">
        <v>129.0</v>
      </c>
      <c r="B115" s="77">
        <v>35.0</v>
      </c>
      <c r="C115" s="77" t="s">
        <v>895</v>
      </c>
      <c r="D115" s="77">
        <v>2.52610422E8</v>
      </c>
      <c r="E115" s="78" t="s">
        <v>341</v>
      </c>
      <c r="F115" s="77" t="s">
        <v>782</v>
      </c>
      <c r="G115" s="79" t="s">
        <v>29</v>
      </c>
      <c r="H115" s="79" t="str">
        <f>VLOOKUP(G115,MetaData!$A$2:$C$13,3,false)</f>
        <v>Syamsi Jawawi, S.Pd</v>
      </c>
      <c r="I115" s="79" t="s">
        <v>330</v>
      </c>
      <c r="J115" s="79" t="str">
        <f>VLOOKUP(I115,MetaData!$E$2:$G$40,3,false)</f>
        <v>Angga</v>
      </c>
      <c r="K115" s="80"/>
    </row>
    <row r="116" ht="15.75" customHeight="1">
      <c r="A116" s="81">
        <v>130.0</v>
      </c>
      <c r="B116" s="77">
        <v>36.0</v>
      </c>
      <c r="C116" s="77" t="s">
        <v>896</v>
      </c>
      <c r="D116" s="77">
        <v>2.52610426E8</v>
      </c>
      <c r="E116" s="78" t="s">
        <v>544</v>
      </c>
      <c r="F116" s="77" t="s">
        <v>784</v>
      </c>
      <c r="G116" s="82" t="s">
        <v>29</v>
      </c>
      <c r="H116" s="82" t="str">
        <f>VLOOKUP(G116,MetaData!$A$2:$C$13,3,false)</f>
        <v>Syamsi Jawawi, S.Pd</v>
      </c>
      <c r="I116" s="82" t="s">
        <v>538</v>
      </c>
      <c r="J116" s="82" t="str">
        <f>VLOOKUP(I116,MetaData!$E$2:$G$40,3,false)</f>
        <v>Zhafira (XI)</v>
      </c>
      <c r="K116" s="83"/>
    </row>
    <row r="117" ht="15.75" customHeight="1">
      <c r="A117" s="76">
        <v>131.0</v>
      </c>
      <c r="B117" s="77">
        <v>37.0</v>
      </c>
      <c r="C117" s="77" t="s">
        <v>897</v>
      </c>
      <c r="D117" s="77">
        <v>2.52610432E8</v>
      </c>
      <c r="E117" s="78" t="s">
        <v>342</v>
      </c>
      <c r="F117" s="77" t="s">
        <v>782</v>
      </c>
      <c r="G117" s="79" t="s">
        <v>29</v>
      </c>
      <c r="H117" s="79" t="str">
        <f>VLOOKUP(G117,MetaData!$A$2:$C$13,3,false)</f>
        <v>Syamsi Jawawi, S.Pd</v>
      </c>
      <c r="I117" s="79" t="s">
        <v>330</v>
      </c>
      <c r="J117" s="79" t="str">
        <f>VLOOKUP(I117,MetaData!$E$2:$G$40,3,false)</f>
        <v>Angga</v>
      </c>
      <c r="K117" s="80"/>
    </row>
    <row r="118" ht="15.75" customHeight="1">
      <c r="A118" s="81">
        <v>132.0</v>
      </c>
      <c r="B118" s="77">
        <v>38.0</v>
      </c>
      <c r="C118" s="77" t="s">
        <v>898</v>
      </c>
      <c r="D118" s="77">
        <v>2.52610438E8</v>
      </c>
      <c r="E118" s="78" t="s">
        <v>545</v>
      </c>
      <c r="F118" s="77" t="s">
        <v>784</v>
      </c>
      <c r="G118" s="82" t="s">
        <v>29</v>
      </c>
      <c r="H118" s="82" t="str">
        <f>VLOOKUP(G118,MetaData!$A$2:$C$13,3,false)</f>
        <v>Syamsi Jawawi, S.Pd</v>
      </c>
      <c r="I118" s="82" t="s">
        <v>538</v>
      </c>
      <c r="J118" s="82" t="str">
        <f>VLOOKUP(I118,MetaData!$E$2:$G$40,3,false)</f>
        <v>Zhafira (XI)</v>
      </c>
      <c r="K118" s="83"/>
    </row>
    <row r="119" ht="15.75" customHeight="1">
      <c r="A119" s="76">
        <v>133.0</v>
      </c>
      <c r="B119" s="77">
        <v>39.0</v>
      </c>
      <c r="C119" s="77" t="s">
        <v>899</v>
      </c>
      <c r="D119" s="77">
        <v>2.52610439E8</v>
      </c>
      <c r="E119" s="78" t="s">
        <v>546</v>
      </c>
      <c r="F119" s="77" t="s">
        <v>784</v>
      </c>
      <c r="G119" s="79" t="s">
        <v>29</v>
      </c>
      <c r="H119" s="79" t="str">
        <f>VLOOKUP(G119,MetaData!$A$2:$C$13,3,false)</f>
        <v>Syamsi Jawawi, S.Pd</v>
      </c>
      <c r="I119" s="79" t="s">
        <v>538</v>
      </c>
      <c r="J119" s="79" t="str">
        <f>VLOOKUP(I119,MetaData!$E$2:$G$40,3,false)</f>
        <v>Zhafira (XI)</v>
      </c>
      <c r="K119" s="80"/>
    </row>
    <row r="120" ht="15.75" customHeight="1">
      <c r="A120" s="81">
        <v>134.0</v>
      </c>
      <c r="B120" s="77">
        <v>40.0</v>
      </c>
      <c r="C120" s="77" t="s">
        <v>900</v>
      </c>
      <c r="D120" s="77">
        <v>2.52610461E8</v>
      </c>
      <c r="E120" s="78" t="s">
        <v>547</v>
      </c>
      <c r="F120" s="77" t="s">
        <v>784</v>
      </c>
      <c r="G120" s="82" t="s">
        <v>29</v>
      </c>
      <c r="H120" s="82" t="str">
        <f>VLOOKUP(G120,MetaData!$A$2:$C$13,3,false)</f>
        <v>Syamsi Jawawi, S.Pd</v>
      </c>
      <c r="I120" s="82" t="s">
        <v>538</v>
      </c>
      <c r="J120" s="82" t="str">
        <f>VLOOKUP(I120,MetaData!$E$2:$G$40,3,false)</f>
        <v>Zhafira (XI)</v>
      </c>
      <c r="K120" s="83"/>
    </row>
    <row r="121" ht="15.75" customHeight="1">
      <c r="A121" s="76">
        <v>135.0</v>
      </c>
      <c r="B121" s="77">
        <v>41.0</v>
      </c>
      <c r="C121" s="77" t="s">
        <v>901</v>
      </c>
      <c r="D121" s="77">
        <v>2.52610485E8</v>
      </c>
      <c r="E121" s="78" t="s">
        <v>343</v>
      </c>
      <c r="F121" s="77" t="s">
        <v>782</v>
      </c>
      <c r="G121" s="79" t="s">
        <v>29</v>
      </c>
      <c r="H121" s="79" t="str">
        <f>VLOOKUP(G121,MetaData!$A$2:$C$13,3,false)</f>
        <v>Syamsi Jawawi, S.Pd</v>
      </c>
      <c r="I121" s="79" t="s">
        <v>330</v>
      </c>
      <c r="J121" s="79" t="str">
        <f>VLOOKUP(I121,MetaData!$E$2:$G$40,3,false)</f>
        <v>Angga</v>
      </c>
      <c r="K121" s="80"/>
    </row>
    <row r="122" ht="15.75" customHeight="1">
      <c r="A122" s="81">
        <v>136.0</v>
      </c>
      <c r="B122" s="77">
        <v>42.0</v>
      </c>
      <c r="C122" s="77" t="s">
        <v>902</v>
      </c>
      <c r="D122" s="77">
        <v>2.52610501E8</v>
      </c>
      <c r="E122" s="78" t="s">
        <v>548</v>
      </c>
      <c r="F122" s="77" t="s">
        <v>784</v>
      </c>
      <c r="G122" s="82" t="s">
        <v>29</v>
      </c>
      <c r="H122" s="82" t="str">
        <f>VLOOKUP(G122,MetaData!$A$2:$C$13,3,false)</f>
        <v>Syamsi Jawawi, S.Pd</v>
      </c>
      <c r="I122" s="82" t="s">
        <v>538</v>
      </c>
      <c r="J122" s="82" t="str">
        <f>VLOOKUP(I122,MetaData!$E$2:$G$40,3,false)</f>
        <v>Zhafira (XI)</v>
      </c>
      <c r="K122" s="83"/>
    </row>
    <row r="123" ht="15.75" customHeight="1">
      <c r="A123" s="76">
        <v>137.0</v>
      </c>
      <c r="B123" s="77">
        <v>43.0</v>
      </c>
      <c r="C123" s="77" t="s">
        <v>903</v>
      </c>
      <c r="D123" s="77">
        <v>2.5261052E8</v>
      </c>
      <c r="E123" s="78" t="s">
        <v>549</v>
      </c>
      <c r="F123" s="77" t="s">
        <v>784</v>
      </c>
      <c r="G123" s="79" t="s">
        <v>29</v>
      </c>
      <c r="H123" s="79" t="str">
        <f>VLOOKUP(G123,MetaData!$A$2:$C$13,3,false)</f>
        <v>Syamsi Jawawi, S.Pd</v>
      </c>
      <c r="I123" s="79" t="s">
        <v>538</v>
      </c>
      <c r="J123" s="79" t="str">
        <f>VLOOKUP(I123,MetaData!$E$2:$G$40,3,false)</f>
        <v>Zhafira (XI)</v>
      </c>
      <c r="K123" s="80"/>
    </row>
    <row r="124" ht="15.75" customHeight="1">
      <c r="A124" s="81">
        <v>138.0</v>
      </c>
      <c r="B124" s="77">
        <v>44.0</v>
      </c>
      <c r="C124" s="77" t="s">
        <v>904</v>
      </c>
      <c r="D124" s="77">
        <v>2.52610555E8</v>
      </c>
      <c r="E124" s="78" t="s">
        <v>550</v>
      </c>
      <c r="F124" s="77" t="s">
        <v>784</v>
      </c>
      <c r="G124" s="82" t="s">
        <v>29</v>
      </c>
      <c r="H124" s="82" t="str">
        <f>VLOOKUP(G124,MetaData!$A$2:$C$13,3,false)</f>
        <v>Syamsi Jawawi, S.Pd</v>
      </c>
      <c r="I124" s="82" t="s">
        <v>538</v>
      </c>
      <c r="J124" s="82" t="str">
        <f>VLOOKUP(I124,MetaData!$E$2:$G$40,3,false)</f>
        <v>Zhafira (XI)</v>
      </c>
      <c r="K124" s="83"/>
    </row>
    <row r="125" ht="15.75" customHeight="1">
      <c r="A125" s="76">
        <v>139.0</v>
      </c>
      <c r="B125" s="77">
        <v>45.0</v>
      </c>
      <c r="C125" s="77" t="s">
        <v>905</v>
      </c>
      <c r="D125" s="77">
        <v>2.52610556E8</v>
      </c>
      <c r="E125" s="78" t="s">
        <v>551</v>
      </c>
      <c r="F125" s="77" t="s">
        <v>784</v>
      </c>
      <c r="G125" s="79" t="s">
        <v>29</v>
      </c>
      <c r="H125" s="79" t="str">
        <f>VLOOKUP(G125,MetaData!$A$2:$C$13,3,false)</f>
        <v>Syamsi Jawawi, S.Pd</v>
      </c>
      <c r="I125" s="79" t="s">
        <v>538</v>
      </c>
      <c r="J125" s="79" t="str">
        <f>VLOOKUP(I125,MetaData!$E$2:$G$40,3,false)</f>
        <v>Zhafira (XI)</v>
      </c>
      <c r="K125" s="80"/>
    </row>
    <row r="126" ht="15.75" customHeight="1">
      <c r="A126" s="81">
        <v>140.0</v>
      </c>
      <c r="B126" s="77">
        <v>46.0</v>
      </c>
      <c r="C126" s="77" t="s">
        <v>906</v>
      </c>
      <c r="D126" s="77">
        <v>2.52610247E8</v>
      </c>
      <c r="E126" s="78" t="s">
        <v>539</v>
      </c>
      <c r="F126" s="77" t="s">
        <v>784</v>
      </c>
      <c r="G126" s="82" t="s">
        <v>29</v>
      </c>
      <c r="H126" s="82" t="str">
        <f>VLOOKUP(G126,MetaData!$A$2:$C$13,3,false)</f>
        <v>Syamsi Jawawi, S.Pd</v>
      </c>
      <c r="I126" s="82" t="s">
        <v>538</v>
      </c>
      <c r="J126" s="82" t="str">
        <f>VLOOKUP(I126,MetaData!$E$2:$G$40,3,false)</f>
        <v>Zhafira (XI)</v>
      </c>
      <c r="K126" s="83"/>
    </row>
    <row r="127" ht="15.75" customHeight="1">
      <c r="A127" s="84">
        <v>148.0</v>
      </c>
      <c r="B127" s="77">
        <v>1.0</v>
      </c>
      <c r="C127" s="77" t="s">
        <v>907</v>
      </c>
      <c r="D127" s="77">
        <v>2.52610016E8</v>
      </c>
      <c r="E127" s="78" t="s">
        <v>313</v>
      </c>
      <c r="F127" s="77" t="s">
        <v>782</v>
      </c>
      <c r="G127" s="79" t="s">
        <v>37</v>
      </c>
      <c r="H127" s="79" t="str">
        <f>VLOOKUP(G127,MetaData!$A$2:$C$13,3,false)</f>
        <v>Dwi Lestari, S.Pd</v>
      </c>
      <c r="I127" s="79" t="s">
        <v>312</v>
      </c>
      <c r="J127" s="79" t="str">
        <f>VLOOKUP(I127,MetaData!$E$2:$G$40,3,false)</f>
        <v>Rizky Putra</v>
      </c>
      <c r="K127" s="80"/>
    </row>
    <row r="128" ht="15.75" customHeight="1">
      <c r="A128" s="85">
        <v>149.0</v>
      </c>
      <c r="B128" s="77">
        <v>2.0</v>
      </c>
      <c r="C128" s="77" t="s">
        <v>908</v>
      </c>
      <c r="D128" s="77">
        <v>2.52610018E8</v>
      </c>
      <c r="E128" s="78" t="s">
        <v>314</v>
      </c>
      <c r="F128" s="77" t="s">
        <v>782</v>
      </c>
      <c r="G128" s="82" t="s">
        <v>37</v>
      </c>
      <c r="H128" s="82" t="str">
        <f>VLOOKUP(G128,MetaData!$A$2:$C$13,3,false)</f>
        <v>Dwi Lestari, S.Pd</v>
      </c>
      <c r="I128" s="82" t="s">
        <v>312</v>
      </c>
      <c r="J128" s="82" t="str">
        <f>VLOOKUP(I128,MetaData!$E$2:$G$40,3,false)</f>
        <v>Rizky Putra</v>
      </c>
      <c r="K128" s="83"/>
    </row>
    <row r="129" ht="15.75" customHeight="1">
      <c r="A129" s="84">
        <v>150.0</v>
      </c>
      <c r="B129" s="77">
        <v>3.0</v>
      </c>
      <c r="C129" s="77" t="s">
        <v>909</v>
      </c>
      <c r="D129" s="77">
        <v>2.52610038E8</v>
      </c>
      <c r="E129" s="78" t="s">
        <v>315</v>
      </c>
      <c r="F129" s="77" t="s">
        <v>782</v>
      </c>
      <c r="G129" s="79" t="s">
        <v>37</v>
      </c>
      <c r="H129" s="79" t="str">
        <f>VLOOKUP(G129,MetaData!$A$2:$C$13,3,false)</f>
        <v>Dwi Lestari, S.Pd</v>
      </c>
      <c r="I129" s="79" t="s">
        <v>312</v>
      </c>
      <c r="J129" s="79" t="str">
        <f>VLOOKUP(I129,MetaData!$E$2:$G$40,3,false)</f>
        <v>Rizky Putra</v>
      </c>
      <c r="K129" s="80"/>
    </row>
    <row r="130" ht="15.75" customHeight="1">
      <c r="A130" s="85">
        <v>151.0</v>
      </c>
      <c r="B130" s="77">
        <v>4.0</v>
      </c>
      <c r="C130" s="77" t="s">
        <v>910</v>
      </c>
      <c r="D130" s="77">
        <v>2.52610045E8</v>
      </c>
      <c r="E130" s="78" t="s">
        <v>684</v>
      </c>
      <c r="F130" s="77" t="s">
        <v>784</v>
      </c>
      <c r="G130" s="82" t="s">
        <v>37</v>
      </c>
      <c r="H130" s="82" t="str">
        <f>VLOOKUP(G130,MetaData!$A$2:$C$13,3,false)</f>
        <v>Dwi Lestari, S.Pd</v>
      </c>
      <c r="I130" s="82" t="s">
        <v>683</v>
      </c>
      <c r="J130" s="82" t="str">
        <f>VLOOKUP(I130,MetaData!$E$2:$G$40,3,false)</f>
        <v>Najla</v>
      </c>
      <c r="K130" s="83"/>
    </row>
    <row r="131" ht="15.75" customHeight="1">
      <c r="A131" s="84">
        <v>152.0</v>
      </c>
      <c r="B131" s="77">
        <v>5.0</v>
      </c>
      <c r="C131" s="77" t="s">
        <v>911</v>
      </c>
      <c r="D131" s="77">
        <v>2.52610049E8</v>
      </c>
      <c r="E131" s="78" t="s">
        <v>685</v>
      </c>
      <c r="F131" s="77" t="s">
        <v>784</v>
      </c>
      <c r="G131" s="79" t="s">
        <v>37</v>
      </c>
      <c r="H131" s="79" t="str">
        <f>VLOOKUP(G131,MetaData!$A$2:$C$13,3,false)</f>
        <v>Dwi Lestari, S.Pd</v>
      </c>
      <c r="I131" s="79" t="s">
        <v>683</v>
      </c>
      <c r="J131" s="79" t="str">
        <f>VLOOKUP(I131,MetaData!$E$2:$G$40,3,false)</f>
        <v>Najla</v>
      </c>
      <c r="K131" s="80"/>
    </row>
    <row r="132" ht="15.75" customHeight="1">
      <c r="A132" s="85">
        <v>153.0</v>
      </c>
      <c r="B132" s="77">
        <v>6.0</v>
      </c>
      <c r="C132" s="77" t="s">
        <v>912</v>
      </c>
      <c r="D132" s="77">
        <v>2.52610056E8</v>
      </c>
      <c r="E132" s="78" t="s">
        <v>432</v>
      </c>
      <c r="F132" s="77" t="s">
        <v>784</v>
      </c>
      <c r="G132" s="82" t="s">
        <v>37</v>
      </c>
      <c r="H132" s="82" t="str">
        <f>VLOOKUP(G132,MetaData!$A$2:$C$13,3,false)</f>
        <v>Dwi Lestari, S.Pd</v>
      </c>
      <c r="I132" s="82" t="s">
        <v>428</v>
      </c>
      <c r="J132" s="82" t="str">
        <f>VLOOKUP(I132,MetaData!$E$2:$G$40,3,false)</f>
        <v>Iga</v>
      </c>
      <c r="K132" s="83"/>
    </row>
    <row r="133" ht="15.75" customHeight="1">
      <c r="A133" s="84">
        <v>154.0</v>
      </c>
      <c r="B133" s="77">
        <v>7.0</v>
      </c>
      <c r="C133" s="77" t="s">
        <v>913</v>
      </c>
      <c r="D133" s="77">
        <v>2.52610069E8</v>
      </c>
      <c r="E133" s="78" t="s">
        <v>686</v>
      </c>
      <c r="F133" s="77" t="s">
        <v>784</v>
      </c>
      <c r="G133" s="79" t="s">
        <v>37</v>
      </c>
      <c r="H133" s="79" t="str">
        <f>VLOOKUP(G133,MetaData!$A$2:$C$13,3,false)</f>
        <v>Dwi Lestari, S.Pd</v>
      </c>
      <c r="I133" s="79" t="s">
        <v>683</v>
      </c>
      <c r="J133" s="79" t="str">
        <f>VLOOKUP(I133,MetaData!$E$2:$G$40,3,false)</f>
        <v>Najla</v>
      </c>
      <c r="K133" s="80"/>
    </row>
    <row r="134" ht="15.75" customHeight="1">
      <c r="A134" s="85">
        <v>155.0</v>
      </c>
      <c r="B134" s="77">
        <v>8.0</v>
      </c>
      <c r="C134" s="77" t="s">
        <v>914</v>
      </c>
      <c r="D134" s="77">
        <v>2.52610074E8</v>
      </c>
      <c r="E134" s="78" t="s">
        <v>687</v>
      </c>
      <c r="F134" s="77" t="s">
        <v>784</v>
      </c>
      <c r="G134" s="82" t="s">
        <v>37</v>
      </c>
      <c r="H134" s="82" t="str">
        <f>VLOOKUP(G134,MetaData!$A$2:$C$13,3,false)</f>
        <v>Dwi Lestari, S.Pd</v>
      </c>
      <c r="I134" s="82" t="s">
        <v>683</v>
      </c>
      <c r="J134" s="82" t="str">
        <f>VLOOKUP(I134,MetaData!$E$2:$G$40,3,false)</f>
        <v>Najla</v>
      </c>
      <c r="K134" s="83"/>
    </row>
    <row r="135" ht="15.75" customHeight="1">
      <c r="A135" s="84">
        <v>156.0</v>
      </c>
      <c r="B135" s="77">
        <v>9.0</v>
      </c>
      <c r="C135" s="77" t="s">
        <v>915</v>
      </c>
      <c r="D135" s="77">
        <v>2.52610132E8</v>
      </c>
      <c r="E135" s="78" t="s">
        <v>688</v>
      </c>
      <c r="F135" s="77" t="s">
        <v>784</v>
      </c>
      <c r="G135" s="79" t="s">
        <v>37</v>
      </c>
      <c r="H135" s="79" t="str">
        <f>VLOOKUP(G135,MetaData!$A$2:$C$13,3,false)</f>
        <v>Dwi Lestari, S.Pd</v>
      </c>
      <c r="I135" s="79" t="s">
        <v>683</v>
      </c>
      <c r="J135" s="79" t="str">
        <f>VLOOKUP(I135,MetaData!$E$2:$G$40,3,false)</f>
        <v>Najla</v>
      </c>
      <c r="K135" s="80"/>
    </row>
    <row r="136" ht="15.75" customHeight="1">
      <c r="A136" s="85">
        <v>157.0</v>
      </c>
      <c r="B136" s="77">
        <v>10.0</v>
      </c>
      <c r="C136" s="77" t="s">
        <v>916</v>
      </c>
      <c r="D136" s="77">
        <v>2.52610155E8</v>
      </c>
      <c r="E136" s="78" t="s">
        <v>689</v>
      </c>
      <c r="F136" s="77" t="s">
        <v>784</v>
      </c>
      <c r="G136" s="82" t="s">
        <v>37</v>
      </c>
      <c r="H136" s="82" t="str">
        <f>VLOOKUP(G136,MetaData!$A$2:$C$13,3,false)</f>
        <v>Dwi Lestari, S.Pd</v>
      </c>
      <c r="I136" s="82" t="s">
        <v>683</v>
      </c>
      <c r="J136" s="82" t="str">
        <f>VLOOKUP(I136,MetaData!$E$2:$G$40,3,false)</f>
        <v>Najla</v>
      </c>
      <c r="K136" s="83"/>
    </row>
    <row r="137" ht="15.75" customHeight="1">
      <c r="A137" s="84">
        <v>158.0</v>
      </c>
      <c r="B137" s="77">
        <v>11.0</v>
      </c>
      <c r="C137" s="77" t="s">
        <v>917</v>
      </c>
      <c r="D137" s="77">
        <v>2.52610162E8</v>
      </c>
      <c r="E137" s="78" t="s">
        <v>316</v>
      </c>
      <c r="F137" s="77" t="s">
        <v>782</v>
      </c>
      <c r="G137" s="79" t="s">
        <v>37</v>
      </c>
      <c r="H137" s="79" t="str">
        <f>VLOOKUP(G137,MetaData!$A$2:$C$13,3,false)</f>
        <v>Dwi Lestari, S.Pd</v>
      </c>
      <c r="I137" s="79" t="s">
        <v>312</v>
      </c>
      <c r="J137" s="79" t="str">
        <f>VLOOKUP(I137,MetaData!$E$2:$G$40,3,false)</f>
        <v>Rizky Putra</v>
      </c>
      <c r="K137" s="80"/>
    </row>
    <row r="138" ht="15.75" customHeight="1">
      <c r="A138" s="85">
        <v>159.0</v>
      </c>
      <c r="B138" s="77">
        <v>12.0</v>
      </c>
      <c r="C138" s="77" t="s">
        <v>918</v>
      </c>
      <c r="D138" s="77">
        <v>2.52610173E8</v>
      </c>
      <c r="E138" s="78" t="s">
        <v>690</v>
      </c>
      <c r="F138" s="77" t="s">
        <v>784</v>
      </c>
      <c r="G138" s="82" t="s">
        <v>37</v>
      </c>
      <c r="H138" s="82" t="str">
        <f>VLOOKUP(G138,MetaData!$A$2:$C$13,3,false)</f>
        <v>Dwi Lestari, S.Pd</v>
      </c>
      <c r="I138" s="82" t="s">
        <v>683</v>
      </c>
      <c r="J138" s="82" t="str">
        <f>VLOOKUP(I138,MetaData!$E$2:$G$40,3,false)</f>
        <v>Najla</v>
      </c>
      <c r="K138" s="83"/>
    </row>
    <row r="139" ht="15.75" customHeight="1">
      <c r="A139" s="84">
        <v>160.0</v>
      </c>
      <c r="B139" s="77">
        <v>13.0</v>
      </c>
      <c r="C139" s="77" t="s">
        <v>919</v>
      </c>
      <c r="D139" s="77">
        <v>2.52610183E8</v>
      </c>
      <c r="E139" s="78" t="s">
        <v>317</v>
      </c>
      <c r="F139" s="77" t="s">
        <v>782</v>
      </c>
      <c r="G139" s="79" t="s">
        <v>37</v>
      </c>
      <c r="H139" s="79" t="str">
        <f>VLOOKUP(G139,MetaData!$A$2:$C$13,3,false)</f>
        <v>Dwi Lestari, S.Pd</v>
      </c>
      <c r="I139" s="79" t="s">
        <v>312</v>
      </c>
      <c r="J139" s="79" t="str">
        <f>VLOOKUP(I139,MetaData!$E$2:$G$40,3,false)</f>
        <v>Rizky Putra</v>
      </c>
      <c r="K139" s="80"/>
    </row>
    <row r="140" ht="15.75" customHeight="1">
      <c r="A140" s="85">
        <v>161.0</v>
      </c>
      <c r="B140" s="77">
        <v>14.0</v>
      </c>
      <c r="C140" s="77" t="s">
        <v>920</v>
      </c>
      <c r="D140" s="77">
        <v>2.52610188E8</v>
      </c>
      <c r="E140" s="78" t="s">
        <v>318</v>
      </c>
      <c r="F140" s="77" t="s">
        <v>782</v>
      </c>
      <c r="G140" s="82" t="s">
        <v>37</v>
      </c>
      <c r="H140" s="82" t="str">
        <f>VLOOKUP(G140,MetaData!$A$2:$C$13,3,false)</f>
        <v>Dwi Lestari, S.Pd</v>
      </c>
      <c r="I140" s="82" t="s">
        <v>312</v>
      </c>
      <c r="J140" s="82" t="str">
        <f>VLOOKUP(I140,MetaData!$E$2:$G$40,3,false)</f>
        <v>Rizky Putra</v>
      </c>
      <c r="K140" s="83"/>
    </row>
    <row r="141" ht="15.75" customHeight="1">
      <c r="A141" s="84">
        <v>162.0</v>
      </c>
      <c r="B141" s="77">
        <v>15.0</v>
      </c>
      <c r="C141" s="77" t="s">
        <v>921</v>
      </c>
      <c r="D141" s="77">
        <v>2.52610191E8</v>
      </c>
      <c r="E141" s="78" t="s">
        <v>319</v>
      </c>
      <c r="F141" s="77" t="s">
        <v>782</v>
      </c>
      <c r="G141" s="79" t="s">
        <v>37</v>
      </c>
      <c r="H141" s="79" t="str">
        <f>VLOOKUP(G141,MetaData!$A$2:$C$13,3,false)</f>
        <v>Dwi Lestari, S.Pd</v>
      </c>
      <c r="I141" s="79" t="s">
        <v>312</v>
      </c>
      <c r="J141" s="79" t="str">
        <f>VLOOKUP(I141,MetaData!$E$2:$G$40,3,false)</f>
        <v>Rizky Putra</v>
      </c>
      <c r="K141" s="80"/>
    </row>
    <row r="142" ht="15.75" customHeight="1">
      <c r="A142" s="85">
        <v>163.0</v>
      </c>
      <c r="B142" s="77">
        <v>16.0</v>
      </c>
      <c r="C142" s="77" t="s">
        <v>922</v>
      </c>
      <c r="D142" s="77">
        <v>2.52610216E8</v>
      </c>
      <c r="E142" s="78" t="s">
        <v>691</v>
      </c>
      <c r="F142" s="77" t="s">
        <v>784</v>
      </c>
      <c r="G142" s="82" t="s">
        <v>37</v>
      </c>
      <c r="H142" s="82" t="str">
        <f>VLOOKUP(G142,MetaData!$A$2:$C$13,3,false)</f>
        <v>Dwi Lestari, S.Pd</v>
      </c>
      <c r="I142" s="82" t="s">
        <v>683</v>
      </c>
      <c r="J142" s="82" t="str">
        <f>VLOOKUP(I142,MetaData!$E$2:$G$40,3,false)</f>
        <v>Najla</v>
      </c>
      <c r="K142" s="83"/>
    </row>
    <row r="143" ht="15.75" customHeight="1">
      <c r="A143" s="84">
        <v>164.0</v>
      </c>
      <c r="B143" s="77">
        <v>17.0</v>
      </c>
      <c r="C143" s="77" t="s">
        <v>923</v>
      </c>
      <c r="D143" s="77">
        <v>2.52610233E8</v>
      </c>
      <c r="E143" s="78" t="s">
        <v>692</v>
      </c>
      <c r="F143" s="77" t="s">
        <v>784</v>
      </c>
      <c r="G143" s="79" t="s">
        <v>37</v>
      </c>
      <c r="H143" s="79" t="str">
        <f>VLOOKUP(G143,MetaData!$A$2:$C$13,3,false)</f>
        <v>Dwi Lestari, S.Pd</v>
      </c>
      <c r="I143" s="79" t="s">
        <v>683</v>
      </c>
      <c r="J143" s="79" t="str">
        <f>VLOOKUP(I143,MetaData!$E$2:$G$40,3,false)</f>
        <v>Najla</v>
      </c>
      <c r="K143" s="80"/>
    </row>
    <row r="144" ht="15.75" customHeight="1">
      <c r="A144" s="85">
        <v>165.0</v>
      </c>
      <c r="B144" s="77">
        <v>18.0</v>
      </c>
      <c r="C144" s="77" t="s">
        <v>924</v>
      </c>
      <c r="D144" s="77">
        <v>2.52610258E8</v>
      </c>
      <c r="E144" s="78" t="s">
        <v>693</v>
      </c>
      <c r="F144" s="77" t="s">
        <v>784</v>
      </c>
      <c r="G144" s="82" t="s">
        <v>37</v>
      </c>
      <c r="H144" s="82" t="str">
        <f>VLOOKUP(G144,MetaData!$A$2:$C$13,3,false)</f>
        <v>Dwi Lestari, S.Pd</v>
      </c>
      <c r="I144" s="82" t="s">
        <v>683</v>
      </c>
      <c r="J144" s="82" t="str">
        <f>VLOOKUP(I144,MetaData!$E$2:$G$40,3,false)</f>
        <v>Najla</v>
      </c>
      <c r="K144" s="83"/>
    </row>
    <row r="145" ht="15.75" customHeight="1">
      <c r="A145" s="84">
        <v>166.0</v>
      </c>
      <c r="B145" s="77">
        <v>19.0</v>
      </c>
      <c r="C145" s="77" t="s">
        <v>925</v>
      </c>
      <c r="D145" s="77">
        <v>2.5261026E8</v>
      </c>
      <c r="E145" s="78" t="s">
        <v>694</v>
      </c>
      <c r="F145" s="77" t="s">
        <v>784</v>
      </c>
      <c r="G145" s="79" t="s">
        <v>37</v>
      </c>
      <c r="H145" s="79" t="str">
        <f>VLOOKUP(G145,MetaData!$A$2:$C$13,3,false)</f>
        <v>Dwi Lestari, S.Pd</v>
      </c>
      <c r="I145" s="79" t="s">
        <v>683</v>
      </c>
      <c r="J145" s="79" t="str">
        <f>VLOOKUP(I145,MetaData!$E$2:$G$40,3,false)</f>
        <v>Najla</v>
      </c>
      <c r="K145" s="80"/>
    </row>
    <row r="146" ht="15.75" customHeight="1">
      <c r="A146" s="85">
        <v>167.0</v>
      </c>
      <c r="B146" s="77">
        <v>20.0</v>
      </c>
      <c r="C146" s="77" t="s">
        <v>926</v>
      </c>
      <c r="D146" s="77">
        <v>2.52610266E8</v>
      </c>
      <c r="E146" s="78" t="s">
        <v>695</v>
      </c>
      <c r="F146" s="77" t="s">
        <v>784</v>
      </c>
      <c r="G146" s="82" t="s">
        <v>37</v>
      </c>
      <c r="H146" s="82" t="str">
        <f>VLOOKUP(G146,MetaData!$A$2:$C$13,3,false)</f>
        <v>Dwi Lestari, S.Pd</v>
      </c>
      <c r="I146" s="82" t="s">
        <v>683</v>
      </c>
      <c r="J146" s="82" t="str">
        <f>VLOOKUP(I146,MetaData!$E$2:$G$40,3,false)</f>
        <v>Najla</v>
      </c>
      <c r="K146" s="83"/>
    </row>
    <row r="147" ht="15.75" customHeight="1">
      <c r="A147" s="84">
        <v>168.0</v>
      </c>
      <c r="B147" s="77">
        <v>21.0</v>
      </c>
      <c r="C147" s="77" t="s">
        <v>927</v>
      </c>
      <c r="D147" s="77">
        <v>2.52610275E8</v>
      </c>
      <c r="E147" s="78" t="s">
        <v>228</v>
      </c>
      <c r="F147" s="77" t="s">
        <v>782</v>
      </c>
      <c r="G147" s="79" t="s">
        <v>37</v>
      </c>
      <c r="H147" s="79" t="str">
        <f>VLOOKUP(G147,MetaData!$A$2:$C$13,3,false)</f>
        <v>Dwi Lestari, S.Pd</v>
      </c>
      <c r="I147" s="79" t="s">
        <v>220</v>
      </c>
      <c r="J147" s="79" t="str">
        <f>VLOOKUP(I147,MetaData!$E$2:$G$40,3,false)</f>
        <v>Rekhsa</v>
      </c>
      <c r="K147" s="80"/>
    </row>
    <row r="148" ht="15.75" customHeight="1">
      <c r="A148" s="85">
        <v>169.0</v>
      </c>
      <c r="B148" s="77">
        <v>22.0</v>
      </c>
      <c r="C148" s="77" t="s">
        <v>928</v>
      </c>
      <c r="D148" s="77">
        <v>2.52610282E8</v>
      </c>
      <c r="E148" s="78" t="s">
        <v>526</v>
      </c>
      <c r="F148" s="77" t="s">
        <v>784</v>
      </c>
      <c r="G148" s="82" t="s">
        <v>37</v>
      </c>
      <c r="H148" s="82" t="str">
        <f>VLOOKUP(G148,MetaData!$A$2:$C$13,3,false)</f>
        <v>Dwi Lestari, S.Pd</v>
      </c>
      <c r="I148" s="82" t="s">
        <v>525</v>
      </c>
      <c r="J148" s="82" t="str">
        <f>VLOOKUP(I148,MetaData!$E$2:$G$40,3,false)</f>
        <v>Faliqa (XI)</v>
      </c>
      <c r="K148" s="83"/>
    </row>
    <row r="149" ht="15.75" customHeight="1">
      <c r="A149" s="84">
        <v>170.0</v>
      </c>
      <c r="B149" s="77">
        <v>23.0</v>
      </c>
      <c r="C149" s="77" t="s">
        <v>929</v>
      </c>
      <c r="D149" s="77">
        <v>2.52610294E8</v>
      </c>
      <c r="E149" s="78" t="s">
        <v>527</v>
      </c>
      <c r="F149" s="77" t="s">
        <v>784</v>
      </c>
      <c r="G149" s="79" t="s">
        <v>37</v>
      </c>
      <c r="H149" s="79" t="str">
        <f>VLOOKUP(G149,MetaData!$A$2:$C$13,3,false)</f>
        <v>Dwi Lestari, S.Pd</v>
      </c>
      <c r="I149" s="79" t="s">
        <v>525</v>
      </c>
      <c r="J149" s="79" t="str">
        <f>VLOOKUP(I149,MetaData!$E$2:$G$40,3,false)</f>
        <v>Faliqa (XI)</v>
      </c>
      <c r="K149" s="80"/>
    </row>
    <row r="150" ht="15.75" customHeight="1">
      <c r="A150" s="85">
        <v>171.0</v>
      </c>
      <c r="B150" s="77">
        <v>24.0</v>
      </c>
      <c r="C150" s="77" t="s">
        <v>930</v>
      </c>
      <c r="D150" s="77">
        <v>2.52610306E8</v>
      </c>
      <c r="E150" s="78" t="s">
        <v>528</v>
      </c>
      <c r="F150" s="77" t="s">
        <v>784</v>
      </c>
      <c r="G150" s="82" t="s">
        <v>37</v>
      </c>
      <c r="H150" s="82" t="str">
        <f>VLOOKUP(G150,MetaData!$A$2:$C$13,3,false)</f>
        <v>Dwi Lestari, S.Pd</v>
      </c>
      <c r="I150" s="82" t="s">
        <v>525</v>
      </c>
      <c r="J150" s="82" t="str">
        <f>VLOOKUP(I150,MetaData!$E$2:$G$40,3,false)</f>
        <v>Faliqa (XI)</v>
      </c>
      <c r="K150" s="83"/>
    </row>
    <row r="151" ht="15.75" customHeight="1">
      <c r="A151" s="84">
        <v>172.0</v>
      </c>
      <c r="B151" s="77">
        <v>25.0</v>
      </c>
      <c r="C151" s="77" t="s">
        <v>931</v>
      </c>
      <c r="D151" s="77">
        <v>2.52610309E8</v>
      </c>
      <c r="E151" s="78" t="s">
        <v>529</v>
      </c>
      <c r="F151" s="77" t="s">
        <v>784</v>
      </c>
      <c r="G151" s="79" t="s">
        <v>37</v>
      </c>
      <c r="H151" s="79" t="str">
        <f>VLOOKUP(G151,MetaData!$A$2:$C$13,3,false)</f>
        <v>Dwi Lestari, S.Pd</v>
      </c>
      <c r="I151" s="79" t="s">
        <v>525</v>
      </c>
      <c r="J151" s="79" t="str">
        <f>VLOOKUP(I151,MetaData!$E$2:$G$40,3,false)</f>
        <v>Faliqa (XI)</v>
      </c>
      <c r="K151" s="80"/>
    </row>
    <row r="152" ht="15.75" customHeight="1">
      <c r="A152" s="85">
        <v>173.0</v>
      </c>
      <c r="B152" s="77">
        <v>26.0</v>
      </c>
      <c r="C152" s="77" t="s">
        <v>932</v>
      </c>
      <c r="D152" s="77">
        <v>2.52610329E8</v>
      </c>
      <c r="E152" s="78" t="s">
        <v>320</v>
      </c>
      <c r="F152" s="77" t="s">
        <v>782</v>
      </c>
      <c r="G152" s="82" t="s">
        <v>37</v>
      </c>
      <c r="H152" s="82" t="str">
        <f>VLOOKUP(G152,MetaData!$A$2:$C$13,3,false)</f>
        <v>Dwi Lestari, S.Pd</v>
      </c>
      <c r="I152" s="82" t="s">
        <v>312</v>
      </c>
      <c r="J152" s="82" t="str">
        <f>VLOOKUP(I152,MetaData!$E$2:$G$40,3,false)</f>
        <v>Rizky Putra</v>
      </c>
      <c r="K152" s="83"/>
    </row>
    <row r="153" ht="15.75" customHeight="1">
      <c r="A153" s="84">
        <v>174.0</v>
      </c>
      <c r="B153" s="77">
        <v>27.0</v>
      </c>
      <c r="C153" s="77" t="s">
        <v>933</v>
      </c>
      <c r="D153" s="77">
        <v>2.52610357E8</v>
      </c>
      <c r="E153" s="78" t="s">
        <v>321</v>
      </c>
      <c r="F153" s="77" t="s">
        <v>782</v>
      </c>
      <c r="G153" s="79" t="s">
        <v>37</v>
      </c>
      <c r="H153" s="79" t="str">
        <f>VLOOKUP(G153,MetaData!$A$2:$C$13,3,false)</f>
        <v>Dwi Lestari, S.Pd</v>
      </c>
      <c r="I153" s="79" t="s">
        <v>312</v>
      </c>
      <c r="J153" s="79" t="str">
        <f>VLOOKUP(I153,MetaData!$E$2:$G$40,3,false)</f>
        <v>Rizky Putra</v>
      </c>
      <c r="K153" s="80"/>
    </row>
    <row r="154" ht="15.75" customHeight="1">
      <c r="A154" s="85">
        <v>175.0</v>
      </c>
      <c r="B154" s="77">
        <v>28.0</v>
      </c>
      <c r="C154" s="77" t="s">
        <v>934</v>
      </c>
      <c r="D154" s="77">
        <v>2.52610363E8</v>
      </c>
      <c r="E154" s="78" t="s">
        <v>322</v>
      </c>
      <c r="F154" s="77" t="s">
        <v>782</v>
      </c>
      <c r="G154" s="82" t="s">
        <v>37</v>
      </c>
      <c r="H154" s="82" t="str">
        <f>VLOOKUP(G154,MetaData!$A$2:$C$13,3,false)</f>
        <v>Dwi Lestari, S.Pd</v>
      </c>
      <c r="I154" s="82" t="s">
        <v>312</v>
      </c>
      <c r="J154" s="82" t="str">
        <f>VLOOKUP(I154,MetaData!$E$2:$G$40,3,false)</f>
        <v>Rizky Putra</v>
      </c>
      <c r="K154" s="83"/>
    </row>
    <row r="155" ht="15.75" customHeight="1">
      <c r="A155" s="84">
        <v>176.0</v>
      </c>
      <c r="B155" s="77">
        <v>29.0</v>
      </c>
      <c r="C155" s="77" t="s">
        <v>935</v>
      </c>
      <c r="D155" s="77">
        <v>2.52610373E8</v>
      </c>
      <c r="E155" s="78" t="s">
        <v>323</v>
      </c>
      <c r="F155" s="77" t="s">
        <v>782</v>
      </c>
      <c r="G155" s="79" t="s">
        <v>37</v>
      </c>
      <c r="H155" s="79" t="str">
        <f>VLOOKUP(G155,MetaData!$A$2:$C$13,3,false)</f>
        <v>Dwi Lestari, S.Pd</v>
      </c>
      <c r="I155" s="79" t="s">
        <v>312</v>
      </c>
      <c r="J155" s="79" t="str">
        <f>VLOOKUP(I155,MetaData!$E$2:$G$40,3,false)</f>
        <v>Rizky Putra</v>
      </c>
      <c r="K155" s="80"/>
    </row>
    <row r="156" ht="15.75" customHeight="1">
      <c r="A156" s="85">
        <v>177.0</v>
      </c>
      <c r="B156" s="77">
        <v>30.0</v>
      </c>
      <c r="C156" s="77" t="s">
        <v>936</v>
      </c>
      <c r="D156" s="77">
        <v>2.52610378E8</v>
      </c>
      <c r="E156" s="78" t="s">
        <v>236</v>
      </c>
      <c r="F156" s="77" t="s">
        <v>782</v>
      </c>
      <c r="G156" s="82" t="s">
        <v>37</v>
      </c>
      <c r="H156" s="82" t="str">
        <f>VLOOKUP(G156,MetaData!$A$2:$C$13,3,false)</f>
        <v>Dwi Lestari, S.Pd</v>
      </c>
      <c r="I156" s="82" t="s">
        <v>220</v>
      </c>
      <c r="J156" s="82" t="str">
        <f>VLOOKUP(I156,MetaData!$E$2:$G$40,3,false)</f>
        <v>Rekhsa</v>
      </c>
      <c r="K156" s="83"/>
    </row>
    <row r="157" ht="15.75" customHeight="1">
      <c r="A157" s="84">
        <v>178.0</v>
      </c>
      <c r="B157" s="77">
        <v>31.0</v>
      </c>
      <c r="C157" s="77" t="s">
        <v>937</v>
      </c>
      <c r="D157" s="77">
        <v>2.52610382E8</v>
      </c>
      <c r="E157" s="78" t="s">
        <v>530</v>
      </c>
      <c r="F157" s="77" t="s">
        <v>784</v>
      </c>
      <c r="G157" s="79" t="s">
        <v>37</v>
      </c>
      <c r="H157" s="79" t="str">
        <f>VLOOKUP(G157,MetaData!$A$2:$C$13,3,false)</f>
        <v>Dwi Lestari, S.Pd</v>
      </c>
      <c r="I157" s="79" t="s">
        <v>525</v>
      </c>
      <c r="J157" s="79" t="str">
        <f>VLOOKUP(I157,MetaData!$E$2:$G$40,3,false)</f>
        <v>Faliqa (XI)</v>
      </c>
      <c r="K157" s="80"/>
    </row>
    <row r="158" ht="15.75" customHeight="1">
      <c r="A158" s="85">
        <v>179.0</v>
      </c>
      <c r="B158" s="77">
        <v>33.0</v>
      </c>
      <c r="C158" s="77" t="s">
        <v>938</v>
      </c>
      <c r="D158" s="77">
        <v>2.52610435E8</v>
      </c>
      <c r="E158" s="78" t="s">
        <v>324</v>
      </c>
      <c r="F158" s="77" t="s">
        <v>782</v>
      </c>
      <c r="G158" s="82" t="s">
        <v>37</v>
      </c>
      <c r="H158" s="82" t="str">
        <f>VLOOKUP(G158,MetaData!$A$2:$C$13,3,false)</f>
        <v>Dwi Lestari, S.Pd</v>
      </c>
      <c r="I158" s="82" t="s">
        <v>312</v>
      </c>
      <c r="J158" s="82" t="str">
        <f>VLOOKUP(I158,MetaData!$E$2:$G$40,3,false)</f>
        <v>Rizky Putra</v>
      </c>
      <c r="K158" s="83"/>
    </row>
    <row r="159" ht="15.75" customHeight="1">
      <c r="A159" s="84">
        <v>180.0</v>
      </c>
      <c r="B159" s="77">
        <v>34.0</v>
      </c>
      <c r="C159" s="77" t="s">
        <v>939</v>
      </c>
      <c r="D159" s="77">
        <v>2.52610447E8</v>
      </c>
      <c r="E159" s="78" t="s">
        <v>325</v>
      </c>
      <c r="F159" s="77" t="s">
        <v>782</v>
      </c>
      <c r="G159" s="79" t="s">
        <v>37</v>
      </c>
      <c r="H159" s="79" t="str">
        <f>VLOOKUP(G159,MetaData!$A$2:$C$13,3,false)</f>
        <v>Dwi Lestari, S.Pd</v>
      </c>
      <c r="I159" s="79" t="s">
        <v>312</v>
      </c>
      <c r="J159" s="79" t="str">
        <f>VLOOKUP(I159,MetaData!$E$2:$G$40,3,false)</f>
        <v>Rizky Putra</v>
      </c>
      <c r="K159" s="80"/>
    </row>
    <row r="160" ht="15.75" customHeight="1">
      <c r="A160" s="85">
        <v>181.0</v>
      </c>
      <c r="B160" s="77">
        <v>35.0</v>
      </c>
      <c r="C160" s="77" t="s">
        <v>940</v>
      </c>
      <c r="D160" s="77">
        <v>2.52610472E8</v>
      </c>
      <c r="E160" s="78" t="s">
        <v>326</v>
      </c>
      <c r="F160" s="77" t="s">
        <v>782</v>
      </c>
      <c r="G160" s="82" t="s">
        <v>37</v>
      </c>
      <c r="H160" s="82" t="str">
        <f>VLOOKUP(G160,MetaData!$A$2:$C$13,3,false)</f>
        <v>Dwi Lestari, S.Pd</v>
      </c>
      <c r="I160" s="82" t="s">
        <v>312</v>
      </c>
      <c r="J160" s="82" t="str">
        <f>VLOOKUP(I160,MetaData!$E$2:$G$40,3,false)</f>
        <v>Rizky Putra</v>
      </c>
      <c r="K160" s="83"/>
    </row>
    <row r="161" ht="15.75" customHeight="1">
      <c r="A161" s="84">
        <v>182.0</v>
      </c>
      <c r="B161" s="77">
        <v>36.0</v>
      </c>
      <c r="C161" s="77" t="s">
        <v>941</v>
      </c>
      <c r="D161" s="77">
        <v>2.52610475E8</v>
      </c>
      <c r="E161" s="78" t="s">
        <v>327</v>
      </c>
      <c r="F161" s="78" t="s">
        <v>782</v>
      </c>
      <c r="G161" s="79" t="s">
        <v>37</v>
      </c>
      <c r="H161" s="79" t="str">
        <f>VLOOKUP(G161,MetaData!$A$2:$C$13,3,false)</f>
        <v>Dwi Lestari, S.Pd</v>
      </c>
      <c r="I161" s="79" t="s">
        <v>312</v>
      </c>
      <c r="J161" s="79" t="str">
        <f>VLOOKUP(I161,MetaData!$E$2:$G$40,3,false)</f>
        <v>Rizky Putra</v>
      </c>
      <c r="K161" s="80"/>
    </row>
    <row r="162" ht="15.75" customHeight="1">
      <c r="A162" s="85">
        <v>183.0</v>
      </c>
      <c r="B162" s="77">
        <v>37.0</v>
      </c>
      <c r="C162" s="77" t="s">
        <v>942</v>
      </c>
      <c r="D162" s="77">
        <v>2.5261048E8</v>
      </c>
      <c r="E162" s="78" t="s">
        <v>328</v>
      </c>
      <c r="F162" s="77" t="s">
        <v>782</v>
      </c>
      <c r="G162" s="82" t="s">
        <v>37</v>
      </c>
      <c r="H162" s="82" t="str">
        <f>VLOOKUP(G162,MetaData!$A$2:$C$13,3,false)</f>
        <v>Dwi Lestari, S.Pd</v>
      </c>
      <c r="I162" s="82" t="s">
        <v>312</v>
      </c>
      <c r="J162" s="82" t="str">
        <f>VLOOKUP(I162,MetaData!$E$2:$G$40,3,false)</f>
        <v>Rizky Putra</v>
      </c>
      <c r="K162" s="83"/>
    </row>
    <row r="163" ht="15.75" customHeight="1">
      <c r="A163" s="84">
        <v>184.0</v>
      </c>
      <c r="B163" s="77">
        <v>38.0</v>
      </c>
      <c r="C163" s="77" t="s">
        <v>943</v>
      </c>
      <c r="D163" s="77">
        <v>2.52610483E8</v>
      </c>
      <c r="E163" s="78" t="s">
        <v>531</v>
      </c>
      <c r="F163" s="77" t="s">
        <v>784</v>
      </c>
      <c r="G163" s="79" t="s">
        <v>37</v>
      </c>
      <c r="H163" s="79" t="str">
        <f>VLOOKUP(G163,MetaData!$A$2:$C$13,3,false)</f>
        <v>Dwi Lestari, S.Pd</v>
      </c>
      <c r="I163" s="79" t="s">
        <v>525</v>
      </c>
      <c r="J163" s="79" t="str">
        <f>VLOOKUP(I163,MetaData!$E$2:$G$40,3,false)</f>
        <v>Faliqa (XI)</v>
      </c>
      <c r="K163" s="80"/>
    </row>
    <row r="164" ht="15.75" customHeight="1">
      <c r="A164" s="85">
        <v>185.0</v>
      </c>
      <c r="B164" s="77">
        <v>39.0</v>
      </c>
      <c r="C164" s="77" t="s">
        <v>944</v>
      </c>
      <c r="D164" s="77">
        <v>2.52610492E8</v>
      </c>
      <c r="E164" s="78" t="s">
        <v>329</v>
      </c>
      <c r="F164" s="77" t="s">
        <v>782</v>
      </c>
      <c r="G164" s="82" t="s">
        <v>37</v>
      </c>
      <c r="H164" s="82" t="str">
        <f>VLOOKUP(G164,MetaData!$A$2:$C$13,3,false)</f>
        <v>Dwi Lestari, S.Pd</v>
      </c>
      <c r="I164" s="82" t="s">
        <v>312</v>
      </c>
      <c r="J164" s="82" t="str">
        <f>VLOOKUP(I164,MetaData!$E$2:$G$40,3,false)</f>
        <v>Rizky Putra</v>
      </c>
      <c r="K164" s="83"/>
    </row>
    <row r="165" ht="15.75" customHeight="1">
      <c r="A165" s="84">
        <v>186.0</v>
      </c>
      <c r="B165" s="77">
        <v>40.0</v>
      </c>
      <c r="C165" s="77" t="s">
        <v>945</v>
      </c>
      <c r="D165" s="77">
        <v>2.52610512E8</v>
      </c>
      <c r="E165" s="78" t="s">
        <v>532</v>
      </c>
      <c r="F165" s="77" t="s">
        <v>784</v>
      </c>
      <c r="G165" s="79" t="s">
        <v>37</v>
      </c>
      <c r="H165" s="79" t="str">
        <f>VLOOKUP(G165,MetaData!$A$2:$C$13,3,false)</f>
        <v>Dwi Lestari, S.Pd</v>
      </c>
      <c r="I165" s="79" t="s">
        <v>525</v>
      </c>
      <c r="J165" s="79" t="str">
        <f>VLOOKUP(I165,MetaData!$E$2:$G$40,3,false)</f>
        <v>Faliqa (XI)</v>
      </c>
      <c r="K165" s="80"/>
    </row>
    <row r="166" ht="15.75" customHeight="1">
      <c r="A166" s="85">
        <v>187.0</v>
      </c>
      <c r="B166" s="77">
        <v>41.0</v>
      </c>
      <c r="C166" s="77" t="s">
        <v>946</v>
      </c>
      <c r="D166" s="77">
        <v>2.52610514E8</v>
      </c>
      <c r="E166" s="78" t="s">
        <v>456</v>
      </c>
      <c r="F166" s="77" t="s">
        <v>784</v>
      </c>
      <c r="G166" s="82" t="s">
        <v>37</v>
      </c>
      <c r="H166" s="82" t="str">
        <f>VLOOKUP(G166,MetaData!$A$2:$C$13,3,false)</f>
        <v>Dwi Lestari, S.Pd</v>
      </c>
      <c r="I166" s="82" t="s">
        <v>443</v>
      </c>
      <c r="J166" s="82" t="str">
        <f>VLOOKUP(I166,MetaData!$E$2:$G$40,3,false)</f>
        <v>Ayun</v>
      </c>
      <c r="K166" s="83"/>
    </row>
    <row r="167" ht="15.75" customHeight="1">
      <c r="A167" s="84">
        <v>188.0</v>
      </c>
      <c r="B167" s="77">
        <v>42.0</v>
      </c>
      <c r="C167" s="77" t="s">
        <v>947</v>
      </c>
      <c r="D167" s="77">
        <v>2.52610515E8</v>
      </c>
      <c r="E167" s="78" t="s">
        <v>533</v>
      </c>
      <c r="F167" s="77" t="s">
        <v>784</v>
      </c>
      <c r="G167" s="79" t="s">
        <v>37</v>
      </c>
      <c r="H167" s="79" t="str">
        <f>VLOOKUP(G167,MetaData!$A$2:$C$13,3,false)</f>
        <v>Dwi Lestari, S.Pd</v>
      </c>
      <c r="I167" s="79" t="s">
        <v>525</v>
      </c>
      <c r="J167" s="79" t="str">
        <f>VLOOKUP(I167,MetaData!$E$2:$G$40,3,false)</f>
        <v>Faliqa (XI)</v>
      </c>
      <c r="K167" s="80"/>
    </row>
    <row r="168" ht="15.75" customHeight="1">
      <c r="A168" s="85">
        <v>189.0</v>
      </c>
      <c r="B168" s="77">
        <v>43.0</v>
      </c>
      <c r="C168" s="77" t="s">
        <v>948</v>
      </c>
      <c r="D168" s="77">
        <v>2.52610519E8</v>
      </c>
      <c r="E168" s="78" t="s">
        <v>534</v>
      </c>
      <c r="F168" s="77" t="s">
        <v>784</v>
      </c>
      <c r="G168" s="82" t="s">
        <v>37</v>
      </c>
      <c r="H168" s="82" t="str">
        <f>VLOOKUP(G168,MetaData!$A$2:$C$13,3,false)</f>
        <v>Dwi Lestari, S.Pd</v>
      </c>
      <c r="I168" s="82" t="s">
        <v>525</v>
      </c>
      <c r="J168" s="82" t="str">
        <f>VLOOKUP(I168,MetaData!$E$2:$G$40,3,false)</f>
        <v>Faliqa (XI)</v>
      </c>
      <c r="K168" s="83"/>
    </row>
    <row r="169" ht="15.75" customHeight="1">
      <c r="A169" s="84">
        <v>190.0</v>
      </c>
      <c r="B169" s="77">
        <v>44.0</v>
      </c>
      <c r="C169" s="77" t="s">
        <v>949</v>
      </c>
      <c r="D169" s="77">
        <v>2.52610533E8</v>
      </c>
      <c r="E169" s="78" t="s">
        <v>535</v>
      </c>
      <c r="F169" s="77" t="s">
        <v>784</v>
      </c>
      <c r="G169" s="79" t="s">
        <v>37</v>
      </c>
      <c r="H169" s="79" t="str">
        <f>VLOOKUP(G169,MetaData!$A$2:$C$13,3,false)</f>
        <v>Dwi Lestari, S.Pd</v>
      </c>
      <c r="I169" s="79" t="s">
        <v>525</v>
      </c>
      <c r="J169" s="79" t="str">
        <f>VLOOKUP(I169,MetaData!$E$2:$G$40,3,false)</f>
        <v>Faliqa (XI)</v>
      </c>
      <c r="K169" s="80"/>
    </row>
    <row r="170" ht="15.75" customHeight="1">
      <c r="A170" s="85">
        <v>191.0</v>
      </c>
      <c r="B170" s="77">
        <v>45.0</v>
      </c>
      <c r="C170" s="77" t="s">
        <v>950</v>
      </c>
      <c r="D170" s="77">
        <v>2.52610534E8</v>
      </c>
      <c r="E170" s="78" t="s">
        <v>536</v>
      </c>
      <c r="F170" s="77" t="s">
        <v>784</v>
      </c>
      <c r="G170" s="82" t="s">
        <v>37</v>
      </c>
      <c r="H170" s="82" t="str">
        <f>VLOOKUP(G170,MetaData!$A$2:$C$13,3,false)</f>
        <v>Dwi Lestari, S.Pd</v>
      </c>
      <c r="I170" s="82" t="s">
        <v>525</v>
      </c>
      <c r="J170" s="82" t="str">
        <f>VLOOKUP(I170,MetaData!$E$2:$G$40,3,false)</f>
        <v>Faliqa (XI)</v>
      </c>
      <c r="K170" s="83"/>
    </row>
    <row r="171" ht="15.75" customHeight="1">
      <c r="A171" s="84">
        <v>192.0</v>
      </c>
      <c r="B171" s="77">
        <v>46.0</v>
      </c>
      <c r="C171" s="77" t="s">
        <v>951</v>
      </c>
      <c r="D171" s="77">
        <v>2.52610544E8</v>
      </c>
      <c r="E171" s="78" t="s">
        <v>537</v>
      </c>
      <c r="F171" s="77" t="s">
        <v>784</v>
      </c>
      <c r="G171" s="79" t="s">
        <v>37</v>
      </c>
      <c r="H171" s="79" t="str">
        <f>VLOOKUP(G171,MetaData!$A$2:$C$13,3,false)</f>
        <v>Dwi Lestari, S.Pd</v>
      </c>
      <c r="I171" s="79" t="s">
        <v>525</v>
      </c>
      <c r="J171" s="79" t="str">
        <f>VLOOKUP(I171,MetaData!$E$2:$G$40,3,false)</f>
        <v>Faliqa (XI)</v>
      </c>
      <c r="K171" s="80"/>
    </row>
    <row r="172" ht="15.75" customHeight="1">
      <c r="A172" s="85">
        <v>201.0</v>
      </c>
      <c r="B172" s="77">
        <v>1.0</v>
      </c>
      <c r="C172" s="77" t="s">
        <v>952</v>
      </c>
      <c r="D172" s="77">
        <v>2.52610004E8</v>
      </c>
      <c r="E172" s="78" t="s">
        <v>223</v>
      </c>
      <c r="F172" s="77" t="s">
        <v>782</v>
      </c>
      <c r="G172" s="82" t="s">
        <v>42</v>
      </c>
      <c r="H172" s="82" t="str">
        <f>VLOOKUP(G172,MetaData!$A$2:$C$13,3,false)</f>
        <v>Deden Nur hasanah, S.E</v>
      </c>
      <c r="I172" s="82" t="s">
        <v>220</v>
      </c>
      <c r="J172" s="82" t="str">
        <f>VLOOKUP(I172,MetaData!$E$2:$G$40,3,false)</f>
        <v>Rekhsa</v>
      </c>
      <c r="K172" s="83"/>
    </row>
    <row r="173" ht="15.75" customHeight="1">
      <c r="A173" s="84">
        <v>202.0</v>
      </c>
      <c r="B173" s="77">
        <v>2.0</v>
      </c>
      <c r="C173" s="77" t="s">
        <v>953</v>
      </c>
      <c r="D173" s="77">
        <v>2.52610013E8</v>
      </c>
      <c r="E173" s="78" t="s">
        <v>298</v>
      </c>
      <c r="F173" s="77" t="s">
        <v>782</v>
      </c>
      <c r="G173" s="79" t="s">
        <v>42</v>
      </c>
      <c r="H173" s="79" t="str">
        <f>VLOOKUP(G173,MetaData!$A$2:$C$13,3,false)</f>
        <v>Deden Nur hasanah, S.E</v>
      </c>
      <c r="I173" s="79" t="s">
        <v>297</v>
      </c>
      <c r="J173" s="79" t="str">
        <f>VLOOKUP(I173,MetaData!$E$2:$G$40,3,false)</f>
        <v>Topik &amp; Adrian</v>
      </c>
      <c r="K173" s="80"/>
    </row>
    <row r="174" ht="15.75" customHeight="1">
      <c r="A174" s="85">
        <v>203.0</v>
      </c>
      <c r="B174" s="77">
        <v>3.0</v>
      </c>
      <c r="C174" s="77" t="s">
        <v>954</v>
      </c>
      <c r="D174" s="77">
        <v>2.52610022E8</v>
      </c>
      <c r="E174" s="78" t="s">
        <v>444</v>
      </c>
      <c r="F174" s="77" t="s">
        <v>784</v>
      </c>
      <c r="G174" s="82" t="s">
        <v>42</v>
      </c>
      <c r="H174" s="82" t="str">
        <f>VLOOKUP(G174,MetaData!$A$2:$C$13,3,false)</f>
        <v>Deden Nur hasanah, S.E</v>
      </c>
      <c r="I174" s="82" t="s">
        <v>443</v>
      </c>
      <c r="J174" s="82" t="str">
        <f>VLOOKUP(I174,MetaData!$E$2:$G$40,3,false)</f>
        <v>Ayun</v>
      </c>
      <c r="K174" s="83"/>
    </row>
    <row r="175" ht="15.75" customHeight="1">
      <c r="A175" s="84">
        <v>204.0</v>
      </c>
      <c r="B175" s="77">
        <v>4.0</v>
      </c>
      <c r="C175" s="77" t="s">
        <v>955</v>
      </c>
      <c r="D175" s="77">
        <v>2.52610024E8</v>
      </c>
      <c r="E175" s="78" t="s">
        <v>671</v>
      </c>
      <c r="F175" s="77" t="s">
        <v>784</v>
      </c>
      <c r="G175" s="79" t="s">
        <v>42</v>
      </c>
      <c r="H175" s="79" t="str">
        <f>VLOOKUP(G175,MetaData!$A$2:$C$13,3,false)</f>
        <v>Deden Nur hasanah, S.E</v>
      </c>
      <c r="I175" s="79" t="s">
        <v>670</v>
      </c>
      <c r="J175" s="79" t="str">
        <f>VLOOKUP(I175,MetaData!$E$2:$G$40,3,false)</f>
        <v>Hana</v>
      </c>
      <c r="K175" s="80"/>
    </row>
    <row r="176" ht="15.75" customHeight="1">
      <c r="A176" s="85">
        <v>205.0</v>
      </c>
      <c r="B176" s="77">
        <v>5.0</v>
      </c>
      <c r="C176" s="77" t="s">
        <v>956</v>
      </c>
      <c r="D176" s="77">
        <v>2.52610034E8</v>
      </c>
      <c r="E176" s="78" t="s">
        <v>299</v>
      </c>
      <c r="F176" s="77" t="s">
        <v>782</v>
      </c>
      <c r="G176" s="82" t="s">
        <v>42</v>
      </c>
      <c r="H176" s="82" t="str">
        <f>VLOOKUP(G176,MetaData!$A$2:$C$13,3,false)</f>
        <v>Deden Nur hasanah, S.E</v>
      </c>
      <c r="I176" s="82" t="s">
        <v>297</v>
      </c>
      <c r="J176" s="82" t="str">
        <f>VLOOKUP(I176,MetaData!$E$2:$G$40,3,false)</f>
        <v>Topik &amp; Adrian</v>
      </c>
      <c r="K176" s="83"/>
    </row>
    <row r="177" ht="15.75" customHeight="1">
      <c r="A177" s="84">
        <v>206.0</v>
      </c>
      <c r="B177" s="77">
        <v>6.0</v>
      </c>
      <c r="C177" s="77" t="s">
        <v>957</v>
      </c>
      <c r="D177" s="77">
        <v>2.52610043E8</v>
      </c>
      <c r="E177" s="78" t="s">
        <v>431</v>
      </c>
      <c r="F177" s="77" t="s">
        <v>784</v>
      </c>
      <c r="G177" s="79" t="s">
        <v>42</v>
      </c>
      <c r="H177" s="79" t="str">
        <f>VLOOKUP(G177,MetaData!$A$2:$C$13,3,false)</f>
        <v>Deden Nur hasanah, S.E</v>
      </c>
      <c r="I177" s="79" t="s">
        <v>428</v>
      </c>
      <c r="J177" s="79" t="str">
        <f>VLOOKUP(I177,MetaData!$E$2:$G$40,3,false)</f>
        <v>Iga</v>
      </c>
      <c r="K177" s="80"/>
    </row>
    <row r="178" ht="15.75" customHeight="1">
      <c r="A178" s="85">
        <v>207.0</v>
      </c>
      <c r="B178" s="77">
        <v>7.0</v>
      </c>
      <c r="C178" s="77" t="s">
        <v>958</v>
      </c>
      <c r="D178" s="77">
        <v>2.52610055E8</v>
      </c>
      <c r="E178" s="78" t="s">
        <v>672</v>
      </c>
      <c r="F178" s="77" t="s">
        <v>784</v>
      </c>
      <c r="G178" s="82" t="s">
        <v>42</v>
      </c>
      <c r="H178" s="82" t="str">
        <f>VLOOKUP(G178,MetaData!$A$2:$C$13,3,false)</f>
        <v>Deden Nur hasanah, S.E</v>
      </c>
      <c r="I178" s="82" t="s">
        <v>670</v>
      </c>
      <c r="J178" s="82" t="str">
        <f>VLOOKUP(I178,MetaData!$E$2:$G$40,3,false)</f>
        <v>Hana</v>
      </c>
      <c r="K178" s="83"/>
    </row>
    <row r="179" ht="15.75" customHeight="1">
      <c r="A179" s="84">
        <v>208.0</v>
      </c>
      <c r="B179" s="77">
        <v>8.0</v>
      </c>
      <c r="C179" s="77" t="s">
        <v>959</v>
      </c>
      <c r="D179" s="77">
        <v>2.52610057E8</v>
      </c>
      <c r="E179" s="78" t="s">
        <v>673</v>
      </c>
      <c r="F179" s="77" t="s">
        <v>784</v>
      </c>
      <c r="G179" s="79" t="s">
        <v>42</v>
      </c>
      <c r="H179" s="79" t="str">
        <f>VLOOKUP(G179,MetaData!$A$2:$C$13,3,false)</f>
        <v>Deden Nur hasanah, S.E</v>
      </c>
      <c r="I179" s="79" t="s">
        <v>670</v>
      </c>
      <c r="J179" s="79" t="str">
        <f>VLOOKUP(I179,MetaData!$E$2:$G$40,3,false)</f>
        <v>Hana</v>
      </c>
      <c r="K179" s="80"/>
    </row>
    <row r="180" ht="15.75" customHeight="1">
      <c r="A180" s="85">
        <v>209.0</v>
      </c>
      <c r="B180" s="77">
        <v>9.0</v>
      </c>
      <c r="C180" s="77" t="s">
        <v>960</v>
      </c>
      <c r="D180" s="77">
        <v>2.5261006E8</v>
      </c>
      <c r="E180" s="78" t="s">
        <v>300</v>
      </c>
      <c r="F180" s="77" t="s">
        <v>782</v>
      </c>
      <c r="G180" s="82" t="s">
        <v>42</v>
      </c>
      <c r="H180" s="82" t="str">
        <f>VLOOKUP(G180,MetaData!$A$2:$C$13,3,false)</f>
        <v>Deden Nur hasanah, S.E</v>
      </c>
      <c r="I180" s="82" t="s">
        <v>297</v>
      </c>
      <c r="J180" s="82" t="str">
        <f>VLOOKUP(I180,MetaData!$E$2:$G$40,3,false)</f>
        <v>Topik &amp; Adrian</v>
      </c>
      <c r="K180" s="83"/>
    </row>
    <row r="181" ht="15.75" customHeight="1">
      <c r="A181" s="84">
        <v>210.0</v>
      </c>
      <c r="B181" s="77">
        <v>10.0</v>
      </c>
      <c r="C181" s="77" t="s">
        <v>961</v>
      </c>
      <c r="D181" s="77">
        <v>2.52610067E8</v>
      </c>
      <c r="E181" s="78" t="s">
        <v>674</v>
      </c>
      <c r="F181" s="77" t="s">
        <v>784</v>
      </c>
      <c r="G181" s="79" t="s">
        <v>42</v>
      </c>
      <c r="H181" s="79" t="str">
        <f>VLOOKUP(G181,MetaData!$A$2:$C$13,3,false)</f>
        <v>Deden Nur hasanah, S.E</v>
      </c>
      <c r="I181" s="79" t="s">
        <v>670</v>
      </c>
      <c r="J181" s="79" t="str">
        <f>VLOOKUP(I181,MetaData!$E$2:$G$40,3,false)</f>
        <v>Hana</v>
      </c>
      <c r="K181" s="80"/>
    </row>
    <row r="182" ht="15.75" customHeight="1">
      <c r="A182" s="85">
        <v>211.0</v>
      </c>
      <c r="B182" s="77">
        <v>11.0</v>
      </c>
      <c r="C182" s="77" t="s">
        <v>962</v>
      </c>
      <c r="D182" s="77">
        <v>2.52610115E8</v>
      </c>
      <c r="E182" s="78" t="s">
        <v>301</v>
      </c>
      <c r="F182" s="77" t="s">
        <v>782</v>
      </c>
      <c r="G182" s="82" t="s">
        <v>42</v>
      </c>
      <c r="H182" s="82" t="str">
        <f>VLOOKUP(G182,MetaData!$A$2:$C$13,3,false)</f>
        <v>Deden Nur hasanah, S.E</v>
      </c>
      <c r="I182" s="82" t="s">
        <v>297</v>
      </c>
      <c r="J182" s="82" t="str">
        <f>VLOOKUP(I182,MetaData!$E$2:$G$40,3,false)</f>
        <v>Topik &amp; Adrian</v>
      </c>
      <c r="K182" s="83"/>
    </row>
    <row r="183" ht="15.75" customHeight="1">
      <c r="A183" s="84">
        <v>212.0</v>
      </c>
      <c r="B183" s="77">
        <v>12.0</v>
      </c>
      <c r="C183" s="77" t="s">
        <v>963</v>
      </c>
      <c r="D183" s="77">
        <v>2.52610123E8</v>
      </c>
      <c r="E183" s="78" t="s">
        <v>675</v>
      </c>
      <c r="F183" s="77" t="s">
        <v>784</v>
      </c>
      <c r="G183" s="79" t="s">
        <v>42</v>
      </c>
      <c r="H183" s="79" t="str">
        <f>VLOOKUP(G183,MetaData!$A$2:$C$13,3,false)</f>
        <v>Deden Nur hasanah, S.E</v>
      </c>
      <c r="I183" s="79" t="s">
        <v>670</v>
      </c>
      <c r="J183" s="79" t="str">
        <f>VLOOKUP(I183,MetaData!$E$2:$G$40,3,false)</f>
        <v>Hana</v>
      </c>
      <c r="K183" s="80"/>
    </row>
    <row r="184" ht="15.75" customHeight="1">
      <c r="A184" s="85">
        <v>213.0</v>
      </c>
      <c r="B184" s="77">
        <v>13.0</v>
      </c>
      <c r="C184" s="77" t="s">
        <v>964</v>
      </c>
      <c r="D184" s="77">
        <v>2.52610163E8</v>
      </c>
      <c r="E184" s="78" t="s">
        <v>676</v>
      </c>
      <c r="F184" s="77" t="s">
        <v>784</v>
      </c>
      <c r="G184" s="82" t="s">
        <v>42</v>
      </c>
      <c r="H184" s="82" t="str">
        <f>VLOOKUP(G184,MetaData!$A$2:$C$13,3,false)</f>
        <v>Deden Nur hasanah, S.E</v>
      </c>
      <c r="I184" s="82" t="s">
        <v>670</v>
      </c>
      <c r="J184" s="82" t="str">
        <f>VLOOKUP(I184,MetaData!$E$2:$G$40,3,false)</f>
        <v>Hana</v>
      </c>
      <c r="K184" s="83"/>
    </row>
    <row r="185" ht="15.75" customHeight="1">
      <c r="A185" s="84">
        <v>214.0</v>
      </c>
      <c r="B185" s="77">
        <v>14.0</v>
      </c>
      <c r="C185" s="77" t="s">
        <v>965</v>
      </c>
      <c r="D185" s="77">
        <v>2.52610166E8</v>
      </c>
      <c r="E185" s="78" t="s">
        <v>677</v>
      </c>
      <c r="F185" s="77" t="s">
        <v>784</v>
      </c>
      <c r="G185" s="79" t="s">
        <v>42</v>
      </c>
      <c r="H185" s="79" t="str">
        <f>VLOOKUP(G185,MetaData!$A$2:$C$13,3,false)</f>
        <v>Deden Nur hasanah, S.E</v>
      </c>
      <c r="I185" s="79" t="s">
        <v>670</v>
      </c>
      <c r="J185" s="79" t="str">
        <f>VLOOKUP(I185,MetaData!$E$2:$G$40,3,false)</f>
        <v>Hana</v>
      </c>
      <c r="K185" s="80"/>
    </row>
    <row r="186" ht="15.75" customHeight="1">
      <c r="A186" s="85">
        <v>215.0</v>
      </c>
      <c r="B186" s="77">
        <v>17.0</v>
      </c>
      <c r="C186" s="77" t="s">
        <v>966</v>
      </c>
      <c r="D186" s="77">
        <v>2.52610205E8</v>
      </c>
      <c r="E186" s="78" t="s">
        <v>435</v>
      </c>
      <c r="F186" s="77" t="s">
        <v>784</v>
      </c>
      <c r="G186" s="82" t="s">
        <v>42</v>
      </c>
      <c r="H186" s="82" t="str">
        <f>VLOOKUP(G186,MetaData!$A$2:$C$13,3,false)</f>
        <v>Deden Nur hasanah, S.E</v>
      </c>
      <c r="I186" s="82" t="s">
        <v>428</v>
      </c>
      <c r="J186" s="82" t="str">
        <f>VLOOKUP(I186,MetaData!$E$2:$G$40,3,false)</f>
        <v>Iga</v>
      </c>
      <c r="K186" s="83"/>
    </row>
    <row r="187" ht="15.75" customHeight="1">
      <c r="A187" s="84">
        <v>216.0</v>
      </c>
      <c r="B187" s="77">
        <v>18.0</v>
      </c>
      <c r="C187" s="77" t="s">
        <v>967</v>
      </c>
      <c r="D187" s="77">
        <v>2.52610229E8</v>
      </c>
      <c r="E187" s="78" t="s">
        <v>678</v>
      </c>
      <c r="F187" s="77" t="s">
        <v>784</v>
      </c>
      <c r="G187" s="79" t="s">
        <v>42</v>
      </c>
      <c r="H187" s="79" t="str">
        <f>VLOOKUP(G187,MetaData!$A$2:$C$13,3,false)</f>
        <v>Deden Nur hasanah, S.E</v>
      </c>
      <c r="I187" s="79" t="s">
        <v>670</v>
      </c>
      <c r="J187" s="79" t="str">
        <f>VLOOKUP(I187,MetaData!$E$2:$G$40,3,false)</f>
        <v>Hana</v>
      </c>
      <c r="K187" s="80"/>
    </row>
    <row r="188" ht="15.75" customHeight="1">
      <c r="A188" s="85">
        <v>217.0</v>
      </c>
      <c r="B188" s="77">
        <v>19.0</v>
      </c>
      <c r="C188" s="77" t="s">
        <v>968</v>
      </c>
      <c r="D188" s="77">
        <v>2.5261023E8</v>
      </c>
      <c r="E188" s="78" t="s">
        <v>302</v>
      </c>
      <c r="F188" s="77" t="s">
        <v>782</v>
      </c>
      <c r="G188" s="82" t="s">
        <v>42</v>
      </c>
      <c r="H188" s="82" t="str">
        <f>VLOOKUP(G188,MetaData!$A$2:$C$13,3,false)</f>
        <v>Deden Nur hasanah, S.E</v>
      </c>
      <c r="I188" s="82" t="s">
        <v>297</v>
      </c>
      <c r="J188" s="82" t="str">
        <f>VLOOKUP(I188,MetaData!$E$2:$G$40,3,false)</f>
        <v>Topik &amp; Adrian</v>
      </c>
      <c r="K188" s="83"/>
    </row>
    <row r="189" ht="15.75" customHeight="1">
      <c r="A189" s="84">
        <v>218.0</v>
      </c>
      <c r="B189" s="77">
        <v>20.0</v>
      </c>
      <c r="C189" s="77" t="s">
        <v>969</v>
      </c>
      <c r="D189" s="77">
        <v>2.52610245E8</v>
      </c>
      <c r="E189" s="78" t="s">
        <v>679</v>
      </c>
      <c r="F189" s="77" t="s">
        <v>784</v>
      </c>
      <c r="G189" s="79" t="s">
        <v>42</v>
      </c>
      <c r="H189" s="79" t="str">
        <f>VLOOKUP(G189,MetaData!$A$2:$C$13,3,false)</f>
        <v>Deden Nur hasanah, S.E</v>
      </c>
      <c r="I189" s="79" t="s">
        <v>670</v>
      </c>
      <c r="J189" s="79" t="str">
        <f>VLOOKUP(I189,MetaData!$E$2:$G$40,3,false)</f>
        <v>Hana</v>
      </c>
      <c r="K189" s="80"/>
    </row>
    <row r="190" ht="15.75" customHeight="1">
      <c r="A190" s="85">
        <v>219.0</v>
      </c>
      <c r="B190" s="77">
        <v>21.0</v>
      </c>
      <c r="C190" s="77" t="s">
        <v>970</v>
      </c>
      <c r="D190" s="77">
        <v>2.52610281E8</v>
      </c>
      <c r="E190" s="78" t="s">
        <v>680</v>
      </c>
      <c r="F190" s="77" t="s">
        <v>784</v>
      </c>
      <c r="G190" s="82" t="s">
        <v>42</v>
      </c>
      <c r="H190" s="82" t="str">
        <f>VLOOKUP(G190,MetaData!$A$2:$C$13,3,false)</f>
        <v>Deden Nur hasanah, S.E</v>
      </c>
      <c r="I190" s="82" t="s">
        <v>670</v>
      </c>
      <c r="J190" s="82" t="str">
        <f>VLOOKUP(I190,MetaData!$E$2:$G$40,3,false)</f>
        <v>Hana</v>
      </c>
      <c r="K190" s="83"/>
    </row>
    <row r="191" ht="15.75" customHeight="1">
      <c r="A191" s="84">
        <v>220.0</v>
      </c>
      <c r="B191" s="77">
        <v>22.0</v>
      </c>
      <c r="C191" s="77" t="s">
        <v>971</v>
      </c>
      <c r="D191" s="77">
        <v>2.52610286E8</v>
      </c>
      <c r="E191" s="78" t="s">
        <v>681</v>
      </c>
      <c r="F191" s="77" t="s">
        <v>784</v>
      </c>
      <c r="G191" s="79" t="s">
        <v>42</v>
      </c>
      <c r="H191" s="79" t="str">
        <f>VLOOKUP(G191,MetaData!$A$2:$C$13,3,false)</f>
        <v>Deden Nur hasanah, S.E</v>
      </c>
      <c r="I191" s="79" t="s">
        <v>670</v>
      </c>
      <c r="J191" s="79" t="str">
        <f>VLOOKUP(I191,MetaData!$E$2:$G$40,3,false)</f>
        <v>Hana</v>
      </c>
      <c r="K191" s="80"/>
    </row>
    <row r="192" ht="15.75" customHeight="1">
      <c r="A192" s="85">
        <v>221.0</v>
      </c>
      <c r="B192" s="77">
        <v>23.0</v>
      </c>
      <c r="C192" s="77" t="s">
        <v>972</v>
      </c>
      <c r="D192" s="77">
        <v>2.52610299E8</v>
      </c>
      <c r="E192" s="78" t="s">
        <v>682</v>
      </c>
      <c r="F192" s="77" t="s">
        <v>784</v>
      </c>
      <c r="G192" s="82" t="s">
        <v>42</v>
      </c>
      <c r="H192" s="82" t="str">
        <f>VLOOKUP(G192,MetaData!$A$2:$C$13,3,false)</f>
        <v>Deden Nur hasanah, S.E</v>
      </c>
      <c r="I192" s="82" t="s">
        <v>670</v>
      </c>
      <c r="J192" s="82" t="str">
        <f>VLOOKUP(I192,MetaData!$E$2:$G$40,3,false)</f>
        <v>Hana</v>
      </c>
      <c r="K192" s="83"/>
    </row>
    <row r="193" ht="15.75" customHeight="1">
      <c r="A193" s="84">
        <v>222.0</v>
      </c>
      <c r="B193" s="77">
        <v>24.0</v>
      </c>
      <c r="C193" s="77" t="s">
        <v>973</v>
      </c>
      <c r="D193" s="77">
        <v>2.52610322E8</v>
      </c>
      <c r="E193" s="78" t="s">
        <v>303</v>
      </c>
      <c r="F193" s="77" t="s">
        <v>782</v>
      </c>
      <c r="G193" s="79" t="s">
        <v>42</v>
      </c>
      <c r="H193" s="79" t="str">
        <f>VLOOKUP(G193,MetaData!$A$2:$C$13,3,false)</f>
        <v>Deden Nur hasanah, S.E</v>
      </c>
      <c r="I193" s="79" t="s">
        <v>297</v>
      </c>
      <c r="J193" s="79" t="str">
        <f>VLOOKUP(I193,MetaData!$E$2:$G$40,3,false)</f>
        <v>Topik &amp; Adrian</v>
      </c>
      <c r="K193" s="80"/>
    </row>
    <row r="194" ht="15.75" customHeight="1">
      <c r="A194" s="85">
        <v>223.0</v>
      </c>
      <c r="B194" s="77">
        <v>25.0</v>
      </c>
      <c r="C194" s="77" t="s">
        <v>974</v>
      </c>
      <c r="D194" s="77">
        <v>2.52610323E8</v>
      </c>
      <c r="E194" s="78" t="s">
        <v>304</v>
      </c>
      <c r="F194" s="77" t="s">
        <v>782</v>
      </c>
      <c r="G194" s="82" t="s">
        <v>42</v>
      </c>
      <c r="H194" s="82" t="str">
        <f>VLOOKUP(G194,MetaData!$A$2:$C$13,3,false)</f>
        <v>Deden Nur hasanah, S.E</v>
      </c>
      <c r="I194" s="82" t="s">
        <v>297</v>
      </c>
      <c r="J194" s="82" t="str">
        <f>VLOOKUP(I194,MetaData!$E$2:$G$40,3,false)</f>
        <v>Topik &amp; Adrian</v>
      </c>
      <c r="K194" s="83"/>
    </row>
    <row r="195" ht="15.75" customHeight="1">
      <c r="A195" s="84">
        <v>224.0</v>
      </c>
      <c r="B195" s="77">
        <v>26.0</v>
      </c>
      <c r="C195" s="77" t="s">
        <v>975</v>
      </c>
      <c r="D195" s="77">
        <v>2.52610361E8</v>
      </c>
      <c r="E195" s="78" t="s">
        <v>234</v>
      </c>
      <c r="F195" s="77" t="s">
        <v>782</v>
      </c>
      <c r="G195" s="79" t="s">
        <v>42</v>
      </c>
      <c r="H195" s="79" t="str">
        <f>VLOOKUP(G195,MetaData!$A$2:$C$13,3,false)</f>
        <v>Deden Nur hasanah, S.E</v>
      </c>
      <c r="I195" s="79" t="s">
        <v>220</v>
      </c>
      <c r="J195" s="79" t="str">
        <f>VLOOKUP(I195,MetaData!$E$2:$G$40,3,false)</f>
        <v>Rekhsa</v>
      </c>
      <c r="K195" s="80"/>
    </row>
    <row r="196" ht="15.75" customHeight="1">
      <c r="A196" s="85">
        <v>225.0</v>
      </c>
      <c r="B196" s="77">
        <v>27.0</v>
      </c>
      <c r="C196" s="77" t="s">
        <v>976</v>
      </c>
      <c r="D196" s="77">
        <v>2.52610366E8</v>
      </c>
      <c r="E196" s="78" t="s">
        <v>305</v>
      </c>
      <c r="F196" s="77" t="s">
        <v>782</v>
      </c>
      <c r="G196" s="82" t="s">
        <v>42</v>
      </c>
      <c r="H196" s="82" t="str">
        <f>VLOOKUP(G196,MetaData!$A$2:$C$13,3,false)</f>
        <v>Deden Nur hasanah, S.E</v>
      </c>
      <c r="I196" s="82" t="s">
        <v>297</v>
      </c>
      <c r="J196" s="82" t="str">
        <f>VLOOKUP(I196,MetaData!$E$2:$G$40,3,false)</f>
        <v>Topik &amp; Adrian</v>
      </c>
      <c r="K196" s="83"/>
    </row>
    <row r="197" ht="15.75" customHeight="1">
      <c r="A197" s="84">
        <v>226.0</v>
      </c>
      <c r="B197" s="77">
        <v>28.0</v>
      </c>
      <c r="C197" s="77" t="s">
        <v>977</v>
      </c>
      <c r="D197" s="77">
        <v>2.52610374E8</v>
      </c>
      <c r="E197" s="89" t="s">
        <v>1298</v>
      </c>
      <c r="F197" s="77" t="s">
        <v>782</v>
      </c>
      <c r="G197" s="79" t="s">
        <v>42</v>
      </c>
      <c r="H197" s="79" t="str">
        <f>VLOOKUP(G197,MetaData!$A$2:$C$13,3,false)</f>
        <v>Deden Nur hasanah, S.E</v>
      </c>
      <c r="I197" s="79" t="s">
        <v>297</v>
      </c>
      <c r="J197" s="79" t="str">
        <f>VLOOKUP(I197,MetaData!$E$2:$G$40,3,false)</f>
        <v>Topik &amp; Adrian</v>
      </c>
      <c r="K197" s="80"/>
    </row>
    <row r="198" ht="15.75" customHeight="1">
      <c r="A198" s="85">
        <v>227.0</v>
      </c>
      <c r="B198" s="77">
        <v>29.0</v>
      </c>
      <c r="C198" s="77" t="s">
        <v>978</v>
      </c>
      <c r="D198" s="77">
        <v>2.52610379E8</v>
      </c>
      <c r="E198" s="78" t="s">
        <v>307</v>
      </c>
      <c r="F198" s="77" t="s">
        <v>782</v>
      </c>
      <c r="G198" s="82" t="s">
        <v>42</v>
      </c>
      <c r="H198" s="82" t="str">
        <f>VLOOKUP(G198,MetaData!$A$2:$C$13,3,false)</f>
        <v>Deden Nur hasanah, S.E</v>
      </c>
      <c r="I198" s="82" t="s">
        <v>297</v>
      </c>
      <c r="J198" s="82" t="str">
        <f>VLOOKUP(I198,MetaData!$E$2:$G$40,3,false)</f>
        <v>Topik &amp; Adrian</v>
      </c>
      <c r="K198" s="83"/>
    </row>
    <row r="199" ht="15.75" customHeight="1">
      <c r="A199" s="84">
        <v>228.0</v>
      </c>
      <c r="B199" s="77">
        <v>30.0</v>
      </c>
      <c r="C199" s="77" t="s">
        <v>979</v>
      </c>
      <c r="D199" s="77">
        <v>2.52610384E8</v>
      </c>
      <c r="E199" s="78" t="s">
        <v>513</v>
      </c>
      <c r="F199" s="77" t="s">
        <v>784</v>
      </c>
      <c r="G199" s="79" t="s">
        <v>42</v>
      </c>
      <c r="H199" s="79" t="str">
        <f>VLOOKUP(G199,MetaData!$A$2:$C$13,3,false)</f>
        <v>Deden Nur hasanah, S.E</v>
      </c>
      <c r="I199" s="79" t="s">
        <v>512</v>
      </c>
      <c r="J199" s="79" t="str">
        <f>VLOOKUP(I199,MetaData!$E$2:$G$40,3,false)</f>
        <v>Sabika (XI)</v>
      </c>
      <c r="K199" s="80"/>
    </row>
    <row r="200" ht="15.75" customHeight="1">
      <c r="A200" s="85">
        <v>229.0</v>
      </c>
      <c r="B200" s="77">
        <v>31.0</v>
      </c>
      <c r="C200" s="77" t="s">
        <v>980</v>
      </c>
      <c r="D200" s="77">
        <v>2.52610401E8</v>
      </c>
      <c r="E200" s="78" t="s">
        <v>308</v>
      </c>
      <c r="F200" s="77" t="s">
        <v>782</v>
      </c>
      <c r="G200" s="82" t="s">
        <v>42</v>
      </c>
      <c r="H200" s="82" t="str">
        <f>VLOOKUP(G200,MetaData!$A$2:$C$13,3,false)</f>
        <v>Deden Nur hasanah, S.E</v>
      </c>
      <c r="I200" s="82" t="s">
        <v>297</v>
      </c>
      <c r="J200" s="82" t="str">
        <f>VLOOKUP(I200,MetaData!$E$2:$G$40,3,false)</f>
        <v>Topik &amp; Adrian</v>
      </c>
      <c r="K200" s="83"/>
    </row>
    <row r="201" ht="15.75" customHeight="1">
      <c r="A201" s="84">
        <v>230.0</v>
      </c>
      <c r="B201" s="77">
        <v>32.0</v>
      </c>
      <c r="C201" s="77" t="s">
        <v>981</v>
      </c>
      <c r="D201" s="77">
        <v>2.52610412E8</v>
      </c>
      <c r="E201" s="78" t="s">
        <v>437</v>
      </c>
      <c r="F201" s="77" t="s">
        <v>784</v>
      </c>
      <c r="G201" s="79" t="s">
        <v>42</v>
      </c>
      <c r="H201" s="79" t="str">
        <f>VLOOKUP(G201,MetaData!$A$2:$C$13,3,false)</f>
        <v>Deden Nur hasanah, S.E</v>
      </c>
      <c r="I201" s="79" t="s">
        <v>428</v>
      </c>
      <c r="J201" s="79" t="str">
        <f>VLOOKUP(I201,MetaData!$E$2:$G$40,3,false)</f>
        <v>Iga</v>
      </c>
      <c r="K201" s="80"/>
    </row>
    <row r="202" ht="15.75" customHeight="1">
      <c r="A202" s="85">
        <v>231.0</v>
      </c>
      <c r="B202" s="77">
        <v>33.0</v>
      </c>
      <c r="C202" s="77" t="s">
        <v>982</v>
      </c>
      <c r="D202" s="77">
        <v>2.52610414E8</v>
      </c>
      <c r="E202" s="78" t="s">
        <v>514</v>
      </c>
      <c r="F202" s="77" t="s">
        <v>784</v>
      </c>
      <c r="G202" s="82" t="s">
        <v>42</v>
      </c>
      <c r="H202" s="82" t="str">
        <f>VLOOKUP(G202,MetaData!$A$2:$C$13,3,false)</f>
        <v>Deden Nur hasanah, S.E</v>
      </c>
      <c r="I202" s="82" t="s">
        <v>512</v>
      </c>
      <c r="J202" s="82" t="str">
        <f>VLOOKUP(I202,MetaData!$E$2:$G$40,3,false)</f>
        <v>Sabika (XI)</v>
      </c>
      <c r="K202" s="83"/>
    </row>
    <row r="203" ht="15.75" customHeight="1">
      <c r="A203" s="84">
        <v>232.0</v>
      </c>
      <c r="B203" s="77">
        <v>34.0</v>
      </c>
      <c r="C203" s="77" t="s">
        <v>983</v>
      </c>
      <c r="D203" s="77">
        <v>2.52610427E8</v>
      </c>
      <c r="E203" s="78" t="s">
        <v>439</v>
      </c>
      <c r="F203" s="77" t="s">
        <v>784</v>
      </c>
      <c r="G203" s="79" t="s">
        <v>42</v>
      </c>
      <c r="H203" s="79" t="str">
        <f>VLOOKUP(G203,MetaData!$A$2:$C$13,3,false)</f>
        <v>Deden Nur hasanah, S.E</v>
      </c>
      <c r="I203" s="79" t="s">
        <v>428</v>
      </c>
      <c r="J203" s="79" t="str">
        <f>VLOOKUP(I203,MetaData!$E$2:$G$40,3,false)</f>
        <v>Iga</v>
      </c>
      <c r="K203" s="80"/>
    </row>
    <row r="204" ht="15.75" customHeight="1">
      <c r="A204" s="85">
        <v>233.0</v>
      </c>
      <c r="B204" s="77">
        <v>35.0</v>
      </c>
      <c r="C204" s="77" t="s">
        <v>984</v>
      </c>
      <c r="D204" s="77">
        <v>2.52610429E8</v>
      </c>
      <c r="E204" s="78" t="s">
        <v>309</v>
      </c>
      <c r="F204" s="77" t="s">
        <v>782</v>
      </c>
      <c r="G204" s="82" t="s">
        <v>42</v>
      </c>
      <c r="H204" s="82" t="str">
        <f>VLOOKUP(G204,MetaData!$A$2:$C$13,3,false)</f>
        <v>Deden Nur hasanah, S.E</v>
      </c>
      <c r="I204" s="82" t="s">
        <v>297</v>
      </c>
      <c r="J204" s="82" t="str">
        <f>VLOOKUP(I204,MetaData!$E$2:$G$40,3,false)</f>
        <v>Topik &amp; Adrian</v>
      </c>
      <c r="K204" s="83"/>
    </row>
    <row r="205" ht="15.75" customHeight="1">
      <c r="A205" s="84">
        <v>234.0</v>
      </c>
      <c r="B205" s="77">
        <v>36.0</v>
      </c>
      <c r="C205" s="77" t="s">
        <v>985</v>
      </c>
      <c r="D205" s="77">
        <v>2.52610437E8</v>
      </c>
      <c r="E205" s="78" t="s">
        <v>515</v>
      </c>
      <c r="F205" s="77" t="s">
        <v>784</v>
      </c>
      <c r="G205" s="79" t="s">
        <v>42</v>
      </c>
      <c r="H205" s="79" t="str">
        <f>VLOOKUP(G205,MetaData!$A$2:$C$13,3,false)</f>
        <v>Deden Nur hasanah, S.E</v>
      </c>
      <c r="I205" s="79" t="s">
        <v>512</v>
      </c>
      <c r="J205" s="79" t="str">
        <f>VLOOKUP(I205,MetaData!$E$2:$G$40,3,false)</f>
        <v>Sabika (XI)</v>
      </c>
      <c r="K205" s="80"/>
    </row>
    <row r="206" ht="15.75" customHeight="1">
      <c r="A206" s="85">
        <v>235.0</v>
      </c>
      <c r="B206" s="77">
        <v>37.0</v>
      </c>
      <c r="C206" s="77" t="s">
        <v>986</v>
      </c>
      <c r="D206" s="77">
        <v>2.5261045E8</v>
      </c>
      <c r="E206" s="78" t="s">
        <v>516</v>
      </c>
      <c r="F206" s="77" t="s">
        <v>784</v>
      </c>
      <c r="G206" s="82" t="s">
        <v>42</v>
      </c>
      <c r="H206" s="82" t="str">
        <f>VLOOKUP(G206,MetaData!$A$2:$C$13,3,false)</f>
        <v>Deden Nur hasanah, S.E</v>
      </c>
      <c r="I206" s="82" t="s">
        <v>512</v>
      </c>
      <c r="J206" s="82" t="str">
        <f>VLOOKUP(I206,MetaData!$E$2:$G$40,3,false)</f>
        <v>Sabika (XI)</v>
      </c>
      <c r="K206" s="83"/>
    </row>
    <row r="207" ht="15.75" customHeight="1">
      <c r="A207" s="84">
        <v>236.0</v>
      </c>
      <c r="B207" s="77">
        <v>38.0</v>
      </c>
      <c r="C207" s="77" t="s">
        <v>987</v>
      </c>
      <c r="D207" s="77">
        <v>2.52610451E8</v>
      </c>
      <c r="E207" s="78" t="s">
        <v>517</v>
      </c>
      <c r="F207" s="77" t="s">
        <v>784</v>
      </c>
      <c r="G207" s="79" t="s">
        <v>42</v>
      </c>
      <c r="H207" s="79" t="str">
        <f>VLOOKUP(G207,MetaData!$A$2:$C$13,3,false)</f>
        <v>Deden Nur hasanah, S.E</v>
      </c>
      <c r="I207" s="79" t="s">
        <v>512</v>
      </c>
      <c r="J207" s="79" t="str">
        <f>VLOOKUP(I207,MetaData!$E$2:$G$40,3,false)</f>
        <v>Sabika (XI)</v>
      </c>
      <c r="K207" s="80"/>
    </row>
    <row r="208" ht="15.75" customHeight="1">
      <c r="A208" s="85">
        <v>237.0</v>
      </c>
      <c r="B208" s="77">
        <v>39.0</v>
      </c>
      <c r="C208" s="77" t="s">
        <v>988</v>
      </c>
      <c r="D208" s="77">
        <v>2.52610471E8</v>
      </c>
      <c r="E208" s="78" t="s">
        <v>310</v>
      </c>
      <c r="F208" s="77" t="s">
        <v>782</v>
      </c>
      <c r="G208" s="82" t="s">
        <v>42</v>
      </c>
      <c r="H208" s="82" t="str">
        <f>VLOOKUP(G208,MetaData!$A$2:$C$13,3,false)</f>
        <v>Deden Nur hasanah, S.E</v>
      </c>
      <c r="I208" s="82" t="s">
        <v>297</v>
      </c>
      <c r="J208" s="82" t="str">
        <f>VLOOKUP(I208,MetaData!$E$2:$G$40,3,false)</f>
        <v>Topik &amp; Adrian</v>
      </c>
      <c r="K208" s="83"/>
    </row>
    <row r="209" ht="15.75" customHeight="1">
      <c r="A209" s="84">
        <v>238.0</v>
      </c>
      <c r="B209" s="77">
        <v>40.0</v>
      </c>
      <c r="C209" s="77" t="s">
        <v>989</v>
      </c>
      <c r="D209" s="77">
        <v>2.52610481E8</v>
      </c>
      <c r="E209" s="78" t="s">
        <v>518</v>
      </c>
      <c r="F209" s="77" t="s">
        <v>784</v>
      </c>
      <c r="G209" s="79" t="s">
        <v>42</v>
      </c>
      <c r="H209" s="79" t="str">
        <f>VLOOKUP(G209,MetaData!$A$2:$C$13,3,false)</f>
        <v>Deden Nur hasanah, S.E</v>
      </c>
      <c r="I209" s="79" t="s">
        <v>512</v>
      </c>
      <c r="J209" s="79" t="str">
        <f>VLOOKUP(I209,MetaData!$E$2:$G$40,3,false)</f>
        <v>Sabika (XI)</v>
      </c>
      <c r="K209" s="80"/>
    </row>
    <row r="210" ht="15.75" customHeight="1">
      <c r="A210" s="85">
        <v>239.0</v>
      </c>
      <c r="B210" s="77">
        <v>41.0</v>
      </c>
      <c r="C210" s="77" t="s">
        <v>990</v>
      </c>
      <c r="D210" s="77">
        <v>2.52610488E8</v>
      </c>
      <c r="E210" s="78" t="s">
        <v>519</v>
      </c>
      <c r="F210" s="77" t="s">
        <v>784</v>
      </c>
      <c r="G210" s="82" t="s">
        <v>42</v>
      </c>
      <c r="H210" s="82" t="str">
        <f>VLOOKUP(G210,MetaData!$A$2:$C$13,3,false)</f>
        <v>Deden Nur hasanah, S.E</v>
      </c>
      <c r="I210" s="82" t="s">
        <v>512</v>
      </c>
      <c r="J210" s="82" t="str">
        <f>VLOOKUP(I210,MetaData!$E$2:$G$40,3,false)</f>
        <v>Sabika (XI)</v>
      </c>
      <c r="K210" s="83"/>
    </row>
    <row r="211" ht="15.75" customHeight="1">
      <c r="A211" s="84">
        <v>240.0</v>
      </c>
      <c r="B211" s="77">
        <v>42.0</v>
      </c>
      <c r="C211" s="77" t="s">
        <v>991</v>
      </c>
      <c r="D211" s="77">
        <v>2.52610507E8</v>
      </c>
      <c r="E211" s="78" t="s">
        <v>520</v>
      </c>
      <c r="F211" s="77" t="s">
        <v>784</v>
      </c>
      <c r="G211" s="79" t="s">
        <v>42</v>
      </c>
      <c r="H211" s="79" t="str">
        <f>VLOOKUP(G211,MetaData!$A$2:$C$13,3,false)</f>
        <v>Deden Nur hasanah, S.E</v>
      </c>
      <c r="I211" s="79" t="s">
        <v>512</v>
      </c>
      <c r="J211" s="79" t="str">
        <f>VLOOKUP(I211,MetaData!$E$2:$G$40,3,false)</f>
        <v>Sabika (XI)</v>
      </c>
      <c r="K211" s="80"/>
    </row>
    <row r="212" ht="15.75" customHeight="1">
      <c r="A212" s="85">
        <v>241.0</v>
      </c>
      <c r="B212" s="77">
        <v>43.0</v>
      </c>
      <c r="C212" s="77" t="s">
        <v>992</v>
      </c>
      <c r="D212" s="77">
        <v>2.52610535E8</v>
      </c>
      <c r="E212" s="78" t="s">
        <v>521</v>
      </c>
      <c r="F212" s="77" t="s">
        <v>784</v>
      </c>
      <c r="G212" s="82" t="s">
        <v>42</v>
      </c>
      <c r="H212" s="82" t="str">
        <f>VLOOKUP(G212,MetaData!$A$2:$C$13,3,false)</f>
        <v>Deden Nur hasanah, S.E</v>
      </c>
      <c r="I212" s="82" t="s">
        <v>512</v>
      </c>
      <c r="J212" s="82" t="str">
        <f>VLOOKUP(I212,MetaData!$E$2:$G$40,3,false)</f>
        <v>Sabika (XI)</v>
      </c>
      <c r="K212" s="83"/>
    </row>
    <row r="213" ht="15.75" customHeight="1">
      <c r="A213" s="84">
        <v>242.0</v>
      </c>
      <c r="B213" s="77">
        <v>44.0</v>
      </c>
      <c r="C213" s="77" t="s">
        <v>993</v>
      </c>
      <c r="D213" s="77">
        <v>2.5261054E8</v>
      </c>
      <c r="E213" s="78" t="s">
        <v>522</v>
      </c>
      <c r="F213" s="77" t="s">
        <v>784</v>
      </c>
      <c r="G213" s="79" t="s">
        <v>42</v>
      </c>
      <c r="H213" s="79" t="str">
        <f>VLOOKUP(G213,MetaData!$A$2:$C$13,3,false)</f>
        <v>Deden Nur hasanah, S.E</v>
      </c>
      <c r="I213" s="79" t="s">
        <v>512</v>
      </c>
      <c r="J213" s="79" t="str">
        <f>VLOOKUP(I213,MetaData!$E$2:$G$40,3,false)</f>
        <v>Sabika (XI)</v>
      </c>
      <c r="K213" s="80"/>
    </row>
    <row r="214" ht="15.75" customHeight="1">
      <c r="A214" s="85">
        <v>243.0</v>
      </c>
      <c r="B214" s="77">
        <v>45.0</v>
      </c>
      <c r="C214" s="77" t="s">
        <v>994</v>
      </c>
      <c r="D214" s="77">
        <v>2.52610543E8</v>
      </c>
      <c r="E214" s="78" t="s">
        <v>523</v>
      </c>
      <c r="F214" s="77" t="s">
        <v>784</v>
      </c>
      <c r="G214" s="82" t="s">
        <v>42</v>
      </c>
      <c r="H214" s="82" t="str">
        <f>VLOOKUP(G214,MetaData!$A$2:$C$13,3,false)</f>
        <v>Deden Nur hasanah, S.E</v>
      </c>
      <c r="I214" s="82" t="s">
        <v>512</v>
      </c>
      <c r="J214" s="82" t="str">
        <f>VLOOKUP(I214,MetaData!$E$2:$G$40,3,false)</f>
        <v>Sabika (XI)</v>
      </c>
      <c r="K214" s="83"/>
    </row>
    <row r="215" ht="15.75" customHeight="1">
      <c r="A215" s="84">
        <v>244.0</v>
      </c>
      <c r="B215" s="77">
        <v>46.0</v>
      </c>
      <c r="C215" s="77" t="s">
        <v>995</v>
      </c>
      <c r="D215" s="77">
        <v>2.52610549E8</v>
      </c>
      <c r="E215" s="78" t="s">
        <v>311</v>
      </c>
      <c r="F215" s="77" t="s">
        <v>782</v>
      </c>
      <c r="G215" s="79" t="s">
        <v>42</v>
      </c>
      <c r="H215" s="79" t="str">
        <f>VLOOKUP(G215,MetaData!$A$2:$C$13,3,false)</f>
        <v>Deden Nur hasanah, S.E</v>
      </c>
      <c r="I215" s="79" t="s">
        <v>297</v>
      </c>
      <c r="J215" s="79" t="str">
        <f>VLOOKUP(I215,MetaData!$E$2:$G$40,3,false)</f>
        <v>Topik &amp; Adrian</v>
      </c>
      <c r="K215" s="80"/>
    </row>
    <row r="216" ht="15.75" customHeight="1">
      <c r="A216" s="85">
        <v>245.0</v>
      </c>
      <c r="B216" s="77">
        <v>47.0</v>
      </c>
      <c r="C216" s="77" t="s">
        <v>996</v>
      </c>
      <c r="D216" s="77">
        <v>2.52610554E8</v>
      </c>
      <c r="E216" s="78" t="s">
        <v>524</v>
      </c>
      <c r="F216" s="77" t="s">
        <v>784</v>
      </c>
      <c r="G216" s="82" t="s">
        <v>42</v>
      </c>
      <c r="H216" s="82" t="str">
        <f>VLOOKUP(G216,MetaData!$A$2:$C$13,3,false)</f>
        <v>Deden Nur hasanah, S.E</v>
      </c>
      <c r="I216" s="82" t="s">
        <v>512</v>
      </c>
      <c r="J216" s="82" t="str">
        <f>VLOOKUP(I216,MetaData!$E$2:$G$40,3,false)</f>
        <v>Sabika (XI)</v>
      </c>
      <c r="K216" s="83"/>
    </row>
    <row r="217" ht="15.75" customHeight="1">
      <c r="A217" s="76">
        <v>253.0</v>
      </c>
      <c r="B217" s="77">
        <v>3.0</v>
      </c>
      <c r="C217" s="77" t="s">
        <v>997</v>
      </c>
      <c r="D217" s="77">
        <v>2.52610036E8</v>
      </c>
      <c r="E217" s="78" t="s">
        <v>658</v>
      </c>
      <c r="F217" s="77" t="s">
        <v>784</v>
      </c>
      <c r="G217" s="79" t="s">
        <v>46</v>
      </c>
      <c r="H217" s="79" t="str">
        <f>VLOOKUP(G217,MetaData!$A$2:$C$13,3,false)</f>
        <v>Raden Rara Tatra Sudhawati, S.Pd, M.Pd</v>
      </c>
      <c r="I217" s="79" t="s">
        <v>657</v>
      </c>
      <c r="J217" s="79" t="str">
        <f>VLOOKUP(I217,MetaData!$E$2:$G$40,3,false)</f>
        <v>Khairunnisa (XII)</v>
      </c>
      <c r="K217" s="80"/>
    </row>
    <row r="218" ht="15.75" customHeight="1">
      <c r="A218" s="81">
        <v>254.0</v>
      </c>
      <c r="B218" s="77">
        <v>4.0</v>
      </c>
      <c r="C218" s="77" t="s">
        <v>998</v>
      </c>
      <c r="D218" s="77">
        <v>2.52610042E8</v>
      </c>
      <c r="E218" s="78" t="s">
        <v>659</v>
      </c>
      <c r="F218" s="77" t="s">
        <v>784</v>
      </c>
      <c r="G218" s="82" t="s">
        <v>46</v>
      </c>
      <c r="H218" s="82" t="str">
        <f>VLOOKUP(G218,MetaData!$A$2:$C$13,3,false)</f>
        <v>Raden Rara Tatra Sudhawati, S.Pd, M.Pd</v>
      </c>
      <c r="I218" s="82" t="s">
        <v>657</v>
      </c>
      <c r="J218" s="82" t="str">
        <f>VLOOKUP(I218,MetaData!$E$2:$G$40,3,false)</f>
        <v>Khairunnisa (XII)</v>
      </c>
      <c r="K218" s="83"/>
    </row>
    <row r="219" ht="15.75" customHeight="1">
      <c r="A219" s="76">
        <v>255.0</v>
      </c>
      <c r="B219" s="77">
        <v>5.0</v>
      </c>
      <c r="C219" s="77" t="s">
        <v>999</v>
      </c>
      <c r="D219" s="77">
        <v>2.52610072E8</v>
      </c>
      <c r="E219" s="78" t="s">
        <v>660</v>
      </c>
      <c r="F219" s="77" t="s">
        <v>784</v>
      </c>
      <c r="G219" s="79" t="s">
        <v>46</v>
      </c>
      <c r="H219" s="79" t="str">
        <f>VLOOKUP(G219,MetaData!$A$2:$C$13,3,false)</f>
        <v>Raden Rara Tatra Sudhawati, S.Pd, M.Pd</v>
      </c>
      <c r="I219" s="79" t="s">
        <v>657</v>
      </c>
      <c r="J219" s="79" t="str">
        <f>VLOOKUP(I219,MetaData!$E$2:$G$40,3,false)</f>
        <v>Khairunnisa (XII)</v>
      </c>
      <c r="K219" s="80"/>
    </row>
    <row r="220" ht="15.75" customHeight="1">
      <c r="A220" s="81">
        <v>256.0</v>
      </c>
      <c r="B220" s="77">
        <v>7.0</v>
      </c>
      <c r="C220" s="77" t="s">
        <v>1000</v>
      </c>
      <c r="D220" s="77">
        <v>2.52610134E8</v>
      </c>
      <c r="E220" s="78" t="s">
        <v>661</v>
      </c>
      <c r="F220" s="77" t="s">
        <v>784</v>
      </c>
      <c r="G220" s="82" t="s">
        <v>46</v>
      </c>
      <c r="H220" s="82" t="str">
        <f>VLOOKUP(G220,MetaData!$A$2:$C$13,3,false)</f>
        <v>Raden Rara Tatra Sudhawati, S.Pd, M.Pd</v>
      </c>
      <c r="I220" s="82" t="s">
        <v>657</v>
      </c>
      <c r="J220" s="82" t="str">
        <f>VLOOKUP(I220,MetaData!$E$2:$G$40,3,false)</f>
        <v>Khairunnisa (XII)</v>
      </c>
      <c r="K220" s="83"/>
    </row>
    <row r="221" ht="15.75" customHeight="1">
      <c r="A221" s="76">
        <v>257.0</v>
      </c>
      <c r="B221" s="77">
        <v>9.0</v>
      </c>
      <c r="C221" s="77" t="s">
        <v>1001</v>
      </c>
      <c r="D221" s="77">
        <v>2.52610157E8</v>
      </c>
      <c r="E221" s="78" t="s">
        <v>662</v>
      </c>
      <c r="F221" s="77" t="s">
        <v>784</v>
      </c>
      <c r="G221" s="79" t="s">
        <v>46</v>
      </c>
      <c r="H221" s="79" t="str">
        <f>VLOOKUP(G221,MetaData!$A$2:$C$13,3,false)</f>
        <v>Raden Rara Tatra Sudhawati, S.Pd, M.Pd</v>
      </c>
      <c r="I221" s="79" t="s">
        <v>657</v>
      </c>
      <c r="J221" s="79" t="str">
        <f>VLOOKUP(I221,MetaData!$E$2:$G$40,3,false)</f>
        <v>Khairunnisa (XII)</v>
      </c>
      <c r="K221" s="80"/>
    </row>
    <row r="222" ht="15.75" customHeight="1">
      <c r="A222" s="81">
        <v>258.0</v>
      </c>
      <c r="B222" s="77">
        <v>10.0</v>
      </c>
      <c r="C222" s="77" t="s">
        <v>1002</v>
      </c>
      <c r="D222" s="77">
        <v>2.52610167E8</v>
      </c>
      <c r="E222" s="78" t="s">
        <v>663</v>
      </c>
      <c r="F222" s="77" t="s">
        <v>784</v>
      </c>
      <c r="G222" s="82" t="s">
        <v>46</v>
      </c>
      <c r="H222" s="82" t="str">
        <f>VLOOKUP(G222,MetaData!$A$2:$C$13,3,false)</f>
        <v>Raden Rara Tatra Sudhawati, S.Pd, M.Pd</v>
      </c>
      <c r="I222" s="82" t="s">
        <v>657</v>
      </c>
      <c r="J222" s="82" t="str">
        <f>VLOOKUP(I222,MetaData!$E$2:$G$40,3,false)</f>
        <v>Khairunnisa (XII)</v>
      </c>
      <c r="K222" s="83"/>
    </row>
    <row r="223" ht="15.75" customHeight="1">
      <c r="A223" s="76">
        <v>259.0</v>
      </c>
      <c r="B223" s="77">
        <v>11.0</v>
      </c>
      <c r="C223" s="77" t="s">
        <v>1003</v>
      </c>
      <c r="D223" s="77">
        <v>2.52610172E8</v>
      </c>
      <c r="E223" s="78" t="s">
        <v>290</v>
      </c>
      <c r="F223" s="77" t="s">
        <v>782</v>
      </c>
      <c r="G223" s="79" t="s">
        <v>46</v>
      </c>
      <c r="H223" s="79" t="str">
        <f>VLOOKUP(G223,MetaData!$A$2:$C$13,3,false)</f>
        <v>Raden Rara Tatra Sudhawati, S.Pd, M.Pd</v>
      </c>
      <c r="I223" s="79" t="s">
        <v>289</v>
      </c>
      <c r="J223" s="79" t="str">
        <f>VLOOKUP(I223,MetaData!$E$2:$G$40,3,false)</f>
        <v>Arumbinang</v>
      </c>
      <c r="K223" s="80"/>
    </row>
    <row r="224" ht="15.75" customHeight="1">
      <c r="A224" s="81">
        <v>260.0</v>
      </c>
      <c r="B224" s="77">
        <v>12.0</v>
      </c>
      <c r="C224" s="77" t="s">
        <v>1004</v>
      </c>
      <c r="D224" s="77">
        <v>2.52610176E8</v>
      </c>
      <c r="E224" s="78" t="s">
        <v>291</v>
      </c>
      <c r="F224" s="77" t="s">
        <v>782</v>
      </c>
      <c r="G224" s="82" t="s">
        <v>46</v>
      </c>
      <c r="H224" s="82" t="str">
        <f>VLOOKUP(G224,MetaData!$A$2:$C$13,3,false)</f>
        <v>Raden Rara Tatra Sudhawati, S.Pd, M.Pd</v>
      </c>
      <c r="I224" s="82" t="s">
        <v>289</v>
      </c>
      <c r="J224" s="82" t="str">
        <f>VLOOKUP(I224,MetaData!$E$2:$G$40,3,false)</f>
        <v>Arumbinang</v>
      </c>
      <c r="K224" s="83"/>
    </row>
    <row r="225" ht="15.75" customHeight="1">
      <c r="A225" s="76">
        <v>261.0</v>
      </c>
      <c r="B225" s="77">
        <v>14.0</v>
      </c>
      <c r="C225" s="77" t="s">
        <v>1005</v>
      </c>
      <c r="D225" s="77">
        <v>2.52610194E8</v>
      </c>
      <c r="E225" s="78" t="s">
        <v>664</v>
      </c>
      <c r="F225" s="77" t="s">
        <v>784</v>
      </c>
      <c r="G225" s="79" t="s">
        <v>46</v>
      </c>
      <c r="H225" s="79" t="str">
        <f>VLOOKUP(G225,MetaData!$A$2:$C$13,3,false)</f>
        <v>Raden Rara Tatra Sudhawati, S.Pd, M.Pd</v>
      </c>
      <c r="I225" s="79" t="s">
        <v>657</v>
      </c>
      <c r="J225" s="79" t="str">
        <f>VLOOKUP(I225,MetaData!$E$2:$G$40,3,false)</f>
        <v>Khairunnisa (XII)</v>
      </c>
      <c r="K225" s="80"/>
    </row>
    <row r="226" ht="15.75" customHeight="1">
      <c r="A226" s="81">
        <v>262.0</v>
      </c>
      <c r="B226" s="77">
        <v>15.0</v>
      </c>
      <c r="C226" s="77" t="s">
        <v>1006</v>
      </c>
      <c r="D226" s="77">
        <v>2.52610195E8</v>
      </c>
      <c r="E226" s="78" t="s">
        <v>450</v>
      </c>
      <c r="F226" s="77" t="s">
        <v>784</v>
      </c>
      <c r="G226" s="82" t="s">
        <v>46</v>
      </c>
      <c r="H226" s="82" t="str">
        <f>VLOOKUP(G226,MetaData!$A$2:$C$13,3,false)</f>
        <v>Raden Rara Tatra Sudhawati, S.Pd, M.Pd</v>
      </c>
      <c r="I226" s="82" t="s">
        <v>443</v>
      </c>
      <c r="J226" s="82" t="str">
        <f>VLOOKUP(I226,MetaData!$E$2:$G$40,3,false)</f>
        <v>Ayun</v>
      </c>
      <c r="K226" s="83"/>
    </row>
    <row r="227" ht="15.75" customHeight="1">
      <c r="A227" s="76">
        <v>263.0</v>
      </c>
      <c r="B227" s="77">
        <v>17.0</v>
      </c>
      <c r="C227" s="77" t="s">
        <v>1007</v>
      </c>
      <c r="D227" s="77">
        <v>2.52610209E8</v>
      </c>
      <c r="E227" s="78" t="s">
        <v>665</v>
      </c>
      <c r="F227" s="77" t="s">
        <v>784</v>
      </c>
      <c r="G227" s="79" t="s">
        <v>46</v>
      </c>
      <c r="H227" s="79" t="str">
        <f>VLOOKUP(G227,MetaData!$A$2:$C$13,3,false)</f>
        <v>Raden Rara Tatra Sudhawati, S.Pd, M.Pd</v>
      </c>
      <c r="I227" s="79" t="s">
        <v>657</v>
      </c>
      <c r="J227" s="79" t="str">
        <f>VLOOKUP(I227,MetaData!$E$2:$G$40,3,false)</f>
        <v>Khairunnisa (XII)</v>
      </c>
      <c r="K227" s="80"/>
    </row>
    <row r="228" ht="15.75" customHeight="1">
      <c r="A228" s="81">
        <v>264.0</v>
      </c>
      <c r="B228" s="77">
        <v>18.0</v>
      </c>
      <c r="C228" s="77" t="s">
        <v>1008</v>
      </c>
      <c r="D228" s="77">
        <v>2.5261021E8</v>
      </c>
      <c r="E228" s="78" t="s">
        <v>666</v>
      </c>
      <c r="F228" s="77" t="s">
        <v>784</v>
      </c>
      <c r="G228" s="82" t="s">
        <v>46</v>
      </c>
      <c r="H228" s="82" t="str">
        <f>VLOOKUP(G228,MetaData!$A$2:$C$13,3,false)</f>
        <v>Raden Rara Tatra Sudhawati, S.Pd, M.Pd</v>
      </c>
      <c r="I228" s="82" t="s">
        <v>657</v>
      </c>
      <c r="J228" s="82" t="str">
        <f>VLOOKUP(I228,MetaData!$E$2:$G$40,3,false)</f>
        <v>Khairunnisa (XII)</v>
      </c>
      <c r="K228" s="83"/>
    </row>
    <row r="229" ht="15.75" customHeight="1">
      <c r="A229" s="76">
        <v>265.0</v>
      </c>
      <c r="B229" s="77">
        <v>19.0</v>
      </c>
      <c r="C229" s="77" t="s">
        <v>1009</v>
      </c>
      <c r="D229" s="77">
        <v>2.52610214E8</v>
      </c>
      <c r="E229" s="78" t="s">
        <v>667</v>
      </c>
      <c r="F229" s="77" t="s">
        <v>784</v>
      </c>
      <c r="G229" s="79" t="s">
        <v>46</v>
      </c>
      <c r="H229" s="79" t="str">
        <f>VLOOKUP(G229,MetaData!$A$2:$C$13,3,false)</f>
        <v>Raden Rara Tatra Sudhawati, S.Pd, M.Pd</v>
      </c>
      <c r="I229" s="79" t="s">
        <v>657</v>
      </c>
      <c r="J229" s="79" t="str">
        <f>VLOOKUP(I229,MetaData!$E$2:$G$40,3,false)</f>
        <v>Khairunnisa (XII)</v>
      </c>
      <c r="K229" s="80"/>
    </row>
    <row r="230" ht="15.75" customHeight="1">
      <c r="A230" s="81">
        <v>266.0</v>
      </c>
      <c r="B230" s="77">
        <v>20.0</v>
      </c>
      <c r="C230" s="77" t="s">
        <v>1010</v>
      </c>
      <c r="D230" s="77">
        <v>2.52610227E8</v>
      </c>
      <c r="E230" s="78" t="s">
        <v>668</v>
      </c>
      <c r="F230" s="77" t="s">
        <v>784</v>
      </c>
      <c r="G230" s="82" t="s">
        <v>46</v>
      </c>
      <c r="H230" s="82" t="str">
        <f>VLOOKUP(G230,MetaData!$A$2:$C$13,3,false)</f>
        <v>Raden Rara Tatra Sudhawati, S.Pd, M.Pd</v>
      </c>
      <c r="I230" s="82" t="s">
        <v>657</v>
      </c>
      <c r="J230" s="82" t="str">
        <f>VLOOKUP(I230,MetaData!$E$2:$G$40,3,false)</f>
        <v>Khairunnisa (XII)</v>
      </c>
      <c r="K230" s="83"/>
    </row>
    <row r="231" ht="15.75" customHeight="1">
      <c r="A231" s="76">
        <v>267.0</v>
      </c>
      <c r="B231" s="77">
        <v>23.0</v>
      </c>
      <c r="C231" s="77" t="s">
        <v>1011</v>
      </c>
      <c r="D231" s="77">
        <v>2.52610273E8</v>
      </c>
      <c r="E231" s="78" t="s">
        <v>669</v>
      </c>
      <c r="F231" s="77" t="s">
        <v>784</v>
      </c>
      <c r="G231" s="79" t="s">
        <v>46</v>
      </c>
      <c r="H231" s="79" t="str">
        <f>VLOOKUP(G231,MetaData!$A$2:$C$13,3,false)</f>
        <v>Raden Rara Tatra Sudhawati, S.Pd, M.Pd</v>
      </c>
      <c r="I231" s="79" t="s">
        <v>657</v>
      </c>
      <c r="J231" s="79" t="str">
        <f>VLOOKUP(I231,MetaData!$E$2:$G$40,3,false)</f>
        <v>Khairunnisa (XII)</v>
      </c>
      <c r="K231" s="80"/>
    </row>
    <row r="232" ht="15.75" customHeight="1">
      <c r="A232" s="81">
        <v>268.0</v>
      </c>
      <c r="B232" s="77">
        <v>24.0</v>
      </c>
      <c r="C232" s="77" t="s">
        <v>1012</v>
      </c>
      <c r="D232" s="77">
        <v>2.52610279E8</v>
      </c>
      <c r="E232" s="78" t="s">
        <v>501</v>
      </c>
      <c r="F232" s="77" t="s">
        <v>784</v>
      </c>
      <c r="G232" s="82" t="s">
        <v>46</v>
      </c>
      <c r="H232" s="82" t="str">
        <f>VLOOKUP(G232,MetaData!$A$2:$C$13,3,false)</f>
        <v>Raden Rara Tatra Sudhawati, S.Pd, M.Pd</v>
      </c>
      <c r="I232" s="82" t="s">
        <v>500</v>
      </c>
      <c r="J232" s="82" t="str">
        <f>VLOOKUP(I232,MetaData!$E$2:$G$40,3,false)</f>
        <v>Bumi (XI)</v>
      </c>
      <c r="K232" s="83"/>
    </row>
    <row r="233" ht="15.75" customHeight="1">
      <c r="A233" s="76">
        <v>269.0</v>
      </c>
      <c r="B233" s="77">
        <v>26.0</v>
      </c>
      <c r="C233" s="77" t="s">
        <v>1013</v>
      </c>
      <c r="D233" s="77">
        <v>2.52610308E8</v>
      </c>
      <c r="E233" s="78" t="s">
        <v>502</v>
      </c>
      <c r="F233" s="77" t="s">
        <v>784</v>
      </c>
      <c r="G233" s="79" t="s">
        <v>46</v>
      </c>
      <c r="H233" s="79" t="str">
        <f>VLOOKUP(G233,MetaData!$A$2:$C$13,3,false)</f>
        <v>Raden Rara Tatra Sudhawati, S.Pd, M.Pd</v>
      </c>
      <c r="I233" s="79" t="s">
        <v>500</v>
      </c>
      <c r="J233" s="79" t="str">
        <f>VLOOKUP(I233,MetaData!$E$2:$G$40,3,false)</f>
        <v>Bumi (XI)</v>
      </c>
      <c r="K233" s="80"/>
    </row>
    <row r="234" ht="15.75" customHeight="1">
      <c r="A234" s="81">
        <v>270.0</v>
      </c>
      <c r="B234" s="77">
        <v>28.0</v>
      </c>
      <c r="C234" s="77" t="s">
        <v>1014</v>
      </c>
      <c r="D234" s="77">
        <v>2.52610342E8</v>
      </c>
      <c r="E234" s="78" t="s">
        <v>292</v>
      </c>
      <c r="F234" s="77" t="s">
        <v>782</v>
      </c>
      <c r="G234" s="82" t="s">
        <v>46</v>
      </c>
      <c r="H234" s="82" t="str">
        <f>VLOOKUP(G234,MetaData!$A$2:$C$13,3,false)</f>
        <v>Raden Rara Tatra Sudhawati, S.Pd, M.Pd</v>
      </c>
      <c r="I234" s="82" t="s">
        <v>289</v>
      </c>
      <c r="J234" s="82" t="str">
        <f>VLOOKUP(I234,MetaData!$E$2:$G$40,3,false)</f>
        <v>Arumbinang</v>
      </c>
      <c r="K234" s="83"/>
    </row>
    <row r="235" ht="15.75" customHeight="1">
      <c r="A235" s="76">
        <v>271.0</v>
      </c>
      <c r="B235" s="77">
        <v>31.0</v>
      </c>
      <c r="C235" s="77" t="s">
        <v>1015</v>
      </c>
      <c r="D235" s="77">
        <v>2.52610394E8</v>
      </c>
      <c r="E235" s="78" t="s">
        <v>503</v>
      </c>
      <c r="F235" s="77" t="s">
        <v>784</v>
      </c>
      <c r="G235" s="79" t="s">
        <v>46</v>
      </c>
      <c r="H235" s="79" t="str">
        <f>VLOOKUP(G235,MetaData!$A$2:$C$13,3,false)</f>
        <v>Raden Rara Tatra Sudhawati, S.Pd, M.Pd</v>
      </c>
      <c r="I235" s="79" t="s">
        <v>500</v>
      </c>
      <c r="J235" s="79" t="str">
        <f>VLOOKUP(I235,MetaData!$E$2:$G$40,3,false)</f>
        <v>Bumi (XI)</v>
      </c>
      <c r="K235" s="80"/>
    </row>
    <row r="236" ht="15.75" customHeight="1">
      <c r="A236" s="81">
        <v>272.0</v>
      </c>
      <c r="B236" s="77">
        <v>32.0</v>
      </c>
      <c r="C236" s="77" t="s">
        <v>1016</v>
      </c>
      <c r="D236" s="77">
        <v>2.5261041E8</v>
      </c>
      <c r="E236" s="78" t="s">
        <v>504</v>
      </c>
      <c r="F236" s="77" t="s">
        <v>784</v>
      </c>
      <c r="G236" s="82" t="s">
        <v>46</v>
      </c>
      <c r="H236" s="82" t="str">
        <f>VLOOKUP(G236,MetaData!$A$2:$C$13,3,false)</f>
        <v>Raden Rara Tatra Sudhawati, S.Pd, M.Pd</v>
      </c>
      <c r="I236" s="82" t="s">
        <v>500</v>
      </c>
      <c r="J236" s="82" t="str">
        <f>VLOOKUP(I236,MetaData!$E$2:$G$40,3,false)</f>
        <v>Bumi (XI)</v>
      </c>
      <c r="K236" s="83"/>
    </row>
    <row r="237" ht="15.75" customHeight="1">
      <c r="A237" s="76">
        <v>273.0</v>
      </c>
      <c r="B237" s="77">
        <v>33.0</v>
      </c>
      <c r="C237" s="77" t="s">
        <v>1017</v>
      </c>
      <c r="D237" s="77">
        <v>2.52610442E8</v>
      </c>
      <c r="E237" s="78" t="s">
        <v>505</v>
      </c>
      <c r="F237" s="77" t="s">
        <v>784</v>
      </c>
      <c r="G237" s="79" t="s">
        <v>46</v>
      </c>
      <c r="H237" s="79" t="str">
        <f>VLOOKUP(G237,MetaData!$A$2:$C$13,3,false)</f>
        <v>Raden Rara Tatra Sudhawati, S.Pd, M.Pd</v>
      </c>
      <c r="I237" s="79" t="s">
        <v>500</v>
      </c>
      <c r="J237" s="79" t="str">
        <f>VLOOKUP(I237,MetaData!$E$2:$G$40,3,false)</f>
        <v>Bumi (XI)</v>
      </c>
      <c r="K237" s="80"/>
    </row>
    <row r="238" ht="15.75" customHeight="1">
      <c r="A238" s="81">
        <v>274.0</v>
      </c>
      <c r="B238" s="77">
        <v>35.0</v>
      </c>
      <c r="C238" s="77" t="s">
        <v>1018</v>
      </c>
      <c r="D238" s="77">
        <v>2.52610449E8</v>
      </c>
      <c r="E238" s="78" t="s">
        <v>293</v>
      </c>
      <c r="F238" s="77" t="s">
        <v>782</v>
      </c>
      <c r="G238" s="82" t="s">
        <v>46</v>
      </c>
      <c r="H238" s="82" t="str">
        <f>VLOOKUP(G238,MetaData!$A$2:$C$13,3,false)</f>
        <v>Raden Rara Tatra Sudhawati, S.Pd, M.Pd</v>
      </c>
      <c r="I238" s="82" t="s">
        <v>289</v>
      </c>
      <c r="J238" s="82" t="str">
        <f>VLOOKUP(I238,MetaData!$E$2:$G$40,3,false)</f>
        <v>Arumbinang</v>
      </c>
      <c r="K238" s="83"/>
    </row>
    <row r="239" ht="15.75" customHeight="1">
      <c r="A239" s="76">
        <v>275.0</v>
      </c>
      <c r="B239" s="77">
        <v>36.0</v>
      </c>
      <c r="C239" s="77" t="s">
        <v>1019</v>
      </c>
      <c r="D239" s="77">
        <v>2.52610453E8</v>
      </c>
      <c r="E239" s="78" t="s">
        <v>294</v>
      </c>
      <c r="F239" s="77" t="s">
        <v>782</v>
      </c>
      <c r="G239" s="79" t="s">
        <v>46</v>
      </c>
      <c r="H239" s="79" t="str">
        <f>VLOOKUP(G239,MetaData!$A$2:$C$13,3,false)</f>
        <v>Raden Rara Tatra Sudhawati, S.Pd, M.Pd</v>
      </c>
      <c r="I239" s="79" t="s">
        <v>289</v>
      </c>
      <c r="J239" s="79" t="str">
        <f>VLOOKUP(I239,MetaData!$E$2:$G$40,3,false)</f>
        <v>Arumbinang</v>
      </c>
      <c r="K239" s="80"/>
    </row>
    <row r="240" ht="15.75" customHeight="1">
      <c r="A240" s="81">
        <v>276.0</v>
      </c>
      <c r="B240" s="77">
        <v>39.0</v>
      </c>
      <c r="C240" s="77" t="s">
        <v>1020</v>
      </c>
      <c r="D240" s="77">
        <v>2.52610479E8</v>
      </c>
      <c r="E240" s="78" t="s">
        <v>295</v>
      </c>
      <c r="F240" s="77" t="s">
        <v>782</v>
      </c>
      <c r="G240" s="82" t="s">
        <v>46</v>
      </c>
      <c r="H240" s="82" t="str">
        <f>VLOOKUP(G240,MetaData!$A$2:$C$13,3,false)</f>
        <v>Raden Rara Tatra Sudhawati, S.Pd, M.Pd</v>
      </c>
      <c r="I240" s="82" t="s">
        <v>289</v>
      </c>
      <c r="J240" s="82" t="str">
        <f>VLOOKUP(I240,MetaData!$E$2:$G$40,3,false)</f>
        <v>Arumbinang</v>
      </c>
      <c r="K240" s="83"/>
    </row>
    <row r="241" ht="15.75" customHeight="1">
      <c r="A241" s="76">
        <v>277.0</v>
      </c>
      <c r="B241" s="77">
        <v>40.0</v>
      </c>
      <c r="C241" s="77" t="s">
        <v>1021</v>
      </c>
      <c r="D241" s="77">
        <v>2.52610484E8</v>
      </c>
      <c r="E241" s="78" t="s">
        <v>506</v>
      </c>
      <c r="F241" s="77" t="s">
        <v>784</v>
      </c>
      <c r="G241" s="79" t="s">
        <v>46</v>
      </c>
      <c r="H241" s="79" t="str">
        <f>VLOOKUP(G241,MetaData!$A$2:$C$13,3,false)</f>
        <v>Raden Rara Tatra Sudhawati, S.Pd, M.Pd</v>
      </c>
      <c r="I241" s="79" t="s">
        <v>500</v>
      </c>
      <c r="J241" s="79" t="str">
        <f>VLOOKUP(I241,MetaData!$E$2:$G$40,3,false)</f>
        <v>Bumi (XI)</v>
      </c>
      <c r="K241" s="80"/>
    </row>
    <row r="242" ht="15.75" customHeight="1">
      <c r="A242" s="81">
        <v>278.0</v>
      </c>
      <c r="B242" s="77">
        <v>41.0</v>
      </c>
      <c r="C242" s="77" t="s">
        <v>1022</v>
      </c>
      <c r="D242" s="77">
        <v>2.52610486E8</v>
      </c>
      <c r="E242" s="78" t="s">
        <v>507</v>
      </c>
      <c r="F242" s="77" t="s">
        <v>784</v>
      </c>
      <c r="G242" s="82" t="s">
        <v>46</v>
      </c>
      <c r="H242" s="82" t="str">
        <f>VLOOKUP(G242,MetaData!$A$2:$C$13,3,false)</f>
        <v>Raden Rara Tatra Sudhawati, S.Pd, M.Pd</v>
      </c>
      <c r="I242" s="82" t="s">
        <v>500</v>
      </c>
      <c r="J242" s="82" t="str">
        <f>VLOOKUP(I242,MetaData!$E$2:$G$40,3,false)</f>
        <v>Bumi (XI)</v>
      </c>
      <c r="K242" s="83"/>
    </row>
    <row r="243" ht="15.75" customHeight="1">
      <c r="A243" s="76">
        <v>279.0</v>
      </c>
      <c r="B243" s="77">
        <v>42.0</v>
      </c>
      <c r="C243" s="77" t="s">
        <v>1023</v>
      </c>
      <c r="D243" s="77">
        <v>2.52610495E8</v>
      </c>
      <c r="E243" s="78" t="s">
        <v>508</v>
      </c>
      <c r="F243" s="77" t="s">
        <v>784</v>
      </c>
      <c r="G243" s="79" t="s">
        <v>46</v>
      </c>
      <c r="H243" s="79" t="str">
        <f>VLOOKUP(G243,MetaData!$A$2:$C$13,3,false)</f>
        <v>Raden Rara Tatra Sudhawati, S.Pd, M.Pd</v>
      </c>
      <c r="I243" s="79" t="s">
        <v>500</v>
      </c>
      <c r="J243" s="79" t="str">
        <f>VLOOKUP(I243,MetaData!$E$2:$G$40,3,false)</f>
        <v>Bumi (XI)</v>
      </c>
      <c r="K243" s="80"/>
    </row>
    <row r="244" ht="15.75" customHeight="1">
      <c r="A244" s="81">
        <v>280.0</v>
      </c>
      <c r="B244" s="77">
        <v>43.0</v>
      </c>
      <c r="C244" s="77" t="s">
        <v>1024</v>
      </c>
      <c r="D244" s="77">
        <v>2.52610505E8</v>
      </c>
      <c r="E244" s="78" t="s">
        <v>509</v>
      </c>
      <c r="F244" s="77" t="s">
        <v>784</v>
      </c>
      <c r="G244" s="82" t="s">
        <v>46</v>
      </c>
      <c r="H244" s="82" t="str">
        <f>VLOOKUP(G244,MetaData!$A$2:$C$13,3,false)</f>
        <v>Raden Rara Tatra Sudhawati, S.Pd, M.Pd</v>
      </c>
      <c r="I244" s="82" t="s">
        <v>500</v>
      </c>
      <c r="J244" s="82" t="str">
        <f>VLOOKUP(I244,MetaData!$E$2:$G$40,3,false)</f>
        <v>Bumi (XI)</v>
      </c>
      <c r="K244" s="83"/>
    </row>
    <row r="245" ht="15.75" customHeight="1">
      <c r="A245" s="76">
        <v>281.0</v>
      </c>
      <c r="B245" s="77">
        <v>44.0</v>
      </c>
      <c r="C245" s="77" t="s">
        <v>1025</v>
      </c>
      <c r="D245" s="77">
        <v>2.52610517E8</v>
      </c>
      <c r="E245" s="78" t="s">
        <v>510</v>
      </c>
      <c r="F245" s="77" t="s">
        <v>784</v>
      </c>
      <c r="G245" s="79" t="s">
        <v>46</v>
      </c>
      <c r="H245" s="79" t="str">
        <f>VLOOKUP(G245,MetaData!$A$2:$C$13,3,false)</f>
        <v>Raden Rara Tatra Sudhawati, S.Pd, M.Pd</v>
      </c>
      <c r="I245" s="79" t="s">
        <v>500</v>
      </c>
      <c r="J245" s="79" t="str">
        <f>VLOOKUP(I245,MetaData!$E$2:$G$40,3,false)</f>
        <v>Bumi (XI)</v>
      </c>
      <c r="K245" s="80"/>
    </row>
    <row r="246" ht="15.75" customHeight="1">
      <c r="A246" s="81">
        <v>282.0</v>
      </c>
      <c r="B246" s="77">
        <v>45.0</v>
      </c>
      <c r="C246" s="77" t="s">
        <v>1026</v>
      </c>
      <c r="D246" s="77">
        <v>2.52610528E8</v>
      </c>
      <c r="E246" s="78" t="s">
        <v>296</v>
      </c>
      <c r="F246" s="77" t="s">
        <v>782</v>
      </c>
      <c r="G246" s="82" t="s">
        <v>46</v>
      </c>
      <c r="H246" s="82" t="str">
        <f>VLOOKUP(G246,MetaData!$A$2:$C$13,3,false)</f>
        <v>Raden Rara Tatra Sudhawati, S.Pd, M.Pd</v>
      </c>
      <c r="I246" s="82" t="s">
        <v>289</v>
      </c>
      <c r="J246" s="82" t="str">
        <f>VLOOKUP(I246,MetaData!$E$2:$G$40,3,false)</f>
        <v>Arumbinang</v>
      </c>
      <c r="K246" s="83"/>
    </row>
    <row r="247" ht="15.75" customHeight="1">
      <c r="A247" s="76">
        <v>283.0</v>
      </c>
      <c r="B247" s="77">
        <v>46.0</v>
      </c>
      <c r="C247" s="77" t="s">
        <v>1027</v>
      </c>
      <c r="D247" s="77">
        <v>2.52610529E8</v>
      </c>
      <c r="E247" s="78" t="s">
        <v>511</v>
      </c>
      <c r="F247" s="77" t="s">
        <v>784</v>
      </c>
      <c r="G247" s="79" t="s">
        <v>46</v>
      </c>
      <c r="H247" s="79" t="str">
        <f>VLOOKUP(G247,MetaData!$A$2:$C$13,3,false)</f>
        <v>Raden Rara Tatra Sudhawati, S.Pd, M.Pd</v>
      </c>
      <c r="I247" s="79" t="s">
        <v>500</v>
      </c>
      <c r="J247" s="79" t="str">
        <f>VLOOKUP(I247,MetaData!$E$2:$G$40,3,false)</f>
        <v>Bumi (XI)</v>
      </c>
      <c r="K247" s="80"/>
    </row>
    <row r="248" ht="15.75" customHeight="1">
      <c r="A248" s="85">
        <v>291.0</v>
      </c>
      <c r="B248" s="77">
        <v>1.0</v>
      </c>
      <c r="C248" s="77" t="s">
        <v>1028</v>
      </c>
      <c r="D248" s="77">
        <v>2.52610006E8</v>
      </c>
      <c r="E248" s="78" t="s">
        <v>643</v>
      </c>
      <c r="F248" s="77" t="s">
        <v>784</v>
      </c>
      <c r="G248" s="82" t="s">
        <v>52</v>
      </c>
      <c r="H248" s="82" t="str">
        <f>VLOOKUP(G248,MetaData!$A$2:$C$13,3,false)</f>
        <v>Dian Hairunnisa, S.Pd</v>
      </c>
      <c r="I248" s="82" t="s">
        <v>642</v>
      </c>
      <c r="J248" s="82" t="str">
        <f>VLOOKUP(I248,MetaData!$E$2:$G$40,3,false)</f>
        <v>Shafa</v>
      </c>
      <c r="K248" s="83"/>
    </row>
    <row r="249" ht="15.75" customHeight="1">
      <c r="A249" s="84">
        <v>292.0</v>
      </c>
      <c r="B249" s="77">
        <v>2.0</v>
      </c>
      <c r="C249" s="77" t="s">
        <v>1029</v>
      </c>
      <c r="D249" s="77">
        <v>2.52610017E8</v>
      </c>
      <c r="E249" s="78" t="s">
        <v>273</v>
      </c>
      <c r="F249" s="77" t="s">
        <v>782</v>
      </c>
      <c r="G249" s="79" t="s">
        <v>52</v>
      </c>
      <c r="H249" s="79" t="str">
        <f>VLOOKUP(G249,MetaData!$A$2:$C$13,3,false)</f>
        <v>Dian Hairunnisa, S.Pd</v>
      </c>
      <c r="I249" s="79" t="s">
        <v>272</v>
      </c>
      <c r="J249" s="79" t="str">
        <f>VLOOKUP(I249,MetaData!$E$2:$G$40,3,false)</f>
        <v>Rizza Al-Farisi</v>
      </c>
      <c r="K249" s="80"/>
    </row>
    <row r="250" ht="15.75" customHeight="1">
      <c r="A250" s="85">
        <v>293.0</v>
      </c>
      <c r="B250" s="77">
        <v>3.0</v>
      </c>
      <c r="C250" s="77" t="s">
        <v>1030</v>
      </c>
      <c r="D250" s="77">
        <v>2.52610025E8</v>
      </c>
      <c r="E250" s="78" t="s">
        <v>644</v>
      </c>
      <c r="F250" s="77" t="s">
        <v>784</v>
      </c>
      <c r="G250" s="82" t="s">
        <v>52</v>
      </c>
      <c r="H250" s="82" t="str">
        <f>VLOOKUP(G250,MetaData!$A$2:$C$13,3,false)</f>
        <v>Dian Hairunnisa, S.Pd</v>
      </c>
      <c r="I250" s="82" t="s">
        <v>642</v>
      </c>
      <c r="J250" s="82" t="str">
        <f>VLOOKUP(I250,MetaData!$E$2:$G$40,3,false)</f>
        <v>Shafa</v>
      </c>
      <c r="K250" s="83"/>
    </row>
    <row r="251" ht="15.75" customHeight="1">
      <c r="A251" s="84">
        <v>294.0</v>
      </c>
      <c r="B251" s="77">
        <v>4.0</v>
      </c>
      <c r="C251" s="77" t="s">
        <v>1031</v>
      </c>
      <c r="D251" s="77">
        <v>2.52610044E8</v>
      </c>
      <c r="E251" s="78" t="s">
        <v>645</v>
      </c>
      <c r="F251" s="77" t="s">
        <v>784</v>
      </c>
      <c r="G251" s="79" t="s">
        <v>52</v>
      </c>
      <c r="H251" s="79" t="str">
        <f>VLOOKUP(G251,MetaData!$A$2:$C$13,3,false)</f>
        <v>Dian Hairunnisa, S.Pd</v>
      </c>
      <c r="I251" s="79" t="s">
        <v>642</v>
      </c>
      <c r="J251" s="79" t="str">
        <f>VLOOKUP(I251,MetaData!$E$2:$G$40,3,false)</f>
        <v>Shafa</v>
      </c>
      <c r="K251" s="80"/>
    </row>
    <row r="252" ht="15.75" customHeight="1">
      <c r="A252" s="85">
        <v>295.0</v>
      </c>
      <c r="B252" s="77">
        <v>5.0</v>
      </c>
      <c r="C252" s="77" t="s">
        <v>1032</v>
      </c>
      <c r="D252" s="77">
        <v>2.52610051E8</v>
      </c>
      <c r="E252" s="78" t="s">
        <v>646</v>
      </c>
      <c r="F252" s="77" t="s">
        <v>784</v>
      </c>
      <c r="G252" s="82" t="s">
        <v>52</v>
      </c>
      <c r="H252" s="82" t="str">
        <f>VLOOKUP(G252,MetaData!$A$2:$C$13,3,false)</f>
        <v>Dian Hairunnisa, S.Pd</v>
      </c>
      <c r="I252" s="82" t="s">
        <v>642</v>
      </c>
      <c r="J252" s="82" t="str">
        <f>VLOOKUP(I252,MetaData!$E$2:$G$40,3,false)</f>
        <v>Shafa</v>
      </c>
      <c r="K252" s="83"/>
    </row>
    <row r="253" ht="15.75" customHeight="1">
      <c r="A253" s="84">
        <v>296.0</v>
      </c>
      <c r="B253" s="77">
        <v>6.0</v>
      </c>
      <c r="C253" s="77" t="s">
        <v>1033</v>
      </c>
      <c r="D253" s="77">
        <v>2.52610064E8</v>
      </c>
      <c r="E253" s="78" t="s">
        <v>647</v>
      </c>
      <c r="F253" s="77" t="s">
        <v>784</v>
      </c>
      <c r="G253" s="79" t="s">
        <v>52</v>
      </c>
      <c r="H253" s="79" t="str">
        <f>VLOOKUP(G253,MetaData!$A$2:$C$13,3,false)</f>
        <v>Dian Hairunnisa, S.Pd</v>
      </c>
      <c r="I253" s="79" t="s">
        <v>642</v>
      </c>
      <c r="J253" s="79" t="str">
        <f>VLOOKUP(I253,MetaData!$E$2:$G$40,3,false)</f>
        <v>Shafa</v>
      </c>
      <c r="K253" s="80"/>
    </row>
    <row r="254" ht="15.75" customHeight="1">
      <c r="A254" s="85">
        <v>297.0</v>
      </c>
      <c r="B254" s="77">
        <v>7.0</v>
      </c>
      <c r="C254" s="77" t="s">
        <v>1034</v>
      </c>
      <c r="D254" s="77">
        <v>2.52610113E8</v>
      </c>
      <c r="E254" s="78" t="s">
        <v>274</v>
      </c>
      <c r="F254" s="77" t="s">
        <v>782</v>
      </c>
      <c r="G254" s="82" t="s">
        <v>52</v>
      </c>
      <c r="H254" s="82" t="str">
        <f>VLOOKUP(G254,MetaData!$A$2:$C$13,3,false)</f>
        <v>Dian Hairunnisa, S.Pd</v>
      </c>
      <c r="I254" s="82" t="s">
        <v>272</v>
      </c>
      <c r="J254" s="82" t="str">
        <f>VLOOKUP(I254,MetaData!$E$2:$G$40,3,false)</f>
        <v>Rizza Al-Farisi</v>
      </c>
      <c r="K254" s="83"/>
    </row>
    <row r="255" ht="15.75" customHeight="1">
      <c r="A255" s="84">
        <v>298.0</v>
      </c>
      <c r="B255" s="77">
        <v>8.0</v>
      </c>
      <c r="C255" s="77" t="s">
        <v>1035</v>
      </c>
      <c r="D255" s="77">
        <v>2.5261014E8</v>
      </c>
      <c r="E255" s="78" t="s">
        <v>648</v>
      </c>
      <c r="F255" s="77" t="s">
        <v>784</v>
      </c>
      <c r="G255" s="79" t="s">
        <v>52</v>
      </c>
      <c r="H255" s="79" t="str">
        <f>VLOOKUP(G255,MetaData!$A$2:$C$13,3,false)</f>
        <v>Dian Hairunnisa, S.Pd</v>
      </c>
      <c r="I255" s="79" t="s">
        <v>642</v>
      </c>
      <c r="J255" s="79" t="str">
        <f>VLOOKUP(I255,MetaData!$E$2:$G$40,3,false)</f>
        <v>Shafa</v>
      </c>
      <c r="K255" s="80"/>
    </row>
    <row r="256" ht="15.75" customHeight="1">
      <c r="A256" s="85">
        <v>299.0</v>
      </c>
      <c r="B256" s="77">
        <v>9.0</v>
      </c>
      <c r="C256" s="77" t="s">
        <v>1036</v>
      </c>
      <c r="D256" s="77">
        <v>2.52610141E8</v>
      </c>
      <c r="E256" s="78" t="s">
        <v>649</v>
      </c>
      <c r="F256" s="77" t="s">
        <v>784</v>
      </c>
      <c r="G256" s="82" t="s">
        <v>52</v>
      </c>
      <c r="H256" s="82" t="str">
        <f>VLOOKUP(G256,MetaData!$A$2:$C$13,3,false)</f>
        <v>Dian Hairunnisa, S.Pd</v>
      </c>
      <c r="I256" s="82" t="s">
        <v>642</v>
      </c>
      <c r="J256" s="82" t="str">
        <f>VLOOKUP(I256,MetaData!$E$2:$G$40,3,false)</f>
        <v>Shafa</v>
      </c>
      <c r="K256" s="83"/>
    </row>
    <row r="257" ht="15.75" customHeight="1">
      <c r="A257" s="84">
        <v>300.0</v>
      </c>
      <c r="B257" s="77">
        <v>10.0</v>
      </c>
      <c r="C257" s="77" t="s">
        <v>1037</v>
      </c>
      <c r="D257" s="77">
        <v>2.52610144E8</v>
      </c>
      <c r="E257" s="78" t="s">
        <v>225</v>
      </c>
      <c r="F257" s="77" t="s">
        <v>782</v>
      </c>
      <c r="G257" s="79" t="s">
        <v>52</v>
      </c>
      <c r="H257" s="79" t="str">
        <f>VLOOKUP(G257,MetaData!$A$2:$C$13,3,false)</f>
        <v>Dian Hairunnisa, S.Pd</v>
      </c>
      <c r="I257" s="79" t="s">
        <v>220</v>
      </c>
      <c r="J257" s="79" t="str">
        <f>VLOOKUP(I257,MetaData!$E$2:$G$40,3,false)</f>
        <v>Rekhsa</v>
      </c>
      <c r="K257" s="80"/>
    </row>
    <row r="258" ht="15.75" customHeight="1">
      <c r="A258" s="85">
        <v>301.0</v>
      </c>
      <c r="B258" s="77">
        <v>11.0</v>
      </c>
      <c r="C258" s="77" t="s">
        <v>1038</v>
      </c>
      <c r="D258" s="77">
        <v>2.52610156E8</v>
      </c>
      <c r="E258" s="78" t="s">
        <v>650</v>
      </c>
      <c r="F258" s="77" t="s">
        <v>784</v>
      </c>
      <c r="G258" s="82" t="s">
        <v>52</v>
      </c>
      <c r="H258" s="82" t="str">
        <f>VLOOKUP(G258,MetaData!$A$2:$C$13,3,false)</f>
        <v>Dian Hairunnisa, S.Pd</v>
      </c>
      <c r="I258" s="82" t="s">
        <v>642</v>
      </c>
      <c r="J258" s="82" t="str">
        <f>VLOOKUP(I258,MetaData!$E$2:$G$40,3,false)</f>
        <v>Shafa</v>
      </c>
      <c r="K258" s="83"/>
    </row>
    <row r="259" ht="15.75" customHeight="1">
      <c r="A259" s="84">
        <v>302.0</v>
      </c>
      <c r="B259" s="77">
        <v>12.0</v>
      </c>
      <c r="C259" s="77" t="s">
        <v>1039</v>
      </c>
      <c r="D259" s="77">
        <v>2.52610159E8</v>
      </c>
      <c r="E259" s="78" t="s">
        <v>651</v>
      </c>
      <c r="F259" s="77" t="s">
        <v>784</v>
      </c>
      <c r="G259" s="79" t="s">
        <v>52</v>
      </c>
      <c r="H259" s="79" t="str">
        <f>VLOOKUP(G259,MetaData!$A$2:$C$13,3,false)</f>
        <v>Dian Hairunnisa, S.Pd</v>
      </c>
      <c r="I259" s="79" t="s">
        <v>642</v>
      </c>
      <c r="J259" s="79" t="str">
        <f>VLOOKUP(I259,MetaData!$E$2:$G$40,3,false)</f>
        <v>Shafa</v>
      </c>
      <c r="K259" s="80"/>
    </row>
    <row r="260" ht="15.75" customHeight="1">
      <c r="A260" s="85">
        <v>303.0</v>
      </c>
      <c r="B260" s="77">
        <v>13.0</v>
      </c>
      <c r="C260" s="77" t="s">
        <v>1040</v>
      </c>
      <c r="D260" s="77">
        <v>2.52610179E8</v>
      </c>
      <c r="E260" s="78" t="s">
        <v>652</v>
      </c>
      <c r="F260" s="77" t="s">
        <v>784</v>
      </c>
      <c r="G260" s="82" t="s">
        <v>52</v>
      </c>
      <c r="H260" s="82" t="str">
        <f>VLOOKUP(G260,MetaData!$A$2:$C$13,3,false)</f>
        <v>Dian Hairunnisa, S.Pd</v>
      </c>
      <c r="I260" s="82" t="s">
        <v>642</v>
      </c>
      <c r="J260" s="82" t="str">
        <f>VLOOKUP(I260,MetaData!$E$2:$G$40,3,false)</f>
        <v>Shafa</v>
      </c>
      <c r="K260" s="83"/>
    </row>
    <row r="261" ht="15.75" customHeight="1">
      <c r="A261" s="84">
        <v>304.0</v>
      </c>
      <c r="B261" s="77">
        <v>15.0</v>
      </c>
      <c r="C261" s="77" t="s">
        <v>1041</v>
      </c>
      <c r="D261" s="77">
        <v>2.52610197E8</v>
      </c>
      <c r="E261" s="78" t="s">
        <v>226</v>
      </c>
      <c r="F261" s="77" t="s">
        <v>782</v>
      </c>
      <c r="G261" s="79" t="s">
        <v>52</v>
      </c>
      <c r="H261" s="79" t="str">
        <f>VLOOKUP(G261,MetaData!$A$2:$C$13,3,false)</f>
        <v>Dian Hairunnisa, S.Pd</v>
      </c>
      <c r="I261" s="79" t="s">
        <v>220</v>
      </c>
      <c r="J261" s="79" t="str">
        <f>VLOOKUP(I261,MetaData!$E$2:$G$40,3,false)</f>
        <v>Rekhsa</v>
      </c>
      <c r="K261" s="80"/>
    </row>
    <row r="262" ht="15.75" customHeight="1">
      <c r="A262" s="85">
        <v>305.0</v>
      </c>
      <c r="B262" s="77">
        <v>16.0</v>
      </c>
      <c r="C262" s="77" t="s">
        <v>1042</v>
      </c>
      <c r="D262" s="77">
        <v>2.526102E8</v>
      </c>
      <c r="E262" s="78" t="s">
        <v>275</v>
      </c>
      <c r="F262" s="77" t="s">
        <v>782</v>
      </c>
      <c r="G262" s="82" t="s">
        <v>52</v>
      </c>
      <c r="H262" s="82" t="str">
        <f>VLOOKUP(G262,MetaData!$A$2:$C$13,3,false)</f>
        <v>Dian Hairunnisa, S.Pd</v>
      </c>
      <c r="I262" s="82" t="s">
        <v>272</v>
      </c>
      <c r="J262" s="82" t="str">
        <f>VLOOKUP(I262,MetaData!$E$2:$G$40,3,false)</f>
        <v>Rizza Al-Farisi</v>
      </c>
      <c r="K262" s="83"/>
    </row>
    <row r="263" ht="15.75" customHeight="1">
      <c r="A263" s="84">
        <v>306.0</v>
      </c>
      <c r="B263" s="77">
        <v>17.0</v>
      </c>
      <c r="C263" s="77" t="s">
        <v>1043</v>
      </c>
      <c r="D263" s="77">
        <v>2.52610221E8</v>
      </c>
      <c r="E263" s="78" t="s">
        <v>653</v>
      </c>
      <c r="F263" s="77" t="s">
        <v>784</v>
      </c>
      <c r="G263" s="79" t="s">
        <v>52</v>
      </c>
      <c r="H263" s="79" t="str">
        <f>VLOOKUP(G263,MetaData!$A$2:$C$13,3,false)</f>
        <v>Dian Hairunnisa, S.Pd</v>
      </c>
      <c r="I263" s="79" t="s">
        <v>642</v>
      </c>
      <c r="J263" s="79" t="str">
        <f>VLOOKUP(I263,MetaData!$E$2:$G$40,3,false)</f>
        <v>Shafa</v>
      </c>
      <c r="K263" s="80"/>
    </row>
    <row r="264" ht="15.75" customHeight="1">
      <c r="A264" s="85">
        <v>307.0</v>
      </c>
      <c r="B264" s="77">
        <v>18.0</v>
      </c>
      <c r="C264" s="77" t="s">
        <v>1044</v>
      </c>
      <c r="D264" s="77">
        <v>2.52610225E8</v>
      </c>
      <c r="E264" s="78" t="s">
        <v>276</v>
      </c>
      <c r="F264" s="77" t="s">
        <v>782</v>
      </c>
      <c r="G264" s="82" t="s">
        <v>52</v>
      </c>
      <c r="H264" s="82" t="str">
        <f>VLOOKUP(G264,MetaData!$A$2:$C$13,3,false)</f>
        <v>Dian Hairunnisa, S.Pd</v>
      </c>
      <c r="I264" s="82" t="s">
        <v>272</v>
      </c>
      <c r="J264" s="82" t="str">
        <f>VLOOKUP(I264,MetaData!$E$2:$G$40,3,false)</f>
        <v>Rizza Al-Farisi</v>
      </c>
      <c r="K264" s="83"/>
    </row>
    <row r="265" ht="15.75" customHeight="1">
      <c r="A265" s="84">
        <v>308.0</v>
      </c>
      <c r="B265" s="77">
        <v>19.0</v>
      </c>
      <c r="C265" s="77" t="s">
        <v>1045</v>
      </c>
      <c r="D265" s="77">
        <v>2.52610252E8</v>
      </c>
      <c r="E265" s="78" t="s">
        <v>277</v>
      </c>
      <c r="F265" s="77" t="s">
        <v>782</v>
      </c>
      <c r="G265" s="79" t="s">
        <v>52</v>
      </c>
      <c r="H265" s="79" t="str">
        <f>VLOOKUP(G265,MetaData!$A$2:$C$13,3,false)</f>
        <v>Dian Hairunnisa, S.Pd</v>
      </c>
      <c r="I265" s="79" t="s">
        <v>272</v>
      </c>
      <c r="J265" s="79" t="str">
        <f>VLOOKUP(I265,MetaData!$E$2:$G$40,3,false)</f>
        <v>Rizza Al-Farisi</v>
      </c>
      <c r="K265" s="80"/>
    </row>
    <row r="266" ht="15.75" customHeight="1">
      <c r="A266" s="85">
        <v>309.0</v>
      </c>
      <c r="B266" s="77">
        <v>20.0</v>
      </c>
      <c r="C266" s="77" t="s">
        <v>1046</v>
      </c>
      <c r="D266" s="77">
        <v>2.52610254E8</v>
      </c>
      <c r="E266" s="78" t="s">
        <v>654</v>
      </c>
      <c r="F266" s="77" t="s">
        <v>784</v>
      </c>
      <c r="G266" s="82" t="s">
        <v>52</v>
      </c>
      <c r="H266" s="82" t="str">
        <f>VLOOKUP(G266,MetaData!$A$2:$C$13,3,false)</f>
        <v>Dian Hairunnisa, S.Pd</v>
      </c>
      <c r="I266" s="82" t="s">
        <v>642</v>
      </c>
      <c r="J266" s="82" t="str">
        <f>VLOOKUP(I266,MetaData!$E$2:$G$40,3,false)</f>
        <v>Shafa</v>
      </c>
      <c r="K266" s="83"/>
    </row>
    <row r="267" ht="15.75" customHeight="1">
      <c r="A267" s="84">
        <v>310.0</v>
      </c>
      <c r="B267" s="77">
        <v>21.0</v>
      </c>
      <c r="C267" s="77" t="s">
        <v>1047</v>
      </c>
      <c r="D267" s="77">
        <v>2.52610264E8</v>
      </c>
      <c r="E267" s="78" t="s">
        <v>655</v>
      </c>
      <c r="F267" s="77" t="s">
        <v>784</v>
      </c>
      <c r="G267" s="79" t="s">
        <v>52</v>
      </c>
      <c r="H267" s="79" t="str">
        <f>VLOOKUP(G267,MetaData!$A$2:$C$13,3,false)</f>
        <v>Dian Hairunnisa, S.Pd</v>
      </c>
      <c r="I267" s="79" t="s">
        <v>642</v>
      </c>
      <c r="J267" s="79" t="str">
        <f>VLOOKUP(I267,MetaData!$E$2:$G$40,3,false)</f>
        <v>Shafa</v>
      </c>
      <c r="K267" s="80"/>
    </row>
    <row r="268" ht="15.75" customHeight="1">
      <c r="A268" s="85">
        <v>311.0</v>
      </c>
      <c r="B268" s="77">
        <v>22.0</v>
      </c>
      <c r="C268" s="77" t="s">
        <v>1048</v>
      </c>
      <c r="D268" s="77">
        <v>2.52610268E8</v>
      </c>
      <c r="E268" s="78" t="s">
        <v>656</v>
      </c>
      <c r="F268" s="77" t="s">
        <v>784</v>
      </c>
      <c r="G268" s="82" t="s">
        <v>52</v>
      </c>
      <c r="H268" s="82" t="str">
        <f>VLOOKUP(G268,MetaData!$A$2:$C$13,3,false)</f>
        <v>Dian Hairunnisa, S.Pd</v>
      </c>
      <c r="I268" s="82" t="s">
        <v>642</v>
      </c>
      <c r="J268" s="82" t="str">
        <f>VLOOKUP(I268,MetaData!$E$2:$G$40,3,false)</f>
        <v>Shafa</v>
      </c>
      <c r="K268" s="83"/>
    </row>
    <row r="269" ht="15.75" customHeight="1">
      <c r="A269" s="84">
        <v>312.0</v>
      </c>
      <c r="B269" s="77">
        <v>23.0</v>
      </c>
      <c r="C269" s="77" t="s">
        <v>1049</v>
      </c>
      <c r="D269" s="77">
        <v>2.52610284E8</v>
      </c>
      <c r="E269" s="78" t="s">
        <v>486</v>
      </c>
      <c r="F269" s="77" t="s">
        <v>784</v>
      </c>
      <c r="G269" s="79" t="s">
        <v>52</v>
      </c>
      <c r="H269" s="79" t="str">
        <f>VLOOKUP(G269,MetaData!$A$2:$C$13,3,false)</f>
        <v>Dian Hairunnisa, S.Pd</v>
      </c>
      <c r="I269" s="79" t="s">
        <v>485</v>
      </c>
      <c r="J269" s="79" t="str">
        <f>VLOOKUP(I269,MetaData!$E$2:$G$40,3,false)</f>
        <v>Desya (XI)</v>
      </c>
      <c r="K269" s="80"/>
    </row>
    <row r="270" ht="15.75" customHeight="1">
      <c r="A270" s="85">
        <v>313.0</v>
      </c>
      <c r="B270" s="77">
        <v>24.0</v>
      </c>
      <c r="C270" s="77" t="s">
        <v>1050</v>
      </c>
      <c r="D270" s="77">
        <v>2.52610291E8</v>
      </c>
      <c r="E270" s="78" t="s">
        <v>487</v>
      </c>
      <c r="F270" s="77" t="s">
        <v>784</v>
      </c>
      <c r="G270" s="82" t="s">
        <v>52</v>
      </c>
      <c r="H270" s="82" t="str">
        <f>VLOOKUP(G270,MetaData!$A$2:$C$13,3,false)</f>
        <v>Dian Hairunnisa, S.Pd</v>
      </c>
      <c r="I270" s="82" t="s">
        <v>485</v>
      </c>
      <c r="J270" s="82" t="str">
        <f>VLOOKUP(I270,MetaData!$E$2:$G$40,3,false)</f>
        <v>Desya (XI)</v>
      </c>
      <c r="K270" s="83"/>
    </row>
    <row r="271" ht="15.75" customHeight="1">
      <c r="A271" s="84">
        <v>314.0</v>
      </c>
      <c r="B271" s="77">
        <v>25.0</v>
      </c>
      <c r="C271" s="77" t="s">
        <v>1051</v>
      </c>
      <c r="D271" s="77">
        <v>2.526103E8</v>
      </c>
      <c r="E271" s="78" t="s">
        <v>278</v>
      </c>
      <c r="F271" s="77" t="s">
        <v>782</v>
      </c>
      <c r="G271" s="79" t="s">
        <v>52</v>
      </c>
      <c r="H271" s="79" t="str">
        <f>VLOOKUP(G271,MetaData!$A$2:$C$13,3,false)</f>
        <v>Dian Hairunnisa, S.Pd</v>
      </c>
      <c r="I271" s="79" t="s">
        <v>272</v>
      </c>
      <c r="J271" s="79" t="str">
        <f>VLOOKUP(I271,MetaData!$E$2:$G$40,3,false)</f>
        <v>Rizza Al-Farisi</v>
      </c>
      <c r="K271" s="80"/>
    </row>
    <row r="272" ht="15.75" customHeight="1">
      <c r="A272" s="85">
        <v>315.0</v>
      </c>
      <c r="B272" s="77">
        <v>26.0</v>
      </c>
      <c r="C272" s="77" t="s">
        <v>1052</v>
      </c>
      <c r="D272" s="77">
        <v>2.52610318E8</v>
      </c>
      <c r="E272" s="78" t="s">
        <v>279</v>
      </c>
      <c r="F272" s="77" t="s">
        <v>782</v>
      </c>
      <c r="G272" s="82" t="s">
        <v>52</v>
      </c>
      <c r="H272" s="82" t="str">
        <f>VLOOKUP(G272,MetaData!$A$2:$C$13,3,false)</f>
        <v>Dian Hairunnisa, S.Pd</v>
      </c>
      <c r="I272" s="82" t="s">
        <v>272</v>
      </c>
      <c r="J272" s="82" t="str">
        <f>VLOOKUP(I272,MetaData!$E$2:$G$40,3,false)</f>
        <v>Rizza Al-Farisi</v>
      </c>
      <c r="K272" s="83"/>
    </row>
    <row r="273" ht="15.75" customHeight="1">
      <c r="A273" s="84">
        <v>316.0</v>
      </c>
      <c r="B273" s="77">
        <v>27.0</v>
      </c>
      <c r="C273" s="77" t="s">
        <v>1053</v>
      </c>
      <c r="D273" s="77">
        <v>2.52610333E8</v>
      </c>
      <c r="E273" s="78" t="s">
        <v>280</v>
      </c>
      <c r="F273" s="77" t="s">
        <v>782</v>
      </c>
      <c r="G273" s="79" t="s">
        <v>52</v>
      </c>
      <c r="H273" s="79" t="str">
        <f>VLOOKUP(G273,MetaData!$A$2:$C$13,3,false)</f>
        <v>Dian Hairunnisa, S.Pd</v>
      </c>
      <c r="I273" s="79" t="s">
        <v>272</v>
      </c>
      <c r="J273" s="79" t="str">
        <f>VLOOKUP(I273,MetaData!$E$2:$G$40,3,false)</f>
        <v>Rizza Al-Farisi</v>
      </c>
      <c r="K273" s="80"/>
    </row>
    <row r="274" ht="15.75" customHeight="1">
      <c r="A274" s="85">
        <v>317.0</v>
      </c>
      <c r="B274" s="77">
        <v>28.0</v>
      </c>
      <c r="C274" s="77" t="s">
        <v>1054</v>
      </c>
      <c r="D274" s="77">
        <v>2.5261034E8</v>
      </c>
      <c r="E274" s="78" t="s">
        <v>281</v>
      </c>
      <c r="F274" s="77" t="s">
        <v>782</v>
      </c>
      <c r="G274" s="82" t="s">
        <v>52</v>
      </c>
      <c r="H274" s="82" t="str">
        <f>VLOOKUP(G274,MetaData!$A$2:$C$13,3,false)</f>
        <v>Dian Hairunnisa, S.Pd</v>
      </c>
      <c r="I274" s="82" t="s">
        <v>272</v>
      </c>
      <c r="J274" s="82" t="str">
        <f>VLOOKUP(I274,MetaData!$E$2:$G$40,3,false)</f>
        <v>Rizza Al-Farisi</v>
      </c>
      <c r="K274" s="83"/>
    </row>
    <row r="275" ht="15.75" customHeight="1">
      <c r="A275" s="84">
        <v>318.0</v>
      </c>
      <c r="B275" s="77">
        <v>29.0</v>
      </c>
      <c r="C275" s="77" t="s">
        <v>1055</v>
      </c>
      <c r="D275" s="77">
        <v>2.52610345E8</v>
      </c>
      <c r="E275" s="78" t="s">
        <v>282</v>
      </c>
      <c r="F275" s="77" t="s">
        <v>782</v>
      </c>
      <c r="G275" s="79" t="s">
        <v>52</v>
      </c>
      <c r="H275" s="79" t="str">
        <f>VLOOKUP(G275,MetaData!$A$2:$C$13,3,false)</f>
        <v>Dian Hairunnisa, S.Pd</v>
      </c>
      <c r="I275" s="79" t="s">
        <v>272</v>
      </c>
      <c r="J275" s="79" t="str">
        <f>VLOOKUP(I275,MetaData!$E$2:$G$40,3,false)</f>
        <v>Rizza Al-Farisi</v>
      </c>
      <c r="K275" s="80"/>
    </row>
    <row r="276" ht="15.75" customHeight="1">
      <c r="A276" s="85">
        <v>319.0</v>
      </c>
      <c r="B276" s="77">
        <v>30.0</v>
      </c>
      <c r="C276" s="77" t="s">
        <v>1056</v>
      </c>
      <c r="D276" s="77">
        <v>2.52610352E8</v>
      </c>
      <c r="E276" s="78" t="s">
        <v>283</v>
      </c>
      <c r="F276" s="77" t="s">
        <v>782</v>
      </c>
      <c r="G276" s="82" t="s">
        <v>52</v>
      </c>
      <c r="H276" s="82" t="str">
        <f>VLOOKUP(G276,MetaData!$A$2:$C$13,3,false)</f>
        <v>Dian Hairunnisa, S.Pd</v>
      </c>
      <c r="I276" s="82" t="s">
        <v>272</v>
      </c>
      <c r="J276" s="82" t="str">
        <f>VLOOKUP(I276,MetaData!$E$2:$G$40,3,false)</f>
        <v>Rizza Al-Farisi</v>
      </c>
      <c r="K276" s="83"/>
    </row>
    <row r="277" ht="15.75" customHeight="1">
      <c r="A277" s="84">
        <v>320.0</v>
      </c>
      <c r="B277" s="77">
        <v>31.0</v>
      </c>
      <c r="C277" s="77" t="s">
        <v>1057</v>
      </c>
      <c r="D277" s="77">
        <v>2.52610354E8</v>
      </c>
      <c r="E277" s="78" t="s">
        <v>284</v>
      </c>
      <c r="F277" s="77" t="s">
        <v>782</v>
      </c>
      <c r="G277" s="79" t="s">
        <v>52</v>
      </c>
      <c r="H277" s="79" t="str">
        <f>VLOOKUP(G277,MetaData!$A$2:$C$13,3,false)</f>
        <v>Dian Hairunnisa, S.Pd</v>
      </c>
      <c r="I277" s="79" t="s">
        <v>272</v>
      </c>
      <c r="J277" s="79" t="str">
        <f>VLOOKUP(I277,MetaData!$E$2:$G$40,3,false)</f>
        <v>Rizza Al-Farisi</v>
      </c>
      <c r="K277" s="80"/>
    </row>
    <row r="278" ht="15.75" customHeight="1">
      <c r="A278" s="85">
        <v>321.0</v>
      </c>
      <c r="B278" s="77">
        <v>32.0</v>
      </c>
      <c r="C278" s="77" t="s">
        <v>1058</v>
      </c>
      <c r="D278" s="77">
        <v>2.52610383E8</v>
      </c>
      <c r="E278" s="78" t="s">
        <v>488</v>
      </c>
      <c r="F278" s="77" t="s">
        <v>784</v>
      </c>
      <c r="G278" s="82" t="s">
        <v>52</v>
      </c>
      <c r="H278" s="82" t="str">
        <f>VLOOKUP(G278,MetaData!$A$2:$C$13,3,false)</f>
        <v>Dian Hairunnisa, S.Pd</v>
      </c>
      <c r="I278" s="82" t="s">
        <v>485</v>
      </c>
      <c r="J278" s="82" t="str">
        <f>VLOOKUP(I278,MetaData!$E$2:$G$40,3,false)</f>
        <v>Desya (XI)</v>
      </c>
      <c r="K278" s="83"/>
    </row>
    <row r="279" ht="15.75" customHeight="1">
      <c r="A279" s="84">
        <v>322.0</v>
      </c>
      <c r="B279" s="77">
        <v>33.0</v>
      </c>
      <c r="C279" s="77" t="s">
        <v>1059</v>
      </c>
      <c r="D279" s="77">
        <v>2.52610389E8</v>
      </c>
      <c r="E279" s="78" t="s">
        <v>489</v>
      </c>
      <c r="F279" s="77" t="s">
        <v>784</v>
      </c>
      <c r="G279" s="79" t="s">
        <v>52</v>
      </c>
      <c r="H279" s="79" t="str">
        <f>VLOOKUP(G279,MetaData!$A$2:$C$13,3,false)</f>
        <v>Dian Hairunnisa, S.Pd</v>
      </c>
      <c r="I279" s="79" t="s">
        <v>485</v>
      </c>
      <c r="J279" s="79" t="str">
        <f>VLOOKUP(I279,MetaData!$E$2:$G$40,3,false)</f>
        <v>Desya (XI)</v>
      </c>
      <c r="K279" s="80"/>
    </row>
    <row r="280" ht="15.75" customHeight="1">
      <c r="A280" s="85">
        <v>323.0</v>
      </c>
      <c r="B280" s="77">
        <v>34.0</v>
      </c>
      <c r="C280" s="77" t="s">
        <v>1060</v>
      </c>
      <c r="D280" s="77">
        <v>2.52610404E8</v>
      </c>
      <c r="E280" s="78" t="s">
        <v>490</v>
      </c>
      <c r="F280" s="77" t="s">
        <v>784</v>
      </c>
      <c r="G280" s="82" t="s">
        <v>52</v>
      </c>
      <c r="H280" s="82" t="str">
        <f>VLOOKUP(G280,MetaData!$A$2:$C$13,3,false)</f>
        <v>Dian Hairunnisa, S.Pd</v>
      </c>
      <c r="I280" s="82" t="s">
        <v>485</v>
      </c>
      <c r="J280" s="82" t="str">
        <f>VLOOKUP(I280,MetaData!$E$2:$G$40,3,false)</f>
        <v>Desya (XI)</v>
      </c>
      <c r="K280" s="83"/>
    </row>
    <row r="281" ht="15.75" customHeight="1">
      <c r="A281" s="84">
        <v>324.0</v>
      </c>
      <c r="B281" s="77">
        <v>35.0</v>
      </c>
      <c r="C281" s="77" t="s">
        <v>1061</v>
      </c>
      <c r="D281" s="77">
        <v>2.52610409E8</v>
      </c>
      <c r="E281" s="78" t="s">
        <v>491</v>
      </c>
      <c r="F281" s="77" t="s">
        <v>784</v>
      </c>
      <c r="G281" s="79" t="s">
        <v>52</v>
      </c>
      <c r="H281" s="79" t="str">
        <f>VLOOKUP(G281,MetaData!$A$2:$C$13,3,false)</f>
        <v>Dian Hairunnisa, S.Pd</v>
      </c>
      <c r="I281" s="79" t="s">
        <v>485</v>
      </c>
      <c r="J281" s="79" t="str">
        <f>VLOOKUP(I281,MetaData!$E$2:$G$40,3,false)</f>
        <v>Desya (XI)</v>
      </c>
      <c r="K281" s="80"/>
    </row>
    <row r="282" ht="15.75" customHeight="1">
      <c r="A282" s="85">
        <v>325.0</v>
      </c>
      <c r="B282" s="77">
        <v>36.0</v>
      </c>
      <c r="C282" s="77" t="s">
        <v>1062</v>
      </c>
      <c r="D282" s="77">
        <v>2.52610428E8</v>
      </c>
      <c r="E282" s="78" t="s">
        <v>492</v>
      </c>
      <c r="F282" s="77" t="s">
        <v>784</v>
      </c>
      <c r="G282" s="82" t="s">
        <v>52</v>
      </c>
      <c r="H282" s="82" t="str">
        <f>VLOOKUP(G282,MetaData!$A$2:$C$13,3,false)</f>
        <v>Dian Hairunnisa, S.Pd</v>
      </c>
      <c r="I282" s="82" t="s">
        <v>485</v>
      </c>
      <c r="J282" s="82" t="str">
        <f>VLOOKUP(I282,MetaData!$E$2:$G$40,3,false)</f>
        <v>Desya (XI)</v>
      </c>
      <c r="K282" s="83"/>
    </row>
    <row r="283" ht="15.75" customHeight="1">
      <c r="A283" s="84">
        <v>326.0</v>
      </c>
      <c r="B283" s="77">
        <v>37.0</v>
      </c>
      <c r="C283" s="77" t="s">
        <v>1063</v>
      </c>
      <c r="D283" s="77">
        <v>2.52610464E8</v>
      </c>
      <c r="E283" s="78" t="s">
        <v>440</v>
      </c>
      <c r="F283" s="77" t="s">
        <v>784</v>
      </c>
      <c r="G283" s="79" t="s">
        <v>52</v>
      </c>
      <c r="H283" s="79" t="str">
        <f>VLOOKUP(G283,MetaData!$A$2:$C$13,3,false)</f>
        <v>Dian Hairunnisa, S.Pd</v>
      </c>
      <c r="I283" s="79" t="s">
        <v>428</v>
      </c>
      <c r="J283" s="79" t="str">
        <f>VLOOKUP(I283,MetaData!$E$2:$G$40,3,false)</f>
        <v>Iga</v>
      </c>
      <c r="K283" s="80"/>
    </row>
    <row r="284" ht="15.75" customHeight="1">
      <c r="A284" s="85">
        <v>327.0</v>
      </c>
      <c r="B284" s="77">
        <v>38.0</v>
      </c>
      <c r="C284" s="77" t="s">
        <v>1064</v>
      </c>
      <c r="D284" s="77">
        <v>2.52610466E8</v>
      </c>
      <c r="E284" s="78" t="s">
        <v>493</v>
      </c>
      <c r="F284" s="77" t="s">
        <v>784</v>
      </c>
      <c r="G284" s="82" t="s">
        <v>52</v>
      </c>
      <c r="H284" s="82" t="str">
        <f>VLOOKUP(G284,MetaData!$A$2:$C$13,3,false)</f>
        <v>Dian Hairunnisa, S.Pd</v>
      </c>
      <c r="I284" s="82" t="s">
        <v>485</v>
      </c>
      <c r="J284" s="82" t="str">
        <f>VLOOKUP(I284,MetaData!$E$2:$G$40,3,false)</f>
        <v>Desya (XI)</v>
      </c>
      <c r="K284" s="83"/>
    </row>
    <row r="285" ht="15.75" customHeight="1">
      <c r="A285" s="84">
        <v>328.0</v>
      </c>
      <c r="B285" s="77">
        <v>39.0</v>
      </c>
      <c r="C285" s="77" t="s">
        <v>1065</v>
      </c>
      <c r="D285" s="77">
        <v>2.52610468E8</v>
      </c>
      <c r="E285" s="78" t="s">
        <v>494</v>
      </c>
      <c r="F285" s="77" t="s">
        <v>784</v>
      </c>
      <c r="G285" s="79" t="s">
        <v>52</v>
      </c>
      <c r="H285" s="79" t="str">
        <f>VLOOKUP(G285,MetaData!$A$2:$C$13,3,false)</f>
        <v>Dian Hairunnisa, S.Pd</v>
      </c>
      <c r="I285" s="79" t="s">
        <v>485</v>
      </c>
      <c r="J285" s="79" t="str">
        <f>VLOOKUP(I285,MetaData!$E$2:$G$40,3,false)</f>
        <v>Desya (XI)</v>
      </c>
      <c r="K285" s="80"/>
    </row>
    <row r="286" ht="15.75" customHeight="1">
      <c r="A286" s="85">
        <v>329.0</v>
      </c>
      <c r="B286" s="77">
        <v>40.0</v>
      </c>
      <c r="C286" s="77" t="s">
        <v>1066</v>
      </c>
      <c r="D286" s="77">
        <v>2.52610491E8</v>
      </c>
      <c r="E286" s="78" t="s">
        <v>495</v>
      </c>
      <c r="F286" s="77" t="s">
        <v>784</v>
      </c>
      <c r="G286" s="82" t="s">
        <v>52</v>
      </c>
      <c r="H286" s="82" t="str">
        <f>VLOOKUP(G286,MetaData!$A$2:$C$13,3,false)</f>
        <v>Dian Hairunnisa, S.Pd</v>
      </c>
      <c r="I286" s="82" t="s">
        <v>485</v>
      </c>
      <c r="J286" s="82" t="str">
        <f>VLOOKUP(I286,MetaData!$E$2:$G$40,3,false)</f>
        <v>Desya (XI)</v>
      </c>
      <c r="K286" s="83"/>
    </row>
    <row r="287" ht="15.75" customHeight="1">
      <c r="A287" s="84">
        <v>330.0</v>
      </c>
      <c r="B287" s="77">
        <v>41.0</v>
      </c>
      <c r="C287" s="77" t="s">
        <v>1067</v>
      </c>
      <c r="D287" s="77">
        <v>2.52610504E8</v>
      </c>
      <c r="E287" s="78" t="s">
        <v>285</v>
      </c>
      <c r="F287" s="77" t="s">
        <v>782</v>
      </c>
      <c r="G287" s="79" t="s">
        <v>52</v>
      </c>
      <c r="H287" s="79" t="str">
        <f>VLOOKUP(G287,MetaData!$A$2:$C$13,3,false)</f>
        <v>Dian Hairunnisa, S.Pd</v>
      </c>
      <c r="I287" s="79" t="s">
        <v>272</v>
      </c>
      <c r="J287" s="79" t="str">
        <f>VLOOKUP(I287,MetaData!$E$2:$G$40,3,false)</f>
        <v>Rizza Al-Farisi</v>
      </c>
      <c r="K287" s="80"/>
    </row>
    <row r="288" ht="15.75" customHeight="1">
      <c r="A288" s="85">
        <v>331.0</v>
      </c>
      <c r="B288" s="77">
        <v>42.0</v>
      </c>
      <c r="C288" s="77" t="s">
        <v>1068</v>
      </c>
      <c r="D288" s="77">
        <v>2.52610523E8</v>
      </c>
      <c r="E288" s="78" t="s">
        <v>496</v>
      </c>
      <c r="F288" s="77" t="s">
        <v>784</v>
      </c>
      <c r="G288" s="82" t="s">
        <v>52</v>
      </c>
      <c r="H288" s="82" t="str">
        <f>VLOOKUP(G288,MetaData!$A$2:$C$13,3,false)</f>
        <v>Dian Hairunnisa, S.Pd</v>
      </c>
      <c r="I288" s="82" t="s">
        <v>485</v>
      </c>
      <c r="J288" s="82" t="str">
        <f>VLOOKUP(I288,MetaData!$E$2:$G$40,3,false)</f>
        <v>Desya (XI)</v>
      </c>
      <c r="K288" s="83"/>
    </row>
    <row r="289" ht="15.75" customHeight="1">
      <c r="A289" s="84">
        <v>332.0</v>
      </c>
      <c r="B289" s="77">
        <v>43.0</v>
      </c>
      <c r="C289" s="77" t="s">
        <v>1069</v>
      </c>
      <c r="D289" s="77">
        <v>2.52610525E8</v>
      </c>
      <c r="E289" s="78" t="s">
        <v>286</v>
      </c>
      <c r="F289" s="77" t="s">
        <v>782</v>
      </c>
      <c r="G289" s="79" t="s">
        <v>52</v>
      </c>
      <c r="H289" s="79" t="str">
        <f>VLOOKUP(G289,MetaData!$A$2:$C$13,3,false)</f>
        <v>Dian Hairunnisa, S.Pd</v>
      </c>
      <c r="I289" s="79" t="s">
        <v>272</v>
      </c>
      <c r="J289" s="79" t="str">
        <f>VLOOKUP(I289,MetaData!$E$2:$G$40,3,false)</f>
        <v>Rizza Al-Farisi</v>
      </c>
      <c r="K289" s="80"/>
    </row>
    <row r="290" ht="15.75" customHeight="1">
      <c r="A290" s="85">
        <v>333.0</v>
      </c>
      <c r="B290" s="77">
        <v>44.0</v>
      </c>
      <c r="C290" s="77" t="s">
        <v>1070</v>
      </c>
      <c r="D290" s="77">
        <v>2.52610527E8</v>
      </c>
      <c r="E290" s="78" t="s">
        <v>497</v>
      </c>
      <c r="F290" s="77" t="s">
        <v>784</v>
      </c>
      <c r="G290" s="82" t="s">
        <v>52</v>
      </c>
      <c r="H290" s="82" t="str">
        <f>VLOOKUP(G290,MetaData!$A$2:$C$13,3,false)</f>
        <v>Dian Hairunnisa, S.Pd</v>
      </c>
      <c r="I290" s="82" t="s">
        <v>485</v>
      </c>
      <c r="J290" s="82" t="str">
        <f>VLOOKUP(I290,MetaData!$E$2:$G$40,3,false)</f>
        <v>Desya (XI)</v>
      </c>
      <c r="K290" s="83"/>
    </row>
    <row r="291" ht="15.75" customHeight="1">
      <c r="A291" s="84">
        <v>334.0</v>
      </c>
      <c r="B291" s="77">
        <v>45.0</v>
      </c>
      <c r="C291" s="77" t="s">
        <v>1071</v>
      </c>
      <c r="D291" s="77">
        <v>2.52610532E8</v>
      </c>
      <c r="E291" s="78" t="s">
        <v>498</v>
      </c>
      <c r="F291" s="77" t="s">
        <v>784</v>
      </c>
      <c r="G291" s="79" t="s">
        <v>52</v>
      </c>
      <c r="H291" s="79" t="str">
        <f>VLOOKUP(G291,MetaData!$A$2:$C$13,3,false)</f>
        <v>Dian Hairunnisa, S.Pd</v>
      </c>
      <c r="I291" s="79" t="s">
        <v>485</v>
      </c>
      <c r="J291" s="79" t="str">
        <f>VLOOKUP(I291,MetaData!$E$2:$G$40,3,false)</f>
        <v>Desya (XI)</v>
      </c>
      <c r="K291" s="80"/>
    </row>
    <row r="292" ht="15.75" customHeight="1">
      <c r="A292" s="85">
        <v>335.0</v>
      </c>
      <c r="B292" s="77">
        <v>46.0</v>
      </c>
      <c r="C292" s="77" t="s">
        <v>1072</v>
      </c>
      <c r="D292" s="77">
        <v>2.52610539E8</v>
      </c>
      <c r="E292" s="78" t="s">
        <v>287</v>
      </c>
      <c r="F292" s="77" t="s">
        <v>782</v>
      </c>
      <c r="G292" s="82" t="s">
        <v>52</v>
      </c>
      <c r="H292" s="82" t="str">
        <f>VLOOKUP(G292,MetaData!$A$2:$C$13,3,false)</f>
        <v>Dian Hairunnisa, S.Pd</v>
      </c>
      <c r="I292" s="82" t="s">
        <v>272</v>
      </c>
      <c r="J292" s="82" t="str">
        <f>VLOOKUP(I292,MetaData!$E$2:$G$40,3,false)</f>
        <v>Rizza Al-Farisi</v>
      </c>
      <c r="K292" s="83"/>
    </row>
    <row r="293" ht="15.75" customHeight="1">
      <c r="A293" s="84">
        <v>336.0</v>
      </c>
      <c r="B293" s="77">
        <v>47.0</v>
      </c>
      <c r="C293" s="77" t="s">
        <v>1073</v>
      </c>
      <c r="D293" s="77">
        <v>2.52610547E8</v>
      </c>
      <c r="E293" s="78" t="s">
        <v>288</v>
      </c>
      <c r="F293" s="77" t="s">
        <v>782</v>
      </c>
      <c r="G293" s="79" t="s">
        <v>52</v>
      </c>
      <c r="H293" s="79" t="str">
        <f>VLOOKUP(G293,MetaData!$A$2:$C$13,3,false)</f>
        <v>Dian Hairunnisa, S.Pd</v>
      </c>
      <c r="I293" s="79" t="s">
        <v>272</v>
      </c>
      <c r="J293" s="79" t="str">
        <f>VLOOKUP(I293,MetaData!$E$2:$G$40,3,false)</f>
        <v>Rizza Al-Farisi</v>
      </c>
      <c r="K293" s="80"/>
    </row>
    <row r="294" ht="15.75" customHeight="1">
      <c r="A294" s="85">
        <v>337.0</v>
      </c>
      <c r="B294" s="77">
        <v>48.0</v>
      </c>
      <c r="C294" s="77" t="s">
        <v>1074</v>
      </c>
      <c r="D294" s="77">
        <v>2.52610559E8</v>
      </c>
      <c r="E294" s="78" t="s">
        <v>499</v>
      </c>
      <c r="F294" s="77" t="s">
        <v>784</v>
      </c>
      <c r="G294" s="82" t="s">
        <v>52</v>
      </c>
      <c r="H294" s="82" t="str">
        <f>VLOOKUP(G294,MetaData!$A$2:$C$13,3,false)</f>
        <v>Dian Hairunnisa, S.Pd</v>
      </c>
      <c r="I294" s="82" t="s">
        <v>485</v>
      </c>
      <c r="J294" s="82" t="str">
        <f>VLOOKUP(I294,MetaData!$E$2:$G$40,3,false)</f>
        <v>Desya (XI)</v>
      </c>
      <c r="K294" s="83"/>
    </row>
    <row r="295" ht="15.75" customHeight="1">
      <c r="A295" s="76">
        <v>345.0</v>
      </c>
      <c r="B295" s="77">
        <v>1.0</v>
      </c>
      <c r="C295" s="77" t="s">
        <v>1075</v>
      </c>
      <c r="D295" s="77">
        <v>2.52610007E8</v>
      </c>
      <c r="E295" s="78" t="s">
        <v>628</v>
      </c>
      <c r="F295" s="77" t="s">
        <v>784</v>
      </c>
      <c r="G295" s="79" t="s">
        <v>58</v>
      </c>
      <c r="H295" s="79" t="str">
        <f>VLOOKUP(G295,MetaData!$A$2:$C$13,3,false)</f>
        <v>Fatmawati, S.Pd</v>
      </c>
      <c r="I295" s="79" t="s">
        <v>627</v>
      </c>
      <c r="J295" s="79" t="str">
        <f>VLOOKUP(I295,MetaData!$E$2:$G$40,3,false)</f>
        <v>Sakina</v>
      </c>
      <c r="K295" s="80"/>
    </row>
    <row r="296" ht="15.75" customHeight="1">
      <c r="A296" s="81">
        <v>346.0</v>
      </c>
      <c r="B296" s="77">
        <v>2.0</v>
      </c>
      <c r="C296" s="77" t="s">
        <v>1076</v>
      </c>
      <c r="D296" s="77">
        <v>2.52610028E8</v>
      </c>
      <c r="E296" s="78" t="s">
        <v>629</v>
      </c>
      <c r="F296" s="77" t="s">
        <v>784</v>
      </c>
      <c r="G296" s="82" t="s">
        <v>58</v>
      </c>
      <c r="H296" s="82" t="str">
        <f>VLOOKUP(G296,MetaData!$A$2:$C$13,3,false)</f>
        <v>Fatmawati, S.Pd</v>
      </c>
      <c r="I296" s="82" t="s">
        <v>627</v>
      </c>
      <c r="J296" s="82" t="str">
        <f>VLOOKUP(I296,MetaData!$E$2:$G$40,3,false)</f>
        <v>Sakina</v>
      </c>
      <c r="K296" s="83"/>
    </row>
    <row r="297" ht="15.75" customHeight="1">
      <c r="A297" s="76">
        <v>347.0</v>
      </c>
      <c r="B297" s="77">
        <v>3.0</v>
      </c>
      <c r="C297" s="77" t="s">
        <v>1077</v>
      </c>
      <c r="D297" s="77">
        <v>2.52610035E8</v>
      </c>
      <c r="E297" s="78" t="s">
        <v>630</v>
      </c>
      <c r="F297" s="77" t="s">
        <v>784</v>
      </c>
      <c r="G297" s="79" t="s">
        <v>58</v>
      </c>
      <c r="H297" s="79" t="str">
        <f>VLOOKUP(G297,MetaData!$A$2:$C$13,3,false)</f>
        <v>Fatmawati, S.Pd</v>
      </c>
      <c r="I297" s="79" t="s">
        <v>627</v>
      </c>
      <c r="J297" s="79" t="str">
        <f>VLOOKUP(I297,MetaData!$E$2:$G$40,3,false)</f>
        <v>Sakina</v>
      </c>
      <c r="K297" s="80"/>
    </row>
    <row r="298" ht="15.75" customHeight="1">
      <c r="A298" s="81">
        <v>348.0</v>
      </c>
      <c r="B298" s="77">
        <v>4.0</v>
      </c>
      <c r="C298" s="77" t="s">
        <v>1078</v>
      </c>
      <c r="D298" s="77">
        <v>2.5261004E8</v>
      </c>
      <c r="E298" s="78" t="s">
        <v>631</v>
      </c>
      <c r="F298" s="77" t="s">
        <v>784</v>
      </c>
      <c r="G298" s="82" t="s">
        <v>58</v>
      </c>
      <c r="H298" s="82" t="str">
        <f>VLOOKUP(G298,MetaData!$A$2:$C$13,3,false)</f>
        <v>Fatmawati, S.Pd</v>
      </c>
      <c r="I298" s="82" t="s">
        <v>627</v>
      </c>
      <c r="J298" s="82" t="str">
        <f>VLOOKUP(I298,MetaData!$E$2:$G$40,3,false)</f>
        <v>Sakina</v>
      </c>
      <c r="K298" s="83"/>
    </row>
    <row r="299" ht="15.75" customHeight="1">
      <c r="A299" s="76">
        <v>349.0</v>
      </c>
      <c r="B299" s="77">
        <v>5.0</v>
      </c>
      <c r="C299" s="77" t="s">
        <v>1079</v>
      </c>
      <c r="D299" s="77">
        <v>2.52610041E8</v>
      </c>
      <c r="E299" s="78" t="s">
        <v>632</v>
      </c>
      <c r="F299" s="77" t="s">
        <v>784</v>
      </c>
      <c r="G299" s="79" t="s">
        <v>58</v>
      </c>
      <c r="H299" s="79" t="str">
        <f>VLOOKUP(G299,MetaData!$A$2:$C$13,3,false)</f>
        <v>Fatmawati, S.Pd</v>
      </c>
      <c r="I299" s="79" t="s">
        <v>627</v>
      </c>
      <c r="J299" s="79" t="str">
        <f>VLOOKUP(I299,MetaData!$E$2:$G$40,3,false)</f>
        <v>Sakina</v>
      </c>
      <c r="K299" s="80"/>
    </row>
    <row r="300" ht="15.75" customHeight="1">
      <c r="A300" s="81">
        <v>350.0</v>
      </c>
      <c r="B300" s="77">
        <v>6.0</v>
      </c>
      <c r="C300" s="77" t="s">
        <v>1080</v>
      </c>
      <c r="D300" s="77">
        <v>2.52610061E8</v>
      </c>
      <c r="E300" s="78" t="s">
        <v>633</v>
      </c>
      <c r="F300" s="77" t="s">
        <v>784</v>
      </c>
      <c r="G300" s="82" t="s">
        <v>58</v>
      </c>
      <c r="H300" s="82" t="str">
        <f>VLOOKUP(G300,MetaData!$A$2:$C$13,3,false)</f>
        <v>Fatmawati, S.Pd</v>
      </c>
      <c r="I300" s="82" t="s">
        <v>627</v>
      </c>
      <c r="J300" s="82" t="str">
        <f>VLOOKUP(I300,MetaData!$E$2:$G$40,3,false)</f>
        <v>Sakina</v>
      </c>
      <c r="K300" s="83"/>
    </row>
    <row r="301" ht="15.75" customHeight="1">
      <c r="A301" s="76">
        <v>351.0</v>
      </c>
      <c r="B301" s="77">
        <v>7.0</v>
      </c>
      <c r="C301" s="77" t="s">
        <v>1081</v>
      </c>
      <c r="D301" s="77">
        <v>2.52610077E8</v>
      </c>
      <c r="E301" s="78" t="s">
        <v>634</v>
      </c>
      <c r="F301" s="77" t="s">
        <v>784</v>
      </c>
      <c r="G301" s="79" t="s">
        <v>58</v>
      </c>
      <c r="H301" s="79" t="str">
        <f>VLOOKUP(G301,MetaData!$A$2:$C$13,3,false)</f>
        <v>Fatmawati, S.Pd</v>
      </c>
      <c r="I301" s="79" t="s">
        <v>627</v>
      </c>
      <c r="J301" s="79" t="str">
        <f>VLOOKUP(I301,MetaData!$E$2:$G$40,3,false)</f>
        <v>Sakina</v>
      </c>
      <c r="K301" s="80"/>
    </row>
    <row r="302" ht="15.75" customHeight="1">
      <c r="A302" s="81">
        <v>352.0</v>
      </c>
      <c r="B302" s="77">
        <v>8.0</v>
      </c>
      <c r="C302" s="77" t="s">
        <v>1082</v>
      </c>
      <c r="D302" s="77">
        <v>2.52610097E8</v>
      </c>
      <c r="E302" s="78" t="s">
        <v>635</v>
      </c>
      <c r="F302" s="77" t="s">
        <v>784</v>
      </c>
      <c r="G302" s="82" t="s">
        <v>58</v>
      </c>
      <c r="H302" s="82" t="str">
        <f>VLOOKUP(G302,MetaData!$A$2:$C$13,3,false)</f>
        <v>Fatmawati, S.Pd</v>
      </c>
      <c r="I302" s="82" t="s">
        <v>627</v>
      </c>
      <c r="J302" s="82" t="str">
        <f>VLOOKUP(I302,MetaData!$E$2:$G$40,3,false)</f>
        <v>Sakina</v>
      </c>
      <c r="K302" s="83"/>
    </row>
    <row r="303" ht="15.75" customHeight="1">
      <c r="A303" s="76">
        <v>353.0</v>
      </c>
      <c r="B303" s="77">
        <v>9.0</v>
      </c>
      <c r="C303" s="77" t="s">
        <v>1083</v>
      </c>
      <c r="D303" s="77">
        <v>2.52610108E8</v>
      </c>
      <c r="E303" s="78" t="s">
        <v>636</v>
      </c>
      <c r="F303" s="77" t="s">
        <v>784</v>
      </c>
      <c r="G303" s="79" t="s">
        <v>58</v>
      </c>
      <c r="H303" s="79" t="str">
        <f>VLOOKUP(G303,MetaData!$A$2:$C$13,3,false)</f>
        <v>Fatmawati, S.Pd</v>
      </c>
      <c r="I303" s="79" t="s">
        <v>627</v>
      </c>
      <c r="J303" s="79" t="str">
        <f>VLOOKUP(I303,MetaData!$E$2:$G$40,3,false)</f>
        <v>Sakina</v>
      </c>
      <c r="K303" s="80"/>
    </row>
    <row r="304" ht="15.75" customHeight="1">
      <c r="A304" s="81">
        <v>354.0</v>
      </c>
      <c r="B304" s="77">
        <v>10.0</v>
      </c>
      <c r="C304" s="77" t="s">
        <v>1084</v>
      </c>
      <c r="D304" s="77">
        <v>2.52610118E8</v>
      </c>
      <c r="E304" s="78" t="s">
        <v>637</v>
      </c>
      <c r="F304" s="77" t="s">
        <v>784</v>
      </c>
      <c r="G304" s="82" t="s">
        <v>58</v>
      </c>
      <c r="H304" s="82" t="str">
        <f>VLOOKUP(G304,MetaData!$A$2:$C$13,3,false)</f>
        <v>Fatmawati, S.Pd</v>
      </c>
      <c r="I304" s="82" t="s">
        <v>627</v>
      </c>
      <c r="J304" s="82" t="str">
        <f>VLOOKUP(I304,MetaData!$E$2:$G$40,3,false)</f>
        <v>Sakina</v>
      </c>
      <c r="K304" s="83"/>
    </row>
    <row r="305" ht="15.75" customHeight="1">
      <c r="A305" s="76">
        <v>355.0</v>
      </c>
      <c r="B305" s="77">
        <v>11.0</v>
      </c>
      <c r="C305" s="77" t="s">
        <v>1085</v>
      </c>
      <c r="D305" s="77">
        <v>2.52610125E8</v>
      </c>
      <c r="E305" s="78" t="s">
        <v>258</v>
      </c>
      <c r="F305" s="77" t="s">
        <v>782</v>
      </c>
      <c r="G305" s="79" t="s">
        <v>58</v>
      </c>
      <c r="H305" s="79" t="str">
        <f>VLOOKUP(G305,MetaData!$A$2:$C$13,3,false)</f>
        <v>Fatmawati, S.Pd</v>
      </c>
      <c r="I305" s="79" t="s">
        <v>257</v>
      </c>
      <c r="J305" s="79" t="str">
        <f>VLOOKUP(I305,MetaData!$E$2:$G$40,3,false)</f>
        <v>Teguh</v>
      </c>
      <c r="K305" s="80"/>
    </row>
    <row r="306" ht="15.75" customHeight="1">
      <c r="A306" s="81">
        <v>356.0</v>
      </c>
      <c r="B306" s="77">
        <v>12.0</v>
      </c>
      <c r="C306" s="77" t="s">
        <v>1086</v>
      </c>
      <c r="D306" s="77">
        <v>2.52610151E8</v>
      </c>
      <c r="E306" s="78" t="s">
        <v>638</v>
      </c>
      <c r="F306" s="77" t="s">
        <v>784</v>
      </c>
      <c r="G306" s="82" t="s">
        <v>58</v>
      </c>
      <c r="H306" s="82" t="str">
        <f>VLOOKUP(G306,MetaData!$A$2:$C$13,3,false)</f>
        <v>Fatmawati, S.Pd</v>
      </c>
      <c r="I306" s="82" t="s">
        <v>627</v>
      </c>
      <c r="J306" s="82" t="str">
        <f>VLOOKUP(I306,MetaData!$E$2:$G$40,3,false)</f>
        <v>Sakina</v>
      </c>
      <c r="K306" s="83"/>
    </row>
    <row r="307" ht="15.75" customHeight="1">
      <c r="A307" s="76">
        <v>357.0</v>
      </c>
      <c r="B307" s="77">
        <v>13.0</v>
      </c>
      <c r="C307" s="77" t="s">
        <v>1087</v>
      </c>
      <c r="D307" s="77">
        <v>2.5261016E8</v>
      </c>
      <c r="E307" s="78" t="s">
        <v>433</v>
      </c>
      <c r="F307" s="77" t="s">
        <v>784</v>
      </c>
      <c r="G307" s="79" t="s">
        <v>58</v>
      </c>
      <c r="H307" s="79" t="str">
        <f>VLOOKUP(G307,MetaData!$A$2:$C$13,3,false)</f>
        <v>Fatmawati, S.Pd</v>
      </c>
      <c r="I307" s="79" t="s">
        <v>428</v>
      </c>
      <c r="J307" s="79" t="str">
        <f>VLOOKUP(I307,MetaData!$E$2:$G$40,3,false)</f>
        <v>Iga</v>
      </c>
      <c r="K307" s="80"/>
    </row>
    <row r="308" ht="15.75" customHeight="1">
      <c r="A308" s="81">
        <v>358.0</v>
      </c>
      <c r="B308" s="77">
        <v>14.0</v>
      </c>
      <c r="C308" s="77" t="s">
        <v>1088</v>
      </c>
      <c r="D308" s="77">
        <v>2.52610161E8</v>
      </c>
      <c r="E308" s="78" t="s">
        <v>639</v>
      </c>
      <c r="F308" s="77" t="s">
        <v>784</v>
      </c>
      <c r="G308" s="82" t="s">
        <v>58</v>
      </c>
      <c r="H308" s="82" t="str">
        <f>VLOOKUP(G308,MetaData!$A$2:$C$13,3,false)</f>
        <v>Fatmawati, S.Pd</v>
      </c>
      <c r="I308" s="82" t="s">
        <v>627</v>
      </c>
      <c r="J308" s="82" t="str">
        <f>VLOOKUP(I308,MetaData!$E$2:$G$40,3,false)</f>
        <v>Sakina</v>
      </c>
      <c r="K308" s="83"/>
    </row>
    <row r="309" ht="15.75" customHeight="1">
      <c r="A309" s="76">
        <v>359.0</v>
      </c>
      <c r="B309" s="77">
        <v>15.0</v>
      </c>
      <c r="C309" s="77" t="s">
        <v>1089</v>
      </c>
      <c r="D309" s="77">
        <v>2.5261017E8</v>
      </c>
      <c r="E309" s="78" t="s">
        <v>640</v>
      </c>
      <c r="F309" s="77" t="s">
        <v>784</v>
      </c>
      <c r="G309" s="79" t="s">
        <v>58</v>
      </c>
      <c r="H309" s="79" t="str">
        <f>VLOOKUP(G309,MetaData!$A$2:$C$13,3,false)</f>
        <v>Fatmawati, S.Pd</v>
      </c>
      <c r="I309" s="79" t="s">
        <v>627</v>
      </c>
      <c r="J309" s="79" t="str">
        <f>VLOOKUP(I309,MetaData!$E$2:$G$40,3,false)</f>
        <v>Sakina</v>
      </c>
      <c r="K309" s="80"/>
    </row>
    <row r="310" ht="15.75" customHeight="1">
      <c r="A310" s="81">
        <v>360.0</v>
      </c>
      <c r="B310" s="77">
        <v>16.0</v>
      </c>
      <c r="C310" s="77" t="s">
        <v>1090</v>
      </c>
      <c r="D310" s="77">
        <v>2.52610174E8</v>
      </c>
      <c r="E310" s="78" t="s">
        <v>641</v>
      </c>
      <c r="F310" s="77" t="s">
        <v>784</v>
      </c>
      <c r="G310" s="82" t="s">
        <v>58</v>
      </c>
      <c r="H310" s="82" t="str">
        <f>VLOOKUP(G310,MetaData!$A$2:$C$13,3,false)</f>
        <v>Fatmawati, S.Pd</v>
      </c>
      <c r="I310" s="82" t="s">
        <v>627</v>
      </c>
      <c r="J310" s="82" t="str">
        <f>VLOOKUP(I310,MetaData!$E$2:$G$40,3,false)</f>
        <v>Sakina</v>
      </c>
      <c r="K310" s="83"/>
    </row>
    <row r="311" ht="15.75" customHeight="1">
      <c r="A311" s="76">
        <v>361.0</v>
      </c>
      <c r="B311" s="77">
        <v>17.0</v>
      </c>
      <c r="C311" s="77" t="s">
        <v>1091</v>
      </c>
      <c r="D311" s="77">
        <v>2.52610199E8</v>
      </c>
      <c r="E311" s="78" t="s">
        <v>259</v>
      </c>
      <c r="F311" s="77" t="s">
        <v>782</v>
      </c>
      <c r="G311" s="79" t="s">
        <v>58</v>
      </c>
      <c r="H311" s="79" t="str">
        <f>VLOOKUP(G311,MetaData!$A$2:$C$13,3,false)</f>
        <v>Fatmawati, S.Pd</v>
      </c>
      <c r="I311" s="79" t="s">
        <v>257</v>
      </c>
      <c r="J311" s="79" t="str">
        <f>VLOOKUP(I311,MetaData!$E$2:$G$40,3,false)</f>
        <v>Teguh</v>
      </c>
      <c r="K311" s="80"/>
    </row>
    <row r="312" ht="15.75" customHeight="1">
      <c r="A312" s="81">
        <v>362.0</v>
      </c>
      <c r="B312" s="77">
        <v>18.0</v>
      </c>
      <c r="C312" s="77" t="s">
        <v>1092</v>
      </c>
      <c r="D312" s="77">
        <v>2.52610203E8</v>
      </c>
      <c r="E312" s="78" t="s">
        <v>434</v>
      </c>
      <c r="F312" s="77" t="s">
        <v>784</v>
      </c>
      <c r="G312" s="82" t="s">
        <v>58</v>
      </c>
      <c r="H312" s="82" t="str">
        <f>VLOOKUP(G312,MetaData!$A$2:$C$13,3,false)</f>
        <v>Fatmawati, S.Pd</v>
      </c>
      <c r="I312" s="82" t="s">
        <v>428</v>
      </c>
      <c r="J312" s="82" t="str">
        <f>VLOOKUP(I312,MetaData!$E$2:$G$40,3,false)</f>
        <v>Iga</v>
      </c>
      <c r="K312" s="83"/>
    </row>
    <row r="313" ht="15.75" customHeight="1">
      <c r="A313" s="76">
        <v>363.0</v>
      </c>
      <c r="B313" s="77">
        <v>20.0</v>
      </c>
      <c r="C313" s="77" t="s">
        <v>1093</v>
      </c>
      <c r="D313" s="77">
        <v>2.52610255E8</v>
      </c>
      <c r="E313" s="78" t="s">
        <v>471</v>
      </c>
      <c r="F313" s="77" t="s">
        <v>784</v>
      </c>
      <c r="G313" s="79" t="s">
        <v>58</v>
      </c>
      <c r="H313" s="79" t="str">
        <f>VLOOKUP(G313,MetaData!$A$2:$C$13,3,false)</f>
        <v>Fatmawati, S.Pd</v>
      </c>
      <c r="I313" s="79" t="s">
        <v>470</v>
      </c>
      <c r="J313" s="79" t="str">
        <f>VLOOKUP(I313,MetaData!$E$2:$G$40,3,false)</f>
        <v>Arsyila (XI)</v>
      </c>
      <c r="K313" s="80"/>
    </row>
    <row r="314" ht="15.75" customHeight="1">
      <c r="A314" s="81">
        <v>364.0</v>
      </c>
      <c r="B314" s="77">
        <v>21.0</v>
      </c>
      <c r="C314" s="77" t="s">
        <v>1094</v>
      </c>
      <c r="D314" s="77">
        <v>2.52610265E8</v>
      </c>
      <c r="E314" s="78" t="s">
        <v>260</v>
      </c>
      <c r="F314" s="77" t="s">
        <v>782</v>
      </c>
      <c r="G314" s="82" t="s">
        <v>58</v>
      </c>
      <c r="H314" s="82" t="str">
        <f>VLOOKUP(G314,MetaData!$A$2:$C$13,3,false)</f>
        <v>Fatmawati, S.Pd</v>
      </c>
      <c r="I314" s="82" t="s">
        <v>257</v>
      </c>
      <c r="J314" s="82" t="str">
        <f>VLOOKUP(I314,MetaData!$E$2:$G$40,3,false)</f>
        <v>Teguh</v>
      </c>
      <c r="K314" s="83"/>
    </row>
    <row r="315" ht="15.75" customHeight="1">
      <c r="A315" s="76">
        <v>365.0</v>
      </c>
      <c r="B315" s="77">
        <v>22.0</v>
      </c>
      <c r="C315" s="77" t="s">
        <v>1095</v>
      </c>
      <c r="D315" s="77">
        <v>2.52610293E8</v>
      </c>
      <c r="E315" s="78" t="s">
        <v>261</v>
      </c>
      <c r="F315" s="77" t="s">
        <v>782</v>
      </c>
      <c r="G315" s="79" t="s">
        <v>58</v>
      </c>
      <c r="H315" s="79" t="str">
        <f>VLOOKUP(G315,MetaData!$A$2:$C$13,3,false)</f>
        <v>Fatmawati, S.Pd</v>
      </c>
      <c r="I315" s="79" t="s">
        <v>257</v>
      </c>
      <c r="J315" s="79" t="str">
        <f>VLOOKUP(I315,MetaData!$E$2:$G$40,3,false)</f>
        <v>Teguh</v>
      </c>
      <c r="K315" s="80"/>
    </row>
    <row r="316" ht="15.75" customHeight="1">
      <c r="A316" s="81">
        <v>366.0</v>
      </c>
      <c r="B316" s="77">
        <v>23.0</v>
      </c>
      <c r="C316" s="77" t="s">
        <v>1096</v>
      </c>
      <c r="D316" s="77">
        <v>2.52610314E8</v>
      </c>
      <c r="E316" s="78" t="s">
        <v>262</v>
      </c>
      <c r="F316" s="77" t="s">
        <v>782</v>
      </c>
      <c r="G316" s="82" t="s">
        <v>58</v>
      </c>
      <c r="H316" s="82" t="str">
        <f>VLOOKUP(G316,MetaData!$A$2:$C$13,3,false)</f>
        <v>Fatmawati, S.Pd</v>
      </c>
      <c r="I316" s="82" t="s">
        <v>257</v>
      </c>
      <c r="J316" s="82" t="str">
        <f>VLOOKUP(I316,MetaData!$E$2:$G$40,3,false)</f>
        <v>Teguh</v>
      </c>
      <c r="K316" s="83"/>
    </row>
    <row r="317" ht="15.75" customHeight="1">
      <c r="A317" s="76">
        <v>367.0</v>
      </c>
      <c r="B317" s="77">
        <v>24.0</v>
      </c>
      <c r="C317" s="77" t="s">
        <v>1097</v>
      </c>
      <c r="D317" s="77">
        <v>2.52610317E8</v>
      </c>
      <c r="E317" s="78" t="s">
        <v>263</v>
      </c>
      <c r="F317" s="77" t="s">
        <v>782</v>
      </c>
      <c r="G317" s="79" t="s">
        <v>58</v>
      </c>
      <c r="H317" s="79" t="str">
        <f>VLOOKUP(G317,MetaData!$A$2:$C$13,3,false)</f>
        <v>Fatmawati, S.Pd</v>
      </c>
      <c r="I317" s="79" t="s">
        <v>257</v>
      </c>
      <c r="J317" s="79" t="str">
        <f>VLOOKUP(I317,MetaData!$E$2:$G$40,3,false)</f>
        <v>Teguh</v>
      </c>
      <c r="K317" s="80"/>
    </row>
    <row r="318" ht="15.75" customHeight="1">
      <c r="A318" s="81">
        <v>368.0</v>
      </c>
      <c r="B318" s="77">
        <v>25.0</v>
      </c>
      <c r="C318" s="77" t="s">
        <v>1098</v>
      </c>
      <c r="D318" s="77">
        <v>2.52610321E8</v>
      </c>
      <c r="E318" s="78" t="s">
        <v>472</v>
      </c>
      <c r="F318" s="77" t="s">
        <v>784</v>
      </c>
      <c r="G318" s="82" t="s">
        <v>58</v>
      </c>
      <c r="H318" s="82" t="str">
        <f>VLOOKUP(G318,MetaData!$A$2:$C$13,3,false)</f>
        <v>Fatmawati, S.Pd</v>
      </c>
      <c r="I318" s="82" t="s">
        <v>470</v>
      </c>
      <c r="J318" s="82" t="str">
        <f>VLOOKUP(I318,MetaData!$E$2:$G$40,3,false)</f>
        <v>Arsyila (XI)</v>
      </c>
      <c r="K318" s="83"/>
    </row>
    <row r="319" ht="15.75" customHeight="1">
      <c r="A319" s="76">
        <v>369.0</v>
      </c>
      <c r="B319" s="77">
        <v>26.0</v>
      </c>
      <c r="C319" s="77" t="s">
        <v>1099</v>
      </c>
      <c r="D319" s="77">
        <v>2.52610324E8</v>
      </c>
      <c r="E319" s="78" t="s">
        <v>230</v>
      </c>
      <c r="F319" s="77" t="s">
        <v>782</v>
      </c>
      <c r="G319" s="79" t="s">
        <v>58</v>
      </c>
      <c r="H319" s="79" t="str">
        <f>VLOOKUP(G319,MetaData!$A$2:$C$13,3,false)</f>
        <v>Fatmawati, S.Pd</v>
      </c>
      <c r="I319" s="79" t="s">
        <v>220</v>
      </c>
      <c r="J319" s="79" t="str">
        <f>VLOOKUP(I319,MetaData!$E$2:$G$40,3,false)</f>
        <v>Rekhsa</v>
      </c>
      <c r="K319" s="80"/>
    </row>
    <row r="320" ht="15.75" customHeight="1">
      <c r="A320" s="81">
        <v>370.0</v>
      </c>
      <c r="B320" s="77">
        <v>27.0</v>
      </c>
      <c r="C320" s="77" t="s">
        <v>1100</v>
      </c>
      <c r="D320" s="77">
        <v>2.52610326E8</v>
      </c>
      <c r="E320" s="78" t="s">
        <v>264</v>
      </c>
      <c r="F320" s="77" t="s">
        <v>782</v>
      </c>
      <c r="G320" s="82" t="s">
        <v>58</v>
      </c>
      <c r="H320" s="82" t="str">
        <f>VLOOKUP(G320,MetaData!$A$2:$C$13,3,false)</f>
        <v>Fatmawati, S.Pd</v>
      </c>
      <c r="I320" s="82" t="s">
        <v>257</v>
      </c>
      <c r="J320" s="82" t="str">
        <f>VLOOKUP(I320,MetaData!$E$2:$G$40,3,false)</f>
        <v>Teguh</v>
      </c>
      <c r="K320" s="83"/>
    </row>
    <row r="321" ht="15.75" customHeight="1">
      <c r="A321" s="76">
        <v>371.0</v>
      </c>
      <c r="B321" s="77">
        <v>28.0</v>
      </c>
      <c r="C321" s="77" t="s">
        <v>1101</v>
      </c>
      <c r="D321" s="77">
        <v>2.52610349E8</v>
      </c>
      <c r="E321" s="78" t="s">
        <v>265</v>
      </c>
      <c r="F321" s="77" t="s">
        <v>782</v>
      </c>
      <c r="G321" s="79" t="s">
        <v>58</v>
      </c>
      <c r="H321" s="79" t="str">
        <f>VLOOKUP(G321,MetaData!$A$2:$C$13,3,false)</f>
        <v>Fatmawati, S.Pd</v>
      </c>
      <c r="I321" s="79" t="s">
        <v>257</v>
      </c>
      <c r="J321" s="79" t="str">
        <f>VLOOKUP(I321,MetaData!$E$2:$G$40,3,false)</f>
        <v>Teguh</v>
      </c>
      <c r="K321" s="80"/>
    </row>
    <row r="322" ht="15.75" customHeight="1">
      <c r="A322" s="81">
        <v>372.0</v>
      </c>
      <c r="B322" s="77">
        <v>29.0</v>
      </c>
      <c r="C322" s="77" t="s">
        <v>1102</v>
      </c>
      <c r="D322" s="77">
        <v>2.5261035E8</v>
      </c>
      <c r="E322" s="78" t="s">
        <v>266</v>
      </c>
      <c r="F322" s="77" t="s">
        <v>782</v>
      </c>
      <c r="G322" s="82" t="s">
        <v>58</v>
      </c>
      <c r="H322" s="82" t="str">
        <f>VLOOKUP(G322,MetaData!$A$2:$C$13,3,false)</f>
        <v>Fatmawati, S.Pd</v>
      </c>
      <c r="I322" s="82" t="s">
        <v>257</v>
      </c>
      <c r="J322" s="82" t="str">
        <f>VLOOKUP(I322,MetaData!$E$2:$G$40,3,false)</f>
        <v>Teguh</v>
      </c>
      <c r="K322" s="83"/>
    </row>
    <row r="323" ht="15.75" customHeight="1">
      <c r="A323" s="76">
        <v>373.0</v>
      </c>
      <c r="B323" s="77">
        <v>30.0</v>
      </c>
      <c r="C323" s="77" t="s">
        <v>1103</v>
      </c>
      <c r="D323" s="77">
        <v>2.52610353E8</v>
      </c>
      <c r="E323" s="78" t="s">
        <v>233</v>
      </c>
      <c r="F323" s="77" t="s">
        <v>782</v>
      </c>
      <c r="G323" s="79" t="s">
        <v>58</v>
      </c>
      <c r="H323" s="79" t="str">
        <f>VLOOKUP(G323,MetaData!$A$2:$C$13,3,false)</f>
        <v>Fatmawati, S.Pd</v>
      </c>
      <c r="I323" s="79" t="s">
        <v>220</v>
      </c>
      <c r="J323" s="79" t="str">
        <f>VLOOKUP(I323,MetaData!$E$2:$G$40,3,false)</f>
        <v>Rekhsa</v>
      </c>
      <c r="K323" s="80"/>
    </row>
    <row r="324" ht="15.75" customHeight="1">
      <c r="A324" s="81">
        <v>374.0</v>
      </c>
      <c r="B324" s="77">
        <v>31.0</v>
      </c>
      <c r="C324" s="77" t="s">
        <v>1104</v>
      </c>
      <c r="D324" s="77">
        <v>2.52610364E8</v>
      </c>
      <c r="E324" s="78" t="s">
        <v>267</v>
      </c>
      <c r="F324" s="77" t="s">
        <v>782</v>
      </c>
      <c r="G324" s="82" t="s">
        <v>58</v>
      </c>
      <c r="H324" s="82" t="str">
        <f>VLOOKUP(G324,MetaData!$A$2:$C$13,3,false)</f>
        <v>Fatmawati, S.Pd</v>
      </c>
      <c r="I324" s="82" t="s">
        <v>257</v>
      </c>
      <c r="J324" s="82" t="str">
        <f>VLOOKUP(I324,MetaData!$E$2:$G$40,3,false)</f>
        <v>Teguh</v>
      </c>
      <c r="K324" s="83"/>
    </row>
    <row r="325" ht="15.75" customHeight="1">
      <c r="A325" s="76">
        <v>375.0</v>
      </c>
      <c r="B325" s="77">
        <v>32.0</v>
      </c>
      <c r="C325" s="77" t="s">
        <v>1105</v>
      </c>
      <c r="D325" s="77">
        <v>2.52610376E8</v>
      </c>
      <c r="E325" s="78" t="s">
        <v>268</v>
      </c>
      <c r="F325" s="77" t="s">
        <v>782</v>
      </c>
      <c r="G325" s="79" t="s">
        <v>58</v>
      </c>
      <c r="H325" s="79" t="str">
        <f>VLOOKUP(G325,MetaData!$A$2:$C$13,3,false)</f>
        <v>Fatmawati, S.Pd</v>
      </c>
      <c r="I325" s="79" t="s">
        <v>257</v>
      </c>
      <c r="J325" s="79" t="str">
        <f>VLOOKUP(I325,MetaData!$E$2:$G$40,3,false)</f>
        <v>Teguh</v>
      </c>
      <c r="K325" s="80"/>
    </row>
    <row r="326" ht="15.75" customHeight="1">
      <c r="A326" s="81">
        <v>376.0</v>
      </c>
      <c r="B326" s="77">
        <v>33.0</v>
      </c>
      <c r="C326" s="77" t="s">
        <v>1106</v>
      </c>
      <c r="D326" s="77">
        <v>2.52610392E8</v>
      </c>
      <c r="E326" s="78" t="s">
        <v>473</v>
      </c>
      <c r="F326" s="77" t="s">
        <v>784</v>
      </c>
      <c r="G326" s="82" t="s">
        <v>58</v>
      </c>
      <c r="H326" s="82" t="str">
        <f>VLOOKUP(G326,MetaData!$A$2:$C$13,3,false)</f>
        <v>Fatmawati, S.Pd</v>
      </c>
      <c r="I326" s="82" t="s">
        <v>470</v>
      </c>
      <c r="J326" s="82" t="str">
        <f>VLOOKUP(I326,MetaData!$E$2:$G$40,3,false)</f>
        <v>Arsyila (XI)</v>
      </c>
      <c r="K326" s="83"/>
    </row>
    <row r="327" ht="15.75" customHeight="1">
      <c r="A327" s="76">
        <v>377.0</v>
      </c>
      <c r="B327" s="77">
        <v>34.0</v>
      </c>
      <c r="C327" s="77" t="s">
        <v>1107</v>
      </c>
      <c r="D327" s="77">
        <v>2.52610395E8</v>
      </c>
      <c r="E327" s="78" t="s">
        <v>474</v>
      </c>
      <c r="F327" s="77" t="s">
        <v>784</v>
      </c>
      <c r="G327" s="79" t="s">
        <v>58</v>
      </c>
      <c r="H327" s="79" t="str">
        <f>VLOOKUP(G327,MetaData!$A$2:$C$13,3,false)</f>
        <v>Fatmawati, S.Pd</v>
      </c>
      <c r="I327" s="79" t="s">
        <v>470</v>
      </c>
      <c r="J327" s="79" t="str">
        <f>VLOOKUP(I327,MetaData!$E$2:$G$40,3,false)</f>
        <v>Arsyila (XI)</v>
      </c>
      <c r="K327" s="80"/>
    </row>
    <row r="328" ht="15.75" customHeight="1">
      <c r="A328" s="81">
        <v>378.0</v>
      </c>
      <c r="B328" s="77">
        <v>35.0</v>
      </c>
      <c r="C328" s="77" t="s">
        <v>1108</v>
      </c>
      <c r="D328" s="77">
        <v>2.52610399E8</v>
      </c>
      <c r="E328" s="78" t="s">
        <v>475</v>
      </c>
      <c r="F328" s="77" t="s">
        <v>784</v>
      </c>
      <c r="G328" s="82" t="s">
        <v>58</v>
      </c>
      <c r="H328" s="82" t="str">
        <f>VLOOKUP(G328,MetaData!$A$2:$C$13,3,false)</f>
        <v>Fatmawati, S.Pd</v>
      </c>
      <c r="I328" s="82" t="s">
        <v>470</v>
      </c>
      <c r="J328" s="82" t="str">
        <f>VLOOKUP(I328,MetaData!$E$2:$G$40,3,false)</f>
        <v>Arsyila (XI)</v>
      </c>
      <c r="K328" s="83"/>
    </row>
    <row r="329" ht="15.75" customHeight="1">
      <c r="A329" s="76">
        <v>379.0</v>
      </c>
      <c r="B329" s="77">
        <v>36.0</v>
      </c>
      <c r="C329" s="77" t="s">
        <v>1109</v>
      </c>
      <c r="D329" s="77">
        <v>2.52610408E8</v>
      </c>
      <c r="E329" s="78" t="s">
        <v>476</v>
      </c>
      <c r="F329" s="77" t="s">
        <v>784</v>
      </c>
      <c r="G329" s="79" t="s">
        <v>58</v>
      </c>
      <c r="H329" s="79" t="str">
        <f>VLOOKUP(G329,MetaData!$A$2:$C$13,3,false)</f>
        <v>Fatmawati, S.Pd</v>
      </c>
      <c r="I329" s="79" t="s">
        <v>470</v>
      </c>
      <c r="J329" s="79" t="str">
        <f>VLOOKUP(I329,MetaData!$E$2:$G$40,3,false)</f>
        <v>Arsyila (XI)</v>
      </c>
      <c r="K329" s="80"/>
    </row>
    <row r="330" ht="15.75" customHeight="1">
      <c r="A330" s="81">
        <v>380.0</v>
      </c>
      <c r="B330" s="77">
        <v>37.0</v>
      </c>
      <c r="C330" s="77" t="s">
        <v>1110</v>
      </c>
      <c r="D330" s="77">
        <v>2.52610413E8</v>
      </c>
      <c r="E330" s="78" t="s">
        <v>477</v>
      </c>
      <c r="F330" s="77" t="s">
        <v>784</v>
      </c>
      <c r="G330" s="82" t="s">
        <v>58</v>
      </c>
      <c r="H330" s="82" t="str">
        <f>VLOOKUP(G330,MetaData!$A$2:$C$13,3,false)</f>
        <v>Fatmawati, S.Pd</v>
      </c>
      <c r="I330" s="82" t="s">
        <v>470</v>
      </c>
      <c r="J330" s="82" t="str">
        <f>VLOOKUP(I330,MetaData!$E$2:$G$40,3,false)</f>
        <v>Arsyila (XI)</v>
      </c>
      <c r="K330" s="83"/>
    </row>
    <row r="331" ht="15.75" customHeight="1">
      <c r="A331" s="76">
        <v>381.0</v>
      </c>
      <c r="B331" s="77">
        <v>38.0</v>
      </c>
      <c r="C331" s="77" t="s">
        <v>1111</v>
      </c>
      <c r="D331" s="77">
        <v>2.5261042E8</v>
      </c>
      <c r="E331" s="78" t="s">
        <v>479</v>
      </c>
      <c r="F331" s="77" t="s">
        <v>784</v>
      </c>
      <c r="G331" s="79" t="s">
        <v>58</v>
      </c>
      <c r="H331" s="79" t="str">
        <f>VLOOKUP(G331,MetaData!$A$2:$C$13,3,false)</f>
        <v>Fatmawati, S.Pd</v>
      </c>
      <c r="I331" s="79" t="s">
        <v>470</v>
      </c>
      <c r="J331" s="79" t="str">
        <f>VLOOKUP(I331,MetaData!$E$2:$G$40,3,false)</f>
        <v>Arsyila (XI)</v>
      </c>
      <c r="K331" s="80"/>
    </row>
    <row r="332" ht="15.75" customHeight="1">
      <c r="A332" s="81">
        <v>382.0</v>
      </c>
      <c r="B332" s="77">
        <v>39.0</v>
      </c>
      <c r="C332" s="77" t="s">
        <v>1112</v>
      </c>
      <c r="D332" s="77">
        <v>2.52610421E8</v>
      </c>
      <c r="E332" s="78" t="s">
        <v>478</v>
      </c>
      <c r="F332" s="77" t="s">
        <v>784</v>
      </c>
      <c r="G332" s="82" t="s">
        <v>58</v>
      </c>
      <c r="H332" s="82" t="str">
        <f>VLOOKUP(G332,MetaData!$A$2:$C$13,3,false)</f>
        <v>Fatmawati, S.Pd</v>
      </c>
      <c r="I332" s="82" t="s">
        <v>470</v>
      </c>
      <c r="J332" s="82" t="str">
        <f>VLOOKUP(I332,MetaData!$E$2:$G$40,3,false)</f>
        <v>Arsyila (XI)</v>
      </c>
      <c r="K332" s="83"/>
    </row>
    <row r="333" ht="15.75" customHeight="1">
      <c r="A333" s="76">
        <v>383.0</v>
      </c>
      <c r="B333" s="77">
        <v>40.0</v>
      </c>
      <c r="C333" s="77" t="s">
        <v>1113</v>
      </c>
      <c r="D333" s="77">
        <v>2.52610444E8</v>
      </c>
      <c r="E333" s="78" t="s">
        <v>480</v>
      </c>
      <c r="F333" s="77" t="s">
        <v>784</v>
      </c>
      <c r="G333" s="79" t="s">
        <v>58</v>
      </c>
      <c r="H333" s="79" t="str">
        <f>VLOOKUP(G333,MetaData!$A$2:$C$13,3,false)</f>
        <v>Fatmawati, S.Pd</v>
      </c>
      <c r="I333" s="79" t="s">
        <v>470</v>
      </c>
      <c r="J333" s="79" t="str">
        <f>VLOOKUP(I333,MetaData!$E$2:$G$40,3,false)</f>
        <v>Arsyila (XI)</v>
      </c>
      <c r="K333" s="80"/>
    </row>
    <row r="334" ht="15.75" customHeight="1">
      <c r="A334" s="81">
        <v>384.0</v>
      </c>
      <c r="B334" s="77">
        <v>41.0</v>
      </c>
      <c r="C334" s="77" t="s">
        <v>1114</v>
      </c>
      <c r="D334" s="77">
        <v>2.52610445E8</v>
      </c>
      <c r="E334" s="78" t="s">
        <v>481</v>
      </c>
      <c r="F334" s="77" t="s">
        <v>784</v>
      </c>
      <c r="G334" s="82" t="s">
        <v>58</v>
      </c>
      <c r="H334" s="82" t="str">
        <f>VLOOKUP(G334,MetaData!$A$2:$C$13,3,false)</f>
        <v>Fatmawati, S.Pd</v>
      </c>
      <c r="I334" s="82" t="s">
        <v>470</v>
      </c>
      <c r="J334" s="82" t="str">
        <f>VLOOKUP(I334,MetaData!$E$2:$G$40,3,false)</f>
        <v>Arsyila (XI)</v>
      </c>
      <c r="K334" s="83"/>
    </row>
    <row r="335" ht="15.75" customHeight="1">
      <c r="A335" s="76">
        <v>385.0</v>
      </c>
      <c r="B335" s="77">
        <v>42.0</v>
      </c>
      <c r="C335" s="77" t="s">
        <v>1115</v>
      </c>
      <c r="D335" s="77">
        <v>2.52610463E8</v>
      </c>
      <c r="E335" s="78" t="s">
        <v>269</v>
      </c>
      <c r="F335" s="77" t="s">
        <v>782</v>
      </c>
      <c r="G335" s="79" t="s">
        <v>58</v>
      </c>
      <c r="H335" s="79" t="str">
        <f>VLOOKUP(G335,MetaData!$A$2:$C$13,3,false)</f>
        <v>Fatmawati, S.Pd</v>
      </c>
      <c r="I335" s="79" t="s">
        <v>257</v>
      </c>
      <c r="J335" s="79" t="str">
        <f>VLOOKUP(I335,MetaData!$E$2:$G$40,3,false)</f>
        <v>Teguh</v>
      </c>
      <c r="K335" s="80"/>
    </row>
    <row r="336" ht="15.75" customHeight="1">
      <c r="A336" s="81">
        <v>386.0</v>
      </c>
      <c r="B336" s="77">
        <v>43.0</v>
      </c>
      <c r="C336" s="77" t="s">
        <v>1116</v>
      </c>
      <c r="D336" s="77">
        <v>2.5261047E8</v>
      </c>
      <c r="E336" s="78" t="s">
        <v>238</v>
      </c>
      <c r="F336" s="77" t="s">
        <v>782</v>
      </c>
      <c r="G336" s="82" t="s">
        <v>58</v>
      </c>
      <c r="H336" s="82" t="str">
        <f>VLOOKUP(G336,MetaData!$A$2:$C$13,3,false)</f>
        <v>Fatmawati, S.Pd</v>
      </c>
      <c r="I336" s="82" t="s">
        <v>220</v>
      </c>
      <c r="J336" s="82" t="str">
        <f>VLOOKUP(I336,MetaData!$E$2:$G$40,3,false)</f>
        <v>Rekhsa</v>
      </c>
      <c r="K336" s="83"/>
    </row>
    <row r="337" ht="15.75" customHeight="1">
      <c r="A337" s="76">
        <v>387.0</v>
      </c>
      <c r="B337" s="77">
        <v>44.0</v>
      </c>
      <c r="C337" s="77" t="s">
        <v>1117</v>
      </c>
      <c r="D337" s="77">
        <v>2.526105E8</v>
      </c>
      <c r="E337" s="78" t="s">
        <v>270</v>
      </c>
      <c r="F337" s="77" t="s">
        <v>782</v>
      </c>
      <c r="G337" s="79" t="s">
        <v>58</v>
      </c>
      <c r="H337" s="79" t="str">
        <f>VLOOKUP(G337,MetaData!$A$2:$C$13,3,false)</f>
        <v>Fatmawati, S.Pd</v>
      </c>
      <c r="I337" s="79" t="s">
        <v>257</v>
      </c>
      <c r="J337" s="79" t="str">
        <f>VLOOKUP(I337,MetaData!$E$2:$G$40,3,false)</f>
        <v>Teguh</v>
      </c>
      <c r="K337" s="80"/>
    </row>
    <row r="338" ht="15.75" customHeight="1">
      <c r="A338" s="81">
        <v>388.0</v>
      </c>
      <c r="B338" s="77">
        <v>45.0</v>
      </c>
      <c r="C338" s="77" t="s">
        <v>1118</v>
      </c>
      <c r="D338" s="77">
        <v>2.52610522E8</v>
      </c>
      <c r="E338" s="78" t="s">
        <v>482</v>
      </c>
      <c r="F338" s="77" t="s">
        <v>784</v>
      </c>
      <c r="G338" s="82" t="s">
        <v>58</v>
      </c>
      <c r="H338" s="82" t="str">
        <f>VLOOKUP(G338,MetaData!$A$2:$C$13,3,false)</f>
        <v>Fatmawati, S.Pd</v>
      </c>
      <c r="I338" s="82" t="s">
        <v>470</v>
      </c>
      <c r="J338" s="82" t="str">
        <f>VLOOKUP(I338,MetaData!$E$2:$G$40,3,false)</f>
        <v>Arsyila (XI)</v>
      </c>
      <c r="K338" s="83"/>
    </row>
    <row r="339" ht="15.75" customHeight="1">
      <c r="A339" s="76">
        <v>389.0</v>
      </c>
      <c r="B339" s="77">
        <v>46.0</v>
      </c>
      <c r="C339" s="77" t="s">
        <v>1119</v>
      </c>
      <c r="D339" s="77">
        <v>2.52610536E8</v>
      </c>
      <c r="E339" s="78" t="s">
        <v>483</v>
      </c>
      <c r="F339" s="77" t="s">
        <v>784</v>
      </c>
      <c r="G339" s="79" t="s">
        <v>58</v>
      </c>
      <c r="H339" s="79" t="str">
        <f>VLOOKUP(G339,MetaData!$A$2:$C$13,3,false)</f>
        <v>Fatmawati, S.Pd</v>
      </c>
      <c r="I339" s="79" t="s">
        <v>470</v>
      </c>
      <c r="J339" s="79" t="str">
        <f>VLOOKUP(I339,MetaData!$E$2:$G$40,3,false)</f>
        <v>Arsyila (XI)</v>
      </c>
      <c r="K339" s="80"/>
    </row>
    <row r="340" ht="15.75" customHeight="1">
      <c r="A340" s="81">
        <v>390.0</v>
      </c>
      <c r="B340" s="77">
        <v>47.0</v>
      </c>
      <c r="C340" s="77" t="s">
        <v>1120</v>
      </c>
      <c r="D340" s="77">
        <v>2.52610548E8</v>
      </c>
      <c r="E340" s="78" t="s">
        <v>484</v>
      </c>
      <c r="F340" s="77" t="s">
        <v>784</v>
      </c>
      <c r="G340" s="82" t="s">
        <v>58</v>
      </c>
      <c r="H340" s="82" t="str">
        <f>VLOOKUP(G340,MetaData!$A$2:$C$13,3,false)</f>
        <v>Fatmawati, S.Pd</v>
      </c>
      <c r="I340" s="82" t="s">
        <v>470</v>
      </c>
      <c r="J340" s="82" t="str">
        <f>VLOOKUP(I340,MetaData!$E$2:$G$40,3,false)</f>
        <v>Arsyila (XI)</v>
      </c>
      <c r="K340" s="83"/>
    </row>
    <row r="341" ht="15.75" customHeight="1">
      <c r="A341" s="76">
        <v>391.0</v>
      </c>
      <c r="B341" s="77">
        <v>48.0</v>
      </c>
      <c r="C341" s="77" t="s">
        <v>1121</v>
      </c>
      <c r="D341" s="77">
        <v>2.52610558E8</v>
      </c>
      <c r="E341" s="78" t="s">
        <v>271</v>
      </c>
      <c r="F341" s="77" t="s">
        <v>782</v>
      </c>
      <c r="G341" s="79" t="s">
        <v>58</v>
      </c>
      <c r="H341" s="79" t="str">
        <f>VLOOKUP(G341,MetaData!$A$2:$C$13,3,false)</f>
        <v>Fatmawati, S.Pd</v>
      </c>
      <c r="I341" s="79" t="s">
        <v>257</v>
      </c>
      <c r="J341" s="79" t="str">
        <f>VLOOKUP(I341,MetaData!$E$2:$G$40,3,false)</f>
        <v>Teguh</v>
      </c>
      <c r="K341" s="80"/>
    </row>
    <row r="342" ht="15.75" customHeight="1">
      <c r="A342" s="85">
        <v>399.0</v>
      </c>
      <c r="B342" s="77">
        <v>1.0</v>
      </c>
      <c r="C342" s="77" t="s">
        <v>1122</v>
      </c>
      <c r="D342" s="77">
        <v>2.52610003E8</v>
      </c>
      <c r="E342" s="78" t="s">
        <v>222</v>
      </c>
      <c r="F342" s="77" t="s">
        <v>782</v>
      </c>
      <c r="G342" s="82" t="s">
        <v>63</v>
      </c>
      <c r="H342" s="82" t="str">
        <f>VLOOKUP(G342,MetaData!$A$2:$C$13,3,false)</f>
        <v>Dra. Nani Suryani, M.Pd</v>
      </c>
      <c r="I342" s="82" t="s">
        <v>220</v>
      </c>
      <c r="J342" s="82" t="str">
        <f>VLOOKUP(I342,MetaData!$E$2:$G$40,3,false)</f>
        <v>Rekhsa</v>
      </c>
      <c r="K342" s="83"/>
    </row>
    <row r="343" ht="15.75" customHeight="1">
      <c r="A343" s="84">
        <v>400.0</v>
      </c>
      <c r="B343" s="77">
        <v>2.0</v>
      </c>
      <c r="C343" s="77" t="s">
        <v>1123</v>
      </c>
      <c r="D343" s="77">
        <v>2.52610019E8</v>
      </c>
      <c r="E343" s="78" t="s">
        <v>224</v>
      </c>
      <c r="F343" s="77" t="s">
        <v>782</v>
      </c>
      <c r="G343" s="79" t="s">
        <v>63</v>
      </c>
      <c r="H343" s="79" t="str">
        <f>VLOOKUP(G343,MetaData!$A$2:$C$13,3,false)</f>
        <v>Dra. Nani Suryani, M.Pd</v>
      </c>
      <c r="I343" s="79" t="s">
        <v>220</v>
      </c>
      <c r="J343" s="79" t="str">
        <f>VLOOKUP(I343,MetaData!$E$2:$G$40,3,false)</f>
        <v>Rekhsa</v>
      </c>
      <c r="K343" s="80"/>
    </row>
    <row r="344" ht="15.75" customHeight="1">
      <c r="A344" s="85">
        <v>401.0</v>
      </c>
      <c r="B344" s="77">
        <v>3.0</v>
      </c>
      <c r="C344" s="77" t="s">
        <v>1124</v>
      </c>
      <c r="D344" s="77">
        <v>2.52610027E8</v>
      </c>
      <c r="E344" s="78" t="s">
        <v>614</v>
      </c>
      <c r="F344" s="77" t="s">
        <v>784</v>
      </c>
      <c r="G344" s="82" t="s">
        <v>63</v>
      </c>
      <c r="H344" s="82" t="str">
        <f>VLOOKUP(G344,MetaData!$A$2:$C$13,3,false)</f>
        <v>Dra. Nani Suryani, M.Pd</v>
      </c>
      <c r="I344" s="82" t="s">
        <v>613</v>
      </c>
      <c r="J344" s="82" t="str">
        <f>VLOOKUP(I344,MetaData!$E$2:$G$40,3,false)</f>
        <v>Tiara (XII)</v>
      </c>
      <c r="K344" s="83"/>
    </row>
    <row r="345" ht="15.75" customHeight="1">
      <c r="A345" s="84">
        <v>402.0</v>
      </c>
      <c r="B345" s="77">
        <v>4.0</v>
      </c>
      <c r="C345" s="77" t="s">
        <v>1125</v>
      </c>
      <c r="D345" s="77">
        <v>2.52610071E8</v>
      </c>
      <c r="E345" s="78" t="s">
        <v>615</v>
      </c>
      <c r="F345" s="77" t="s">
        <v>784</v>
      </c>
      <c r="G345" s="79" t="s">
        <v>63</v>
      </c>
      <c r="H345" s="79" t="str">
        <f>VLOOKUP(G345,MetaData!$A$2:$C$13,3,false)</f>
        <v>Dra. Nani Suryani, M.Pd</v>
      </c>
      <c r="I345" s="79" t="s">
        <v>613</v>
      </c>
      <c r="J345" s="79" t="str">
        <f>VLOOKUP(I345,MetaData!$E$2:$G$40,3,false)</f>
        <v>Tiara (XII)</v>
      </c>
      <c r="K345" s="80"/>
    </row>
    <row r="346" ht="15.75" customHeight="1">
      <c r="A346" s="85">
        <v>403.0</v>
      </c>
      <c r="B346" s="77">
        <v>5.0</v>
      </c>
      <c r="C346" s="77" t="s">
        <v>1126</v>
      </c>
      <c r="D346" s="77">
        <v>2.52610073E8</v>
      </c>
      <c r="E346" s="78" t="s">
        <v>616</v>
      </c>
      <c r="F346" s="77" t="s">
        <v>784</v>
      </c>
      <c r="G346" s="82" t="s">
        <v>63</v>
      </c>
      <c r="H346" s="82" t="str">
        <f>VLOOKUP(G346,MetaData!$A$2:$C$13,3,false)</f>
        <v>Dra. Nani Suryani, M.Pd</v>
      </c>
      <c r="I346" s="82" t="s">
        <v>613</v>
      </c>
      <c r="J346" s="82" t="str">
        <f>VLOOKUP(I346,MetaData!$E$2:$G$40,3,false)</f>
        <v>Tiara (XII)</v>
      </c>
      <c r="K346" s="83"/>
    </row>
    <row r="347" ht="15.75" customHeight="1">
      <c r="A347" s="84">
        <v>404.0</v>
      </c>
      <c r="B347" s="77">
        <v>6.0</v>
      </c>
      <c r="C347" s="77" t="s">
        <v>1127</v>
      </c>
      <c r="D347" s="77">
        <v>2.52610078E8</v>
      </c>
      <c r="E347" s="78" t="s">
        <v>240</v>
      </c>
      <c r="F347" s="77" t="s">
        <v>782</v>
      </c>
      <c r="G347" s="79" t="s">
        <v>63</v>
      </c>
      <c r="H347" s="79" t="str">
        <f>VLOOKUP(G347,MetaData!$A$2:$C$13,3,false)</f>
        <v>Dra. Nani Suryani, M.Pd</v>
      </c>
      <c r="I347" s="79" t="s">
        <v>239</v>
      </c>
      <c r="J347" s="79" t="str">
        <f>VLOOKUP(I347,MetaData!$E$2:$G$40,3,false)</f>
        <v>Veril (XII)</v>
      </c>
      <c r="K347" s="80"/>
    </row>
    <row r="348" ht="15.75" customHeight="1">
      <c r="A348" s="85">
        <v>405.0</v>
      </c>
      <c r="B348" s="77">
        <v>7.0</v>
      </c>
      <c r="C348" s="77" t="s">
        <v>1128</v>
      </c>
      <c r="D348" s="77">
        <v>2.52610086E8</v>
      </c>
      <c r="E348" s="78" t="s">
        <v>617</v>
      </c>
      <c r="F348" s="77" t="s">
        <v>784</v>
      </c>
      <c r="G348" s="82" t="s">
        <v>63</v>
      </c>
      <c r="H348" s="82" t="str">
        <f>VLOOKUP(G348,MetaData!$A$2:$C$13,3,false)</f>
        <v>Dra. Nani Suryani, M.Pd</v>
      </c>
      <c r="I348" s="82" t="s">
        <v>613</v>
      </c>
      <c r="J348" s="82" t="str">
        <f>VLOOKUP(I348,MetaData!$E$2:$G$40,3,false)</f>
        <v>Tiara (XII)</v>
      </c>
      <c r="K348" s="83"/>
    </row>
    <row r="349" ht="15.75" customHeight="1">
      <c r="A349" s="84">
        <v>406.0</v>
      </c>
      <c r="B349" s="77">
        <v>8.0</v>
      </c>
      <c r="C349" s="77" t="s">
        <v>1129</v>
      </c>
      <c r="D349" s="77">
        <v>2.52610092E8</v>
      </c>
      <c r="E349" s="78" t="s">
        <v>241</v>
      </c>
      <c r="F349" s="77" t="s">
        <v>782</v>
      </c>
      <c r="G349" s="79" t="s">
        <v>63</v>
      </c>
      <c r="H349" s="79" t="str">
        <f>VLOOKUP(G349,MetaData!$A$2:$C$13,3,false)</f>
        <v>Dra. Nani Suryani, M.Pd</v>
      </c>
      <c r="I349" s="79" t="s">
        <v>239</v>
      </c>
      <c r="J349" s="79" t="str">
        <f>VLOOKUP(I349,MetaData!$E$2:$G$40,3,false)</f>
        <v>Veril (XII)</v>
      </c>
      <c r="K349" s="80"/>
    </row>
    <row r="350" ht="15.75" customHeight="1">
      <c r="A350" s="85">
        <v>407.0</v>
      </c>
      <c r="B350" s="77">
        <v>9.0</v>
      </c>
      <c r="C350" s="77" t="s">
        <v>1130</v>
      </c>
      <c r="D350" s="77">
        <v>2.52610095E8</v>
      </c>
      <c r="E350" s="78" t="s">
        <v>618</v>
      </c>
      <c r="F350" s="77" t="s">
        <v>784</v>
      </c>
      <c r="G350" s="82" t="s">
        <v>63</v>
      </c>
      <c r="H350" s="82" t="str">
        <f>VLOOKUP(G350,MetaData!$A$2:$C$13,3,false)</f>
        <v>Dra. Nani Suryani, M.Pd</v>
      </c>
      <c r="I350" s="82" t="s">
        <v>613</v>
      </c>
      <c r="J350" s="82" t="str">
        <f>VLOOKUP(I350,MetaData!$E$2:$G$40,3,false)</f>
        <v>Tiara (XII)</v>
      </c>
      <c r="K350" s="83"/>
    </row>
    <row r="351" ht="15.75" customHeight="1">
      <c r="A351" s="84">
        <v>408.0</v>
      </c>
      <c r="B351" s="77">
        <v>10.0</v>
      </c>
      <c r="C351" s="77" t="s">
        <v>1131</v>
      </c>
      <c r="D351" s="77">
        <v>2.52610117E8</v>
      </c>
      <c r="E351" s="78" t="s">
        <v>619</v>
      </c>
      <c r="F351" s="77" t="s">
        <v>784</v>
      </c>
      <c r="G351" s="79" t="s">
        <v>63</v>
      </c>
      <c r="H351" s="79" t="str">
        <f>VLOOKUP(G351,MetaData!$A$2:$C$13,3,false)</f>
        <v>Dra. Nani Suryani, M.Pd</v>
      </c>
      <c r="I351" s="79" t="s">
        <v>613</v>
      </c>
      <c r="J351" s="79" t="str">
        <f>VLOOKUP(I351,MetaData!$E$2:$G$40,3,false)</f>
        <v>Tiara (XII)</v>
      </c>
      <c r="K351" s="80"/>
    </row>
    <row r="352" ht="15.75" customHeight="1">
      <c r="A352" s="85">
        <v>409.0</v>
      </c>
      <c r="B352" s="77">
        <v>11.0</v>
      </c>
      <c r="C352" s="77" t="s">
        <v>1132</v>
      </c>
      <c r="D352" s="77">
        <v>2.52610133E8</v>
      </c>
      <c r="E352" s="78" t="s">
        <v>620</v>
      </c>
      <c r="F352" s="77" t="s">
        <v>784</v>
      </c>
      <c r="G352" s="82" t="s">
        <v>63</v>
      </c>
      <c r="H352" s="82" t="str">
        <f>VLOOKUP(G352,MetaData!$A$2:$C$13,3,false)</f>
        <v>Dra. Nani Suryani, M.Pd</v>
      </c>
      <c r="I352" s="82" t="s">
        <v>613</v>
      </c>
      <c r="J352" s="82" t="str">
        <f>VLOOKUP(I352,MetaData!$E$2:$G$40,3,false)</f>
        <v>Tiara (XII)</v>
      </c>
      <c r="K352" s="83"/>
    </row>
    <row r="353" ht="15.75" customHeight="1">
      <c r="A353" s="84">
        <v>410.0</v>
      </c>
      <c r="B353" s="77">
        <v>12.0</v>
      </c>
      <c r="C353" s="77" t="s">
        <v>1133</v>
      </c>
      <c r="D353" s="77">
        <v>2.52610135E8</v>
      </c>
      <c r="E353" s="78" t="s">
        <v>242</v>
      </c>
      <c r="F353" s="77" t="s">
        <v>782</v>
      </c>
      <c r="G353" s="79" t="s">
        <v>63</v>
      </c>
      <c r="H353" s="79" t="str">
        <f>VLOOKUP(G353,MetaData!$A$2:$C$13,3,false)</f>
        <v>Dra. Nani Suryani, M.Pd</v>
      </c>
      <c r="I353" s="79" t="s">
        <v>239</v>
      </c>
      <c r="J353" s="79" t="str">
        <f>VLOOKUP(I353,MetaData!$E$2:$G$40,3,false)</f>
        <v>Veril (XII)</v>
      </c>
      <c r="K353" s="80"/>
    </row>
    <row r="354" ht="15.75" customHeight="1">
      <c r="A354" s="85">
        <v>411.0</v>
      </c>
      <c r="B354" s="77">
        <v>13.0</v>
      </c>
      <c r="C354" s="77" t="s">
        <v>1134</v>
      </c>
      <c r="D354" s="77">
        <v>2.52610146E8</v>
      </c>
      <c r="E354" s="78" t="s">
        <v>621</v>
      </c>
      <c r="F354" s="77" t="s">
        <v>784</v>
      </c>
      <c r="G354" s="82" t="s">
        <v>63</v>
      </c>
      <c r="H354" s="82" t="str">
        <f>VLOOKUP(G354,MetaData!$A$2:$C$13,3,false)</f>
        <v>Dra. Nani Suryani, M.Pd</v>
      </c>
      <c r="I354" s="82" t="s">
        <v>613</v>
      </c>
      <c r="J354" s="82" t="str">
        <f>VLOOKUP(I354,MetaData!$E$2:$G$40,3,false)</f>
        <v>Tiara (XII)</v>
      </c>
      <c r="K354" s="83"/>
    </row>
    <row r="355" ht="15.75" customHeight="1">
      <c r="A355" s="84">
        <v>412.0</v>
      </c>
      <c r="B355" s="77">
        <v>14.0</v>
      </c>
      <c r="C355" s="77" t="s">
        <v>1135</v>
      </c>
      <c r="D355" s="77">
        <v>2.52610178E8</v>
      </c>
      <c r="E355" s="78" t="s">
        <v>622</v>
      </c>
      <c r="F355" s="77" t="s">
        <v>784</v>
      </c>
      <c r="G355" s="79" t="s">
        <v>63</v>
      </c>
      <c r="H355" s="79" t="str">
        <f>VLOOKUP(G355,MetaData!$A$2:$C$13,3,false)</f>
        <v>Dra. Nani Suryani, M.Pd</v>
      </c>
      <c r="I355" s="79" t="s">
        <v>613</v>
      </c>
      <c r="J355" s="79" t="str">
        <f>VLOOKUP(I355,MetaData!$E$2:$G$40,3,false)</f>
        <v>Tiara (XII)</v>
      </c>
      <c r="K355" s="80"/>
    </row>
    <row r="356" ht="15.75" customHeight="1">
      <c r="A356" s="85">
        <v>413.0</v>
      </c>
      <c r="B356" s="77">
        <v>15.0</v>
      </c>
      <c r="C356" s="77" t="s">
        <v>1136</v>
      </c>
      <c r="D356" s="77">
        <v>2.52610211E8</v>
      </c>
      <c r="E356" s="78" t="s">
        <v>227</v>
      </c>
      <c r="F356" s="77" t="s">
        <v>782</v>
      </c>
      <c r="G356" s="82" t="s">
        <v>63</v>
      </c>
      <c r="H356" s="82" t="str">
        <f>VLOOKUP(G356,MetaData!$A$2:$C$13,3,false)</f>
        <v>Dra. Nani Suryani, M.Pd</v>
      </c>
      <c r="I356" s="82" t="s">
        <v>220</v>
      </c>
      <c r="J356" s="82" t="str">
        <f>VLOOKUP(I356,MetaData!$E$2:$G$40,3,false)</f>
        <v>Rekhsa</v>
      </c>
      <c r="K356" s="83"/>
    </row>
    <row r="357" ht="15.75" customHeight="1">
      <c r="A357" s="84">
        <v>414.0</v>
      </c>
      <c r="B357" s="77">
        <v>16.0</v>
      </c>
      <c r="C357" s="77" t="s">
        <v>1137</v>
      </c>
      <c r="D357" s="77">
        <v>2.52610212E8</v>
      </c>
      <c r="E357" s="78" t="s">
        <v>623</v>
      </c>
      <c r="F357" s="77" t="s">
        <v>784</v>
      </c>
      <c r="G357" s="79" t="s">
        <v>63</v>
      </c>
      <c r="H357" s="79" t="str">
        <f>VLOOKUP(G357,MetaData!$A$2:$C$13,3,false)</f>
        <v>Dra. Nani Suryani, M.Pd</v>
      </c>
      <c r="I357" s="79" t="s">
        <v>613</v>
      </c>
      <c r="J357" s="79" t="str">
        <f>VLOOKUP(I357,MetaData!$E$2:$G$40,3,false)</f>
        <v>Tiara (XII)</v>
      </c>
      <c r="K357" s="80"/>
    </row>
    <row r="358" ht="15.75" customHeight="1">
      <c r="A358" s="85">
        <v>415.0</v>
      </c>
      <c r="B358" s="77">
        <v>17.0</v>
      </c>
      <c r="C358" s="77" t="s">
        <v>1138</v>
      </c>
      <c r="D358" s="77">
        <v>2.5261022E8</v>
      </c>
      <c r="E358" s="78" t="s">
        <v>624</v>
      </c>
      <c r="F358" s="77" t="s">
        <v>784</v>
      </c>
      <c r="G358" s="82" t="s">
        <v>63</v>
      </c>
      <c r="H358" s="82" t="str">
        <f>VLOOKUP(G358,MetaData!$A$2:$C$13,3,false)</f>
        <v>Dra. Nani Suryani, M.Pd</v>
      </c>
      <c r="I358" s="82" t="s">
        <v>613</v>
      </c>
      <c r="J358" s="82" t="str">
        <f>VLOOKUP(I358,MetaData!$E$2:$G$40,3,false)</f>
        <v>Tiara (XII)</v>
      </c>
      <c r="K358" s="83"/>
    </row>
    <row r="359" ht="15.75" customHeight="1">
      <c r="A359" s="84">
        <v>416.0</v>
      </c>
      <c r="B359" s="77">
        <v>18.0</v>
      </c>
      <c r="C359" s="77" t="s">
        <v>1139</v>
      </c>
      <c r="D359" s="77">
        <v>2.52610231E8</v>
      </c>
      <c r="E359" s="78" t="s">
        <v>243</v>
      </c>
      <c r="F359" s="77" t="s">
        <v>782</v>
      </c>
      <c r="G359" s="79" t="s">
        <v>63</v>
      </c>
      <c r="H359" s="79" t="str">
        <f>VLOOKUP(G359,MetaData!$A$2:$C$13,3,false)</f>
        <v>Dra. Nani Suryani, M.Pd</v>
      </c>
      <c r="I359" s="79" t="s">
        <v>239</v>
      </c>
      <c r="J359" s="79" t="str">
        <f>VLOOKUP(I359,MetaData!$E$2:$G$40,3,false)</f>
        <v>Veril (XII)</v>
      </c>
      <c r="K359" s="80"/>
    </row>
    <row r="360" ht="15.75" customHeight="1">
      <c r="A360" s="85">
        <v>417.0</v>
      </c>
      <c r="B360" s="77">
        <v>19.0</v>
      </c>
      <c r="C360" s="77" t="s">
        <v>1140</v>
      </c>
      <c r="D360" s="77">
        <v>2.52610232E8</v>
      </c>
      <c r="E360" s="78" t="s">
        <v>244</v>
      </c>
      <c r="F360" s="77" t="s">
        <v>782</v>
      </c>
      <c r="G360" s="82" t="s">
        <v>63</v>
      </c>
      <c r="H360" s="82" t="str">
        <f>VLOOKUP(G360,MetaData!$A$2:$C$13,3,false)</f>
        <v>Dra. Nani Suryani, M.Pd</v>
      </c>
      <c r="I360" s="82" t="s">
        <v>239</v>
      </c>
      <c r="J360" s="82" t="str">
        <f>VLOOKUP(I360,MetaData!$E$2:$G$40,3,false)</f>
        <v>Veril (XII)</v>
      </c>
      <c r="K360" s="83"/>
    </row>
    <row r="361" ht="15.75" customHeight="1">
      <c r="A361" s="84">
        <v>418.0</v>
      </c>
      <c r="B361" s="77">
        <v>20.0</v>
      </c>
      <c r="C361" s="77" t="s">
        <v>1141</v>
      </c>
      <c r="D361" s="77">
        <v>2.52610236E8</v>
      </c>
      <c r="E361" s="78" t="s">
        <v>625</v>
      </c>
      <c r="F361" s="77" t="s">
        <v>784</v>
      </c>
      <c r="G361" s="79" t="s">
        <v>63</v>
      </c>
      <c r="H361" s="79" t="str">
        <f>VLOOKUP(G361,MetaData!$A$2:$C$13,3,false)</f>
        <v>Dra. Nani Suryani, M.Pd</v>
      </c>
      <c r="I361" s="79" t="s">
        <v>613</v>
      </c>
      <c r="J361" s="79" t="str">
        <f>VLOOKUP(I361,MetaData!$E$2:$G$40,3,false)</f>
        <v>Tiara (XII)</v>
      </c>
      <c r="K361" s="80"/>
    </row>
    <row r="362" ht="15.75" customHeight="1">
      <c r="A362" s="85">
        <v>419.0</v>
      </c>
      <c r="B362" s="77">
        <v>21.0</v>
      </c>
      <c r="C362" s="77" t="s">
        <v>1142</v>
      </c>
      <c r="D362" s="77">
        <v>2.5261024E8</v>
      </c>
      <c r="E362" s="78" t="s">
        <v>245</v>
      </c>
      <c r="F362" s="77" t="s">
        <v>782</v>
      </c>
      <c r="G362" s="82" t="s">
        <v>63</v>
      </c>
      <c r="H362" s="82" t="str">
        <f>VLOOKUP(G362,MetaData!$A$2:$C$13,3,false)</f>
        <v>Dra. Nani Suryani, M.Pd</v>
      </c>
      <c r="I362" s="82" t="s">
        <v>239</v>
      </c>
      <c r="J362" s="82" t="str">
        <f>VLOOKUP(I362,MetaData!$E$2:$G$40,3,false)</f>
        <v>Veril (XII)</v>
      </c>
      <c r="K362" s="83"/>
    </row>
    <row r="363" ht="15.75" customHeight="1">
      <c r="A363" s="84">
        <v>420.0</v>
      </c>
      <c r="B363" s="77">
        <v>22.0</v>
      </c>
      <c r="C363" s="77" t="s">
        <v>1143</v>
      </c>
      <c r="D363" s="77">
        <v>2.52610248E8</v>
      </c>
      <c r="E363" s="78" t="s">
        <v>626</v>
      </c>
      <c r="F363" s="77" t="s">
        <v>784</v>
      </c>
      <c r="G363" s="79" t="s">
        <v>63</v>
      </c>
      <c r="H363" s="79" t="str">
        <f>VLOOKUP(G363,MetaData!$A$2:$C$13,3,false)</f>
        <v>Dra. Nani Suryani, M.Pd</v>
      </c>
      <c r="I363" s="79" t="s">
        <v>613</v>
      </c>
      <c r="J363" s="79" t="str">
        <f>VLOOKUP(I363,MetaData!$E$2:$G$40,3,false)</f>
        <v>Tiara (XII)</v>
      </c>
      <c r="K363" s="80"/>
    </row>
    <row r="364" ht="15.75" customHeight="1">
      <c r="A364" s="85">
        <v>421.0</v>
      </c>
      <c r="B364" s="77">
        <v>23.0</v>
      </c>
      <c r="C364" s="77" t="s">
        <v>1144</v>
      </c>
      <c r="D364" s="77">
        <v>2.52610256E8</v>
      </c>
      <c r="E364" s="78" t="s">
        <v>458</v>
      </c>
      <c r="F364" s="77" t="s">
        <v>784</v>
      </c>
      <c r="G364" s="82" t="s">
        <v>63</v>
      </c>
      <c r="H364" s="82" t="str">
        <f>VLOOKUP(G364,MetaData!$A$2:$C$13,3,false)</f>
        <v>Dra. Nani Suryani, M.Pd</v>
      </c>
      <c r="I364" s="82" t="s">
        <v>457</v>
      </c>
      <c r="J364" s="82" t="str">
        <f>VLOOKUP(I364,MetaData!$E$2:$G$40,3,false)</f>
        <v>Almira (XI)</v>
      </c>
      <c r="K364" s="83"/>
    </row>
    <row r="365" ht="15.75" customHeight="1">
      <c r="A365" s="84">
        <v>422.0</v>
      </c>
      <c r="B365" s="77">
        <v>24.0</v>
      </c>
      <c r="C365" s="77" t="s">
        <v>1145</v>
      </c>
      <c r="D365" s="77">
        <v>2.52610263E8</v>
      </c>
      <c r="E365" s="78" t="s">
        <v>459</v>
      </c>
      <c r="F365" s="77" t="s">
        <v>784</v>
      </c>
      <c r="G365" s="79" t="s">
        <v>63</v>
      </c>
      <c r="H365" s="79" t="str">
        <f>VLOOKUP(G365,MetaData!$A$2:$C$13,3,false)</f>
        <v>Dra. Nani Suryani, M.Pd</v>
      </c>
      <c r="I365" s="79" t="s">
        <v>457</v>
      </c>
      <c r="J365" s="79" t="str">
        <f>VLOOKUP(I365,MetaData!$E$2:$G$40,3,false)</f>
        <v>Almira (XI)</v>
      </c>
      <c r="K365" s="80"/>
    </row>
    <row r="366" ht="15.75" customHeight="1">
      <c r="A366" s="85">
        <v>423.0</v>
      </c>
      <c r="B366" s="77">
        <v>25.0</v>
      </c>
      <c r="C366" s="77" t="s">
        <v>1146</v>
      </c>
      <c r="D366" s="77">
        <v>2.52610297E8</v>
      </c>
      <c r="E366" s="78" t="s">
        <v>460</v>
      </c>
      <c r="F366" s="77" t="s">
        <v>784</v>
      </c>
      <c r="G366" s="82" t="s">
        <v>63</v>
      </c>
      <c r="H366" s="82" t="str">
        <f>VLOOKUP(G366,MetaData!$A$2:$C$13,3,false)</f>
        <v>Dra. Nani Suryani, M.Pd</v>
      </c>
      <c r="I366" s="82" t="s">
        <v>457</v>
      </c>
      <c r="J366" s="82" t="str">
        <f>VLOOKUP(I366,MetaData!$E$2:$G$40,3,false)</f>
        <v>Almira (XI)</v>
      </c>
      <c r="K366" s="83"/>
    </row>
    <row r="367" ht="15.75" customHeight="1">
      <c r="A367" s="84">
        <v>424.0</v>
      </c>
      <c r="B367" s="77">
        <v>26.0</v>
      </c>
      <c r="C367" s="77" t="s">
        <v>1147</v>
      </c>
      <c r="D367" s="77">
        <v>2.52610325E8</v>
      </c>
      <c r="E367" s="78" t="s">
        <v>246</v>
      </c>
      <c r="F367" s="77" t="s">
        <v>782</v>
      </c>
      <c r="G367" s="79" t="s">
        <v>63</v>
      </c>
      <c r="H367" s="79" t="str">
        <f>VLOOKUP(G367,MetaData!$A$2:$C$13,3,false)</f>
        <v>Dra. Nani Suryani, M.Pd</v>
      </c>
      <c r="I367" s="79" t="s">
        <v>239</v>
      </c>
      <c r="J367" s="79" t="str">
        <f>VLOOKUP(I367,MetaData!$E$2:$G$40,3,false)</f>
        <v>Veril (XII)</v>
      </c>
      <c r="K367" s="80"/>
    </row>
    <row r="368" ht="15.75" customHeight="1">
      <c r="A368" s="85">
        <v>425.0</v>
      </c>
      <c r="B368" s="77">
        <v>27.0</v>
      </c>
      <c r="C368" s="77" t="s">
        <v>1148</v>
      </c>
      <c r="D368" s="77">
        <v>2.52610337E8</v>
      </c>
      <c r="E368" s="78" t="s">
        <v>247</v>
      </c>
      <c r="F368" s="77" t="s">
        <v>782</v>
      </c>
      <c r="G368" s="82" t="s">
        <v>63</v>
      </c>
      <c r="H368" s="82" t="str">
        <f>VLOOKUP(G368,MetaData!$A$2:$C$13,3,false)</f>
        <v>Dra. Nani Suryani, M.Pd</v>
      </c>
      <c r="I368" s="82" t="s">
        <v>239</v>
      </c>
      <c r="J368" s="82" t="str">
        <f>VLOOKUP(I368,MetaData!$E$2:$G$40,3,false)</f>
        <v>Veril (XII)</v>
      </c>
      <c r="K368" s="83"/>
    </row>
    <row r="369" ht="15.75" customHeight="1">
      <c r="A369" s="84">
        <v>426.0</v>
      </c>
      <c r="B369" s="77">
        <v>28.0</v>
      </c>
      <c r="C369" s="77" t="s">
        <v>1149</v>
      </c>
      <c r="D369" s="77">
        <v>2.52610341E8</v>
      </c>
      <c r="E369" s="78" t="s">
        <v>248</v>
      </c>
      <c r="F369" s="77" t="s">
        <v>782</v>
      </c>
      <c r="G369" s="79" t="s">
        <v>63</v>
      </c>
      <c r="H369" s="79" t="str">
        <f>VLOOKUP(G369,MetaData!$A$2:$C$13,3,false)</f>
        <v>Dra. Nani Suryani, M.Pd</v>
      </c>
      <c r="I369" s="79" t="s">
        <v>239</v>
      </c>
      <c r="J369" s="79" t="str">
        <f>VLOOKUP(I369,MetaData!$E$2:$G$40,3,false)</f>
        <v>Veril (XII)</v>
      </c>
      <c r="K369" s="80"/>
    </row>
    <row r="370" ht="15.75" customHeight="1">
      <c r="A370" s="85">
        <v>427.0</v>
      </c>
      <c r="B370" s="77">
        <v>29.0</v>
      </c>
      <c r="C370" s="77" t="s">
        <v>1150</v>
      </c>
      <c r="D370" s="77">
        <v>2.52610344E8</v>
      </c>
      <c r="E370" s="78" t="s">
        <v>249</v>
      </c>
      <c r="F370" s="77" t="s">
        <v>782</v>
      </c>
      <c r="G370" s="82" t="s">
        <v>63</v>
      </c>
      <c r="H370" s="82" t="str">
        <f>VLOOKUP(G370,MetaData!$A$2:$C$13,3,false)</f>
        <v>Dra. Nani Suryani, M.Pd</v>
      </c>
      <c r="I370" s="82" t="s">
        <v>239</v>
      </c>
      <c r="J370" s="82" t="str">
        <f>VLOOKUP(I370,MetaData!$E$2:$G$40,3,false)</f>
        <v>Veril (XII)</v>
      </c>
      <c r="K370" s="83"/>
    </row>
    <row r="371" ht="15.75" customHeight="1">
      <c r="A371" s="84">
        <v>428.0</v>
      </c>
      <c r="B371" s="77">
        <v>30.0</v>
      </c>
      <c r="C371" s="77" t="s">
        <v>1151</v>
      </c>
      <c r="D371" s="77">
        <v>2.52610347E8</v>
      </c>
      <c r="E371" s="78" t="s">
        <v>250</v>
      </c>
      <c r="F371" s="77" t="s">
        <v>782</v>
      </c>
      <c r="G371" s="79" t="s">
        <v>63</v>
      </c>
      <c r="H371" s="79" t="str">
        <f>VLOOKUP(G371,MetaData!$A$2:$C$13,3,false)</f>
        <v>Dra. Nani Suryani, M.Pd</v>
      </c>
      <c r="I371" s="79" t="s">
        <v>239</v>
      </c>
      <c r="J371" s="79" t="str">
        <f>VLOOKUP(I371,MetaData!$E$2:$G$40,3,false)</f>
        <v>Veril (XII)</v>
      </c>
      <c r="K371" s="80"/>
    </row>
    <row r="372" ht="15.75" customHeight="1">
      <c r="A372" s="85">
        <v>429.0</v>
      </c>
      <c r="B372" s="77">
        <v>31.0</v>
      </c>
      <c r="C372" s="77" t="s">
        <v>1152</v>
      </c>
      <c r="D372" s="77">
        <v>2.52610358E8</v>
      </c>
      <c r="E372" s="78" t="s">
        <v>251</v>
      </c>
      <c r="F372" s="77" t="s">
        <v>782</v>
      </c>
      <c r="G372" s="82" t="s">
        <v>63</v>
      </c>
      <c r="H372" s="82" t="str">
        <f>VLOOKUP(G372,MetaData!$A$2:$C$13,3,false)</f>
        <v>Dra. Nani Suryani, M.Pd</v>
      </c>
      <c r="I372" s="82" t="s">
        <v>239</v>
      </c>
      <c r="J372" s="82" t="str">
        <f>VLOOKUP(I372,MetaData!$E$2:$G$40,3,false)</f>
        <v>Veril (XII)</v>
      </c>
      <c r="K372" s="83"/>
    </row>
    <row r="373" ht="15.75" customHeight="1">
      <c r="A373" s="84">
        <v>430.0</v>
      </c>
      <c r="B373" s="77">
        <v>32.0</v>
      </c>
      <c r="C373" s="77" t="s">
        <v>1153</v>
      </c>
      <c r="D373" s="77">
        <v>2.52610368E8</v>
      </c>
      <c r="E373" s="78" t="s">
        <v>252</v>
      </c>
      <c r="F373" s="77" t="s">
        <v>782</v>
      </c>
      <c r="G373" s="79" t="s">
        <v>63</v>
      </c>
      <c r="H373" s="79" t="str">
        <f>VLOOKUP(G373,MetaData!$A$2:$C$13,3,false)</f>
        <v>Dra. Nani Suryani, M.Pd</v>
      </c>
      <c r="I373" s="79" t="s">
        <v>239</v>
      </c>
      <c r="J373" s="79" t="str">
        <f>VLOOKUP(I373,MetaData!$E$2:$G$40,3,false)</f>
        <v>Veril (XII)</v>
      </c>
      <c r="K373" s="80"/>
    </row>
    <row r="374" ht="15.75" customHeight="1">
      <c r="A374" s="85">
        <v>431.0</v>
      </c>
      <c r="B374" s="77">
        <v>33.0</v>
      </c>
      <c r="C374" s="77" t="s">
        <v>1154</v>
      </c>
      <c r="D374" s="77">
        <v>2.52610372E8</v>
      </c>
      <c r="E374" s="78" t="s">
        <v>253</v>
      </c>
      <c r="F374" s="77" t="s">
        <v>782</v>
      </c>
      <c r="G374" s="82" t="s">
        <v>63</v>
      </c>
      <c r="H374" s="82" t="str">
        <f>VLOOKUP(G374,MetaData!$A$2:$C$13,3,false)</f>
        <v>Dra. Nani Suryani, M.Pd</v>
      </c>
      <c r="I374" s="82" t="s">
        <v>239</v>
      </c>
      <c r="J374" s="82" t="str">
        <f>VLOOKUP(I374,MetaData!$E$2:$G$40,3,false)</f>
        <v>Veril (XII)</v>
      </c>
      <c r="K374" s="83"/>
    </row>
    <row r="375" ht="15.75" customHeight="1">
      <c r="A375" s="84">
        <v>432.0</v>
      </c>
      <c r="B375" s="77">
        <v>34.0</v>
      </c>
      <c r="C375" s="77" t="s">
        <v>1155</v>
      </c>
      <c r="D375" s="77">
        <v>2.52610397E8</v>
      </c>
      <c r="E375" s="78" t="s">
        <v>254</v>
      </c>
      <c r="F375" s="77" t="s">
        <v>782</v>
      </c>
      <c r="G375" s="79" t="s">
        <v>63</v>
      </c>
      <c r="H375" s="79" t="str">
        <f>VLOOKUP(G375,MetaData!$A$2:$C$13,3,false)</f>
        <v>Dra. Nani Suryani, M.Pd</v>
      </c>
      <c r="I375" s="79" t="s">
        <v>239</v>
      </c>
      <c r="J375" s="79" t="str">
        <f>VLOOKUP(I375,MetaData!$E$2:$G$40,3,false)</f>
        <v>Veril (XII)</v>
      </c>
      <c r="K375" s="80"/>
    </row>
    <row r="376" ht="15.75" customHeight="1">
      <c r="A376" s="85">
        <v>433.0</v>
      </c>
      <c r="B376" s="77">
        <v>35.0</v>
      </c>
      <c r="C376" s="77" t="s">
        <v>1156</v>
      </c>
      <c r="D376" s="77">
        <v>2.52610398E8</v>
      </c>
      <c r="E376" s="78" t="s">
        <v>461</v>
      </c>
      <c r="F376" s="77" t="s">
        <v>784</v>
      </c>
      <c r="G376" s="82" t="s">
        <v>63</v>
      </c>
      <c r="H376" s="82" t="str">
        <f>VLOOKUP(G376,MetaData!$A$2:$C$13,3,false)</f>
        <v>Dra. Nani Suryani, M.Pd</v>
      </c>
      <c r="I376" s="82" t="s">
        <v>457</v>
      </c>
      <c r="J376" s="82" t="str">
        <f>VLOOKUP(I376,MetaData!$E$2:$G$40,3,false)</f>
        <v>Almira (XI)</v>
      </c>
      <c r="K376" s="83"/>
    </row>
    <row r="377" ht="15.75" customHeight="1">
      <c r="A377" s="84">
        <v>434.0</v>
      </c>
      <c r="B377" s="77">
        <v>36.0</v>
      </c>
      <c r="C377" s="77" t="s">
        <v>1157</v>
      </c>
      <c r="D377" s="77">
        <v>2.52610425E8</v>
      </c>
      <c r="E377" s="78" t="s">
        <v>462</v>
      </c>
      <c r="F377" s="77" t="s">
        <v>784</v>
      </c>
      <c r="G377" s="79" t="s">
        <v>63</v>
      </c>
      <c r="H377" s="79" t="str">
        <f>VLOOKUP(G377,MetaData!$A$2:$C$13,3,false)</f>
        <v>Dra. Nani Suryani, M.Pd</v>
      </c>
      <c r="I377" s="79" t="s">
        <v>457</v>
      </c>
      <c r="J377" s="79" t="str">
        <f>VLOOKUP(I377,MetaData!$E$2:$G$40,3,false)</f>
        <v>Almira (XI)</v>
      </c>
      <c r="K377" s="80"/>
    </row>
    <row r="378" ht="15.75" customHeight="1">
      <c r="A378" s="85">
        <v>435.0</v>
      </c>
      <c r="B378" s="77">
        <v>37.0</v>
      </c>
      <c r="C378" s="77" t="s">
        <v>1158</v>
      </c>
      <c r="D378" s="77">
        <v>2.52610441E8</v>
      </c>
      <c r="E378" s="78" t="s">
        <v>463</v>
      </c>
      <c r="F378" s="77" t="s">
        <v>784</v>
      </c>
      <c r="G378" s="82" t="s">
        <v>63</v>
      </c>
      <c r="H378" s="82" t="str">
        <f>VLOOKUP(G378,MetaData!$A$2:$C$13,3,false)</f>
        <v>Dra. Nani Suryani, M.Pd</v>
      </c>
      <c r="I378" s="82" t="s">
        <v>457</v>
      </c>
      <c r="J378" s="82" t="str">
        <f>VLOOKUP(I378,MetaData!$E$2:$G$40,3,false)</f>
        <v>Almira (XI)</v>
      </c>
      <c r="K378" s="83"/>
    </row>
    <row r="379" ht="15.75" customHeight="1">
      <c r="A379" s="84">
        <v>436.0</v>
      </c>
      <c r="B379" s="77">
        <v>38.0</v>
      </c>
      <c r="C379" s="77" t="s">
        <v>1159</v>
      </c>
      <c r="D379" s="77">
        <v>2.52610457E8</v>
      </c>
      <c r="E379" s="78" t="s">
        <v>464</v>
      </c>
      <c r="F379" s="77" t="s">
        <v>784</v>
      </c>
      <c r="G379" s="79" t="s">
        <v>63</v>
      </c>
      <c r="H379" s="79" t="str">
        <f>VLOOKUP(G379,MetaData!$A$2:$C$13,3,false)</f>
        <v>Dra. Nani Suryani, M.Pd</v>
      </c>
      <c r="I379" s="79" t="s">
        <v>457</v>
      </c>
      <c r="J379" s="79" t="str">
        <f>VLOOKUP(I379,MetaData!$E$2:$G$40,3,false)</f>
        <v>Almira (XI)</v>
      </c>
      <c r="K379" s="80"/>
    </row>
    <row r="380" ht="15.75" customHeight="1">
      <c r="A380" s="85">
        <v>437.0</v>
      </c>
      <c r="B380" s="77">
        <v>39.0</v>
      </c>
      <c r="C380" s="77" t="s">
        <v>1160</v>
      </c>
      <c r="D380" s="77">
        <v>2.5261046E8</v>
      </c>
      <c r="E380" s="78" t="s">
        <v>255</v>
      </c>
      <c r="F380" s="77" t="s">
        <v>782</v>
      </c>
      <c r="G380" s="82" t="s">
        <v>63</v>
      </c>
      <c r="H380" s="82" t="str">
        <f>VLOOKUP(G380,MetaData!$A$2:$C$13,3,false)</f>
        <v>Dra. Nani Suryani, M.Pd</v>
      </c>
      <c r="I380" s="82" t="s">
        <v>239</v>
      </c>
      <c r="J380" s="82" t="str">
        <f>VLOOKUP(I380,MetaData!$E$2:$G$40,3,false)</f>
        <v>Veril (XII)</v>
      </c>
      <c r="K380" s="83"/>
    </row>
    <row r="381" ht="15.75" customHeight="1">
      <c r="A381" s="84">
        <v>438.0</v>
      </c>
      <c r="B381" s="77">
        <v>40.0</v>
      </c>
      <c r="C381" s="77" t="s">
        <v>1161</v>
      </c>
      <c r="D381" s="77">
        <v>2.52610465E8</v>
      </c>
      <c r="E381" s="78" t="s">
        <v>465</v>
      </c>
      <c r="F381" s="77" t="s">
        <v>784</v>
      </c>
      <c r="G381" s="79" t="s">
        <v>63</v>
      </c>
      <c r="H381" s="79" t="str">
        <f>VLOOKUP(G381,MetaData!$A$2:$C$13,3,false)</f>
        <v>Dra. Nani Suryani, M.Pd</v>
      </c>
      <c r="I381" s="79" t="s">
        <v>457</v>
      </c>
      <c r="J381" s="79" t="str">
        <f>VLOOKUP(I381,MetaData!$E$2:$G$40,3,false)</f>
        <v>Almira (XI)</v>
      </c>
      <c r="K381" s="80"/>
    </row>
    <row r="382" ht="15.75" customHeight="1">
      <c r="A382" s="85">
        <v>439.0</v>
      </c>
      <c r="B382" s="77">
        <v>41.0</v>
      </c>
      <c r="C382" s="77" t="s">
        <v>1162</v>
      </c>
      <c r="D382" s="77">
        <v>2.52610473E8</v>
      </c>
      <c r="E382" s="78" t="s">
        <v>441</v>
      </c>
      <c r="F382" s="77" t="s">
        <v>784</v>
      </c>
      <c r="G382" s="82" t="s">
        <v>63</v>
      </c>
      <c r="H382" s="82" t="str">
        <f>VLOOKUP(G382,MetaData!$A$2:$C$13,3,false)</f>
        <v>Dra. Nani Suryani, M.Pd</v>
      </c>
      <c r="I382" s="82" t="s">
        <v>428</v>
      </c>
      <c r="J382" s="82" t="str">
        <f>VLOOKUP(I382,MetaData!$E$2:$G$40,3,false)</f>
        <v>Iga</v>
      </c>
      <c r="K382" s="83"/>
    </row>
    <row r="383" ht="15.75" customHeight="1">
      <c r="A383" s="84">
        <v>440.0</v>
      </c>
      <c r="B383" s="77">
        <v>42.0</v>
      </c>
      <c r="C383" s="77" t="s">
        <v>1163</v>
      </c>
      <c r="D383" s="77">
        <v>2.52610487E8</v>
      </c>
      <c r="E383" s="78" t="s">
        <v>256</v>
      </c>
      <c r="F383" s="77" t="s">
        <v>782</v>
      </c>
      <c r="G383" s="79" t="s">
        <v>63</v>
      </c>
      <c r="H383" s="79" t="str">
        <f>VLOOKUP(G383,MetaData!$A$2:$C$13,3,false)</f>
        <v>Dra. Nani Suryani, M.Pd</v>
      </c>
      <c r="I383" s="79" t="s">
        <v>239</v>
      </c>
      <c r="J383" s="79" t="str">
        <f>VLOOKUP(I383,MetaData!$E$2:$G$40,3,false)</f>
        <v>Veril (XII)</v>
      </c>
      <c r="K383" s="80"/>
    </row>
    <row r="384" ht="15.75" customHeight="1">
      <c r="A384" s="85">
        <v>441.0</v>
      </c>
      <c r="B384" s="77">
        <v>43.0</v>
      </c>
      <c r="C384" s="77" t="s">
        <v>1164</v>
      </c>
      <c r="D384" s="77">
        <v>2.52610511E8</v>
      </c>
      <c r="E384" s="78" t="s">
        <v>466</v>
      </c>
      <c r="F384" s="77" t="s">
        <v>784</v>
      </c>
      <c r="G384" s="82" t="s">
        <v>63</v>
      </c>
      <c r="H384" s="82" t="str">
        <f>VLOOKUP(G384,MetaData!$A$2:$C$13,3,false)</f>
        <v>Dra. Nani Suryani, M.Pd</v>
      </c>
      <c r="I384" s="82" t="s">
        <v>457</v>
      </c>
      <c r="J384" s="82" t="str">
        <f>VLOOKUP(I384,MetaData!$E$2:$G$40,3,false)</f>
        <v>Almira (XI)</v>
      </c>
      <c r="K384" s="83"/>
    </row>
    <row r="385" ht="15.75" customHeight="1">
      <c r="A385" s="84">
        <v>442.0</v>
      </c>
      <c r="B385" s="77">
        <v>44.0</v>
      </c>
      <c r="C385" s="77" t="s">
        <v>1165</v>
      </c>
      <c r="D385" s="77">
        <v>2.5261053E8</v>
      </c>
      <c r="E385" s="78" t="s">
        <v>467</v>
      </c>
      <c r="F385" s="77" t="s">
        <v>784</v>
      </c>
      <c r="G385" s="79" t="s">
        <v>63</v>
      </c>
      <c r="H385" s="79" t="str">
        <f>VLOOKUP(G385,MetaData!$A$2:$C$13,3,false)</f>
        <v>Dra. Nani Suryani, M.Pd</v>
      </c>
      <c r="I385" s="79" t="s">
        <v>457</v>
      </c>
      <c r="J385" s="79" t="str">
        <f>VLOOKUP(I385,MetaData!$E$2:$G$40,3,false)</f>
        <v>Almira (XI)</v>
      </c>
      <c r="K385" s="80"/>
    </row>
    <row r="386" ht="15.75" customHeight="1">
      <c r="A386" s="85">
        <v>443.0</v>
      </c>
      <c r="B386" s="77">
        <v>45.0</v>
      </c>
      <c r="C386" s="77" t="s">
        <v>1166</v>
      </c>
      <c r="D386" s="77">
        <v>2.52610537E8</v>
      </c>
      <c r="E386" s="78" t="s">
        <v>468</v>
      </c>
      <c r="F386" s="77" t="s">
        <v>784</v>
      </c>
      <c r="G386" s="82" t="s">
        <v>63</v>
      </c>
      <c r="H386" s="82" t="str">
        <f>VLOOKUP(G386,MetaData!$A$2:$C$13,3,false)</f>
        <v>Dra. Nani Suryani, M.Pd</v>
      </c>
      <c r="I386" s="82" t="s">
        <v>457</v>
      </c>
      <c r="J386" s="82" t="str">
        <f>VLOOKUP(I386,MetaData!$E$2:$G$40,3,false)</f>
        <v>Almira (XI)</v>
      </c>
      <c r="K386" s="83"/>
    </row>
    <row r="387" ht="15.75" customHeight="1">
      <c r="A387" s="84">
        <v>444.0</v>
      </c>
      <c r="B387" s="77">
        <v>46.0</v>
      </c>
      <c r="C387" s="77" t="s">
        <v>1167</v>
      </c>
      <c r="D387" s="77">
        <v>2.52610542E8</v>
      </c>
      <c r="E387" s="78" t="s">
        <v>469</v>
      </c>
      <c r="F387" s="77" t="s">
        <v>784</v>
      </c>
      <c r="G387" s="79" t="s">
        <v>63</v>
      </c>
      <c r="H387" s="79" t="str">
        <f>VLOOKUP(G387,MetaData!$A$2:$C$13,3,false)</f>
        <v>Dra. Nani Suryani, M.Pd</v>
      </c>
      <c r="I387" s="79" t="s">
        <v>457</v>
      </c>
      <c r="J387" s="79" t="str">
        <f>VLOOKUP(I387,MetaData!$E$2:$G$40,3,false)</f>
        <v>Almira (XI)</v>
      </c>
      <c r="K387" s="80"/>
    </row>
    <row r="388" ht="15.75" customHeight="1">
      <c r="A388" s="81">
        <v>452.0</v>
      </c>
      <c r="B388" s="77">
        <v>1.0</v>
      </c>
      <c r="C388" s="77" t="s">
        <v>1168</v>
      </c>
      <c r="D388" s="77">
        <v>2.52610001E8</v>
      </c>
      <c r="E388" s="78" t="s">
        <v>221</v>
      </c>
      <c r="F388" s="77" t="s">
        <v>782</v>
      </c>
      <c r="G388" s="82" t="s">
        <v>69</v>
      </c>
      <c r="H388" s="82" t="str">
        <f>VLOOKUP(G388,MetaData!$A$2:$C$13,3,false)</f>
        <v>Eva Fauziah, S.Pd</v>
      </c>
      <c r="I388" s="82" t="s">
        <v>220</v>
      </c>
      <c r="J388" s="82" t="str">
        <f>VLOOKUP(I388,MetaData!$E$2:$G$40,3,false)</f>
        <v>Rekhsa</v>
      </c>
      <c r="K388" s="83"/>
    </row>
    <row r="389" ht="15.75" customHeight="1">
      <c r="A389" s="76">
        <v>453.0</v>
      </c>
      <c r="B389" s="77">
        <v>2.0</v>
      </c>
      <c r="C389" s="77" t="s">
        <v>1169</v>
      </c>
      <c r="D389" s="77">
        <v>2.52610012E8</v>
      </c>
      <c r="E389" s="78" t="s">
        <v>396</v>
      </c>
      <c r="F389" s="77" t="s">
        <v>782</v>
      </c>
      <c r="G389" s="79" t="s">
        <v>69</v>
      </c>
      <c r="H389" s="79" t="str">
        <f>VLOOKUP(G389,MetaData!$A$2:$C$13,3,false)</f>
        <v>Eva Fauziah, S.Pd</v>
      </c>
      <c r="I389" s="79" t="s">
        <v>395</v>
      </c>
      <c r="J389" s="79" t="str">
        <f>VLOOKUP(I389,MetaData!$E$2:$G$40,3,false)</f>
        <v>Irghi (XII)</v>
      </c>
      <c r="K389" s="80"/>
    </row>
    <row r="390" ht="15.75" customHeight="1">
      <c r="A390" s="81">
        <v>454.0</v>
      </c>
      <c r="B390" s="77">
        <v>3.0</v>
      </c>
      <c r="C390" s="77" t="s">
        <v>1170</v>
      </c>
      <c r="D390" s="77">
        <v>2.52610014E8</v>
      </c>
      <c r="E390" s="78" t="s">
        <v>429</v>
      </c>
      <c r="F390" s="77" t="s">
        <v>784</v>
      </c>
      <c r="G390" s="82" t="s">
        <v>69</v>
      </c>
      <c r="H390" s="82" t="str">
        <f>VLOOKUP(G390,MetaData!$A$2:$C$13,3,false)</f>
        <v>Eva Fauziah, S.Pd</v>
      </c>
      <c r="I390" s="82" t="s">
        <v>428</v>
      </c>
      <c r="J390" s="82" t="str">
        <f>VLOOKUP(I390,MetaData!$E$2:$G$40,3,false)</f>
        <v>Iga</v>
      </c>
      <c r="K390" s="83"/>
    </row>
    <row r="391" ht="15.75" customHeight="1">
      <c r="A391" s="76">
        <v>455.0</v>
      </c>
      <c r="B391" s="77">
        <v>4.0</v>
      </c>
      <c r="C391" s="77" t="s">
        <v>1171</v>
      </c>
      <c r="D391" s="77">
        <v>2.5261002E8</v>
      </c>
      <c r="E391" s="78" t="s">
        <v>397</v>
      </c>
      <c r="F391" s="77" t="s">
        <v>782</v>
      </c>
      <c r="G391" s="79" t="s">
        <v>69</v>
      </c>
      <c r="H391" s="79" t="str">
        <f>VLOOKUP(G391,MetaData!$A$2:$C$13,3,false)</f>
        <v>Eva Fauziah, S.Pd</v>
      </c>
      <c r="I391" s="79" t="s">
        <v>395</v>
      </c>
      <c r="J391" s="79" t="str">
        <f>VLOOKUP(I391,MetaData!$E$2:$G$40,3,false)</f>
        <v>Irghi (XII)</v>
      </c>
      <c r="K391" s="80"/>
    </row>
    <row r="392" ht="15.75" customHeight="1">
      <c r="A392" s="81">
        <v>456.0</v>
      </c>
      <c r="B392" s="77">
        <v>5.0</v>
      </c>
      <c r="C392" s="77" t="s">
        <v>1172</v>
      </c>
      <c r="D392" s="77">
        <v>2.52610032E8</v>
      </c>
      <c r="E392" s="78" t="s">
        <v>398</v>
      </c>
      <c r="F392" s="77" t="s">
        <v>782</v>
      </c>
      <c r="G392" s="82" t="s">
        <v>69</v>
      </c>
      <c r="H392" s="82" t="str">
        <f>VLOOKUP(G392,MetaData!$A$2:$C$13,3,false)</f>
        <v>Eva Fauziah, S.Pd</v>
      </c>
      <c r="I392" s="82" t="s">
        <v>395</v>
      </c>
      <c r="J392" s="82" t="str">
        <f>VLOOKUP(I392,MetaData!$E$2:$G$40,3,false)</f>
        <v>Irghi (XII)</v>
      </c>
      <c r="K392" s="83"/>
    </row>
    <row r="393" ht="15.75" customHeight="1">
      <c r="A393" s="76">
        <v>457.0</v>
      </c>
      <c r="B393" s="77">
        <v>6.0</v>
      </c>
      <c r="C393" s="77" t="s">
        <v>1173</v>
      </c>
      <c r="D393" s="77">
        <v>2.52610037E8</v>
      </c>
      <c r="E393" s="78" t="s">
        <v>750</v>
      </c>
      <c r="F393" s="77" t="s">
        <v>784</v>
      </c>
      <c r="G393" s="79" t="s">
        <v>69</v>
      </c>
      <c r="H393" s="79" t="str">
        <f>VLOOKUP(G393,MetaData!$A$2:$C$13,3,false)</f>
        <v>Eva Fauziah, S.Pd</v>
      </c>
      <c r="I393" s="79" t="s">
        <v>749</v>
      </c>
      <c r="J393" s="79" t="str">
        <f>VLOOKUP(I393,MetaData!$E$2:$G$40,3,false)</f>
        <v>Citra</v>
      </c>
      <c r="K393" s="80"/>
    </row>
    <row r="394" ht="15.75" customHeight="1">
      <c r="A394" s="81">
        <v>458.0</v>
      </c>
      <c r="B394" s="77">
        <v>7.0</v>
      </c>
      <c r="C394" s="77" t="s">
        <v>1174</v>
      </c>
      <c r="D394" s="77">
        <v>2.52610054E8</v>
      </c>
      <c r="E394" s="78" t="s">
        <v>751</v>
      </c>
      <c r="F394" s="77" t="s">
        <v>784</v>
      </c>
      <c r="G394" s="82" t="s">
        <v>69</v>
      </c>
      <c r="H394" s="82" t="str">
        <f>VLOOKUP(G394,MetaData!$A$2:$C$13,3,false)</f>
        <v>Eva Fauziah, S.Pd</v>
      </c>
      <c r="I394" s="82" t="s">
        <v>749</v>
      </c>
      <c r="J394" s="82" t="str">
        <f>VLOOKUP(I394,MetaData!$E$2:$G$40,3,false)</f>
        <v>Citra</v>
      </c>
      <c r="K394" s="83"/>
    </row>
    <row r="395" ht="15.75" customHeight="1">
      <c r="A395" s="76">
        <v>459.0</v>
      </c>
      <c r="B395" s="77">
        <v>8.0</v>
      </c>
      <c r="C395" s="77" t="s">
        <v>1175</v>
      </c>
      <c r="D395" s="77">
        <v>2.52610059E8</v>
      </c>
      <c r="E395" s="78" t="s">
        <v>399</v>
      </c>
      <c r="F395" s="77" t="s">
        <v>782</v>
      </c>
      <c r="G395" s="79" t="s">
        <v>69</v>
      </c>
      <c r="H395" s="79" t="str">
        <f>VLOOKUP(G395,MetaData!$A$2:$C$13,3,false)</f>
        <v>Eva Fauziah, S.Pd</v>
      </c>
      <c r="I395" s="79" t="s">
        <v>395</v>
      </c>
      <c r="J395" s="79" t="str">
        <f>VLOOKUP(I395,MetaData!$E$2:$G$40,3,false)</f>
        <v>Irghi (XII)</v>
      </c>
      <c r="K395" s="80"/>
    </row>
    <row r="396" ht="15.75" customHeight="1">
      <c r="A396" s="81">
        <v>460.0</v>
      </c>
      <c r="B396" s="77">
        <v>9.0</v>
      </c>
      <c r="C396" s="77" t="s">
        <v>1176</v>
      </c>
      <c r="D396" s="77">
        <v>2.52610089E8</v>
      </c>
      <c r="E396" s="78" t="s">
        <v>752</v>
      </c>
      <c r="F396" s="77" t="s">
        <v>784</v>
      </c>
      <c r="G396" s="82" t="s">
        <v>69</v>
      </c>
      <c r="H396" s="82" t="str">
        <f>VLOOKUP(G396,MetaData!$A$2:$C$13,3,false)</f>
        <v>Eva Fauziah, S.Pd</v>
      </c>
      <c r="I396" s="82" t="s">
        <v>749</v>
      </c>
      <c r="J396" s="82" t="str">
        <f>VLOOKUP(I396,MetaData!$E$2:$G$40,3,false)</f>
        <v>Citra</v>
      </c>
      <c r="K396" s="83"/>
    </row>
    <row r="397" ht="15.75" customHeight="1">
      <c r="A397" s="76">
        <v>461.0</v>
      </c>
      <c r="B397" s="77">
        <v>10.0</v>
      </c>
      <c r="C397" s="77" t="s">
        <v>1177</v>
      </c>
      <c r="D397" s="77">
        <v>2.52610091E8</v>
      </c>
      <c r="E397" s="78" t="s">
        <v>753</v>
      </c>
      <c r="F397" s="77" t="s">
        <v>784</v>
      </c>
      <c r="G397" s="79" t="s">
        <v>69</v>
      </c>
      <c r="H397" s="79" t="str">
        <f>VLOOKUP(G397,MetaData!$A$2:$C$13,3,false)</f>
        <v>Eva Fauziah, S.Pd</v>
      </c>
      <c r="I397" s="79" t="s">
        <v>749</v>
      </c>
      <c r="J397" s="79" t="str">
        <f>VLOOKUP(I397,MetaData!$E$2:$G$40,3,false)</f>
        <v>Citra</v>
      </c>
      <c r="K397" s="80"/>
    </row>
    <row r="398" ht="15.75" customHeight="1">
      <c r="A398" s="81">
        <v>462.0</v>
      </c>
      <c r="B398" s="77">
        <v>11.0</v>
      </c>
      <c r="C398" s="77" t="s">
        <v>1178</v>
      </c>
      <c r="D398" s="77">
        <v>2.52610099E8</v>
      </c>
      <c r="E398" s="78" t="s">
        <v>754</v>
      </c>
      <c r="F398" s="77" t="s">
        <v>784</v>
      </c>
      <c r="G398" s="82" t="s">
        <v>69</v>
      </c>
      <c r="H398" s="82" t="str">
        <f>VLOOKUP(G398,MetaData!$A$2:$C$13,3,false)</f>
        <v>Eva Fauziah, S.Pd</v>
      </c>
      <c r="I398" s="82" t="s">
        <v>749</v>
      </c>
      <c r="J398" s="82" t="str">
        <f>VLOOKUP(I398,MetaData!$E$2:$G$40,3,false)</f>
        <v>Citra</v>
      </c>
      <c r="K398" s="83"/>
    </row>
    <row r="399" ht="15.75" customHeight="1">
      <c r="A399" s="76">
        <v>463.0</v>
      </c>
      <c r="B399" s="77">
        <v>12.0</v>
      </c>
      <c r="C399" s="77" t="s">
        <v>1179</v>
      </c>
      <c r="D399" s="77">
        <v>2.52610103E8</v>
      </c>
      <c r="E399" s="78" t="s">
        <v>755</v>
      </c>
      <c r="F399" s="77" t="s">
        <v>784</v>
      </c>
      <c r="G399" s="79" t="s">
        <v>69</v>
      </c>
      <c r="H399" s="79" t="str">
        <f>VLOOKUP(G399,MetaData!$A$2:$C$13,3,false)</f>
        <v>Eva Fauziah, S.Pd</v>
      </c>
      <c r="I399" s="79" t="s">
        <v>749</v>
      </c>
      <c r="J399" s="79" t="str">
        <f>VLOOKUP(I399,MetaData!$E$2:$G$40,3,false)</f>
        <v>Citra</v>
      </c>
      <c r="K399" s="80"/>
    </row>
    <row r="400" ht="15.75" customHeight="1">
      <c r="A400" s="81">
        <v>464.0</v>
      </c>
      <c r="B400" s="77">
        <v>13.0</v>
      </c>
      <c r="C400" s="77" t="s">
        <v>1180</v>
      </c>
      <c r="D400" s="77">
        <v>2.52610119E8</v>
      </c>
      <c r="E400" s="78" t="s">
        <v>756</v>
      </c>
      <c r="F400" s="77" t="s">
        <v>784</v>
      </c>
      <c r="G400" s="82" t="s">
        <v>69</v>
      </c>
      <c r="H400" s="82" t="str">
        <f>VLOOKUP(G400,MetaData!$A$2:$C$13,3,false)</f>
        <v>Eva Fauziah, S.Pd</v>
      </c>
      <c r="I400" s="82" t="s">
        <v>749</v>
      </c>
      <c r="J400" s="82" t="str">
        <f>VLOOKUP(I400,MetaData!$E$2:$G$40,3,false)</f>
        <v>Citra</v>
      </c>
      <c r="K400" s="83"/>
    </row>
    <row r="401" ht="15.75" customHeight="1">
      <c r="A401" s="76">
        <v>465.0</v>
      </c>
      <c r="B401" s="77">
        <v>14.0</v>
      </c>
      <c r="C401" s="77" t="s">
        <v>1181</v>
      </c>
      <c r="D401" s="77">
        <v>2.52610128E8</v>
      </c>
      <c r="E401" s="78" t="s">
        <v>400</v>
      </c>
      <c r="F401" s="77" t="s">
        <v>782</v>
      </c>
      <c r="G401" s="79" t="s">
        <v>69</v>
      </c>
      <c r="H401" s="79" t="str">
        <f>VLOOKUP(G401,MetaData!$A$2:$C$13,3,false)</f>
        <v>Eva Fauziah, S.Pd</v>
      </c>
      <c r="I401" s="79" t="s">
        <v>395</v>
      </c>
      <c r="J401" s="79" t="str">
        <f>VLOOKUP(I401,MetaData!$E$2:$G$40,3,false)</f>
        <v>Irghi (XII)</v>
      </c>
      <c r="K401" s="80"/>
    </row>
    <row r="402" ht="15.75" customHeight="1">
      <c r="A402" s="81">
        <v>466.0</v>
      </c>
      <c r="B402" s="77">
        <v>16.0</v>
      </c>
      <c r="C402" s="77" t="s">
        <v>1182</v>
      </c>
      <c r="D402" s="77">
        <v>2.52610165E8</v>
      </c>
      <c r="E402" s="78" t="s">
        <v>449</v>
      </c>
      <c r="F402" s="77" t="s">
        <v>784</v>
      </c>
      <c r="G402" s="82" t="s">
        <v>69</v>
      </c>
      <c r="H402" s="82" t="str">
        <f>VLOOKUP(G402,MetaData!$A$2:$C$13,3,false)</f>
        <v>Eva Fauziah, S.Pd</v>
      </c>
      <c r="I402" s="82" t="s">
        <v>443</v>
      </c>
      <c r="J402" s="82" t="str">
        <f>VLOOKUP(I402,MetaData!$E$2:$G$40,3,false)</f>
        <v>Ayun</v>
      </c>
      <c r="K402" s="83"/>
    </row>
    <row r="403" ht="15.75" customHeight="1">
      <c r="A403" s="76">
        <v>467.0</v>
      </c>
      <c r="B403" s="77">
        <v>17.0</v>
      </c>
      <c r="C403" s="77" t="s">
        <v>1183</v>
      </c>
      <c r="D403" s="77">
        <v>2.52610168E8</v>
      </c>
      <c r="E403" s="78" t="s">
        <v>757</v>
      </c>
      <c r="F403" s="77" t="s">
        <v>784</v>
      </c>
      <c r="G403" s="79" t="s">
        <v>69</v>
      </c>
      <c r="H403" s="79" t="str">
        <f>VLOOKUP(G403,MetaData!$A$2:$C$13,3,false)</f>
        <v>Eva Fauziah, S.Pd</v>
      </c>
      <c r="I403" s="79" t="s">
        <v>749</v>
      </c>
      <c r="J403" s="79" t="str">
        <f>VLOOKUP(I403,MetaData!$E$2:$G$40,3,false)</f>
        <v>Citra</v>
      </c>
      <c r="K403" s="80"/>
    </row>
    <row r="404" ht="15.75" customHeight="1">
      <c r="A404" s="81">
        <v>468.0</v>
      </c>
      <c r="B404" s="77">
        <v>18.0</v>
      </c>
      <c r="C404" s="77" t="s">
        <v>1184</v>
      </c>
      <c r="D404" s="77">
        <v>2.52610169E8</v>
      </c>
      <c r="E404" s="78" t="s">
        <v>401</v>
      </c>
      <c r="F404" s="77" t="s">
        <v>782</v>
      </c>
      <c r="G404" s="82" t="s">
        <v>69</v>
      </c>
      <c r="H404" s="82" t="str">
        <f>VLOOKUP(G404,MetaData!$A$2:$C$13,3,false)</f>
        <v>Eva Fauziah, S.Pd</v>
      </c>
      <c r="I404" s="82" t="s">
        <v>395</v>
      </c>
      <c r="J404" s="82" t="str">
        <f>VLOOKUP(I404,MetaData!$E$2:$G$40,3,false)</f>
        <v>Irghi (XII)</v>
      </c>
      <c r="K404" s="83"/>
    </row>
    <row r="405" ht="15.75" customHeight="1">
      <c r="A405" s="76">
        <v>469.0</v>
      </c>
      <c r="B405" s="77">
        <v>19.0</v>
      </c>
      <c r="C405" s="77" t="s">
        <v>1185</v>
      </c>
      <c r="D405" s="77">
        <v>2.52610222E8</v>
      </c>
      <c r="E405" s="78" t="s">
        <v>758</v>
      </c>
      <c r="F405" s="77" t="s">
        <v>784</v>
      </c>
      <c r="G405" s="79" t="s">
        <v>69</v>
      </c>
      <c r="H405" s="79" t="str">
        <f>VLOOKUP(G405,MetaData!$A$2:$C$13,3,false)</f>
        <v>Eva Fauziah, S.Pd</v>
      </c>
      <c r="I405" s="79" t="s">
        <v>749</v>
      </c>
      <c r="J405" s="79" t="str">
        <f>VLOOKUP(I405,MetaData!$E$2:$G$40,3,false)</f>
        <v>Citra</v>
      </c>
      <c r="K405" s="80"/>
    </row>
    <row r="406" ht="15.75" customHeight="1">
      <c r="A406" s="81">
        <v>470.0</v>
      </c>
      <c r="B406" s="77">
        <v>20.0</v>
      </c>
      <c r="C406" s="77" t="s">
        <v>1186</v>
      </c>
      <c r="D406" s="77">
        <v>2.52610226E8</v>
      </c>
      <c r="E406" s="78" t="s">
        <v>759</v>
      </c>
      <c r="F406" s="77" t="s">
        <v>784</v>
      </c>
      <c r="G406" s="82" t="s">
        <v>69</v>
      </c>
      <c r="H406" s="82" t="str">
        <f>VLOOKUP(G406,MetaData!$A$2:$C$13,3,false)</f>
        <v>Eva Fauziah, S.Pd</v>
      </c>
      <c r="I406" s="82" t="s">
        <v>749</v>
      </c>
      <c r="J406" s="82" t="str">
        <f>VLOOKUP(I406,MetaData!$E$2:$G$40,3,false)</f>
        <v>Citra</v>
      </c>
      <c r="K406" s="83"/>
    </row>
    <row r="407" ht="15.75" customHeight="1">
      <c r="A407" s="76">
        <v>471.0</v>
      </c>
      <c r="B407" s="77">
        <v>21.0</v>
      </c>
      <c r="C407" s="77" t="s">
        <v>1187</v>
      </c>
      <c r="D407" s="77">
        <v>2.52610234E8</v>
      </c>
      <c r="E407" s="78" t="s">
        <v>760</v>
      </c>
      <c r="F407" s="77" t="s">
        <v>784</v>
      </c>
      <c r="G407" s="79" t="s">
        <v>69</v>
      </c>
      <c r="H407" s="79" t="str">
        <f>VLOOKUP(G407,MetaData!$A$2:$C$13,3,false)</f>
        <v>Eva Fauziah, S.Pd</v>
      </c>
      <c r="I407" s="79" t="s">
        <v>749</v>
      </c>
      <c r="J407" s="79" t="str">
        <f>VLOOKUP(I407,MetaData!$E$2:$G$40,3,false)</f>
        <v>Citra</v>
      </c>
      <c r="K407" s="80"/>
    </row>
    <row r="408" ht="15.75" customHeight="1">
      <c r="A408" s="81">
        <v>472.0</v>
      </c>
      <c r="B408" s="77">
        <v>22.0</v>
      </c>
      <c r="C408" s="77" t="s">
        <v>1188</v>
      </c>
      <c r="D408" s="77">
        <v>2.52610235E8</v>
      </c>
      <c r="E408" s="78" t="s">
        <v>451</v>
      </c>
      <c r="F408" s="77" t="s">
        <v>784</v>
      </c>
      <c r="G408" s="82" t="s">
        <v>69</v>
      </c>
      <c r="H408" s="82" t="str">
        <f>VLOOKUP(G408,MetaData!$A$2:$C$13,3,false)</f>
        <v>Eva Fauziah, S.Pd</v>
      </c>
      <c r="I408" s="82" t="s">
        <v>443</v>
      </c>
      <c r="J408" s="82" t="str">
        <f>VLOOKUP(I408,MetaData!$E$2:$G$40,3,false)</f>
        <v>Ayun</v>
      </c>
      <c r="K408" s="83"/>
    </row>
    <row r="409" ht="15.75" customHeight="1">
      <c r="A409" s="76">
        <v>473.0</v>
      </c>
      <c r="B409" s="77">
        <v>24.0</v>
      </c>
      <c r="C409" s="77" t="s">
        <v>1189</v>
      </c>
      <c r="D409" s="77">
        <v>2.52610243E8</v>
      </c>
      <c r="E409" s="78" t="s">
        <v>402</v>
      </c>
      <c r="F409" s="77" t="s">
        <v>782</v>
      </c>
      <c r="G409" s="79" t="s">
        <v>69</v>
      </c>
      <c r="H409" s="79" t="str">
        <f>VLOOKUP(G409,MetaData!$A$2:$C$13,3,false)</f>
        <v>Eva Fauziah, S.Pd</v>
      </c>
      <c r="I409" s="79" t="s">
        <v>395</v>
      </c>
      <c r="J409" s="79" t="str">
        <f>VLOOKUP(I409,MetaData!$E$2:$G$40,3,false)</f>
        <v>Irghi (XII)</v>
      </c>
      <c r="K409" s="80"/>
    </row>
    <row r="410" ht="15.75" customHeight="1">
      <c r="A410" s="81">
        <v>474.0</v>
      </c>
      <c r="B410" s="77">
        <v>25.0</v>
      </c>
      <c r="C410" s="77" t="s">
        <v>1190</v>
      </c>
      <c r="D410" s="77">
        <v>2.52610251E8</v>
      </c>
      <c r="E410" s="78" t="s">
        <v>403</v>
      </c>
      <c r="F410" s="77" t="s">
        <v>782</v>
      </c>
      <c r="G410" s="82" t="s">
        <v>69</v>
      </c>
      <c r="H410" s="82" t="str">
        <f>VLOOKUP(G410,MetaData!$A$2:$C$13,3,false)</f>
        <v>Eva Fauziah, S.Pd</v>
      </c>
      <c r="I410" s="82" t="s">
        <v>395</v>
      </c>
      <c r="J410" s="82" t="str">
        <f>VLOOKUP(I410,MetaData!$E$2:$G$40,3,false)</f>
        <v>Irghi (XII)</v>
      </c>
      <c r="K410" s="83"/>
    </row>
    <row r="411" ht="15.75" customHeight="1">
      <c r="A411" s="76">
        <v>475.0</v>
      </c>
      <c r="B411" s="77">
        <v>26.0</v>
      </c>
      <c r="C411" s="77" t="s">
        <v>1191</v>
      </c>
      <c r="D411" s="77">
        <v>2.52610262E8</v>
      </c>
      <c r="E411" s="78" t="s">
        <v>761</v>
      </c>
      <c r="F411" s="77" t="s">
        <v>784</v>
      </c>
      <c r="G411" s="79" t="s">
        <v>69</v>
      </c>
      <c r="H411" s="79" t="str">
        <f>VLOOKUP(G411,MetaData!$A$2:$C$13,3,false)</f>
        <v>Eva Fauziah, S.Pd</v>
      </c>
      <c r="I411" s="79" t="s">
        <v>749</v>
      </c>
      <c r="J411" s="79" t="str">
        <f>VLOOKUP(I411,MetaData!$E$2:$G$40,3,false)</f>
        <v>Citra</v>
      </c>
      <c r="K411" s="80"/>
    </row>
    <row r="412" ht="15.75" customHeight="1">
      <c r="A412" s="81">
        <v>476.0</v>
      </c>
      <c r="B412" s="77">
        <v>27.0</v>
      </c>
      <c r="C412" s="77" t="s">
        <v>1192</v>
      </c>
      <c r="D412" s="77">
        <v>2.52610272E8</v>
      </c>
      <c r="E412" s="78" t="s">
        <v>590</v>
      </c>
      <c r="F412" s="77" t="s">
        <v>784</v>
      </c>
      <c r="G412" s="82" t="s">
        <v>69</v>
      </c>
      <c r="H412" s="82" t="str">
        <f>VLOOKUP(G412,MetaData!$A$2:$C$13,3,false)</f>
        <v>Eva Fauziah, S.Pd</v>
      </c>
      <c r="I412" s="82" t="s">
        <v>589</v>
      </c>
      <c r="J412" s="82" t="str">
        <f>VLOOKUP(I412,MetaData!$E$2:$G$40,3,false)</f>
        <v>Lexa (XI)</v>
      </c>
      <c r="K412" s="83"/>
    </row>
    <row r="413" ht="15.75" customHeight="1">
      <c r="A413" s="76">
        <v>477.0</v>
      </c>
      <c r="B413" s="77">
        <v>28.0</v>
      </c>
      <c r="C413" s="77" t="s">
        <v>1193</v>
      </c>
      <c r="D413" s="77">
        <v>2.52610283E8</v>
      </c>
      <c r="E413" s="78" t="s">
        <v>591</v>
      </c>
      <c r="F413" s="77" t="s">
        <v>784</v>
      </c>
      <c r="G413" s="79" t="s">
        <v>69</v>
      </c>
      <c r="H413" s="79" t="str">
        <f>VLOOKUP(G413,MetaData!$A$2:$C$13,3,false)</f>
        <v>Eva Fauziah, S.Pd</v>
      </c>
      <c r="I413" s="79" t="s">
        <v>589</v>
      </c>
      <c r="J413" s="79" t="str">
        <f>VLOOKUP(I413,MetaData!$E$2:$G$40,3,false)</f>
        <v>Lexa (XI)</v>
      </c>
      <c r="K413" s="80"/>
    </row>
    <row r="414" ht="15.75" customHeight="1">
      <c r="A414" s="81">
        <v>478.0</v>
      </c>
      <c r="B414" s="77">
        <v>29.0</v>
      </c>
      <c r="C414" s="77" t="s">
        <v>1194</v>
      </c>
      <c r="D414" s="77">
        <v>2.52610305E8</v>
      </c>
      <c r="E414" s="78" t="s">
        <v>404</v>
      </c>
      <c r="F414" s="77" t="s">
        <v>782</v>
      </c>
      <c r="G414" s="82" t="s">
        <v>69</v>
      </c>
      <c r="H414" s="82" t="str">
        <f>VLOOKUP(G414,MetaData!$A$2:$C$13,3,false)</f>
        <v>Eva Fauziah, S.Pd</v>
      </c>
      <c r="I414" s="82" t="s">
        <v>395</v>
      </c>
      <c r="J414" s="82" t="str">
        <f>VLOOKUP(I414,MetaData!$E$2:$G$40,3,false)</f>
        <v>Irghi (XII)</v>
      </c>
      <c r="K414" s="83"/>
    </row>
    <row r="415" ht="15.75" customHeight="1">
      <c r="A415" s="76">
        <v>479.0</v>
      </c>
      <c r="B415" s="77">
        <v>30.0</v>
      </c>
      <c r="C415" s="77" t="s">
        <v>1195</v>
      </c>
      <c r="D415" s="77">
        <v>2.52610327E8</v>
      </c>
      <c r="E415" s="78" t="s">
        <v>405</v>
      </c>
      <c r="F415" s="77" t="s">
        <v>782</v>
      </c>
      <c r="G415" s="79" t="s">
        <v>69</v>
      </c>
      <c r="H415" s="79" t="str">
        <f>VLOOKUP(G415,MetaData!$A$2:$C$13,3,false)</f>
        <v>Eva Fauziah, S.Pd</v>
      </c>
      <c r="I415" s="79" t="s">
        <v>395</v>
      </c>
      <c r="J415" s="79" t="str">
        <f>VLOOKUP(I415,MetaData!$E$2:$G$40,3,false)</f>
        <v>Irghi (XII)</v>
      </c>
      <c r="K415" s="80"/>
    </row>
    <row r="416" ht="15.75" customHeight="1">
      <c r="A416" s="81">
        <v>480.0</v>
      </c>
      <c r="B416" s="77">
        <v>31.0</v>
      </c>
      <c r="C416" s="77" t="s">
        <v>1196</v>
      </c>
      <c r="D416" s="77">
        <v>2.52610335E8</v>
      </c>
      <c r="E416" s="78" t="s">
        <v>406</v>
      </c>
      <c r="F416" s="77" t="s">
        <v>782</v>
      </c>
      <c r="G416" s="82" t="s">
        <v>69</v>
      </c>
      <c r="H416" s="82" t="str">
        <f>VLOOKUP(G416,MetaData!$A$2:$C$13,3,false)</f>
        <v>Eva Fauziah, S.Pd</v>
      </c>
      <c r="I416" s="82" t="s">
        <v>395</v>
      </c>
      <c r="J416" s="82" t="str">
        <f>VLOOKUP(I416,MetaData!$E$2:$G$40,3,false)</f>
        <v>Irghi (XII)</v>
      </c>
      <c r="K416" s="83"/>
    </row>
    <row r="417" ht="15.75" customHeight="1">
      <c r="A417" s="76">
        <v>481.0</v>
      </c>
      <c r="B417" s="77">
        <v>32.0</v>
      </c>
      <c r="C417" s="77" t="s">
        <v>1197</v>
      </c>
      <c r="D417" s="77">
        <v>2.52610375E8</v>
      </c>
      <c r="E417" s="78" t="s">
        <v>235</v>
      </c>
      <c r="F417" s="77" t="s">
        <v>782</v>
      </c>
      <c r="G417" s="79" t="s">
        <v>69</v>
      </c>
      <c r="H417" s="79" t="str">
        <f>VLOOKUP(G417,MetaData!$A$2:$C$13,3,false)</f>
        <v>Eva Fauziah, S.Pd</v>
      </c>
      <c r="I417" s="79" t="s">
        <v>220</v>
      </c>
      <c r="J417" s="79" t="str">
        <f>VLOOKUP(I417,MetaData!$E$2:$G$40,3,false)</f>
        <v>Rekhsa</v>
      </c>
      <c r="K417" s="80"/>
    </row>
    <row r="418" ht="15.75" customHeight="1">
      <c r="A418" s="81">
        <v>482.0</v>
      </c>
      <c r="B418" s="77">
        <v>33.0</v>
      </c>
      <c r="C418" s="77" t="s">
        <v>1198</v>
      </c>
      <c r="D418" s="77">
        <v>2.52610396E8</v>
      </c>
      <c r="E418" s="78" t="s">
        <v>592</v>
      </c>
      <c r="F418" s="77" t="s">
        <v>784</v>
      </c>
      <c r="G418" s="82" t="s">
        <v>69</v>
      </c>
      <c r="H418" s="82" t="str">
        <f>VLOOKUP(G418,MetaData!$A$2:$C$13,3,false)</f>
        <v>Eva Fauziah, S.Pd</v>
      </c>
      <c r="I418" s="82" t="s">
        <v>589</v>
      </c>
      <c r="J418" s="82" t="str">
        <f>VLOOKUP(I418,MetaData!$E$2:$G$40,3,false)</f>
        <v>Lexa (XI)</v>
      </c>
      <c r="K418" s="83"/>
    </row>
    <row r="419" ht="15.75" customHeight="1">
      <c r="A419" s="76">
        <v>483.0</v>
      </c>
      <c r="B419" s="77">
        <v>34.0</v>
      </c>
      <c r="C419" s="77" t="s">
        <v>1199</v>
      </c>
      <c r="D419" s="77">
        <v>2.52610402E8</v>
      </c>
      <c r="E419" s="78" t="s">
        <v>407</v>
      </c>
      <c r="F419" s="77" t="s">
        <v>782</v>
      </c>
      <c r="G419" s="79" t="s">
        <v>69</v>
      </c>
      <c r="H419" s="79" t="str">
        <f>VLOOKUP(G419,MetaData!$A$2:$C$13,3,false)</f>
        <v>Eva Fauziah, S.Pd</v>
      </c>
      <c r="I419" s="79" t="s">
        <v>395</v>
      </c>
      <c r="J419" s="79" t="str">
        <f>VLOOKUP(I419,MetaData!$E$2:$G$40,3,false)</f>
        <v>Irghi (XII)</v>
      </c>
      <c r="K419" s="80"/>
    </row>
    <row r="420" ht="15.75" customHeight="1">
      <c r="A420" s="81">
        <v>484.0</v>
      </c>
      <c r="B420" s="77">
        <v>35.0</v>
      </c>
      <c r="C420" s="77" t="s">
        <v>1200</v>
      </c>
      <c r="D420" s="77">
        <v>2.52610403E8</v>
      </c>
      <c r="E420" s="78" t="s">
        <v>593</v>
      </c>
      <c r="F420" s="77" t="s">
        <v>784</v>
      </c>
      <c r="G420" s="82" t="s">
        <v>69</v>
      </c>
      <c r="H420" s="82" t="str">
        <f>VLOOKUP(G420,MetaData!$A$2:$C$13,3,false)</f>
        <v>Eva Fauziah, S.Pd</v>
      </c>
      <c r="I420" s="82" t="s">
        <v>589</v>
      </c>
      <c r="J420" s="82" t="str">
        <f>VLOOKUP(I420,MetaData!$E$2:$G$40,3,false)</f>
        <v>Lexa (XI)</v>
      </c>
      <c r="K420" s="83"/>
    </row>
    <row r="421" ht="15.75" customHeight="1">
      <c r="A421" s="76">
        <v>485.0</v>
      </c>
      <c r="B421" s="77">
        <v>37.0</v>
      </c>
      <c r="C421" s="77" t="s">
        <v>1201</v>
      </c>
      <c r="D421" s="77">
        <v>2.52610443E8</v>
      </c>
      <c r="E421" s="78" t="s">
        <v>594</v>
      </c>
      <c r="F421" s="77" t="s">
        <v>784</v>
      </c>
      <c r="G421" s="79" t="s">
        <v>69</v>
      </c>
      <c r="H421" s="79" t="str">
        <f>VLOOKUP(G421,MetaData!$A$2:$C$13,3,false)</f>
        <v>Eva Fauziah, S.Pd</v>
      </c>
      <c r="I421" s="79" t="s">
        <v>589</v>
      </c>
      <c r="J421" s="79" t="str">
        <f>VLOOKUP(I421,MetaData!$E$2:$G$40,3,false)</f>
        <v>Lexa (XI)</v>
      </c>
      <c r="K421" s="80"/>
    </row>
    <row r="422" ht="15.75" customHeight="1">
      <c r="A422" s="81">
        <v>486.0</v>
      </c>
      <c r="B422" s="77">
        <v>38.0</v>
      </c>
      <c r="C422" s="77" t="s">
        <v>1202</v>
      </c>
      <c r="D422" s="77">
        <v>2.52610459E8</v>
      </c>
      <c r="E422" s="78" t="s">
        <v>408</v>
      </c>
      <c r="F422" s="77" t="s">
        <v>782</v>
      </c>
      <c r="G422" s="82" t="s">
        <v>69</v>
      </c>
      <c r="H422" s="82" t="str">
        <f>VLOOKUP(G422,MetaData!$A$2:$C$13,3,false)</f>
        <v>Eva Fauziah, S.Pd</v>
      </c>
      <c r="I422" s="82" t="s">
        <v>395</v>
      </c>
      <c r="J422" s="82" t="str">
        <f>VLOOKUP(I422,MetaData!$E$2:$G$40,3,false)</f>
        <v>Irghi (XII)</v>
      </c>
      <c r="K422" s="83"/>
    </row>
    <row r="423" ht="15.75" customHeight="1">
      <c r="A423" s="76">
        <v>487.0</v>
      </c>
      <c r="B423" s="77">
        <v>39.0</v>
      </c>
      <c r="C423" s="77" t="s">
        <v>1203</v>
      </c>
      <c r="D423" s="77">
        <v>2.52610462E8</v>
      </c>
      <c r="E423" s="78" t="s">
        <v>595</v>
      </c>
      <c r="F423" s="77" t="s">
        <v>784</v>
      </c>
      <c r="G423" s="79" t="s">
        <v>69</v>
      </c>
      <c r="H423" s="79" t="str">
        <f>VLOOKUP(G423,MetaData!$A$2:$C$13,3,false)</f>
        <v>Eva Fauziah, S.Pd</v>
      </c>
      <c r="I423" s="79" t="s">
        <v>589</v>
      </c>
      <c r="J423" s="79" t="str">
        <f>VLOOKUP(I423,MetaData!$E$2:$G$40,3,false)</f>
        <v>Lexa (XI)</v>
      </c>
      <c r="K423" s="80"/>
    </row>
    <row r="424" ht="15.75" customHeight="1">
      <c r="A424" s="81">
        <v>488.0</v>
      </c>
      <c r="B424" s="77">
        <v>40.0</v>
      </c>
      <c r="C424" s="77" t="s">
        <v>1204</v>
      </c>
      <c r="D424" s="77">
        <v>2.52610469E8</v>
      </c>
      <c r="E424" s="78" t="s">
        <v>409</v>
      </c>
      <c r="F424" s="77" t="s">
        <v>782</v>
      </c>
      <c r="G424" s="82" t="s">
        <v>69</v>
      </c>
      <c r="H424" s="82" t="str">
        <f>VLOOKUP(G424,MetaData!$A$2:$C$13,3,false)</f>
        <v>Eva Fauziah, S.Pd</v>
      </c>
      <c r="I424" s="82" t="s">
        <v>395</v>
      </c>
      <c r="J424" s="82" t="str">
        <f>VLOOKUP(I424,MetaData!$E$2:$G$40,3,false)</f>
        <v>Irghi (XII)</v>
      </c>
      <c r="K424" s="83"/>
    </row>
    <row r="425" ht="15.75" customHeight="1">
      <c r="A425" s="76">
        <v>489.0</v>
      </c>
      <c r="B425" s="77">
        <v>41.0</v>
      </c>
      <c r="C425" s="77" t="s">
        <v>1205</v>
      </c>
      <c r="D425" s="77">
        <v>2.52610493E8</v>
      </c>
      <c r="E425" s="78" t="s">
        <v>596</v>
      </c>
      <c r="F425" s="77" t="s">
        <v>784</v>
      </c>
      <c r="G425" s="79" t="s">
        <v>69</v>
      </c>
      <c r="H425" s="79" t="str">
        <f>VLOOKUP(G425,MetaData!$A$2:$C$13,3,false)</f>
        <v>Eva Fauziah, S.Pd</v>
      </c>
      <c r="I425" s="79" t="s">
        <v>589</v>
      </c>
      <c r="J425" s="79" t="str">
        <f>VLOOKUP(I425,MetaData!$E$2:$G$40,3,false)</f>
        <v>Lexa (XI)</v>
      </c>
      <c r="K425" s="80"/>
    </row>
    <row r="426" ht="15.75" customHeight="1">
      <c r="A426" s="81">
        <v>490.0</v>
      </c>
      <c r="B426" s="77">
        <v>42.0</v>
      </c>
      <c r="C426" s="77" t="s">
        <v>1206</v>
      </c>
      <c r="D426" s="77">
        <v>2.52610509E8</v>
      </c>
      <c r="E426" s="78" t="s">
        <v>597</v>
      </c>
      <c r="F426" s="77" t="s">
        <v>784</v>
      </c>
      <c r="G426" s="82" t="s">
        <v>69</v>
      </c>
      <c r="H426" s="82" t="str">
        <f>VLOOKUP(G426,MetaData!$A$2:$C$13,3,false)</f>
        <v>Eva Fauziah, S.Pd</v>
      </c>
      <c r="I426" s="82" t="s">
        <v>589</v>
      </c>
      <c r="J426" s="82" t="str">
        <f>VLOOKUP(I426,MetaData!$E$2:$G$40,3,false)</f>
        <v>Lexa (XI)</v>
      </c>
      <c r="K426" s="83"/>
    </row>
    <row r="427" ht="15.75" customHeight="1">
      <c r="A427" s="76">
        <v>491.0</v>
      </c>
      <c r="B427" s="77">
        <v>43.0</v>
      </c>
      <c r="C427" s="77" t="s">
        <v>1207</v>
      </c>
      <c r="D427" s="77">
        <v>2.5261051E8</v>
      </c>
      <c r="E427" s="78" t="s">
        <v>598</v>
      </c>
      <c r="F427" s="77" t="s">
        <v>784</v>
      </c>
      <c r="G427" s="79" t="s">
        <v>69</v>
      </c>
      <c r="H427" s="79" t="str">
        <f>VLOOKUP(G427,MetaData!$A$2:$C$13,3,false)</f>
        <v>Eva Fauziah, S.Pd</v>
      </c>
      <c r="I427" s="79" t="s">
        <v>589</v>
      </c>
      <c r="J427" s="79" t="str">
        <f>VLOOKUP(I427,MetaData!$E$2:$G$40,3,false)</f>
        <v>Lexa (XI)</v>
      </c>
      <c r="K427" s="80"/>
    </row>
    <row r="428" ht="15.75" customHeight="1">
      <c r="A428" s="81">
        <v>492.0</v>
      </c>
      <c r="B428" s="77">
        <v>44.0</v>
      </c>
      <c r="C428" s="77" t="s">
        <v>1208</v>
      </c>
      <c r="D428" s="77">
        <v>2.52610521E8</v>
      </c>
      <c r="E428" s="78" t="s">
        <v>599</v>
      </c>
      <c r="F428" s="77" t="s">
        <v>784</v>
      </c>
      <c r="G428" s="82" t="s">
        <v>69</v>
      </c>
      <c r="H428" s="82" t="str">
        <f>VLOOKUP(G428,MetaData!$A$2:$C$13,3,false)</f>
        <v>Eva Fauziah, S.Pd</v>
      </c>
      <c r="I428" s="82" t="s">
        <v>589</v>
      </c>
      <c r="J428" s="82" t="str">
        <f>VLOOKUP(I428,MetaData!$E$2:$G$40,3,false)</f>
        <v>Lexa (XI)</v>
      </c>
      <c r="K428" s="83"/>
    </row>
    <row r="429" ht="15.75" customHeight="1">
      <c r="A429" s="76">
        <v>493.0</v>
      </c>
      <c r="B429" s="77">
        <v>45.0</v>
      </c>
      <c r="C429" s="77" t="s">
        <v>1209</v>
      </c>
      <c r="D429" s="77">
        <v>2.52610526E8</v>
      </c>
      <c r="E429" s="78" t="s">
        <v>600</v>
      </c>
      <c r="F429" s="77" t="s">
        <v>784</v>
      </c>
      <c r="G429" s="79" t="s">
        <v>69</v>
      </c>
      <c r="H429" s="79" t="str">
        <f>VLOOKUP(G429,MetaData!$A$2:$C$13,3,false)</f>
        <v>Eva Fauziah, S.Pd</v>
      </c>
      <c r="I429" s="79" t="s">
        <v>589</v>
      </c>
      <c r="J429" s="79" t="str">
        <f>VLOOKUP(I429,MetaData!$E$2:$G$40,3,false)</f>
        <v>Lexa (XI)</v>
      </c>
      <c r="K429" s="80"/>
    </row>
    <row r="430" ht="15.75" customHeight="1">
      <c r="A430" s="85">
        <v>501.0</v>
      </c>
      <c r="B430" s="77">
        <v>1.0</v>
      </c>
      <c r="C430" s="77" t="s">
        <v>1210</v>
      </c>
      <c r="D430" s="77">
        <v>2.5261001E8</v>
      </c>
      <c r="E430" s="78" t="s">
        <v>737</v>
      </c>
      <c r="F430" s="77" t="s">
        <v>784</v>
      </c>
      <c r="G430" s="82" t="s">
        <v>74</v>
      </c>
      <c r="H430" s="82" t="str">
        <f>VLOOKUP(G430,MetaData!$A$2:$C$13,3,false)</f>
        <v>Rahmalia Dewi, S.Si</v>
      </c>
      <c r="I430" s="82" t="s">
        <v>736</v>
      </c>
      <c r="J430" s="82" t="str">
        <f>VLOOKUP(I430,MetaData!$E$2:$G$40,3,false)</f>
        <v>Kusniawati</v>
      </c>
      <c r="K430" s="83"/>
    </row>
    <row r="431" ht="15.75" customHeight="1">
      <c r="A431" s="84">
        <v>502.0</v>
      </c>
      <c r="B431" s="77">
        <v>2.0</v>
      </c>
      <c r="C431" s="77" t="s">
        <v>1211</v>
      </c>
      <c r="D431" s="77">
        <v>2.52610031E8</v>
      </c>
      <c r="E431" s="78" t="s">
        <v>738</v>
      </c>
      <c r="F431" s="77" t="s">
        <v>784</v>
      </c>
      <c r="G431" s="79" t="s">
        <v>74</v>
      </c>
      <c r="H431" s="79" t="str">
        <f>VLOOKUP(G431,MetaData!$A$2:$C$13,3,false)</f>
        <v>Rahmalia Dewi, S.Si</v>
      </c>
      <c r="I431" s="79" t="s">
        <v>736</v>
      </c>
      <c r="J431" s="79" t="str">
        <f>VLOOKUP(I431,MetaData!$E$2:$G$40,3,false)</f>
        <v>Kusniawati</v>
      </c>
      <c r="K431" s="80"/>
    </row>
    <row r="432" ht="15.75" customHeight="1">
      <c r="A432" s="85">
        <v>503.0</v>
      </c>
      <c r="B432" s="77">
        <v>3.0</v>
      </c>
      <c r="C432" s="77" t="s">
        <v>1212</v>
      </c>
      <c r="D432" s="77">
        <v>2.52610033E8</v>
      </c>
      <c r="E432" s="78" t="s">
        <v>378</v>
      </c>
      <c r="F432" s="77" t="s">
        <v>782</v>
      </c>
      <c r="G432" s="82" t="s">
        <v>74</v>
      </c>
      <c r="H432" s="82" t="str">
        <f>VLOOKUP(G432,MetaData!$A$2:$C$13,3,false)</f>
        <v>Rahmalia Dewi, S.Si</v>
      </c>
      <c r="I432" s="82" t="s">
        <v>377</v>
      </c>
      <c r="J432" s="82" t="str">
        <f>VLOOKUP(I432,MetaData!$E$2:$G$40,3,false)</f>
        <v>Khadafi (XII)</v>
      </c>
      <c r="K432" s="83"/>
    </row>
    <row r="433" ht="15.75" customHeight="1">
      <c r="A433" s="84">
        <v>504.0</v>
      </c>
      <c r="B433" s="77">
        <v>4.0</v>
      </c>
      <c r="C433" s="77" t="s">
        <v>1213</v>
      </c>
      <c r="D433" s="77">
        <v>2.52610047E8</v>
      </c>
      <c r="E433" s="78" t="s">
        <v>739</v>
      </c>
      <c r="F433" s="77" t="s">
        <v>784</v>
      </c>
      <c r="G433" s="79" t="s">
        <v>74</v>
      </c>
      <c r="H433" s="79" t="str">
        <f>VLOOKUP(G433,MetaData!$A$2:$C$13,3,false)</f>
        <v>Rahmalia Dewi, S.Si</v>
      </c>
      <c r="I433" s="79" t="s">
        <v>736</v>
      </c>
      <c r="J433" s="79" t="str">
        <f>VLOOKUP(I433,MetaData!$E$2:$G$40,3,false)</f>
        <v>Kusniawati</v>
      </c>
      <c r="K433" s="80"/>
    </row>
    <row r="434" ht="15.75" customHeight="1">
      <c r="A434" s="85">
        <v>505.0</v>
      </c>
      <c r="B434" s="77">
        <v>5.0</v>
      </c>
      <c r="C434" s="77" t="s">
        <v>1214</v>
      </c>
      <c r="D434" s="77">
        <v>2.52610066E8</v>
      </c>
      <c r="E434" s="78" t="s">
        <v>740</v>
      </c>
      <c r="F434" s="77" t="s">
        <v>784</v>
      </c>
      <c r="G434" s="82" t="s">
        <v>74</v>
      </c>
      <c r="H434" s="82" t="str">
        <f>VLOOKUP(G434,MetaData!$A$2:$C$13,3,false)</f>
        <v>Rahmalia Dewi, S.Si</v>
      </c>
      <c r="I434" s="82" t="s">
        <v>736</v>
      </c>
      <c r="J434" s="82" t="str">
        <f>VLOOKUP(I434,MetaData!$E$2:$G$40,3,false)</f>
        <v>Kusniawati</v>
      </c>
      <c r="K434" s="83"/>
    </row>
    <row r="435" ht="15.75" customHeight="1">
      <c r="A435" s="84">
        <v>506.0</v>
      </c>
      <c r="B435" s="77">
        <v>6.0</v>
      </c>
      <c r="C435" s="77" t="s">
        <v>1215</v>
      </c>
      <c r="D435" s="77">
        <v>2.52610085E8</v>
      </c>
      <c r="E435" s="78" t="s">
        <v>741</v>
      </c>
      <c r="F435" s="77" t="s">
        <v>784</v>
      </c>
      <c r="G435" s="79" t="s">
        <v>74</v>
      </c>
      <c r="H435" s="79" t="str">
        <f>VLOOKUP(G435,MetaData!$A$2:$C$13,3,false)</f>
        <v>Rahmalia Dewi, S.Si</v>
      </c>
      <c r="I435" s="79" t="s">
        <v>736</v>
      </c>
      <c r="J435" s="79" t="str">
        <f>VLOOKUP(I435,MetaData!$E$2:$G$40,3,false)</f>
        <v>Kusniawati</v>
      </c>
      <c r="K435" s="80"/>
    </row>
    <row r="436" ht="15.75" customHeight="1">
      <c r="A436" s="85">
        <v>507.0</v>
      </c>
      <c r="B436" s="77">
        <v>7.0</v>
      </c>
      <c r="C436" s="77" t="s">
        <v>1216</v>
      </c>
      <c r="D436" s="77">
        <v>2.52610098E8</v>
      </c>
      <c r="E436" s="78" t="s">
        <v>446</v>
      </c>
      <c r="F436" s="77" t="s">
        <v>784</v>
      </c>
      <c r="G436" s="82" t="s">
        <v>74</v>
      </c>
      <c r="H436" s="82" t="str">
        <f>VLOOKUP(G436,MetaData!$A$2:$C$13,3,false)</f>
        <v>Rahmalia Dewi, S.Si</v>
      </c>
      <c r="I436" s="82" t="s">
        <v>443</v>
      </c>
      <c r="J436" s="82" t="str">
        <f>VLOOKUP(I436,MetaData!$E$2:$G$40,3,false)</f>
        <v>Ayun</v>
      </c>
      <c r="K436" s="83"/>
    </row>
    <row r="437" ht="15.75" customHeight="1">
      <c r="A437" s="84">
        <v>508.0</v>
      </c>
      <c r="B437" s="77">
        <v>8.0</v>
      </c>
      <c r="C437" s="77" t="s">
        <v>1217</v>
      </c>
      <c r="D437" s="77">
        <v>2.52610105E8</v>
      </c>
      <c r="E437" s="78" t="s">
        <v>379</v>
      </c>
      <c r="F437" s="77" t="s">
        <v>782</v>
      </c>
      <c r="G437" s="79" t="s">
        <v>74</v>
      </c>
      <c r="H437" s="79" t="str">
        <f>VLOOKUP(G437,MetaData!$A$2:$C$13,3,false)</f>
        <v>Rahmalia Dewi, S.Si</v>
      </c>
      <c r="I437" s="79" t="s">
        <v>377</v>
      </c>
      <c r="J437" s="79" t="str">
        <f>VLOOKUP(I437,MetaData!$E$2:$G$40,3,false)</f>
        <v>Khadafi (XII)</v>
      </c>
      <c r="K437" s="80"/>
    </row>
    <row r="438" ht="15.75" customHeight="1">
      <c r="A438" s="85">
        <v>509.0</v>
      </c>
      <c r="B438" s="77">
        <v>9.0</v>
      </c>
      <c r="C438" s="77" t="s">
        <v>1218</v>
      </c>
      <c r="D438" s="77">
        <v>2.5261011E8</v>
      </c>
      <c r="E438" s="78" t="s">
        <v>380</v>
      </c>
      <c r="F438" s="77" t="s">
        <v>782</v>
      </c>
      <c r="G438" s="82" t="s">
        <v>74</v>
      </c>
      <c r="H438" s="82" t="str">
        <f>VLOOKUP(G438,MetaData!$A$2:$C$13,3,false)</f>
        <v>Rahmalia Dewi, S.Si</v>
      </c>
      <c r="I438" s="82" t="s">
        <v>377</v>
      </c>
      <c r="J438" s="82" t="str">
        <f>VLOOKUP(I438,MetaData!$E$2:$G$40,3,false)</f>
        <v>Khadafi (XII)</v>
      </c>
      <c r="K438" s="83"/>
    </row>
    <row r="439" ht="15.75" customHeight="1">
      <c r="A439" s="84">
        <v>510.0</v>
      </c>
      <c r="B439" s="77">
        <v>10.0</v>
      </c>
      <c r="C439" s="77" t="s">
        <v>1219</v>
      </c>
      <c r="D439" s="77">
        <v>2.52610111E8</v>
      </c>
      <c r="E439" s="78" t="s">
        <v>381</v>
      </c>
      <c r="F439" s="77" t="s">
        <v>782</v>
      </c>
      <c r="G439" s="79" t="s">
        <v>74</v>
      </c>
      <c r="H439" s="79" t="str">
        <f>VLOOKUP(G439,MetaData!$A$2:$C$13,3,false)</f>
        <v>Rahmalia Dewi, S.Si</v>
      </c>
      <c r="I439" s="79" t="s">
        <v>377</v>
      </c>
      <c r="J439" s="79" t="str">
        <f>VLOOKUP(I439,MetaData!$E$2:$G$40,3,false)</f>
        <v>Khadafi (XII)</v>
      </c>
      <c r="K439" s="80"/>
    </row>
    <row r="440" ht="15.75" customHeight="1">
      <c r="A440" s="85">
        <v>511.0</v>
      </c>
      <c r="B440" s="77">
        <v>11.0</v>
      </c>
      <c r="C440" s="77" t="s">
        <v>1220</v>
      </c>
      <c r="D440" s="77">
        <v>2.52610112E8</v>
      </c>
      <c r="E440" s="78" t="s">
        <v>742</v>
      </c>
      <c r="F440" s="77" t="s">
        <v>784</v>
      </c>
      <c r="G440" s="82" t="s">
        <v>74</v>
      </c>
      <c r="H440" s="82" t="str">
        <f>VLOOKUP(G440,MetaData!$A$2:$C$13,3,false)</f>
        <v>Rahmalia Dewi, S.Si</v>
      </c>
      <c r="I440" s="82" t="s">
        <v>736</v>
      </c>
      <c r="J440" s="82" t="str">
        <f>VLOOKUP(I440,MetaData!$E$2:$G$40,3,false)</f>
        <v>Kusniawati</v>
      </c>
      <c r="K440" s="83"/>
    </row>
    <row r="441" ht="15.75" customHeight="1">
      <c r="A441" s="84">
        <v>512.0</v>
      </c>
      <c r="B441" s="77">
        <v>12.0</v>
      </c>
      <c r="C441" s="77" t="s">
        <v>1221</v>
      </c>
      <c r="D441" s="77">
        <v>2.52610114E8</v>
      </c>
      <c r="E441" s="78" t="s">
        <v>743</v>
      </c>
      <c r="F441" s="77" t="s">
        <v>784</v>
      </c>
      <c r="G441" s="79" t="s">
        <v>74</v>
      </c>
      <c r="H441" s="79" t="str">
        <f>VLOOKUP(G441,MetaData!$A$2:$C$13,3,false)</f>
        <v>Rahmalia Dewi, S.Si</v>
      </c>
      <c r="I441" s="79" t="s">
        <v>736</v>
      </c>
      <c r="J441" s="79" t="str">
        <f>VLOOKUP(I441,MetaData!$E$2:$G$40,3,false)</f>
        <v>Kusniawati</v>
      </c>
      <c r="K441" s="80"/>
    </row>
    <row r="442" ht="15.75" customHeight="1">
      <c r="A442" s="85">
        <v>513.0</v>
      </c>
      <c r="B442" s="77">
        <v>13.0</v>
      </c>
      <c r="C442" s="77" t="s">
        <v>1222</v>
      </c>
      <c r="D442" s="77">
        <v>2.52610116E8</v>
      </c>
      <c r="E442" s="78" t="s">
        <v>744</v>
      </c>
      <c r="F442" s="77" t="s">
        <v>784</v>
      </c>
      <c r="G442" s="82" t="s">
        <v>74</v>
      </c>
      <c r="H442" s="82" t="str">
        <f>VLOOKUP(G442,MetaData!$A$2:$C$13,3,false)</f>
        <v>Rahmalia Dewi, S.Si</v>
      </c>
      <c r="I442" s="82" t="s">
        <v>736</v>
      </c>
      <c r="J442" s="82" t="str">
        <f>VLOOKUP(I442,MetaData!$E$2:$G$40,3,false)</f>
        <v>Kusniawati</v>
      </c>
      <c r="K442" s="83"/>
    </row>
    <row r="443" ht="15.75" customHeight="1">
      <c r="A443" s="84">
        <v>514.0</v>
      </c>
      <c r="B443" s="77">
        <v>14.0</v>
      </c>
      <c r="C443" s="77" t="s">
        <v>1223</v>
      </c>
      <c r="D443" s="77">
        <v>2.52610131E8</v>
      </c>
      <c r="E443" s="78" t="s">
        <v>745</v>
      </c>
      <c r="F443" s="77" t="s">
        <v>784</v>
      </c>
      <c r="G443" s="79" t="s">
        <v>74</v>
      </c>
      <c r="H443" s="79" t="str">
        <f>VLOOKUP(G443,MetaData!$A$2:$C$13,3,false)</f>
        <v>Rahmalia Dewi, S.Si</v>
      </c>
      <c r="I443" s="79" t="s">
        <v>736</v>
      </c>
      <c r="J443" s="79" t="str">
        <f>VLOOKUP(I443,MetaData!$E$2:$G$40,3,false)</f>
        <v>Kusniawati</v>
      </c>
      <c r="K443" s="80"/>
    </row>
    <row r="444" ht="15.75" customHeight="1">
      <c r="A444" s="85">
        <v>515.0</v>
      </c>
      <c r="B444" s="77">
        <v>16.0</v>
      </c>
      <c r="C444" s="77" t="s">
        <v>1224</v>
      </c>
      <c r="D444" s="77">
        <v>2.52610184E8</v>
      </c>
      <c r="E444" s="78" t="s">
        <v>382</v>
      </c>
      <c r="F444" s="77" t="s">
        <v>782</v>
      </c>
      <c r="G444" s="82" t="s">
        <v>74</v>
      </c>
      <c r="H444" s="82" t="str">
        <f>VLOOKUP(G444,MetaData!$A$2:$C$13,3,false)</f>
        <v>Rahmalia Dewi, S.Si</v>
      </c>
      <c r="I444" s="82" t="s">
        <v>377</v>
      </c>
      <c r="J444" s="82" t="str">
        <f>VLOOKUP(I444,MetaData!$E$2:$G$40,3,false)</f>
        <v>Khadafi (XII)</v>
      </c>
      <c r="K444" s="83"/>
    </row>
    <row r="445" ht="15.75" customHeight="1">
      <c r="A445" s="84">
        <v>516.0</v>
      </c>
      <c r="B445" s="77">
        <v>17.0</v>
      </c>
      <c r="C445" s="77" t="s">
        <v>1225</v>
      </c>
      <c r="D445" s="77">
        <v>2.52610196E8</v>
      </c>
      <c r="E445" s="78" t="s">
        <v>746</v>
      </c>
      <c r="F445" s="77" t="s">
        <v>784</v>
      </c>
      <c r="G445" s="79" t="s">
        <v>74</v>
      </c>
      <c r="H445" s="79" t="str">
        <f>VLOOKUP(G445,MetaData!$A$2:$C$13,3,false)</f>
        <v>Rahmalia Dewi, S.Si</v>
      </c>
      <c r="I445" s="79" t="s">
        <v>736</v>
      </c>
      <c r="J445" s="79" t="str">
        <f>VLOOKUP(I445,MetaData!$E$2:$G$40,3,false)</f>
        <v>Kusniawati</v>
      </c>
      <c r="K445" s="80"/>
    </row>
    <row r="446" ht="15.75" customHeight="1">
      <c r="A446" s="85">
        <v>517.0</v>
      </c>
      <c r="B446" s="77">
        <v>18.0</v>
      </c>
      <c r="C446" s="77" t="s">
        <v>1226</v>
      </c>
      <c r="D446" s="77">
        <v>2.52610217E8</v>
      </c>
      <c r="E446" s="78" t="s">
        <v>747</v>
      </c>
      <c r="F446" s="77" t="s">
        <v>784</v>
      </c>
      <c r="G446" s="82" t="s">
        <v>74</v>
      </c>
      <c r="H446" s="82" t="str">
        <f>VLOOKUP(G446,MetaData!$A$2:$C$13,3,false)</f>
        <v>Rahmalia Dewi, S.Si</v>
      </c>
      <c r="I446" s="82" t="s">
        <v>736</v>
      </c>
      <c r="J446" s="82" t="str">
        <f>VLOOKUP(I446,MetaData!$E$2:$G$40,3,false)</f>
        <v>Kusniawati</v>
      </c>
      <c r="K446" s="83"/>
    </row>
    <row r="447" ht="15.75" customHeight="1">
      <c r="A447" s="84">
        <v>518.0</v>
      </c>
      <c r="B447" s="77">
        <v>20.0</v>
      </c>
      <c r="C447" s="77" t="s">
        <v>1227</v>
      </c>
      <c r="D447" s="77">
        <v>2.52610241E8</v>
      </c>
      <c r="E447" s="78" t="s">
        <v>748</v>
      </c>
      <c r="F447" s="77" t="s">
        <v>784</v>
      </c>
      <c r="G447" s="79" t="s">
        <v>74</v>
      </c>
      <c r="H447" s="79" t="str">
        <f>VLOOKUP(G447,MetaData!$A$2:$C$13,3,false)</f>
        <v>Rahmalia Dewi, S.Si</v>
      </c>
      <c r="I447" s="79" t="s">
        <v>736</v>
      </c>
      <c r="J447" s="79" t="str">
        <f>VLOOKUP(I447,MetaData!$E$2:$G$40,3,false)</f>
        <v>Kusniawati</v>
      </c>
      <c r="K447" s="80"/>
    </row>
    <row r="448" ht="15.75" customHeight="1">
      <c r="A448" s="85">
        <v>519.0</v>
      </c>
      <c r="B448" s="77">
        <v>21.0</v>
      </c>
      <c r="C448" s="77" t="s">
        <v>1228</v>
      </c>
      <c r="D448" s="77">
        <v>2.52610253E8</v>
      </c>
      <c r="E448" s="78" t="s">
        <v>578</v>
      </c>
      <c r="F448" s="77" t="s">
        <v>784</v>
      </c>
      <c r="G448" s="82" t="s">
        <v>74</v>
      </c>
      <c r="H448" s="82" t="str">
        <f>VLOOKUP(G448,MetaData!$A$2:$C$13,3,false)</f>
        <v>Rahmalia Dewi, S.Si</v>
      </c>
      <c r="I448" s="82" t="s">
        <v>577</v>
      </c>
      <c r="J448" s="82" t="str">
        <f>VLOOKUP(I448,MetaData!$E$2:$G$40,3,false)</f>
        <v>Annisa Alya (XII)</v>
      </c>
      <c r="K448" s="83"/>
    </row>
    <row r="449" ht="15.75" customHeight="1">
      <c r="A449" s="84">
        <v>520.0</v>
      </c>
      <c r="B449" s="77">
        <v>22.0</v>
      </c>
      <c r="C449" s="77" t="s">
        <v>1229</v>
      </c>
      <c r="D449" s="77">
        <v>2.52610289E8</v>
      </c>
      <c r="E449" s="78" t="s">
        <v>383</v>
      </c>
      <c r="F449" s="77" t="s">
        <v>782</v>
      </c>
      <c r="G449" s="79" t="s">
        <v>74</v>
      </c>
      <c r="H449" s="79" t="str">
        <f>VLOOKUP(G449,MetaData!$A$2:$C$13,3,false)</f>
        <v>Rahmalia Dewi, S.Si</v>
      </c>
      <c r="I449" s="79" t="s">
        <v>377</v>
      </c>
      <c r="J449" s="79" t="str">
        <f>VLOOKUP(I449,MetaData!$E$2:$G$40,3,false)</f>
        <v>Khadafi (XII)</v>
      </c>
      <c r="K449" s="80"/>
    </row>
    <row r="450" ht="15.75" customHeight="1">
      <c r="A450" s="85">
        <v>521.0</v>
      </c>
      <c r="B450" s="77">
        <v>23.0</v>
      </c>
      <c r="C450" s="77" t="s">
        <v>1230</v>
      </c>
      <c r="D450" s="77">
        <v>2.52610292E8</v>
      </c>
      <c r="E450" s="78" t="s">
        <v>579</v>
      </c>
      <c r="F450" s="77" t="s">
        <v>784</v>
      </c>
      <c r="G450" s="82" t="s">
        <v>74</v>
      </c>
      <c r="H450" s="82" t="str">
        <f>VLOOKUP(G450,MetaData!$A$2:$C$13,3,false)</f>
        <v>Rahmalia Dewi, S.Si</v>
      </c>
      <c r="I450" s="82" t="s">
        <v>577</v>
      </c>
      <c r="J450" s="82" t="str">
        <f>VLOOKUP(I450,MetaData!$E$2:$G$40,3,false)</f>
        <v>Annisa Alya (XII)</v>
      </c>
      <c r="K450" s="83"/>
    </row>
    <row r="451" ht="15.75" customHeight="1">
      <c r="A451" s="84">
        <v>522.0</v>
      </c>
      <c r="B451" s="77">
        <v>24.0</v>
      </c>
      <c r="C451" s="77" t="s">
        <v>1231</v>
      </c>
      <c r="D451" s="77">
        <v>2.52610295E8</v>
      </c>
      <c r="E451" s="78" t="s">
        <v>580</v>
      </c>
      <c r="F451" s="77" t="s">
        <v>784</v>
      </c>
      <c r="G451" s="79" t="s">
        <v>74</v>
      </c>
      <c r="H451" s="79" t="str">
        <f>VLOOKUP(G451,MetaData!$A$2:$C$13,3,false)</f>
        <v>Rahmalia Dewi, S.Si</v>
      </c>
      <c r="I451" s="79" t="s">
        <v>577</v>
      </c>
      <c r="J451" s="79" t="str">
        <f>VLOOKUP(I451,MetaData!$E$2:$G$40,3,false)</f>
        <v>Annisa Alya (XII)</v>
      </c>
      <c r="K451" s="80"/>
    </row>
    <row r="452" ht="15.75" customHeight="1">
      <c r="A452" s="85">
        <v>523.0</v>
      </c>
      <c r="B452" s="77">
        <v>25.0</v>
      </c>
      <c r="C452" s="77" t="s">
        <v>1232</v>
      </c>
      <c r="D452" s="77">
        <v>2.5261031E8</v>
      </c>
      <c r="E452" s="78" t="s">
        <v>384</v>
      </c>
      <c r="F452" s="77" t="s">
        <v>782</v>
      </c>
      <c r="G452" s="82" t="s">
        <v>74</v>
      </c>
      <c r="H452" s="82" t="str">
        <f>VLOOKUP(G452,MetaData!$A$2:$C$13,3,false)</f>
        <v>Rahmalia Dewi, S.Si</v>
      </c>
      <c r="I452" s="82" t="s">
        <v>377</v>
      </c>
      <c r="J452" s="82" t="str">
        <f>VLOOKUP(I452,MetaData!$E$2:$G$40,3,false)</f>
        <v>Khadafi (XII)</v>
      </c>
      <c r="K452" s="83"/>
    </row>
    <row r="453" ht="15.75" customHeight="1">
      <c r="A453" s="84">
        <v>524.0</v>
      </c>
      <c r="B453" s="77">
        <v>26.0</v>
      </c>
      <c r="C453" s="77" t="s">
        <v>1233</v>
      </c>
      <c r="D453" s="77">
        <v>2.52610315E8</v>
      </c>
      <c r="E453" s="78" t="s">
        <v>385</v>
      </c>
      <c r="F453" s="77" t="s">
        <v>782</v>
      </c>
      <c r="G453" s="79" t="s">
        <v>74</v>
      </c>
      <c r="H453" s="79" t="str">
        <f>VLOOKUP(G453,MetaData!$A$2:$C$13,3,false)</f>
        <v>Rahmalia Dewi, S.Si</v>
      </c>
      <c r="I453" s="79" t="s">
        <v>377</v>
      </c>
      <c r="J453" s="79" t="str">
        <f>VLOOKUP(I453,MetaData!$E$2:$G$40,3,false)</f>
        <v>Khadafi (XII)</v>
      </c>
      <c r="K453" s="80"/>
    </row>
    <row r="454" ht="15.75" customHeight="1">
      <c r="A454" s="85">
        <v>525.0</v>
      </c>
      <c r="B454" s="77">
        <v>27.0</v>
      </c>
      <c r="C454" s="77" t="s">
        <v>1234</v>
      </c>
      <c r="D454" s="77">
        <v>2.52610328E8</v>
      </c>
      <c r="E454" s="78" t="s">
        <v>386</v>
      </c>
      <c r="F454" s="77" t="s">
        <v>782</v>
      </c>
      <c r="G454" s="82" t="s">
        <v>74</v>
      </c>
      <c r="H454" s="82" t="str">
        <f>VLOOKUP(G454,MetaData!$A$2:$C$13,3,false)</f>
        <v>Rahmalia Dewi, S.Si</v>
      </c>
      <c r="I454" s="82" t="s">
        <v>377</v>
      </c>
      <c r="J454" s="82" t="str">
        <f>VLOOKUP(I454,MetaData!$E$2:$G$40,3,false)</f>
        <v>Khadafi (XII)</v>
      </c>
      <c r="K454" s="83"/>
    </row>
    <row r="455" ht="15.75" customHeight="1">
      <c r="A455" s="84">
        <v>526.0</v>
      </c>
      <c r="B455" s="77">
        <v>28.0</v>
      </c>
      <c r="C455" s="77" t="s">
        <v>1235</v>
      </c>
      <c r="D455" s="77">
        <v>2.52610346E8</v>
      </c>
      <c r="E455" s="78" t="s">
        <v>387</v>
      </c>
      <c r="F455" s="77" t="s">
        <v>782</v>
      </c>
      <c r="G455" s="79" t="s">
        <v>74</v>
      </c>
      <c r="H455" s="79" t="str">
        <f>VLOOKUP(G455,MetaData!$A$2:$C$13,3,false)</f>
        <v>Rahmalia Dewi, S.Si</v>
      </c>
      <c r="I455" s="79" t="s">
        <v>377</v>
      </c>
      <c r="J455" s="79" t="str">
        <f>VLOOKUP(I455,MetaData!$E$2:$G$40,3,false)</f>
        <v>Khadafi (XII)</v>
      </c>
      <c r="K455" s="80"/>
    </row>
    <row r="456" ht="15.75" customHeight="1">
      <c r="A456" s="85">
        <v>527.0</v>
      </c>
      <c r="B456" s="77">
        <v>29.0</v>
      </c>
      <c r="C456" s="77" t="s">
        <v>1236</v>
      </c>
      <c r="D456" s="77">
        <v>2.52610348E8</v>
      </c>
      <c r="E456" s="78" t="s">
        <v>388</v>
      </c>
      <c r="F456" s="77" t="s">
        <v>782</v>
      </c>
      <c r="G456" s="82" t="s">
        <v>74</v>
      </c>
      <c r="H456" s="82" t="str">
        <f>VLOOKUP(G456,MetaData!$A$2:$C$13,3,false)</f>
        <v>Rahmalia Dewi, S.Si</v>
      </c>
      <c r="I456" s="82" t="s">
        <v>377</v>
      </c>
      <c r="J456" s="82" t="str">
        <f>VLOOKUP(I456,MetaData!$E$2:$G$40,3,false)</f>
        <v>Khadafi (XII)</v>
      </c>
      <c r="K456" s="83"/>
    </row>
    <row r="457" ht="15.75" customHeight="1">
      <c r="A457" s="84">
        <v>528.0</v>
      </c>
      <c r="B457" s="77">
        <v>30.0</v>
      </c>
      <c r="C457" s="77" t="s">
        <v>1237</v>
      </c>
      <c r="D457" s="77">
        <v>2.52610356E8</v>
      </c>
      <c r="E457" s="78" t="s">
        <v>389</v>
      </c>
      <c r="F457" s="77" t="s">
        <v>782</v>
      </c>
      <c r="G457" s="79" t="s">
        <v>74</v>
      </c>
      <c r="H457" s="79" t="str">
        <f>VLOOKUP(G457,MetaData!$A$2:$C$13,3,false)</f>
        <v>Rahmalia Dewi, S.Si</v>
      </c>
      <c r="I457" s="79" t="s">
        <v>377</v>
      </c>
      <c r="J457" s="79" t="str">
        <f>VLOOKUP(I457,MetaData!$E$2:$G$40,3,false)</f>
        <v>Khadafi (XII)</v>
      </c>
      <c r="K457" s="80"/>
    </row>
    <row r="458" ht="15.75" customHeight="1">
      <c r="A458" s="85">
        <v>529.0</v>
      </c>
      <c r="B458" s="77">
        <v>31.0</v>
      </c>
      <c r="C458" s="77" t="s">
        <v>1238</v>
      </c>
      <c r="D458" s="77">
        <v>2.52610367E8</v>
      </c>
      <c r="E458" s="78" t="s">
        <v>390</v>
      </c>
      <c r="F458" s="77" t="s">
        <v>782</v>
      </c>
      <c r="G458" s="82" t="s">
        <v>74</v>
      </c>
      <c r="H458" s="82" t="str">
        <f>VLOOKUP(G458,MetaData!$A$2:$C$13,3,false)</f>
        <v>Rahmalia Dewi, S.Si</v>
      </c>
      <c r="I458" s="82" t="s">
        <v>377</v>
      </c>
      <c r="J458" s="82" t="str">
        <f>VLOOKUP(I458,MetaData!$E$2:$G$40,3,false)</f>
        <v>Khadafi (XII)</v>
      </c>
      <c r="K458" s="83"/>
    </row>
    <row r="459" ht="15.75" customHeight="1">
      <c r="A459" s="84">
        <v>530.0</v>
      </c>
      <c r="B459" s="77">
        <v>32.0</v>
      </c>
      <c r="C459" s="77" t="s">
        <v>1239</v>
      </c>
      <c r="D459" s="77">
        <v>2.5261038E8</v>
      </c>
      <c r="E459" s="78" t="s">
        <v>391</v>
      </c>
      <c r="F459" s="77" t="s">
        <v>782</v>
      </c>
      <c r="G459" s="79" t="s">
        <v>74</v>
      </c>
      <c r="H459" s="79" t="str">
        <f>VLOOKUP(G459,MetaData!$A$2:$C$13,3,false)</f>
        <v>Rahmalia Dewi, S.Si</v>
      </c>
      <c r="I459" s="79" t="s">
        <v>377</v>
      </c>
      <c r="J459" s="79" t="str">
        <f>VLOOKUP(I459,MetaData!$E$2:$G$40,3,false)</f>
        <v>Khadafi (XII)</v>
      </c>
      <c r="K459" s="80"/>
    </row>
    <row r="460" ht="15.75" customHeight="1">
      <c r="A460" s="85">
        <v>531.0</v>
      </c>
      <c r="B460" s="77">
        <v>33.0</v>
      </c>
      <c r="C460" s="77" t="s">
        <v>1240</v>
      </c>
      <c r="D460" s="77">
        <v>2.52610385E8</v>
      </c>
      <c r="E460" s="78" t="s">
        <v>581</v>
      </c>
      <c r="F460" s="77" t="s">
        <v>784</v>
      </c>
      <c r="G460" s="82" t="s">
        <v>74</v>
      </c>
      <c r="H460" s="82" t="str">
        <f>VLOOKUP(G460,MetaData!$A$2:$C$13,3,false)</f>
        <v>Rahmalia Dewi, S.Si</v>
      </c>
      <c r="I460" s="82" t="s">
        <v>577</v>
      </c>
      <c r="J460" s="82" t="str">
        <f>VLOOKUP(I460,MetaData!$E$2:$G$40,3,false)</f>
        <v>Annisa Alya (XII)</v>
      </c>
      <c r="K460" s="83"/>
    </row>
    <row r="461" ht="15.75" customHeight="1">
      <c r="A461" s="84">
        <v>532.0</v>
      </c>
      <c r="B461" s="77">
        <v>34.0</v>
      </c>
      <c r="C461" s="77" t="s">
        <v>1241</v>
      </c>
      <c r="D461" s="77">
        <v>2.52610388E8</v>
      </c>
      <c r="E461" s="78" t="s">
        <v>436</v>
      </c>
      <c r="F461" s="77" t="s">
        <v>784</v>
      </c>
      <c r="G461" s="79" t="s">
        <v>74</v>
      </c>
      <c r="H461" s="79" t="str">
        <f>VLOOKUP(G461,MetaData!$A$2:$C$13,3,false)</f>
        <v>Rahmalia Dewi, S.Si</v>
      </c>
      <c r="I461" s="79" t="s">
        <v>428</v>
      </c>
      <c r="J461" s="79" t="str">
        <f>VLOOKUP(I461,MetaData!$E$2:$G$40,3,false)</f>
        <v>Iga</v>
      </c>
      <c r="K461" s="80"/>
    </row>
    <row r="462" ht="15.75" customHeight="1">
      <c r="A462" s="85">
        <v>533.0</v>
      </c>
      <c r="B462" s="77">
        <v>35.0</v>
      </c>
      <c r="C462" s="77" t="s">
        <v>1242</v>
      </c>
      <c r="D462" s="77">
        <v>2.52610417E8</v>
      </c>
      <c r="E462" s="78" t="s">
        <v>438</v>
      </c>
      <c r="F462" s="77" t="s">
        <v>784</v>
      </c>
      <c r="G462" s="82" t="s">
        <v>74</v>
      </c>
      <c r="H462" s="82" t="str">
        <f>VLOOKUP(G462,MetaData!$A$2:$C$13,3,false)</f>
        <v>Rahmalia Dewi, S.Si</v>
      </c>
      <c r="I462" s="82" t="s">
        <v>428</v>
      </c>
      <c r="J462" s="82" t="str">
        <f>VLOOKUP(I462,MetaData!$E$2:$G$40,3,false)</f>
        <v>Iga</v>
      </c>
      <c r="K462" s="83"/>
    </row>
    <row r="463" ht="15.75" customHeight="1">
      <c r="A463" s="84">
        <v>534.0</v>
      </c>
      <c r="B463" s="77">
        <v>36.0</v>
      </c>
      <c r="C463" s="77" t="s">
        <v>1243</v>
      </c>
      <c r="D463" s="77">
        <v>2.52610458E8</v>
      </c>
      <c r="E463" s="78" t="s">
        <v>392</v>
      </c>
      <c r="F463" s="77" t="s">
        <v>782</v>
      </c>
      <c r="G463" s="79" t="s">
        <v>74</v>
      </c>
      <c r="H463" s="79" t="str">
        <f>VLOOKUP(G463,MetaData!$A$2:$C$13,3,false)</f>
        <v>Rahmalia Dewi, S.Si</v>
      </c>
      <c r="I463" s="79" t="s">
        <v>377</v>
      </c>
      <c r="J463" s="79" t="str">
        <f>VLOOKUP(I463,MetaData!$E$2:$G$40,3,false)</f>
        <v>Khadafi (XII)</v>
      </c>
      <c r="K463" s="80"/>
    </row>
    <row r="464" ht="15.75" customHeight="1">
      <c r="A464" s="85">
        <v>535.0</v>
      </c>
      <c r="B464" s="77">
        <v>37.0</v>
      </c>
      <c r="C464" s="77" t="s">
        <v>1244</v>
      </c>
      <c r="D464" s="77">
        <v>2.52610482E8</v>
      </c>
      <c r="E464" s="78" t="s">
        <v>393</v>
      </c>
      <c r="F464" s="77" t="s">
        <v>782</v>
      </c>
      <c r="G464" s="82" t="s">
        <v>74</v>
      </c>
      <c r="H464" s="82" t="str">
        <f>VLOOKUP(G464,MetaData!$A$2:$C$13,3,false)</f>
        <v>Rahmalia Dewi, S.Si</v>
      </c>
      <c r="I464" s="82" t="s">
        <v>377</v>
      </c>
      <c r="J464" s="82" t="str">
        <f>VLOOKUP(I464,MetaData!$E$2:$G$40,3,false)</f>
        <v>Khadafi (XII)</v>
      </c>
      <c r="K464" s="83"/>
    </row>
    <row r="465" ht="15.75" customHeight="1">
      <c r="A465" s="84">
        <v>536.0</v>
      </c>
      <c r="B465" s="77">
        <v>38.0</v>
      </c>
      <c r="C465" s="77" t="s">
        <v>1245</v>
      </c>
      <c r="D465" s="77">
        <v>2.52610499E8</v>
      </c>
      <c r="E465" s="78" t="s">
        <v>582</v>
      </c>
      <c r="F465" s="77" t="s">
        <v>784</v>
      </c>
      <c r="G465" s="79" t="s">
        <v>74</v>
      </c>
      <c r="H465" s="79" t="str">
        <f>VLOOKUP(G465,MetaData!$A$2:$C$13,3,false)</f>
        <v>Rahmalia Dewi, S.Si</v>
      </c>
      <c r="I465" s="79" t="s">
        <v>577</v>
      </c>
      <c r="J465" s="79" t="str">
        <f>VLOOKUP(I465,MetaData!$E$2:$G$40,3,false)</f>
        <v>Annisa Alya (XII)</v>
      </c>
      <c r="K465" s="80"/>
    </row>
    <row r="466" ht="15.75" customHeight="1">
      <c r="A466" s="85">
        <v>537.0</v>
      </c>
      <c r="B466" s="77">
        <v>39.0</v>
      </c>
      <c r="C466" s="77" t="s">
        <v>1246</v>
      </c>
      <c r="D466" s="77">
        <v>2.52610503E8</v>
      </c>
      <c r="E466" s="78" t="s">
        <v>583</v>
      </c>
      <c r="F466" s="77" t="s">
        <v>784</v>
      </c>
      <c r="G466" s="82" t="s">
        <v>74</v>
      </c>
      <c r="H466" s="82" t="str">
        <f>VLOOKUP(G466,MetaData!$A$2:$C$13,3,false)</f>
        <v>Rahmalia Dewi, S.Si</v>
      </c>
      <c r="I466" s="82" t="s">
        <v>577</v>
      </c>
      <c r="J466" s="82" t="str">
        <f>VLOOKUP(I466,MetaData!$E$2:$G$40,3,false)</f>
        <v>Annisa Alya (XII)</v>
      </c>
      <c r="K466" s="83"/>
    </row>
    <row r="467" ht="15.75" customHeight="1">
      <c r="A467" s="84">
        <v>538.0</v>
      </c>
      <c r="B467" s="77">
        <v>40.0</v>
      </c>
      <c r="C467" s="77" t="s">
        <v>1247</v>
      </c>
      <c r="D467" s="77">
        <v>2.52610506E8</v>
      </c>
      <c r="E467" s="78" t="s">
        <v>584</v>
      </c>
      <c r="F467" s="77" t="s">
        <v>784</v>
      </c>
      <c r="G467" s="79" t="s">
        <v>74</v>
      </c>
      <c r="H467" s="79" t="str">
        <f>VLOOKUP(G467,MetaData!$A$2:$C$13,3,false)</f>
        <v>Rahmalia Dewi, S.Si</v>
      </c>
      <c r="I467" s="79" t="s">
        <v>577</v>
      </c>
      <c r="J467" s="79" t="str">
        <f>VLOOKUP(I467,MetaData!$E$2:$G$40,3,false)</f>
        <v>Annisa Alya (XII)</v>
      </c>
      <c r="K467" s="80"/>
    </row>
    <row r="468" ht="15.75" customHeight="1">
      <c r="A468" s="85">
        <v>539.0</v>
      </c>
      <c r="B468" s="77">
        <v>41.0</v>
      </c>
      <c r="C468" s="77" t="s">
        <v>1248</v>
      </c>
      <c r="D468" s="77">
        <v>2.52610518E8</v>
      </c>
      <c r="E468" s="78" t="s">
        <v>585</v>
      </c>
      <c r="F468" s="77" t="s">
        <v>784</v>
      </c>
      <c r="G468" s="82" t="s">
        <v>74</v>
      </c>
      <c r="H468" s="82" t="str">
        <f>VLOOKUP(G468,MetaData!$A$2:$C$13,3,false)</f>
        <v>Rahmalia Dewi, S.Si</v>
      </c>
      <c r="I468" s="82" t="s">
        <v>577</v>
      </c>
      <c r="J468" s="82" t="str">
        <f>VLOOKUP(I468,MetaData!$E$2:$G$40,3,false)</f>
        <v>Annisa Alya (XII)</v>
      </c>
      <c r="K468" s="83"/>
    </row>
    <row r="469" ht="15.75" customHeight="1">
      <c r="A469" s="84">
        <v>540.0</v>
      </c>
      <c r="B469" s="77">
        <v>42.0</v>
      </c>
      <c r="C469" s="77" t="s">
        <v>1249</v>
      </c>
      <c r="D469" s="77">
        <v>2.52610524E8</v>
      </c>
      <c r="E469" s="78" t="s">
        <v>586</v>
      </c>
      <c r="F469" s="77" t="s">
        <v>784</v>
      </c>
      <c r="G469" s="79" t="s">
        <v>74</v>
      </c>
      <c r="H469" s="79" t="str">
        <f>VLOOKUP(G469,MetaData!$A$2:$C$13,3,false)</f>
        <v>Rahmalia Dewi, S.Si</v>
      </c>
      <c r="I469" s="79" t="s">
        <v>577</v>
      </c>
      <c r="J469" s="79" t="str">
        <f>VLOOKUP(I469,MetaData!$E$2:$G$40,3,false)</f>
        <v>Annisa Alya (XII)</v>
      </c>
      <c r="K469" s="80"/>
    </row>
    <row r="470" ht="15.75" customHeight="1">
      <c r="A470" s="85">
        <v>541.0</v>
      </c>
      <c r="B470" s="77">
        <v>43.0</v>
      </c>
      <c r="C470" s="77" t="s">
        <v>1250</v>
      </c>
      <c r="D470" s="77">
        <v>2.52610545E8</v>
      </c>
      <c r="E470" s="78" t="s">
        <v>442</v>
      </c>
      <c r="F470" s="77" t="s">
        <v>784</v>
      </c>
      <c r="G470" s="82" t="s">
        <v>74</v>
      </c>
      <c r="H470" s="82" t="str">
        <f>VLOOKUP(G470,MetaData!$A$2:$C$13,3,false)</f>
        <v>Rahmalia Dewi, S.Si</v>
      </c>
      <c r="I470" s="82" t="s">
        <v>428</v>
      </c>
      <c r="J470" s="82" t="str">
        <f>VLOOKUP(I470,MetaData!$E$2:$G$40,3,false)</f>
        <v>Iga</v>
      </c>
      <c r="K470" s="83"/>
    </row>
    <row r="471" ht="15.75" customHeight="1">
      <c r="A471" s="84">
        <v>542.0</v>
      </c>
      <c r="B471" s="77">
        <v>44.0</v>
      </c>
      <c r="C471" s="77" t="s">
        <v>1251</v>
      </c>
      <c r="D471" s="77">
        <v>2.52610551E8</v>
      </c>
      <c r="E471" s="78" t="s">
        <v>587</v>
      </c>
      <c r="F471" s="77" t="s">
        <v>784</v>
      </c>
      <c r="G471" s="79" t="s">
        <v>74</v>
      </c>
      <c r="H471" s="79" t="str">
        <f>VLOOKUP(G471,MetaData!$A$2:$C$13,3,false)</f>
        <v>Rahmalia Dewi, S.Si</v>
      </c>
      <c r="I471" s="79" t="s">
        <v>577</v>
      </c>
      <c r="J471" s="79" t="str">
        <f>VLOOKUP(I471,MetaData!$E$2:$G$40,3,false)</f>
        <v>Annisa Alya (XII)</v>
      </c>
      <c r="K471" s="80"/>
    </row>
    <row r="472" ht="15.75" customHeight="1">
      <c r="A472" s="85">
        <v>543.0</v>
      </c>
      <c r="B472" s="77">
        <v>47.0</v>
      </c>
      <c r="C472" s="77" t="s">
        <v>1252</v>
      </c>
      <c r="D472" s="77">
        <v>2.52610561E8</v>
      </c>
      <c r="E472" s="78" t="s">
        <v>394</v>
      </c>
      <c r="F472" s="77" t="s">
        <v>782</v>
      </c>
      <c r="G472" s="82" t="s">
        <v>74</v>
      </c>
      <c r="H472" s="82" t="str">
        <f>VLOOKUP(G472,MetaData!$A$2:$C$13,3,false)</f>
        <v>Rahmalia Dewi, S.Si</v>
      </c>
      <c r="I472" s="82" t="s">
        <v>377</v>
      </c>
      <c r="J472" s="82" t="str">
        <f>VLOOKUP(I472,MetaData!$E$2:$G$40,3,false)</f>
        <v>Khadafi (XII)</v>
      </c>
      <c r="K472" s="83"/>
    </row>
    <row r="473" ht="15.75" customHeight="1">
      <c r="A473" s="84">
        <v>544.0</v>
      </c>
      <c r="B473" s="77">
        <v>48.0</v>
      </c>
      <c r="C473" s="77" t="s">
        <v>1253</v>
      </c>
      <c r="D473" s="77">
        <v>2.52610565E8</v>
      </c>
      <c r="E473" s="78" t="s">
        <v>588</v>
      </c>
      <c r="F473" s="77" t="s">
        <v>784</v>
      </c>
      <c r="G473" s="79" t="s">
        <v>74</v>
      </c>
      <c r="H473" s="79" t="str">
        <f>VLOOKUP(G473,MetaData!$A$2:$C$13,3,false)</f>
        <v>Rahmalia Dewi, S.Si</v>
      </c>
      <c r="I473" s="79" t="s">
        <v>577</v>
      </c>
      <c r="J473" s="79" t="str">
        <f>VLOOKUP(I473,MetaData!$E$2:$G$40,3,false)</f>
        <v>Annisa Alya (XII)</v>
      </c>
      <c r="K473" s="80"/>
    </row>
    <row r="474" ht="15.75" customHeight="1">
      <c r="A474" s="85">
        <v>551.0</v>
      </c>
      <c r="B474" s="77">
        <v>1.0</v>
      </c>
      <c r="C474" s="77" t="s">
        <v>1254</v>
      </c>
      <c r="D474" s="77">
        <v>2.52610015E8</v>
      </c>
      <c r="E474" s="78" t="s">
        <v>361</v>
      </c>
      <c r="F474" s="77" t="s">
        <v>782</v>
      </c>
      <c r="G474" s="82" t="s">
        <v>79</v>
      </c>
      <c r="H474" s="82" t="str">
        <f>VLOOKUP(G474,MetaData!$A$2:$C$13,3,false)</f>
        <v>Sari Rahayu, S.Pd, M.Pd</v>
      </c>
      <c r="I474" s="82" t="s">
        <v>360</v>
      </c>
      <c r="J474" s="82" t="str">
        <f>VLOOKUP(I474,MetaData!$E$2:$G$40,3,false)</f>
        <v>Almeer (XII)</v>
      </c>
      <c r="K474" s="83"/>
    </row>
    <row r="475" ht="15.75" customHeight="1">
      <c r="A475" s="84">
        <v>552.0</v>
      </c>
      <c r="B475" s="77">
        <v>2.0</v>
      </c>
      <c r="C475" s="77" t="s">
        <v>1255</v>
      </c>
      <c r="D475" s="77">
        <v>2.52610021E8</v>
      </c>
      <c r="E475" s="78" t="s">
        <v>724</v>
      </c>
      <c r="F475" s="77" t="s">
        <v>784</v>
      </c>
      <c r="G475" s="79" t="s">
        <v>79</v>
      </c>
      <c r="H475" s="79" t="str">
        <f>VLOOKUP(G475,MetaData!$A$2:$C$13,3,false)</f>
        <v>Sari Rahayu, S.Pd, M.Pd</v>
      </c>
      <c r="I475" s="79" t="s">
        <v>723</v>
      </c>
      <c r="J475" s="79" t="str">
        <f>VLOOKUP(I475,MetaData!$E$2:$G$40,3,false)</f>
        <v>Ninda (XII)</v>
      </c>
      <c r="K475" s="80"/>
    </row>
    <row r="476" ht="15.75" customHeight="1">
      <c r="A476" s="85">
        <v>553.0</v>
      </c>
      <c r="B476" s="77">
        <v>3.0</v>
      </c>
      <c r="C476" s="77" t="s">
        <v>1256</v>
      </c>
      <c r="D476" s="77">
        <v>2.52610029E8</v>
      </c>
      <c r="E476" s="78" t="s">
        <v>725</v>
      </c>
      <c r="F476" s="77" t="s">
        <v>784</v>
      </c>
      <c r="G476" s="82" t="s">
        <v>79</v>
      </c>
      <c r="H476" s="82" t="str">
        <f>VLOOKUP(G476,MetaData!$A$2:$C$13,3,false)</f>
        <v>Sari Rahayu, S.Pd, M.Pd</v>
      </c>
      <c r="I476" s="82" t="s">
        <v>723</v>
      </c>
      <c r="J476" s="82" t="str">
        <f>VLOOKUP(I476,MetaData!$E$2:$G$40,3,false)</f>
        <v>Ninda (XII)</v>
      </c>
      <c r="K476" s="83"/>
    </row>
    <row r="477" ht="15.75" customHeight="1">
      <c r="A477" s="84">
        <v>554.0</v>
      </c>
      <c r="B477" s="77">
        <v>4.0</v>
      </c>
      <c r="C477" s="77" t="s">
        <v>1257</v>
      </c>
      <c r="D477" s="77">
        <v>2.5261003E8</v>
      </c>
      <c r="E477" s="78" t="s">
        <v>726</v>
      </c>
      <c r="F477" s="77" t="s">
        <v>784</v>
      </c>
      <c r="G477" s="79" t="s">
        <v>79</v>
      </c>
      <c r="H477" s="79" t="str">
        <f>VLOOKUP(G477,MetaData!$A$2:$C$13,3,false)</f>
        <v>Sari Rahayu, S.Pd, M.Pd</v>
      </c>
      <c r="I477" s="79" t="s">
        <v>723</v>
      </c>
      <c r="J477" s="79" t="str">
        <f>VLOOKUP(I477,MetaData!$E$2:$G$40,3,false)</f>
        <v>Ninda (XII)</v>
      </c>
      <c r="K477" s="80"/>
    </row>
    <row r="478" ht="15.75" customHeight="1">
      <c r="A478" s="85">
        <v>555.0</v>
      </c>
      <c r="B478" s="77">
        <v>5.0</v>
      </c>
      <c r="C478" s="77" t="s">
        <v>1258</v>
      </c>
      <c r="D478" s="77">
        <v>2.52610046E8</v>
      </c>
      <c r="E478" s="78" t="s">
        <v>727</v>
      </c>
      <c r="F478" s="77" t="s">
        <v>784</v>
      </c>
      <c r="G478" s="82" t="s">
        <v>79</v>
      </c>
      <c r="H478" s="82" t="str">
        <f>VLOOKUP(G478,MetaData!$A$2:$C$13,3,false)</f>
        <v>Sari Rahayu, S.Pd, M.Pd</v>
      </c>
      <c r="I478" s="82" t="s">
        <v>723</v>
      </c>
      <c r="J478" s="82" t="str">
        <f>VLOOKUP(I478,MetaData!$E$2:$G$40,3,false)</f>
        <v>Ninda (XII)</v>
      </c>
      <c r="K478" s="83"/>
    </row>
    <row r="479" ht="15.75" customHeight="1">
      <c r="A479" s="84">
        <v>556.0</v>
      </c>
      <c r="B479" s="77">
        <v>6.0</v>
      </c>
      <c r="C479" s="77" t="s">
        <v>1259</v>
      </c>
      <c r="D479" s="77">
        <v>2.52610068E8</v>
      </c>
      <c r="E479" s="78" t="s">
        <v>728</v>
      </c>
      <c r="F479" s="77" t="s">
        <v>784</v>
      </c>
      <c r="G479" s="79" t="s">
        <v>79</v>
      </c>
      <c r="H479" s="79" t="str">
        <f>VLOOKUP(G479,MetaData!$A$2:$C$13,3,false)</f>
        <v>Sari Rahayu, S.Pd, M.Pd</v>
      </c>
      <c r="I479" s="79" t="s">
        <v>723</v>
      </c>
      <c r="J479" s="79" t="str">
        <f>VLOOKUP(I479,MetaData!$E$2:$G$40,3,false)</f>
        <v>Ninda (XII)</v>
      </c>
      <c r="K479" s="80"/>
    </row>
    <row r="480" ht="15.75" customHeight="1">
      <c r="A480" s="85">
        <v>557.0</v>
      </c>
      <c r="B480" s="77">
        <v>7.0</v>
      </c>
      <c r="C480" s="77" t="s">
        <v>1260</v>
      </c>
      <c r="D480" s="77">
        <v>2.5261008E8</v>
      </c>
      <c r="E480" s="78" t="s">
        <v>362</v>
      </c>
      <c r="F480" s="77" t="s">
        <v>782</v>
      </c>
      <c r="G480" s="82" t="s">
        <v>79</v>
      </c>
      <c r="H480" s="82" t="str">
        <f>VLOOKUP(G480,MetaData!$A$2:$C$13,3,false)</f>
        <v>Sari Rahayu, S.Pd, M.Pd</v>
      </c>
      <c r="I480" s="82" t="s">
        <v>360</v>
      </c>
      <c r="J480" s="82" t="str">
        <f>VLOOKUP(I480,MetaData!$E$2:$G$40,3,false)</f>
        <v>Almeer (XII)</v>
      </c>
      <c r="K480" s="83"/>
    </row>
    <row r="481" ht="15.75" customHeight="1">
      <c r="A481" s="84">
        <v>558.0</v>
      </c>
      <c r="B481" s="77">
        <v>8.0</v>
      </c>
      <c r="C481" s="77" t="s">
        <v>1261</v>
      </c>
      <c r="D481" s="77">
        <v>2.52610081E8</v>
      </c>
      <c r="E481" s="78" t="s">
        <v>729</v>
      </c>
      <c r="F481" s="77" t="s">
        <v>784</v>
      </c>
      <c r="G481" s="79" t="s">
        <v>79</v>
      </c>
      <c r="H481" s="79" t="str">
        <f>VLOOKUP(G481,MetaData!$A$2:$C$13,3,false)</f>
        <v>Sari Rahayu, S.Pd, M.Pd</v>
      </c>
      <c r="I481" s="79" t="s">
        <v>723</v>
      </c>
      <c r="J481" s="79" t="str">
        <f>VLOOKUP(I481,MetaData!$E$2:$G$40,3,false)</f>
        <v>Ninda (XII)</v>
      </c>
      <c r="K481" s="80"/>
    </row>
    <row r="482" ht="15.75" customHeight="1">
      <c r="A482" s="85">
        <v>559.0</v>
      </c>
      <c r="B482" s="77">
        <v>10.0</v>
      </c>
      <c r="C482" s="77" t="s">
        <v>1262</v>
      </c>
      <c r="D482" s="77">
        <v>2.52610106E8</v>
      </c>
      <c r="E482" s="78" t="s">
        <v>447</v>
      </c>
      <c r="F482" s="77" t="s">
        <v>784</v>
      </c>
      <c r="G482" s="82" t="s">
        <v>79</v>
      </c>
      <c r="H482" s="82" t="str">
        <f>VLOOKUP(G482,MetaData!$A$2:$C$13,3,false)</f>
        <v>Sari Rahayu, S.Pd, M.Pd</v>
      </c>
      <c r="I482" s="82" t="s">
        <v>443</v>
      </c>
      <c r="J482" s="82" t="str">
        <f>VLOOKUP(I482,MetaData!$E$2:$G$40,3,false)</f>
        <v>Ayun</v>
      </c>
      <c r="K482" s="83"/>
    </row>
    <row r="483" ht="15.75" customHeight="1">
      <c r="A483" s="84">
        <v>560.0</v>
      </c>
      <c r="B483" s="77">
        <v>11.0</v>
      </c>
      <c r="C483" s="77" t="s">
        <v>1263</v>
      </c>
      <c r="D483" s="77">
        <v>2.52610107E8</v>
      </c>
      <c r="E483" s="78" t="s">
        <v>730</v>
      </c>
      <c r="F483" s="77" t="s">
        <v>784</v>
      </c>
      <c r="G483" s="79" t="s">
        <v>79</v>
      </c>
      <c r="H483" s="79" t="str">
        <f>VLOOKUP(G483,MetaData!$A$2:$C$13,3,false)</f>
        <v>Sari Rahayu, S.Pd, M.Pd</v>
      </c>
      <c r="I483" s="79" t="s">
        <v>723</v>
      </c>
      <c r="J483" s="79" t="str">
        <f>VLOOKUP(I483,MetaData!$E$2:$G$40,3,false)</f>
        <v>Ninda (XII)</v>
      </c>
      <c r="K483" s="80"/>
    </row>
    <row r="484" ht="15.75" customHeight="1">
      <c r="A484" s="85">
        <v>561.0</v>
      </c>
      <c r="B484" s="77">
        <v>12.0</v>
      </c>
      <c r="C484" s="77" t="s">
        <v>1264</v>
      </c>
      <c r="D484" s="77">
        <v>2.52610127E8</v>
      </c>
      <c r="E484" s="78" t="s">
        <v>363</v>
      </c>
      <c r="F484" s="77" t="s">
        <v>782</v>
      </c>
      <c r="G484" s="82" t="s">
        <v>79</v>
      </c>
      <c r="H484" s="82" t="str">
        <f>VLOOKUP(G484,MetaData!$A$2:$C$13,3,false)</f>
        <v>Sari Rahayu, S.Pd, M.Pd</v>
      </c>
      <c r="I484" s="82" t="s">
        <v>360</v>
      </c>
      <c r="J484" s="82" t="str">
        <f>VLOOKUP(I484,MetaData!$E$2:$G$40,3,false)</f>
        <v>Almeer (XII)</v>
      </c>
      <c r="K484" s="83"/>
    </row>
    <row r="485" ht="15.75" customHeight="1">
      <c r="A485" s="84">
        <v>562.0</v>
      </c>
      <c r="B485" s="77">
        <v>13.0</v>
      </c>
      <c r="C485" s="77" t="s">
        <v>1265</v>
      </c>
      <c r="D485" s="77">
        <v>2.52610143E8</v>
      </c>
      <c r="E485" s="78" t="s">
        <v>364</v>
      </c>
      <c r="F485" s="77" t="s">
        <v>782</v>
      </c>
      <c r="G485" s="79" t="s">
        <v>79</v>
      </c>
      <c r="H485" s="79" t="str">
        <f>VLOOKUP(G485,MetaData!$A$2:$C$13,3,false)</f>
        <v>Sari Rahayu, S.Pd, M.Pd</v>
      </c>
      <c r="I485" s="79" t="s">
        <v>360</v>
      </c>
      <c r="J485" s="79" t="str">
        <f>VLOOKUP(I485,MetaData!$E$2:$G$40,3,false)</f>
        <v>Almeer (XII)</v>
      </c>
      <c r="K485" s="80"/>
    </row>
    <row r="486" ht="15.75" customHeight="1">
      <c r="A486" s="85">
        <v>563.0</v>
      </c>
      <c r="B486" s="77">
        <v>14.0</v>
      </c>
      <c r="C486" s="77" t="s">
        <v>1266</v>
      </c>
      <c r="D486" s="77">
        <v>2.52610147E8</v>
      </c>
      <c r="E486" s="78" t="s">
        <v>365</v>
      </c>
      <c r="F486" s="77" t="s">
        <v>782</v>
      </c>
      <c r="G486" s="82" t="s">
        <v>79</v>
      </c>
      <c r="H486" s="82" t="str">
        <f>VLOOKUP(G486,MetaData!$A$2:$C$13,3,false)</f>
        <v>Sari Rahayu, S.Pd, M.Pd</v>
      </c>
      <c r="I486" s="82" t="s">
        <v>360</v>
      </c>
      <c r="J486" s="82" t="str">
        <f>VLOOKUP(I486,MetaData!$E$2:$G$40,3,false)</f>
        <v>Almeer (XII)</v>
      </c>
      <c r="K486" s="83"/>
    </row>
    <row r="487" ht="15.75" customHeight="1">
      <c r="A487" s="84">
        <v>564.0</v>
      </c>
      <c r="B487" s="77">
        <v>15.0</v>
      </c>
      <c r="C487" s="77" t="s">
        <v>1267</v>
      </c>
      <c r="D487" s="77">
        <v>2.52610149E8</v>
      </c>
      <c r="E487" s="78" t="s">
        <v>731</v>
      </c>
      <c r="F487" s="77" t="s">
        <v>784</v>
      </c>
      <c r="G487" s="79" t="s">
        <v>79</v>
      </c>
      <c r="H487" s="79" t="str">
        <f>VLOOKUP(G487,MetaData!$A$2:$C$13,3,false)</f>
        <v>Sari Rahayu, S.Pd, M.Pd</v>
      </c>
      <c r="I487" s="79" t="s">
        <v>723</v>
      </c>
      <c r="J487" s="79" t="str">
        <f>VLOOKUP(I487,MetaData!$E$2:$G$40,3,false)</f>
        <v>Ninda (XII)</v>
      </c>
      <c r="K487" s="80"/>
    </row>
    <row r="488" ht="15.75" customHeight="1">
      <c r="A488" s="85">
        <v>565.0</v>
      </c>
      <c r="B488" s="77">
        <v>16.0</v>
      </c>
      <c r="C488" s="77" t="s">
        <v>1268</v>
      </c>
      <c r="D488" s="77">
        <v>2.52610152E8</v>
      </c>
      <c r="E488" s="78" t="s">
        <v>732</v>
      </c>
      <c r="F488" s="77" t="s">
        <v>784</v>
      </c>
      <c r="G488" s="82" t="s">
        <v>79</v>
      </c>
      <c r="H488" s="82" t="str">
        <f>VLOOKUP(G488,MetaData!$A$2:$C$13,3,false)</f>
        <v>Sari Rahayu, S.Pd, M.Pd</v>
      </c>
      <c r="I488" s="82" t="s">
        <v>723</v>
      </c>
      <c r="J488" s="82" t="str">
        <f>VLOOKUP(I488,MetaData!$E$2:$G$40,3,false)</f>
        <v>Ninda (XII)</v>
      </c>
      <c r="K488" s="83"/>
    </row>
    <row r="489" ht="15.75" customHeight="1">
      <c r="A489" s="84">
        <v>566.0</v>
      </c>
      <c r="B489" s="77">
        <v>17.0</v>
      </c>
      <c r="C489" s="77" t="s">
        <v>1269</v>
      </c>
      <c r="D489" s="77">
        <v>2.52610208E8</v>
      </c>
      <c r="E489" s="78" t="s">
        <v>733</v>
      </c>
      <c r="F489" s="77" t="s">
        <v>784</v>
      </c>
      <c r="G489" s="79" t="s">
        <v>79</v>
      </c>
      <c r="H489" s="79" t="str">
        <f>VLOOKUP(G489,MetaData!$A$2:$C$13,3,false)</f>
        <v>Sari Rahayu, S.Pd, M.Pd</v>
      </c>
      <c r="I489" s="79" t="s">
        <v>723</v>
      </c>
      <c r="J489" s="79" t="str">
        <f>VLOOKUP(I489,MetaData!$E$2:$G$40,3,false)</f>
        <v>Ninda (XII)</v>
      </c>
      <c r="K489" s="80"/>
    </row>
    <row r="490" ht="15.75" customHeight="1">
      <c r="A490" s="85">
        <v>567.0</v>
      </c>
      <c r="B490" s="77">
        <v>18.0</v>
      </c>
      <c r="C490" s="77" t="s">
        <v>1270</v>
      </c>
      <c r="D490" s="77">
        <v>2.52610218E8</v>
      </c>
      <c r="E490" s="78" t="s">
        <v>366</v>
      </c>
      <c r="F490" s="77" t="s">
        <v>782</v>
      </c>
      <c r="G490" s="82" t="s">
        <v>79</v>
      </c>
      <c r="H490" s="82" t="str">
        <f>VLOOKUP(G490,MetaData!$A$2:$C$13,3,false)</f>
        <v>Sari Rahayu, S.Pd, M.Pd</v>
      </c>
      <c r="I490" s="82" t="s">
        <v>360</v>
      </c>
      <c r="J490" s="82" t="str">
        <f>VLOOKUP(I490,MetaData!$E$2:$G$40,3,false)</f>
        <v>Almeer (XII)</v>
      </c>
      <c r="K490" s="83"/>
    </row>
    <row r="491" ht="15.75" customHeight="1">
      <c r="A491" s="84">
        <v>568.0</v>
      </c>
      <c r="B491" s="77">
        <v>19.0</v>
      </c>
      <c r="C491" s="77" t="s">
        <v>1271</v>
      </c>
      <c r="D491" s="77">
        <v>2.52610267E8</v>
      </c>
      <c r="E491" s="78" t="s">
        <v>734</v>
      </c>
      <c r="F491" s="77" t="s">
        <v>784</v>
      </c>
      <c r="G491" s="79" t="s">
        <v>79</v>
      </c>
      <c r="H491" s="79" t="str">
        <f>VLOOKUP(G491,MetaData!$A$2:$C$13,3,false)</f>
        <v>Sari Rahayu, S.Pd, M.Pd</v>
      </c>
      <c r="I491" s="79" t="s">
        <v>723</v>
      </c>
      <c r="J491" s="79" t="str">
        <f>VLOOKUP(I491,MetaData!$E$2:$G$40,3,false)</f>
        <v>Ninda (XII)</v>
      </c>
      <c r="K491" s="80"/>
    </row>
    <row r="492" ht="15.75" customHeight="1">
      <c r="A492" s="85">
        <v>569.0</v>
      </c>
      <c r="B492" s="77">
        <v>20.0</v>
      </c>
      <c r="C492" s="77" t="s">
        <v>1272</v>
      </c>
      <c r="D492" s="77">
        <v>2.52610269E8</v>
      </c>
      <c r="E492" s="78" t="s">
        <v>367</v>
      </c>
      <c r="F492" s="77" t="s">
        <v>782</v>
      </c>
      <c r="G492" s="82" t="s">
        <v>79</v>
      </c>
      <c r="H492" s="82" t="str">
        <f>VLOOKUP(G492,MetaData!$A$2:$C$13,3,false)</f>
        <v>Sari Rahayu, S.Pd, M.Pd</v>
      </c>
      <c r="I492" s="82" t="s">
        <v>360</v>
      </c>
      <c r="J492" s="82" t="str">
        <f>VLOOKUP(I492,MetaData!$E$2:$G$40,3,false)</f>
        <v>Almeer (XII)</v>
      </c>
      <c r="K492" s="83"/>
    </row>
    <row r="493" ht="15.75" customHeight="1">
      <c r="A493" s="84">
        <v>570.0</v>
      </c>
      <c r="B493" s="77">
        <v>21.0</v>
      </c>
      <c r="C493" s="77" t="s">
        <v>1273</v>
      </c>
      <c r="D493" s="77">
        <v>2.5261027E8</v>
      </c>
      <c r="E493" s="78" t="s">
        <v>735</v>
      </c>
      <c r="F493" s="77" t="s">
        <v>784</v>
      </c>
      <c r="G493" s="79" t="s">
        <v>79</v>
      </c>
      <c r="H493" s="79" t="str">
        <f>VLOOKUP(G493,MetaData!$A$2:$C$13,3,false)</f>
        <v>Sari Rahayu, S.Pd, M.Pd</v>
      </c>
      <c r="I493" s="79" t="s">
        <v>723</v>
      </c>
      <c r="J493" s="79" t="str">
        <f>VLOOKUP(I493,MetaData!$E$2:$G$40,3,false)</f>
        <v>Ninda (XII)</v>
      </c>
      <c r="K493" s="80"/>
    </row>
    <row r="494" ht="15.75" customHeight="1">
      <c r="A494" s="85">
        <v>571.0</v>
      </c>
      <c r="B494" s="77">
        <v>22.0</v>
      </c>
      <c r="C494" s="77" t="s">
        <v>1274</v>
      </c>
      <c r="D494" s="77">
        <v>2.52610271E8</v>
      </c>
      <c r="E494" s="78" t="s">
        <v>368</v>
      </c>
      <c r="F494" s="77" t="s">
        <v>782</v>
      </c>
      <c r="G494" s="82" t="s">
        <v>79</v>
      </c>
      <c r="H494" s="82" t="str">
        <f>VLOOKUP(G494,MetaData!$A$2:$C$13,3,false)</f>
        <v>Sari Rahayu, S.Pd, M.Pd</v>
      </c>
      <c r="I494" s="82" t="s">
        <v>360</v>
      </c>
      <c r="J494" s="82" t="str">
        <f>VLOOKUP(I494,MetaData!$E$2:$G$40,3,false)</f>
        <v>Almeer (XII)</v>
      </c>
      <c r="K494" s="83"/>
    </row>
    <row r="495" ht="15.75" customHeight="1">
      <c r="A495" s="84">
        <v>572.0</v>
      </c>
      <c r="B495" s="77">
        <v>23.0</v>
      </c>
      <c r="C495" s="77" t="s">
        <v>1275</v>
      </c>
      <c r="D495" s="77">
        <v>2.52610296E8</v>
      </c>
      <c r="E495" s="78" t="s">
        <v>565</v>
      </c>
      <c r="F495" s="77" t="s">
        <v>784</v>
      </c>
      <c r="G495" s="79" t="s">
        <v>79</v>
      </c>
      <c r="H495" s="79" t="str">
        <f>VLOOKUP(G495,MetaData!$A$2:$C$13,3,false)</f>
        <v>Sari Rahayu, S.Pd, M.Pd</v>
      </c>
      <c r="I495" s="79" t="s">
        <v>564</v>
      </c>
      <c r="J495" s="79" t="str">
        <f>VLOOKUP(I495,MetaData!$E$2:$G$40,3,false)</f>
        <v>Fiona (XI)</v>
      </c>
      <c r="K495" s="80"/>
    </row>
    <row r="496" ht="15.75" customHeight="1">
      <c r="A496" s="85">
        <v>573.0</v>
      </c>
      <c r="B496" s="77">
        <v>24.0</v>
      </c>
      <c r="C496" s="77" t="s">
        <v>1276</v>
      </c>
      <c r="D496" s="77">
        <v>2.52610298E8</v>
      </c>
      <c r="E496" s="78" t="s">
        <v>369</v>
      </c>
      <c r="F496" s="77" t="s">
        <v>782</v>
      </c>
      <c r="G496" s="82" t="s">
        <v>79</v>
      </c>
      <c r="H496" s="82" t="str">
        <f>VLOOKUP(G496,MetaData!$A$2:$C$13,3,false)</f>
        <v>Sari Rahayu, S.Pd, M.Pd</v>
      </c>
      <c r="I496" s="82" t="s">
        <v>360</v>
      </c>
      <c r="J496" s="82" t="str">
        <f>VLOOKUP(I496,MetaData!$E$2:$G$40,3,false)</f>
        <v>Almeer (XII)</v>
      </c>
      <c r="K496" s="83"/>
    </row>
    <row r="497" ht="15.75" customHeight="1">
      <c r="A497" s="84">
        <v>574.0</v>
      </c>
      <c r="B497" s="77">
        <v>26.0</v>
      </c>
      <c r="C497" s="77" t="s">
        <v>1277</v>
      </c>
      <c r="D497" s="77">
        <v>2.52610307E8</v>
      </c>
      <c r="E497" s="78" t="s">
        <v>566</v>
      </c>
      <c r="F497" s="77" t="s">
        <v>784</v>
      </c>
      <c r="G497" s="79" t="s">
        <v>79</v>
      </c>
      <c r="H497" s="79" t="str">
        <f>VLOOKUP(G497,MetaData!$A$2:$C$13,3,false)</f>
        <v>Sari Rahayu, S.Pd, M.Pd</v>
      </c>
      <c r="I497" s="79" t="s">
        <v>564</v>
      </c>
      <c r="J497" s="79" t="str">
        <f>VLOOKUP(I497,MetaData!$E$2:$G$40,3,false)</f>
        <v>Fiona (XI)</v>
      </c>
      <c r="K497" s="80"/>
    </row>
    <row r="498" ht="15.75" customHeight="1">
      <c r="A498" s="85">
        <v>575.0</v>
      </c>
      <c r="B498" s="77">
        <v>27.0</v>
      </c>
      <c r="C498" s="77" t="s">
        <v>1278</v>
      </c>
      <c r="D498" s="77">
        <v>2.52610331E8</v>
      </c>
      <c r="E498" s="78" t="s">
        <v>370</v>
      </c>
      <c r="F498" s="77" t="s">
        <v>782</v>
      </c>
      <c r="G498" s="82" t="s">
        <v>79</v>
      </c>
      <c r="H498" s="82" t="str">
        <f>VLOOKUP(G498,MetaData!$A$2:$C$13,3,false)</f>
        <v>Sari Rahayu, S.Pd, M.Pd</v>
      </c>
      <c r="I498" s="82" t="s">
        <v>360</v>
      </c>
      <c r="J498" s="82" t="str">
        <f>VLOOKUP(I498,MetaData!$E$2:$G$40,3,false)</f>
        <v>Almeer (XII)</v>
      </c>
      <c r="K498" s="83"/>
    </row>
    <row r="499" ht="15.75" customHeight="1">
      <c r="A499" s="84">
        <v>576.0</v>
      </c>
      <c r="B499" s="77">
        <v>28.0</v>
      </c>
      <c r="C499" s="77" t="s">
        <v>1279</v>
      </c>
      <c r="D499" s="77">
        <v>2.52610339E8</v>
      </c>
      <c r="E499" s="78" t="s">
        <v>371</v>
      </c>
      <c r="F499" s="77" t="s">
        <v>782</v>
      </c>
      <c r="G499" s="79" t="s">
        <v>79</v>
      </c>
      <c r="H499" s="79" t="str">
        <f>VLOOKUP(G499,MetaData!$A$2:$C$13,3,false)</f>
        <v>Sari Rahayu, S.Pd, M.Pd</v>
      </c>
      <c r="I499" s="79" t="s">
        <v>360</v>
      </c>
      <c r="J499" s="79" t="str">
        <f>VLOOKUP(I499,MetaData!$E$2:$G$40,3,false)</f>
        <v>Almeer (XII)</v>
      </c>
      <c r="K499" s="80"/>
    </row>
    <row r="500" ht="15.75" customHeight="1">
      <c r="A500" s="85">
        <v>577.0</v>
      </c>
      <c r="B500" s="77">
        <v>29.0</v>
      </c>
      <c r="C500" s="77" t="s">
        <v>1280</v>
      </c>
      <c r="D500" s="77">
        <v>2.52610359E8</v>
      </c>
      <c r="E500" s="78" t="s">
        <v>372</v>
      </c>
      <c r="F500" s="77" t="s">
        <v>782</v>
      </c>
      <c r="G500" s="82" t="s">
        <v>79</v>
      </c>
      <c r="H500" s="82" t="str">
        <f>VLOOKUP(G500,MetaData!$A$2:$C$13,3,false)</f>
        <v>Sari Rahayu, S.Pd, M.Pd</v>
      </c>
      <c r="I500" s="82" t="s">
        <v>360</v>
      </c>
      <c r="J500" s="82" t="str">
        <f>VLOOKUP(I500,MetaData!$E$2:$G$40,3,false)</f>
        <v>Almeer (XII)</v>
      </c>
      <c r="K500" s="83"/>
    </row>
    <row r="501" ht="15.75" customHeight="1">
      <c r="A501" s="84">
        <v>578.0</v>
      </c>
      <c r="B501" s="77">
        <v>30.0</v>
      </c>
      <c r="C501" s="77" t="s">
        <v>1281</v>
      </c>
      <c r="D501" s="77">
        <v>2.52610377E8</v>
      </c>
      <c r="E501" s="78" t="s">
        <v>373</v>
      </c>
      <c r="F501" s="77" t="s">
        <v>782</v>
      </c>
      <c r="G501" s="79" t="s">
        <v>79</v>
      </c>
      <c r="H501" s="79" t="str">
        <f>VLOOKUP(G501,MetaData!$A$2:$C$13,3,false)</f>
        <v>Sari Rahayu, S.Pd, M.Pd</v>
      </c>
      <c r="I501" s="79" t="s">
        <v>360</v>
      </c>
      <c r="J501" s="79" t="str">
        <f>VLOOKUP(I501,MetaData!$E$2:$G$40,3,false)</f>
        <v>Almeer (XII)</v>
      </c>
      <c r="K501" s="80"/>
    </row>
    <row r="502" ht="15.75" customHeight="1">
      <c r="A502" s="85">
        <v>579.0</v>
      </c>
      <c r="B502" s="77">
        <v>31.0</v>
      </c>
      <c r="C502" s="77" t="s">
        <v>1282</v>
      </c>
      <c r="D502" s="77">
        <v>2.52610387E8</v>
      </c>
      <c r="E502" s="78" t="s">
        <v>567</v>
      </c>
      <c r="F502" s="77" t="s">
        <v>784</v>
      </c>
      <c r="G502" s="82" t="s">
        <v>79</v>
      </c>
      <c r="H502" s="82" t="str">
        <f>VLOOKUP(G502,MetaData!$A$2:$C$13,3,false)</f>
        <v>Sari Rahayu, S.Pd, M.Pd</v>
      </c>
      <c r="I502" s="82" t="s">
        <v>564</v>
      </c>
      <c r="J502" s="82" t="str">
        <f>VLOOKUP(I502,MetaData!$E$2:$G$40,3,false)</f>
        <v>Fiona (XI)</v>
      </c>
      <c r="K502" s="83"/>
    </row>
    <row r="503" ht="15.75" customHeight="1">
      <c r="A503" s="84">
        <v>580.0</v>
      </c>
      <c r="B503" s="77">
        <v>32.0</v>
      </c>
      <c r="C503" s="77" t="s">
        <v>1283</v>
      </c>
      <c r="D503" s="77">
        <v>2.52610391E8</v>
      </c>
      <c r="E503" s="78" t="s">
        <v>452</v>
      </c>
      <c r="F503" s="77" t="s">
        <v>784</v>
      </c>
      <c r="G503" s="79" t="s">
        <v>79</v>
      </c>
      <c r="H503" s="79" t="str">
        <f>VLOOKUP(G503,MetaData!$A$2:$C$13,3,false)</f>
        <v>Sari Rahayu, S.Pd, M.Pd</v>
      </c>
      <c r="I503" s="79" t="s">
        <v>443</v>
      </c>
      <c r="J503" s="79" t="str">
        <f>VLOOKUP(I503,MetaData!$E$2:$G$40,3,false)</f>
        <v>Ayun</v>
      </c>
      <c r="K503" s="80"/>
    </row>
    <row r="504" ht="15.75" customHeight="1">
      <c r="A504" s="85">
        <v>581.0</v>
      </c>
      <c r="B504" s="77">
        <v>33.0</v>
      </c>
      <c r="C504" s="77" t="s">
        <v>1284</v>
      </c>
      <c r="D504" s="77">
        <v>2.526104E8</v>
      </c>
      <c r="E504" s="78" t="s">
        <v>237</v>
      </c>
      <c r="F504" s="77" t="s">
        <v>782</v>
      </c>
      <c r="G504" s="82" t="s">
        <v>79</v>
      </c>
      <c r="H504" s="82" t="str">
        <f>VLOOKUP(G504,MetaData!$A$2:$C$13,3,false)</f>
        <v>Sari Rahayu, S.Pd, M.Pd</v>
      </c>
      <c r="I504" s="82" t="s">
        <v>220</v>
      </c>
      <c r="J504" s="82" t="str">
        <f>VLOOKUP(I504,MetaData!$E$2:$G$40,3,false)</f>
        <v>Rekhsa</v>
      </c>
      <c r="K504" s="83"/>
    </row>
    <row r="505" ht="15.75" customHeight="1">
      <c r="A505" s="84">
        <v>582.0</v>
      </c>
      <c r="B505" s="77">
        <v>34.0</v>
      </c>
      <c r="C505" s="77" t="s">
        <v>1285</v>
      </c>
      <c r="D505" s="77">
        <v>2.52610405E8</v>
      </c>
      <c r="E505" s="78" t="s">
        <v>568</v>
      </c>
      <c r="F505" s="77" t="s">
        <v>784</v>
      </c>
      <c r="G505" s="79" t="s">
        <v>79</v>
      </c>
      <c r="H505" s="79" t="str">
        <f>VLOOKUP(G505,MetaData!$A$2:$C$13,3,false)</f>
        <v>Sari Rahayu, S.Pd, M.Pd</v>
      </c>
      <c r="I505" s="79" t="s">
        <v>564</v>
      </c>
      <c r="J505" s="79" t="str">
        <f>VLOOKUP(I505,MetaData!$E$2:$G$40,3,false)</f>
        <v>Fiona (XI)</v>
      </c>
      <c r="K505" s="80"/>
    </row>
    <row r="506" ht="15.75" customHeight="1">
      <c r="A506" s="85">
        <v>583.0</v>
      </c>
      <c r="B506" s="77">
        <v>35.0</v>
      </c>
      <c r="C506" s="77" t="s">
        <v>1286</v>
      </c>
      <c r="D506" s="77">
        <v>2.52610407E8</v>
      </c>
      <c r="E506" s="78" t="s">
        <v>569</v>
      </c>
      <c r="F506" s="77" t="s">
        <v>784</v>
      </c>
      <c r="G506" s="82" t="s">
        <v>79</v>
      </c>
      <c r="H506" s="82" t="str">
        <f>VLOOKUP(G506,MetaData!$A$2:$C$13,3,false)</f>
        <v>Sari Rahayu, S.Pd, M.Pd</v>
      </c>
      <c r="I506" s="82" t="s">
        <v>564</v>
      </c>
      <c r="J506" s="82" t="str">
        <f>VLOOKUP(I506,MetaData!$E$2:$G$40,3,false)</f>
        <v>Fiona (XI)</v>
      </c>
      <c r="K506" s="83"/>
    </row>
    <row r="507" ht="15.75" customHeight="1">
      <c r="A507" s="84">
        <v>584.0</v>
      </c>
      <c r="B507" s="77">
        <v>36.0</v>
      </c>
      <c r="C507" s="77" t="s">
        <v>1287</v>
      </c>
      <c r="D507" s="77">
        <v>2.52610411E8</v>
      </c>
      <c r="E507" s="78" t="s">
        <v>570</v>
      </c>
      <c r="F507" s="77" t="s">
        <v>784</v>
      </c>
      <c r="G507" s="79" t="s">
        <v>79</v>
      </c>
      <c r="H507" s="79" t="str">
        <f>VLOOKUP(G507,MetaData!$A$2:$C$13,3,false)</f>
        <v>Sari Rahayu, S.Pd, M.Pd</v>
      </c>
      <c r="I507" s="79" t="s">
        <v>564</v>
      </c>
      <c r="J507" s="79" t="str">
        <f>VLOOKUP(I507,MetaData!$E$2:$G$40,3,false)</f>
        <v>Fiona (XI)</v>
      </c>
      <c r="K507" s="80"/>
    </row>
    <row r="508" ht="15.75" customHeight="1">
      <c r="A508" s="85">
        <v>585.0</v>
      </c>
      <c r="B508" s="77">
        <v>39.0</v>
      </c>
      <c r="C508" s="77" t="s">
        <v>1288</v>
      </c>
      <c r="D508" s="77">
        <v>2.52610448E8</v>
      </c>
      <c r="E508" s="78" t="s">
        <v>374</v>
      </c>
      <c r="F508" s="77" t="s">
        <v>782</v>
      </c>
      <c r="G508" s="82" t="s">
        <v>79</v>
      </c>
      <c r="H508" s="82" t="str">
        <f>VLOOKUP(G508,MetaData!$A$2:$C$13,3,false)</f>
        <v>Sari Rahayu, S.Pd, M.Pd</v>
      </c>
      <c r="I508" s="82" t="s">
        <v>360</v>
      </c>
      <c r="J508" s="82" t="str">
        <f>VLOOKUP(I508,MetaData!$E$2:$G$40,3,false)</f>
        <v>Almeer (XII)</v>
      </c>
      <c r="K508" s="83"/>
    </row>
    <row r="509" ht="15.75" customHeight="1">
      <c r="A509" s="84">
        <v>586.0</v>
      </c>
      <c r="B509" s="77">
        <v>40.0</v>
      </c>
      <c r="C509" s="77" t="s">
        <v>1289</v>
      </c>
      <c r="D509" s="77">
        <v>2.52610455E8</v>
      </c>
      <c r="E509" s="78" t="s">
        <v>375</v>
      </c>
      <c r="F509" s="77" t="s">
        <v>782</v>
      </c>
      <c r="G509" s="79" t="s">
        <v>79</v>
      </c>
      <c r="H509" s="79" t="str">
        <f>VLOOKUP(G509,MetaData!$A$2:$C$13,3,false)</f>
        <v>Sari Rahayu, S.Pd, M.Pd</v>
      </c>
      <c r="I509" s="79" t="s">
        <v>360</v>
      </c>
      <c r="J509" s="79" t="str">
        <f>VLOOKUP(I509,MetaData!$E$2:$G$40,3,false)</f>
        <v>Almeer (XII)</v>
      </c>
      <c r="K509" s="80"/>
    </row>
    <row r="510" ht="15.75" customHeight="1">
      <c r="A510" s="85">
        <v>587.0</v>
      </c>
      <c r="B510" s="77">
        <v>41.0</v>
      </c>
      <c r="C510" s="77" t="s">
        <v>1290</v>
      </c>
      <c r="D510" s="77">
        <v>2.5261049E8</v>
      </c>
      <c r="E510" s="78" t="s">
        <v>455</v>
      </c>
      <c r="F510" s="77" t="s">
        <v>784</v>
      </c>
      <c r="G510" s="82" t="s">
        <v>79</v>
      </c>
      <c r="H510" s="82" t="str">
        <f>VLOOKUP(G510,MetaData!$A$2:$C$13,3,false)</f>
        <v>Sari Rahayu, S.Pd, M.Pd</v>
      </c>
      <c r="I510" s="82" t="s">
        <v>443</v>
      </c>
      <c r="J510" s="82" t="str">
        <f>VLOOKUP(I510,MetaData!$E$2:$G$40,3,false)</f>
        <v>Ayun</v>
      </c>
      <c r="K510" s="83"/>
    </row>
    <row r="511" ht="15.75" customHeight="1">
      <c r="A511" s="84">
        <v>588.0</v>
      </c>
      <c r="B511" s="77">
        <v>42.0</v>
      </c>
      <c r="C511" s="77" t="s">
        <v>1291</v>
      </c>
      <c r="D511" s="77">
        <v>2.52610494E8</v>
      </c>
      <c r="E511" s="78" t="s">
        <v>376</v>
      </c>
      <c r="F511" s="77" t="s">
        <v>782</v>
      </c>
      <c r="G511" s="79" t="s">
        <v>79</v>
      </c>
      <c r="H511" s="79" t="str">
        <f>VLOOKUP(G511,MetaData!$A$2:$C$13,3,false)</f>
        <v>Sari Rahayu, S.Pd, M.Pd</v>
      </c>
      <c r="I511" s="79" t="s">
        <v>360</v>
      </c>
      <c r="J511" s="79" t="str">
        <f>VLOOKUP(I511,MetaData!$E$2:$G$40,3,false)</f>
        <v>Almeer (XII)</v>
      </c>
      <c r="K511" s="80"/>
    </row>
    <row r="512" ht="15.75" customHeight="1">
      <c r="A512" s="85">
        <v>589.0</v>
      </c>
      <c r="B512" s="77">
        <v>43.0</v>
      </c>
      <c r="C512" s="77" t="s">
        <v>1292</v>
      </c>
      <c r="D512" s="77">
        <v>2.52610496E8</v>
      </c>
      <c r="E512" s="78" t="s">
        <v>571</v>
      </c>
      <c r="F512" s="77" t="s">
        <v>784</v>
      </c>
      <c r="G512" s="82" t="s">
        <v>79</v>
      </c>
      <c r="H512" s="82" t="str">
        <f>VLOOKUP(G512,MetaData!$A$2:$C$13,3,false)</f>
        <v>Sari Rahayu, S.Pd, M.Pd</v>
      </c>
      <c r="I512" s="82" t="s">
        <v>564</v>
      </c>
      <c r="J512" s="82" t="str">
        <f>VLOOKUP(I512,MetaData!$E$2:$G$40,3,false)</f>
        <v>Fiona (XI)</v>
      </c>
      <c r="K512" s="83"/>
    </row>
    <row r="513" ht="15.75" customHeight="1">
      <c r="A513" s="84">
        <v>590.0</v>
      </c>
      <c r="B513" s="77">
        <v>44.0</v>
      </c>
      <c r="C513" s="77" t="s">
        <v>1293</v>
      </c>
      <c r="D513" s="77">
        <v>2.52610502E8</v>
      </c>
      <c r="E513" s="78" t="s">
        <v>572</v>
      </c>
      <c r="F513" s="77" t="s">
        <v>784</v>
      </c>
      <c r="G513" s="79" t="s">
        <v>79</v>
      </c>
      <c r="H513" s="79" t="str">
        <f>VLOOKUP(G513,MetaData!$A$2:$C$13,3,false)</f>
        <v>Sari Rahayu, S.Pd, M.Pd</v>
      </c>
      <c r="I513" s="79" t="s">
        <v>564</v>
      </c>
      <c r="J513" s="79" t="str">
        <f>VLOOKUP(I513,MetaData!$E$2:$G$40,3,false)</f>
        <v>Fiona (XI)</v>
      </c>
      <c r="K513" s="80"/>
    </row>
    <row r="514" ht="15.75" customHeight="1">
      <c r="A514" s="85">
        <v>591.0</v>
      </c>
      <c r="B514" s="77">
        <v>45.0</v>
      </c>
      <c r="C514" s="77" t="s">
        <v>1294</v>
      </c>
      <c r="D514" s="77">
        <v>2.52610516E8</v>
      </c>
      <c r="E514" s="78" t="s">
        <v>573</v>
      </c>
      <c r="F514" s="77" t="s">
        <v>784</v>
      </c>
      <c r="G514" s="82" t="s">
        <v>79</v>
      </c>
      <c r="H514" s="82" t="str">
        <f>VLOOKUP(G514,MetaData!$A$2:$C$13,3,false)</f>
        <v>Sari Rahayu, S.Pd, M.Pd</v>
      </c>
      <c r="I514" s="82" t="s">
        <v>564</v>
      </c>
      <c r="J514" s="82" t="str">
        <f>VLOOKUP(I514,MetaData!$E$2:$G$40,3,false)</f>
        <v>Fiona (XI)</v>
      </c>
      <c r="K514" s="83"/>
    </row>
    <row r="515" ht="15.75" customHeight="1">
      <c r="A515" s="84">
        <v>592.0</v>
      </c>
      <c r="B515" s="77">
        <v>46.0</v>
      </c>
      <c r="C515" s="77" t="s">
        <v>1295</v>
      </c>
      <c r="D515" s="77">
        <v>2.52610531E8</v>
      </c>
      <c r="E515" s="78" t="s">
        <v>574</v>
      </c>
      <c r="F515" s="77" t="s">
        <v>784</v>
      </c>
      <c r="G515" s="79" t="s">
        <v>79</v>
      </c>
      <c r="H515" s="79" t="str">
        <f>VLOOKUP(G515,MetaData!$A$2:$C$13,3,false)</f>
        <v>Sari Rahayu, S.Pd, M.Pd</v>
      </c>
      <c r="I515" s="79" t="s">
        <v>564</v>
      </c>
      <c r="J515" s="79" t="str">
        <f>VLOOKUP(I515,MetaData!$E$2:$G$40,3,false)</f>
        <v>Fiona (XI)</v>
      </c>
      <c r="K515" s="80"/>
    </row>
    <row r="516" ht="15.75" customHeight="1">
      <c r="A516" s="85">
        <v>593.0</v>
      </c>
      <c r="B516" s="77">
        <v>47.0</v>
      </c>
      <c r="C516" s="77" t="s">
        <v>1296</v>
      </c>
      <c r="D516" s="77">
        <v>2.5261055E8</v>
      </c>
      <c r="E516" s="78" t="s">
        <v>575</v>
      </c>
      <c r="F516" s="77" t="s">
        <v>784</v>
      </c>
      <c r="G516" s="82" t="s">
        <v>79</v>
      </c>
      <c r="H516" s="82" t="str">
        <f>VLOOKUP(G516,MetaData!$A$2:$C$13,3,false)</f>
        <v>Sari Rahayu, S.Pd, M.Pd</v>
      </c>
      <c r="I516" s="82" t="s">
        <v>564</v>
      </c>
      <c r="J516" s="82" t="str">
        <f>VLOOKUP(I516,MetaData!$E$2:$G$40,3,false)</f>
        <v>Fiona (XI)</v>
      </c>
      <c r="K516" s="83"/>
    </row>
    <row r="517" ht="15.75" customHeight="1">
      <c r="A517" s="86">
        <v>594.0</v>
      </c>
      <c r="B517" s="77">
        <v>48.0</v>
      </c>
      <c r="C517" s="77" t="s">
        <v>1297</v>
      </c>
      <c r="D517" s="77">
        <v>2.52610562E8</v>
      </c>
      <c r="E517" s="78" t="s">
        <v>576</v>
      </c>
      <c r="F517" s="77" t="s">
        <v>784</v>
      </c>
      <c r="G517" s="87" t="s">
        <v>79</v>
      </c>
      <c r="H517" s="87" t="str">
        <f>VLOOKUP(G517,MetaData!$A$2:$C$13,3,false)</f>
        <v>Sari Rahayu, S.Pd, M.Pd</v>
      </c>
      <c r="I517" s="87" t="s">
        <v>564</v>
      </c>
      <c r="J517" s="87" t="str">
        <f>VLOOKUP(I517,MetaData!$E$2:$G$40,3,false)</f>
        <v>Fiona (XI)</v>
      </c>
      <c r="K517" s="88"/>
    </row>
    <row r="518" ht="15.75" customHeight="1">
      <c r="A518" s="70"/>
      <c r="B518" s="71"/>
      <c r="C518" s="71"/>
      <c r="D518" s="71"/>
      <c r="E518" s="71"/>
      <c r="F518" s="71"/>
    </row>
    <row r="519" ht="15.75" customHeight="1">
      <c r="A519" s="70"/>
      <c r="B519" s="71"/>
      <c r="C519" s="71"/>
      <c r="D519" s="71"/>
      <c r="E519" s="71"/>
      <c r="F519" s="71"/>
    </row>
    <row r="520" ht="15.75" customHeight="1">
      <c r="A520" s="70"/>
      <c r="B520" s="71"/>
      <c r="C520" s="71"/>
      <c r="D520" s="71"/>
      <c r="E520" s="71"/>
      <c r="F520" s="71"/>
    </row>
    <row r="521" ht="15.75" customHeight="1">
      <c r="A521" s="70"/>
      <c r="B521" s="71"/>
      <c r="C521" s="71"/>
      <c r="D521" s="71"/>
      <c r="E521" s="71"/>
      <c r="F521" s="71"/>
    </row>
    <row r="522" ht="15.75" customHeight="1">
      <c r="A522" s="70"/>
      <c r="B522" s="71"/>
      <c r="C522" s="71"/>
      <c r="D522" s="71"/>
      <c r="E522" s="71"/>
      <c r="F522" s="71"/>
    </row>
    <row r="523" ht="15.75" customHeight="1">
      <c r="A523" s="70"/>
      <c r="B523" s="71"/>
      <c r="C523" s="71"/>
      <c r="D523" s="71"/>
      <c r="E523" s="71"/>
      <c r="F523" s="71"/>
    </row>
    <row r="524" ht="15.75" customHeight="1">
      <c r="A524" s="70"/>
      <c r="B524" s="71"/>
      <c r="C524" s="71"/>
      <c r="D524" s="71"/>
      <c r="E524" s="71"/>
      <c r="F524" s="71"/>
    </row>
    <row r="525" ht="15.75" customHeight="1">
      <c r="A525" s="70"/>
      <c r="B525" s="71"/>
      <c r="C525" s="71"/>
      <c r="D525" s="71"/>
      <c r="E525" s="71"/>
      <c r="F525" s="71"/>
    </row>
    <row r="526" ht="15.75" customHeight="1">
      <c r="A526" s="70"/>
      <c r="B526" s="71"/>
      <c r="C526" s="71"/>
      <c r="D526" s="71"/>
      <c r="E526" s="71"/>
      <c r="F526" s="71"/>
    </row>
    <row r="527" ht="15.75" customHeight="1">
      <c r="A527" s="70"/>
      <c r="B527" s="71"/>
      <c r="C527" s="71"/>
      <c r="D527" s="71"/>
      <c r="E527" s="71"/>
      <c r="F527" s="71"/>
    </row>
    <row r="528" ht="15.75" customHeight="1">
      <c r="A528" s="70"/>
      <c r="B528" s="71"/>
      <c r="C528" s="71"/>
      <c r="D528" s="71"/>
      <c r="E528" s="71"/>
      <c r="F528" s="71"/>
    </row>
    <row r="529" ht="15.75" customHeight="1">
      <c r="A529" s="70"/>
      <c r="B529" s="71"/>
      <c r="C529" s="71"/>
      <c r="D529" s="71"/>
      <c r="E529" s="71"/>
      <c r="F529" s="71"/>
    </row>
    <row r="530" ht="15.75" customHeight="1">
      <c r="A530" s="70"/>
      <c r="B530" s="71"/>
      <c r="C530" s="71"/>
      <c r="D530" s="71"/>
      <c r="E530" s="71"/>
      <c r="F530" s="71"/>
    </row>
    <row r="531" ht="15.75" customHeight="1">
      <c r="A531" s="70"/>
      <c r="B531" s="71"/>
      <c r="C531" s="71"/>
      <c r="D531" s="71"/>
      <c r="E531" s="71"/>
      <c r="F531" s="71"/>
    </row>
    <row r="532" ht="15.75" customHeight="1">
      <c r="A532" s="70"/>
      <c r="B532" s="71"/>
      <c r="C532" s="71"/>
      <c r="D532" s="71"/>
      <c r="E532" s="71"/>
      <c r="F532" s="71"/>
    </row>
    <row r="533" ht="15.75" customHeight="1">
      <c r="A533" s="70"/>
      <c r="B533" s="71"/>
      <c r="C533" s="71"/>
      <c r="D533" s="71"/>
      <c r="E533" s="71"/>
      <c r="F533" s="71"/>
    </row>
    <row r="534" ht="15.75" customHeight="1">
      <c r="A534" s="70"/>
      <c r="B534" s="71"/>
      <c r="C534" s="71"/>
      <c r="D534" s="71"/>
      <c r="E534" s="71"/>
      <c r="F534" s="71"/>
    </row>
    <row r="535" ht="15.75" customHeight="1">
      <c r="A535" s="70"/>
      <c r="B535" s="71"/>
      <c r="C535" s="71"/>
      <c r="D535" s="71"/>
      <c r="E535" s="71"/>
      <c r="F535" s="71"/>
    </row>
    <row r="536" ht="15.75" customHeight="1">
      <c r="A536" s="70"/>
      <c r="B536" s="71"/>
      <c r="C536" s="71"/>
      <c r="D536" s="71"/>
      <c r="E536" s="71"/>
      <c r="F536" s="71"/>
    </row>
    <row r="537" ht="15.75" customHeight="1">
      <c r="A537" s="70"/>
      <c r="B537" s="71"/>
      <c r="C537" s="71"/>
      <c r="D537" s="71"/>
      <c r="E537" s="71"/>
      <c r="F537" s="71"/>
    </row>
    <row r="538" ht="15.75" customHeight="1">
      <c r="A538" s="70"/>
      <c r="B538" s="71"/>
      <c r="C538" s="71"/>
      <c r="D538" s="71"/>
      <c r="E538" s="71"/>
      <c r="F538" s="71"/>
    </row>
    <row r="539" ht="15.75" customHeight="1">
      <c r="A539" s="70"/>
      <c r="B539" s="71"/>
      <c r="C539" s="71"/>
      <c r="D539" s="71"/>
      <c r="E539" s="71"/>
      <c r="F539" s="71"/>
    </row>
    <row r="540" ht="15.75" customHeight="1">
      <c r="A540" s="70"/>
      <c r="B540" s="71"/>
      <c r="C540" s="71"/>
      <c r="D540" s="71"/>
      <c r="E540" s="71"/>
      <c r="F540" s="71"/>
    </row>
    <row r="541" ht="15.75" customHeight="1">
      <c r="A541" s="70"/>
      <c r="B541" s="71"/>
      <c r="C541" s="71"/>
      <c r="D541" s="71"/>
      <c r="E541" s="71"/>
      <c r="F541" s="71"/>
    </row>
    <row r="542" ht="15.75" customHeight="1">
      <c r="A542" s="70"/>
      <c r="B542" s="71"/>
      <c r="C542" s="71"/>
      <c r="D542" s="71"/>
      <c r="E542" s="71"/>
      <c r="F542" s="71"/>
    </row>
    <row r="543" ht="15.75" customHeight="1">
      <c r="A543" s="70"/>
      <c r="B543" s="71"/>
      <c r="C543" s="71"/>
      <c r="D543" s="71"/>
      <c r="E543" s="71"/>
      <c r="F543" s="71"/>
    </row>
    <row r="544" ht="15.75" customHeight="1">
      <c r="A544" s="70"/>
      <c r="B544" s="71"/>
      <c r="C544" s="71"/>
      <c r="D544" s="71"/>
      <c r="E544" s="71"/>
      <c r="F544" s="71"/>
    </row>
    <row r="545" ht="15.75" customHeight="1">
      <c r="A545" s="70"/>
      <c r="B545" s="71"/>
      <c r="C545" s="71"/>
      <c r="D545" s="71"/>
      <c r="E545" s="71"/>
      <c r="F545" s="71"/>
    </row>
    <row r="546" ht="15.75" customHeight="1">
      <c r="A546" s="70"/>
      <c r="B546" s="71"/>
      <c r="C546" s="71"/>
      <c r="D546" s="71"/>
      <c r="E546" s="71"/>
      <c r="F546" s="71"/>
    </row>
    <row r="547" ht="15.75" customHeight="1">
      <c r="A547" s="70"/>
      <c r="B547" s="71"/>
      <c r="C547" s="71"/>
      <c r="D547" s="71"/>
      <c r="E547" s="71"/>
      <c r="F547" s="71"/>
    </row>
    <row r="548" ht="15.75" customHeight="1">
      <c r="A548" s="70"/>
      <c r="B548" s="71"/>
      <c r="C548" s="71"/>
      <c r="D548" s="71"/>
      <c r="E548" s="71"/>
      <c r="F548" s="71"/>
    </row>
    <row r="549" ht="15.75" customHeight="1">
      <c r="A549" s="70"/>
      <c r="B549" s="71"/>
      <c r="C549" s="71"/>
      <c r="D549" s="71"/>
      <c r="E549" s="71"/>
      <c r="F549" s="71"/>
    </row>
    <row r="550" ht="15.75" customHeight="1">
      <c r="A550" s="70"/>
      <c r="B550" s="71"/>
      <c r="C550" s="71"/>
      <c r="D550" s="71"/>
      <c r="E550" s="71"/>
      <c r="F550" s="71"/>
    </row>
    <row r="551" ht="15.75" customHeight="1">
      <c r="A551" s="70"/>
      <c r="B551" s="71"/>
      <c r="C551" s="71"/>
      <c r="D551" s="71"/>
      <c r="E551" s="71"/>
      <c r="F551" s="71"/>
    </row>
    <row r="552" ht="15.75" customHeight="1">
      <c r="A552" s="70"/>
      <c r="B552" s="71"/>
      <c r="C552" s="71"/>
      <c r="D552" s="71"/>
      <c r="E552" s="71"/>
      <c r="F552" s="71"/>
    </row>
    <row r="553" ht="15.75" customHeight="1">
      <c r="A553" s="70"/>
      <c r="B553" s="71"/>
      <c r="C553" s="71"/>
      <c r="D553" s="71"/>
      <c r="E553" s="71"/>
      <c r="F553" s="71"/>
    </row>
    <row r="554" ht="15.75" customHeight="1">
      <c r="A554" s="70"/>
      <c r="B554" s="71"/>
      <c r="C554" s="71"/>
      <c r="D554" s="71"/>
      <c r="E554" s="71"/>
      <c r="F554" s="71"/>
    </row>
    <row r="555" ht="15.75" customHeight="1">
      <c r="A555" s="70"/>
      <c r="B555" s="71"/>
      <c r="C555" s="71"/>
      <c r="D555" s="71"/>
      <c r="E555" s="71"/>
      <c r="F555" s="71"/>
    </row>
    <row r="556" ht="15.75" customHeight="1">
      <c r="A556" s="70"/>
      <c r="B556" s="71"/>
      <c r="C556" s="71"/>
      <c r="D556" s="71"/>
      <c r="E556" s="71"/>
      <c r="F556" s="71"/>
    </row>
    <row r="557" ht="15.75" customHeight="1">
      <c r="A557" s="70"/>
      <c r="B557" s="71"/>
      <c r="C557" s="71"/>
      <c r="D557" s="71"/>
      <c r="E557" s="71"/>
      <c r="F557" s="71"/>
    </row>
    <row r="558" ht="15.75" customHeight="1">
      <c r="A558" s="70"/>
      <c r="B558" s="71"/>
      <c r="C558" s="71"/>
      <c r="D558" s="71"/>
      <c r="E558" s="71"/>
      <c r="F558" s="71"/>
    </row>
    <row r="559" ht="15.75" customHeight="1">
      <c r="A559" s="70"/>
      <c r="B559" s="71"/>
      <c r="C559" s="71"/>
      <c r="D559" s="71"/>
      <c r="E559" s="71"/>
      <c r="F559" s="71"/>
    </row>
    <row r="560" ht="15.75" customHeight="1">
      <c r="A560" s="70"/>
      <c r="B560" s="71"/>
      <c r="C560" s="71"/>
      <c r="D560" s="71"/>
      <c r="E560" s="71"/>
      <c r="F560" s="71"/>
    </row>
    <row r="561" ht="15.75" customHeight="1">
      <c r="A561" s="70"/>
      <c r="B561" s="71"/>
      <c r="C561" s="71"/>
      <c r="D561" s="71"/>
      <c r="E561" s="71"/>
      <c r="F561" s="71"/>
    </row>
    <row r="562" ht="15.75" customHeight="1">
      <c r="A562" s="70"/>
      <c r="B562" s="71"/>
      <c r="C562" s="71"/>
      <c r="D562" s="71"/>
      <c r="E562" s="71"/>
      <c r="F562" s="71"/>
    </row>
    <row r="563" ht="15.75" customHeight="1">
      <c r="A563" s="70"/>
      <c r="B563" s="71"/>
      <c r="C563" s="71"/>
      <c r="D563" s="71"/>
      <c r="E563" s="71"/>
      <c r="F563" s="71"/>
    </row>
    <row r="564" ht="15.75" customHeight="1">
      <c r="A564" s="70"/>
      <c r="B564" s="71"/>
      <c r="C564" s="71"/>
      <c r="D564" s="71"/>
      <c r="E564" s="71"/>
      <c r="F564" s="71"/>
    </row>
    <row r="565" ht="15.75" customHeight="1">
      <c r="A565" s="70"/>
      <c r="B565" s="71"/>
      <c r="C565" s="71"/>
      <c r="D565" s="71"/>
      <c r="E565" s="71"/>
      <c r="F565" s="71"/>
    </row>
    <row r="566" ht="15.75" customHeight="1">
      <c r="A566" s="70"/>
      <c r="B566" s="71"/>
      <c r="C566" s="71"/>
      <c r="D566" s="71"/>
      <c r="E566" s="71"/>
      <c r="F566" s="71"/>
    </row>
    <row r="567" ht="15.75" customHeight="1">
      <c r="A567" s="70"/>
      <c r="B567" s="71"/>
      <c r="C567" s="71"/>
      <c r="D567" s="71"/>
      <c r="E567" s="71"/>
      <c r="F567" s="71"/>
    </row>
    <row r="568" ht="15.75" customHeight="1">
      <c r="A568" s="70"/>
      <c r="B568" s="71"/>
      <c r="C568" s="71"/>
      <c r="D568" s="71"/>
      <c r="E568" s="71"/>
      <c r="F568" s="71"/>
    </row>
    <row r="569" ht="15.75" customHeight="1">
      <c r="A569" s="70"/>
      <c r="B569" s="71"/>
      <c r="C569" s="71"/>
      <c r="D569" s="71"/>
      <c r="E569" s="71"/>
      <c r="F569" s="71"/>
    </row>
    <row r="570" ht="15.75" customHeight="1">
      <c r="A570" s="70"/>
      <c r="B570" s="71"/>
      <c r="C570" s="71"/>
      <c r="D570" s="71"/>
      <c r="E570" s="71"/>
      <c r="F570" s="71"/>
    </row>
    <row r="571" ht="15.75" customHeight="1">
      <c r="A571" s="70"/>
      <c r="B571" s="71"/>
      <c r="C571" s="71"/>
      <c r="D571" s="71"/>
      <c r="E571" s="71"/>
      <c r="F571" s="71"/>
    </row>
    <row r="572" ht="15.75" customHeight="1">
      <c r="A572" s="70"/>
      <c r="B572" s="71"/>
      <c r="C572" s="71"/>
      <c r="D572" s="71"/>
      <c r="E572" s="71"/>
      <c r="F572" s="71"/>
    </row>
    <row r="573" ht="15.75" customHeight="1">
      <c r="A573" s="70"/>
      <c r="B573" s="71"/>
      <c r="C573" s="71"/>
      <c r="D573" s="71"/>
      <c r="E573" s="71"/>
      <c r="F573" s="71"/>
    </row>
    <row r="574" ht="15.75" customHeight="1">
      <c r="A574" s="70"/>
      <c r="B574" s="71"/>
      <c r="C574" s="71"/>
      <c r="D574" s="71"/>
      <c r="E574" s="71"/>
      <c r="F574" s="71"/>
    </row>
    <row r="575" ht="15.75" customHeight="1">
      <c r="A575" s="70"/>
      <c r="B575" s="71"/>
      <c r="C575" s="71"/>
      <c r="D575" s="71"/>
      <c r="E575" s="71"/>
      <c r="F575" s="71"/>
    </row>
    <row r="576" ht="15.75" customHeight="1">
      <c r="A576" s="70"/>
      <c r="B576" s="71"/>
      <c r="C576" s="71"/>
      <c r="D576" s="71"/>
      <c r="E576" s="71"/>
      <c r="F576" s="71"/>
    </row>
    <row r="577" ht="15.75" customHeight="1">
      <c r="A577" s="70"/>
      <c r="B577" s="71"/>
      <c r="C577" s="71"/>
      <c r="D577" s="71"/>
      <c r="E577" s="71"/>
      <c r="F577" s="71"/>
    </row>
    <row r="578" ht="15.75" customHeight="1">
      <c r="A578" s="70"/>
      <c r="B578" s="71"/>
      <c r="C578" s="71"/>
      <c r="D578" s="71"/>
      <c r="E578" s="71"/>
      <c r="F578" s="71"/>
    </row>
    <row r="579" ht="15.75" customHeight="1">
      <c r="A579" s="70"/>
      <c r="B579" s="71"/>
      <c r="C579" s="71"/>
      <c r="D579" s="71"/>
      <c r="E579" s="71"/>
      <c r="F579" s="71"/>
    </row>
    <row r="580" ht="15.75" customHeight="1">
      <c r="A580" s="70"/>
      <c r="B580" s="71"/>
      <c r="C580" s="71"/>
      <c r="D580" s="71"/>
      <c r="E580" s="71"/>
      <c r="F580" s="71"/>
    </row>
    <row r="581" ht="15.75" customHeight="1">
      <c r="A581" s="70"/>
      <c r="B581" s="71"/>
      <c r="C581" s="71"/>
      <c r="D581" s="71"/>
      <c r="E581" s="71"/>
      <c r="F581" s="71"/>
    </row>
    <row r="582" ht="15.75" customHeight="1">
      <c r="A582" s="70"/>
      <c r="B582" s="71"/>
      <c r="C582" s="71"/>
      <c r="D582" s="71"/>
      <c r="E582" s="71"/>
      <c r="F582" s="71"/>
    </row>
    <row r="583" ht="15.75" customHeight="1">
      <c r="A583" s="70"/>
      <c r="B583" s="71"/>
      <c r="C583" s="71"/>
      <c r="D583" s="71"/>
      <c r="E583" s="71"/>
      <c r="F583" s="71"/>
    </row>
    <row r="584" ht="15.75" customHeight="1">
      <c r="A584" s="70"/>
      <c r="B584" s="71"/>
      <c r="C584" s="71"/>
      <c r="D584" s="71"/>
      <c r="E584" s="71"/>
      <c r="F584" s="71"/>
    </row>
    <row r="585" ht="15.75" customHeight="1">
      <c r="A585" s="70"/>
      <c r="B585" s="71"/>
      <c r="C585" s="71"/>
      <c r="D585" s="71"/>
      <c r="E585" s="71"/>
      <c r="F585" s="71"/>
    </row>
    <row r="586" ht="15.75" customHeight="1">
      <c r="A586" s="70"/>
      <c r="B586" s="71"/>
      <c r="C586" s="71"/>
      <c r="D586" s="71"/>
      <c r="E586" s="71"/>
      <c r="F586" s="71"/>
    </row>
    <row r="587" ht="15.75" customHeight="1">
      <c r="A587" s="70"/>
      <c r="B587" s="71"/>
      <c r="C587" s="71"/>
      <c r="D587" s="71"/>
      <c r="E587" s="71"/>
      <c r="F587" s="71"/>
    </row>
    <row r="588" ht="15.75" customHeight="1">
      <c r="A588" s="70"/>
      <c r="B588" s="71"/>
      <c r="C588" s="71"/>
      <c r="D588" s="71"/>
      <c r="E588" s="71"/>
      <c r="F588" s="71"/>
    </row>
    <row r="589" ht="15.75" customHeight="1">
      <c r="A589" s="70"/>
      <c r="B589" s="71"/>
      <c r="C589" s="71"/>
      <c r="D589" s="71"/>
      <c r="E589" s="71"/>
      <c r="F589" s="71"/>
    </row>
    <row r="590" ht="15.75" customHeight="1">
      <c r="A590" s="70"/>
      <c r="B590" s="71"/>
      <c r="C590" s="71"/>
      <c r="D590" s="71"/>
      <c r="E590" s="71"/>
      <c r="F590" s="71"/>
    </row>
    <row r="591" ht="15.75" customHeight="1">
      <c r="A591" s="70"/>
      <c r="B591" s="71"/>
      <c r="C591" s="71"/>
      <c r="D591" s="71"/>
      <c r="E591" s="71"/>
      <c r="F591" s="71"/>
    </row>
    <row r="592" ht="15.75" customHeight="1">
      <c r="A592" s="70"/>
      <c r="B592" s="71"/>
      <c r="C592" s="71"/>
      <c r="D592" s="71"/>
      <c r="E592" s="71"/>
      <c r="F592" s="71"/>
    </row>
    <row r="593" ht="15.75" customHeight="1">
      <c r="A593" s="70"/>
      <c r="B593" s="71"/>
      <c r="C593" s="71"/>
      <c r="D593" s="71"/>
      <c r="E593" s="71"/>
      <c r="F593" s="71"/>
    </row>
    <row r="594" ht="15.75" customHeight="1">
      <c r="A594" s="70"/>
      <c r="B594" s="71"/>
      <c r="C594" s="71"/>
      <c r="D594" s="71"/>
      <c r="E594" s="71"/>
      <c r="F594" s="71"/>
    </row>
    <row r="595" ht="15.75" customHeight="1">
      <c r="A595" s="70"/>
      <c r="B595" s="71"/>
      <c r="C595" s="71"/>
      <c r="D595" s="71"/>
      <c r="E595" s="71"/>
      <c r="F595" s="71"/>
    </row>
    <row r="596" ht="15.75" customHeight="1">
      <c r="A596" s="70"/>
      <c r="B596" s="71"/>
      <c r="C596" s="71"/>
      <c r="D596" s="71"/>
      <c r="E596" s="71"/>
      <c r="F596" s="71"/>
    </row>
    <row r="597" ht="15.75" customHeight="1">
      <c r="A597" s="70"/>
      <c r="B597" s="71"/>
      <c r="C597" s="71"/>
      <c r="D597" s="71"/>
      <c r="E597" s="71"/>
      <c r="F597" s="71"/>
    </row>
    <row r="598" ht="15.75" customHeight="1">
      <c r="A598" s="70"/>
      <c r="B598" s="71"/>
      <c r="C598" s="71"/>
      <c r="D598" s="71"/>
      <c r="E598" s="71"/>
      <c r="F598" s="71"/>
    </row>
    <row r="599" ht="15.75" customHeight="1">
      <c r="A599" s="70"/>
      <c r="B599" s="71"/>
      <c r="C599" s="71"/>
      <c r="D599" s="71"/>
      <c r="E599" s="71"/>
      <c r="F599" s="71"/>
    </row>
    <row r="600" ht="15.75" customHeight="1">
      <c r="A600" s="70"/>
      <c r="B600" s="71"/>
      <c r="C600" s="71"/>
      <c r="D600" s="71"/>
      <c r="E600" s="71"/>
      <c r="F600" s="71"/>
    </row>
    <row r="601" ht="15.75" customHeight="1">
      <c r="A601" s="70"/>
      <c r="B601" s="71"/>
      <c r="C601" s="71"/>
      <c r="D601" s="71"/>
      <c r="E601" s="71"/>
      <c r="F601" s="71"/>
    </row>
    <row r="602" ht="15.75" customHeight="1">
      <c r="A602" s="70"/>
      <c r="B602" s="71"/>
      <c r="C602" s="71"/>
      <c r="D602" s="71"/>
      <c r="E602" s="71"/>
      <c r="F602" s="71"/>
    </row>
    <row r="603" ht="15.75" customHeight="1">
      <c r="A603" s="70"/>
      <c r="B603" s="71"/>
      <c r="C603" s="71"/>
      <c r="D603" s="71"/>
      <c r="E603" s="71"/>
      <c r="F603" s="71"/>
    </row>
    <row r="604" ht="15.75" customHeight="1">
      <c r="A604" s="70"/>
      <c r="B604" s="71"/>
      <c r="C604" s="71"/>
      <c r="D604" s="71"/>
      <c r="E604" s="71"/>
      <c r="F604" s="71"/>
    </row>
    <row r="605" ht="15.75" customHeight="1">
      <c r="A605" s="70"/>
      <c r="B605" s="71"/>
      <c r="C605" s="71"/>
      <c r="D605" s="71"/>
      <c r="E605" s="71"/>
      <c r="F605" s="71"/>
    </row>
    <row r="606" ht="15.75" customHeight="1">
      <c r="A606" s="70"/>
      <c r="B606" s="71"/>
      <c r="C606" s="71"/>
      <c r="D606" s="71"/>
      <c r="E606" s="71"/>
      <c r="F606" s="71"/>
    </row>
    <row r="607" ht="15.75" customHeight="1">
      <c r="A607" s="70"/>
      <c r="B607" s="71"/>
      <c r="C607" s="71"/>
      <c r="D607" s="71"/>
      <c r="E607" s="71"/>
      <c r="F607" s="71"/>
    </row>
    <row r="608" ht="15.75" customHeight="1">
      <c r="A608" s="70"/>
      <c r="B608" s="71"/>
      <c r="C608" s="71"/>
      <c r="D608" s="71"/>
      <c r="E608" s="71"/>
      <c r="F608" s="71"/>
    </row>
    <row r="609" ht="15.75" customHeight="1">
      <c r="A609" s="70"/>
      <c r="B609" s="71"/>
      <c r="C609" s="71"/>
      <c r="D609" s="71"/>
      <c r="E609" s="71"/>
      <c r="F609" s="71"/>
    </row>
    <row r="610" ht="15.75" customHeight="1">
      <c r="A610" s="70"/>
      <c r="B610" s="71"/>
      <c r="C610" s="71"/>
      <c r="D610" s="71"/>
      <c r="E610" s="71"/>
      <c r="F610" s="71"/>
    </row>
    <row r="611" ht="15.75" customHeight="1">
      <c r="A611" s="70"/>
      <c r="B611" s="71"/>
      <c r="C611" s="71"/>
      <c r="D611" s="71"/>
      <c r="E611" s="71"/>
      <c r="F611" s="71"/>
    </row>
    <row r="612" ht="15.75" customHeight="1">
      <c r="A612" s="70"/>
      <c r="B612" s="71"/>
      <c r="C612" s="71"/>
      <c r="D612" s="71"/>
      <c r="E612" s="71"/>
      <c r="F612" s="71"/>
    </row>
    <row r="613" ht="15.75" customHeight="1">
      <c r="A613" s="70"/>
      <c r="B613" s="71"/>
      <c r="C613" s="71"/>
      <c r="D613" s="71"/>
      <c r="E613" s="71"/>
      <c r="F613" s="71"/>
    </row>
    <row r="614" ht="15.75" customHeight="1">
      <c r="A614" s="70"/>
      <c r="B614" s="71"/>
      <c r="C614" s="71"/>
      <c r="D614" s="71"/>
      <c r="E614" s="71"/>
      <c r="F614" s="71"/>
    </row>
    <row r="615" ht="15.75" customHeight="1">
      <c r="A615" s="70"/>
      <c r="B615" s="71"/>
      <c r="C615" s="71"/>
      <c r="D615" s="71"/>
      <c r="E615" s="71"/>
      <c r="F615" s="71"/>
    </row>
    <row r="616" ht="15.75" customHeight="1">
      <c r="A616" s="70"/>
      <c r="B616" s="71"/>
      <c r="C616" s="71"/>
      <c r="D616" s="71"/>
      <c r="E616" s="71"/>
      <c r="F616" s="71"/>
    </row>
    <row r="617" ht="15.75" customHeight="1">
      <c r="A617" s="70"/>
      <c r="B617" s="71"/>
      <c r="C617" s="71"/>
      <c r="D617" s="71"/>
      <c r="E617" s="71"/>
      <c r="F617" s="71"/>
    </row>
    <row r="618" ht="15.75" customHeight="1">
      <c r="A618" s="70"/>
      <c r="B618" s="71"/>
      <c r="C618" s="71"/>
      <c r="D618" s="71"/>
      <c r="E618" s="71"/>
      <c r="F618" s="71"/>
    </row>
    <row r="619" ht="15.75" customHeight="1">
      <c r="A619" s="70"/>
      <c r="B619" s="71"/>
      <c r="C619" s="71"/>
      <c r="D619" s="71"/>
      <c r="E619" s="71"/>
      <c r="F619" s="71"/>
    </row>
    <row r="620" ht="15.75" customHeight="1">
      <c r="A620" s="70"/>
      <c r="B620" s="71"/>
      <c r="C620" s="71"/>
      <c r="D620" s="71"/>
      <c r="E620" s="71"/>
      <c r="F620" s="71"/>
    </row>
    <row r="621" ht="15.75" customHeight="1">
      <c r="A621" s="70"/>
      <c r="B621" s="71"/>
      <c r="C621" s="71"/>
      <c r="D621" s="71"/>
      <c r="E621" s="71"/>
      <c r="F621" s="71"/>
    </row>
    <row r="622" ht="15.75" customHeight="1">
      <c r="A622" s="70"/>
      <c r="B622" s="71"/>
      <c r="C622" s="71"/>
      <c r="D622" s="71"/>
      <c r="E622" s="71"/>
      <c r="F622" s="71"/>
    </row>
    <row r="623" ht="15.75" customHeight="1">
      <c r="A623" s="70"/>
      <c r="B623" s="71"/>
      <c r="C623" s="71"/>
      <c r="D623" s="71"/>
      <c r="E623" s="71"/>
      <c r="F623" s="71"/>
    </row>
    <row r="624" ht="15.75" customHeight="1">
      <c r="A624" s="70"/>
      <c r="B624" s="71"/>
      <c r="C624" s="71"/>
      <c r="D624" s="71"/>
      <c r="E624" s="71"/>
      <c r="F624" s="71"/>
    </row>
    <row r="625" ht="15.75" customHeight="1">
      <c r="A625" s="70"/>
      <c r="B625" s="71"/>
      <c r="C625" s="71"/>
      <c r="D625" s="71"/>
      <c r="E625" s="71"/>
      <c r="F625" s="71"/>
    </row>
    <row r="626" ht="15.75" customHeight="1">
      <c r="A626" s="70"/>
      <c r="B626" s="71"/>
      <c r="C626" s="71"/>
      <c r="D626" s="71"/>
      <c r="E626" s="71"/>
      <c r="F626" s="71"/>
    </row>
    <row r="627" ht="15.75" customHeight="1">
      <c r="A627" s="70"/>
      <c r="B627" s="71"/>
      <c r="C627" s="71"/>
      <c r="D627" s="71"/>
      <c r="E627" s="71"/>
      <c r="F627" s="71"/>
    </row>
    <row r="628" ht="15.75" customHeight="1">
      <c r="A628" s="70"/>
      <c r="B628" s="71"/>
      <c r="C628" s="71"/>
      <c r="D628" s="71"/>
      <c r="E628" s="71"/>
      <c r="F628" s="71"/>
    </row>
    <row r="629" ht="15.75" customHeight="1">
      <c r="A629" s="70"/>
      <c r="B629" s="71"/>
      <c r="C629" s="71"/>
      <c r="D629" s="71"/>
      <c r="E629" s="71"/>
      <c r="F629" s="71"/>
    </row>
    <row r="630" ht="15.75" customHeight="1">
      <c r="A630" s="70"/>
      <c r="B630" s="71"/>
      <c r="C630" s="71"/>
      <c r="D630" s="71"/>
      <c r="E630" s="71"/>
      <c r="F630" s="71"/>
    </row>
    <row r="631" ht="15.75" customHeight="1">
      <c r="A631" s="70"/>
      <c r="B631" s="71"/>
      <c r="C631" s="71"/>
      <c r="D631" s="71"/>
      <c r="E631" s="71"/>
      <c r="F631" s="71"/>
    </row>
    <row r="632" ht="15.75" customHeight="1">
      <c r="A632" s="70"/>
      <c r="B632" s="71"/>
      <c r="C632" s="71"/>
      <c r="D632" s="71"/>
      <c r="E632" s="71"/>
      <c r="F632" s="71"/>
    </row>
    <row r="633" ht="15.75" customHeight="1">
      <c r="A633" s="70"/>
      <c r="B633" s="71"/>
      <c r="C633" s="71"/>
      <c r="D633" s="71"/>
      <c r="E633" s="71"/>
      <c r="F633" s="71"/>
    </row>
    <row r="634" ht="15.75" customHeight="1">
      <c r="A634" s="70"/>
      <c r="B634" s="71"/>
      <c r="C634" s="71"/>
      <c r="D634" s="71"/>
      <c r="E634" s="71"/>
      <c r="F634" s="71"/>
    </row>
    <row r="635" ht="15.75" customHeight="1">
      <c r="A635" s="70"/>
      <c r="B635" s="71"/>
      <c r="C635" s="71"/>
      <c r="D635" s="71"/>
      <c r="E635" s="71"/>
      <c r="F635" s="71"/>
    </row>
    <row r="636" ht="15.75" customHeight="1">
      <c r="A636" s="70"/>
      <c r="B636" s="71"/>
      <c r="C636" s="71"/>
      <c r="D636" s="71"/>
      <c r="E636" s="71"/>
      <c r="F636" s="71"/>
    </row>
    <row r="637" ht="15.75" customHeight="1">
      <c r="A637" s="70"/>
      <c r="B637" s="71"/>
      <c r="C637" s="71"/>
      <c r="D637" s="71"/>
      <c r="E637" s="71"/>
      <c r="F637" s="71"/>
    </row>
    <row r="638" ht="15.75" customHeight="1">
      <c r="A638" s="70"/>
      <c r="B638" s="71"/>
      <c r="C638" s="71"/>
      <c r="D638" s="71"/>
      <c r="E638" s="71"/>
      <c r="F638" s="71"/>
    </row>
    <row r="639" ht="15.75" customHeight="1">
      <c r="A639" s="70"/>
      <c r="B639" s="71"/>
      <c r="C639" s="71"/>
      <c r="D639" s="71"/>
      <c r="E639" s="71"/>
      <c r="F639" s="71"/>
    </row>
    <row r="640" ht="15.75" customHeight="1">
      <c r="A640" s="70"/>
      <c r="B640" s="71"/>
      <c r="C640" s="71"/>
      <c r="D640" s="71"/>
      <c r="E640" s="71"/>
      <c r="F640" s="71"/>
    </row>
    <row r="641" ht="15.75" customHeight="1">
      <c r="A641" s="70"/>
      <c r="B641" s="71"/>
      <c r="C641" s="71"/>
      <c r="D641" s="71"/>
      <c r="E641" s="71"/>
      <c r="F641" s="71"/>
    </row>
    <row r="642" ht="15.75" customHeight="1">
      <c r="A642" s="70"/>
      <c r="B642" s="71"/>
      <c r="C642" s="71"/>
      <c r="D642" s="71"/>
      <c r="E642" s="71"/>
      <c r="F642" s="71"/>
    </row>
    <row r="643" ht="15.75" customHeight="1">
      <c r="A643" s="70"/>
      <c r="B643" s="71"/>
      <c r="C643" s="71"/>
      <c r="D643" s="71"/>
      <c r="E643" s="71"/>
      <c r="F643" s="71"/>
    </row>
    <row r="644" ht="15.75" customHeight="1">
      <c r="A644" s="70"/>
      <c r="B644" s="71"/>
      <c r="C644" s="71"/>
      <c r="D644" s="71"/>
      <c r="E644" s="71"/>
      <c r="F644" s="71"/>
    </row>
    <row r="645" ht="15.75" customHeight="1">
      <c r="A645" s="70"/>
      <c r="B645" s="71"/>
      <c r="C645" s="71"/>
      <c r="D645" s="71"/>
      <c r="E645" s="71"/>
      <c r="F645" s="71"/>
    </row>
    <row r="646" ht="15.75" customHeight="1">
      <c r="A646" s="70"/>
      <c r="B646" s="71"/>
      <c r="C646" s="71"/>
      <c r="D646" s="71"/>
      <c r="E646" s="71"/>
      <c r="F646" s="71"/>
    </row>
    <row r="647" ht="15.75" customHeight="1">
      <c r="A647" s="70"/>
      <c r="B647" s="71"/>
      <c r="C647" s="71"/>
      <c r="D647" s="71"/>
      <c r="E647" s="71"/>
      <c r="F647" s="71"/>
    </row>
    <row r="648" ht="15.75" customHeight="1">
      <c r="A648" s="70"/>
      <c r="B648" s="71"/>
      <c r="C648" s="71"/>
      <c r="D648" s="71"/>
      <c r="E648" s="71"/>
      <c r="F648" s="71"/>
    </row>
    <row r="649" ht="15.75" customHeight="1">
      <c r="A649" s="70"/>
      <c r="B649" s="71"/>
      <c r="C649" s="71"/>
      <c r="D649" s="71"/>
      <c r="E649" s="71"/>
      <c r="F649" s="71"/>
    </row>
    <row r="650" ht="15.75" customHeight="1">
      <c r="A650" s="70"/>
      <c r="B650" s="71"/>
      <c r="C650" s="71"/>
      <c r="D650" s="71"/>
      <c r="E650" s="71"/>
      <c r="F650" s="71"/>
    </row>
    <row r="651" ht="15.75" customHeight="1">
      <c r="A651" s="70"/>
      <c r="B651" s="71"/>
      <c r="C651" s="71"/>
      <c r="D651" s="71"/>
      <c r="E651" s="71"/>
      <c r="F651" s="71"/>
    </row>
    <row r="652" ht="15.75" customHeight="1">
      <c r="A652" s="70"/>
      <c r="B652" s="71"/>
      <c r="C652" s="71"/>
      <c r="D652" s="71"/>
      <c r="E652" s="71"/>
      <c r="F652" s="71"/>
    </row>
    <row r="653" ht="15.75" customHeight="1">
      <c r="A653" s="70"/>
      <c r="B653" s="71"/>
      <c r="C653" s="71"/>
      <c r="D653" s="71"/>
      <c r="E653" s="71"/>
      <c r="F653" s="71"/>
    </row>
    <row r="654" ht="15.75" customHeight="1">
      <c r="A654" s="70"/>
      <c r="B654" s="71"/>
      <c r="C654" s="71"/>
      <c r="D654" s="71"/>
      <c r="E654" s="71"/>
      <c r="F654" s="71"/>
    </row>
    <row r="655" ht="15.75" customHeight="1">
      <c r="A655" s="70"/>
      <c r="B655" s="71"/>
      <c r="C655" s="71"/>
      <c r="D655" s="71"/>
      <c r="E655" s="71"/>
      <c r="F655" s="71"/>
    </row>
    <row r="656" ht="15.75" customHeight="1">
      <c r="A656" s="70"/>
      <c r="B656" s="71"/>
      <c r="C656" s="71"/>
      <c r="D656" s="71"/>
      <c r="E656" s="71"/>
      <c r="F656" s="71"/>
    </row>
    <row r="657" ht="15.75" customHeight="1">
      <c r="A657" s="70"/>
      <c r="B657" s="71"/>
      <c r="C657" s="71"/>
      <c r="D657" s="71"/>
      <c r="E657" s="71"/>
      <c r="F657" s="71"/>
    </row>
    <row r="658" ht="15.75" customHeight="1">
      <c r="A658" s="70"/>
      <c r="B658" s="71"/>
      <c r="C658" s="71"/>
      <c r="D658" s="71"/>
      <c r="E658" s="71"/>
      <c r="F658" s="71"/>
    </row>
    <row r="659" ht="15.75" customHeight="1">
      <c r="A659" s="70"/>
      <c r="B659" s="71"/>
      <c r="C659" s="71"/>
      <c r="D659" s="71"/>
      <c r="E659" s="71"/>
      <c r="F659" s="71"/>
    </row>
    <row r="660" ht="15.75" customHeight="1">
      <c r="A660" s="70"/>
      <c r="B660" s="71"/>
      <c r="C660" s="71"/>
      <c r="D660" s="71"/>
      <c r="E660" s="71"/>
      <c r="F660" s="71"/>
    </row>
    <row r="661" ht="15.75" customHeight="1">
      <c r="A661" s="70"/>
      <c r="B661" s="71"/>
      <c r="C661" s="71"/>
      <c r="D661" s="71"/>
      <c r="E661" s="71"/>
      <c r="F661" s="71"/>
    </row>
    <row r="662" ht="15.75" customHeight="1">
      <c r="A662" s="70"/>
      <c r="B662" s="71"/>
      <c r="C662" s="71"/>
      <c r="D662" s="71"/>
      <c r="E662" s="71"/>
      <c r="F662" s="71"/>
    </row>
    <row r="663" ht="15.75" customHeight="1">
      <c r="A663" s="70"/>
      <c r="B663" s="71"/>
      <c r="C663" s="71"/>
      <c r="D663" s="71"/>
      <c r="E663" s="71"/>
      <c r="F663" s="71"/>
    </row>
    <row r="664" ht="15.75" customHeight="1">
      <c r="A664" s="70"/>
      <c r="B664" s="71"/>
      <c r="C664" s="71"/>
      <c r="D664" s="71"/>
      <c r="E664" s="71"/>
      <c r="F664" s="71"/>
    </row>
    <row r="665" ht="15.75" customHeight="1">
      <c r="A665" s="70"/>
      <c r="B665" s="71"/>
      <c r="C665" s="71"/>
      <c r="D665" s="71"/>
      <c r="E665" s="71"/>
      <c r="F665" s="71"/>
    </row>
    <row r="666" ht="15.75" customHeight="1">
      <c r="A666" s="70"/>
      <c r="B666" s="71"/>
      <c r="C666" s="71"/>
      <c r="D666" s="71"/>
      <c r="E666" s="71"/>
      <c r="F666" s="71"/>
    </row>
    <row r="667" ht="15.75" customHeight="1">
      <c r="A667" s="70"/>
      <c r="B667" s="71"/>
      <c r="C667" s="71"/>
      <c r="D667" s="71"/>
      <c r="E667" s="71"/>
      <c r="F667" s="71"/>
    </row>
    <row r="668" ht="15.75" customHeight="1">
      <c r="A668" s="70"/>
      <c r="B668" s="71"/>
      <c r="C668" s="71"/>
      <c r="D668" s="71"/>
      <c r="E668" s="71"/>
      <c r="F668" s="71"/>
    </row>
    <row r="669" ht="15.75" customHeight="1">
      <c r="A669" s="70"/>
      <c r="B669" s="71"/>
      <c r="C669" s="71"/>
      <c r="D669" s="71"/>
      <c r="E669" s="71"/>
      <c r="F669" s="71"/>
    </row>
    <row r="670" ht="15.75" customHeight="1">
      <c r="A670" s="70"/>
      <c r="B670" s="71"/>
      <c r="C670" s="71"/>
      <c r="D670" s="71"/>
      <c r="E670" s="71"/>
      <c r="F670" s="71"/>
    </row>
    <row r="671" ht="15.75" customHeight="1">
      <c r="A671" s="70"/>
      <c r="B671" s="71"/>
      <c r="C671" s="71"/>
      <c r="D671" s="71"/>
      <c r="E671" s="71"/>
      <c r="F671" s="71"/>
    </row>
    <row r="672" ht="15.75" customHeight="1">
      <c r="A672" s="70"/>
      <c r="B672" s="71"/>
      <c r="C672" s="71"/>
      <c r="D672" s="71"/>
      <c r="E672" s="71"/>
      <c r="F672" s="71"/>
    </row>
    <row r="673" ht="15.75" customHeight="1">
      <c r="A673" s="70"/>
      <c r="B673" s="71"/>
      <c r="C673" s="71"/>
      <c r="D673" s="71"/>
      <c r="E673" s="71"/>
      <c r="F673" s="71"/>
    </row>
    <row r="674" ht="15.75" customHeight="1">
      <c r="A674" s="70"/>
      <c r="B674" s="71"/>
      <c r="C674" s="71"/>
      <c r="D674" s="71"/>
      <c r="E674" s="71"/>
      <c r="F674" s="71"/>
    </row>
    <row r="675" ht="15.75" customHeight="1">
      <c r="A675" s="70"/>
      <c r="B675" s="71"/>
      <c r="C675" s="71"/>
      <c r="D675" s="71"/>
      <c r="E675" s="71"/>
      <c r="F675" s="71"/>
    </row>
    <row r="676" ht="15.75" customHeight="1">
      <c r="A676" s="70"/>
      <c r="B676" s="71"/>
      <c r="C676" s="71"/>
      <c r="D676" s="71"/>
      <c r="E676" s="71"/>
      <c r="F676" s="71"/>
    </row>
    <row r="677" ht="15.75" customHeight="1">
      <c r="A677" s="70"/>
      <c r="B677" s="71"/>
      <c r="C677" s="71"/>
      <c r="D677" s="71"/>
      <c r="E677" s="71"/>
      <c r="F677" s="71"/>
    </row>
    <row r="678" ht="15.75" customHeight="1">
      <c r="A678" s="70"/>
      <c r="B678" s="71"/>
      <c r="C678" s="71"/>
      <c r="D678" s="71"/>
      <c r="E678" s="71"/>
      <c r="F678" s="71"/>
    </row>
    <row r="679" ht="15.75" customHeight="1">
      <c r="A679" s="70"/>
      <c r="B679" s="71"/>
      <c r="C679" s="71"/>
      <c r="D679" s="71"/>
      <c r="E679" s="71"/>
      <c r="F679" s="71"/>
    </row>
    <row r="680" ht="15.75" customHeight="1">
      <c r="A680" s="70"/>
      <c r="B680" s="71"/>
      <c r="C680" s="71"/>
      <c r="D680" s="71"/>
      <c r="E680" s="71"/>
      <c r="F680" s="71"/>
    </row>
    <row r="681" ht="15.75" customHeight="1">
      <c r="A681" s="70"/>
      <c r="B681" s="71"/>
      <c r="C681" s="71"/>
      <c r="D681" s="71"/>
      <c r="E681" s="71"/>
      <c r="F681" s="71"/>
    </row>
    <row r="682" ht="15.75" customHeight="1">
      <c r="A682" s="70"/>
      <c r="B682" s="71"/>
      <c r="C682" s="71"/>
      <c r="D682" s="71"/>
      <c r="E682" s="71"/>
      <c r="F682" s="71"/>
    </row>
    <row r="683" ht="15.75" customHeight="1">
      <c r="A683" s="70"/>
      <c r="B683" s="71"/>
      <c r="C683" s="71"/>
      <c r="D683" s="71"/>
      <c r="E683" s="71"/>
      <c r="F683" s="71"/>
    </row>
    <row r="684" ht="15.75" customHeight="1">
      <c r="A684" s="70"/>
      <c r="B684" s="71"/>
      <c r="C684" s="71"/>
      <c r="D684" s="71"/>
      <c r="E684" s="71"/>
      <c r="F684" s="71"/>
    </row>
    <row r="685" ht="15.75" customHeight="1">
      <c r="A685" s="70"/>
      <c r="B685" s="71"/>
      <c r="C685" s="71"/>
      <c r="D685" s="71"/>
      <c r="E685" s="71"/>
      <c r="F685" s="71"/>
    </row>
    <row r="686" ht="15.75" customHeight="1">
      <c r="A686" s="70"/>
      <c r="B686" s="71"/>
      <c r="C686" s="71"/>
      <c r="D686" s="71"/>
      <c r="E686" s="71"/>
      <c r="F686" s="71"/>
    </row>
    <row r="687" ht="15.75" customHeight="1">
      <c r="A687" s="70"/>
      <c r="B687" s="71"/>
      <c r="C687" s="71"/>
      <c r="D687" s="71"/>
      <c r="E687" s="71"/>
      <c r="F687" s="71"/>
    </row>
    <row r="688" ht="15.75" customHeight="1">
      <c r="A688" s="70"/>
      <c r="B688" s="71"/>
      <c r="C688" s="71"/>
      <c r="D688" s="71"/>
      <c r="E688" s="71"/>
      <c r="F688" s="71"/>
    </row>
    <row r="689" ht="15.75" customHeight="1">
      <c r="A689" s="70"/>
      <c r="B689" s="71"/>
      <c r="C689" s="71"/>
      <c r="D689" s="71"/>
      <c r="E689" s="71"/>
      <c r="F689" s="71"/>
    </row>
    <row r="690" ht="15.75" customHeight="1">
      <c r="A690" s="70"/>
      <c r="B690" s="71"/>
      <c r="C690" s="71"/>
      <c r="D690" s="71"/>
      <c r="E690" s="71"/>
      <c r="F690" s="71"/>
    </row>
    <row r="691" ht="15.75" customHeight="1">
      <c r="A691" s="70"/>
      <c r="B691" s="71"/>
      <c r="C691" s="71"/>
      <c r="D691" s="71"/>
      <c r="E691" s="71"/>
      <c r="F691" s="71"/>
    </row>
    <row r="692" ht="15.75" customHeight="1">
      <c r="A692" s="70"/>
      <c r="B692" s="71"/>
      <c r="C692" s="71"/>
      <c r="D692" s="71"/>
      <c r="E692" s="71"/>
      <c r="F692" s="71"/>
    </row>
    <row r="693" ht="15.75" customHeight="1">
      <c r="A693" s="70"/>
      <c r="B693" s="71"/>
      <c r="C693" s="71"/>
      <c r="D693" s="71"/>
      <c r="E693" s="71"/>
      <c r="F693" s="71"/>
    </row>
    <row r="694" ht="15.75" customHeight="1">
      <c r="A694" s="70"/>
      <c r="B694" s="71"/>
      <c r="C694" s="71"/>
      <c r="D694" s="71"/>
      <c r="E694" s="71"/>
      <c r="F694" s="71"/>
    </row>
    <row r="695" ht="15.75" customHeight="1">
      <c r="A695" s="70"/>
      <c r="B695" s="71"/>
      <c r="C695" s="71"/>
      <c r="D695" s="71"/>
      <c r="E695" s="71"/>
      <c r="F695" s="71"/>
    </row>
    <row r="696" ht="15.75" customHeight="1">
      <c r="A696" s="70"/>
      <c r="B696" s="71"/>
      <c r="C696" s="71"/>
      <c r="D696" s="71"/>
      <c r="E696" s="71"/>
      <c r="F696" s="71"/>
    </row>
    <row r="697" ht="15.75" customHeight="1">
      <c r="A697" s="70"/>
      <c r="B697" s="71"/>
      <c r="C697" s="71"/>
      <c r="D697" s="71"/>
      <c r="E697" s="71"/>
      <c r="F697" s="71"/>
    </row>
    <row r="698" ht="15.75" customHeight="1">
      <c r="A698" s="70"/>
      <c r="B698" s="71"/>
      <c r="C698" s="71"/>
      <c r="D698" s="71"/>
      <c r="E698" s="71"/>
      <c r="F698" s="71"/>
    </row>
    <row r="699" ht="15.75" customHeight="1">
      <c r="A699" s="70"/>
      <c r="B699" s="71"/>
      <c r="C699" s="71"/>
      <c r="D699" s="71"/>
      <c r="E699" s="71"/>
      <c r="F699" s="71"/>
    </row>
    <row r="700" ht="15.75" customHeight="1">
      <c r="A700" s="70"/>
      <c r="B700" s="71"/>
      <c r="C700" s="71"/>
      <c r="D700" s="71"/>
      <c r="E700" s="71"/>
      <c r="F700" s="71"/>
    </row>
    <row r="701" ht="15.75" customHeight="1">
      <c r="A701" s="70"/>
      <c r="B701" s="71"/>
      <c r="C701" s="71"/>
      <c r="D701" s="71"/>
      <c r="E701" s="71"/>
      <c r="F701" s="71"/>
    </row>
    <row r="702" ht="15.75" customHeight="1">
      <c r="A702" s="70"/>
      <c r="B702" s="71"/>
      <c r="C702" s="71"/>
      <c r="D702" s="71"/>
      <c r="E702" s="71"/>
      <c r="F702" s="71"/>
    </row>
    <row r="703" ht="15.75" customHeight="1">
      <c r="A703" s="70"/>
      <c r="B703" s="71"/>
      <c r="C703" s="71"/>
      <c r="D703" s="71"/>
      <c r="E703" s="71"/>
      <c r="F703" s="71"/>
    </row>
    <row r="704" ht="15.75" customHeight="1">
      <c r="A704" s="70"/>
      <c r="B704" s="71"/>
      <c r="C704" s="71"/>
      <c r="D704" s="71"/>
      <c r="E704" s="71"/>
      <c r="F704" s="71"/>
    </row>
    <row r="705" ht="15.75" customHeight="1">
      <c r="A705" s="70"/>
      <c r="B705" s="71"/>
      <c r="C705" s="71"/>
      <c r="D705" s="71"/>
      <c r="E705" s="71"/>
      <c r="F705" s="71"/>
    </row>
    <row r="706" ht="15.75" customHeight="1">
      <c r="A706" s="70"/>
      <c r="B706" s="71"/>
      <c r="C706" s="71"/>
      <c r="D706" s="71"/>
      <c r="E706" s="71"/>
      <c r="F706" s="71"/>
    </row>
    <row r="707" ht="15.75" customHeight="1">
      <c r="A707" s="70"/>
      <c r="B707" s="71"/>
      <c r="C707" s="71"/>
      <c r="D707" s="71"/>
      <c r="E707" s="71"/>
      <c r="F707" s="71"/>
    </row>
    <row r="708" ht="15.75" customHeight="1">
      <c r="A708" s="70"/>
      <c r="B708" s="71"/>
      <c r="C708" s="71"/>
      <c r="D708" s="71"/>
      <c r="E708" s="71"/>
      <c r="F708" s="71"/>
    </row>
    <row r="709" ht="15.75" customHeight="1">
      <c r="A709" s="70"/>
      <c r="B709" s="71"/>
      <c r="C709" s="71"/>
      <c r="D709" s="71"/>
      <c r="E709" s="71"/>
      <c r="F709" s="71"/>
    </row>
    <row r="710" ht="15.75" customHeight="1">
      <c r="A710" s="70"/>
      <c r="B710" s="71"/>
      <c r="C710" s="71"/>
      <c r="D710" s="71"/>
      <c r="E710" s="71"/>
      <c r="F710" s="71"/>
    </row>
    <row r="711" ht="15.75" customHeight="1">
      <c r="A711" s="70"/>
      <c r="B711" s="71"/>
      <c r="C711" s="71"/>
      <c r="D711" s="71"/>
      <c r="E711" s="71"/>
      <c r="F711" s="71"/>
    </row>
    <row r="712" ht="15.75" customHeight="1">
      <c r="A712" s="70"/>
      <c r="B712" s="71"/>
      <c r="C712" s="71"/>
      <c r="D712" s="71"/>
      <c r="E712" s="71"/>
      <c r="F712" s="71"/>
    </row>
    <row r="713" ht="15.75" customHeight="1">
      <c r="A713" s="70"/>
      <c r="B713" s="71"/>
      <c r="C713" s="71"/>
      <c r="D713" s="71"/>
      <c r="E713" s="71"/>
      <c r="F713" s="71"/>
    </row>
    <row r="714" ht="15.75" customHeight="1">
      <c r="A714" s="70"/>
      <c r="B714" s="71"/>
      <c r="C714" s="71"/>
      <c r="D714" s="71"/>
      <c r="E714" s="71"/>
      <c r="F714" s="71"/>
    </row>
    <row r="715" ht="15.75" customHeight="1">
      <c r="A715" s="70"/>
      <c r="B715" s="71"/>
      <c r="C715" s="71"/>
      <c r="D715" s="71"/>
      <c r="E715" s="71"/>
      <c r="F715" s="71"/>
    </row>
    <row r="716" ht="15.75" customHeight="1">
      <c r="A716" s="70"/>
      <c r="B716" s="71"/>
      <c r="C716" s="71"/>
      <c r="D716" s="71"/>
      <c r="E716" s="71"/>
      <c r="F716" s="71"/>
    </row>
    <row r="717" ht="15.75" customHeight="1">
      <c r="A717" s="70"/>
      <c r="B717" s="71"/>
      <c r="C717" s="71"/>
      <c r="D717" s="71"/>
      <c r="E717" s="71"/>
      <c r="F717" s="71"/>
    </row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3:G517 I3:I517">
      <formula1>#REF!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9.13"/>
    <col customWidth="1" min="3" max="4" width="13.38"/>
    <col customWidth="1" min="5" max="5" width="38.38"/>
    <col customWidth="1" min="6" max="6" width="13.38"/>
    <col customWidth="1" min="9" max="9" width="14.75"/>
    <col customWidth="1" min="10" max="10" width="13.75"/>
    <col customWidth="1" min="11" max="11" width="13.63"/>
  </cols>
  <sheetData>
    <row r="1" ht="15.75" customHeight="1">
      <c r="A1" s="70"/>
      <c r="B1" s="71"/>
      <c r="C1" s="71"/>
      <c r="D1" s="71"/>
      <c r="E1" s="71"/>
      <c r="F1" s="71"/>
    </row>
    <row r="2" ht="15.75" customHeight="1">
      <c r="A2" s="72" t="s">
        <v>774</v>
      </c>
      <c r="B2" s="73" t="s">
        <v>775</v>
      </c>
      <c r="C2" s="73" t="s">
        <v>776</v>
      </c>
      <c r="D2" s="73" t="s">
        <v>777</v>
      </c>
      <c r="E2" s="73" t="s">
        <v>219</v>
      </c>
      <c r="F2" s="73" t="s">
        <v>778</v>
      </c>
      <c r="G2" s="74" t="s">
        <v>158</v>
      </c>
      <c r="H2" s="74" t="s">
        <v>779</v>
      </c>
      <c r="I2" s="74" t="s">
        <v>218</v>
      </c>
      <c r="J2" s="74" t="s">
        <v>5</v>
      </c>
      <c r="K2" s="75" t="s">
        <v>780</v>
      </c>
    </row>
    <row r="3" ht="15.75" customHeight="1">
      <c r="A3" s="76">
        <v>3.0</v>
      </c>
      <c r="B3" s="77">
        <v>1.0</v>
      </c>
      <c r="C3" s="77" t="s">
        <v>781</v>
      </c>
      <c r="D3" s="77">
        <v>2.52610008E8</v>
      </c>
      <c r="E3" s="78" t="s">
        <v>411</v>
      </c>
      <c r="F3" s="77" t="s">
        <v>782</v>
      </c>
      <c r="G3" s="79" t="s">
        <v>13</v>
      </c>
      <c r="H3" s="79" t="str">
        <f>VLOOKUP(G3,MetaData!$A$2:$C$13,3,false)</f>
        <v>Selly Amalia, S.Hum</v>
      </c>
      <c r="I3" s="79" t="s">
        <v>410</v>
      </c>
      <c r="J3" s="79" t="str">
        <f>VLOOKUP(I3,MetaData!$E$2:$G$40,3,false)</f>
        <v>Rony</v>
      </c>
      <c r="K3" s="80"/>
    </row>
    <row r="4" ht="15.75" customHeight="1">
      <c r="A4" s="81">
        <v>4.0</v>
      </c>
      <c r="B4" s="77">
        <v>2.0</v>
      </c>
      <c r="C4" s="77" t="s">
        <v>783</v>
      </c>
      <c r="D4" s="77">
        <v>2.52610048E8</v>
      </c>
      <c r="E4" s="78" t="s">
        <v>763</v>
      </c>
      <c r="F4" s="77" t="s">
        <v>784</v>
      </c>
      <c r="G4" s="82" t="s">
        <v>13</v>
      </c>
      <c r="H4" s="82" t="str">
        <f>VLOOKUP(G4,MetaData!$A$2:$C$13,3,false)</f>
        <v>Selly Amalia, S.Hum</v>
      </c>
      <c r="I4" s="82" t="s">
        <v>762</v>
      </c>
      <c r="J4" s="82" t="str">
        <f>VLOOKUP(I4,MetaData!$E$2:$G$40,3,false)</f>
        <v>Syifa</v>
      </c>
      <c r="K4" s="83"/>
    </row>
    <row r="5" ht="15.75" customHeight="1">
      <c r="A5" s="76">
        <v>5.0</v>
      </c>
      <c r="B5" s="77">
        <v>3.0</v>
      </c>
      <c r="C5" s="77" t="s">
        <v>785</v>
      </c>
      <c r="D5" s="77">
        <v>2.52610053E8</v>
      </c>
      <c r="E5" s="78" t="s">
        <v>764</v>
      </c>
      <c r="F5" s="77" t="s">
        <v>784</v>
      </c>
      <c r="G5" s="79" t="s">
        <v>13</v>
      </c>
      <c r="H5" s="79" t="str">
        <f>VLOOKUP(G5,MetaData!$A$2:$C$13,3,false)</f>
        <v>Selly Amalia, S.Hum</v>
      </c>
      <c r="I5" s="79" t="s">
        <v>762</v>
      </c>
      <c r="J5" s="79" t="str">
        <f>VLOOKUP(I5,MetaData!$E$2:$G$40,3,false)</f>
        <v>Syifa</v>
      </c>
      <c r="K5" s="80"/>
    </row>
    <row r="6" ht="15.75" customHeight="1">
      <c r="A6" s="81">
        <v>6.0</v>
      </c>
      <c r="B6" s="77">
        <v>4.0</v>
      </c>
      <c r="C6" s="77" t="s">
        <v>786</v>
      </c>
      <c r="D6" s="77">
        <v>2.52610082E8</v>
      </c>
      <c r="E6" s="78" t="s">
        <v>412</v>
      </c>
      <c r="F6" s="77" t="s">
        <v>782</v>
      </c>
      <c r="G6" s="82" t="s">
        <v>13</v>
      </c>
      <c r="H6" s="82" t="str">
        <f>VLOOKUP(G6,MetaData!$A$2:$C$13,3,false)</f>
        <v>Selly Amalia, S.Hum</v>
      </c>
      <c r="I6" s="82" t="s">
        <v>410</v>
      </c>
      <c r="J6" s="82" t="str">
        <f>VLOOKUP(I6,MetaData!$E$2:$G$40,3,false)</f>
        <v>Rony</v>
      </c>
      <c r="K6" s="83"/>
    </row>
    <row r="7" ht="15.75" customHeight="1">
      <c r="A7" s="76">
        <v>7.0</v>
      </c>
      <c r="B7" s="77">
        <v>5.0</v>
      </c>
      <c r="C7" s="77" t="s">
        <v>787</v>
      </c>
      <c r="D7" s="77">
        <v>2.52610083E8</v>
      </c>
      <c r="E7" s="78" t="s">
        <v>765</v>
      </c>
      <c r="F7" s="77" t="s">
        <v>784</v>
      </c>
      <c r="G7" s="79" t="s">
        <v>13</v>
      </c>
      <c r="H7" s="79" t="str">
        <f>VLOOKUP(G7,MetaData!$A$2:$C$13,3,false)</f>
        <v>Selly Amalia, S.Hum</v>
      </c>
      <c r="I7" s="79" t="s">
        <v>762</v>
      </c>
      <c r="J7" s="79" t="str">
        <f>VLOOKUP(I7,MetaData!$E$2:$G$40,3,false)</f>
        <v>Syifa</v>
      </c>
      <c r="K7" s="80"/>
    </row>
    <row r="8" ht="15.75" customHeight="1">
      <c r="A8" s="81">
        <v>8.0</v>
      </c>
      <c r="B8" s="77">
        <v>6.0</v>
      </c>
      <c r="C8" s="77" t="s">
        <v>788</v>
      </c>
      <c r="D8" s="77">
        <v>2.52610087E8</v>
      </c>
      <c r="E8" s="78" t="s">
        <v>766</v>
      </c>
      <c r="F8" s="77" t="s">
        <v>784</v>
      </c>
      <c r="G8" s="82" t="s">
        <v>13</v>
      </c>
      <c r="H8" s="82" t="str">
        <f>VLOOKUP(G8,MetaData!$A$2:$C$13,3,false)</f>
        <v>Selly Amalia, S.Hum</v>
      </c>
      <c r="I8" s="82" t="s">
        <v>762</v>
      </c>
      <c r="J8" s="82" t="str">
        <f>VLOOKUP(I8,MetaData!$E$2:$G$40,3,false)</f>
        <v>Syifa</v>
      </c>
      <c r="K8" s="83"/>
    </row>
    <row r="9" ht="15.75" customHeight="1">
      <c r="A9" s="76">
        <v>9.0</v>
      </c>
      <c r="B9" s="77">
        <v>7.0</v>
      </c>
      <c r="C9" s="77" t="s">
        <v>789</v>
      </c>
      <c r="D9" s="77">
        <v>2.52610088E8</v>
      </c>
      <c r="E9" s="78" t="s">
        <v>767</v>
      </c>
      <c r="F9" s="77" t="s">
        <v>784</v>
      </c>
      <c r="G9" s="79" t="s">
        <v>13</v>
      </c>
      <c r="H9" s="79" t="str">
        <f>VLOOKUP(G9,MetaData!$A$2:$C$13,3,false)</f>
        <v>Selly Amalia, S.Hum</v>
      </c>
      <c r="I9" s="79" t="s">
        <v>762</v>
      </c>
      <c r="J9" s="79" t="str">
        <f>VLOOKUP(I9,MetaData!$E$2:$G$40,3,false)</f>
        <v>Syifa</v>
      </c>
      <c r="K9" s="80"/>
    </row>
    <row r="10" ht="15.75" customHeight="1">
      <c r="A10" s="81">
        <v>10.0</v>
      </c>
      <c r="B10" s="77">
        <v>8.0</v>
      </c>
      <c r="C10" s="77" t="s">
        <v>790</v>
      </c>
      <c r="D10" s="77">
        <v>2.526101E8</v>
      </c>
      <c r="E10" s="78" t="s">
        <v>768</v>
      </c>
      <c r="F10" s="77" t="s">
        <v>784</v>
      </c>
      <c r="G10" s="82" t="s">
        <v>13</v>
      </c>
      <c r="H10" s="82" t="str">
        <f>VLOOKUP(G10,MetaData!$A$2:$C$13,3,false)</f>
        <v>Selly Amalia, S.Hum</v>
      </c>
      <c r="I10" s="82" t="s">
        <v>762</v>
      </c>
      <c r="J10" s="82" t="str">
        <f>VLOOKUP(I10,MetaData!$E$2:$G$40,3,false)</f>
        <v>Syifa</v>
      </c>
      <c r="K10" s="83"/>
    </row>
    <row r="11" ht="15.75" customHeight="1">
      <c r="A11" s="76">
        <v>11.0</v>
      </c>
      <c r="B11" s="77">
        <v>9.0</v>
      </c>
      <c r="C11" s="77" t="s">
        <v>791</v>
      </c>
      <c r="D11" s="77">
        <v>2.52610101E8</v>
      </c>
      <c r="E11" s="78" t="s">
        <v>769</v>
      </c>
      <c r="F11" s="77" t="s">
        <v>784</v>
      </c>
      <c r="G11" s="79" t="s">
        <v>13</v>
      </c>
      <c r="H11" s="79" t="str">
        <f>VLOOKUP(G11,MetaData!$A$2:$C$13,3,false)</f>
        <v>Selly Amalia, S.Hum</v>
      </c>
      <c r="I11" s="79" t="s">
        <v>762</v>
      </c>
      <c r="J11" s="79" t="str">
        <f>VLOOKUP(I11,MetaData!$E$2:$G$40,3,false)</f>
        <v>Syifa</v>
      </c>
      <c r="K11" s="80"/>
    </row>
    <row r="12" ht="15.75" customHeight="1">
      <c r="A12" s="81">
        <v>12.0</v>
      </c>
      <c r="B12" s="77">
        <v>10.0</v>
      </c>
      <c r="C12" s="77" t="s">
        <v>792</v>
      </c>
      <c r="D12" s="77">
        <v>2.52610122E8</v>
      </c>
      <c r="E12" s="78" t="s">
        <v>448</v>
      </c>
      <c r="F12" s="77" t="s">
        <v>784</v>
      </c>
      <c r="G12" s="82" t="s">
        <v>13</v>
      </c>
      <c r="H12" s="82" t="str">
        <f>VLOOKUP(G12,MetaData!$A$2:$C$13,3,false)</f>
        <v>Selly Amalia, S.Hum</v>
      </c>
      <c r="I12" s="82" t="s">
        <v>443</v>
      </c>
      <c r="J12" s="82" t="str">
        <f>VLOOKUP(I12,MetaData!$E$2:$G$40,3,false)</f>
        <v>Ayun</v>
      </c>
      <c r="K12" s="83"/>
    </row>
    <row r="13" ht="15.75" customHeight="1">
      <c r="A13" s="76">
        <v>13.0</v>
      </c>
      <c r="B13" s="77">
        <v>11.0</v>
      </c>
      <c r="C13" s="77" t="s">
        <v>793</v>
      </c>
      <c r="D13" s="77">
        <v>2.52610126E8</v>
      </c>
      <c r="E13" s="78" t="s">
        <v>413</v>
      </c>
      <c r="F13" s="77" t="s">
        <v>782</v>
      </c>
      <c r="G13" s="79" t="s">
        <v>13</v>
      </c>
      <c r="H13" s="79" t="str">
        <f>VLOOKUP(G13,MetaData!$A$2:$C$13,3,false)</f>
        <v>Selly Amalia, S.Hum</v>
      </c>
      <c r="I13" s="79" t="s">
        <v>410</v>
      </c>
      <c r="J13" s="79" t="str">
        <f>VLOOKUP(I13,MetaData!$E$2:$G$40,3,false)</f>
        <v>Rony</v>
      </c>
      <c r="K13" s="80"/>
    </row>
    <row r="14" ht="15.75" customHeight="1">
      <c r="A14" s="81">
        <v>14.0</v>
      </c>
      <c r="B14" s="77">
        <v>12.0</v>
      </c>
      <c r="C14" s="77" t="s">
        <v>794</v>
      </c>
      <c r="D14" s="77">
        <v>2.5261013E8</v>
      </c>
      <c r="E14" s="78" t="s">
        <v>770</v>
      </c>
      <c r="F14" s="77" t="s">
        <v>784</v>
      </c>
      <c r="G14" s="82" t="s">
        <v>13</v>
      </c>
      <c r="H14" s="82" t="str">
        <f>VLOOKUP(G14,MetaData!$A$2:$C$13,3,false)</f>
        <v>Selly Amalia, S.Hum</v>
      </c>
      <c r="I14" s="82" t="s">
        <v>762</v>
      </c>
      <c r="J14" s="82" t="str">
        <f>VLOOKUP(I14,MetaData!$E$2:$G$40,3,false)</f>
        <v>Syifa</v>
      </c>
      <c r="K14" s="83"/>
    </row>
    <row r="15" ht="15.75" customHeight="1">
      <c r="A15" s="76">
        <v>15.0</v>
      </c>
      <c r="B15" s="77">
        <v>13.0</v>
      </c>
      <c r="C15" s="77" t="s">
        <v>795</v>
      </c>
      <c r="D15" s="77">
        <v>2.52610171E8</v>
      </c>
      <c r="E15" s="78" t="s">
        <v>414</v>
      </c>
      <c r="F15" s="77" t="s">
        <v>782</v>
      </c>
      <c r="G15" s="79" t="s">
        <v>13</v>
      </c>
      <c r="H15" s="79" t="str">
        <f>VLOOKUP(G15,MetaData!$A$2:$C$13,3,false)</f>
        <v>Selly Amalia, S.Hum</v>
      </c>
      <c r="I15" s="79" t="s">
        <v>410</v>
      </c>
      <c r="J15" s="79" t="str">
        <f>VLOOKUP(I15,MetaData!$E$2:$G$40,3,false)</f>
        <v>Rony</v>
      </c>
      <c r="K15" s="80"/>
    </row>
    <row r="16" ht="15.75" customHeight="1">
      <c r="A16" s="81">
        <v>16.0</v>
      </c>
      <c r="B16" s="77">
        <v>14.0</v>
      </c>
      <c r="C16" s="77" t="s">
        <v>796</v>
      </c>
      <c r="D16" s="77">
        <v>2.52610175E8</v>
      </c>
      <c r="E16" s="78" t="s">
        <v>771</v>
      </c>
      <c r="F16" s="77" t="s">
        <v>784</v>
      </c>
      <c r="G16" s="82" t="s">
        <v>13</v>
      </c>
      <c r="H16" s="82" t="str">
        <f>VLOOKUP(G16,MetaData!$A$2:$C$13,3,false)</f>
        <v>Selly Amalia, S.Hum</v>
      </c>
      <c r="I16" s="82" t="s">
        <v>762</v>
      </c>
      <c r="J16" s="82" t="str">
        <f>VLOOKUP(I16,MetaData!$E$2:$G$40,3,false)</f>
        <v>Syifa</v>
      </c>
      <c r="K16" s="83"/>
    </row>
    <row r="17" ht="15.75" customHeight="1">
      <c r="A17" s="76">
        <v>17.0</v>
      </c>
      <c r="B17" s="77">
        <v>15.0</v>
      </c>
      <c r="C17" s="77" t="s">
        <v>797</v>
      </c>
      <c r="D17" s="77">
        <v>2.52610193E8</v>
      </c>
      <c r="E17" s="78" t="s">
        <v>415</v>
      </c>
      <c r="F17" s="77" t="s">
        <v>782</v>
      </c>
      <c r="G17" s="79" t="s">
        <v>13</v>
      </c>
      <c r="H17" s="79" t="str">
        <f>VLOOKUP(G17,MetaData!$A$2:$C$13,3,false)</f>
        <v>Selly Amalia, S.Hum</v>
      </c>
      <c r="I17" s="79" t="s">
        <v>410</v>
      </c>
      <c r="J17" s="79" t="str">
        <f>VLOOKUP(I17,MetaData!$E$2:$G$40,3,false)</f>
        <v>Rony</v>
      </c>
      <c r="K17" s="80"/>
    </row>
    <row r="18" ht="15.75" customHeight="1">
      <c r="A18" s="81">
        <v>18.0</v>
      </c>
      <c r="B18" s="77">
        <v>16.0</v>
      </c>
      <c r="C18" s="77" t="s">
        <v>798</v>
      </c>
      <c r="D18" s="77">
        <v>2.52610202E8</v>
      </c>
      <c r="E18" s="78" t="s">
        <v>416</v>
      </c>
      <c r="F18" s="77" t="s">
        <v>782</v>
      </c>
      <c r="G18" s="82" t="s">
        <v>13</v>
      </c>
      <c r="H18" s="82" t="str">
        <f>VLOOKUP(G18,MetaData!$A$2:$C$13,3,false)</f>
        <v>Selly Amalia, S.Hum</v>
      </c>
      <c r="I18" s="82" t="s">
        <v>410</v>
      </c>
      <c r="J18" s="82" t="str">
        <f>VLOOKUP(I18,MetaData!$E$2:$G$40,3,false)</f>
        <v>Rony</v>
      </c>
      <c r="K18" s="83"/>
    </row>
    <row r="19" ht="15.75" customHeight="1">
      <c r="A19" s="76">
        <v>19.0</v>
      </c>
      <c r="B19" s="77">
        <v>17.0</v>
      </c>
      <c r="C19" s="77" t="s">
        <v>799</v>
      </c>
      <c r="D19" s="77">
        <v>2.52610206E8</v>
      </c>
      <c r="E19" s="78" t="s">
        <v>772</v>
      </c>
      <c r="F19" s="77" t="s">
        <v>784</v>
      </c>
      <c r="G19" s="79" t="s">
        <v>13</v>
      </c>
      <c r="H19" s="79" t="str">
        <f>VLOOKUP(G19,MetaData!$A$2:$C$13,3,false)</f>
        <v>Selly Amalia, S.Hum</v>
      </c>
      <c r="I19" s="79" t="s">
        <v>762</v>
      </c>
      <c r="J19" s="79" t="str">
        <f>VLOOKUP(I19,MetaData!$E$2:$G$40,3,false)</f>
        <v>Syifa</v>
      </c>
      <c r="K19" s="80"/>
    </row>
    <row r="20" ht="15.75" customHeight="1">
      <c r="A20" s="81">
        <v>20.0</v>
      </c>
      <c r="B20" s="77">
        <v>18.0</v>
      </c>
      <c r="C20" s="77" t="s">
        <v>800</v>
      </c>
      <c r="D20" s="77">
        <v>2.52610224E8</v>
      </c>
      <c r="E20" s="78" t="s">
        <v>773</v>
      </c>
      <c r="F20" s="77" t="s">
        <v>784</v>
      </c>
      <c r="G20" s="82" t="s">
        <v>13</v>
      </c>
      <c r="H20" s="82" t="str">
        <f>VLOOKUP(G20,MetaData!$A$2:$C$13,3,false)</f>
        <v>Selly Amalia, S.Hum</v>
      </c>
      <c r="I20" s="82" t="s">
        <v>762</v>
      </c>
      <c r="J20" s="82" t="str">
        <f>VLOOKUP(I20,MetaData!$E$2:$G$40,3,false)</f>
        <v>Syifa</v>
      </c>
      <c r="K20" s="83"/>
    </row>
    <row r="21" ht="15.75" customHeight="1">
      <c r="A21" s="76">
        <v>21.0</v>
      </c>
      <c r="B21" s="77">
        <v>19.0</v>
      </c>
      <c r="C21" s="77" t="s">
        <v>801</v>
      </c>
      <c r="D21" s="77">
        <v>2.52610239E8</v>
      </c>
      <c r="E21" s="78" t="s">
        <v>602</v>
      </c>
      <c r="F21" s="77" t="s">
        <v>784</v>
      </c>
      <c r="G21" s="79" t="s">
        <v>13</v>
      </c>
      <c r="H21" s="79" t="str">
        <f>VLOOKUP(G21,MetaData!$A$2:$C$13,3,false)</f>
        <v>Selly Amalia, S.Hum</v>
      </c>
      <c r="I21" s="79" t="s">
        <v>601</v>
      </c>
      <c r="J21" s="79" t="str">
        <f>VLOOKUP(I21,MetaData!$E$2:$G$40,3,false)</f>
        <v>Oshe (XI)</v>
      </c>
      <c r="K21" s="80"/>
    </row>
    <row r="22" ht="15.75" customHeight="1">
      <c r="A22" s="81">
        <v>22.0</v>
      </c>
      <c r="B22" s="77">
        <v>20.0</v>
      </c>
      <c r="C22" s="77" t="s">
        <v>802</v>
      </c>
      <c r="D22" s="77">
        <v>2.52610246E8</v>
      </c>
      <c r="E22" s="78" t="s">
        <v>603</v>
      </c>
      <c r="F22" s="77" t="s">
        <v>784</v>
      </c>
      <c r="G22" s="82" t="s">
        <v>13</v>
      </c>
      <c r="H22" s="82" t="str">
        <f>VLOOKUP(G22,MetaData!$A$2:$C$13,3,false)</f>
        <v>Selly Amalia, S.Hum</v>
      </c>
      <c r="I22" s="82" t="s">
        <v>601</v>
      </c>
      <c r="J22" s="82" t="str">
        <f>VLOOKUP(I22,MetaData!$E$2:$G$40,3,false)</f>
        <v>Oshe (XI)</v>
      </c>
      <c r="K22" s="83"/>
    </row>
    <row r="23" ht="15.75" customHeight="1">
      <c r="A23" s="76">
        <v>23.0</v>
      </c>
      <c r="B23" s="77">
        <v>21.0</v>
      </c>
      <c r="C23" s="77" t="s">
        <v>803</v>
      </c>
      <c r="D23" s="77">
        <v>2.52610311E8</v>
      </c>
      <c r="E23" s="78" t="s">
        <v>604</v>
      </c>
      <c r="F23" s="77" t="s">
        <v>784</v>
      </c>
      <c r="G23" s="79" t="s">
        <v>13</v>
      </c>
      <c r="H23" s="79" t="str">
        <f>VLOOKUP(G23,MetaData!$A$2:$C$13,3,false)</f>
        <v>Selly Amalia, S.Hum</v>
      </c>
      <c r="I23" s="79" t="s">
        <v>601</v>
      </c>
      <c r="J23" s="79" t="str">
        <f>VLOOKUP(I23,MetaData!$E$2:$G$40,3,false)</f>
        <v>Oshe (XI)</v>
      </c>
      <c r="K23" s="80"/>
    </row>
    <row r="24" ht="15.75" customHeight="1">
      <c r="A24" s="81">
        <v>24.0</v>
      </c>
      <c r="B24" s="77">
        <v>22.0</v>
      </c>
      <c r="C24" s="77" t="s">
        <v>804</v>
      </c>
      <c r="D24" s="77">
        <v>2.52610316E8</v>
      </c>
      <c r="E24" s="78" t="s">
        <v>417</v>
      </c>
      <c r="F24" s="77" t="s">
        <v>782</v>
      </c>
      <c r="G24" s="82" t="s">
        <v>13</v>
      </c>
      <c r="H24" s="82" t="str">
        <f>VLOOKUP(G24,MetaData!$A$2:$C$13,3,false)</f>
        <v>Selly Amalia, S.Hum</v>
      </c>
      <c r="I24" s="82" t="s">
        <v>410</v>
      </c>
      <c r="J24" s="82" t="str">
        <f>VLOOKUP(I24,MetaData!$E$2:$G$40,3,false)</f>
        <v>Rony</v>
      </c>
      <c r="K24" s="83"/>
    </row>
    <row r="25" ht="15.75" customHeight="1">
      <c r="A25" s="76">
        <v>25.0</v>
      </c>
      <c r="B25" s="77">
        <v>23.0</v>
      </c>
      <c r="C25" s="77" t="s">
        <v>805</v>
      </c>
      <c r="D25" s="77">
        <v>2.5261033E8</v>
      </c>
      <c r="E25" s="78" t="s">
        <v>418</v>
      </c>
      <c r="F25" s="77" t="s">
        <v>782</v>
      </c>
      <c r="G25" s="79" t="s">
        <v>13</v>
      </c>
      <c r="H25" s="79" t="str">
        <f>VLOOKUP(G25,MetaData!$A$2:$C$13,3,false)</f>
        <v>Selly Amalia, S.Hum</v>
      </c>
      <c r="I25" s="79" t="s">
        <v>410</v>
      </c>
      <c r="J25" s="79" t="str">
        <f>VLOOKUP(I25,MetaData!$E$2:$G$40,3,false)</f>
        <v>Rony</v>
      </c>
      <c r="K25" s="80"/>
    </row>
    <row r="26" ht="15.75" customHeight="1">
      <c r="A26" s="81">
        <v>26.0</v>
      </c>
      <c r="B26" s="77">
        <v>24.0</v>
      </c>
      <c r="C26" s="77" t="s">
        <v>806</v>
      </c>
      <c r="D26" s="77">
        <v>2.52610334E8</v>
      </c>
      <c r="E26" s="78" t="s">
        <v>231</v>
      </c>
      <c r="F26" s="77" t="s">
        <v>782</v>
      </c>
      <c r="G26" s="82" t="s">
        <v>13</v>
      </c>
      <c r="H26" s="82" t="str">
        <f>VLOOKUP(G26,MetaData!$A$2:$C$13,3,false)</f>
        <v>Selly Amalia, S.Hum</v>
      </c>
      <c r="I26" s="82" t="s">
        <v>220</v>
      </c>
      <c r="J26" s="82" t="str">
        <f>VLOOKUP(I26,MetaData!$E$2:$G$40,3,false)</f>
        <v>Rekhsa</v>
      </c>
      <c r="K26" s="83"/>
    </row>
    <row r="27" ht="15.75" customHeight="1">
      <c r="A27" s="76">
        <v>27.0</v>
      </c>
      <c r="B27" s="77">
        <v>25.0</v>
      </c>
      <c r="C27" s="77" t="s">
        <v>807</v>
      </c>
      <c r="D27" s="77">
        <v>2.52610343E8</v>
      </c>
      <c r="E27" s="78" t="s">
        <v>419</v>
      </c>
      <c r="F27" s="77" t="s">
        <v>782</v>
      </c>
      <c r="G27" s="79" t="s">
        <v>13</v>
      </c>
      <c r="H27" s="79" t="str">
        <f>VLOOKUP(G27,MetaData!$A$2:$C$13,3,false)</f>
        <v>Selly Amalia, S.Hum</v>
      </c>
      <c r="I27" s="79" t="s">
        <v>410</v>
      </c>
      <c r="J27" s="79" t="str">
        <f>VLOOKUP(I27,MetaData!$E$2:$G$40,3,false)</f>
        <v>Rony</v>
      </c>
      <c r="K27" s="80"/>
    </row>
    <row r="28" ht="15.75" customHeight="1">
      <c r="A28" s="81">
        <v>28.0</v>
      </c>
      <c r="B28" s="77">
        <v>26.0</v>
      </c>
      <c r="C28" s="77" t="s">
        <v>808</v>
      </c>
      <c r="D28" s="77">
        <v>2.52610351E8</v>
      </c>
      <c r="E28" s="78" t="s">
        <v>420</v>
      </c>
      <c r="F28" s="77" t="s">
        <v>782</v>
      </c>
      <c r="G28" s="82" t="s">
        <v>13</v>
      </c>
      <c r="H28" s="82" t="str">
        <f>VLOOKUP(G28,MetaData!$A$2:$C$13,3,false)</f>
        <v>Selly Amalia, S.Hum</v>
      </c>
      <c r="I28" s="82" t="s">
        <v>410</v>
      </c>
      <c r="J28" s="82" t="str">
        <f>VLOOKUP(I28,MetaData!$E$2:$G$40,3,false)</f>
        <v>Rony</v>
      </c>
      <c r="K28" s="83"/>
    </row>
    <row r="29" ht="15.75" customHeight="1">
      <c r="A29" s="76">
        <v>29.0</v>
      </c>
      <c r="B29" s="77">
        <v>27.0</v>
      </c>
      <c r="C29" s="77" t="s">
        <v>809</v>
      </c>
      <c r="D29" s="77">
        <v>2.52610369E8</v>
      </c>
      <c r="E29" s="78" t="s">
        <v>421</v>
      </c>
      <c r="F29" s="77" t="s">
        <v>782</v>
      </c>
      <c r="G29" s="79" t="s">
        <v>13</v>
      </c>
      <c r="H29" s="79" t="str">
        <f>VLOOKUP(G29,MetaData!$A$2:$C$13,3,false)</f>
        <v>Selly Amalia, S.Hum</v>
      </c>
      <c r="I29" s="79" t="s">
        <v>410</v>
      </c>
      <c r="J29" s="79" t="str">
        <f>VLOOKUP(I29,MetaData!$E$2:$G$40,3,false)</f>
        <v>Rony</v>
      </c>
      <c r="K29" s="80"/>
    </row>
    <row r="30" ht="15.75" customHeight="1">
      <c r="A30" s="81">
        <v>30.0</v>
      </c>
      <c r="B30" s="77">
        <v>28.0</v>
      </c>
      <c r="C30" s="77" t="s">
        <v>810</v>
      </c>
      <c r="D30" s="77">
        <v>2.52610371E8</v>
      </c>
      <c r="E30" s="78" t="s">
        <v>422</v>
      </c>
      <c r="F30" s="77" t="s">
        <v>782</v>
      </c>
      <c r="G30" s="82" t="s">
        <v>13</v>
      </c>
      <c r="H30" s="82" t="str">
        <f>VLOOKUP(G30,MetaData!$A$2:$C$13,3,false)</f>
        <v>Selly Amalia, S.Hum</v>
      </c>
      <c r="I30" s="82" t="s">
        <v>410</v>
      </c>
      <c r="J30" s="82" t="str">
        <f>VLOOKUP(I30,MetaData!$E$2:$G$40,3,false)</f>
        <v>Rony</v>
      </c>
      <c r="K30" s="83"/>
    </row>
    <row r="31" ht="15.75" customHeight="1">
      <c r="A31" s="76">
        <v>31.0</v>
      </c>
      <c r="B31" s="77">
        <v>29.0</v>
      </c>
      <c r="C31" s="77" t="s">
        <v>811</v>
      </c>
      <c r="D31" s="77">
        <v>2.5261039E8</v>
      </c>
      <c r="E31" s="78" t="s">
        <v>605</v>
      </c>
      <c r="F31" s="77" t="s">
        <v>784</v>
      </c>
      <c r="G31" s="79" t="s">
        <v>13</v>
      </c>
      <c r="H31" s="79" t="str">
        <f>VLOOKUP(G31,MetaData!$A$2:$C$13,3,false)</f>
        <v>Selly Amalia, S.Hum</v>
      </c>
      <c r="I31" s="79" t="s">
        <v>601</v>
      </c>
      <c r="J31" s="79" t="str">
        <f>VLOOKUP(I31,MetaData!$E$2:$G$40,3,false)</f>
        <v>Oshe (XI)</v>
      </c>
      <c r="K31" s="80"/>
    </row>
    <row r="32" ht="15.75" customHeight="1">
      <c r="A32" s="81">
        <v>32.0</v>
      </c>
      <c r="B32" s="77">
        <v>30.0</v>
      </c>
      <c r="C32" s="77" t="s">
        <v>812</v>
      </c>
      <c r="D32" s="77">
        <v>2.52610393E8</v>
      </c>
      <c r="E32" s="78" t="s">
        <v>606</v>
      </c>
      <c r="F32" s="77" t="s">
        <v>784</v>
      </c>
      <c r="G32" s="82" t="s">
        <v>13</v>
      </c>
      <c r="H32" s="82" t="str">
        <f>VLOOKUP(G32,MetaData!$A$2:$C$13,3,false)</f>
        <v>Selly Amalia, S.Hum</v>
      </c>
      <c r="I32" s="82" t="s">
        <v>601</v>
      </c>
      <c r="J32" s="82" t="str">
        <f>VLOOKUP(I32,MetaData!$E$2:$G$40,3,false)</f>
        <v>Oshe (XI)</v>
      </c>
      <c r="K32" s="83"/>
    </row>
    <row r="33" ht="15.75" customHeight="1">
      <c r="A33" s="76">
        <v>33.0</v>
      </c>
      <c r="B33" s="77">
        <v>31.0</v>
      </c>
      <c r="C33" s="77" t="s">
        <v>813</v>
      </c>
      <c r="D33" s="77">
        <v>2.52610423E8</v>
      </c>
      <c r="E33" s="78" t="s">
        <v>607</v>
      </c>
      <c r="F33" s="77" t="s">
        <v>784</v>
      </c>
      <c r="G33" s="79" t="s">
        <v>13</v>
      </c>
      <c r="H33" s="79" t="str">
        <f>VLOOKUP(G33,MetaData!$A$2:$C$13,3,false)</f>
        <v>Selly Amalia, S.Hum</v>
      </c>
      <c r="I33" s="79" t="s">
        <v>601</v>
      </c>
      <c r="J33" s="79" t="str">
        <f>VLOOKUP(I33,MetaData!$E$2:$G$40,3,false)</f>
        <v>Oshe (XI)</v>
      </c>
      <c r="K33" s="80"/>
    </row>
    <row r="34" ht="15.75" customHeight="1">
      <c r="A34" s="81">
        <v>34.0</v>
      </c>
      <c r="B34" s="77">
        <v>32.0</v>
      </c>
      <c r="C34" s="77" t="s">
        <v>814</v>
      </c>
      <c r="D34" s="77">
        <v>2.52610424E8</v>
      </c>
      <c r="E34" s="78" t="s">
        <v>608</v>
      </c>
      <c r="F34" s="77" t="s">
        <v>784</v>
      </c>
      <c r="G34" s="82" t="s">
        <v>13</v>
      </c>
      <c r="H34" s="82" t="str">
        <f>VLOOKUP(G34,MetaData!$A$2:$C$13,3,false)</f>
        <v>Selly Amalia, S.Hum</v>
      </c>
      <c r="I34" s="82" t="s">
        <v>601</v>
      </c>
      <c r="J34" s="82" t="str">
        <f>VLOOKUP(I34,MetaData!$E$2:$G$40,3,false)</f>
        <v>Oshe (XI)</v>
      </c>
      <c r="K34" s="83"/>
    </row>
    <row r="35" ht="15.75" customHeight="1">
      <c r="A35" s="76">
        <v>35.0</v>
      </c>
      <c r="B35" s="77">
        <v>33.0</v>
      </c>
      <c r="C35" s="77" t="s">
        <v>815</v>
      </c>
      <c r="D35" s="77">
        <v>2.52610436E8</v>
      </c>
      <c r="E35" s="78" t="s">
        <v>423</v>
      </c>
      <c r="F35" s="77" t="s">
        <v>782</v>
      </c>
      <c r="G35" s="79" t="s">
        <v>13</v>
      </c>
      <c r="H35" s="79" t="str">
        <f>VLOOKUP(G35,MetaData!$A$2:$C$13,3,false)</f>
        <v>Selly Amalia, S.Hum</v>
      </c>
      <c r="I35" s="79" t="s">
        <v>410</v>
      </c>
      <c r="J35" s="79" t="str">
        <f>VLOOKUP(I35,MetaData!$E$2:$G$40,3,false)</f>
        <v>Rony</v>
      </c>
      <c r="K35" s="80"/>
    </row>
    <row r="36" ht="15.75" customHeight="1">
      <c r="A36" s="81">
        <v>36.0</v>
      </c>
      <c r="B36" s="77">
        <v>34.0</v>
      </c>
      <c r="C36" s="77" t="s">
        <v>816</v>
      </c>
      <c r="D36" s="77">
        <v>2.52610452E8</v>
      </c>
      <c r="E36" s="78" t="s">
        <v>424</v>
      </c>
      <c r="F36" s="77" t="s">
        <v>782</v>
      </c>
      <c r="G36" s="82" t="s">
        <v>13</v>
      </c>
      <c r="H36" s="82" t="str">
        <f>VLOOKUP(G36,MetaData!$A$2:$C$13,3,false)</f>
        <v>Selly Amalia, S.Hum</v>
      </c>
      <c r="I36" s="82" t="s">
        <v>410</v>
      </c>
      <c r="J36" s="82" t="str">
        <f>VLOOKUP(I36,MetaData!$E$2:$G$40,3,false)</f>
        <v>Rony</v>
      </c>
      <c r="K36" s="83"/>
    </row>
    <row r="37" ht="15.75" customHeight="1">
      <c r="A37" s="76">
        <v>37.0</v>
      </c>
      <c r="B37" s="77">
        <v>35.0</v>
      </c>
      <c r="C37" s="77" t="s">
        <v>817</v>
      </c>
      <c r="D37" s="77">
        <v>2.52610454E8</v>
      </c>
      <c r="E37" s="78" t="s">
        <v>425</v>
      </c>
      <c r="F37" s="77" t="s">
        <v>782</v>
      </c>
      <c r="G37" s="79" t="s">
        <v>13</v>
      </c>
      <c r="H37" s="79" t="str">
        <f>VLOOKUP(G37,MetaData!$A$2:$C$13,3,false)</f>
        <v>Selly Amalia, S.Hum</v>
      </c>
      <c r="I37" s="79" t="s">
        <v>410</v>
      </c>
      <c r="J37" s="79" t="str">
        <f>VLOOKUP(I37,MetaData!$E$2:$G$40,3,false)</f>
        <v>Rony</v>
      </c>
      <c r="K37" s="80"/>
    </row>
    <row r="38" ht="15.75" customHeight="1">
      <c r="A38" s="81">
        <v>38.0</v>
      </c>
      <c r="B38" s="77">
        <v>36.0</v>
      </c>
      <c r="C38" s="77" t="s">
        <v>818</v>
      </c>
      <c r="D38" s="77">
        <v>2.52610476E8</v>
      </c>
      <c r="E38" s="78" t="s">
        <v>426</v>
      </c>
      <c r="F38" s="77" t="s">
        <v>782</v>
      </c>
      <c r="G38" s="82" t="s">
        <v>13</v>
      </c>
      <c r="H38" s="82" t="str">
        <f>VLOOKUP(G38,MetaData!$A$2:$C$13,3,false)</f>
        <v>Selly Amalia, S.Hum</v>
      </c>
      <c r="I38" s="82" t="s">
        <v>410</v>
      </c>
      <c r="J38" s="82" t="str">
        <f>VLOOKUP(I38,MetaData!$E$2:$G$40,3,false)</f>
        <v>Rony</v>
      </c>
      <c r="K38" s="83"/>
    </row>
    <row r="39" ht="15.75" customHeight="1">
      <c r="A39" s="76">
        <v>39.0</v>
      </c>
      <c r="B39" s="77">
        <v>37.0</v>
      </c>
      <c r="C39" s="77" t="s">
        <v>819</v>
      </c>
      <c r="D39" s="77">
        <v>2.52610477E8</v>
      </c>
      <c r="E39" s="78" t="s">
        <v>454</v>
      </c>
      <c r="F39" s="77" t="s">
        <v>784</v>
      </c>
      <c r="G39" s="79" t="s">
        <v>13</v>
      </c>
      <c r="H39" s="79" t="str">
        <f>VLOOKUP(G39,MetaData!$A$2:$C$13,3,false)</f>
        <v>Selly Amalia, S.Hum</v>
      </c>
      <c r="I39" s="79" t="s">
        <v>443</v>
      </c>
      <c r="J39" s="79" t="str">
        <f>VLOOKUP(I39,MetaData!$E$2:$G$40,3,false)</f>
        <v>Ayun</v>
      </c>
      <c r="K39" s="80"/>
    </row>
    <row r="40" ht="15.75" customHeight="1">
      <c r="A40" s="81">
        <v>40.0</v>
      </c>
      <c r="B40" s="77">
        <v>38.0</v>
      </c>
      <c r="C40" s="77" t="s">
        <v>820</v>
      </c>
      <c r="D40" s="77">
        <v>2.52610489E8</v>
      </c>
      <c r="E40" s="78" t="s">
        <v>609</v>
      </c>
      <c r="F40" s="77" t="s">
        <v>784</v>
      </c>
      <c r="G40" s="82" t="s">
        <v>13</v>
      </c>
      <c r="H40" s="82" t="str">
        <f>VLOOKUP(G40,MetaData!$A$2:$C$13,3,false)</f>
        <v>Selly Amalia, S.Hum</v>
      </c>
      <c r="I40" s="82" t="s">
        <v>601</v>
      </c>
      <c r="J40" s="82" t="str">
        <f>VLOOKUP(I40,MetaData!$E$2:$G$40,3,false)</f>
        <v>Oshe (XI)</v>
      </c>
      <c r="K40" s="83"/>
    </row>
    <row r="41" ht="15.75" customHeight="1">
      <c r="A41" s="76">
        <v>41.0</v>
      </c>
      <c r="B41" s="77">
        <v>39.0</v>
      </c>
      <c r="C41" s="77" t="s">
        <v>821</v>
      </c>
      <c r="D41" s="77">
        <v>2.52610508E8</v>
      </c>
      <c r="E41" s="78" t="s">
        <v>610</v>
      </c>
      <c r="F41" s="77" t="s">
        <v>784</v>
      </c>
      <c r="G41" s="79" t="s">
        <v>13</v>
      </c>
      <c r="H41" s="79" t="str">
        <f>VLOOKUP(G41,MetaData!$A$2:$C$13,3,false)</f>
        <v>Selly Amalia, S.Hum</v>
      </c>
      <c r="I41" s="79" t="s">
        <v>601</v>
      </c>
      <c r="J41" s="79" t="str">
        <f>VLOOKUP(I41,MetaData!$E$2:$G$40,3,false)</f>
        <v>Oshe (XI)</v>
      </c>
      <c r="K41" s="80"/>
    </row>
    <row r="42" ht="15.75" customHeight="1">
      <c r="A42" s="81">
        <v>42.0</v>
      </c>
      <c r="B42" s="77">
        <v>40.0</v>
      </c>
      <c r="C42" s="77" t="s">
        <v>822</v>
      </c>
      <c r="D42" s="77">
        <v>2.52610513E8</v>
      </c>
      <c r="E42" s="78" t="s">
        <v>611</v>
      </c>
      <c r="F42" s="77" t="s">
        <v>784</v>
      </c>
      <c r="G42" s="82" t="s">
        <v>13</v>
      </c>
      <c r="H42" s="82" t="str">
        <f>VLOOKUP(G42,MetaData!$A$2:$C$13,3,false)</f>
        <v>Selly Amalia, S.Hum</v>
      </c>
      <c r="I42" s="82" t="s">
        <v>601</v>
      </c>
      <c r="J42" s="82" t="str">
        <f>VLOOKUP(I42,MetaData!$E$2:$G$40,3,false)</f>
        <v>Oshe (XI)</v>
      </c>
      <c r="K42" s="83"/>
    </row>
    <row r="43" ht="15.75" customHeight="1">
      <c r="A43" s="76">
        <v>43.0</v>
      </c>
      <c r="B43" s="77">
        <v>41.0</v>
      </c>
      <c r="C43" s="77" t="s">
        <v>823</v>
      </c>
      <c r="D43" s="77">
        <v>2.52610564E8</v>
      </c>
      <c r="E43" s="78" t="s">
        <v>427</v>
      </c>
      <c r="F43" s="77" t="s">
        <v>782</v>
      </c>
      <c r="G43" s="79" t="s">
        <v>13</v>
      </c>
      <c r="H43" s="79" t="str">
        <f>VLOOKUP(G43,MetaData!$A$2:$C$13,3,false)</f>
        <v>Selly Amalia, S.Hum</v>
      </c>
      <c r="I43" s="79" t="s">
        <v>410</v>
      </c>
      <c r="J43" s="79" t="str">
        <f>VLOOKUP(I43,MetaData!$E$2:$G$40,3,false)</f>
        <v>Rony</v>
      </c>
      <c r="K43" s="80"/>
    </row>
    <row r="44" ht="15.75" customHeight="1">
      <c r="A44" s="81">
        <v>44.0</v>
      </c>
      <c r="B44" s="77">
        <v>42.0</v>
      </c>
      <c r="C44" s="77" t="s">
        <v>824</v>
      </c>
      <c r="D44" s="77">
        <v>2.52610566E8</v>
      </c>
      <c r="E44" s="78" t="s">
        <v>612</v>
      </c>
      <c r="F44" s="77" t="s">
        <v>784</v>
      </c>
      <c r="G44" s="82" t="s">
        <v>13</v>
      </c>
      <c r="H44" s="82" t="str">
        <f>VLOOKUP(G44,MetaData!$A$2:$C$13,3,false)</f>
        <v>Selly Amalia, S.Hum</v>
      </c>
      <c r="I44" s="82" t="s">
        <v>601</v>
      </c>
      <c r="J44" s="82" t="str">
        <f>VLOOKUP(I44,MetaData!$E$2:$G$40,3,false)</f>
        <v>Oshe (XI)</v>
      </c>
      <c r="K44" s="83"/>
    </row>
    <row r="45" ht="15.75" customHeight="1">
      <c r="A45" s="84">
        <v>52.0</v>
      </c>
      <c r="B45" s="77">
        <v>1.0</v>
      </c>
      <c r="C45" s="77" t="s">
        <v>825</v>
      </c>
      <c r="D45" s="77">
        <v>2.52610011E8</v>
      </c>
      <c r="E45" s="78" t="s">
        <v>711</v>
      </c>
      <c r="F45" s="77" t="s">
        <v>784</v>
      </c>
      <c r="G45" s="79" t="s">
        <v>21</v>
      </c>
      <c r="H45" s="79" t="str">
        <f>VLOOKUP(G45,MetaData!$A$2:$C$13,3,false)</f>
        <v>Muhammad, S.Pd</v>
      </c>
      <c r="I45" s="79" t="s">
        <v>710</v>
      </c>
      <c r="J45" s="79" t="str">
        <f>VLOOKUP(I45,MetaData!$E$2:$G$40,3,false)</f>
        <v>Rania (XII)</v>
      </c>
      <c r="K45" s="80"/>
    </row>
    <row r="46" ht="15.75" customHeight="1">
      <c r="A46" s="85">
        <v>53.0</v>
      </c>
      <c r="B46" s="77">
        <v>2.0</v>
      </c>
      <c r="C46" s="77" t="s">
        <v>826</v>
      </c>
      <c r="D46" s="77">
        <v>2.52610023E8</v>
      </c>
      <c r="E46" s="78" t="s">
        <v>430</v>
      </c>
      <c r="F46" s="77" t="s">
        <v>784</v>
      </c>
      <c r="G46" s="82" t="s">
        <v>21</v>
      </c>
      <c r="H46" s="82" t="str">
        <f>VLOOKUP(G46,MetaData!$A$2:$C$13,3,false)</f>
        <v>Muhammad, S.Pd</v>
      </c>
      <c r="I46" s="82" t="s">
        <v>428</v>
      </c>
      <c r="J46" s="82" t="str">
        <f>VLOOKUP(I46,MetaData!$E$2:$G$40,3,false)</f>
        <v>Iga</v>
      </c>
      <c r="K46" s="83"/>
    </row>
    <row r="47" ht="15.75" customHeight="1">
      <c r="A47" s="84">
        <v>54.0</v>
      </c>
      <c r="B47" s="77">
        <v>3.0</v>
      </c>
      <c r="C47" s="77" t="s">
        <v>827</v>
      </c>
      <c r="D47" s="77">
        <v>2.52610026E8</v>
      </c>
      <c r="E47" s="78" t="s">
        <v>712</v>
      </c>
      <c r="F47" s="77" t="s">
        <v>784</v>
      </c>
      <c r="G47" s="79" t="s">
        <v>21</v>
      </c>
      <c r="H47" s="79" t="str">
        <f>VLOOKUP(G47,MetaData!$A$2:$C$13,3,false)</f>
        <v>Muhammad, S.Pd</v>
      </c>
      <c r="I47" s="79" t="s">
        <v>710</v>
      </c>
      <c r="J47" s="79" t="str">
        <f>VLOOKUP(I47,MetaData!$E$2:$G$40,3,false)</f>
        <v>Rania (XII)</v>
      </c>
      <c r="K47" s="80"/>
    </row>
    <row r="48" ht="15.75" customHeight="1">
      <c r="A48" s="85">
        <v>55.0</v>
      </c>
      <c r="B48" s="77">
        <v>4.0</v>
      </c>
      <c r="C48" s="77" t="s">
        <v>828</v>
      </c>
      <c r="D48" s="77">
        <v>2.52610039E8</v>
      </c>
      <c r="E48" s="78" t="s">
        <v>713</v>
      </c>
      <c r="F48" s="77" t="s">
        <v>784</v>
      </c>
      <c r="G48" s="82" t="s">
        <v>21</v>
      </c>
      <c r="H48" s="82" t="str">
        <f>VLOOKUP(G48,MetaData!$A$2:$C$13,3,false)</f>
        <v>Muhammad, S.Pd</v>
      </c>
      <c r="I48" s="82" t="s">
        <v>710</v>
      </c>
      <c r="J48" s="82" t="str">
        <f>VLOOKUP(I48,MetaData!$E$2:$G$40,3,false)</f>
        <v>Rania (XII)</v>
      </c>
      <c r="K48" s="83"/>
    </row>
    <row r="49" ht="15.75" customHeight="1">
      <c r="A49" s="84">
        <v>56.0</v>
      </c>
      <c r="B49" s="77">
        <v>5.0</v>
      </c>
      <c r="C49" s="77" t="s">
        <v>829</v>
      </c>
      <c r="D49" s="77">
        <v>2.5261005E8</v>
      </c>
      <c r="E49" s="78" t="s">
        <v>714</v>
      </c>
      <c r="F49" s="77" t="s">
        <v>784</v>
      </c>
      <c r="G49" s="79" t="s">
        <v>21</v>
      </c>
      <c r="H49" s="79" t="str">
        <f>VLOOKUP(G49,MetaData!$A$2:$C$13,3,false)</f>
        <v>Muhammad, S.Pd</v>
      </c>
      <c r="I49" s="79" t="s">
        <v>710</v>
      </c>
      <c r="J49" s="79" t="str">
        <f>VLOOKUP(I49,MetaData!$E$2:$G$40,3,false)</f>
        <v>Rania (XII)</v>
      </c>
      <c r="K49" s="80"/>
    </row>
    <row r="50" ht="15.75" customHeight="1">
      <c r="A50" s="85">
        <v>57.0</v>
      </c>
      <c r="B50" s="77">
        <v>6.0</v>
      </c>
      <c r="C50" s="77" t="s">
        <v>830</v>
      </c>
      <c r="D50" s="77">
        <v>2.52610052E8</v>
      </c>
      <c r="E50" s="78" t="s">
        <v>445</v>
      </c>
      <c r="F50" s="77" t="s">
        <v>784</v>
      </c>
      <c r="G50" s="82" t="s">
        <v>21</v>
      </c>
      <c r="H50" s="82" t="str">
        <f>VLOOKUP(G50,MetaData!$A$2:$C$13,3,false)</f>
        <v>Muhammad, S.Pd</v>
      </c>
      <c r="I50" s="82" t="s">
        <v>443</v>
      </c>
      <c r="J50" s="82" t="str">
        <f>VLOOKUP(I50,MetaData!$E$2:$G$40,3,false)</f>
        <v>Ayun</v>
      </c>
      <c r="K50" s="83"/>
    </row>
    <row r="51" ht="15.75" customHeight="1">
      <c r="A51" s="84">
        <v>58.0</v>
      </c>
      <c r="B51" s="77">
        <v>7.0</v>
      </c>
      <c r="C51" s="77" t="s">
        <v>831</v>
      </c>
      <c r="D51" s="77">
        <v>2.52610058E8</v>
      </c>
      <c r="E51" s="78" t="s">
        <v>345</v>
      </c>
      <c r="F51" s="77" t="s">
        <v>782</v>
      </c>
      <c r="G51" s="79" t="s">
        <v>21</v>
      </c>
      <c r="H51" s="79" t="str">
        <f>VLOOKUP(G51,MetaData!$A$2:$C$13,3,false)</f>
        <v>Muhammad, S.Pd</v>
      </c>
      <c r="I51" s="79" t="s">
        <v>344</v>
      </c>
      <c r="J51" s="79" t="str">
        <f>VLOOKUP(I51,MetaData!$E$2:$G$40,3,false)</f>
        <v>Joko</v>
      </c>
      <c r="K51" s="80"/>
    </row>
    <row r="52" ht="15.75" customHeight="1">
      <c r="A52" s="85">
        <v>59.0</v>
      </c>
      <c r="B52" s="77">
        <v>8.0</v>
      </c>
      <c r="C52" s="77" t="s">
        <v>832</v>
      </c>
      <c r="D52" s="77">
        <v>2.52610062E8</v>
      </c>
      <c r="E52" s="78" t="s">
        <v>715</v>
      </c>
      <c r="F52" s="77" t="s">
        <v>784</v>
      </c>
      <c r="G52" s="82" t="s">
        <v>21</v>
      </c>
      <c r="H52" s="82" t="str">
        <f>VLOOKUP(G52,MetaData!$A$2:$C$13,3,false)</f>
        <v>Muhammad, S.Pd</v>
      </c>
      <c r="I52" s="82" t="s">
        <v>710</v>
      </c>
      <c r="J52" s="82" t="str">
        <f>VLOOKUP(I52,MetaData!$E$2:$G$40,3,false)</f>
        <v>Rania (XII)</v>
      </c>
      <c r="K52" s="83"/>
    </row>
    <row r="53" ht="15.75" customHeight="1">
      <c r="A53" s="84">
        <v>60.0</v>
      </c>
      <c r="B53" s="77">
        <v>9.0</v>
      </c>
      <c r="C53" s="77" t="s">
        <v>833</v>
      </c>
      <c r="D53" s="77">
        <v>2.5261007E8</v>
      </c>
      <c r="E53" s="78" t="s">
        <v>716</v>
      </c>
      <c r="F53" s="77" t="s">
        <v>784</v>
      </c>
      <c r="G53" s="79" t="s">
        <v>21</v>
      </c>
      <c r="H53" s="79" t="str">
        <f>VLOOKUP(G53,MetaData!$A$2:$C$13,3,false)</f>
        <v>Muhammad, S.Pd</v>
      </c>
      <c r="I53" s="79" t="s">
        <v>710</v>
      </c>
      <c r="J53" s="79" t="str">
        <f>VLOOKUP(I53,MetaData!$E$2:$G$40,3,false)</f>
        <v>Rania (XII)</v>
      </c>
      <c r="K53" s="80"/>
    </row>
    <row r="54" ht="15.75" customHeight="1">
      <c r="A54" s="85">
        <v>61.0</v>
      </c>
      <c r="B54" s="77">
        <v>10.0</v>
      </c>
      <c r="C54" s="77" t="s">
        <v>834</v>
      </c>
      <c r="D54" s="77">
        <v>2.52610084E8</v>
      </c>
      <c r="E54" s="78" t="s">
        <v>717</v>
      </c>
      <c r="F54" s="77" t="s">
        <v>784</v>
      </c>
      <c r="G54" s="82" t="s">
        <v>21</v>
      </c>
      <c r="H54" s="82" t="str">
        <f>VLOOKUP(G54,MetaData!$A$2:$C$13,3,false)</f>
        <v>Muhammad, S.Pd</v>
      </c>
      <c r="I54" s="82" t="s">
        <v>710</v>
      </c>
      <c r="J54" s="82" t="str">
        <f>VLOOKUP(I54,MetaData!$E$2:$G$40,3,false)</f>
        <v>Rania (XII)</v>
      </c>
      <c r="K54" s="83"/>
    </row>
    <row r="55" ht="15.75" customHeight="1">
      <c r="A55" s="84">
        <v>62.0</v>
      </c>
      <c r="B55" s="77">
        <v>11.0</v>
      </c>
      <c r="C55" s="77" t="s">
        <v>835</v>
      </c>
      <c r="D55" s="77">
        <v>2.5261009E8</v>
      </c>
      <c r="E55" s="78" t="s">
        <v>718</v>
      </c>
      <c r="F55" s="77" t="s">
        <v>784</v>
      </c>
      <c r="G55" s="79" t="s">
        <v>21</v>
      </c>
      <c r="H55" s="79" t="str">
        <f>VLOOKUP(G55,MetaData!$A$2:$C$13,3,false)</f>
        <v>Muhammad, S.Pd</v>
      </c>
      <c r="I55" s="79" t="s">
        <v>710</v>
      </c>
      <c r="J55" s="79" t="str">
        <f>VLOOKUP(I55,MetaData!$E$2:$G$40,3,false)</f>
        <v>Rania (XII)</v>
      </c>
      <c r="K55" s="80"/>
    </row>
    <row r="56" ht="15.75" customHeight="1">
      <c r="A56" s="85">
        <v>63.0</v>
      </c>
      <c r="B56" s="77">
        <v>12.0</v>
      </c>
      <c r="C56" s="77" t="s">
        <v>836</v>
      </c>
      <c r="D56" s="77">
        <v>2.52610102E8</v>
      </c>
      <c r="E56" s="78" t="s">
        <v>719</v>
      </c>
      <c r="F56" s="77" t="s">
        <v>784</v>
      </c>
      <c r="G56" s="82" t="s">
        <v>21</v>
      </c>
      <c r="H56" s="82" t="str">
        <f>VLOOKUP(G56,MetaData!$A$2:$C$13,3,false)</f>
        <v>Muhammad, S.Pd</v>
      </c>
      <c r="I56" s="82" t="s">
        <v>710</v>
      </c>
      <c r="J56" s="82" t="str">
        <f>VLOOKUP(I56,MetaData!$E$2:$G$40,3,false)</f>
        <v>Rania (XII)</v>
      </c>
      <c r="K56" s="83"/>
    </row>
    <row r="57" ht="15.75" customHeight="1">
      <c r="A57" s="84">
        <v>64.0</v>
      </c>
      <c r="B57" s="77">
        <v>13.0</v>
      </c>
      <c r="C57" s="77" t="s">
        <v>837</v>
      </c>
      <c r="D57" s="77">
        <v>2.52610124E8</v>
      </c>
      <c r="E57" s="78" t="s">
        <v>346</v>
      </c>
      <c r="F57" s="77" t="s">
        <v>782</v>
      </c>
      <c r="G57" s="79" t="s">
        <v>21</v>
      </c>
      <c r="H57" s="79" t="str">
        <f>VLOOKUP(G57,MetaData!$A$2:$C$13,3,false)</f>
        <v>Muhammad, S.Pd</v>
      </c>
      <c r="I57" s="79" t="s">
        <v>344</v>
      </c>
      <c r="J57" s="79" t="str">
        <f>VLOOKUP(I57,MetaData!$E$2:$G$40,3,false)</f>
        <v>Joko</v>
      </c>
      <c r="K57" s="80"/>
    </row>
    <row r="58" ht="15.75" customHeight="1">
      <c r="A58" s="85">
        <v>65.0</v>
      </c>
      <c r="B58" s="77">
        <v>14.0</v>
      </c>
      <c r="C58" s="77" t="s">
        <v>838</v>
      </c>
      <c r="D58" s="77">
        <v>2.52610139E8</v>
      </c>
      <c r="E58" s="78" t="s">
        <v>720</v>
      </c>
      <c r="F58" s="77" t="s">
        <v>784</v>
      </c>
      <c r="G58" s="82" t="s">
        <v>21</v>
      </c>
      <c r="H58" s="82" t="str">
        <f>VLOOKUP(G58,MetaData!$A$2:$C$13,3,false)</f>
        <v>Muhammad, S.Pd</v>
      </c>
      <c r="I58" s="82" t="s">
        <v>710</v>
      </c>
      <c r="J58" s="82" t="str">
        <f>VLOOKUP(I58,MetaData!$E$2:$G$40,3,false)</f>
        <v>Rania (XII)</v>
      </c>
      <c r="K58" s="83"/>
    </row>
    <row r="59" ht="15.75" customHeight="1">
      <c r="A59" s="84">
        <v>66.0</v>
      </c>
      <c r="B59" s="77">
        <v>15.0</v>
      </c>
      <c r="C59" s="77" t="s">
        <v>839</v>
      </c>
      <c r="D59" s="77">
        <v>2.52610145E8</v>
      </c>
      <c r="E59" s="78" t="s">
        <v>347</v>
      </c>
      <c r="F59" s="77" t="s">
        <v>782</v>
      </c>
      <c r="G59" s="79" t="s">
        <v>21</v>
      </c>
      <c r="H59" s="79" t="str">
        <f>VLOOKUP(G59,MetaData!$A$2:$C$13,3,false)</f>
        <v>Muhammad, S.Pd</v>
      </c>
      <c r="I59" s="79" t="s">
        <v>344</v>
      </c>
      <c r="J59" s="79" t="str">
        <f>VLOOKUP(I59,MetaData!$E$2:$G$40,3,false)</f>
        <v>Joko</v>
      </c>
      <c r="K59" s="80"/>
    </row>
    <row r="60" ht="15.75" customHeight="1">
      <c r="A60" s="85">
        <v>67.0</v>
      </c>
      <c r="B60" s="77">
        <v>16.0</v>
      </c>
      <c r="C60" s="77" t="s">
        <v>840</v>
      </c>
      <c r="D60" s="77">
        <v>2.52610153E8</v>
      </c>
      <c r="E60" s="78" t="s">
        <v>721</v>
      </c>
      <c r="F60" s="77" t="s">
        <v>784</v>
      </c>
      <c r="G60" s="82" t="s">
        <v>21</v>
      </c>
      <c r="H60" s="82" t="str">
        <f>VLOOKUP(G60,MetaData!$A$2:$C$13,3,false)</f>
        <v>Muhammad, S.Pd</v>
      </c>
      <c r="I60" s="82" t="s">
        <v>710</v>
      </c>
      <c r="J60" s="82" t="str">
        <f>VLOOKUP(I60,MetaData!$E$2:$G$40,3,false)</f>
        <v>Rania (XII)</v>
      </c>
      <c r="K60" s="83"/>
    </row>
    <row r="61" ht="15.75" customHeight="1">
      <c r="A61" s="84">
        <v>68.0</v>
      </c>
      <c r="B61" s="77">
        <v>17.0</v>
      </c>
      <c r="C61" s="77" t="s">
        <v>841</v>
      </c>
      <c r="D61" s="77">
        <v>2.52610154E8</v>
      </c>
      <c r="E61" s="78" t="s">
        <v>722</v>
      </c>
      <c r="F61" s="77" t="s">
        <v>784</v>
      </c>
      <c r="G61" s="79" t="s">
        <v>21</v>
      </c>
      <c r="H61" s="79" t="str">
        <f>VLOOKUP(G61,MetaData!$A$2:$C$13,3,false)</f>
        <v>Muhammad, S.Pd</v>
      </c>
      <c r="I61" s="79" t="s">
        <v>710</v>
      </c>
      <c r="J61" s="79" t="str">
        <f>VLOOKUP(I61,MetaData!$E$2:$G$40,3,false)</f>
        <v>Rania (XII)</v>
      </c>
      <c r="K61" s="80"/>
    </row>
    <row r="62" ht="15.75" customHeight="1">
      <c r="A62" s="85">
        <v>69.0</v>
      </c>
      <c r="B62" s="77">
        <v>18.0</v>
      </c>
      <c r="C62" s="77" t="s">
        <v>842</v>
      </c>
      <c r="D62" s="77">
        <v>2.52610164E8</v>
      </c>
      <c r="E62" s="78" t="s">
        <v>348</v>
      </c>
      <c r="F62" s="77" t="s">
        <v>782</v>
      </c>
      <c r="G62" s="82" t="s">
        <v>21</v>
      </c>
      <c r="H62" s="82" t="str">
        <f>VLOOKUP(G62,MetaData!$A$2:$C$13,3,false)</f>
        <v>Muhammad, S.Pd</v>
      </c>
      <c r="I62" s="82" t="s">
        <v>344</v>
      </c>
      <c r="J62" s="82" t="str">
        <f>VLOOKUP(I62,MetaData!$E$2:$G$40,3,false)</f>
        <v>Joko</v>
      </c>
      <c r="K62" s="83"/>
    </row>
    <row r="63" ht="15.75" customHeight="1">
      <c r="A63" s="84">
        <v>70.0</v>
      </c>
      <c r="B63" s="77">
        <v>19.0</v>
      </c>
      <c r="C63" s="77" t="s">
        <v>843</v>
      </c>
      <c r="D63" s="77">
        <v>2.5261018E8</v>
      </c>
      <c r="E63" s="78" t="s">
        <v>349</v>
      </c>
      <c r="F63" s="77" t="s">
        <v>782</v>
      </c>
      <c r="G63" s="79" t="s">
        <v>21</v>
      </c>
      <c r="H63" s="79" t="str">
        <f>VLOOKUP(G63,MetaData!$A$2:$C$13,3,false)</f>
        <v>Muhammad, S.Pd</v>
      </c>
      <c r="I63" s="79" t="s">
        <v>344</v>
      </c>
      <c r="J63" s="79" t="str">
        <f>VLOOKUP(I63,MetaData!$E$2:$G$40,3,false)</f>
        <v>Joko</v>
      </c>
      <c r="K63" s="80"/>
    </row>
    <row r="64" ht="15.75" customHeight="1">
      <c r="A64" s="85">
        <v>71.0</v>
      </c>
      <c r="B64" s="77">
        <v>20.0</v>
      </c>
      <c r="C64" s="77" t="s">
        <v>844</v>
      </c>
      <c r="D64" s="77">
        <v>2.52610181E8</v>
      </c>
      <c r="E64" s="78" t="s">
        <v>553</v>
      </c>
      <c r="F64" s="77" t="s">
        <v>784</v>
      </c>
      <c r="G64" s="82" t="s">
        <v>21</v>
      </c>
      <c r="H64" s="82" t="str">
        <f>VLOOKUP(G64,MetaData!$A$2:$C$13,3,false)</f>
        <v>Muhammad, S.Pd</v>
      </c>
      <c r="I64" s="82" t="s">
        <v>552</v>
      </c>
      <c r="J64" s="82" t="str">
        <f>VLOOKUP(I64,MetaData!$E$2:$G$40,3,false)</f>
        <v>Nadine (XI)</v>
      </c>
      <c r="K64" s="83"/>
    </row>
    <row r="65" ht="15.75" customHeight="1">
      <c r="A65" s="84">
        <v>72.0</v>
      </c>
      <c r="B65" s="77">
        <v>21.0</v>
      </c>
      <c r="C65" s="77" t="s">
        <v>845</v>
      </c>
      <c r="D65" s="77">
        <v>2.52610185E8</v>
      </c>
      <c r="E65" s="78" t="s">
        <v>350</v>
      </c>
      <c r="F65" s="77" t="s">
        <v>782</v>
      </c>
      <c r="G65" s="79" t="s">
        <v>21</v>
      </c>
      <c r="H65" s="79" t="str">
        <f>VLOOKUP(G65,MetaData!$A$2:$C$13,3,false)</f>
        <v>Muhammad, S.Pd</v>
      </c>
      <c r="I65" s="79" t="s">
        <v>344</v>
      </c>
      <c r="J65" s="79" t="str">
        <f>VLOOKUP(I65,MetaData!$E$2:$G$40,3,false)</f>
        <v>Joko</v>
      </c>
      <c r="K65" s="80"/>
    </row>
    <row r="66" ht="15.75" customHeight="1">
      <c r="A66" s="85">
        <v>73.0</v>
      </c>
      <c r="B66" s="77">
        <v>22.0</v>
      </c>
      <c r="C66" s="77" t="s">
        <v>846</v>
      </c>
      <c r="D66" s="77">
        <v>2.52610186E8</v>
      </c>
      <c r="E66" s="78" t="s">
        <v>351</v>
      </c>
      <c r="F66" s="77" t="s">
        <v>782</v>
      </c>
      <c r="G66" s="82" t="s">
        <v>21</v>
      </c>
      <c r="H66" s="82" t="str">
        <f>VLOOKUP(G66,MetaData!$A$2:$C$13,3,false)</f>
        <v>Muhammad, S.Pd</v>
      </c>
      <c r="I66" s="82" t="s">
        <v>344</v>
      </c>
      <c r="J66" s="82" t="str">
        <f>VLOOKUP(I66,MetaData!$E$2:$G$40,3,false)</f>
        <v>Joko</v>
      </c>
      <c r="K66" s="83"/>
    </row>
    <row r="67" ht="15.75" customHeight="1">
      <c r="A67" s="84">
        <v>74.0</v>
      </c>
      <c r="B67" s="77">
        <v>23.0</v>
      </c>
      <c r="C67" s="77" t="s">
        <v>847</v>
      </c>
      <c r="D67" s="77">
        <v>2.52610238E8</v>
      </c>
      <c r="E67" s="78" t="s">
        <v>554</v>
      </c>
      <c r="F67" s="77" t="s">
        <v>784</v>
      </c>
      <c r="G67" s="79" t="s">
        <v>21</v>
      </c>
      <c r="H67" s="79" t="str">
        <f>VLOOKUP(G67,MetaData!$A$2:$C$13,3,false)</f>
        <v>Muhammad, S.Pd</v>
      </c>
      <c r="I67" s="79" t="s">
        <v>552</v>
      </c>
      <c r="J67" s="79" t="str">
        <f>VLOOKUP(I67,MetaData!$E$2:$G$40,3,false)</f>
        <v>Nadine (XI)</v>
      </c>
      <c r="K67" s="80"/>
    </row>
    <row r="68" ht="15.75" customHeight="1">
      <c r="A68" s="85">
        <v>75.0</v>
      </c>
      <c r="B68" s="77">
        <v>24.0</v>
      </c>
      <c r="C68" s="77" t="s">
        <v>848</v>
      </c>
      <c r="D68" s="77">
        <v>2.52610277E8</v>
      </c>
      <c r="E68" s="78" t="s">
        <v>352</v>
      </c>
      <c r="F68" s="77" t="s">
        <v>782</v>
      </c>
      <c r="G68" s="82" t="s">
        <v>21</v>
      </c>
      <c r="H68" s="82" t="str">
        <f>VLOOKUP(G68,MetaData!$A$2:$C$13,3,false)</f>
        <v>Muhammad, S.Pd</v>
      </c>
      <c r="I68" s="82" t="s">
        <v>344</v>
      </c>
      <c r="J68" s="82" t="str">
        <f>VLOOKUP(I68,MetaData!$E$2:$G$40,3,false)</f>
        <v>Joko</v>
      </c>
      <c r="K68" s="83"/>
    </row>
    <row r="69" ht="15.75" customHeight="1">
      <c r="A69" s="84">
        <v>76.0</v>
      </c>
      <c r="B69" s="77">
        <v>25.0</v>
      </c>
      <c r="C69" s="77" t="s">
        <v>849</v>
      </c>
      <c r="D69" s="77">
        <v>2.5261028E8</v>
      </c>
      <c r="E69" s="78" t="s">
        <v>555</v>
      </c>
      <c r="F69" s="77" t="s">
        <v>784</v>
      </c>
      <c r="G69" s="79" t="s">
        <v>21</v>
      </c>
      <c r="H69" s="79" t="str">
        <f>VLOOKUP(G69,MetaData!$A$2:$C$13,3,false)</f>
        <v>Muhammad, S.Pd</v>
      </c>
      <c r="I69" s="79" t="s">
        <v>552</v>
      </c>
      <c r="J69" s="79" t="str">
        <f>VLOOKUP(I69,MetaData!$E$2:$G$40,3,false)</f>
        <v>Nadine (XI)</v>
      </c>
      <c r="K69" s="80"/>
    </row>
    <row r="70" ht="15.75" customHeight="1">
      <c r="A70" s="85">
        <v>77.0</v>
      </c>
      <c r="B70" s="77">
        <v>26.0</v>
      </c>
      <c r="C70" s="77" t="s">
        <v>850</v>
      </c>
      <c r="D70" s="77">
        <v>2.52610302E8</v>
      </c>
      <c r="E70" s="78" t="s">
        <v>353</v>
      </c>
      <c r="F70" s="77" t="s">
        <v>782</v>
      </c>
      <c r="G70" s="82" t="s">
        <v>21</v>
      </c>
      <c r="H70" s="82" t="str">
        <f>VLOOKUP(G70,MetaData!$A$2:$C$13,3,false)</f>
        <v>Muhammad, S.Pd</v>
      </c>
      <c r="I70" s="82" t="s">
        <v>344</v>
      </c>
      <c r="J70" s="82" t="str">
        <f>VLOOKUP(I70,MetaData!$E$2:$G$40,3,false)</f>
        <v>Joko</v>
      </c>
      <c r="K70" s="83"/>
    </row>
    <row r="71" ht="15.75" customHeight="1">
      <c r="A71" s="84">
        <v>78.0</v>
      </c>
      <c r="B71" s="77">
        <v>27.0</v>
      </c>
      <c r="C71" s="77" t="s">
        <v>851</v>
      </c>
      <c r="D71" s="77">
        <v>2.52610319E8</v>
      </c>
      <c r="E71" s="78" t="s">
        <v>354</v>
      </c>
      <c r="F71" s="77" t="s">
        <v>782</v>
      </c>
      <c r="G71" s="79" t="s">
        <v>21</v>
      </c>
      <c r="H71" s="79" t="str">
        <f>VLOOKUP(G71,MetaData!$A$2:$C$13,3,false)</f>
        <v>Muhammad, S.Pd</v>
      </c>
      <c r="I71" s="79" t="s">
        <v>344</v>
      </c>
      <c r="J71" s="79" t="str">
        <f>VLOOKUP(I71,MetaData!$E$2:$G$40,3,false)</f>
        <v>Joko</v>
      </c>
      <c r="K71" s="80"/>
    </row>
    <row r="72" ht="15.75" customHeight="1">
      <c r="A72" s="85">
        <v>79.0</v>
      </c>
      <c r="B72" s="77">
        <v>28.0</v>
      </c>
      <c r="C72" s="77" t="s">
        <v>852</v>
      </c>
      <c r="D72" s="77">
        <v>2.5261032E8</v>
      </c>
      <c r="E72" s="78" t="s">
        <v>229</v>
      </c>
      <c r="F72" s="77" t="s">
        <v>782</v>
      </c>
      <c r="G72" s="82" t="s">
        <v>21</v>
      </c>
      <c r="H72" s="82" t="str">
        <f>VLOOKUP(G72,MetaData!$A$2:$C$13,3,false)</f>
        <v>Muhammad, S.Pd</v>
      </c>
      <c r="I72" s="82" t="s">
        <v>220</v>
      </c>
      <c r="J72" s="82" t="str">
        <f>VLOOKUP(I72,MetaData!$E$2:$G$40,3,false)</f>
        <v>Rekhsa</v>
      </c>
      <c r="K72" s="83"/>
    </row>
    <row r="73" ht="15.75" customHeight="1">
      <c r="A73" s="84">
        <v>80.0</v>
      </c>
      <c r="B73" s="77">
        <v>29.0</v>
      </c>
      <c r="C73" s="77" t="s">
        <v>853</v>
      </c>
      <c r="D73" s="77">
        <v>2.52610332E8</v>
      </c>
      <c r="E73" s="78" t="s">
        <v>355</v>
      </c>
      <c r="F73" s="77" t="s">
        <v>782</v>
      </c>
      <c r="G73" s="79" t="s">
        <v>21</v>
      </c>
      <c r="H73" s="79" t="str">
        <f>VLOOKUP(G73,MetaData!$A$2:$C$13,3,false)</f>
        <v>Muhammad, S.Pd</v>
      </c>
      <c r="I73" s="79" t="s">
        <v>344</v>
      </c>
      <c r="J73" s="79" t="str">
        <f>VLOOKUP(I73,MetaData!$E$2:$G$40,3,false)</f>
        <v>Joko</v>
      </c>
      <c r="K73" s="80"/>
    </row>
    <row r="74" ht="15.75" customHeight="1">
      <c r="A74" s="85">
        <v>81.0</v>
      </c>
      <c r="B74" s="77">
        <v>30.0</v>
      </c>
      <c r="C74" s="77" t="s">
        <v>854</v>
      </c>
      <c r="D74" s="77">
        <v>2.52610336E8</v>
      </c>
      <c r="E74" s="78" t="s">
        <v>356</v>
      </c>
      <c r="F74" s="77" t="s">
        <v>782</v>
      </c>
      <c r="G74" s="82" t="s">
        <v>21</v>
      </c>
      <c r="H74" s="82" t="str">
        <f>VLOOKUP(G74,MetaData!$A$2:$C$13,3,false)</f>
        <v>Muhammad, S.Pd</v>
      </c>
      <c r="I74" s="82" t="s">
        <v>344</v>
      </c>
      <c r="J74" s="82" t="str">
        <f>VLOOKUP(I74,MetaData!$E$2:$G$40,3,false)</f>
        <v>Joko</v>
      </c>
      <c r="K74" s="83"/>
    </row>
    <row r="75" ht="15.75" customHeight="1">
      <c r="A75" s="84">
        <v>82.0</v>
      </c>
      <c r="B75" s="77">
        <v>31.0</v>
      </c>
      <c r="C75" s="77" t="s">
        <v>855</v>
      </c>
      <c r="D75" s="77">
        <v>2.52610338E8</v>
      </c>
      <c r="E75" s="78" t="s">
        <v>232</v>
      </c>
      <c r="F75" s="77" t="s">
        <v>782</v>
      </c>
      <c r="G75" s="79" t="s">
        <v>21</v>
      </c>
      <c r="H75" s="79" t="str">
        <f>VLOOKUP(G75,MetaData!$A$2:$C$13,3,false)</f>
        <v>Muhammad, S.Pd</v>
      </c>
      <c r="I75" s="79" t="s">
        <v>220</v>
      </c>
      <c r="J75" s="79" t="str">
        <f>VLOOKUP(I75,MetaData!$E$2:$G$40,3,false)</f>
        <v>Rekhsa</v>
      </c>
      <c r="K75" s="80"/>
    </row>
    <row r="76" ht="15.75" customHeight="1">
      <c r="A76" s="85">
        <v>83.0</v>
      </c>
      <c r="B76" s="77">
        <v>32.0</v>
      </c>
      <c r="C76" s="77" t="s">
        <v>856</v>
      </c>
      <c r="D76" s="77">
        <v>2.52610362E8</v>
      </c>
      <c r="E76" s="78" t="s">
        <v>357</v>
      </c>
      <c r="F76" s="77" t="s">
        <v>782</v>
      </c>
      <c r="G76" s="82" t="s">
        <v>21</v>
      </c>
      <c r="H76" s="82" t="str">
        <f>VLOOKUP(G76,MetaData!$A$2:$C$13,3,false)</f>
        <v>Muhammad, S.Pd</v>
      </c>
      <c r="I76" s="82" t="s">
        <v>344</v>
      </c>
      <c r="J76" s="82" t="str">
        <f>VLOOKUP(I76,MetaData!$E$2:$G$40,3,false)</f>
        <v>Joko</v>
      </c>
      <c r="K76" s="83"/>
    </row>
    <row r="77" ht="15.75" customHeight="1">
      <c r="A77" s="84">
        <v>84.0</v>
      </c>
      <c r="B77" s="77">
        <v>33.0</v>
      </c>
      <c r="C77" s="77" t="s">
        <v>857</v>
      </c>
      <c r="D77" s="77">
        <v>2.52610365E8</v>
      </c>
      <c r="E77" s="78" t="s">
        <v>358</v>
      </c>
      <c r="F77" s="77" t="s">
        <v>782</v>
      </c>
      <c r="G77" s="79" t="s">
        <v>21</v>
      </c>
      <c r="H77" s="79" t="str">
        <f>VLOOKUP(G77,MetaData!$A$2:$C$13,3,false)</f>
        <v>Muhammad, S.Pd</v>
      </c>
      <c r="I77" s="79" t="s">
        <v>344</v>
      </c>
      <c r="J77" s="79" t="str">
        <f>VLOOKUP(I77,MetaData!$E$2:$G$40,3,false)</f>
        <v>Joko</v>
      </c>
      <c r="K77" s="80"/>
    </row>
    <row r="78" ht="15.75" customHeight="1">
      <c r="A78" s="85">
        <v>85.0</v>
      </c>
      <c r="B78" s="77">
        <v>34.0</v>
      </c>
      <c r="C78" s="77" t="s">
        <v>858</v>
      </c>
      <c r="D78" s="77">
        <v>2.52610416E8</v>
      </c>
      <c r="E78" s="78" t="s">
        <v>556</v>
      </c>
      <c r="F78" s="77" t="s">
        <v>784</v>
      </c>
      <c r="G78" s="82" t="s">
        <v>21</v>
      </c>
      <c r="H78" s="82" t="str">
        <f>VLOOKUP(G78,MetaData!$A$2:$C$13,3,false)</f>
        <v>Muhammad, S.Pd</v>
      </c>
      <c r="I78" s="82" t="s">
        <v>552</v>
      </c>
      <c r="J78" s="82" t="str">
        <f>VLOOKUP(I78,MetaData!$E$2:$G$40,3,false)</f>
        <v>Nadine (XI)</v>
      </c>
      <c r="K78" s="83"/>
    </row>
    <row r="79" ht="15.75" customHeight="1">
      <c r="A79" s="84">
        <v>86.0</v>
      </c>
      <c r="B79" s="77">
        <v>35.0</v>
      </c>
      <c r="C79" s="77" t="s">
        <v>859</v>
      </c>
      <c r="D79" s="77">
        <v>2.52610419E8</v>
      </c>
      <c r="E79" s="78" t="s">
        <v>557</v>
      </c>
      <c r="F79" s="77" t="s">
        <v>784</v>
      </c>
      <c r="G79" s="79" t="s">
        <v>21</v>
      </c>
      <c r="H79" s="79" t="str">
        <f>VLOOKUP(G79,MetaData!$A$2:$C$13,3,false)</f>
        <v>Muhammad, S.Pd</v>
      </c>
      <c r="I79" s="79" t="s">
        <v>552</v>
      </c>
      <c r="J79" s="79" t="str">
        <f>VLOOKUP(I79,MetaData!$E$2:$G$40,3,false)</f>
        <v>Nadine (XI)</v>
      </c>
      <c r="K79" s="80"/>
    </row>
    <row r="80" ht="15.75" customHeight="1">
      <c r="A80" s="85">
        <v>87.0</v>
      </c>
      <c r="B80" s="77">
        <v>36.0</v>
      </c>
      <c r="C80" s="77" t="s">
        <v>860</v>
      </c>
      <c r="D80" s="77">
        <v>2.52610434E8</v>
      </c>
      <c r="E80" s="78" t="s">
        <v>453</v>
      </c>
      <c r="F80" s="77" t="s">
        <v>784</v>
      </c>
      <c r="G80" s="82" t="s">
        <v>21</v>
      </c>
      <c r="H80" s="82" t="str">
        <f>VLOOKUP(G80,MetaData!$A$2:$C$13,3,false)</f>
        <v>Muhammad, S.Pd</v>
      </c>
      <c r="I80" s="82" t="s">
        <v>443</v>
      </c>
      <c r="J80" s="82" t="str">
        <f>VLOOKUP(I80,MetaData!$E$2:$G$40,3,false)</f>
        <v>Ayun</v>
      </c>
      <c r="K80" s="83"/>
    </row>
    <row r="81" ht="15.75" customHeight="1">
      <c r="A81" s="84">
        <v>88.0</v>
      </c>
      <c r="B81" s="77">
        <v>37.0</v>
      </c>
      <c r="C81" s="77" t="s">
        <v>861</v>
      </c>
      <c r="D81" s="77">
        <v>2.5261044E8</v>
      </c>
      <c r="E81" s="78" t="s">
        <v>558</v>
      </c>
      <c r="F81" s="77" t="s">
        <v>784</v>
      </c>
      <c r="G81" s="79" t="s">
        <v>21</v>
      </c>
      <c r="H81" s="79" t="str">
        <f>VLOOKUP(G81,MetaData!$A$2:$C$13,3,false)</f>
        <v>Muhammad, S.Pd</v>
      </c>
      <c r="I81" s="79" t="s">
        <v>552</v>
      </c>
      <c r="J81" s="79" t="str">
        <f>VLOOKUP(I81,MetaData!$E$2:$G$40,3,false)</f>
        <v>Nadine (XI)</v>
      </c>
      <c r="K81" s="80"/>
    </row>
    <row r="82" ht="15.75" customHeight="1">
      <c r="A82" s="85">
        <v>89.0</v>
      </c>
      <c r="B82" s="77">
        <v>38.0</v>
      </c>
      <c r="C82" s="77" t="s">
        <v>862</v>
      </c>
      <c r="D82" s="77">
        <v>2.52610467E8</v>
      </c>
      <c r="E82" s="78" t="s">
        <v>559</v>
      </c>
      <c r="F82" s="77" t="s">
        <v>784</v>
      </c>
      <c r="G82" s="82" t="s">
        <v>21</v>
      </c>
      <c r="H82" s="82" t="str">
        <f>VLOOKUP(G82,MetaData!$A$2:$C$13,3,false)</f>
        <v>Muhammad, S.Pd</v>
      </c>
      <c r="I82" s="82" t="s">
        <v>552</v>
      </c>
      <c r="J82" s="82" t="str">
        <f>VLOOKUP(I82,MetaData!$E$2:$G$40,3,false)</f>
        <v>Nadine (XI)</v>
      </c>
      <c r="K82" s="83"/>
    </row>
    <row r="83" ht="15.75" customHeight="1">
      <c r="A83" s="84">
        <v>90.0</v>
      </c>
      <c r="B83" s="77">
        <v>39.0</v>
      </c>
      <c r="C83" s="77" t="s">
        <v>863</v>
      </c>
      <c r="D83" s="77">
        <v>2.52610474E8</v>
      </c>
      <c r="E83" s="78" t="s">
        <v>560</v>
      </c>
      <c r="F83" s="77" t="s">
        <v>784</v>
      </c>
      <c r="G83" s="79" t="s">
        <v>21</v>
      </c>
      <c r="H83" s="79" t="str">
        <f>VLOOKUP(G83,MetaData!$A$2:$C$13,3,false)</f>
        <v>Muhammad, S.Pd</v>
      </c>
      <c r="I83" s="79" t="s">
        <v>552</v>
      </c>
      <c r="J83" s="79" t="str">
        <f>VLOOKUP(I83,MetaData!$E$2:$G$40,3,false)</f>
        <v>Nadine (XI)</v>
      </c>
      <c r="K83" s="80"/>
    </row>
    <row r="84" ht="15.75" customHeight="1">
      <c r="A84" s="85">
        <v>91.0</v>
      </c>
      <c r="B84" s="77">
        <v>40.0</v>
      </c>
      <c r="C84" s="77" t="s">
        <v>864</v>
      </c>
      <c r="D84" s="77">
        <v>2.52610497E8</v>
      </c>
      <c r="E84" s="78" t="s">
        <v>561</v>
      </c>
      <c r="F84" s="77" t="s">
        <v>784</v>
      </c>
      <c r="G84" s="82" t="s">
        <v>21</v>
      </c>
      <c r="H84" s="82" t="str">
        <f>VLOOKUP(G84,MetaData!$A$2:$C$13,3,false)</f>
        <v>Muhammad, S.Pd</v>
      </c>
      <c r="I84" s="82" t="s">
        <v>552</v>
      </c>
      <c r="J84" s="82" t="str">
        <f>VLOOKUP(I84,MetaData!$E$2:$G$40,3,false)</f>
        <v>Nadine (XI)</v>
      </c>
      <c r="K84" s="83"/>
    </row>
    <row r="85" ht="15.75" customHeight="1">
      <c r="A85" s="84">
        <v>92.0</v>
      </c>
      <c r="B85" s="77">
        <v>41.0</v>
      </c>
      <c r="C85" s="77" t="s">
        <v>865</v>
      </c>
      <c r="D85" s="77">
        <v>2.52610546E8</v>
      </c>
      <c r="E85" s="78" t="s">
        <v>562</v>
      </c>
      <c r="F85" s="77" t="s">
        <v>784</v>
      </c>
      <c r="G85" s="79" t="s">
        <v>21</v>
      </c>
      <c r="H85" s="79" t="str">
        <f>VLOOKUP(G85,MetaData!$A$2:$C$13,3,false)</f>
        <v>Muhammad, S.Pd</v>
      </c>
      <c r="I85" s="79" t="s">
        <v>552</v>
      </c>
      <c r="J85" s="79" t="str">
        <f>VLOOKUP(I85,MetaData!$E$2:$G$40,3,false)</f>
        <v>Nadine (XI)</v>
      </c>
      <c r="K85" s="80"/>
    </row>
    <row r="86" ht="15.75" customHeight="1">
      <c r="A86" s="85">
        <v>93.0</v>
      </c>
      <c r="B86" s="77">
        <v>42.0</v>
      </c>
      <c r="C86" s="77" t="s">
        <v>866</v>
      </c>
      <c r="D86" s="77">
        <v>2.5261056E8</v>
      </c>
      <c r="E86" s="78" t="s">
        <v>359</v>
      </c>
      <c r="F86" s="77" t="s">
        <v>782</v>
      </c>
      <c r="G86" s="82" t="s">
        <v>21</v>
      </c>
      <c r="H86" s="82" t="str">
        <f>VLOOKUP(G86,MetaData!$A$2:$C$13,3,false)</f>
        <v>Muhammad, S.Pd</v>
      </c>
      <c r="I86" s="82" t="s">
        <v>344</v>
      </c>
      <c r="J86" s="82" t="str">
        <f>VLOOKUP(I86,MetaData!$E$2:$G$40,3,false)</f>
        <v>Joko</v>
      </c>
      <c r="K86" s="83"/>
    </row>
    <row r="87" ht="15.75" customHeight="1">
      <c r="A87" s="84">
        <v>94.0</v>
      </c>
      <c r="B87" s="77">
        <v>43.0</v>
      </c>
      <c r="C87" s="77" t="s">
        <v>867</v>
      </c>
      <c r="D87" s="77">
        <v>2.52610563E8</v>
      </c>
      <c r="E87" s="78" t="s">
        <v>563</v>
      </c>
      <c r="F87" s="77" t="s">
        <v>784</v>
      </c>
      <c r="G87" s="79" t="s">
        <v>21</v>
      </c>
      <c r="H87" s="79" t="str">
        <f>VLOOKUP(G87,MetaData!$A$2:$C$13,3,false)</f>
        <v>Muhammad, S.Pd</v>
      </c>
      <c r="I87" s="79" t="s">
        <v>552</v>
      </c>
      <c r="J87" s="79" t="str">
        <f>VLOOKUP(I87,MetaData!$E$2:$G$40,3,false)</f>
        <v>Nadine (XI)</v>
      </c>
      <c r="K87" s="80"/>
    </row>
    <row r="88" ht="15.75" customHeight="1">
      <c r="A88" s="81">
        <v>102.0</v>
      </c>
      <c r="B88" s="77">
        <v>1.0</v>
      </c>
      <c r="C88" s="77" t="s">
        <v>868</v>
      </c>
      <c r="D88" s="77">
        <v>2.52610002E8</v>
      </c>
      <c r="E88" s="78" t="s">
        <v>331</v>
      </c>
      <c r="F88" s="77" t="s">
        <v>782</v>
      </c>
      <c r="G88" s="82" t="s">
        <v>29</v>
      </c>
      <c r="H88" s="82" t="str">
        <f>VLOOKUP(G88,MetaData!$A$2:$C$13,3,false)</f>
        <v>Syamsi Jawawi, S.Pd</v>
      </c>
      <c r="I88" s="82" t="s">
        <v>330</v>
      </c>
      <c r="J88" s="82" t="str">
        <f>VLOOKUP(I88,MetaData!$E$2:$G$40,3,false)</f>
        <v>Angga</v>
      </c>
      <c r="K88" s="83"/>
    </row>
    <row r="89" ht="15.75" customHeight="1">
      <c r="A89" s="76">
        <v>103.0</v>
      </c>
      <c r="B89" s="77">
        <v>2.0</v>
      </c>
      <c r="C89" s="77" t="s">
        <v>869</v>
      </c>
      <c r="D89" s="77">
        <v>2.52610063E8</v>
      </c>
      <c r="E89" s="78" t="s">
        <v>332</v>
      </c>
      <c r="F89" s="77" t="s">
        <v>782</v>
      </c>
      <c r="G89" s="79" t="s">
        <v>29</v>
      </c>
      <c r="H89" s="79" t="str">
        <f>VLOOKUP(G89,MetaData!$A$2:$C$13,3,false)</f>
        <v>Syamsi Jawawi, S.Pd</v>
      </c>
      <c r="I89" s="79" t="s">
        <v>330</v>
      </c>
      <c r="J89" s="79" t="str">
        <f>VLOOKUP(I89,MetaData!$E$2:$G$40,3,false)</f>
        <v>Angga</v>
      </c>
      <c r="K89" s="80"/>
    </row>
    <row r="90" ht="15.75" customHeight="1">
      <c r="A90" s="81">
        <v>104.0</v>
      </c>
      <c r="B90" s="77">
        <v>3.0</v>
      </c>
      <c r="C90" s="77" t="s">
        <v>870</v>
      </c>
      <c r="D90" s="77">
        <v>2.52610065E8</v>
      </c>
      <c r="E90" s="78" t="s">
        <v>697</v>
      </c>
      <c r="F90" s="77" t="s">
        <v>784</v>
      </c>
      <c r="G90" s="82" t="s">
        <v>29</v>
      </c>
      <c r="H90" s="82" t="str">
        <f>VLOOKUP(G90,MetaData!$A$2:$C$13,3,false)</f>
        <v>Syamsi Jawawi, S.Pd</v>
      </c>
      <c r="I90" s="82" t="s">
        <v>696</v>
      </c>
      <c r="J90" s="82" t="str">
        <f>VLOOKUP(I90,MetaData!$E$2:$G$40,3,false)</f>
        <v>Hanin</v>
      </c>
      <c r="K90" s="83"/>
    </row>
    <row r="91" ht="15.75" customHeight="1">
      <c r="A91" s="76">
        <v>105.0</v>
      </c>
      <c r="B91" s="77">
        <v>4.0</v>
      </c>
      <c r="C91" s="77" t="s">
        <v>871</v>
      </c>
      <c r="D91" s="77">
        <v>2.52610076E8</v>
      </c>
      <c r="E91" s="78" t="s">
        <v>333</v>
      </c>
      <c r="F91" s="77" t="s">
        <v>782</v>
      </c>
      <c r="G91" s="79" t="s">
        <v>29</v>
      </c>
      <c r="H91" s="79" t="str">
        <f>VLOOKUP(G91,MetaData!$A$2:$C$13,3,false)</f>
        <v>Syamsi Jawawi, S.Pd</v>
      </c>
      <c r="I91" s="79" t="s">
        <v>330</v>
      </c>
      <c r="J91" s="79" t="str">
        <f>VLOOKUP(I91,MetaData!$E$2:$G$40,3,false)</f>
        <v>Angga</v>
      </c>
      <c r="K91" s="80"/>
    </row>
    <row r="92" ht="15.75" customHeight="1">
      <c r="A92" s="81">
        <v>106.0</v>
      </c>
      <c r="B92" s="77">
        <v>5.0</v>
      </c>
      <c r="C92" s="77" t="s">
        <v>872</v>
      </c>
      <c r="D92" s="77">
        <v>2.52610079E8</v>
      </c>
      <c r="E92" s="78" t="s">
        <v>334</v>
      </c>
      <c r="F92" s="77" t="s">
        <v>782</v>
      </c>
      <c r="G92" s="82" t="s">
        <v>29</v>
      </c>
      <c r="H92" s="82" t="str">
        <f>VLOOKUP(G92,MetaData!$A$2:$C$13,3,false)</f>
        <v>Syamsi Jawawi, S.Pd</v>
      </c>
      <c r="I92" s="82" t="s">
        <v>330</v>
      </c>
      <c r="J92" s="82" t="str">
        <f>VLOOKUP(I92,MetaData!$E$2:$G$40,3,false)</f>
        <v>Angga</v>
      </c>
      <c r="K92" s="83"/>
    </row>
    <row r="93" ht="15.75" customHeight="1">
      <c r="A93" s="76">
        <v>107.0</v>
      </c>
      <c r="B93" s="77">
        <v>6.0</v>
      </c>
      <c r="C93" s="77" t="s">
        <v>873</v>
      </c>
      <c r="D93" s="77">
        <v>2.52610093E8</v>
      </c>
      <c r="E93" s="78" t="s">
        <v>698</v>
      </c>
      <c r="F93" s="77" t="s">
        <v>784</v>
      </c>
      <c r="G93" s="79" t="s">
        <v>29</v>
      </c>
      <c r="H93" s="79" t="str">
        <f>VLOOKUP(G93,MetaData!$A$2:$C$13,3,false)</f>
        <v>Syamsi Jawawi, S.Pd</v>
      </c>
      <c r="I93" s="79" t="s">
        <v>696</v>
      </c>
      <c r="J93" s="79" t="str">
        <f>VLOOKUP(I93,MetaData!$E$2:$G$40,3,false)</f>
        <v>Hanin</v>
      </c>
      <c r="K93" s="80"/>
    </row>
    <row r="94" ht="15.75" customHeight="1">
      <c r="A94" s="81">
        <v>108.0</v>
      </c>
      <c r="B94" s="77">
        <v>7.0</v>
      </c>
      <c r="C94" s="77" t="s">
        <v>874</v>
      </c>
      <c r="D94" s="77">
        <v>2.52610094E8</v>
      </c>
      <c r="E94" s="78" t="s">
        <v>699</v>
      </c>
      <c r="F94" s="77" t="s">
        <v>784</v>
      </c>
      <c r="G94" s="82" t="s">
        <v>29</v>
      </c>
      <c r="H94" s="82" t="str">
        <f>VLOOKUP(G94,MetaData!$A$2:$C$13,3,false)</f>
        <v>Syamsi Jawawi, S.Pd</v>
      </c>
      <c r="I94" s="82" t="s">
        <v>696</v>
      </c>
      <c r="J94" s="82" t="str">
        <f>VLOOKUP(I94,MetaData!$E$2:$G$40,3,false)</f>
        <v>Hanin</v>
      </c>
      <c r="K94" s="83"/>
    </row>
    <row r="95" ht="15.75" customHeight="1">
      <c r="A95" s="76">
        <v>109.0</v>
      </c>
      <c r="B95" s="77">
        <v>8.0</v>
      </c>
      <c r="C95" s="77" t="s">
        <v>875</v>
      </c>
      <c r="D95" s="77">
        <v>2.52610096E8</v>
      </c>
      <c r="E95" s="78" t="s">
        <v>700</v>
      </c>
      <c r="F95" s="77" t="s">
        <v>784</v>
      </c>
      <c r="G95" s="79" t="s">
        <v>29</v>
      </c>
      <c r="H95" s="79" t="str">
        <f>VLOOKUP(G95,MetaData!$A$2:$C$13,3,false)</f>
        <v>Syamsi Jawawi, S.Pd</v>
      </c>
      <c r="I95" s="79" t="s">
        <v>696</v>
      </c>
      <c r="J95" s="79" t="str">
        <f>VLOOKUP(I95,MetaData!$E$2:$G$40,3,false)</f>
        <v>Hanin</v>
      </c>
      <c r="K95" s="80"/>
    </row>
    <row r="96" ht="15.75" customHeight="1">
      <c r="A96" s="81">
        <v>110.0</v>
      </c>
      <c r="B96" s="77">
        <v>9.0</v>
      </c>
      <c r="C96" s="77" t="s">
        <v>876</v>
      </c>
      <c r="D96" s="77">
        <v>2.52610121E8</v>
      </c>
      <c r="E96" s="78" t="s">
        <v>701</v>
      </c>
      <c r="F96" s="77" t="s">
        <v>784</v>
      </c>
      <c r="G96" s="82" t="s">
        <v>29</v>
      </c>
      <c r="H96" s="82" t="str">
        <f>VLOOKUP(G96,MetaData!$A$2:$C$13,3,false)</f>
        <v>Syamsi Jawawi, S.Pd</v>
      </c>
      <c r="I96" s="82" t="s">
        <v>696</v>
      </c>
      <c r="J96" s="82" t="str">
        <f>VLOOKUP(I96,MetaData!$E$2:$G$40,3,false)</f>
        <v>Hanin</v>
      </c>
      <c r="K96" s="83"/>
    </row>
    <row r="97" ht="15.75" customHeight="1">
      <c r="A97" s="76">
        <v>111.0</v>
      </c>
      <c r="B97" s="77">
        <v>10.0</v>
      </c>
      <c r="C97" s="77" t="s">
        <v>877</v>
      </c>
      <c r="D97" s="77">
        <v>2.52610129E8</v>
      </c>
      <c r="E97" s="78" t="s">
        <v>335</v>
      </c>
      <c r="F97" s="77" t="s">
        <v>782</v>
      </c>
      <c r="G97" s="79" t="s">
        <v>29</v>
      </c>
      <c r="H97" s="79" t="str">
        <f>VLOOKUP(G97,MetaData!$A$2:$C$13,3,false)</f>
        <v>Syamsi Jawawi, S.Pd</v>
      </c>
      <c r="I97" s="79" t="s">
        <v>330</v>
      </c>
      <c r="J97" s="79" t="str">
        <f>VLOOKUP(I97,MetaData!$E$2:$G$40,3,false)</f>
        <v>Angga</v>
      </c>
      <c r="K97" s="80"/>
    </row>
    <row r="98" ht="15.75" customHeight="1">
      <c r="A98" s="81">
        <v>112.0</v>
      </c>
      <c r="B98" s="77">
        <v>11.0</v>
      </c>
      <c r="C98" s="77" t="s">
        <v>878</v>
      </c>
      <c r="D98" s="77">
        <v>2.52610136E8</v>
      </c>
      <c r="E98" s="78" t="s">
        <v>702</v>
      </c>
      <c r="F98" s="77" t="s">
        <v>784</v>
      </c>
      <c r="G98" s="82" t="s">
        <v>29</v>
      </c>
      <c r="H98" s="82" t="str">
        <f>VLOOKUP(G98,MetaData!$A$2:$C$13,3,false)</f>
        <v>Syamsi Jawawi, S.Pd</v>
      </c>
      <c r="I98" s="82" t="s">
        <v>696</v>
      </c>
      <c r="J98" s="82" t="str">
        <f>VLOOKUP(I98,MetaData!$E$2:$G$40,3,false)</f>
        <v>Hanin</v>
      </c>
      <c r="K98" s="83"/>
    </row>
    <row r="99" ht="15.75" customHeight="1">
      <c r="A99" s="76">
        <v>113.0</v>
      </c>
      <c r="B99" s="77">
        <v>12.0</v>
      </c>
      <c r="C99" s="77" t="s">
        <v>879</v>
      </c>
      <c r="D99" s="77">
        <v>2.52610138E8</v>
      </c>
      <c r="E99" s="78" t="s">
        <v>703</v>
      </c>
      <c r="F99" s="77" t="s">
        <v>784</v>
      </c>
      <c r="G99" s="79" t="s">
        <v>29</v>
      </c>
      <c r="H99" s="79" t="str">
        <f>VLOOKUP(G99,MetaData!$A$2:$C$13,3,false)</f>
        <v>Syamsi Jawawi, S.Pd</v>
      </c>
      <c r="I99" s="79" t="s">
        <v>696</v>
      </c>
      <c r="J99" s="79" t="str">
        <f>VLOOKUP(I99,MetaData!$E$2:$G$40,3,false)</f>
        <v>Hanin</v>
      </c>
      <c r="K99" s="80"/>
    </row>
    <row r="100" ht="15.75" customHeight="1">
      <c r="A100" s="81">
        <v>114.0</v>
      </c>
      <c r="B100" s="77">
        <v>13.0</v>
      </c>
      <c r="C100" s="77" t="s">
        <v>880</v>
      </c>
      <c r="D100" s="77">
        <v>2.52610148E8</v>
      </c>
      <c r="E100" s="78" t="s">
        <v>704</v>
      </c>
      <c r="F100" s="77" t="s">
        <v>784</v>
      </c>
      <c r="G100" s="82" t="s">
        <v>29</v>
      </c>
      <c r="H100" s="82" t="str">
        <f>VLOOKUP(G100,MetaData!$A$2:$C$13,3,false)</f>
        <v>Syamsi Jawawi, S.Pd</v>
      </c>
      <c r="I100" s="82" t="s">
        <v>696</v>
      </c>
      <c r="J100" s="82" t="str">
        <f>VLOOKUP(I100,MetaData!$E$2:$G$40,3,false)</f>
        <v>Hanin</v>
      </c>
      <c r="K100" s="83"/>
    </row>
    <row r="101" ht="15.75" customHeight="1">
      <c r="A101" s="76">
        <v>115.0</v>
      </c>
      <c r="B101" s="77">
        <v>14.0</v>
      </c>
      <c r="C101" s="77" t="s">
        <v>881</v>
      </c>
      <c r="D101" s="77">
        <v>2.52610158E8</v>
      </c>
      <c r="E101" s="78" t="s">
        <v>705</v>
      </c>
      <c r="F101" s="77" t="s">
        <v>784</v>
      </c>
      <c r="G101" s="79" t="s">
        <v>29</v>
      </c>
      <c r="H101" s="79" t="str">
        <f>VLOOKUP(G101,MetaData!$A$2:$C$13,3,false)</f>
        <v>Syamsi Jawawi, S.Pd</v>
      </c>
      <c r="I101" s="79" t="s">
        <v>696</v>
      </c>
      <c r="J101" s="79" t="str">
        <f>VLOOKUP(I101,MetaData!$E$2:$G$40,3,false)</f>
        <v>Hanin</v>
      </c>
      <c r="K101" s="80"/>
    </row>
    <row r="102" ht="15.75" customHeight="1">
      <c r="A102" s="81">
        <v>116.0</v>
      </c>
      <c r="B102" s="77">
        <v>15.0</v>
      </c>
      <c r="C102" s="77" t="s">
        <v>882</v>
      </c>
      <c r="D102" s="77">
        <v>2.52610187E8</v>
      </c>
      <c r="E102" s="78" t="s">
        <v>706</v>
      </c>
      <c r="F102" s="77" t="s">
        <v>784</v>
      </c>
      <c r="G102" s="82" t="s">
        <v>29</v>
      </c>
      <c r="H102" s="82" t="str">
        <f>VLOOKUP(G102,MetaData!$A$2:$C$13,3,false)</f>
        <v>Syamsi Jawawi, S.Pd</v>
      </c>
      <c r="I102" s="82" t="s">
        <v>696</v>
      </c>
      <c r="J102" s="82" t="str">
        <f>VLOOKUP(I102,MetaData!$E$2:$G$40,3,false)</f>
        <v>Hanin</v>
      </c>
      <c r="K102" s="83"/>
    </row>
    <row r="103" ht="15.75" customHeight="1">
      <c r="A103" s="76">
        <v>117.0</v>
      </c>
      <c r="B103" s="77">
        <v>16.0</v>
      </c>
      <c r="C103" s="77" t="s">
        <v>883</v>
      </c>
      <c r="D103" s="77">
        <v>2.5261019E8</v>
      </c>
      <c r="E103" s="78" t="s">
        <v>336</v>
      </c>
      <c r="F103" s="77" t="s">
        <v>782</v>
      </c>
      <c r="G103" s="79" t="s">
        <v>29</v>
      </c>
      <c r="H103" s="79" t="str">
        <f>VLOOKUP(G103,MetaData!$A$2:$C$13,3,false)</f>
        <v>Syamsi Jawawi, S.Pd</v>
      </c>
      <c r="I103" s="79" t="s">
        <v>330</v>
      </c>
      <c r="J103" s="79" t="str">
        <f>VLOOKUP(I103,MetaData!$E$2:$G$40,3,false)</f>
        <v>Angga</v>
      </c>
      <c r="K103" s="80"/>
    </row>
    <row r="104" ht="15.75" customHeight="1">
      <c r="A104" s="81">
        <v>118.0</v>
      </c>
      <c r="B104" s="77">
        <v>17.0</v>
      </c>
      <c r="C104" s="77" t="s">
        <v>884</v>
      </c>
      <c r="D104" s="77">
        <v>2.52610201E8</v>
      </c>
      <c r="E104" s="78" t="s">
        <v>337</v>
      </c>
      <c r="F104" s="77" t="s">
        <v>782</v>
      </c>
      <c r="G104" s="82" t="s">
        <v>29</v>
      </c>
      <c r="H104" s="82" t="str">
        <f>VLOOKUP(G104,MetaData!$A$2:$C$13,3,false)</f>
        <v>Syamsi Jawawi, S.Pd</v>
      </c>
      <c r="I104" s="82" t="s">
        <v>330</v>
      </c>
      <c r="J104" s="82" t="str">
        <f>VLOOKUP(I104,MetaData!$E$2:$G$40,3,false)</f>
        <v>Angga</v>
      </c>
      <c r="K104" s="83"/>
    </row>
    <row r="105" ht="15.75" customHeight="1">
      <c r="A105" s="76">
        <v>119.0</v>
      </c>
      <c r="B105" s="77">
        <v>18.0</v>
      </c>
      <c r="C105" s="77" t="s">
        <v>885</v>
      </c>
      <c r="D105" s="77">
        <v>2.52610204E8</v>
      </c>
      <c r="E105" s="78" t="s">
        <v>707</v>
      </c>
      <c r="F105" s="77" t="s">
        <v>784</v>
      </c>
      <c r="G105" s="79" t="s">
        <v>29</v>
      </c>
      <c r="H105" s="79" t="str">
        <f>VLOOKUP(G105,MetaData!$A$2:$C$13,3,false)</f>
        <v>Syamsi Jawawi, S.Pd</v>
      </c>
      <c r="I105" s="79" t="s">
        <v>696</v>
      </c>
      <c r="J105" s="79" t="str">
        <f>VLOOKUP(I105,MetaData!$E$2:$G$40,3,false)</f>
        <v>Hanin</v>
      </c>
      <c r="K105" s="80"/>
    </row>
    <row r="106" ht="15.75" customHeight="1">
      <c r="A106" s="81">
        <v>120.0</v>
      </c>
      <c r="B106" s="77">
        <v>22.0</v>
      </c>
      <c r="C106" s="77" t="s">
        <v>886</v>
      </c>
      <c r="D106" s="77">
        <v>2.52610237E8</v>
      </c>
      <c r="E106" s="78" t="s">
        <v>338</v>
      </c>
      <c r="F106" s="77" t="s">
        <v>782</v>
      </c>
      <c r="G106" s="82" t="s">
        <v>29</v>
      </c>
      <c r="H106" s="82" t="str">
        <f>VLOOKUP(G106,MetaData!$A$2:$C$13,3,false)</f>
        <v>Syamsi Jawawi, S.Pd</v>
      </c>
      <c r="I106" s="82" t="s">
        <v>330</v>
      </c>
      <c r="J106" s="82" t="str">
        <f>VLOOKUP(I106,MetaData!$E$2:$G$40,3,false)</f>
        <v>Angga</v>
      </c>
      <c r="K106" s="83"/>
    </row>
    <row r="107" ht="15.75" customHeight="1">
      <c r="A107" s="76">
        <v>121.0</v>
      </c>
      <c r="B107" s="77">
        <v>23.0</v>
      </c>
      <c r="C107" s="77" t="s">
        <v>887</v>
      </c>
      <c r="D107" s="77">
        <v>2.52610259E8</v>
      </c>
      <c r="E107" s="78" t="s">
        <v>708</v>
      </c>
      <c r="F107" s="77" t="s">
        <v>784</v>
      </c>
      <c r="G107" s="79" t="s">
        <v>29</v>
      </c>
      <c r="H107" s="79" t="str">
        <f>VLOOKUP(G107,MetaData!$A$2:$C$13,3,false)</f>
        <v>Syamsi Jawawi, S.Pd</v>
      </c>
      <c r="I107" s="79" t="s">
        <v>696</v>
      </c>
      <c r="J107" s="79" t="str">
        <f>VLOOKUP(I107,MetaData!$E$2:$G$40,3,false)</f>
        <v>Hanin</v>
      </c>
      <c r="K107" s="80"/>
    </row>
    <row r="108" ht="15.75" customHeight="1">
      <c r="A108" s="81">
        <v>122.0</v>
      </c>
      <c r="B108" s="77">
        <v>25.0</v>
      </c>
      <c r="C108" s="77" t="s">
        <v>888</v>
      </c>
      <c r="D108" s="77">
        <v>2.52610276E8</v>
      </c>
      <c r="E108" s="78" t="s">
        <v>709</v>
      </c>
      <c r="F108" s="77" t="s">
        <v>784</v>
      </c>
      <c r="G108" s="82" t="s">
        <v>29</v>
      </c>
      <c r="H108" s="82" t="str">
        <f>VLOOKUP(G108,MetaData!$A$2:$C$13,3,false)</f>
        <v>Syamsi Jawawi, S.Pd</v>
      </c>
      <c r="I108" s="82" t="s">
        <v>696</v>
      </c>
      <c r="J108" s="82" t="str">
        <f>VLOOKUP(I108,MetaData!$E$2:$G$40,3,false)</f>
        <v>Hanin</v>
      </c>
      <c r="K108" s="83"/>
    </row>
    <row r="109" ht="15.75" customHeight="1">
      <c r="A109" s="76">
        <v>123.0</v>
      </c>
      <c r="B109" s="77">
        <v>26.0</v>
      </c>
      <c r="C109" s="77" t="s">
        <v>889</v>
      </c>
      <c r="D109" s="77">
        <v>2.52610278E8</v>
      </c>
      <c r="E109" s="78" t="s">
        <v>339</v>
      </c>
      <c r="F109" s="77" t="s">
        <v>782</v>
      </c>
      <c r="G109" s="79" t="s">
        <v>29</v>
      </c>
      <c r="H109" s="79" t="str">
        <f>VLOOKUP(G109,MetaData!$A$2:$C$13,3,false)</f>
        <v>Syamsi Jawawi, S.Pd</v>
      </c>
      <c r="I109" s="79" t="s">
        <v>330</v>
      </c>
      <c r="J109" s="79" t="str">
        <f>VLOOKUP(I109,MetaData!$E$2:$G$40,3,false)</f>
        <v>Angga</v>
      </c>
      <c r="K109" s="80"/>
    </row>
    <row r="110" ht="15.75" customHeight="1">
      <c r="A110" s="81">
        <v>124.0</v>
      </c>
      <c r="B110" s="77">
        <v>27.0</v>
      </c>
      <c r="C110" s="77" t="s">
        <v>890</v>
      </c>
      <c r="D110" s="77">
        <v>2.52610287E8</v>
      </c>
      <c r="E110" s="78" t="s">
        <v>540</v>
      </c>
      <c r="F110" s="77" t="s">
        <v>784</v>
      </c>
      <c r="G110" s="82" t="s">
        <v>29</v>
      </c>
      <c r="H110" s="82" t="str">
        <f>VLOOKUP(G110,MetaData!$A$2:$C$13,3,false)</f>
        <v>Syamsi Jawawi, S.Pd</v>
      </c>
      <c r="I110" s="82" t="s">
        <v>538</v>
      </c>
      <c r="J110" s="82" t="str">
        <f>VLOOKUP(I110,MetaData!$E$2:$G$40,3,false)</f>
        <v>Zhafira (XI)</v>
      </c>
      <c r="K110" s="83"/>
    </row>
    <row r="111" ht="15.75" customHeight="1">
      <c r="A111" s="76">
        <v>125.0</v>
      </c>
      <c r="B111" s="77">
        <v>29.0</v>
      </c>
      <c r="C111" s="77" t="s">
        <v>891</v>
      </c>
      <c r="D111" s="77">
        <v>2.52610301E8</v>
      </c>
      <c r="E111" s="78" t="s">
        <v>541</v>
      </c>
      <c r="F111" s="77" t="s">
        <v>784</v>
      </c>
      <c r="G111" s="79" t="s">
        <v>29</v>
      </c>
      <c r="H111" s="79" t="str">
        <f>VLOOKUP(G111,MetaData!$A$2:$C$13,3,false)</f>
        <v>Syamsi Jawawi, S.Pd</v>
      </c>
      <c r="I111" s="79" t="s">
        <v>538</v>
      </c>
      <c r="J111" s="79" t="str">
        <f>VLOOKUP(I111,MetaData!$E$2:$G$40,3,false)</f>
        <v>Zhafira (XI)</v>
      </c>
      <c r="K111" s="80"/>
    </row>
    <row r="112" ht="15.75" customHeight="1">
      <c r="A112" s="81">
        <v>126.0</v>
      </c>
      <c r="B112" s="77">
        <v>32.0</v>
      </c>
      <c r="C112" s="77" t="s">
        <v>892</v>
      </c>
      <c r="D112" s="77">
        <v>2.52610381E8</v>
      </c>
      <c r="E112" s="78" t="s">
        <v>340</v>
      </c>
      <c r="F112" s="77" t="s">
        <v>782</v>
      </c>
      <c r="G112" s="82" t="s">
        <v>29</v>
      </c>
      <c r="H112" s="82" t="str">
        <f>VLOOKUP(G112,MetaData!$A$2:$C$13,3,false)</f>
        <v>Syamsi Jawawi, S.Pd</v>
      </c>
      <c r="I112" s="82" t="s">
        <v>330</v>
      </c>
      <c r="J112" s="82" t="str">
        <f>VLOOKUP(I112,MetaData!$E$2:$G$40,3,false)</f>
        <v>Angga</v>
      </c>
      <c r="K112" s="83"/>
    </row>
    <row r="113" ht="15.75" customHeight="1">
      <c r="A113" s="76">
        <v>127.0</v>
      </c>
      <c r="B113" s="77">
        <v>33.0</v>
      </c>
      <c r="C113" s="77" t="s">
        <v>893</v>
      </c>
      <c r="D113" s="77">
        <v>2.52610386E8</v>
      </c>
      <c r="E113" s="78" t="s">
        <v>542</v>
      </c>
      <c r="F113" s="77" t="s">
        <v>784</v>
      </c>
      <c r="G113" s="79" t="s">
        <v>29</v>
      </c>
      <c r="H113" s="79" t="str">
        <f>VLOOKUP(G113,MetaData!$A$2:$C$13,3,false)</f>
        <v>Syamsi Jawawi, S.Pd</v>
      </c>
      <c r="I113" s="79" t="s">
        <v>538</v>
      </c>
      <c r="J113" s="79" t="str">
        <f>VLOOKUP(I113,MetaData!$E$2:$G$40,3,false)</f>
        <v>Zhafira (XI)</v>
      </c>
      <c r="K113" s="80"/>
    </row>
    <row r="114" ht="15.75" customHeight="1">
      <c r="A114" s="81">
        <v>128.0</v>
      </c>
      <c r="B114" s="77">
        <v>34.0</v>
      </c>
      <c r="C114" s="77" t="s">
        <v>894</v>
      </c>
      <c r="D114" s="77">
        <v>2.52610415E8</v>
      </c>
      <c r="E114" s="78" t="s">
        <v>543</v>
      </c>
      <c r="F114" s="77" t="s">
        <v>784</v>
      </c>
      <c r="G114" s="82" t="s">
        <v>29</v>
      </c>
      <c r="H114" s="82" t="str">
        <f>VLOOKUP(G114,MetaData!$A$2:$C$13,3,false)</f>
        <v>Syamsi Jawawi, S.Pd</v>
      </c>
      <c r="I114" s="82" t="s">
        <v>538</v>
      </c>
      <c r="J114" s="82" t="str">
        <f>VLOOKUP(I114,MetaData!$E$2:$G$40,3,false)</f>
        <v>Zhafira (XI)</v>
      </c>
      <c r="K114" s="83"/>
    </row>
    <row r="115" ht="15.75" customHeight="1">
      <c r="A115" s="76">
        <v>129.0</v>
      </c>
      <c r="B115" s="77">
        <v>35.0</v>
      </c>
      <c r="C115" s="77" t="s">
        <v>895</v>
      </c>
      <c r="D115" s="77">
        <v>2.52610422E8</v>
      </c>
      <c r="E115" s="78" t="s">
        <v>341</v>
      </c>
      <c r="F115" s="77" t="s">
        <v>782</v>
      </c>
      <c r="G115" s="79" t="s">
        <v>29</v>
      </c>
      <c r="H115" s="79" t="str">
        <f>VLOOKUP(G115,MetaData!$A$2:$C$13,3,false)</f>
        <v>Syamsi Jawawi, S.Pd</v>
      </c>
      <c r="I115" s="79" t="s">
        <v>330</v>
      </c>
      <c r="J115" s="79" t="str">
        <f>VLOOKUP(I115,MetaData!$E$2:$G$40,3,false)</f>
        <v>Angga</v>
      </c>
      <c r="K115" s="80"/>
    </row>
    <row r="116" ht="15.75" customHeight="1">
      <c r="A116" s="81">
        <v>130.0</v>
      </c>
      <c r="B116" s="77">
        <v>36.0</v>
      </c>
      <c r="C116" s="77" t="s">
        <v>896</v>
      </c>
      <c r="D116" s="77">
        <v>2.52610426E8</v>
      </c>
      <c r="E116" s="78" t="s">
        <v>544</v>
      </c>
      <c r="F116" s="77" t="s">
        <v>784</v>
      </c>
      <c r="G116" s="82" t="s">
        <v>29</v>
      </c>
      <c r="H116" s="82" t="str">
        <f>VLOOKUP(G116,MetaData!$A$2:$C$13,3,false)</f>
        <v>Syamsi Jawawi, S.Pd</v>
      </c>
      <c r="I116" s="82" t="s">
        <v>538</v>
      </c>
      <c r="J116" s="82" t="str">
        <f>VLOOKUP(I116,MetaData!$E$2:$G$40,3,false)</f>
        <v>Zhafira (XI)</v>
      </c>
      <c r="K116" s="83"/>
    </row>
    <row r="117" ht="15.75" customHeight="1">
      <c r="A117" s="76">
        <v>131.0</v>
      </c>
      <c r="B117" s="77">
        <v>37.0</v>
      </c>
      <c r="C117" s="77" t="s">
        <v>897</v>
      </c>
      <c r="D117" s="77">
        <v>2.52610432E8</v>
      </c>
      <c r="E117" s="78" t="s">
        <v>342</v>
      </c>
      <c r="F117" s="77" t="s">
        <v>782</v>
      </c>
      <c r="G117" s="79" t="s">
        <v>29</v>
      </c>
      <c r="H117" s="79" t="str">
        <f>VLOOKUP(G117,MetaData!$A$2:$C$13,3,false)</f>
        <v>Syamsi Jawawi, S.Pd</v>
      </c>
      <c r="I117" s="79" t="s">
        <v>330</v>
      </c>
      <c r="J117" s="79" t="str">
        <f>VLOOKUP(I117,MetaData!$E$2:$G$40,3,false)</f>
        <v>Angga</v>
      </c>
      <c r="K117" s="80"/>
    </row>
    <row r="118" ht="15.75" customHeight="1">
      <c r="A118" s="81">
        <v>132.0</v>
      </c>
      <c r="B118" s="77">
        <v>38.0</v>
      </c>
      <c r="C118" s="77" t="s">
        <v>898</v>
      </c>
      <c r="D118" s="77">
        <v>2.52610438E8</v>
      </c>
      <c r="E118" s="78" t="s">
        <v>545</v>
      </c>
      <c r="F118" s="77" t="s">
        <v>784</v>
      </c>
      <c r="G118" s="82" t="s">
        <v>29</v>
      </c>
      <c r="H118" s="82" t="str">
        <f>VLOOKUP(G118,MetaData!$A$2:$C$13,3,false)</f>
        <v>Syamsi Jawawi, S.Pd</v>
      </c>
      <c r="I118" s="82" t="s">
        <v>538</v>
      </c>
      <c r="J118" s="82" t="str">
        <f>VLOOKUP(I118,MetaData!$E$2:$G$40,3,false)</f>
        <v>Zhafira (XI)</v>
      </c>
      <c r="K118" s="83"/>
    </row>
    <row r="119" ht="15.75" customHeight="1">
      <c r="A119" s="76">
        <v>133.0</v>
      </c>
      <c r="B119" s="77">
        <v>39.0</v>
      </c>
      <c r="C119" s="77" t="s">
        <v>899</v>
      </c>
      <c r="D119" s="77">
        <v>2.52610439E8</v>
      </c>
      <c r="E119" s="78" t="s">
        <v>546</v>
      </c>
      <c r="F119" s="77" t="s">
        <v>784</v>
      </c>
      <c r="G119" s="79" t="s">
        <v>29</v>
      </c>
      <c r="H119" s="79" t="str">
        <f>VLOOKUP(G119,MetaData!$A$2:$C$13,3,false)</f>
        <v>Syamsi Jawawi, S.Pd</v>
      </c>
      <c r="I119" s="79" t="s">
        <v>538</v>
      </c>
      <c r="J119" s="79" t="str">
        <f>VLOOKUP(I119,MetaData!$E$2:$G$40,3,false)</f>
        <v>Zhafira (XI)</v>
      </c>
      <c r="K119" s="80"/>
    </row>
    <row r="120" ht="15.75" customHeight="1">
      <c r="A120" s="81">
        <v>134.0</v>
      </c>
      <c r="B120" s="77">
        <v>40.0</v>
      </c>
      <c r="C120" s="77" t="s">
        <v>900</v>
      </c>
      <c r="D120" s="77">
        <v>2.52610461E8</v>
      </c>
      <c r="E120" s="78" t="s">
        <v>547</v>
      </c>
      <c r="F120" s="77" t="s">
        <v>784</v>
      </c>
      <c r="G120" s="82" t="s">
        <v>29</v>
      </c>
      <c r="H120" s="82" t="str">
        <f>VLOOKUP(G120,MetaData!$A$2:$C$13,3,false)</f>
        <v>Syamsi Jawawi, S.Pd</v>
      </c>
      <c r="I120" s="82" t="s">
        <v>538</v>
      </c>
      <c r="J120" s="82" t="str">
        <f>VLOOKUP(I120,MetaData!$E$2:$G$40,3,false)</f>
        <v>Zhafira (XI)</v>
      </c>
      <c r="K120" s="83"/>
    </row>
    <row r="121" ht="15.75" customHeight="1">
      <c r="A121" s="76">
        <v>135.0</v>
      </c>
      <c r="B121" s="77">
        <v>41.0</v>
      </c>
      <c r="C121" s="77" t="s">
        <v>901</v>
      </c>
      <c r="D121" s="77">
        <v>2.52610485E8</v>
      </c>
      <c r="E121" s="78" t="s">
        <v>343</v>
      </c>
      <c r="F121" s="77" t="s">
        <v>782</v>
      </c>
      <c r="G121" s="79" t="s">
        <v>29</v>
      </c>
      <c r="H121" s="79" t="str">
        <f>VLOOKUP(G121,MetaData!$A$2:$C$13,3,false)</f>
        <v>Syamsi Jawawi, S.Pd</v>
      </c>
      <c r="I121" s="79" t="s">
        <v>330</v>
      </c>
      <c r="J121" s="79" t="str">
        <f>VLOOKUP(I121,MetaData!$E$2:$G$40,3,false)</f>
        <v>Angga</v>
      </c>
      <c r="K121" s="80"/>
    </row>
    <row r="122" ht="15.75" customHeight="1">
      <c r="A122" s="81">
        <v>136.0</v>
      </c>
      <c r="B122" s="77">
        <v>42.0</v>
      </c>
      <c r="C122" s="77" t="s">
        <v>902</v>
      </c>
      <c r="D122" s="77">
        <v>2.52610501E8</v>
      </c>
      <c r="E122" s="78" t="s">
        <v>548</v>
      </c>
      <c r="F122" s="77" t="s">
        <v>784</v>
      </c>
      <c r="G122" s="82" t="s">
        <v>29</v>
      </c>
      <c r="H122" s="82" t="str">
        <f>VLOOKUP(G122,MetaData!$A$2:$C$13,3,false)</f>
        <v>Syamsi Jawawi, S.Pd</v>
      </c>
      <c r="I122" s="82" t="s">
        <v>538</v>
      </c>
      <c r="J122" s="82" t="str">
        <f>VLOOKUP(I122,MetaData!$E$2:$G$40,3,false)</f>
        <v>Zhafira (XI)</v>
      </c>
      <c r="K122" s="83"/>
    </row>
    <row r="123" ht="15.75" customHeight="1">
      <c r="A123" s="76">
        <v>137.0</v>
      </c>
      <c r="B123" s="77">
        <v>43.0</v>
      </c>
      <c r="C123" s="77" t="s">
        <v>903</v>
      </c>
      <c r="D123" s="77">
        <v>2.5261052E8</v>
      </c>
      <c r="E123" s="78" t="s">
        <v>549</v>
      </c>
      <c r="F123" s="77" t="s">
        <v>784</v>
      </c>
      <c r="G123" s="79" t="s">
        <v>29</v>
      </c>
      <c r="H123" s="79" t="str">
        <f>VLOOKUP(G123,MetaData!$A$2:$C$13,3,false)</f>
        <v>Syamsi Jawawi, S.Pd</v>
      </c>
      <c r="I123" s="79" t="s">
        <v>538</v>
      </c>
      <c r="J123" s="79" t="str">
        <f>VLOOKUP(I123,MetaData!$E$2:$G$40,3,false)</f>
        <v>Zhafira (XI)</v>
      </c>
      <c r="K123" s="80"/>
    </row>
    <row r="124" ht="15.75" customHeight="1">
      <c r="A124" s="81">
        <v>138.0</v>
      </c>
      <c r="B124" s="77">
        <v>44.0</v>
      </c>
      <c r="C124" s="77" t="s">
        <v>904</v>
      </c>
      <c r="D124" s="77">
        <v>2.52610555E8</v>
      </c>
      <c r="E124" s="78" t="s">
        <v>550</v>
      </c>
      <c r="F124" s="77" t="s">
        <v>784</v>
      </c>
      <c r="G124" s="82" t="s">
        <v>29</v>
      </c>
      <c r="H124" s="82" t="str">
        <f>VLOOKUP(G124,MetaData!$A$2:$C$13,3,false)</f>
        <v>Syamsi Jawawi, S.Pd</v>
      </c>
      <c r="I124" s="82" t="s">
        <v>538</v>
      </c>
      <c r="J124" s="82" t="str">
        <f>VLOOKUP(I124,MetaData!$E$2:$G$40,3,false)</f>
        <v>Zhafira (XI)</v>
      </c>
      <c r="K124" s="83"/>
    </row>
    <row r="125" ht="15.75" customHeight="1">
      <c r="A125" s="76">
        <v>139.0</v>
      </c>
      <c r="B125" s="77">
        <v>45.0</v>
      </c>
      <c r="C125" s="77" t="s">
        <v>905</v>
      </c>
      <c r="D125" s="77">
        <v>2.52610556E8</v>
      </c>
      <c r="E125" s="78" t="s">
        <v>551</v>
      </c>
      <c r="F125" s="77" t="s">
        <v>784</v>
      </c>
      <c r="G125" s="79" t="s">
        <v>29</v>
      </c>
      <c r="H125" s="79" t="str">
        <f>VLOOKUP(G125,MetaData!$A$2:$C$13,3,false)</f>
        <v>Syamsi Jawawi, S.Pd</v>
      </c>
      <c r="I125" s="79" t="s">
        <v>538</v>
      </c>
      <c r="J125" s="79" t="str">
        <f>VLOOKUP(I125,MetaData!$E$2:$G$40,3,false)</f>
        <v>Zhafira (XI)</v>
      </c>
      <c r="K125" s="80"/>
    </row>
    <row r="126" ht="15.75" customHeight="1">
      <c r="A126" s="81">
        <v>140.0</v>
      </c>
      <c r="B126" s="77">
        <v>46.0</v>
      </c>
      <c r="C126" s="77" t="s">
        <v>906</v>
      </c>
      <c r="D126" s="77">
        <v>2.52610247E8</v>
      </c>
      <c r="E126" s="78" t="s">
        <v>539</v>
      </c>
      <c r="F126" s="77" t="s">
        <v>784</v>
      </c>
      <c r="G126" s="82" t="s">
        <v>29</v>
      </c>
      <c r="H126" s="82" t="str">
        <f>VLOOKUP(G126,MetaData!$A$2:$C$13,3,false)</f>
        <v>Syamsi Jawawi, S.Pd</v>
      </c>
      <c r="I126" s="82" t="s">
        <v>538</v>
      </c>
      <c r="J126" s="82" t="str">
        <f>VLOOKUP(I126,MetaData!$E$2:$G$40,3,false)</f>
        <v>Zhafira (XI)</v>
      </c>
      <c r="K126" s="83"/>
    </row>
    <row r="127" ht="15.75" customHeight="1">
      <c r="A127" s="84">
        <v>148.0</v>
      </c>
      <c r="B127" s="77">
        <v>1.0</v>
      </c>
      <c r="C127" s="77" t="s">
        <v>907</v>
      </c>
      <c r="D127" s="77">
        <v>2.52610016E8</v>
      </c>
      <c r="E127" s="78" t="s">
        <v>313</v>
      </c>
      <c r="F127" s="77" t="s">
        <v>782</v>
      </c>
      <c r="G127" s="79" t="s">
        <v>37</v>
      </c>
      <c r="H127" s="79" t="str">
        <f>VLOOKUP(G127,MetaData!$A$2:$C$13,3,false)</f>
        <v>Dwi Lestari, S.Pd</v>
      </c>
      <c r="I127" s="79" t="s">
        <v>312</v>
      </c>
      <c r="J127" s="79" t="str">
        <f>VLOOKUP(I127,MetaData!$E$2:$G$40,3,false)</f>
        <v>Rizky Putra</v>
      </c>
      <c r="K127" s="80"/>
    </row>
    <row r="128" ht="15.75" customHeight="1">
      <c r="A128" s="85">
        <v>149.0</v>
      </c>
      <c r="B128" s="77">
        <v>2.0</v>
      </c>
      <c r="C128" s="77" t="s">
        <v>908</v>
      </c>
      <c r="D128" s="77">
        <v>2.52610018E8</v>
      </c>
      <c r="E128" s="78" t="s">
        <v>314</v>
      </c>
      <c r="F128" s="77" t="s">
        <v>782</v>
      </c>
      <c r="G128" s="82" t="s">
        <v>37</v>
      </c>
      <c r="H128" s="82" t="str">
        <f>VLOOKUP(G128,MetaData!$A$2:$C$13,3,false)</f>
        <v>Dwi Lestari, S.Pd</v>
      </c>
      <c r="I128" s="82" t="s">
        <v>312</v>
      </c>
      <c r="J128" s="82" t="str">
        <f>VLOOKUP(I128,MetaData!$E$2:$G$40,3,false)</f>
        <v>Rizky Putra</v>
      </c>
      <c r="K128" s="83"/>
    </row>
    <row r="129" ht="15.75" customHeight="1">
      <c r="A129" s="84">
        <v>150.0</v>
      </c>
      <c r="B129" s="77">
        <v>3.0</v>
      </c>
      <c r="C129" s="77" t="s">
        <v>909</v>
      </c>
      <c r="D129" s="77">
        <v>2.52610038E8</v>
      </c>
      <c r="E129" s="78" t="s">
        <v>315</v>
      </c>
      <c r="F129" s="77" t="s">
        <v>782</v>
      </c>
      <c r="G129" s="79" t="s">
        <v>37</v>
      </c>
      <c r="H129" s="79" t="str">
        <f>VLOOKUP(G129,MetaData!$A$2:$C$13,3,false)</f>
        <v>Dwi Lestari, S.Pd</v>
      </c>
      <c r="I129" s="79" t="s">
        <v>312</v>
      </c>
      <c r="J129" s="79" t="str">
        <f>VLOOKUP(I129,MetaData!$E$2:$G$40,3,false)</f>
        <v>Rizky Putra</v>
      </c>
      <c r="K129" s="80"/>
    </row>
    <row r="130" ht="15.75" customHeight="1">
      <c r="A130" s="85">
        <v>151.0</v>
      </c>
      <c r="B130" s="77">
        <v>4.0</v>
      </c>
      <c r="C130" s="77" t="s">
        <v>910</v>
      </c>
      <c r="D130" s="77">
        <v>2.52610045E8</v>
      </c>
      <c r="E130" s="78" t="s">
        <v>684</v>
      </c>
      <c r="F130" s="77" t="s">
        <v>784</v>
      </c>
      <c r="G130" s="82" t="s">
        <v>37</v>
      </c>
      <c r="H130" s="82" t="str">
        <f>VLOOKUP(G130,MetaData!$A$2:$C$13,3,false)</f>
        <v>Dwi Lestari, S.Pd</v>
      </c>
      <c r="I130" s="82" t="s">
        <v>683</v>
      </c>
      <c r="J130" s="82" t="str">
        <f>VLOOKUP(I130,MetaData!$E$2:$G$40,3,false)</f>
        <v>Najla</v>
      </c>
      <c r="K130" s="83"/>
    </row>
    <row r="131" ht="15.75" customHeight="1">
      <c r="A131" s="84">
        <v>152.0</v>
      </c>
      <c r="B131" s="77">
        <v>5.0</v>
      </c>
      <c r="C131" s="77" t="s">
        <v>911</v>
      </c>
      <c r="D131" s="77">
        <v>2.52610049E8</v>
      </c>
      <c r="E131" s="78" t="s">
        <v>685</v>
      </c>
      <c r="F131" s="77" t="s">
        <v>784</v>
      </c>
      <c r="G131" s="79" t="s">
        <v>37</v>
      </c>
      <c r="H131" s="79" t="str">
        <f>VLOOKUP(G131,MetaData!$A$2:$C$13,3,false)</f>
        <v>Dwi Lestari, S.Pd</v>
      </c>
      <c r="I131" s="79" t="s">
        <v>683</v>
      </c>
      <c r="J131" s="79" t="str">
        <f>VLOOKUP(I131,MetaData!$E$2:$G$40,3,false)</f>
        <v>Najla</v>
      </c>
      <c r="K131" s="80"/>
    </row>
    <row r="132" ht="15.75" customHeight="1">
      <c r="A132" s="85">
        <v>153.0</v>
      </c>
      <c r="B132" s="77">
        <v>6.0</v>
      </c>
      <c r="C132" s="77" t="s">
        <v>912</v>
      </c>
      <c r="D132" s="77">
        <v>2.52610056E8</v>
      </c>
      <c r="E132" s="78" t="s">
        <v>432</v>
      </c>
      <c r="F132" s="77" t="s">
        <v>784</v>
      </c>
      <c r="G132" s="82" t="s">
        <v>37</v>
      </c>
      <c r="H132" s="82" t="str">
        <f>VLOOKUP(G132,MetaData!$A$2:$C$13,3,false)</f>
        <v>Dwi Lestari, S.Pd</v>
      </c>
      <c r="I132" s="82" t="s">
        <v>428</v>
      </c>
      <c r="J132" s="82" t="str">
        <f>VLOOKUP(I132,MetaData!$E$2:$G$40,3,false)</f>
        <v>Iga</v>
      </c>
      <c r="K132" s="83"/>
    </row>
    <row r="133" ht="15.75" customHeight="1">
      <c r="A133" s="84">
        <v>154.0</v>
      </c>
      <c r="B133" s="77">
        <v>7.0</v>
      </c>
      <c r="C133" s="77" t="s">
        <v>913</v>
      </c>
      <c r="D133" s="77">
        <v>2.52610069E8</v>
      </c>
      <c r="E133" s="78" t="s">
        <v>686</v>
      </c>
      <c r="F133" s="77" t="s">
        <v>784</v>
      </c>
      <c r="G133" s="79" t="s">
        <v>37</v>
      </c>
      <c r="H133" s="79" t="str">
        <f>VLOOKUP(G133,MetaData!$A$2:$C$13,3,false)</f>
        <v>Dwi Lestari, S.Pd</v>
      </c>
      <c r="I133" s="79" t="s">
        <v>683</v>
      </c>
      <c r="J133" s="79" t="str">
        <f>VLOOKUP(I133,MetaData!$E$2:$G$40,3,false)</f>
        <v>Najla</v>
      </c>
      <c r="K133" s="80"/>
    </row>
    <row r="134" ht="15.75" customHeight="1">
      <c r="A134" s="85">
        <v>155.0</v>
      </c>
      <c r="B134" s="77">
        <v>8.0</v>
      </c>
      <c r="C134" s="77" t="s">
        <v>914</v>
      </c>
      <c r="D134" s="77">
        <v>2.52610074E8</v>
      </c>
      <c r="E134" s="78" t="s">
        <v>687</v>
      </c>
      <c r="F134" s="77" t="s">
        <v>784</v>
      </c>
      <c r="G134" s="82" t="s">
        <v>37</v>
      </c>
      <c r="H134" s="82" t="str">
        <f>VLOOKUP(G134,MetaData!$A$2:$C$13,3,false)</f>
        <v>Dwi Lestari, S.Pd</v>
      </c>
      <c r="I134" s="82" t="s">
        <v>683</v>
      </c>
      <c r="J134" s="82" t="str">
        <f>VLOOKUP(I134,MetaData!$E$2:$G$40,3,false)</f>
        <v>Najla</v>
      </c>
      <c r="K134" s="83"/>
    </row>
    <row r="135" ht="15.75" customHeight="1">
      <c r="A135" s="84">
        <v>156.0</v>
      </c>
      <c r="B135" s="77">
        <v>9.0</v>
      </c>
      <c r="C135" s="77" t="s">
        <v>915</v>
      </c>
      <c r="D135" s="77">
        <v>2.52610132E8</v>
      </c>
      <c r="E135" s="78" t="s">
        <v>688</v>
      </c>
      <c r="F135" s="77" t="s">
        <v>784</v>
      </c>
      <c r="G135" s="79" t="s">
        <v>37</v>
      </c>
      <c r="H135" s="79" t="str">
        <f>VLOOKUP(G135,MetaData!$A$2:$C$13,3,false)</f>
        <v>Dwi Lestari, S.Pd</v>
      </c>
      <c r="I135" s="79" t="s">
        <v>683</v>
      </c>
      <c r="J135" s="79" t="str">
        <f>VLOOKUP(I135,MetaData!$E$2:$G$40,3,false)</f>
        <v>Najla</v>
      </c>
      <c r="K135" s="80"/>
    </row>
    <row r="136" ht="15.75" customHeight="1">
      <c r="A136" s="85">
        <v>157.0</v>
      </c>
      <c r="B136" s="77">
        <v>10.0</v>
      </c>
      <c r="C136" s="77" t="s">
        <v>916</v>
      </c>
      <c r="D136" s="77">
        <v>2.52610155E8</v>
      </c>
      <c r="E136" s="78" t="s">
        <v>689</v>
      </c>
      <c r="F136" s="77" t="s">
        <v>784</v>
      </c>
      <c r="G136" s="82" t="s">
        <v>37</v>
      </c>
      <c r="H136" s="82" t="str">
        <f>VLOOKUP(G136,MetaData!$A$2:$C$13,3,false)</f>
        <v>Dwi Lestari, S.Pd</v>
      </c>
      <c r="I136" s="82" t="s">
        <v>683</v>
      </c>
      <c r="J136" s="82" t="str">
        <f>VLOOKUP(I136,MetaData!$E$2:$G$40,3,false)</f>
        <v>Najla</v>
      </c>
      <c r="K136" s="83"/>
    </row>
    <row r="137" ht="15.75" customHeight="1">
      <c r="A137" s="84">
        <v>158.0</v>
      </c>
      <c r="B137" s="77">
        <v>11.0</v>
      </c>
      <c r="C137" s="77" t="s">
        <v>917</v>
      </c>
      <c r="D137" s="77">
        <v>2.52610162E8</v>
      </c>
      <c r="E137" s="78" t="s">
        <v>316</v>
      </c>
      <c r="F137" s="77" t="s">
        <v>782</v>
      </c>
      <c r="G137" s="79" t="s">
        <v>37</v>
      </c>
      <c r="H137" s="79" t="str">
        <f>VLOOKUP(G137,MetaData!$A$2:$C$13,3,false)</f>
        <v>Dwi Lestari, S.Pd</v>
      </c>
      <c r="I137" s="79" t="s">
        <v>312</v>
      </c>
      <c r="J137" s="79" t="str">
        <f>VLOOKUP(I137,MetaData!$E$2:$G$40,3,false)</f>
        <v>Rizky Putra</v>
      </c>
      <c r="K137" s="80"/>
    </row>
    <row r="138" ht="15.75" customHeight="1">
      <c r="A138" s="85">
        <v>159.0</v>
      </c>
      <c r="B138" s="77">
        <v>12.0</v>
      </c>
      <c r="C138" s="77" t="s">
        <v>918</v>
      </c>
      <c r="D138" s="77">
        <v>2.52610173E8</v>
      </c>
      <c r="E138" s="78" t="s">
        <v>690</v>
      </c>
      <c r="F138" s="77" t="s">
        <v>784</v>
      </c>
      <c r="G138" s="82" t="s">
        <v>37</v>
      </c>
      <c r="H138" s="82" t="str">
        <f>VLOOKUP(G138,MetaData!$A$2:$C$13,3,false)</f>
        <v>Dwi Lestari, S.Pd</v>
      </c>
      <c r="I138" s="82" t="s">
        <v>683</v>
      </c>
      <c r="J138" s="82" t="str">
        <f>VLOOKUP(I138,MetaData!$E$2:$G$40,3,false)</f>
        <v>Najla</v>
      </c>
      <c r="K138" s="83"/>
    </row>
    <row r="139" ht="15.75" customHeight="1">
      <c r="A139" s="84">
        <v>160.0</v>
      </c>
      <c r="B139" s="77">
        <v>13.0</v>
      </c>
      <c r="C139" s="77" t="s">
        <v>919</v>
      </c>
      <c r="D139" s="77">
        <v>2.52610183E8</v>
      </c>
      <c r="E139" s="78" t="s">
        <v>317</v>
      </c>
      <c r="F139" s="77" t="s">
        <v>782</v>
      </c>
      <c r="G139" s="79" t="s">
        <v>37</v>
      </c>
      <c r="H139" s="79" t="str">
        <f>VLOOKUP(G139,MetaData!$A$2:$C$13,3,false)</f>
        <v>Dwi Lestari, S.Pd</v>
      </c>
      <c r="I139" s="79" t="s">
        <v>312</v>
      </c>
      <c r="J139" s="79" t="str">
        <f>VLOOKUP(I139,MetaData!$E$2:$G$40,3,false)</f>
        <v>Rizky Putra</v>
      </c>
      <c r="K139" s="80"/>
    </row>
    <row r="140" ht="15.75" customHeight="1">
      <c r="A140" s="85">
        <v>161.0</v>
      </c>
      <c r="B140" s="77">
        <v>14.0</v>
      </c>
      <c r="C140" s="77" t="s">
        <v>920</v>
      </c>
      <c r="D140" s="77">
        <v>2.52610188E8</v>
      </c>
      <c r="E140" s="78" t="s">
        <v>318</v>
      </c>
      <c r="F140" s="77" t="s">
        <v>782</v>
      </c>
      <c r="G140" s="82" t="s">
        <v>37</v>
      </c>
      <c r="H140" s="82" t="str">
        <f>VLOOKUP(G140,MetaData!$A$2:$C$13,3,false)</f>
        <v>Dwi Lestari, S.Pd</v>
      </c>
      <c r="I140" s="82" t="s">
        <v>312</v>
      </c>
      <c r="J140" s="82" t="str">
        <f>VLOOKUP(I140,MetaData!$E$2:$G$40,3,false)</f>
        <v>Rizky Putra</v>
      </c>
      <c r="K140" s="83"/>
    </row>
    <row r="141" ht="15.75" customHeight="1">
      <c r="A141" s="84">
        <v>162.0</v>
      </c>
      <c r="B141" s="77">
        <v>15.0</v>
      </c>
      <c r="C141" s="77" t="s">
        <v>921</v>
      </c>
      <c r="D141" s="77">
        <v>2.52610191E8</v>
      </c>
      <c r="E141" s="78" t="s">
        <v>319</v>
      </c>
      <c r="F141" s="77" t="s">
        <v>782</v>
      </c>
      <c r="G141" s="79" t="s">
        <v>37</v>
      </c>
      <c r="H141" s="79" t="str">
        <f>VLOOKUP(G141,MetaData!$A$2:$C$13,3,false)</f>
        <v>Dwi Lestari, S.Pd</v>
      </c>
      <c r="I141" s="79" t="s">
        <v>312</v>
      </c>
      <c r="J141" s="79" t="str">
        <f>VLOOKUP(I141,MetaData!$E$2:$G$40,3,false)</f>
        <v>Rizky Putra</v>
      </c>
      <c r="K141" s="80"/>
    </row>
    <row r="142" ht="15.75" customHeight="1">
      <c r="A142" s="85">
        <v>163.0</v>
      </c>
      <c r="B142" s="77">
        <v>16.0</v>
      </c>
      <c r="C142" s="77" t="s">
        <v>922</v>
      </c>
      <c r="D142" s="77">
        <v>2.52610216E8</v>
      </c>
      <c r="E142" s="78" t="s">
        <v>691</v>
      </c>
      <c r="F142" s="77" t="s">
        <v>784</v>
      </c>
      <c r="G142" s="82" t="s">
        <v>37</v>
      </c>
      <c r="H142" s="82" t="str">
        <f>VLOOKUP(G142,MetaData!$A$2:$C$13,3,false)</f>
        <v>Dwi Lestari, S.Pd</v>
      </c>
      <c r="I142" s="82" t="s">
        <v>683</v>
      </c>
      <c r="J142" s="82" t="str">
        <f>VLOOKUP(I142,MetaData!$E$2:$G$40,3,false)</f>
        <v>Najla</v>
      </c>
      <c r="K142" s="83"/>
    </row>
    <row r="143" ht="15.75" customHeight="1">
      <c r="A143" s="84">
        <v>164.0</v>
      </c>
      <c r="B143" s="77">
        <v>17.0</v>
      </c>
      <c r="C143" s="77" t="s">
        <v>923</v>
      </c>
      <c r="D143" s="77">
        <v>2.52610233E8</v>
      </c>
      <c r="E143" s="78" t="s">
        <v>692</v>
      </c>
      <c r="F143" s="77" t="s">
        <v>784</v>
      </c>
      <c r="G143" s="79" t="s">
        <v>37</v>
      </c>
      <c r="H143" s="79" t="str">
        <f>VLOOKUP(G143,MetaData!$A$2:$C$13,3,false)</f>
        <v>Dwi Lestari, S.Pd</v>
      </c>
      <c r="I143" s="79" t="s">
        <v>683</v>
      </c>
      <c r="J143" s="79" t="str">
        <f>VLOOKUP(I143,MetaData!$E$2:$G$40,3,false)</f>
        <v>Najla</v>
      </c>
      <c r="K143" s="80"/>
    </row>
    <row r="144" ht="15.75" customHeight="1">
      <c r="A144" s="85">
        <v>165.0</v>
      </c>
      <c r="B144" s="77">
        <v>18.0</v>
      </c>
      <c r="C144" s="77" t="s">
        <v>924</v>
      </c>
      <c r="D144" s="77">
        <v>2.52610258E8</v>
      </c>
      <c r="E144" s="78" t="s">
        <v>693</v>
      </c>
      <c r="F144" s="77" t="s">
        <v>784</v>
      </c>
      <c r="G144" s="82" t="s">
        <v>37</v>
      </c>
      <c r="H144" s="82" t="str">
        <f>VLOOKUP(G144,MetaData!$A$2:$C$13,3,false)</f>
        <v>Dwi Lestari, S.Pd</v>
      </c>
      <c r="I144" s="82" t="s">
        <v>683</v>
      </c>
      <c r="J144" s="82" t="str">
        <f>VLOOKUP(I144,MetaData!$E$2:$G$40,3,false)</f>
        <v>Najla</v>
      </c>
      <c r="K144" s="83"/>
    </row>
    <row r="145" ht="15.75" customHeight="1">
      <c r="A145" s="84">
        <v>166.0</v>
      </c>
      <c r="B145" s="77">
        <v>19.0</v>
      </c>
      <c r="C145" s="77" t="s">
        <v>925</v>
      </c>
      <c r="D145" s="77">
        <v>2.5261026E8</v>
      </c>
      <c r="E145" s="78" t="s">
        <v>694</v>
      </c>
      <c r="F145" s="77" t="s">
        <v>784</v>
      </c>
      <c r="G145" s="79" t="s">
        <v>37</v>
      </c>
      <c r="H145" s="79" t="str">
        <f>VLOOKUP(G145,MetaData!$A$2:$C$13,3,false)</f>
        <v>Dwi Lestari, S.Pd</v>
      </c>
      <c r="I145" s="79" t="s">
        <v>683</v>
      </c>
      <c r="J145" s="79" t="str">
        <f>VLOOKUP(I145,MetaData!$E$2:$G$40,3,false)</f>
        <v>Najla</v>
      </c>
      <c r="K145" s="80"/>
    </row>
    <row r="146" ht="15.75" customHeight="1">
      <c r="A146" s="85">
        <v>167.0</v>
      </c>
      <c r="B146" s="77">
        <v>20.0</v>
      </c>
      <c r="C146" s="77" t="s">
        <v>926</v>
      </c>
      <c r="D146" s="77">
        <v>2.52610266E8</v>
      </c>
      <c r="E146" s="78" t="s">
        <v>695</v>
      </c>
      <c r="F146" s="77" t="s">
        <v>784</v>
      </c>
      <c r="G146" s="82" t="s">
        <v>37</v>
      </c>
      <c r="H146" s="82" t="str">
        <f>VLOOKUP(G146,MetaData!$A$2:$C$13,3,false)</f>
        <v>Dwi Lestari, S.Pd</v>
      </c>
      <c r="I146" s="82" t="s">
        <v>683</v>
      </c>
      <c r="J146" s="82" t="str">
        <f>VLOOKUP(I146,MetaData!$E$2:$G$40,3,false)</f>
        <v>Najla</v>
      </c>
      <c r="K146" s="83"/>
    </row>
    <row r="147" ht="15.75" customHeight="1">
      <c r="A147" s="84">
        <v>168.0</v>
      </c>
      <c r="B147" s="77">
        <v>21.0</v>
      </c>
      <c r="C147" s="77" t="s">
        <v>927</v>
      </c>
      <c r="D147" s="77">
        <v>2.52610275E8</v>
      </c>
      <c r="E147" s="78" t="s">
        <v>228</v>
      </c>
      <c r="F147" s="77" t="s">
        <v>782</v>
      </c>
      <c r="G147" s="79" t="s">
        <v>37</v>
      </c>
      <c r="H147" s="79" t="str">
        <f>VLOOKUP(G147,MetaData!$A$2:$C$13,3,false)</f>
        <v>Dwi Lestari, S.Pd</v>
      </c>
      <c r="I147" s="79" t="s">
        <v>220</v>
      </c>
      <c r="J147" s="79" t="str">
        <f>VLOOKUP(I147,MetaData!$E$2:$G$40,3,false)</f>
        <v>Rekhsa</v>
      </c>
      <c r="K147" s="80"/>
    </row>
    <row r="148" ht="15.75" customHeight="1">
      <c r="A148" s="85">
        <v>169.0</v>
      </c>
      <c r="B148" s="77">
        <v>22.0</v>
      </c>
      <c r="C148" s="77" t="s">
        <v>928</v>
      </c>
      <c r="D148" s="77">
        <v>2.52610282E8</v>
      </c>
      <c r="E148" s="78" t="s">
        <v>526</v>
      </c>
      <c r="F148" s="77" t="s">
        <v>784</v>
      </c>
      <c r="G148" s="82" t="s">
        <v>37</v>
      </c>
      <c r="H148" s="82" t="str">
        <f>VLOOKUP(G148,MetaData!$A$2:$C$13,3,false)</f>
        <v>Dwi Lestari, S.Pd</v>
      </c>
      <c r="I148" s="82" t="s">
        <v>525</v>
      </c>
      <c r="J148" s="82" t="str">
        <f>VLOOKUP(I148,MetaData!$E$2:$G$40,3,false)</f>
        <v>Faliqa (XI)</v>
      </c>
      <c r="K148" s="83"/>
    </row>
    <row r="149" ht="15.75" customHeight="1">
      <c r="A149" s="84">
        <v>170.0</v>
      </c>
      <c r="B149" s="77">
        <v>23.0</v>
      </c>
      <c r="C149" s="77" t="s">
        <v>929</v>
      </c>
      <c r="D149" s="77">
        <v>2.52610294E8</v>
      </c>
      <c r="E149" s="78" t="s">
        <v>527</v>
      </c>
      <c r="F149" s="77" t="s">
        <v>784</v>
      </c>
      <c r="G149" s="79" t="s">
        <v>37</v>
      </c>
      <c r="H149" s="79" t="str">
        <f>VLOOKUP(G149,MetaData!$A$2:$C$13,3,false)</f>
        <v>Dwi Lestari, S.Pd</v>
      </c>
      <c r="I149" s="79" t="s">
        <v>525</v>
      </c>
      <c r="J149" s="79" t="str">
        <f>VLOOKUP(I149,MetaData!$E$2:$G$40,3,false)</f>
        <v>Faliqa (XI)</v>
      </c>
      <c r="K149" s="80"/>
    </row>
    <row r="150" ht="15.75" customHeight="1">
      <c r="A150" s="85">
        <v>171.0</v>
      </c>
      <c r="B150" s="77">
        <v>24.0</v>
      </c>
      <c r="C150" s="77" t="s">
        <v>930</v>
      </c>
      <c r="D150" s="77">
        <v>2.52610306E8</v>
      </c>
      <c r="E150" s="78" t="s">
        <v>528</v>
      </c>
      <c r="F150" s="77" t="s">
        <v>784</v>
      </c>
      <c r="G150" s="82" t="s">
        <v>37</v>
      </c>
      <c r="H150" s="82" t="str">
        <f>VLOOKUP(G150,MetaData!$A$2:$C$13,3,false)</f>
        <v>Dwi Lestari, S.Pd</v>
      </c>
      <c r="I150" s="82" t="s">
        <v>525</v>
      </c>
      <c r="J150" s="82" t="str">
        <f>VLOOKUP(I150,MetaData!$E$2:$G$40,3,false)</f>
        <v>Faliqa (XI)</v>
      </c>
      <c r="K150" s="83"/>
    </row>
    <row r="151" ht="15.75" customHeight="1">
      <c r="A151" s="84">
        <v>172.0</v>
      </c>
      <c r="B151" s="77">
        <v>25.0</v>
      </c>
      <c r="C151" s="77" t="s">
        <v>931</v>
      </c>
      <c r="D151" s="77">
        <v>2.52610309E8</v>
      </c>
      <c r="E151" s="78" t="s">
        <v>529</v>
      </c>
      <c r="F151" s="77" t="s">
        <v>784</v>
      </c>
      <c r="G151" s="79" t="s">
        <v>37</v>
      </c>
      <c r="H151" s="79" t="str">
        <f>VLOOKUP(G151,MetaData!$A$2:$C$13,3,false)</f>
        <v>Dwi Lestari, S.Pd</v>
      </c>
      <c r="I151" s="79" t="s">
        <v>525</v>
      </c>
      <c r="J151" s="79" t="str">
        <f>VLOOKUP(I151,MetaData!$E$2:$G$40,3,false)</f>
        <v>Faliqa (XI)</v>
      </c>
      <c r="K151" s="80"/>
    </row>
    <row r="152" ht="15.75" customHeight="1">
      <c r="A152" s="85">
        <v>173.0</v>
      </c>
      <c r="B152" s="77">
        <v>26.0</v>
      </c>
      <c r="C152" s="77" t="s">
        <v>932</v>
      </c>
      <c r="D152" s="77">
        <v>2.52610329E8</v>
      </c>
      <c r="E152" s="78" t="s">
        <v>320</v>
      </c>
      <c r="F152" s="77" t="s">
        <v>782</v>
      </c>
      <c r="G152" s="82" t="s">
        <v>37</v>
      </c>
      <c r="H152" s="82" t="str">
        <f>VLOOKUP(G152,MetaData!$A$2:$C$13,3,false)</f>
        <v>Dwi Lestari, S.Pd</v>
      </c>
      <c r="I152" s="82" t="s">
        <v>312</v>
      </c>
      <c r="J152" s="82" t="str">
        <f>VLOOKUP(I152,MetaData!$E$2:$G$40,3,false)</f>
        <v>Rizky Putra</v>
      </c>
      <c r="K152" s="83"/>
    </row>
    <row r="153" ht="15.75" customHeight="1">
      <c r="A153" s="84">
        <v>174.0</v>
      </c>
      <c r="B153" s="77">
        <v>27.0</v>
      </c>
      <c r="C153" s="77" t="s">
        <v>933</v>
      </c>
      <c r="D153" s="77">
        <v>2.52610357E8</v>
      </c>
      <c r="E153" s="78" t="s">
        <v>321</v>
      </c>
      <c r="F153" s="77" t="s">
        <v>782</v>
      </c>
      <c r="G153" s="79" t="s">
        <v>37</v>
      </c>
      <c r="H153" s="79" t="str">
        <f>VLOOKUP(G153,MetaData!$A$2:$C$13,3,false)</f>
        <v>Dwi Lestari, S.Pd</v>
      </c>
      <c r="I153" s="79" t="s">
        <v>312</v>
      </c>
      <c r="J153" s="79" t="str">
        <f>VLOOKUP(I153,MetaData!$E$2:$G$40,3,false)</f>
        <v>Rizky Putra</v>
      </c>
      <c r="K153" s="80"/>
    </row>
    <row r="154" ht="15.75" customHeight="1">
      <c r="A154" s="85">
        <v>175.0</v>
      </c>
      <c r="B154" s="77">
        <v>28.0</v>
      </c>
      <c r="C154" s="77" t="s">
        <v>934</v>
      </c>
      <c r="D154" s="77">
        <v>2.52610363E8</v>
      </c>
      <c r="E154" s="78" t="s">
        <v>322</v>
      </c>
      <c r="F154" s="77" t="s">
        <v>782</v>
      </c>
      <c r="G154" s="82" t="s">
        <v>37</v>
      </c>
      <c r="H154" s="82" t="str">
        <f>VLOOKUP(G154,MetaData!$A$2:$C$13,3,false)</f>
        <v>Dwi Lestari, S.Pd</v>
      </c>
      <c r="I154" s="82" t="s">
        <v>312</v>
      </c>
      <c r="J154" s="82" t="str">
        <f>VLOOKUP(I154,MetaData!$E$2:$G$40,3,false)</f>
        <v>Rizky Putra</v>
      </c>
      <c r="K154" s="83"/>
    </row>
    <row r="155" ht="15.75" customHeight="1">
      <c r="A155" s="84">
        <v>176.0</v>
      </c>
      <c r="B155" s="77">
        <v>29.0</v>
      </c>
      <c r="C155" s="77" t="s">
        <v>935</v>
      </c>
      <c r="D155" s="77">
        <v>2.52610373E8</v>
      </c>
      <c r="E155" s="78" t="s">
        <v>323</v>
      </c>
      <c r="F155" s="77" t="s">
        <v>782</v>
      </c>
      <c r="G155" s="79" t="s">
        <v>37</v>
      </c>
      <c r="H155" s="79" t="str">
        <f>VLOOKUP(G155,MetaData!$A$2:$C$13,3,false)</f>
        <v>Dwi Lestari, S.Pd</v>
      </c>
      <c r="I155" s="79" t="s">
        <v>312</v>
      </c>
      <c r="J155" s="79" t="str">
        <f>VLOOKUP(I155,MetaData!$E$2:$G$40,3,false)</f>
        <v>Rizky Putra</v>
      </c>
      <c r="K155" s="80"/>
    </row>
    <row r="156" ht="15.75" customHeight="1">
      <c r="A156" s="85">
        <v>177.0</v>
      </c>
      <c r="B156" s="77">
        <v>30.0</v>
      </c>
      <c r="C156" s="77" t="s">
        <v>936</v>
      </c>
      <c r="D156" s="77">
        <v>2.52610378E8</v>
      </c>
      <c r="E156" s="78" t="s">
        <v>236</v>
      </c>
      <c r="F156" s="77" t="s">
        <v>782</v>
      </c>
      <c r="G156" s="82" t="s">
        <v>37</v>
      </c>
      <c r="H156" s="82" t="str">
        <f>VLOOKUP(G156,MetaData!$A$2:$C$13,3,false)</f>
        <v>Dwi Lestari, S.Pd</v>
      </c>
      <c r="I156" s="82" t="s">
        <v>220</v>
      </c>
      <c r="J156" s="82" t="str">
        <f>VLOOKUP(I156,MetaData!$E$2:$G$40,3,false)</f>
        <v>Rekhsa</v>
      </c>
      <c r="K156" s="83"/>
    </row>
    <row r="157" ht="15.75" customHeight="1">
      <c r="A157" s="84">
        <v>178.0</v>
      </c>
      <c r="B157" s="77">
        <v>31.0</v>
      </c>
      <c r="C157" s="77" t="s">
        <v>937</v>
      </c>
      <c r="D157" s="77">
        <v>2.52610382E8</v>
      </c>
      <c r="E157" s="78" t="s">
        <v>530</v>
      </c>
      <c r="F157" s="77" t="s">
        <v>784</v>
      </c>
      <c r="G157" s="79" t="s">
        <v>37</v>
      </c>
      <c r="H157" s="79" t="str">
        <f>VLOOKUP(G157,MetaData!$A$2:$C$13,3,false)</f>
        <v>Dwi Lestari, S.Pd</v>
      </c>
      <c r="I157" s="79" t="s">
        <v>525</v>
      </c>
      <c r="J157" s="79" t="str">
        <f>VLOOKUP(I157,MetaData!$E$2:$G$40,3,false)</f>
        <v>Faliqa (XI)</v>
      </c>
      <c r="K157" s="80"/>
    </row>
    <row r="158" ht="15.75" customHeight="1">
      <c r="A158" s="85">
        <v>179.0</v>
      </c>
      <c r="B158" s="77">
        <v>33.0</v>
      </c>
      <c r="C158" s="77" t="s">
        <v>938</v>
      </c>
      <c r="D158" s="77">
        <v>2.52610435E8</v>
      </c>
      <c r="E158" s="78" t="s">
        <v>324</v>
      </c>
      <c r="F158" s="77" t="s">
        <v>782</v>
      </c>
      <c r="G158" s="82" t="s">
        <v>37</v>
      </c>
      <c r="H158" s="82" t="str">
        <f>VLOOKUP(G158,MetaData!$A$2:$C$13,3,false)</f>
        <v>Dwi Lestari, S.Pd</v>
      </c>
      <c r="I158" s="82" t="s">
        <v>312</v>
      </c>
      <c r="J158" s="82" t="str">
        <f>VLOOKUP(I158,MetaData!$E$2:$G$40,3,false)</f>
        <v>Rizky Putra</v>
      </c>
      <c r="K158" s="83"/>
    </row>
    <row r="159" ht="15.75" customHeight="1">
      <c r="A159" s="84">
        <v>180.0</v>
      </c>
      <c r="B159" s="77">
        <v>34.0</v>
      </c>
      <c r="C159" s="77" t="s">
        <v>939</v>
      </c>
      <c r="D159" s="77">
        <v>2.52610447E8</v>
      </c>
      <c r="E159" s="78" t="s">
        <v>325</v>
      </c>
      <c r="F159" s="77" t="s">
        <v>782</v>
      </c>
      <c r="G159" s="79" t="s">
        <v>37</v>
      </c>
      <c r="H159" s="79" t="str">
        <f>VLOOKUP(G159,MetaData!$A$2:$C$13,3,false)</f>
        <v>Dwi Lestari, S.Pd</v>
      </c>
      <c r="I159" s="79" t="s">
        <v>312</v>
      </c>
      <c r="J159" s="79" t="str">
        <f>VLOOKUP(I159,MetaData!$E$2:$G$40,3,false)</f>
        <v>Rizky Putra</v>
      </c>
      <c r="K159" s="80"/>
    </row>
    <row r="160" ht="15.75" customHeight="1">
      <c r="A160" s="85">
        <v>181.0</v>
      </c>
      <c r="B160" s="77">
        <v>35.0</v>
      </c>
      <c r="C160" s="77" t="s">
        <v>940</v>
      </c>
      <c r="D160" s="77">
        <v>2.52610472E8</v>
      </c>
      <c r="E160" s="78" t="s">
        <v>326</v>
      </c>
      <c r="F160" s="77" t="s">
        <v>782</v>
      </c>
      <c r="G160" s="82" t="s">
        <v>37</v>
      </c>
      <c r="H160" s="82" t="str">
        <f>VLOOKUP(G160,MetaData!$A$2:$C$13,3,false)</f>
        <v>Dwi Lestari, S.Pd</v>
      </c>
      <c r="I160" s="82" t="s">
        <v>312</v>
      </c>
      <c r="J160" s="82" t="str">
        <f>VLOOKUP(I160,MetaData!$E$2:$G$40,3,false)</f>
        <v>Rizky Putra</v>
      </c>
      <c r="K160" s="83"/>
    </row>
    <row r="161" ht="15.75" customHeight="1">
      <c r="A161" s="84">
        <v>182.0</v>
      </c>
      <c r="B161" s="77">
        <v>36.0</v>
      </c>
      <c r="C161" s="77" t="s">
        <v>941</v>
      </c>
      <c r="D161" s="77">
        <v>2.52610475E8</v>
      </c>
      <c r="E161" s="78" t="s">
        <v>327</v>
      </c>
      <c r="F161" s="78" t="s">
        <v>782</v>
      </c>
      <c r="G161" s="79" t="s">
        <v>37</v>
      </c>
      <c r="H161" s="79" t="str">
        <f>VLOOKUP(G161,MetaData!$A$2:$C$13,3,false)</f>
        <v>Dwi Lestari, S.Pd</v>
      </c>
      <c r="I161" s="79" t="s">
        <v>312</v>
      </c>
      <c r="J161" s="79" t="str">
        <f>VLOOKUP(I161,MetaData!$E$2:$G$40,3,false)</f>
        <v>Rizky Putra</v>
      </c>
      <c r="K161" s="80"/>
    </row>
    <row r="162" ht="15.75" customHeight="1">
      <c r="A162" s="85">
        <v>183.0</v>
      </c>
      <c r="B162" s="77">
        <v>37.0</v>
      </c>
      <c r="C162" s="77" t="s">
        <v>942</v>
      </c>
      <c r="D162" s="77">
        <v>2.5261048E8</v>
      </c>
      <c r="E162" s="78" t="s">
        <v>328</v>
      </c>
      <c r="F162" s="77" t="s">
        <v>782</v>
      </c>
      <c r="G162" s="82" t="s">
        <v>37</v>
      </c>
      <c r="H162" s="82" t="str">
        <f>VLOOKUP(G162,MetaData!$A$2:$C$13,3,false)</f>
        <v>Dwi Lestari, S.Pd</v>
      </c>
      <c r="I162" s="82" t="s">
        <v>312</v>
      </c>
      <c r="J162" s="82" t="str">
        <f>VLOOKUP(I162,MetaData!$E$2:$G$40,3,false)</f>
        <v>Rizky Putra</v>
      </c>
      <c r="K162" s="83"/>
    </row>
    <row r="163" ht="15.75" customHeight="1">
      <c r="A163" s="84">
        <v>184.0</v>
      </c>
      <c r="B163" s="77">
        <v>38.0</v>
      </c>
      <c r="C163" s="77" t="s">
        <v>943</v>
      </c>
      <c r="D163" s="77">
        <v>2.52610483E8</v>
      </c>
      <c r="E163" s="78" t="s">
        <v>531</v>
      </c>
      <c r="F163" s="77" t="s">
        <v>784</v>
      </c>
      <c r="G163" s="79" t="s">
        <v>37</v>
      </c>
      <c r="H163" s="79" t="str">
        <f>VLOOKUP(G163,MetaData!$A$2:$C$13,3,false)</f>
        <v>Dwi Lestari, S.Pd</v>
      </c>
      <c r="I163" s="79" t="s">
        <v>525</v>
      </c>
      <c r="J163" s="79" t="str">
        <f>VLOOKUP(I163,MetaData!$E$2:$G$40,3,false)</f>
        <v>Faliqa (XI)</v>
      </c>
      <c r="K163" s="80"/>
    </row>
    <row r="164" ht="15.75" customHeight="1">
      <c r="A164" s="85">
        <v>185.0</v>
      </c>
      <c r="B164" s="77">
        <v>39.0</v>
      </c>
      <c r="C164" s="77" t="s">
        <v>944</v>
      </c>
      <c r="D164" s="77">
        <v>2.52610492E8</v>
      </c>
      <c r="E164" s="78" t="s">
        <v>329</v>
      </c>
      <c r="F164" s="77" t="s">
        <v>782</v>
      </c>
      <c r="G164" s="82" t="s">
        <v>37</v>
      </c>
      <c r="H164" s="82" t="str">
        <f>VLOOKUP(G164,MetaData!$A$2:$C$13,3,false)</f>
        <v>Dwi Lestari, S.Pd</v>
      </c>
      <c r="I164" s="82" t="s">
        <v>312</v>
      </c>
      <c r="J164" s="82" t="str">
        <f>VLOOKUP(I164,MetaData!$E$2:$G$40,3,false)</f>
        <v>Rizky Putra</v>
      </c>
      <c r="K164" s="83"/>
    </row>
    <row r="165" ht="15.75" customHeight="1">
      <c r="A165" s="84">
        <v>186.0</v>
      </c>
      <c r="B165" s="77">
        <v>40.0</v>
      </c>
      <c r="C165" s="77" t="s">
        <v>945</v>
      </c>
      <c r="D165" s="77">
        <v>2.52610512E8</v>
      </c>
      <c r="E165" s="78" t="s">
        <v>532</v>
      </c>
      <c r="F165" s="77" t="s">
        <v>784</v>
      </c>
      <c r="G165" s="79" t="s">
        <v>37</v>
      </c>
      <c r="H165" s="79" t="str">
        <f>VLOOKUP(G165,MetaData!$A$2:$C$13,3,false)</f>
        <v>Dwi Lestari, S.Pd</v>
      </c>
      <c r="I165" s="79" t="s">
        <v>525</v>
      </c>
      <c r="J165" s="79" t="str">
        <f>VLOOKUP(I165,MetaData!$E$2:$G$40,3,false)</f>
        <v>Faliqa (XI)</v>
      </c>
      <c r="K165" s="80"/>
    </row>
    <row r="166" ht="15.75" customHeight="1">
      <c r="A166" s="85">
        <v>187.0</v>
      </c>
      <c r="B166" s="77">
        <v>41.0</v>
      </c>
      <c r="C166" s="77" t="s">
        <v>946</v>
      </c>
      <c r="D166" s="77">
        <v>2.52610514E8</v>
      </c>
      <c r="E166" s="78" t="s">
        <v>456</v>
      </c>
      <c r="F166" s="77" t="s">
        <v>784</v>
      </c>
      <c r="G166" s="82" t="s">
        <v>37</v>
      </c>
      <c r="H166" s="82" t="str">
        <f>VLOOKUP(G166,MetaData!$A$2:$C$13,3,false)</f>
        <v>Dwi Lestari, S.Pd</v>
      </c>
      <c r="I166" s="82" t="s">
        <v>443</v>
      </c>
      <c r="J166" s="82" t="str">
        <f>VLOOKUP(I166,MetaData!$E$2:$G$40,3,false)</f>
        <v>Ayun</v>
      </c>
      <c r="K166" s="83"/>
    </row>
    <row r="167" ht="15.75" customHeight="1">
      <c r="A167" s="84">
        <v>188.0</v>
      </c>
      <c r="B167" s="77">
        <v>42.0</v>
      </c>
      <c r="C167" s="77" t="s">
        <v>947</v>
      </c>
      <c r="D167" s="77">
        <v>2.52610515E8</v>
      </c>
      <c r="E167" s="78" t="s">
        <v>533</v>
      </c>
      <c r="F167" s="77" t="s">
        <v>784</v>
      </c>
      <c r="G167" s="79" t="s">
        <v>37</v>
      </c>
      <c r="H167" s="79" t="str">
        <f>VLOOKUP(G167,MetaData!$A$2:$C$13,3,false)</f>
        <v>Dwi Lestari, S.Pd</v>
      </c>
      <c r="I167" s="79" t="s">
        <v>525</v>
      </c>
      <c r="J167" s="79" t="str">
        <f>VLOOKUP(I167,MetaData!$E$2:$G$40,3,false)</f>
        <v>Faliqa (XI)</v>
      </c>
      <c r="K167" s="80"/>
    </row>
    <row r="168" ht="15.75" customHeight="1">
      <c r="A168" s="85">
        <v>189.0</v>
      </c>
      <c r="B168" s="77">
        <v>43.0</v>
      </c>
      <c r="C168" s="77" t="s">
        <v>948</v>
      </c>
      <c r="D168" s="77">
        <v>2.52610519E8</v>
      </c>
      <c r="E168" s="78" t="s">
        <v>534</v>
      </c>
      <c r="F168" s="77" t="s">
        <v>784</v>
      </c>
      <c r="G168" s="82" t="s">
        <v>37</v>
      </c>
      <c r="H168" s="82" t="str">
        <f>VLOOKUP(G168,MetaData!$A$2:$C$13,3,false)</f>
        <v>Dwi Lestari, S.Pd</v>
      </c>
      <c r="I168" s="82" t="s">
        <v>525</v>
      </c>
      <c r="J168" s="82" t="str">
        <f>VLOOKUP(I168,MetaData!$E$2:$G$40,3,false)</f>
        <v>Faliqa (XI)</v>
      </c>
      <c r="K168" s="83"/>
    </row>
    <row r="169" ht="15.75" customHeight="1">
      <c r="A169" s="84">
        <v>190.0</v>
      </c>
      <c r="B169" s="77">
        <v>44.0</v>
      </c>
      <c r="C169" s="77" t="s">
        <v>949</v>
      </c>
      <c r="D169" s="77">
        <v>2.52610533E8</v>
      </c>
      <c r="E169" s="78" t="s">
        <v>535</v>
      </c>
      <c r="F169" s="77" t="s">
        <v>784</v>
      </c>
      <c r="G169" s="79" t="s">
        <v>37</v>
      </c>
      <c r="H169" s="79" t="str">
        <f>VLOOKUP(G169,MetaData!$A$2:$C$13,3,false)</f>
        <v>Dwi Lestari, S.Pd</v>
      </c>
      <c r="I169" s="79" t="s">
        <v>525</v>
      </c>
      <c r="J169" s="79" t="str">
        <f>VLOOKUP(I169,MetaData!$E$2:$G$40,3,false)</f>
        <v>Faliqa (XI)</v>
      </c>
      <c r="K169" s="80"/>
    </row>
    <row r="170" ht="15.75" customHeight="1">
      <c r="A170" s="85">
        <v>191.0</v>
      </c>
      <c r="B170" s="77">
        <v>45.0</v>
      </c>
      <c r="C170" s="77" t="s">
        <v>950</v>
      </c>
      <c r="D170" s="77">
        <v>2.52610534E8</v>
      </c>
      <c r="E170" s="78" t="s">
        <v>536</v>
      </c>
      <c r="F170" s="77" t="s">
        <v>784</v>
      </c>
      <c r="G170" s="82" t="s">
        <v>37</v>
      </c>
      <c r="H170" s="82" t="str">
        <f>VLOOKUP(G170,MetaData!$A$2:$C$13,3,false)</f>
        <v>Dwi Lestari, S.Pd</v>
      </c>
      <c r="I170" s="82" t="s">
        <v>525</v>
      </c>
      <c r="J170" s="82" t="str">
        <f>VLOOKUP(I170,MetaData!$E$2:$G$40,3,false)</f>
        <v>Faliqa (XI)</v>
      </c>
      <c r="K170" s="83"/>
    </row>
    <row r="171" ht="15.75" customHeight="1">
      <c r="A171" s="84">
        <v>192.0</v>
      </c>
      <c r="B171" s="77">
        <v>46.0</v>
      </c>
      <c r="C171" s="77" t="s">
        <v>951</v>
      </c>
      <c r="D171" s="77">
        <v>2.52610544E8</v>
      </c>
      <c r="E171" s="78" t="s">
        <v>537</v>
      </c>
      <c r="F171" s="77" t="s">
        <v>784</v>
      </c>
      <c r="G171" s="79" t="s">
        <v>37</v>
      </c>
      <c r="H171" s="79" t="str">
        <f>VLOOKUP(G171,MetaData!$A$2:$C$13,3,false)</f>
        <v>Dwi Lestari, S.Pd</v>
      </c>
      <c r="I171" s="79" t="s">
        <v>525</v>
      </c>
      <c r="J171" s="79" t="str">
        <f>VLOOKUP(I171,MetaData!$E$2:$G$40,3,false)</f>
        <v>Faliqa (XI)</v>
      </c>
      <c r="K171" s="80"/>
    </row>
    <row r="172" ht="15.75" customHeight="1">
      <c r="A172" s="85">
        <v>201.0</v>
      </c>
      <c r="B172" s="77">
        <v>1.0</v>
      </c>
      <c r="C172" s="77" t="s">
        <v>952</v>
      </c>
      <c r="D172" s="77">
        <v>2.52610004E8</v>
      </c>
      <c r="E172" s="78" t="s">
        <v>223</v>
      </c>
      <c r="F172" s="77" t="s">
        <v>782</v>
      </c>
      <c r="G172" s="82" t="s">
        <v>42</v>
      </c>
      <c r="H172" s="82" t="str">
        <f>VLOOKUP(G172,MetaData!$A$2:$C$13,3,false)</f>
        <v>Deden Nur hasanah, S.E</v>
      </c>
      <c r="I172" s="82" t="s">
        <v>220</v>
      </c>
      <c r="J172" s="82" t="str">
        <f>VLOOKUP(I172,MetaData!$E$2:$G$40,3,false)</f>
        <v>Rekhsa</v>
      </c>
      <c r="K172" s="83"/>
    </row>
    <row r="173" ht="15.75" customHeight="1">
      <c r="A173" s="84">
        <v>202.0</v>
      </c>
      <c r="B173" s="77">
        <v>2.0</v>
      </c>
      <c r="C173" s="77" t="s">
        <v>953</v>
      </c>
      <c r="D173" s="77">
        <v>2.52610013E8</v>
      </c>
      <c r="E173" s="78" t="s">
        <v>298</v>
      </c>
      <c r="F173" s="77" t="s">
        <v>782</v>
      </c>
      <c r="G173" s="79" t="s">
        <v>42</v>
      </c>
      <c r="H173" s="79" t="str">
        <f>VLOOKUP(G173,MetaData!$A$2:$C$13,3,false)</f>
        <v>Deden Nur hasanah, S.E</v>
      </c>
      <c r="I173" s="79" t="s">
        <v>297</v>
      </c>
      <c r="J173" s="79" t="str">
        <f>VLOOKUP(I173,MetaData!$E$2:$G$40,3,false)</f>
        <v>Topik &amp; Adrian</v>
      </c>
      <c r="K173" s="80"/>
    </row>
    <row r="174" ht="15.75" customHeight="1">
      <c r="A174" s="85">
        <v>203.0</v>
      </c>
      <c r="B174" s="77">
        <v>3.0</v>
      </c>
      <c r="C174" s="77" t="s">
        <v>954</v>
      </c>
      <c r="D174" s="77">
        <v>2.52610022E8</v>
      </c>
      <c r="E174" s="78" t="s">
        <v>444</v>
      </c>
      <c r="F174" s="77" t="s">
        <v>784</v>
      </c>
      <c r="G174" s="82" t="s">
        <v>42</v>
      </c>
      <c r="H174" s="82" t="str">
        <f>VLOOKUP(G174,MetaData!$A$2:$C$13,3,false)</f>
        <v>Deden Nur hasanah, S.E</v>
      </c>
      <c r="I174" s="82" t="s">
        <v>443</v>
      </c>
      <c r="J174" s="82" t="str">
        <f>VLOOKUP(I174,MetaData!$E$2:$G$40,3,false)</f>
        <v>Ayun</v>
      </c>
      <c r="K174" s="83"/>
    </row>
    <row r="175" ht="15.75" customHeight="1">
      <c r="A175" s="84">
        <v>204.0</v>
      </c>
      <c r="B175" s="77">
        <v>4.0</v>
      </c>
      <c r="C175" s="77" t="s">
        <v>955</v>
      </c>
      <c r="D175" s="77">
        <v>2.52610024E8</v>
      </c>
      <c r="E175" s="78" t="s">
        <v>671</v>
      </c>
      <c r="F175" s="77" t="s">
        <v>784</v>
      </c>
      <c r="G175" s="79" t="s">
        <v>42</v>
      </c>
      <c r="H175" s="79" t="str">
        <f>VLOOKUP(G175,MetaData!$A$2:$C$13,3,false)</f>
        <v>Deden Nur hasanah, S.E</v>
      </c>
      <c r="I175" s="79" t="s">
        <v>670</v>
      </c>
      <c r="J175" s="79" t="str">
        <f>VLOOKUP(I175,MetaData!$E$2:$G$40,3,false)</f>
        <v>Hana</v>
      </c>
      <c r="K175" s="80"/>
    </row>
    <row r="176" ht="15.75" customHeight="1">
      <c r="A176" s="85">
        <v>205.0</v>
      </c>
      <c r="B176" s="77">
        <v>5.0</v>
      </c>
      <c r="C176" s="77" t="s">
        <v>956</v>
      </c>
      <c r="D176" s="77">
        <v>2.52610034E8</v>
      </c>
      <c r="E176" s="78" t="s">
        <v>299</v>
      </c>
      <c r="F176" s="77" t="s">
        <v>782</v>
      </c>
      <c r="G176" s="82" t="s">
        <v>42</v>
      </c>
      <c r="H176" s="82" t="str">
        <f>VLOOKUP(G176,MetaData!$A$2:$C$13,3,false)</f>
        <v>Deden Nur hasanah, S.E</v>
      </c>
      <c r="I176" s="82" t="s">
        <v>297</v>
      </c>
      <c r="J176" s="82" t="str">
        <f>VLOOKUP(I176,MetaData!$E$2:$G$40,3,false)</f>
        <v>Topik &amp; Adrian</v>
      </c>
      <c r="K176" s="83"/>
    </row>
    <row r="177" ht="15.75" customHeight="1">
      <c r="A177" s="84">
        <v>206.0</v>
      </c>
      <c r="B177" s="77">
        <v>6.0</v>
      </c>
      <c r="C177" s="77" t="s">
        <v>957</v>
      </c>
      <c r="D177" s="77">
        <v>2.52610043E8</v>
      </c>
      <c r="E177" s="78" t="s">
        <v>431</v>
      </c>
      <c r="F177" s="77" t="s">
        <v>784</v>
      </c>
      <c r="G177" s="79" t="s">
        <v>42</v>
      </c>
      <c r="H177" s="79" t="str">
        <f>VLOOKUP(G177,MetaData!$A$2:$C$13,3,false)</f>
        <v>Deden Nur hasanah, S.E</v>
      </c>
      <c r="I177" s="79" t="s">
        <v>428</v>
      </c>
      <c r="J177" s="79" t="str">
        <f>VLOOKUP(I177,MetaData!$E$2:$G$40,3,false)</f>
        <v>Iga</v>
      </c>
      <c r="K177" s="80"/>
    </row>
    <row r="178" ht="15.75" customHeight="1">
      <c r="A178" s="85">
        <v>207.0</v>
      </c>
      <c r="B178" s="77">
        <v>7.0</v>
      </c>
      <c r="C178" s="77" t="s">
        <v>958</v>
      </c>
      <c r="D178" s="77">
        <v>2.52610055E8</v>
      </c>
      <c r="E178" s="78" t="s">
        <v>672</v>
      </c>
      <c r="F178" s="77" t="s">
        <v>784</v>
      </c>
      <c r="G178" s="82" t="s">
        <v>42</v>
      </c>
      <c r="H178" s="82" t="str">
        <f>VLOOKUP(G178,MetaData!$A$2:$C$13,3,false)</f>
        <v>Deden Nur hasanah, S.E</v>
      </c>
      <c r="I178" s="82" t="s">
        <v>670</v>
      </c>
      <c r="J178" s="82" t="str">
        <f>VLOOKUP(I178,MetaData!$E$2:$G$40,3,false)</f>
        <v>Hana</v>
      </c>
      <c r="K178" s="83"/>
    </row>
    <row r="179" ht="15.75" customHeight="1">
      <c r="A179" s="84">
        <v>208.0</v>
      </c>
      <c r="B179" s="77">
        <v>8.0</v>
      </c>
      <c r="C179" s="77" t="s">
        <v>959</v>
      </c>
      <c r="D179" s="77">
        <v>2.52610057E8</v>
      </c>
      <c r="E179" s="78" t="s">
        <v>673</v>
      </c>
      <c r="F179" s="77" t="s">
        <v>784</v>
      </c>
      <c r="G179" s="79" t="s">
        <v>42</v>
      </c>
      <c r="H179" s="79" t="str">
        <f>VLOOKUP(G179,MetaData!$A$2:$C$13,3,false)</f>
        <v>Deden Nur hasanah, S.E</v>
      </c>
      <c r="I179" s="79" t="s">
        <v>670</v>
      </c>
      <c r="J179" s="79" t="str">
        <f>VLOOKUP(I179,MetaData!$E$2:$G$40,3,false)</f>
        <v>Hana</v>
      </c>
      <c r="K179" s="80"/>
    </row>
    <row r="180" ht="15.75" customHeight="1">
      <c r="A180" s="85">
        <v>209.0</v>
      </c>
      <c r="B180" s="77">
        <v>9.0</v>
      </c>
      <c r="C180" s="77" t="s">
        <v>960</v>
      </c>
      <c r="D180" s="77">
        <v>2.5261006E8</v>
      </c>
      <c r="E180" s="78" t="s">
        <v>300</v>
      </c>
      <c r="F180" s="77" t="s">
        <v>782</v>
      </c>
      <c r="G180" s="82" t="s">
        <v>42</v>
      </c>
      <c r="H180" s="82" t="str">
        <f>VLOOKUP(G180,MetaData!$A$2:$C$13,3,false)</f>
        <v>Deden Nur hasanah, S.E</v>
      </c>
      <c r="I180" s="82" t="s">
        <v>297</v>
      </c>
      <c r="J180" s="82" t="str">
        <f>VLOOKUP(I180,MetaData!$E$2:$G$40,3,false)</f>
        <v>Topik &amp; Adrian</v>
      </c>
      <c r="K180" s="83"/>
    </row>
    <row r="181" ht="15.75" customHeight="1">
      <c r="A181" s="84">
        <v>210.0</v>
      </c>
      <c r="B181" s="77">
        <v>10.0</v>
      </c>
      <c r="C181" s="77" t="s">
        <v>961</v>
      </c>
      <c r="D181" s="77">
        <v>2.52610067E8</v>
      </c>
      <c r="E181" s="78" t="s">
        <v>674</v>
      </c>
      <c r="F181" s="77" t="s">
        <v>784</v>
      </c>
      <c r="G181" s="79" t="s">
        <v>42</v>
      </c>
      <c r="H181" s="79" t="str">
        <f>VLOOKUP(G181,MetaData!$A$2:$C$13,3,false)</f>
        <v>Deden Nur hasanah, S.E</v>
      </c>
      <c r="I181" s="79" t="s">
        <v>670</v>
      </c>
      <c r="J181" s="79" t="str">
        <f>VLOOKUP(I181,MetaData!$E$2:$G$40,3,false)</f>
        <v>Hana</v>
      </c>
      <c r="K181" s="80"/>
    </row>
    <row r="182" ht="15.75" customHeight="1">
      <c r="A182" s="85">
        <v>211.0</v>
      </c>
      <c r="B182" s="77">
        <v>11.0</v>
      </c>
      <c r="C182" s="77" t="s">
        <v>962</v>
      </c>
      <c r="D182" s="77">
        <v>2.52610115E8</v>
      </c>
      <c r="E182" s="78" t="s">
        <v>301</v>
      </c>
      <c r="F182" s="77" t="s">
        <v>782</v>
      </c>
      <c r="G182" s="82" t="s">
        <v>42</v>
      </c>
      <c r="H182" s="82" t="str">
        <f>VLOOKUP(G182,MetaData!$A$2:$C$13,3,false)</f>
        <v>Deden Nur hasanah, S.E</v>
      </c>
      <c r="I182" s="82" t="s">
        <v>297</v>
      </c>
      <c r="J182" s="82" t="str">
        <f>VLOOKUP(I182,MetaData!$E$2:$G$40,3,false)</f>
        <v>Topik &amp; Adrian</v>
      </c>
      <c r="K182" s="83"/>
    </row>
    <row r="183" ht="15.75" customHeight="1">
      <c r="A183" s="84">
        <v>212.0</v>
      </c>
      <c r="B183" s="77">
        <v>12.0</v>
      </c>
      <c r="C183" s="77" t="s">
        <v>963</v>
      </c>
      <c r="D183" s="77">
        <v>2.52610123E8</v>
      </c>
      <c r="E183" s="78" t="s">
        <v>675</v>
      </c>
      <c r="F183" s="77" t="s">
        <v>784</v>
      </c>
      <c r="G183" s="79" t="s">
        <v>42</v>
      </c>
      <c r="H183" s="79" t="str">
        <f>VLOOKUP(G183,MetaData!$A$2:$C$13,3,false)</f>
        <v>Deden Nur hasanah, S.E</v>
      </c>
      <c r="I183" s="79" t="s">
        <v>670</v>
      </c>
      <c r="J183" s="79" t="str">
        <f>VLOOKUP(I183,MetaData!$E$2:$G$40,3,false)</f>
        <v>Hana</v>
      </c>
      <c r="K183" s="80"/>
    </row>
    <row r="184" ht="15.75" customHeight="1">
      <c r="A184" s="85">
        <v>213.0</v>
      </c>
      <c r="B184" s="77">
        <v>13.0</v>
      </c>
      <c r="C184" s="77" t="s">
        <v>964</v>
      </c>
      <c r="D184" s="77">
        <v>2.52610163E8</v>
      </c>
      <c r="E184" s="78" t="s">
        <v>676</v>
      </c>
      <c r="F184" s="77" t="s">
        <v>784</v>
      </c>
      <c r="G184" s="82" t="s">
        <v>42</v>
      </c>
      <c r="H184" s="82" t="str">
        <f>VLOOKUP(G184,MetaData!$A$2:$C$13,3,false)</f>
        <v>Deden Nur hasanah, S.E</v>
      </c>
      <c r="I184" s="82" t="s">
        <v>670</v>
      </c>
      <c r="J184" s="82" t="str">
        <f>VLOOKUP(I184,MetaData!$E$2:$G$40,3,false)</f>
        <v>Hana</v>
      </c>
      <c r="K184" s="83"/>
    </row>
    <row r="185" ht="15.75" customHeight="1">
      <c r="A185" s="84">
        <v>214.0</v>
      </c>
      <c r="B185" s="77">
        <v>14.0</v>
      </c>
      <c r="C185" s="77" t="s">
        <v>965</v>
      </c>
      <c r="D185" s="77">
        <v>2.52610166E8</v>
      </c>
      <c r="E185" s="78" t="s">
        <v>677</v>
      </c>
      <c r="F185" s="77" t="s">
        <v>784</v>
      </c>
      <c r="G185" s="79" t="s">
        <v>42</v>
      </c>
      <c r="H185" s="79" t="str">
        <f>VLOOKUP(G185,MetaData!$A$2:$C$13,3,false)</f>
        <v>Deden Nur hasanah, S.E</v>
      </c>
      <c r="I185" s="79" t="s">
        <v>670</v>
      </c>
      <c r="J185" s="79" t="str">
        <f>VLOOKUP(I185,MetaData!$E$2:$G$40,3,false)</f>
        <v>Hana</v>
      </c>
      <c r="K185" s="80"/>
    </row>
    <row r="186" ht="15.75" customHeight="1">
      <c r="A186" s="85">
        <v>215.0</v>
      </c>
      <c r="B186" s="77">
        <v>17.0</v>
      </c>
      <c r="C186" s="77" t="s">
        <v>966</v>
      </c>
      <c r="D186" s="77">
        <v>2.52610205E8</v>
      </c>
      <c r="E186" s="78" t="s">
        <v>435</v>
      </c>
      <c r="F186" s="77" t="s">
        <v>784</v>
      </c>
      <c r="G186" s="82" t="s">
        <v>42</v>
      </c>
      <c r="H186" s="82" t="str">
        <f>VLOOKUP(G186,MetaData!$A$2:$C$13,3,false)</f>
        <v>Deden Nur hasanah, S.E</v>
      </c>
      <c r="I186" s="82" t="s">
        <v>428</v>
      </c>
      <c r="J186" s="82" t="str">
        <f>VLOOKUP(I186,MetaData!$E$2:$G$40,3,false)</f>
        <v>Iga</v>
      </c>
      <c r="K186" s="83"/>
    </row>
    <row r="187" ht="15.75" customHeight="1">
      <c r="A187" s="84">
        <v>216.0</v>
      </c>
      <c r="B187" s="77">
        <v>18.0</v>
      </c>
      <c r="C187" s="77" t="s">
        <v>967</v>
      </c>
      <c r="D187" s="77">
        <v>2.52610229E8</v>
      </c>
      <c r="E187" s="78" t="s">
        <v>678</v>
      </c>
      <c r="F187" s="77" t="s">
        <v>784</v>
      </c>
      <c r="G187" s="79" t="s">
        <v>42</v>
      </c>
      <c r="H187" s="79" t="str">
        <f>VLOOKUP(G187,MetaData!$A$2:$C$13,3,false)</f>
        <v>Deden Nur hasanah, S.E</v>
      </c>
      <c r="I187" s="79" t="s">
        <v>670</v>
      </c>
      <c r="J187" s="79" t="str">
        <f>VLOOKUP(I187,MetaData!$E$2:$G$40,3,false)</f>
        <v>Hana</v>
      </c>
      <c r="K187" s="80"/>
    </row>
    <row r="188" ht="15.75" customHeight="1">
      <c r="A188" s="85">
        <v>217.0</v>
      </c>
      <c r="B188" s="77">
        <v>19.0</v>
      </c>
      <c r="C188" s="77" t="s">
        <v>968</v>
      </c>
      <c r="D188" s="77">
        <v>2.5261023E8</v>
      </c>
      <c r="E188" s="78" t="s">
        <v>302</v>
      </c>
      <c r="F188" s="77" t="s">
        <v>782</v>
      </c>
      <c r="G188" s="82" t="s">
        <v>42</v>
      </c>
      <c r="H188" s="82" t="str">
        <f>VLOOKUP(G188,MetaData!$A$2:$C$13,3,false)</f>
        <v>Deden Nur hasanah, S.E</v>
      </c>
      <c r="I188" s="82" t="s">
        <v>297</v>
      </c>
      <c r="J188" s="82" t="str">
        <f>VLOOKUP(I188,MetaData!$E$2:$G$40,3,false)</f>
        <v>Topik &amp; Adrian</v>
      </c>
      <c r="K188" s="83"/>
    </row>
    <row r="189" ht="15.75" customHeight="1">
      <c r="A189" s="84">
        <v>218.0</v>
      </c>
      <c r="B189" s="77">
        <v>20.0</v>
      </c>
      <c r="C189" s="77" t="s">
        <v>969</v>
      </c>
      <c r="D189" s="77">
        <v>2.52610245E8</v>
      </c>
      <c r="E189" s="78" t="s">
        <v>679</v>
      </c>
      <c r="F189" s="77" t="s">
        <v>784</v>
      </c>
      <c r="G189" s="79" t="s">
        <v>42</v>
      </c>
      <c r="H189" s="79" t="str">
        <f>VLOOKUP(G189,MetaData!$A$2:$C$13,3,false)</f>
        <v>Deden Nur hasanah, S.E</v>
      </c>
      <c r="I189" s="79" t="s">
        <v>670</v>
      </c>
      <c r="J189" s="79" t="str">
        <f>VLOOKUP(I189,MetaData!$E$2:$G$40,3,false)</f>
        <v>Hana</v>
      </c>
      <c r="K189" s="80"/>
    </row>
    <row r="190" ht="15.75" customHeight="1">
      <c r="A190" s="85">
        <v>219.0</v>
      </c>
      <c r="B190" s="77">
        <v>21.0</v>
      </c>
      <c r="C190" s="77" t="s">
        <v>970</v>
      </c>
      <c r="D190" s="77">
        <v>2.52610281E8</v>
      </c>
      <c r="E190" s="78" t="s">
        <v>680</v>
      </c>
      <c r="F190" s="77" t="s">
        <v>784</v>
      </c>
      <c r="G190" s="82" t="s">
        <v>42</v>
      </c>
      <c r="H190" s="82" t="str">
        <f>VLOOKUP(G190,MetaData!$A$2:$C$13,3,false)</f>
        <v>Deden Nur hasanah, S.E</v>
      </c>
      <c r="I190" s="82" t="s">
        <v>670</v>
      </c>
      <c r="J190" s="82" t="str">
        <f>VLOOKUP(I190,MetaData!$E$2:$G$40,3,false)</f>
        <v>Hana</v>
      </c>
      <c r="K190" s="83"/>
    </row>
    <row r="191" ht="15.75" customHeight="1">
      <c r="A191" s="84">
        <v>220.0</v>
      </c>
      <c r="B191" s="77">
        <v>22.0</v>
      </c>
      <c r="C191" s="77" t="s">
        <v>971</v>
      </c>
      <c r="D191" s="77">
        <v>2.52610286E8</v>
      </c>
      <c r="E191" s="78" t="s">
        <v>681</v>
      </c>
      <c r="F191" s="77" t="s">
        <v>784</v>
      </c>
      <c r="G191" s="79" t="s">
        <v>42</v>
      </c>
      <c r="H191" s="79" t="str">
        <f>VLOOKUP(G191,MetaData!$A$2:$C$13,3,false)</f>
        <v>Deden Nur hasanah, S.E</v>
      </c>
      <c r="I191" s="79" t="s">
        <v>670</v>
      </c>
      <c r="J191" s="79" t="str">
        <f>VLOOKUP(I191,MetaData!$E$2:$G$40,3,false)</f>
        <v>Hana</v>
      </c>
      <c r="K191" s="80"/>
    </row>
    <row r="192" ht="15.75" customHeight="1">
      <c r="A192" s="85">
        <v>221.0</v>
      </c>
      <c r="B192" s="77">
        <v>23.0</v>
      </c>
      <c r="C192" s="77" t="s">
        <v>972</v>
      </c>
      <c r="D192" s="77">
        <v>2.52610299E8</v>
      </c>
      <c r="E192" s="78" t="s">
        <v>682</v>
      </c>
      <c r="F192" s="77" t="s">
        <v>784</v>
      </c>
      <c r="G192" s="82" t="s">
        <v>42</v>
      </c>
      <c r="H192" s="82" t="str">
        <f>VLOOKUP(G192,MetaData!$A$2:$C$13,3,false)</f>
        <v>Deden Nur hasanah, S.E</v>
      </c>
      <c r="I192" s="82" t="s">
        <v>670</v>
      </c>
      <c r="J192" s="82" t="str">
        <f>VLOOKUP(I192,MetaData!$E$2:$G$40,3,false)</f>
        <v>Hana</v>
      </c>
      <c r="K192" s="83"/>
    </row>
    <row r="193" ht="15.75" customHeight="1">
      <c r="A193" s="84">
        <v>222.0</v>
      </c>
      <c r="B193" s="77">
        <v>24.0</v>
      </c>
      <c r="C193" s="77" t="s">
        <v>973</v>
      </c>
      <c r="D193" s="77">
        <v>2.52610322E8</v>
      </c>
      <c r="E193" s="78" t="s">
        <v>303</v>
      </c>
      <c r="F193" s="77" t="s">
        <v>782</v>
      </c>
      <c r="G193" s="79" t="s">
        <v>42</v>
      </c>
      <c r="H193" s="79" t="str">
        <f>VLOOKUP(G193,MetaData!$A$2:$C$13,3,false)</f>
        <v>Deden Nur hasanah, S.E</v>
      </c>
      <c r="I193" s="79" t="s">
        <v>297</v>
      </c>
      <c r="J193" s="79" t="str">
        <f>VLOOKUP(I193,MetaData!$E$2:$G$40,3,false)</f>
        <v>Topik &amp; Adrian</v>
      </c>
      <c r="K193" s="80"/>
    </row>
    <row r="194" ht="15.75" customHeight="1">
      <c r="A194" s="85">
        <v>223.0</v>
      </c>
      <c r="B194" s="77">
        <v>25.0</v>
      </c>
      <c r="C194" s="77" t="s">
        <v>974</v>
      </c>
      <c r="D194" s="77">
        <v>2.52610323E8</v>
      </c>
      <c r="E194" s="78" t="s">
        <v>304</v>
      </c>
      <c r="F194" s="77" t="s">
        <v>782</v>
      </c>
      <c r="G194" s="82" t="s">
        <v>42</v>
      </c>
      <c r="H194" s="82" t="str">
        <f>VLOOKUP(G194,MetaData!$A$2:$C$13,3,false)</f>
        <v>Deden Nur hasanah, S.E</v>
      </c>
      <c r="I194" s="82" t="s">
        <v>297</v>
      </c>
      <c r="J194" s="82" t="str">
        <f>VLOOKUP(I194,MetaData!$E$2:$G$40,3,false)</f>
        <v>Topik &amp; Adrian</v>
      </c>
      <c r="K194" s="83"/>
    </row>
    <row r="195" ht="15.75" customHeight="1">
      <c r="A195" s="84">
        <v>224.0</v>
      </c>
      <c r="B195" s="77">
        <v>26.0</v>
      </c>
      <c r="C195" s="77" t="s">
        <v>975</v>
      </c>
      <c r="D195" s="77">
        <v>2.52610361E8</v>
      </c>
      <c r="E195" s="78" t="s">
        <v>234</v>
      </c>
      <c r="F195" s="77" t="s">
        <v>782</v>
      </c>
      <c r="G195" s="79" t="s">
        <v>42</v>
      </c>
      <c r="H195" s="79" t="str">
        <f>VLOOKUP(G195,MetaData!$A$2:$C$13,3,false)</f>
        <v>Deden Nur hasanah, S.E</v>
      </c>
      <c r="I195" s="79" t="s">
        <v>220</v>
      </c>
      <c r="J195" s="79" t="str">
        <f>VLOOKUP(I195,MetaData!$E$2:$G$40,3,false)</f>
        <v>Rekhsa</v>
      </c>
      <c r="K195" s="80"/>
    </row>
    <row r="196" ht="15.75" customHeight="1">
      <c r="A196" s="85">
        <v>225.0</v>
      </c>
      <c r="B196" s="77">
        <v>27.0</v>
      </c>
      <c r="C196" s="77" t="s">
        <v>976</v>
      </c>
      <c r="D196" s="77">
        <v>2.52610366E8</v>
      </c>
      <c r="E196" s="78" t="s">
        <v>305</v>
      </c>
      <c r="F196" s="77" t="s">
        <v>782</v>
      </c>
      <c r="G196" s="82" t="s">
        <v>42</v>
      </c>
      <c r="H196" s="82" t="str">
        <f>VLOOKUP(G196,MetaData!$A$2:$C$13,3,false)</f>
        <v>Deden Nur hasanah, S.E</v>
      </c>
      <c r="I196" s="82" t="s">
        <v>297</v>
      </c>
      <c r="J196" s="82" t="str">
        <f>VLOOKUP(I196,MetaData!$E$2:$G$40,3,false)</f>
        <v>Topik &amp; Adrian</v>
      </c>
      <c r="K196" s="83"/>
    </row>
    <row r="197" ht="15.75" customHeight="1">
      <c r="A197" s="84">
        <v>226.0</v>
      </c>
      <c r="B197" s="77">
        <v>28.0</v>
      </c>
      <c r="C197" s="77" t="s">
        <v>977</v>
      </c>
      <c r="D197" s="77">
        <v>2.52610374E8</v>
      </c>
      <c r="E197" s="78" t="s">
        <v>306</v>
      </c>
      <c r="F197" s="77" t="s">
        <v>782</v>
      </c>
      <c r="G197" s="79" t="s">
        <v>42</v>
      </c>
      <c r="H197" s="79" t="str">
        <f>VLOOKUP(G197,MetaData!$A$2:$C$13,3,false)</f>
        <v>Deden Nur hasanah, S.E</v>
      </c>
      <c r="I197" s="79" t="s">
        <v>297</v>
      </c>
      <c r="J197" s="79" t="str">
        <f>VLOOKUP(I197,MetaData!$E$2:$G$40,3,false)</f>
        <v>Topik &amp; Adrian</v>
      </c>
      <c r="K197" s="80"/>
    </row>
    <row r="198" ht="15.75" customHeight="1">
      <c r="A198" s="85">
        <v>227.0</v>
      </c>
      <c r="B198" s="77">
        <v>29.0</v>
      </c>
      <c r="C198" s="77" t="s">
        <v>978</v>
      </c>
      <c r="D198" s="77">
        <v>2.52610379E8</v>
      </c>
      <c r="E198" s="78" t="s">
        <v>307</v>
      </c>
      <c r="F198" s="77" t="s">
        <v>782</v>
      </c>
      <c r="G198" s="82" t="s">
        <v>42</v>
      </c>
      <c r="H198" s="82" t="str">
        <f>VLOOKUP(G198,MetaData!$A$2:$C$13,3,false)</f>
        <v>Deden Nur hasanah, S.E</v>
      </c>
      <c r="I198" s="82" t="s">
        <v>297</v>
      </c>
      <c r="J198" s="82" t="str">
        <f>VLOOKUP(I198,MetaData!$E$2:$G$40,3,false)</f>
        <v>Topik &amp; Adrian</v>
      </c>
      <c r="K198" s="83"/>
    </row>
    <row r="199" ht="15.75" customHeight="1">
      <c r="A199" s="84">
        <v>228.0</v>
      </c>
      <c r="B199" s="77">
        <v>30.0</v>
      </c>
      <c r="C199" s="77" t="s">
        <v>979</v>
      </c>
      <c r="D199" s="77">
        <v>2.52610384E8</v>
      </c>
      <c r="E199" s="78" t="s">
        <v>513</v>
      </c>
      <c r="F199" s="77" t="s">
        <v>784</v>
      </c>
      <c r="G199" s="79" t="s">
        <v>42</v>
      </c>
      <c r="H199" s="79" t="str">
        <f>VLOOKUP(G199,MetaData!$A$2:$C$13,3,false)</f>
        <v>Deden Nur hasanah, S.E</v>
      </c>
      <c r="I199" s="79" t="s">
        <v>512</v>
      </c>
      <c r="J199" s="79" t="str">
        <f>VLOOKUP(I199,MetaData!$E$2:$G$40,3,false)</f>
        <v>Sabika (XI)</v>
      </c>
      <c r="K199" s="80"/>
    </row>
    <row r="200" ht="15.75" customHeight="1">
      <c r="A200" s="85">
        <v>229.0</v>
      </c>
      <c r="B200" s="77">
        <v>31.0</v>
      </c>
      <c r="C200" s="77" t="s">
        <v>980</v>
      </c>
      <c r="D200" s="77">
        <v>2.52610401E8</v>
      </c>
      <c r="E200" s="78" t="s">
        <v>308</v>
      </c>
      <c r="F200" s="77" t="s">
        <v>782</v>
      </c>
      <c r="G200" s="82" t="s">
        <v>42</v>
      </c>
      <c r="H200" s="82" t="str">
        <f>VLOOKUP(G200,MetaData!$A$2:$C$13,3,false)</f>
        <v>Deden Nur hasanah, S.E</v>
      </c>
      <c r="I200" s="82" t="s">
        <v>297</v>
      </c>
      <c r="J200" s="82" t="str">
        <f>VLOOKUP(I200,MetaData!$E$2:$G$40,3,false)</f>
        <v>Topik &amp; Adrian</v>
      </c>
      <c r="K200" s="83"/>
    </row>
    <row r="201" ht="15.75" customHeight="1">
      <c r="A201" s="84">
        <v>230.0</v>
      </c>
      <c r="B201" s="77">
        <v>32.0</v>
      </c>
      <c r="C201" s="77" t="s">
        <v>981</v>
      </c>
      <c r="D201" s="77">
        <v>2.52610412E8</v>
      </c>
      <c r="E201" s="78" t="s">
        <v>437</v>
      </c>
      <c r="F201" s="77" t="s">
        <v>784</v>
      </c>
      <c r="G201" s="79" t="s">
        <v>42</v>
      </c>
      <c r="H201" s="79" t="str">
        <f>VLOOKUP(G201,MetaData!$A$2:$C$13,3,false)</f>
        <v>Deden Nur hasanah, S.E</v>
      </c>
      <c r="I201" s="79" t="s">
        <v>428</v>
      </c>
      <c r="J201" s="79" t="str">
        <f>VLOOKUP(I201,MetaData!$E$2:$G$40,3,false)</f>
        <v>Iga</v>
      </c>
      <c r="K201" s="80"/>
    </row>
    <row r="202" ht="15.75" customHeight="1">
      <c r="A202" s="85">
        <v>231.0</v>
      </c>
      <c r="B202" s="77">
        <v>33.0</v>
      </c>
      <c r="C202" s="77" t="s">
        <v>982</v>
      </c>
      <c r="D202" s="77">
        <v>2.52610414E8</v>
      </c>
      <c r="E202" s="78" t="s">
        <v>514</v>
      </c>
      <c r="F202" s="77" t="s">
        <v>784</v>
      </c>
      <c r="G202" s="82" t="s">
        <v>42</v>
      </c>
      <c r="H202" s="82" t="str">
        <f>VLOOKUP(G202,MetaData!$A$2:$C$13,3,false)</f>
        <v>Deden Nur hasanah, S.E</v>
      </c>
      <c r="I202" s="82" t="s">
        <v>512</v>
      </c>
      <c r="J202" s="82" t="str">
        <f>VLOOKUP(I202,MetaData!$E$2:$G$40,3,false)</f>
        <v>Sabika (XI)</v>
      </c>
      <c r="K202" s="83"/>
    </row>
    <row r="203" ht="15.75" customHeight="1">
      <c r="A203" s="84">
        <v>232.0</v>
      </c>
      <c r="B203" s="77">
        <v>34.0</v>
      </c>
      <c r="C203" s="77" t="s">
        <v>983</v>
      </c>
      <c r="D203" s="77">
        <v>2.52610427E8</v>
      </c>
      <c r="E203" s="78" t="s">
        <v>439</v>
      </c>
      <c r="F203" s="77" t="s">
        <v>784</v>
      </c>
      <c r="G203" s="79" t="s">
        <v>42</v>
      </c>
      <c r="H203" s="79" t="str">
        <f>VLOOKUP(G203,MetaData!$A$2:$C$13,3,false)</f>
        <v>Deden Nur hasanah, S.E</v>
      </c>
      <c r="I203" s="79" t="s">
        <v>428</v>
      </c>
      <c r="J203" s="79" t="str">
        <f>VLOOKUP(I203,MetaData!$E$2:$G$40,3,false)</f>
        <v>Iga</v>
      </c>
      <c r="K203" s="80"/>
    </row>
    <row r="204" ht="15.75" customHeight="1">
      <c r="A204" s="85">
        <v>233.0</v>
      </c>
      <c r="B204" s="77">
        <v>35.0</v>
      </c>
      <c r="C204" s="77" t="s">
        <v>984</v>
      </c>
      <c r="D204" s="77">
        <v>2.52610429E8</v>
      </c>
      <c r="E204" s="78" t="s">
        <v>309</v>
      </c>
      <c r="F204" s="77" t="s">
        <v>782</v>
      </c>
      <c r="G204" s="82" t="s">
        <v>42</v>
      </c>
      <c r="H204" s="82" t="str">
        <f>VLOOKUP(G204,MetaData!$A$2:$C$13,3,false)</f>
        <v>Deden Nur hasanah, S.E</v>
      </c>
      <c r="I204" s="82" t="s">
        <v>297</v>
      </c>
      <c r="J204" s="82" t="str">
        <f>VLOOKUP(I204,MetaData!$E$2:$G$40,3,false)</f>
        <v>Topik &amp; Adrian</v>
      </c>
      <c r="K204" s="83"/>
    </row>
    <row r="205" ht="15.75" customHeight="1">
      <c r="A205" s="84">
        <v>234.0</v>
      </c>
      <c r="B205" s="77">
        <v>36.0</v>
      </c>
      <c r="C205" s="77" t="s">
        <v>985</v>
      </c>
      <c r="D205" s="77">
        <v>2.52610437E8</v>
      </c>
      <c r="E205" s="78" t="s">
        <v>515</v>
      </c>
      <c r="F205" s="77" t="s">
        <v>784</v>
      </c>
      <c r="G205" s="79" t="s">
        <v>42</v>
      </c>
      <c r="H205" s="79" t="str">
        <f>VLOOKUP(G205,MetaData!$A$2:$C$13,3,false)</f>
        <v>Deden Nur hasanah, S.E</v>
      </c>
      <c r="I205" s="79" t="s">
        <v>512</v>
      </c>
      <c r="J205" s="79" t="str">
        <f>VLOOKUP(I205,MetaData!$E$2:$G$40,3,false)</f>
        <v>Sabika (XI)</v>
      </c>
      <c r="K205" s="80"/>
    </row>
    <row r="206" ht="15.75" customHeight="1">
      <c r="A206" s="85">
        <v>235.0</v>
      </c>
      <c r="B206" s="77">
        <v>37.0</v>
      </c>
      <c r="C206" s="77" t="s">
        <v>986</v>
      </c>
      <c r="D206" s="77">
        <v>2.5261045E8</v>
      </c>
      <c r="E206" s="78" t="s">
        <v>516</v>
      </c>
      <c r="F206" s="77" t="s">
        <v>784</v>
      </c>
      <c r="G206" s="82" t="s">
        <v>42</v>
      </c>
      <c r="H206" s="82" t="str">
        <f>VLOOKUP(G206,MetaData!$A$2:$C$13,3,false)</f>
        <v>Deden Nur hasanah, S.E</v>
      </c>
      <c r="I206" s="82" t="s">
        <v>512</v>
      </c>
      <c r="J206" s="82" t="str">
        <f>VLOOKUP(I206,MetaData!$E$2:$G$40,3,false)</f>
        <v>Sabika (XI)</v>
      </c>
      <c r="K206" s="83"/>
    </row>
    <row r="207" ht="15.75" customHeight="1">
      <c r="A207" s="84">
        <v>236.0</v>
      </c>
      <c r="B207" s="77">
        <v>38.0</v>
      </c>
      <c r="C207" s="77" t="s">
        <v>987</v>
      </c>
      <c r="D207" s="77">
        <v>2.52610451E8</v>
      </c>
      <c r="E207" s="78" t="s">
        <v>517</v>
      </c>
      <c r="F207" s="77" t="s">
        <v>784</v>
      </c>
      <c r="G207" s="79" t="s">
        <v>42</v>
      </c>
      <c r="H207" s="79" t="str">
        <f>VLOOKUP(G207,MetaData!$A$2:$C$13,3,false)</f>
        <v>Deden Nur hasanah, S.E</v>
      </c>
      <c r="I207" s="79" t="s">
        <v>512</v>
      </c>
      <c r="J207" s="79" t="str">
        <f>VLOOKUP(I207,MetaData!$E$2:$G$40,3,false)</f>
        <v>Sabika (XI)</v>
      </c>
      <c r="K207" s="80"/>
    </row>
    <row r="208" ht="15.75" customHeight="1">
      <c r="A208" s="85">
        <v>237.0</v>
      </c>
      <c r="B208" s="77">
        <v>39.0</v>
      </c>
      <c r="C208" s="77" t="s">
        <v>988</v>
      </c>
      <c r="D208" s="77">
        <v>2.52610471E8</v>
      </c>
      <c r="E208" s="78" t="s">
        <v>310</v>
      </c>
      <c r="F208" s="77" t="s">
        <v>782</v>
      </c>
      <c r="G208" s="82" t="s">
        <v>42</v>
      </c>
      <c r="H208" s="82" t="str">
        <f>VLOOKUP(G208,MetaData!$A$2:$C$13,3,false)</f>
        <v>Deden Nur hasanah, S.E</v>
      </c>
      <c r="I208" s="82" t="s">
        <v>297</v>
      </c>
      <c r="J208" s="82" t="str">
        <f>VLOOKUP(I208,MetaData!$E$2:$G$40,3,false)</f>
        <v>Topik &amp; Adrian</v>
      </c>
      <c r="K208" s="83"/>
    </row>
    <row r="209" ht="15.75" customHeight="1">
      <c r="A209" s="84">
        <v>238.0</v>
      </c>
      <c r="B209" s="77">
        <v>40.0</v>
      </c>
      <c r="C209" s="77" t="s">
        <v>989</v>
      </c>
      <c r="D209" s="77">
        <v>2.52610481E8</v>
      </c>
      <c r="E209" s="78" t="s">
        <v>518</v>
      </c>
      <c r="F209" s="77" t="s">
        <v>784</v>
      </c>
      <c r="G209" s="79" t="s">
        <v>42</v>
      </c>
      <c r="H209" s="79" t="str">
        <f>VLOOKUP(G209,MetaData!$A$2:$C$13,3,false)</f>
        <v>Deden Nur hasanah, S.E</v>
      </c>
      <c r="I209" s="79" t="s">
        <v>512</v>
      </c>
      <c r="J209" s="79" t="str">
        <f>VLOOKUP(I209,MetaData!$E$2:$G$40,3,false)</f>
        <v>Sabika (XI)</v>
      </c>
      <c r="K209" s="80"/>
    </row>
    <row r="210" ht="15.75" customHeight="1">
      <c r="A210" s="85">
        <v>239.0</v>
      </c>
      <c r="B210" s="77">
        <v>41.0</v>
      </c>
      <c r="C210" s="77" t="s">
        <v>990</v>
      </c>
      <c r="D210" s="77">
        <v>2.52610488E8</v>
      </c>
      <c r="E210" s="78" t="s">
        <v>519</v>
      </c>
      <c r="F210" s="77" t="s">
        <v>784</v>
      </c>
      <c r="G210" s="82" t="s">
        <v>42</v>
      </c>
      <c r="H210" s="82" t="str">
        <f>VLOOKUP(G210,MetaData!$A$2:$C$13,3,false)</f>
        <v>Deden Nur hasanah, S.E</v>
      </c>
      <c r="I210" s="82" t="s">
        <v>512</v>
      </c>
      <c r="J210" s="82" t="str">
        <f>VLOOKUP(I210,MetaData!$E$2:$G$40,3,false)</f>
        <v>Sabika (XI)</v>
      </c>
      <c r="K210" s="83"/>
    </row>
    <row r="211" ht="15.75" customHeight="1">
      <c r="A211" s="84">
        <v>240.0</v>
      </c>
      <c r="B211" s="77">
        <v>42.0</v>
      </c>
      <c r="C211" s="77" t="s">
        <v>991</v>
      </c>
      <c r="D211" s="77">
        <v>2.52610507E8</v>
      </c>
      <c r="E211" s="78" t="s">
        <v>520</v>
      </c>
      <c r="F211" s="77" t="s">
        <v>784</v>
      </c>
      <c r="G211" s="79" t="s">
        <v>42</v>
      </c>
      <c r="H211" s="79" t="str">
        <f>VLOOKUP(G211,MetaData!$A$2:$C$13,3,false)</f>
        <v>Deden Nur hasanah, S.E</v>
      </c>
      <c r="I211" s="79" t="s">
        <v>512</v>
      </c>
      <c r="J211" s="79" t="str">
        <f>VLOOKUP(I211,MetaData!$E$2:$G$40,3,false)</f>
        <v>Sabika (XI)</v>
      </c>
      <c r="K211" s="80"/>
    </row>
    <row r="212" ht="15.75" customHeight="1">
      <c r="A212" s="85">
        <v>241.0</v>
      </c>
      <c r="B212" s="77">
        <v>43.0</v>
      </c>
      <c r="C212" s="77" t="s">
        <v>992</v>
      </c>
      <c r="D212" s="77">
        <v>2.52610535E8</v>
      </c>
      <c r="E212" s="78" t="s">
        <v>521</v>
      </c>
      <c r="F212" s="77" t="s">
        <v>784</v>
      </c>
      <c r="G212" s="82" t="s">
        <v>42</v>
      </c>
      <c r="H212" s="82" t="str">
        <f>VLOOKUP(G212,MetaData!$A$2:$C$13,3,false)</f>
        <v>Deden Nur hasanah, S.E</v>
      </c>
      <c r="I212" s="82" t="s">
        <v>512</v>
      </c>
      <c r="J212" s="82" t="str">
        <f>VLOOKUP(I212,MetaData!$E$2:$G$40,3,false)</f>
        <v>Sabika (XI)</v>
      </c>
      <c r="K212" s="83"/>
    </row>
    <row r="213" ht="15.75" customHeight="1">
      <c r="A213" s="84">
        <v>242.0</v>
      </c>
      <c r="B213" s="77">
        <v>44.0</v>
      </c>
      <c r="C213" s="77" t="s">
        <v>993</v>
      </c>
      <c r="D213" s="77">
        <v>2.5261054E8</v>
      </c>
      <c r="E213" s="78" t="s">
        <v>522</v>
      </c>
      <c r="F213" s="77" t="s">
        <v>784</v>
      </c>
      <c r="G213" s="79" t="s">
        <v>42</v>
      </c>
      <c r="H213" s="79" t="str">
        <f>VLOOKUP(G213,MetaData!$A$2:$C$13,3,false)</f>
        <v>Deden Nur hasanah, S.E</v>
      </c>
      <c r="I213" s="79" t="s">
        <v>512</v>
      </c>
      <c r="J213" s="79" t="str">
        <f>VLOOKUP(I213,MetaData!$E$2:$G$40,3,false)</f>
        <v>Sabika (XI)</v>
      </c>
      <c r="K213" s="80"/>
    </row>
    <row r="214" ht="15.75" customHeight="1">
      <c r="A214" s="85">
        <v>243.0</v>
      </c>
      <c r="B214" s="77">
        <v>45.0</v>
      </c>
      <c r="C214" s="77" t="s">
        <v>994</v>
      </c>
      <c r="D214" s="77">
        <v>2.52610543E8</v>
      </c>
      <c r="E214" s="78" t="s">
        <v>523</v>
      </c>
      <c r="F214" s="77" t="s">
        <v>784</v>
      </c>
      <c r="G214" s="82" t="s">
        <v>42</v>
      </c>
      <c r="H214" s="82" t="str">
        <f>VLOOKUP(G214,MetaData!$A$2:$C$13,3,false)</f>
        <v>Deden Nur hasanah, S.E</v>
      </c>
      <c r="I214" s="82" t="s">
        <v>512</v>
      </c>
      <c r="J214" s="82" t="str">
        <f>VLOOKUP(I214,MetaData!$E$2:$G$40,3,false)</f>
        <v>Sabika (XI)</v>
      </c>
      <c r="K214" s="83"/>
    </row>
    <row r="215" ht="15.75" customHeight="1">
      <c r="A215" s="84">
        <v>244.0</v>
      </c>
      <c r="B215" s="77">
        <v>46.0</v>
      </c>
      <c r="C215" s="77" t="s">
        <v>995</v>
      </c>
      <c r="D215" s="77">
        <v>2.52610549E8</v>
      </c>
      <c r="E215" s="78" t="s">
        <v>311</v>
      </c>
      <c r="F215" s="77" t="s">
        <v>782</v>
      </c>
      <c r="G215" s="79" t="s">
        <v>42</v>
      </c>
      <c r="H215" s="79" t="str">
        <f>VLOOKUP(G215,MetaData!$A$2:$C$13,3,false)</f>
        <v>Deden Nur hasanah, S.E</v>
      </c>
      <c r="I215" s="79" t="s">
        <v>297</v>
      </c>
      <c r="J215" s="79" t="str">
        <f>VLOOKUP(I215,MetaData!$E$2:$G$40,3,false)</f>
        <v>Topik &amp; Adrian</v>
      </c>
      <c r="K215" s="80"/>
    </row>
    <row r="216" ht="15.75" customHeight="1">
      <c r="A216" s="85">
        <v>245.0</v>
      </c>
      <c r="B216" s="77">
        <v>47.0</v>
      </c>
      <c r="C216" s="77" t="s">
        <v>996</v>
      </c>
      <c r="D216" s="77">
        <v>2.52610554E8</v>
      </c>
      <c r="E216" s="78" t="s">
        <v>524</v>
      </c>
      <c r="F216" s="77" t="s">
        <v>784</v>
      </c>
      <c r="G216" s="82" t="s">
        <v>42</v>
      </c>
      <c r="H216" s="82" t="str">
        <f>VLOOKUP(G216,MetaData!$A$2:$C$13,3,false)</f>
        <v>Deden Nur hasanah, S.E</v>
      </c>
      <c r="I216" s="82" t="s">
        <v>512</v>
      </c>
      <c r="J216" s="82" t="str">
        <f>VLOOKUP(I216,MetaData!$E$2:$G$40,3,false)</f>
        <v>Sabika (XI)</v>
      </c>
      <c r="K216" s="83"/>
    </row>
    <row r="217" ht="15.75" customHeight="1">
      <c r="A217" s="76">
        <v>253.0</v>
      </c>
      <c r="B217" s="77">
        <v>3.0</v>
      </c>
      <c r="C217" s="77" t="s">
        <v>997</v>
      </c>
      <c r="D217" s="77">
        <v>2.52610036E8</v>
      </c>
      <c r="E217" s="78" t="s">
        <v>658</v>
      </c>
      <c r="F217" s="77" t="s">
        <v>784</v>
      </c>
      <c r="G217" s="79" t="s">
        <v>46</v>
      </c>
      <c r="H217" s="79" t="str">
        <f>VLOOKUP(G217,MetaData!$A$2:$C$13,3,false)</f>
        <v>Raden Rara Tatra Sudhawati, S.Pd, M.Pd</v>
      </c>
      <c r="I217" s="79" t="s">
        <v>657</v>
      </c>
      <c r="J217" s="79" t="str">
        <f>VLOOKUP(I217,MetaData!$E$2:$G$40,3,false)</f>
        <v>Khairunnisa (XII)</v>
      </c>
      <c r="K217" s="80"/>
    </row>
    <row r="218" ht="15.75" customHeight="1">
      <c r="A218" s="81">
        <v>254.0</v>
      </c>
      <c r="B218" s="77">
        <v>4.0</v>
      </c>
      <c r="C218" s="77" t="s">
        <v>998</v>
      </c>
      <c r="D218" s="77">
        <v>2.52610042E8</v>
      </c>
      <c r="E218" s="78" t="s">
        <v>659</v>
      </c>
      <c r="F218" s="77" t="s">
        <v>784</v>
      </c>
      <c r="G218" s="82" t="s">
        <v>46</v>
      </c>
      <c r="H218" s="82" t="str">
        <f>VLOOKUP(G218,MetaData!$A$2:$C$13,3,false)</f>
        <v>Raden Rara Tatra Sudhawati, S.Pd, M.Pd</v>
      </c>
      <c r="I218" s="82" t="s">
        <v>657</v>
      </c>
      <c r="J218" s="82" t="str">
        <f>VLOOKUP(I218,MetaData!$E$2:$G$40,3,false)</f>
        <v>Khairunnisa (XII)</v>
      </c>
      <c r="K218" s="83"/>
    </row>
    <row r="219" ht="15.75" customHeight="1">
      <c r="A219" s="76">
        <v>255.0</v>
      </c>
      <c r="B219" s="77">
        <v>5.0</v>
      </c>
      <c r="C219" s="77" t="s">
        <v>999</v>
      </c>
      <c r="D219" s="77">
        <v>2.52610072E8</v>
      </c>
      <c r="E219" s="78" t="s">
        <v>660</v>
      </c>
      <c r="F219" s="77" t="s">
        <v>784</v>
      </c>
      <c r="G219" s="79" t="s">
        <v>46</v>
      </c>
      <c r="H219" s="79" t="str">
        <f>VLOOKUP(G219,MetaData!$A$2:$C$13,3,false)</f>
        <v>Raden Rara Tatra Sudhawati, S.Pd, M.Pd</v>
      </c>
      <c r="I219" s="79" t="s">
        <v>657</v>
      </c>
      <c r="J219" s="79" t="str">
        <f>VLOOKUP(I219,MetaData!$E$2:$G$40,3,false)</f>
        <v>Khairunnisa (XII)</v>
      </c>
      <c r="K219" s="80"/>
    </row>
    <row r="220" ht="15.75" customHeight="1">
      <c r="A220" s="81">
        <v>256.0</v>
      </c>
      <c r="B220" s="77">
        <v>7.0</v>
      </c>
      <c r="C220" s="77" t="s">
        <v>1000</v>
      </c>
      <c r="D220" s="77">
        <v>2.52610134E8</v>
      </c>
      <c r="E220" s="78" t="s">
        <v>661</v>
      </c>
      <c r="F220" s="77" t="s">
        <v>784</v>
      </c>
      <c r="G220" s="82" t="s">
        <v>46</v>
      </c>
      <c r="H220" s="82" t="str">
        <f>VLOOKUP(G220,MetaData!$A$2:$C$13,3,false)</f>
        <v>Raden Rara Tatra Sudhawati, S.Pd, M.Pd</v>
      </c>
      <c r="I220" s="82" t="s">
        <v>657</v>
      </c>
      <c r="J220" s="82" t="str">
        <f>VLOOKUP(I220,MetaData!$E$2:$G$40,3,false)</f>
        <v>Khairunnisa (XII)</v>
      </c>
      <c r="K220" s="83"/>
    </row>
    <row r="221" ht="15.75" customHeight="1">
      <c r="A221" s="76">
        <v>257.0</v>
      </c>
      <c r="B221" s="77">
        <v>9.0</v>
      </c>
      <c r="C221" s="77" t="s">
        <v>1001</v>
      </c>
      <c r="D221" s="77">
        <v>2.52610157E8</v>
      </c>
      <c r="E221" s="78" t="s">
        <v>662</v>
      </c>
      <c r="F221" s="77" t="s">
        <v>784</v>
      </c>
      <c r="G221" s="79" t="s">
        <v>46</v>
      </c>
      <c r="H221" s="79" t="str">
        <f>VLOOKUP(G221,MetaData!$A$2:$C$13,3,false)</f>
        <v>Raden Rara Tatra Sudhawati, S.Pd, M.Pd</v>
      </c>
      <c r="I221" s="79" t="s">
        <v>657</v>
      </c>
      <c r="J221" s="79" t="str">
        <f>VLOOKUP(I221,MetaData!$E$2:$G$40,3,false)</f>
        <v>Khairunnisa (XII)</v>
      </c>
      <c r="K221" s="80"/>
    </row>
    <row r="222" ht="15.75" customHeight="1">
      <c r="A222" s="81">
        <v>258.0</v>
      </c>
      <c r="B222" s="77">
        <v>10.0</v>
      </c>
      <c r="C222" s="77" t="s">
        <v>1002</v>
      </c>
      <c r="D222" s="77">
        <v>2.52610167E8</v>
      </c>
      <c r="E222" s="78" t="s">
        <v>663</v>
      </c>
      <c r="F222" s="77" t="s">
        <v>784</v>
      </c>
      <c r="G222" s="82" t="s">
        <v>46</v>
      </c>
      <c r="H222" s="82" t="str">
        <f>VLOOKUP(G222,MetaData!$A$2:$C$13,3,false)</f>
        <v>Raden Rara Tatra Sudhawati, S.Pd, M.Pd</v>
      </c>
      <c r="I222" s="82" t="s">
        <v>657</v>
      </c>
      <c r="J222" s="82" t="str">
        <f>VLOOKUP(I222,MetaData!$E$2:$G$40,3,false)</f>
        <v>Khairunnisa (XII)</v>
      </c>
      <c r="K222" s="83"/>
    </row>
    <row r="223" ht="15.75" customHeight="1">
      <c r="A223" s="76">
        <v>259.0</v>
      </c>
      <c r="B223" s="77">
        <v>11.0</v>
      </c>
      <c r="C223" s="77" t="s">
        <v>1003</v>
      </c>
      <c r="D223" s="77">
        <v>2.52610172E8</v>
      </c>
      <c r="E223" s="78" t="s">
        <v>290</v>
      </c>
      <c r="F223" s="77" t="s">
        <v>782</v>
      </c>
      <c r="G223" s="79" t="s">
        <v>46</v>
      </c>
      <c r="H223" s="79" t="str">
        <f>VLOOKUP(G223,MetaData!$A$2:$C$13,3,false)</f>
        <v>Raden Rara Tatra Sudhawati, S.Pd, M.Pd</v>
      </c>
      <c r="I223" s="79" t="s">
        <v>289</v>
      </c>
      <c r="J223" s="79" t="str">
        <f>VLOOKUP(I223,MetaData!$E$2:$G$40,3,false)</f>
        <v>Arumbinang</v>
      </c>
      <c r="K223" s="80"/>
    </row>
    <row r="224" ht="15.75" customHeight="1">
      <c r="A224" s="81">
        <v>260.0</v>
      </c>
      <c r="B224" s="77">
        <v>12.0</v>
      </c>
      <c r="C224" s="77" t="s">
        <v>1004</v>
      </c>
      <c r="D224" s="77">
        <v>2.52610176E8</v>
      </c>
      <c r="E224" s="78" t="s">
        <v>291</v>
      </c>
      <c r="F224" s="77" t="s">
        <v>782</v>
      </c>
      <c r="G224" s="82" t="s">
        <v>46</v>
      </c>
      <c r="H224" s="82" t="str">
        <f>VLOOKUP(G224,MetaData!$A$2:$C$13,3,false)</f>
        <v>Raden Rara Tatra Sudhawati, S.Pd, M.Pd</v>
      </c>
      <c r="I224" s="82" t="s">
        <v>289</v>
      </c>
      <c r="J224" s="82" t="str">
        <f>VLOOKUP(I224,MetaData!$E$2:$G$40,3,false)</f>
        <v>Arumbinang</v>
      </c>
      <c r="K224" s="83"/>
    </row>
    <row r="225" ht="15.75" customHeight="1">
      <c r="A225" s="76">
        <v>261.0</v>
      </c>
      <c r="B225" s="77">
        <v>14.0</v>
      </c>
      <c r="C225" s="77" t="s">
        <v>1005</v>
      </c>
      <c r="D225" s="77">
        <v>2.52610194E8</v>
      </c>
      <c r="E225" s="78" t="s">
        <v>664</v>
      </c>
      <c r="F225" s="77" t="s">
        <v>784</v>
      </c>
      <c r="G225" s="79" t="s">
        <v>46</v>
      </c>
      <c r="H225" s="79" t="str">
        <f>VLOOKUP(G225,MetaData!$A$2:$C$13,3,false)</f>
        <v>Raden Rara Tatra Sudhawati, S.Pd, M.Pd</v>
      </c>
      <c r="I225" s="79" t="s">
        <v>657</v>
      </c>
      <c r="J225" s="79" t="str">
        <f>VLOOKUP(I225,MetaData!$E$2:$G$40,3,false)</f>
        <v>Khairunnisa (XII)</v>
      </c>
      <c r="K225" s="80"/>
    </row>
    <row r="226" ht="15.75" customHeight="1">
      <c r="A226" s="81">
        <v>262.0</v>
      </c>
      <c r="B226" s="77">
        <v>15.0</v>
      </c>
      <c r="C226" s="77" t="s">
        <v>1006</v>
      </c>
      <c r="D226" s="77">
        <v>2.52610195E8</v>
      </c>
      <c r="E226" s="78" t="s">
        <v>450</v>
      </c>
      <c r="F226" s="77" t="s">
        <v>784</v>
      </c>
      <c r="G226" s="82" t="s">
        <v>46</v>
      </c>
      <c r="H226" s="82" t="str">
        <f>VLOOKUP(G226,MetaData!$A$2:$C$13,3,false)</f>
        <v>Raden Rara Tatra Sudhawati, S.Pd, M.Pd</v>
      </c>
      <c r="I226" s="82" t="s">
        <v>443</v>
      </c>
      <c r="J226" s="82" t="str">
        <f>VLOOKUP(I226,MetaData!$E$2:$G$40,3,false)</f>
        <v>Ayun</v>
      </c>
      <c r="K226" s="83"/>
    </row>
    <row r="227" ht="15.75" customHeight="1">
      <c r="A227" s="76">
        <v>263.0</v>
      </c>
      <c r="B227" s="77">
        <v>17.0</v>
      </c>
      <c r="C227" s="77" t="s">
        <v>1007</v>
      </c>
      <c r="D227" s="77">
        <v>2.52610209E8</v>
      </c>
      <c r="E227" s="78" t="s">
        <v>665</v>
      </c>
      <c r="F227" s="77" t="s">
        <v>784</v>
      </c>
      <c r="G227" s="79" t="s">
        <v>46</v>
      </c>
      <c r="H227" s="79" t="str">
        <f>VLOOKUP(G227,MetaData!$A$2:$C$13,3,false)</f>
        <v>Raden Rara Tatra Sudhawati, S.Pd, M.Pd</v>
      </c>
      <c r="I227" s="79" t="s">
        <v>657</v>
      </c>
      <c r="J227" s="79" t="str">
        <f>VLOOKUP(I227,MetaData!$E$2:$G$40,3,false)</f>
        <v>Khairunnisa (XII)</v>
      </c>
      <c r="K227" s="80"/>
    </row>
    <row r="228" ht="15.75" customHeight="1">
      <c r="A228" s="81">
        <v>264.0</v>
      </c>
      <c r="B228" s="77">
        <v>18.0</v>
      </c>
      <c r="C228" s="77" t="s">
        <v>1008</v>
      </c>
      <c r="D228" s="77">
        <v>2.5261021E8</v>
      </c>
      <c r="E228" s="78" t="s">
        <v>666</v>
      </c>
      <c r="F228" s="77" t="s">
        <v>784</v>
      </c>
      <c r="G228" s="82" t="s">
        <v>46</v>
      </c>
      <c r="H228" s="82" t="str">
        <f>VLOOKUP(G228,MetaData!$A$2:$C$13,3,false)</f>
        <v>Raden Rara Tatra Sudhawati, S.Pd, M.Pd</v>
      </c>
      <c r="I228" s="82" t="s">
        <v>657</v>
      </c>
      <c r="J228" s="82" t="str">
        <f>VLOOKUP(I228,MetaData!$E$2:$G$40,3,false)</f>
        <v>Khairunnisa (XII)</v>
      </c>
      <c r="K228" s="83"/>
    </row>
    <row r="229" ht="15.75" customHeight="1">
      <c r="A229" s="76">
        <v>265.0</v>
      </c>
      <c r="B229" s="77">
        <v>19.0</v>
      </c>
      <c r="C229" s="77" t="s">
        <v>1009</v>
      </c>
      <c r="D229" s="77">
        <v>2.52610214E8</v>
      </c>
      <c r="E229" s="78" t="s">
        <v>667</v>
      </c>
      <c r="F229" s="77" t="s">
        <v>784</v>
      </c>
      <c r="G229" s="79" t="s">
        <v>46</v>
      </c>
      <c r="H229" s="79" t="str">
        <f>VLOOKUP(G229,MetaData!$A$2:$C$13,3,false)</f>
        <v>Raden Rara Tatra Sudhawati, S.Pd, M.Pd</v>
      </c>
      <c r="I229" s="79" t="s">
        <v>657</v>
      </c>
      <c r="J229" s="79" t="str">
        <f>VLOOKUP(I229,MetaData!$E$2:$G$40,3,false)</f>
        <v>Khairunnisa (XII)</v>
      </c>
      <c r="K229" s="80"/>
    </row>
    <row r="230" ht="15.75" customHeight="1">
      <c r="A230" s="81">
        <v>266.0</v>
      </c>
      <c r="B230" s="77">
        <v>20.0</v>
      </c>
      <c r="C230" s="77" t="s">
        <v>1010</v>
      </c>
      <c r="D230" s="77">
        <v>2.52610227E8</v>
      </c>
      <c r="E230" s="78" t="s">
        <v>668</v>
      </c>
      <c r="F230" s="77" t="s">
        <v>784</v>
      </c>
      <c r="G230" s="82" t="s">
        <v>46</v>
      </c>
      <c r="H230" s="82" t="str">
        <f>VLOOKUP(G230,MetaData!$A$2:$C$13,3,false)</f>
        <v>Raden Rara Tatra Sudhawati, S.Pd, M.Pd</v>
      </c>
      <c r="I230" s="82" t="s">
        <v>657</v>
      </c>
      <c r="J230" s="82" t="str">
        <f>VLOOKUP(I230,MetaData!$E$2:$G$40,3,false)</f>
        <v>Khairunnisa (XII)</v>
      </c>
      <c r="K230" s="83"/>
    </row>
    <row r="231" ht="15.75" customHeight="1">
      <c r="A231" s="76">
        <v>267.0</v>
      </c>
      <c r="B231" s="77">
        <v>23.0</v>
      </c>
      <c r="C231" s="77" t="s">
        <v>1011</v>
      </c>
      <c r="D231" s="77">
        <v>2.52610273E8</v>
      </c>
      <c r="E231" s="78" t="s">
        <v>669</v>
      </c>
      <c r="F231" s="77" t="s">
        <v>784</v>
      </c>
      <c r="G231" s="79" t="s">
        <v>46</v>
      </c>
      <c r="H231" s="79" t="str">
        <f>VLOOKUP(G231,MetaData!$A$2:$C$13,3,false)</f>
        <v>Raden Rara Tatra Sudhawati, S.Pd, M.Pd</v>
      </c>
      <c r="I231" s="79" t="s">
        <v>657</v>
      </c>
      <c r="J231" s="79" t="str">
        <f>VLOOKUP(I231,MetaData!$E$2:$G$40,3,false)</f>
        <v>Khairunnisa (XII)</v>
      </c>
      <c r="K231" s="80"/>
    </row>
    <row r="232" ht="15.75" customHeight="1">
      <c r="A232" s="81">
        <v>268.0</v>
      </c>
      <c r="B232" s="77">
        <v>24.0</v>
      </c>
      <c r="C232" s="77" t="s">
        <v>1012</v>
      </c>
      <c r="D232" s="77">
        <v>2.52610279E8</v>
      </c>
      <c r="E232" s="78" t="s">
        <v>501</v>
      </c>
      <c r="F232" s="77" t="s">
        <v>784</v>
      </c>
      <c r="G232" s="82" t="s">
        <v>46</v>
      </c>
      <c r="H232" s="82" t="str">
        <f>VLOOKUP(G232,MetaData!$A$2:$C$13,3,false)</f>
        <v>Raden Rara Tatra Sudhawati, S.Pd, M.Pd</v>
      </c>
      <c r="I232" s="82" t="s">
        <v>500</v>
      </c>
      <c r="J232" s="82" t="str">
        <f>VLOOKUP(I232,MetaData!$E$2:$G$40,3,false)</f>
        <v>Bumi (XI)</v>
      </c>
      <c r="K232" s="83"/>
    </row>
    <row r="233" ht="15.75" customHeight="1">
      <c r="A233" s="76">
        <v>269.0</v>
      </c>
      <c r="B233" s="77">
        <v>26.0</v>
      </c>
      <c r="C233" s="77" t="s">
        <v>1013</v>
      </c>
      <c r="D233" s="77">
        <v>2.52610308E8</v>
      </c>
      <c r="E233" s="78" t="s">
        <v>502</v>
      </c>
      <c r="F233" s="77" t="s">
        <v>784</v>
      </c>
      <c r="G233" s="79" t="s">
        <v>46</v>
      </c>
      <c r="H233" s="79" t="str">
        <f>VLOOKUP(G233,MetaData!$A$2:$C$13,3,false)</f>
        <v>Raden Rara Tatra Sudhawati, S.Pd, M.Pd</v>
      </c>
      <c r="I233" s="79" t="s">
        <v>500</v>
      </c>
      <c r="J233" s="79" t="str">
        <f>VLOOKUP(I233,MetaData!$E$2:$G$40,3,false)</f>
        <v>Bumi (XI)</v>
      </c>
      <c r="K233" s="80"/>
    </row>
    <row r="234" ht="15.75" customHeight="1">
      <c r="A234" s="81">
        <v>270.0</v>
      </c>
      <c r="B234" s="77">
        <v>28.0</v>
      </c>
      <c r="C234" s="77" t="s">
        <v>1014</v>
      </c>
      <c r="D234" s="77">
        <v>2.52610342E8</v>
      </c>
      <c r="E234" s="78" t="s">
        <v>292</v>
      </c>
      <c r="F234" s="77" t="s">
        <v>782</v>
      </c>
      <c r="G234" s="82" t="s">
        <v>46</v>
      </c>
      <c r="H234" s="82" t="str">
        <f>VLOOKUP(G234,MetaData!$A$2:$C$13,3,false)</f>
        <v>Raden Rara Tatra Sudhawati, S.Pd, M.Pd</v>
      </c>
      <c r="I234" s="82" t="s">
        <v>289</v>
      </c>
      <c r="J234" s="82" t="str">
        <f>VLOOKUP(I234,MetaData!$E$2:$G$40,3,false)</f>
        <v>Arumbinang</v>
      </c>
      <c r="K234" s="83"/>
    </row>
    <row r="235" ht="15.75" customHeight="1">
      <c r="A235" s="76">
        <v>271.0</v>
      </c>
      <c r="B235" s="77">
        <v>31.0</v>
      </c>
      <c r="C235" s="77" t="s">
        <v>1015</v>
      </c>
      <c r="D235" s="77">
        <v>2.52610394E8</v>
      </c>
      <c r="E235" s="78" t="s">
        <v>503</v>
      </c>
      <c r="F235" s="77" t="s">
        <v>784</v>
      </c>
      <c r="G235" s="79" t="s">
        <v>46</v>
      </c>
      <c r="H235" s="79" t="str">
        <f>VLOOKUP(G235,MetaData!$A$2:$C$13,3,false)</f>
        <v>Raden Rara Tatra Sudhawati, S.Pd, M.Pd</v>
      </c>
      <c r="I235" s="79" t="s">
        <v>500</v>
      </c>
      <c r="J235" s="79" t="str">
        <f>VLOOKUP(I235,MetaData!$E$2:$G$40,3,false)</f>
        <v>Bumi (XI)</v>
      </c>
      <c r="K235" s="80"/>
    </row>
    <row r="236" ht="15.75" customHeight="1">
      <c r="A236" s="81">
        <v>272.0</v>
      </c>
      <c r="B236" s="77">
        <v>32.0</v>
      </c>
      <c r="C236" s="77" t="s">
        <v>1016</v>
      </c>
      <c r="D236" s="77">
        <v>2.5261041E8</v>
      </c>
      <c r="E236" s="78" t="s">
        <v>504</v>
      </c>
      <c r="F236" s="77" t="s">
        <v>784</v>
      </c>
      <c r="G236" s="82" t="s">
        <v>46</v>
      </c>
      <c r="H236" s="82" t="str">
        <f>VLOOKUP(G236,MetaData!$A$2:$C$13,3,false)</f>
        <v>Raden Rara Tatra Sudhawati, S.Pd, M.Pd</v>
      </c>
      <c r="I236" s="82" t="s">
        <v>500</v>
      </c>
      <c r="J236" s="82" t="str">
        <f>VLOOKUP(I236,MetaData!$E$2:$G$40,3,false)</f>
        <v>Bumi (XI)</v>
      </c>
      <c r="K236" s="83"/>
    </row>
    <row r="237" ht="15.75" customHeight="1">
      <c r="A237" s="76">
        <v>273.0</v>
      </c>
      <c r="B237" s="77">
        <v>33.0</v>
      </c>
      <c r="C237" s="77" t="s">
        <v>1017</v>
      </c>
      <c r="D237" s="77">
        <v>2.52610442E8</v>
      </c>
      <c r="E237" s="78" t="s">
        <v>505</v>
      </c>
      <c r="F237" s="77" t="s">
        <v>784</v>
      </c>
      <c r="G237" s="79" t="s">
        <v>46</v>
      </c>
      <c r="H237" s="79" t="str">
        <f>VLOOKUP(G237,MetaData!$A$2:$C$13,3,false)</f>
        <v>Raden Rara Tatra Sudhawati, S.Pd, M.Pd</v>
      </c>
      <c r="I237" s="79" t="s">
        <v>500</v>
      </c>
      <c r="J237" s="79" t="str">
        <f>VLOOKUP(I237,MetaData!$E$2:$G$40,3,false)</f>
        <v>Bumi (XI)</v>
      </c>
      <c r="K237" s="80"/>
    </row>
    <row r="238" ht="15.75" customHeight="1">
      <c r="A238" s="81">
        <v>274.0</v>
      </c>
      <c r="B238" s="77">
        <v>35.0</v>
      </c>
      <c r="C238" s="77" t="s">
        <v>1018</v>
      </c>
      <c r="D238" s="77">
        <v>2.52610449E8</v>
      </c>
      <c r="E238" s="78" t="s">
        <v>293</v>
      </c>
      <c r="F238" s="77" t="s">
        <v>782</v>
      </c>
      <c r="G238" s="82" t="s">
        <v>46</v>
      </c>
      <c r="H238" s="82" t="str">
        <f>VLOOKUP(G238,MetaData!$A$2:$C$13,3,false)</f>
        <v>Raden Rara Tatra Sudhawati, S.Pd, M.Pd</v>
      </c>
      <c r="I238" s="82" t="s">
        <v>289</v>
      </c>
      <c r="J238" s="82" t="str">
        <f>VLOOKUP(I238,MetaData!$E$2:$G$40,3,false)</f>
        <v>Arumbinang</v>
      </c>
      <c r="K238" s="83"/>
    </row>
    <row r="239" ht="15.75" customHeight="1">
      <c r="A239" s="76">
        <v>275.0</v>
      </c>
      <c r="B239" s="77">
        <v>36.0</v>
      </c>
      <c r="C239" s="77" t="s">
        <v>1019</v>
      </c>
      <c r="D239" s="77">
        <v>2.52610453E8</v>
      </c>
      <c r="E239" s="78" t="s">
        <v>294</v>
      </c>
      <c r="F239" s="77" t="s">
        <v>782</v>
      </c>
      <c r="G239" s="79" t="s">
        <v>46</v>
      </c>
      <c r="H239" s="79" t="str">
        <f>VLOOKUP(G239,MetaData!$A$2:$C$13,3,false)</f>
        <v>Raden Rara Tatra Sudhawati, S.Pd, M.Pd</v>
      </c>
      <c r="I239" s="79" t="s">
        <v>289</v>
      </c>
      <c r="J239" s="79" t="str">
        <f>VLOOKUP(I239,MetaData!$E$2:$G$40,3,false)</f>
        <v>Arumbinang</v>
      </c>
      <c r="K239" s="80"/>
    </row>
    <row r="240" ht="15.75" customHeight="1">
      <c r="A240" s="81">
        <v>276.0</v>
      </c>
      <c r="B240" s="77">
        <v>39.0</v>
      </c>
      <c r="C240" s="77" t="s">
        <v>1020</v>
      </c>
      <c r="D240" s="77">
        <v>2.52610479E8</v>
      </c>
      <c r="E240" s="78" t="s">
        <v>295</v>
      </c>
      <c r="F240" s="77" t="s">
        <v>782</v>
      </c>
      <c r="G240" s="82" t="s">
        <v>46</v>
      </c>
      <c r="H240" s="82" t="str">
        <f>VLOOKUP(G240,MetaData!$A$2:$C$13,3,false)</f>
        <v>Raden Rara Tatra Sudhawati, S.Pd, M.Pd</v>
      </c>
      <c r="I240" s="82" t="s">
        <v>289</v>
      </c>
      <c r="J240" s="82" t="str">
        <f>VLOOKUP(I240,MetaData!$E$2:$G$40,3,false)</f>
        <v>Arumbinang</v>
      </c>
      <c r="K240" s="83"/>
    </row>
    <row r="241" ht="15.75" customHeight="1">
      <c r="A241" s="76">
        <v>277.0</v>
      </c>
      <c r="B241" s="77">
        <v>40.0</v>
      </c>
      <c r="C241" s="77" t="s">
        <v>1021</v>
      </c>
      <c r="D241" s="77">
        <v>2.52610484E8</v>
      </c>
      <c r="E241" s="78" t="s">
        <v>506</v>
      </c>
      <c r="F241" s="77" t="s">
        <v>784</v>
      </c>
      <c r="G241" s="79" t="s">
        <v>46</v>
      </c>
      <c r="H241" s="79" t="str">
        <f>VLOOKUP(G241,MetaData!$A$2:$C$13,3,false)</f>
        <v>Raden Rara Tatra Sudhawati, S.Pd, M.Pd</v>
      </c>
      <c r="I241" s="79" t="s">
        <v>500</v>
      </c>
      <c r="J241" s="79" t="str">
        <f>VLOOKUP(I241,MetaData!$E$2:$G$40,3,false)</f>
        <v>Bumi (XI)</v>
      </c>
      <c r="K241" s="80"/>
    </row>
    <row r="242" ht="15.75" customHeight="1">
      <c r="A242" s="81">
        <v>278.0</v>
      </c>
      <c r="B242" s="77">
        <v>41.0</v>
      </c>
      <c r="C242" s="77" t="s">
        <v>1022</v>
      </c>
      <c r="D242" s="77">
        <v>2.52610486E8</v>
      </c>
      <c r="E242" s="78" t="s">
        <v>507</v>
      </c>
      <c r="F242" s="77" t="s">
        <v>784</v>
      </c>
      <c r="G242" s="82" t="s">
        <v>46</v>
      </c>
      <c r="H242" s="82" t="str">
        <f>VLOOKUP(G242,MetaData!$A$2:$C$13,3,false)</f>
        <v>Raden Rara Tatra Sudhawati, S.Pd, M.Pd</v>
      </c>
      <c r="I242" s="82" t="s">
        <v>500</v>
      </c>
      <c r="J242" s="82" t="str">
        <f>VLOOKUP(I242,MetaData!$E$2:$G$40,3,false)</f>
        <v>Bumi (XI)</v>
      </c>
      <c r="K242" s="83"/>
    </row>
    <row r="243" ht="15.75" customHeight="1">
      <c r="A243" s="76">
        <v>279.0</v>
      </c>
      <c r="B243" s="77">
        <v>42.0</v>
      </c>
      <c r="C243" s="77" t="s">
        <v>1023</v>
      </c>
      <c r="D243" s="77">
        <v>2.52610495E8</v>
      </c>
      <c r="E243" s="78" t="s">
        <v>508</v>
      </c>
      <c r="F243" s="77" t="s">
        <v>784</v>
      </c>
      <c r="G243" s="79" t="s">
        <v>46</v>
      </c>
      <c r="H243" s="79" t="str">
        <f>VLOOKUP(G243,MetaData!$A$2:$C$13,3,false)</f>
        <v>Raden Rara Tatra Sudhawati, S.Pd, M.Pd</v>
      </c>
      <c r="I243" s="79" t="s">
        <v>500</v>
      </c>
      <c r="J243" s="79" t="str">
        <f>VLOOKUP(I243,MetaData!$E$2:$G$40,3,false)</f>
        <v>Bumi (XI)</v>
      </c>
      <c r="K243" s="80"/>
    </row>
    <row r="244" ht="15.75" customHeight="1">
      <c r="A244" s="81">
        <v>280.0</v>
      </c>
      <c r="B244" s="77">
        <v>43.0</v>
      </c>
      <c r="C244" s="77" t="s">
        <v>1024</v>
      </c>
      <c r="D244" s="77">
        <v>2.52610505E8</v>
      </c>
      <c r="E244" s="78" t="s">
        <v>509</v>
      </c>
      <c r="F244" s="77" t="s">
        <v>784</v>
      </c>
      <c r="G244" s="82" t="s">
        <v>46</v>
      </c>
      <c r="H244" s="82" t="str">
        <f>VLOOKUP(G244,MetaData!$A$2:$C$13,3,false)</f>
        <v>Raden Rara Tatra Sudhawati, S.Pd, M.Pd</v>
      </c>
      <c r="I244" s="82" t="s">
        <v>500</v>
      </c>
      <c r="J244" s="82" t="str">
        <f>VLOOKUP(I244,MetaData!$E$2:$G$40,3,false)</f>
        <v>Bumi (XI)</v>
      </c>
      <c r="K244" s="83"/>
    </row>
    <row r="245" ht="15.75" customHeight="1">
      <c r="A245" s="76">
        <v>281.0</v>
      </c>
      <c r="B245" s="77">
        <v>44.0</v>
      </c>
      <c r="C245" s="77" t="s">
        <v>1025</v>
      </c>
      <c r="D245" s="77">
        <v>2.52610517E8</v>
      </c>
      <c r="E245" s="78" t="s">
        <v>510</v>
      </c>
      <c r="F245" s="77" t="s">
        <v>784</v>
      </c>
      <c r="G245" s="79" t="s">
        <v>46</v>
      </c>
      <c r="H245" s="79" t="str">
        <f>VLOOKUP(G245,MetaData!$A$2:$C$13,3,false)</f>
        <v>Raden Rara Tatra Sudhawati, S.Pd, M.Pd</v>
      </c>
      <c r="I245" s="79" t="s">
        <v>500</v>
      </c>
      <c r="J245" s="79" t="str">
        <f>VLOOKUP(I245,MetaData!$E$2:$G$40,3,false)</f>
        <v>Bumi (XI)</v>
      </c>
      <c r="K245" s="80"/>
    </row>
    <row r="246" ht="15.75" customHeight="1">
      <c r="A246" s="81">
        <v>282.0</v>
      </c>
      <c r="B246" s="77">
        <v>45.0</v>
      </c>
      <c r="C246" s="77" t="s">
        <v>1026</v>
      </c>
      <c r="D246" s="77">
        <v>2.52610528E8</v>
      </c>
      <c r="E246" s="78" t="s">
        <v>296</v>
      </c>
      <c r="F246" s="77" t="s">
        <v>782</v>
      </c>
      <c r="G246" s="82" t="s">
        <v>46</v>
      </c>
      <c r="H246" s="82" t="str">
        <f>VLOOKUP(G246,MetaData!$A$2:$C$13,3,false)</f>
        <v>Raden Rara Tatra Sudhawati, S.Pd, M.Pd</v>
      </c>
      <c r="I246" s="82" t="s">
        <v>289</v>
      </c>
      <c r="J246" s="82" t="str">
        <f>VLOOKUP(I246,MetaData!$E$2:$G$40,3,false)</f>
        <v>Arumbinang</v>
      </c>
      <c r="K246" s="83"/>
    </row>
    <row r="247" ht="15.75" customHeight="1">
      <c r="A247" s="76">
        <v>283.0</v>
      </c>
      <c r="B247" s="77">
        <v>46.0</v>
      </c>
      <c r="C247" s="77" t="s">
        <v>1027</v>
      </c>
      <c r="D247" s="77">
        <v>2.52610529E8</v>
      </c>
      <c r="E247" s="78" t="s">
        <v>511</v>
      </c>
      <c r="F247" s="77" t="s">
        <v>784</v>
      </c>
      <c r="G247" s="79" t="s">
        <v>46</v>
      </c>
      <c r="H247" s="79" t="str">
        <f>VLOOKUP(G247,MetaData!$A$2:$C$13,3,false)</f>
        <v>Raden Rara Tatra Sudhawati, S.Pd, M.Pd</v>
      </c>
      <c r="I247" s="79" t="s">
        <v>500</v>
      </c>
      <c r="J247" s="79" t="str">
        <f>VLOOKUP(I247,MetaData!$E$2:$G$40,3,false)</f>
        <v>Bumi (XI)</v>
      </c>
      <c r="K247" s="80"/>
    </row>
    <row r="248" ht="15.75" customHeight="1">
      <c r="A248" s="85">
        <v>291.0</v>
      </c>
      <c r="B248" s="77">
        <v>1.0</v>
      </c>
      <c r="C248" s="77" t="s">
        <v>1028</v>
      </c>
      <c r="D248" s="77">
        <v>2.52610006E8</v>
      </c>
      <c r="E248" s="78" t="s">
        <v>643</v>
      </c>
      <c r="F248" s="77" t="s">
        <v>784</v>
      </c>
      <c r="G248" s="82" t="s">
        <v>52</v>
      </c>
      <c r="H248" s="82" t="str">
        <f>VLOOKUP(G248,MetaData!$A$2:$C$13,3,false)</f>
        <v>Dian Hairunnisa, S.Pd</v>
      </c>
      <c r="I248" s="82" t="s">
        <v>642</v>
      </c>
      <c r="J248" s="82" t="str">
        <f>VLOOKUP(I248,MetaData!$E$2:$G$40,3,false)</f>
        <v>Shafa</v>
      </c>
      <c r="K248" s="83"/>
    </row>
    <row r="249" ht="15.75" customHeight="1">
      <c r="A249" s="84">
        <v>292.0</v>
      </c>
      <c r="B249" s="77">
        <v>2.0</v>
      </c>
      <c r="C249" s="77" t="s">
        <v>1029</v>
      </c>
      <c r="D249" s="77">
        <v>2.52610017E8</v>
      </c>
      <c r="E249" s="78" t="s">
        <v>273</v>
      </c>
      <c r="F249" s="77" t="s">
        <v>782</v>
      </c>
      <c r="G249" s="79" t="s">
        <v>52</v>
      </c>
      <c r="H249" s="79" t="str">
        <f>VLOOKUP(G249,MetaData!$A$2:$C$13,3,false)</f>
        <v>Dian Hairunnisa, S.Pd</v>
      </c>
      <c r="I249" s="79" t="s">
        <v>272</v>
      </c>
      <c r="J249" s="79" t="str">
        <f>VLOOKUP(I249,MetaData!$E$2:$G$40,3,false)</f>
        <v>Rizza Al-Farisi</v>
      </c>
      <c r="K249" s="80"/>
    </row>
    <row r="250" ht="15.75" customHeight="1">
      <c r="A250" s="85">
        <v>293.0</v>
      </c>
      <c r="B250" s="77">
        <v>3.0</v>
      </c>
      <c r="C250" s="77" t="s">
        <v>1030</v>
      </c>
      <c r="D250" s="77">
        <v>2.52610025E8</v>
      </c>
      <c r="E250" s="78" t="s">
        <v>644</v>
      </c>
      <c r="F250" s="77" t="s">
        <v>784</v>
      </c>
      <c r="G250" s="82" t="s">
        <v>52</v>
      </c>
      <c r="H250" s="82" t="str">
        <f>VLOOKUP(G250,MetaData!$A$2:$C$13,3,false)</f>
        <v>Dian Hairunnisa, S.Pd</v>
      </c>
      <c r="I250" s="82" t="s">
        <v>642</v>
      </c>
      <c r="J250" s="82" t="str">
        <f>VLOOKUP(I250,MetaData!$E$2:$G$40,3,false)</f>
        <v>Shafa</v>
      </c>
      <c r="K250" s="83"/>
    </row>
    <row r="251" ht="15.75" customHeight="1">
      <c r="A251" s="84">
        <v>294.0</v>
      </c>
      <c r="B251" s="77">
        <v>4.0</v>
      </c>
      <c r="C251" s="77" t="s">
        <v>1031</v>
      </c>
      <c r="D251" s="77">
        <v>2.52610044E8</v>
      </c>
      <c r="E251" s="78" t="s">
        <v>645</v>
      </c>
      <c r="F251" s="77" t="s">
        <v>784</v>
      </c>
      <c r="G251" s="79" t="s">
        <v>52</v>
      </c>
      <c r="H251" s="79" t="str">
        <f>VLOOKUP(G251,MetaData!$A$2:$C$13,3,false)</f>
        <v>Dian Hairunnisa, S.Pd</v>
      </c>
      <c r="I251" s="79" t="s">
        <v>642</v>
      </c>
      <c r="J251" s="79" t="str">
        <f>VLOOKUP(I251,MetaData!$E$2:$G$40,3,false)</f>
        <v>Shafa</v>
      </c>
      <c r="K251" s="80"/>
    </row>
    <row r="252" ht="15.75" customHeight="1">
      <c r="A252" s="85">
        <v>295.0</v>
      </c>
      <c r="B252" s="77">
        <v>5.0</v>
      </c>
      <c r="C252" s="77" t="s">
        <v>1032</v>
      </c>
      <c r="D252" s="77">
        <v>2.52610051E8</v>
      </c>
      <c r="E252" s="78" t="s">
        <v>646</v>
      </c>
      <c r="F252" s="77" t="s">
        <v>784</v>
      </c>
      <c r="G252" s="82" t="s">
        <v>52</v>
      </c>
      <c r="H252" s="82" t="str">
        <f>VLOOKUP(G252,MetaData!$A$2:$C$13,3,false)</f>
        <v>Dian Hairunnisa, S.Pd</v>
      </c>
      <c r="I252" s="82" t="s">
        <v>642</v>
      </c>
      <c r="J252" s="82" t="str">
        <f>VLOOKUP(I252,MetaData!$E$2:$G$40,3,false)</f>
        <v>Shafa</v>
      </c>
      <c r="K252" s="83"/>
    </row>
    <row r="253" ht="15.75" customHeight="1">
      <c r="A253" s="84">
        <v>296.0</v>
      </c>
      <c r="B253" s="77">
        <v>6.0</v>
      </c>
      <c r="C253" s="77" t="s">
        <v>1033</v>
      </c>
      <c r="D253" s="77">
        <v>2.52610064E8</v>
      </c>
      <c r="E253" s="78" t="s">
        <v>647</v>
      </c>
      <c r="F253" s="77" t="s">
        <v>784</v>
      </c>
      <c r="G253" s="79" t="s">
        <v>52</v>
      </c>
      <c r="H253" s="79" t="str">
        <f>VLOOKUP(G253,MetaData!$A$2:$C$13,3,false)</f>
        <v>Dian Hairunnisa, S.Pd</v>
      </c>
      <c r="I253" s="79" t="s">
        <v>642</v>
      </c>
      <c r="J253" s="79" t="str">
        <f>VLOOKUP(I253,MetaData!$E$2:$G$40,3,false)</f>
        <v>Shafa</v>
      </c>
      <c r="K253" s="80"/>
    </row>
    <row r="254" ht="15.75" customHeight="1">
      <c r="A254" s="85">
        <v>297.0</v>
      </c>
      <c r="B254" s="77">
        <v>7.0</v>
      </c>
      <c r="C254" s="77" t="s">
        <v>1034</v>
      </c>
      <c r="D254" s="77">
        <v>2.52610113E8</v>
      </c>
      <c r="E254" s="78" t="s">
        <v>274</v>
      </c>
      <c r="F254" s="77" t="s">
        <v>782</v>
      </c>
      <c r="G254" s="82" t="s">
        <v>52</v>
      </c>
      <c r="H254" s="82" t="str">
        <f>VLOOKUP(G254,MetaData!$A$2:$C$13,3,false)</f>
        <v>Dian Hairunnisa, S.Pd</v>
      </c>
      <c r="I254" s="82" t="s">
        <v>272</v>
      </c>
      <c r="J254" s="82" t="str">
        <f>VLOOKUP(I254,MetaData!$E$2:$G$40,3,false)</f>
        <v>Rizza Al-Farisi</v>
      </c>
      <c r="K254" s="83"/>
    </row>
    <row r="255" ht="15.75" customHeight="1">
      <c r="A255" s="84">
        <v>298.0</v>
      </c>
      <c r="B255" s="77">
        <v>8.0</v>
      </c>
      <c r="C255" s="77" t="s">
        <v>1035</v>
      </c>
      <c r="D255" s="77">
        <v>2.5261014E8</v>
      </c>
      <c r="E255" s="78" t="s">
        <v>648</v>
      </c>
      <c r="F255" s="77" t="s">
        <v>784</v>
      </c>
      <c r="G255" s="79" t="s">
        <v>52</v>
      </c>
      <c r="H255" s="79" t="str">
        <f>VLOOKUP(G255,MetaData!$A$2:$C$13,3,false)</f>
        <v>Dian Hairunnisa, S.Pd</v>
      </c>
      <c r="I255" s="79" t="s">
        <v>642</v>
      </c>
      <c r="J255" s="79" t="str">
        <f>VLOOKUP(I255,MetaData!$E$2:$G$40,3,false)</f>
        <v>Shafa</v>
      </c>
      <c r="K255" s="80"/>
    </row>
    <row r="256" ht="15.75" customHeight="1">
      <c r="A256" s="85">
        <v>299.0</v>
      </c>
      <c r="B256" s="77">
        <v>9.0</v>
      </c>
      <c r="C256" s="77" t="s">
        <v>1036</v>
      </c>
      <c r="D256" s="77">
        <v>2.52610141E8</v>
      </c>
      <c r="E256" s="78" t="s">
        <v>649</v>
      </c>
      <c r="F256" s="77" t="s">
        <v>784</v>
      </c>
      <c r="G256" s="82" t="s">
        <v>52</v>
      </c>
      <c r="H256" s="82" t="str">
        <f>VLOOKUP(G256,MetaData!$A$2:$C$13,3,false)</f>
        <v>Dian Hairunnisa, S.Pd</v>
      </c>
      <c r="I256" s="82" t="s">
        <v>642</v>
      </c>
      <c r="J256" s="82" t="str">
        <f>VLOOKUP(I256,MetaData!$E$2:$G$40,3,false)</f>
        <v>Shafa</v>
      </c>
      <c r="K256" s="83"/>
    </row>
    <row r="257" ht="15.75" customHeight="1">
      <c r="A257" s="84">
        <v>300.0</v>
      </c>
      <c r="B257" s="77">
        <v>10.0</v>
      </c>
      <c r="C257" s="77" t="s">
        <v>1037</v>
      </c>
      <c r="D257" s="77">
        <v>2.52610144E8</v>
      </c>
      <c r="E257" s="78" t="s">
        <v>225</v>
      </c>
      <c r="F257" s="77" t="s">
        <v>782</v>
      </c>
      <c r="G257" s="79" t="s">
        <v>52</v>
      </c>
      <c r="H257" s="79" t="str">
        <f>VLOOKUP(G257,MetaData!$A$2:$C$13,3,false)</f>
        <v>Dian Hairunnisa, S.Pd</v>
      </c>
      <c r="I257" s="79" t="s">
        <v>220</v>
      </c>
      <c r="J257" s="79" t="str">
        <f>VLOOKUP(I257,MetaData!$E$2:$G$40,3,false)</f>
        <v>Rekhsa</v>
      </c>
      <c r="K257" s="80"/>
    </row>
    <row r="258" ht="15.75" customHeight="1">
      <c r="A258" s="85">
        <v>301.0</v>
      </c>
      <c r="B258" s="77">
        <v>11.0</v>
      </c>
      <c r="C258" s="77" t="s">
        <v>1038</v>
      </c>
      <c r="D258" s="77">
        <v>2.52610156E8</v>
      </c>
      <c r="E258" s="78" t="s">
        <v>650</v>
      </c>
      <c r="F258" s="77" t="s">
        <v>784</v>
      </c>
      <c r="G258" s="82" t="s">
        <v>52</v>
      </c>
      <c r="H258" s="82" t="str">
        <f>VLOOKUP(G258,MetaData!$A$2:$C$13,3,false)</f>
        <v>Dian Hairunnisa, S.Pd</v>
      </c>
      <c r="I258" s="82" t="s">
        <v>642</v>
      </c>
      <c r="J258" s="82" t="str">
        <f>VLOOKUP(I258,MetaData!$E$2:$G$40,3,false)</f>
        <v>Shafa</v>
      </c>
      <c r="K258" s="83"/>
    </row>
    <row r="259" ht="15.75" customHeight="1">
      <c r="A259" s="84">
        <v>302.0</v>
      </c>
      <c r="B259" s="77">
        <v>12.0</v>
      </c>
      <c r="C259" s="77" t="s">
        <v>1039</v>
      </c>
      <c r="D259" s="77">
        <v>2.52610159E8</v>
      </c>
      <c r="E259" s="78" t="s">
        <v>651</v>
      </c>
      <c r="F259" s="77" t="s">
        <v>784</v>
      </c>
      <c r="G259" s="79" t="s">
        <v>52</v>
      </c>
      <c r="H259" s="79" t="str">
        <f>VLOOKUP(G259,MetaData!$A$2:$C$13,3,false)</f>
        <v>Dian Hairunnisa, S.Pd</v>
      </c>
      <c r="I259" s="79" t="s">
        <v>642</v>
      </c>
      <c r="J259" s="79" t="str">
        <f>VLOOKUP(I259,MetaData!$E$2:$G$40,3,false)</f>
        <v>Shafa</v>
      </c>
      <c r="K259" s="80"/>
    </row>
    <row r="260" ht="15.75" customHeight="1">
      <c r="A260" s="85">
        <v>303.0</v>
      </c>
      <c r="B260" s="77">
        <v>13.0</v>
      </c>
      <c r="C260" s="77" t="s">
        <v>1040</v>
      </c>
      <c r="D260" s="77">
        <v>2.52610179E8</v>
      </c>
      <c r="E260" s="78" t="s">
        <v>652</v>
      </c>
      <c r="F260" s="77" t="s">
        <v>784</v>
      </c>
      <c r="G260" s="82" t="s">
        <v>52</v>
      </c>
      <c r="H260" s="82" t="str">
        <f>VLOOKUP(G260,MetaData!$A$2:$C$13,3,false)</f>
        <v>Dian Hairunnisa, S.Pd</v>
      </c>
      <c r="I260" s="82" t="s">
        <v>642</v>
      </c>
      <c r="J260" s="82" t="str">
        <f>VLOOKUP(I260,MetaData!$E$2:$G$40,3,false)</f>
        <v>Shafa</v>
      </c>
      <c r="K260" s="83"/>
    </row>
    <row r="261" ht="15.75" customHeight="1">
      <c r="A261" s="84">
        <v>304.0</v>
      </c>
      <c r="B261" s="77">
        <v>15.0</v>
      </c>
      <c r="C261" s="77" t="s">
        <v>1041</v>
      </c>
      <c r="D261" s="77">
        <v>2.52610197E8</v>
      </c>
      <c r="E261" s="78" t="s">
        <v>226</v>
      </c>
      <c r="F261" s="77" t="s">
        <v>782</v>
      </c>
      <c r="G261" s="79" t="s">
        <v>52</v>
      </c>
      <c r="H261" s="79" t="str">
        <f>VLOOKUP(G261,MetaData!$A$2:$C$13,3,false)</f>
        <v>Dian Hairunnisa, S.Pd</v>
      </c>
      <c r="I261" s="79" t="s">
        <v>220</v>
      </c>
      <c r="J261" s="79" t="str">
        <f>VLOOKUP(I261,MetaData!$E$2:$G$40,3,false)</f>
        <v>Rekhsa</v>
      </c>
      <c r="K261" s="80"/>
    </row>
    <row r="262" ht="15.75" customHeight="1">
      <c r="A262" s="85">
        <v>305.0</v>
      </c>
      <c r="B262" s="77">
        <v>16.0</v>
      </c>
      <c r="C262" s="77" t="s">
        <v>1042</v>
      </c>
      <c r="D262" s="77">
        <v>2.526102E8</v>
      </c>
      <c r="E262" s="78" t="s">
        <v>275</v>
      </c>
      <c r="F262" s="77" t="s">
        <v>782</v>
      </c>
      <c r="G262" s="82" t="s">
        <v>52</v>
      </c>
      <c r="H262" s="82" t="str">
        <f>VLOOKUP(G262,MetaData!$A$2:$C$13,3,false)</f>
        <v>Dian Hairunnisa, S.Pd</v>
      </c>
      <c r="I262" s="82" t="s">
        <v>272</v>
      </c>
      <c r="J262" s="82" t="str">
        <f>VLOOKUP(I262,MetaData!$E$2:$G$40,3,false)</f>
        <v>Rizza Al-Farisi</v>
      </c>
      <c r="K262" s="83"/>
    </row>
    <row r="263" ht="15.75" customHeight="1">
      <c r="A263" s="84">
        <v>306.0</v>
      </c>
      <c r="B263" s="77">
        <v>17.0</v>
      </c>
      <c r="C263" s="77" t="s">
        <v>1043</v>
      </c>
      <c r="D263" s="77">
        <v>2.52610221E8</v>
      </c>
      <c r="E263" s="78" t="s">
        <v>653</v>
      </c>
      <c r="F263" s="77" t="s">
        <v>784</v>
      </c>
      <c r="G263" s="79" t="s">
        <v>52</v>
      </c>
      <c r="H263" s="79" t="str">
        <f>VLOOKUP(G263,MetaData!$A$2:$C$13,3,false)</f>
        <v>Dian Hairunnisa, S.Pd</v>
      </c>
      <c r="I263" s="79" t="s">
        <v>642</v>
      </c>
      <c r="J263" s="79" t="str">
        <f>VLOOKUP(I263,MetaData!$E$2:$G$40,3,false)</f>
        <v>Shafa</v>
      </c>
      <c r="K263" s="80"/>
    </row>
    <row r="264" ht="15.75" customHeight="1">
      <c r="A264" s="85">
        <v>307.0</v>
      </c>
      <c r="B264" s="77">
        <v>18.0</v>
      </c>
      <c r="C264" s="77" t="s">
        <v>1044</v>
      </c>
      <c r="D264" s="77">
        <v>2.52610225E8</v>
      </c>
      <c r="E264" s="78" t="s">
        <v>276</v>
      </c>
      <c r="F264" s="77" t="s">
        <v>782</v>
      </c>
      <c r="G264" s="82" t="s">
        <v>52</v>
      </c>
      <c r="H264" s="82" t="str">
        <f>VLOOKUP(G264,MetaData!$A$2:$C$13,3,false)</f>
        <v>Dian Hairunnisa, S.Pd</v>
      </c>
      <c r="I264" s="82" t="s">
        <v>272</v>
      </c>
      <c r="J264" s="82" t="str">
        <f>VLOOKUP(I264,MetaData!$E$2:$G$40,3,false)</f>
        <v>Rizza Al-Farisi</v>
      </c>
      <c r="K264" s="83"/>
    </row>
    <row r="265" ht="15.75" customHeight="1">
      <c r="A265" s="84">
        <v>308.0</v>
      </c>
      <c r="B265" s="77">
        <v>19.0</v>
      </c>
      <c r="C265" s="77" t="s">
        <v>1045</v>
      </c>
      <c r="D265" s="77">
        <v>2.52610252E8</v>
      </c>
      <c r="E265" s="78" t="s">
        <v>277</v>
      </c>
      <c r="F265" s="77" t="s">
        <v>782</v>
      </c>
      <c r="G265" s="79" t="s">
        <v>52</v>
      </c>
      <c r="H265" s="79" t="str">
        <f>VLOOKUP(G265,MetaData!$A$2:$C$13,3,false)</f>
        <v>Dian Hairunnisa, S.Pd</v>
      </c>
      <c r="I265" s="79" t="s">
        <v>272</v>
      </c>
      <c r="J265" s="79" t="str">
        <f>VLOOKUP(I265,MetaData!$E$2:$G$40,3,false)</f>
        <v>Rizza Al-Farisi</v>
      </c>
      <c r="K265" s="80"/>
    </row>
    <row r="266" ht="15.75" customHeight="1">
      <c r="A266" s="85">
        <v>309.0</v>
      </c>
      <c r="B266" s="77">
        <v>20.0</v>
      </c>
      <c r="C266" s="77" t="s">
        <v>1046</v>
      </c>
      <c r="D266" s="77">
        <v>2.52610254E8</v>
      </c>
      <c r="E266" s="78" t="s">
        <v>654</v>
      </c>
      <c r="F266" s="77" t="s">
        <v>784</v>
      </c>
      <c r="G266" s="82" t="s">
        <v>52</v>
      </c>
      <c r="H266" s="82" t="str">
        <f>VLOOKUP(G266,MetaData!$A$2:$C$13,3,false)</f>
        <v>Dian Hairunnisa, S.Pd</v>
      </c>
      <c r="I266" s="82" t="s">
        <v>642</v>
      </c>
      <c r="J266" s="82" t="str">
        <f>VLOOKUP(I266,MetaData!$E$2:$G$40,3,false)</f>
        <v>Shafa</v>
      </c>
      <c r="K266" s="83"/>
    </row>
    <row r="267" ht="15.75" customHeight="1">
      <c r="A267" s="84">
        <v>310.0</v>
      </c>
      <c r="B267" s="77">
        <v>21.0</v>
      </c>
      <c r="C267" s="77" t="s">
        <v>1047</v>
      </c>
      <c r="D267" s="77">
        <v>2.52610264E8</v>
      </c>
      <c r="E267" s="78" t="s">
        <v>655</v>
      </c>
      <c r="F267" s="77" t="s">
        <v>784</v>
      </c>
      <c r="G267" s="79" t="s">
        <v>52</v>
      </c>
      <c r="H267" s="79" t="str">
        <f>VLOOKUP(G267,MetaData!$A$2:$C$13,3,false)</f>
        <v>Dian Hairunnisa, S.Pd</v>
      </c>
      <c r="I267" s="79" t="s">
        <v>642</v>
      </c>
      <c r="J267" s="79" t="str">
        <f>VLOOKUP(I267,MetaData!$E$2:$G$40,3,false)</f>
        <v>Shafa</v>
      </c>
      <c r="K267" s="80"/>
    </row>
    <row r="268" ht="15.75" customHeight="1">
      <c r="A268" s="85">
        <v>311.0</v>
      </c>
      <c r="B268" s="77">
        <v>22.0</v>
      </c>
      <c r="C268" s="77" t="s">
        <v>1048</v>
      </c>
      <c r="D268" s="77">
        <v>2.52610268E8</v>
      </c>
      <c r="E268" s="78" t="s">
        <v>656</v>
      </c>
      <c r="F268" s="77" t="s">
        <v>784</v>
      </c>
      <c r="G268" s="82" t="s">
        <v>52</v>
      </c>
      <c r="H268" s="82" t="str">
        <f>VLOOKUP(G268,MetaData!$A$2:$C$13,3,false)</f>
        <v>Dian Hairunnisa, S.Pd</v>
      </c>
      <c r="I268" s="82" t="s">
        <v>642</v>
      </c>
      <c r="J268" s="82" t="str">
        <f>VLOOKUP(I268,MetaData!$E$2:$G$40,3,false)</f>
        <v>Shafa</v>
      </c>
      <c r="K268" s="83"/>
    </row>
    <row r="269" ht="15.75" customHeight="1">
      <c r="A269" s="84">
        <v>312.0</v>
      </c>
      <c r="B269" s="77">
        <v>23.0</v>
      </c>
      <c r="C269" s="77" t="s">
        <v>1049</v>
      </c>
      <c r="D269" s="77">
        <v>2.52610284E8</v>
      </c>
      <c r="E269" s="78" t="s">
        <v>486</v>
      </c>
      <c r="F269" s="77" t="s">
        <v>784</v>
      </c>
      <c r="G269" s="79" t="s">
        <v>52</v>
      </c>
      <c r="H269" s="79" t="str">
        <f>VLOOKUP(G269,MetaData!$A$2:$C$13,3,false)</f>
        <v>Dian Hairunnisa, S.Pd</v>
      </c>
      <c r="I269" s="79" t="s">
        <v>485</v>
      </c>
      <c r="J269" s="79" t="str">
        <f>VLOOKUP(I269,MetaData!$E$2:$G$40,3,false)</f>
        <v>Desya (XI)</v>
      </c>
      <c r="K269" s="80"/>
    </row>
    <row r="270" ht="15.75" customHeight="1">
      <c r="A270" s="85">
        <v>313.0</v>
      </c>
      <c r="B270" s="77">
        <v>24.0</v>
      </c>
      <c r="C270" s="77" t="s">
        <v>1050</v>
      </c>
      <c r="D270" s="77">
        <v>2.52610291E8</v>
      </c>
      <c r="E270" s="78" t="s">
        <v>487</v>
      </c>
      <c r="F270" s="77" t="s">
        <v>784</v>
      </c>
      <c r="G270" s="82" t="s">
        <v>52</v>
      </c>
      <c r="H270" s="82" t="str">
        <f>VLOOKUP(G270,MetaData!$A$2:$C$13,3,false)</f>
        <v>Dian Hairunnisa, S.Pd</v>
      </c>
      <c r="I270" s="82" t="s">
        <v>485</v>
      </c>
      <c r="J270" s="82" t="str">
        <f>VLOOKUP(I270,MetaData!$E$2:$G$40,3,false)</f>
        <v>Desya (XI)</v>
      </c>
      <c r="K270" s="83"/>
    </row>
    <row r="271" ht="15.75" customHeight="1">
      <c r="A271" s="84">
        <v>314.0</v>
      </c>
      <c r="B271" s="77">
        <v>25.0</v>
      </c>
      <c r="C271" s="77" t="s">
        <v>1051</v>
      </c>
      <c r="D271" s="77">
        <v>2.526103E8</v>
      </c>
      <c r="E271" s="78" t="s">
        <v>278</v>
      </c>
      <c r="F271" s="77" t="s">
        <v>782</v>
      </c>
      <c r="G271" s="79" t="s">
        <v>52</v>
      </c>
      <c r="H271" s="79" t="str">
        <f>VLOOKUP(G271,MetaData!$A$2:$C$13,3,false)</f>
        <v>Dian Hairunnisa, S.Pd</v>
      </c>
      <c r="I271" s="79" t="s">
        <v>272</v>
      </c>
      <c r="J271" s="79" t="str">
        <f>VLOOKUP(I271,MetaData!$E$2:$G$40,3,false)</f>
        <v>Rizza Al-Farisi</v>
      </c>
      <c r="K271" s="80"/>
    </row>
    <row r="272" ht="15.75" customHeight="1">
      <c r="A272" s="85">
        <v>315.0</v>
      </c>
      <c r="B272" s="77">
        <v>26.0</v>
      </c>
      <c r="C272" s="77" t="s">
        <v>1052</v>
      </c>
      <c r="D272" s="77">
        <v>2.52610318E8</v>
      </c>
      <c r="E272" s="78" t="s">
        <v>279</v>
      </c>
      <c r="F272" s="77" t="s">
        <v>782</v>
      </c>
      <c r="G272" s="82" t="s">
        <v>52</v>
      </c>
      <c r="H272" s="82" t="str">
        <f>VLOOKUP(G272,MetaData!$A$2:$C$13,3,false)</f>
        <v>Dian Hairunnisa, S.Pd</v>
      </c>
      <c r="I272" s="82" t="s">
        <v>272</v>
      </c>
      <c r="J272" s="82" t="str">
        <f>VLOOKUP(I272,MetaData!$E$2:$G$40,3,false)</f>
        <v>Rizza Al-Farisi</v>
      </c>
      <c r="K272" s="83"/>
    </row>
    <row r="273" ht="15.75" customHeight="1">
      <c r="A273" s="84">
        <v>316.0</v>
      </c>
      <c r="B273" s="77">
        <v>27.0</v>
      </c>
      <c r="C273" s="77" t="s">
        <v>1053</v>
      </c>
      <c r="D273" s="77">
        <v>2.52610333E8</v>
      </c>
      <c r="E273" s="78" t="s">
        <v>280</v>
      </c>
      <c r="F273" s="77" t="s">
        <v>782</v>
      </c>
      <c r="G273" s="79" t="s">
        <v>52</v>
      </c>
      <c r="H273" s="79" t="str">
        <f>VLOOKUP(G273,MetaData!$A$2:$C$13,3,false)</f>
        <v>Dian Hairunnisa, S.Pd</v>
      </c>
      <c r="I273" s="79" t="s">
        <v>272</v>
      </c>
      <c r="J273" s="79" t="str">
        <f>VLOOKUP(I273,MetaData!$E$2:$G$40,3,false)</f>
        <v>Rizza Al-Farisi</v>
      </c>
      <c r="K273" s="80"/>
    </row>
    <row r="274" ht="15.75" customHeight="1">
      <c r="A274" s="85">
        <v>317.0</v>
      </c>
      <c r="B274" s="77">
        <v>28.0</v>
      </c>
      <c r="C274" s="77" t="s">
        <v>1054</v>
      </c>
      <c r="D274" s="77">
        <v>2.5261034E8</v>
      </c>
      <c r="E274" s="78" t="s">
        <v>281</v>
      </c>
      <c r="F274" s="77" t="s">
        <v>782</v>
      </c>
      <c r="G274" s="82" t="s">
        <v>52</v>
      </c>
      <c r="H274" s="82" t="str">
        <f>VLOOKUP(G274,MetaData!$A$2:$C$13,3,false)</f>
        <v>Dian Hairunnisa, S.Pd</v>
      </c>
      <c r="I274" s="82" t="s">
        <v>272</v>
      </c>
      <c r="J274" s="82" t="str">
        <f>VLOOKUP(I274,MetaData!$E$2:$G$40,3,false)</f>
        <v>Rizza Al-Farisi</v>
      </c>
      <c r="K274" s="83"/>
    </row>
    <row r="275" ht="15.75" customHeight="1">
      <c r="A275" s="84">
        <v>318.0</v>
      </c>
      <c r="B275" s="77">
        <v>29.0</v>
      </c>
      <c r="C275" s="77" t="s">
        <v>1055</v>
      </c>
      <c r="D275" s="77">
        <v>2.52610345E8</v>
      </c>
      <c r="E275" s="78" t="s">
        <v>282</v>
      </c>
      <c r="F275" s="77" t="s">
        <v>782</v>
      </c>
      <c r="G275" s="79" t="s">
        <v>52</v>
      </c>
      <c r="H275" s="79" t="str">
        <f>VLOOKUP(G275,MetaData!$A$2:$C$13,3,false)</f>
        <v>Dian Hairunnisa, S.Pd</v>
      </c>
      <c r="I275" s="79" t="s">
        <v>272</v>
      </c>
      <c r="J275" s="79" t="str">
        <f>VLOOKUP(I275,MetaData!$E$2:$G$40,3,false)</f>
        <v>Rizza Al-Farisi</v>
      </c>
      <c r="K275" s="80"/>
    </row>
    <row r="276" ht="15.75" customHeight="1">
      <c r="A276" s="85">
        <v>319.0</v>
      </c>
      <c r="B276" s="77">
        <v>30.0</v>
      </c>
      <c r="C276" s="77" t="s">
        <v>1056</v>
      </c>
      <c r="D276" s="77">
        <v>2.52610352E8</v>
      </c>
      <c r="E276" s="78" t="s">
        <v>283</v>
      </c>
      <c r="F276" s="77" t="s">
        <v>782</v>
      </c>
      <c r="G276" s="82" t="s">
        <v>52</v>
      </c>
      <c r="H276" s="82" t="str">
        <f>VLOOKUP(G276,MetaData!$A$2:$C$13,3,false)</f>
        <v>Dian Hairunnisa, S.Pd</v>
      </c>
      <c r="I276" s="82" t="s">
        <v>272</v>
      </c>
      <c r="J276" s="82" t="str">
        <f>VLOOKUP(I276,MetaData!$E$2:$G$40,3,false)</f>
        <v>Rizza Al-Farisi</v>
      </c>
      <c r="K276" s="83"/>
    </row>
    <row r="277" ht="15.75" customHeight="1">
      <c r="A277" s="84">
        <v>320.0</v>
      </c>
      <c r="B277" s="77">
        <v>31.0</v>
      </c>
      <c r="C277" s="77" t="s">
        <v>1057</v>
      </c>
      <c r="D277" s="77">
        <v>2.52610354E8</v>
      </c>
      <c r="E277" s="78" t="s">
        <v>284</v>
      </c>
      <c r="F277" s="77" t="s">
        <v>782</v>
      </c>
      <c r="G277" s="79" t="s">
        <v>52</v>
      </c>
      <c r="H277" s="79" t="str">
        <f>VLOOKUP(G277,MetaData!$A$2:$C$13,3,false)</f>
        <v>Dian Hairunnisa, S.Pd</v>
      </c>
      <c r="I277" s="79" t="s">
        <v>272</v>
      </c>
      <c r="J277" s="79" t="str">
        <f>VLOOKUP(I277,MetaData!$E$2:$G$40,3,false)</f>
        <v>Rizza Al-Farisi</v>
      </c>
      <c r="K277" s="80"/>
    </row>
    <row r="278" ht="15.75" customHeight="1">
      <c r="A278" s="85">
        <v>321.0</v>
      </c>
      <c r="B278" s="77">
        <v>32.0</v>
      </c>
      <c r="C278" s="77" t="s">
        <v>1058</v>
      </c>
      <c r="D278" s="77">
        <v>2.52610383E8</v>
      </c>
      <c r="E278" s="78" t="s">
        <v>488</v>
      </c>
      <c r="F278" s="77" t="s">
        <v>784</v>
      </c>
      <c r="G278" s="82" t="s">
        <v>52</v>
      </c>
      <c r="H278" s="82" t="str">
        <f>VLOOKUP(G278,MetaData!$A$2:$C$13,3,false)</f>
        <v>Dian Hairunnisa, S.Pd</v>
      </c>
      <c r="I278" s="82" t="s">
        <v>485</v>
      </c>
      <c r="J278" s="82" t="str">
        <f>VLOOKUP(I278,MetaData!$E$2:$G$40,3,false)</f>
        <v>Desya (XI)</v>
      </c>
      <c r="K278" s="83"/>
    </row>
    <row r="279" ht="15.75" customHeight="1">
      <c r="A279" s="84">
        <v>322.0</v>
      </c>
      <c r="B279" s="77">
        <v>33.0</v>
      </c>
      <c r="C279" s="77" t="s">
        <v>1059</v>
      </c>
      <c r="D279" s="77">
        <v>2.52610389E8</v>
      </c>
      <c r="E279" s="78" t="s">
        <v>489</v>
      </c>
      <c r="F279" s="77" t="s">
        <v>784</v>
      </c>
      <c r="G279" s="79" t="s">
        <v>52</v>
      </c>
      <c r="H279" s="79" t="str">
        <f>VLOOKUP(G279,MetaData!$A$2:$C$13,3,false)</f>
        <v>Dian Hairunnisa, S.Pd</v>
      </c>
      <c r="I279" s="79" t="s">
        <v>485</v>
      </c>
      <c r="J279" s="79" t="str">
        <f>VLOOKUP(I279,MetaData!$E$2:$G$40,3,false)</f>
        <v>Desya (XI)</v>
      </c>
      <c r="K279" s="80"/>
    </row>
    <row r="280" ht="15.75" customHeight="1">
      <c r="A280" s="85">
        <v>323.0</v>
      </c>
      <c r="B280" s="77">
        <v>34.0</v>
      </c>
      <c r="C280" s="77" t="s">
        <v>1060</v>
      </c>
      <c r="D280" s="77">
        <v>2.52610404E8</v>
      </c>
      <c r="E280" s="78" t="s">
        <v>490</v>
      </c>
      <c r="F280" s="77" t="s">
        <v>784</v>
      </c>
      <c r="G280" s="82" t="s">
        <v>52</v>
      </c>
      <c r="H280" s="82" t="str">
        <f>VLOOKUP(G280,MetaData!$A$2:$C$13,3,false)</f>
        <v>Dian Hairunnisa, S.Pd</v>
      </c>
      <c r="I280" s="82" t="s">
        <v>485</v>
      </c>
      <c r="J280" s="82" t="str">
        <f>VLOOKUP(I280,MetaData!$E$2:$G$40,3,false)</f>
        <v>Desya (XI)</v>
      </c>
      <c r="K280" s="83"/>
    </row>
    <row r="281" ht="15.75" customHeight="1">
      <c r="A281" s="84">
        <v>324.0</v>
      </c>
      <c r="B281" s="77">
        <v>35.0</v>
      </c>
      <c r="C281" s="77" t="s">
        <v>1061</v>
      </c>
      <c r="D281" s="77">
        <v>2.52610409E8</v>
      </c>
      <c r="E281" s="78" t="s">
        <v>491</v>
      </c>
      <c r="F281" s="77" t="s">
        <v>784</v>
      </c>
      <c r="G281" s="79" t="s">
        <v>52</v>
      </c>
      <c r="H281" s="79" t="str">
        <f>VLOOKUP(G281,MetaData!$A$2:$C$13,3,false)</f>
        <v>Dian Hairunnisa, S.Pd</v>
      </c>
      <c r="I281" s="79" t="s">
        <v>485</v>
      </c>
      <c r="J281" s="79" t="str">
        <f>VLOOKUP(I281,MetaData!$E$2:$G$40,3,false)</f>
        <v>Desya (XI)</v>
      </c>
      <c r="K281" s="80"/>
    </row>
    <row r="282" ht="15.75" customHeight="1">
      <c r="A282" s="85">
        <v>325.0</v>
      </c>
      <c r="B282" s="77">
        <v>36.0</v>
      </c>
      <c r="C282" s="77" t="s">
        <v>1062</v>
      </c>
      <c r="D282" s="77">
        <v>2.52610428E8</v>
      </c>
      <c r="E282" s="78" t="s">
        <v>492</v>
      </c>
      <c r="F282" s="77" t="s">
        <v>784</v>
      </c>
      <c r="G282" s="82" t="s">
        <v>52</v>
      </c>
      <c r="H282" s="82" t="str">
        <f>VLOOKUP(G282,MetaData!$A$2:$C$13,3,false)</f>
        <v>Dian Hairunnisa, S.Pd</v>
      </c>
      <c r="I282" s="82" t="s">
        <v>485</v>
      </c>
      <c r="J282" s="82" t="str">
        <f>VLOOKUP(I282,MetaData!$E$2:$G$40,3,false)</f>
        <v>Desya (XI)</v>
      </c>
      <c r="K282" s="83"/>
    </row>
    <row r="283" ht="15.75" customHeight="1">
      <c r="A283" s="84">
        <v>326.0</v>
      </c>
      <c r="B283" s="77">
        <v>37.0</v>
      </c>
      <c r="C283" s="77" t="s">
        <v>1063</v>
      </c>
      <c r="D283" s="77">
        <v>2.52610464E8</v>
      </c>
      <c r="E283" s="78" t="s">
        <v>440</v>
      </c>
      <c r="F283" s="77" t="s">
        <v>784</v>
      </c>
      <c r="G283" s="79" t="s">
        <v>52</v>
      </c>
      <c r="H283" s="79" t="str">
        <f>VLOOKUP(G283,MetaData!$A$2:$C$13,3,false)</f>
        <v>Dian Hairunnisa, S.Pd</v>
      </c>
      <c r="I283" s="79" t="s">
        <v>428</v>
      </c>
      <c r="J283" s="79" t="str">
        <f>VLOOKUP(I283,MetaData!$E$2:$G$40,3,false)</f>
        <v>Iga</v>
      </c>
      <c r="K283" s="80"/>
    </row>
    <row r="284" ht="15.75" customHeight="1">
      <c r="A284" s="85">
        <v>327.0</v>
      </c>
      <c r="B284" s="77">
        <v>38.0</v>
      </c>
      <c r="C284" s="77" t="s">
        <v>1064</v>
      </c>
      <c r="D284" s="77">
        <v>2.52610466E8</v>
      </c>
      <c r="E284" s="78" t="s">
        <v>493</v>
      </c>
      <c r="F284" s="77" t="s">
        <v>784</v>
      </c>
      <c r="G284" s="82" t="s">
        <v>52</v>
      </c>
      <c r="H284" s="82" t="str">
        <f>VLOOKUP(G284,MetaData!$A$2:$C$13,3,false)</f>
        <v>Dian Hairunnisa, S.Pd</v>
      </c>
      <c r="I284" s="82" t="s">
        <v>485</v>
      </c>
      <c r="J284" s="82" t="str">
        <f>VLOOKUP(I284,MetaData!$E$2:$G$40,3,false)</f>
        <v>Desya (XI)</v>
      </c>
      <c r="K284" s="83"/>
    </row>
    <row r="285" ht="15.75" customHeight="1">
      <c r="A285" s="84">
        <v>328.0</v>
      </c>
      <c r="B285" s="77">
        <v>39.0</v>
      </c>
      <c r="C285" s="77" t="s">
        <v>1065</v>
      </c>
      <c r="D285" s="77">
        <v>2.52610468E8</v>
      </c>
      <c r="E285" s="78" t="s">
        <v>494</v>
      </c>
      <c r="F285" s="77" t="s">
        <v>784</v>
      </c>
      <c r="G285" s="79" t="s">
        <v>52</v>
      </c>
      <c r="H285" s="79" t="str">
        <f>VLOOKUP(G285,MetaData!$A$2:$C$13,3,false)</f>
        <v>Dian Hairunnisa, S.Pd</v>
      </c>
      <c r="I285" s="79" t="s">
        <v>485</v>
      </c>
      <c r="J285" s="79" t="str">
        <f>VLOOKUP(I285,MetaData!$E$2:$G$40,3,false)</f>
        <v>Desya (XI)</v>
      </c>
      <c r="K285" s="80"/>
    </row>
    <row r="286" ht="15.75" customHeight="1">
      <c r="A286" s="85">
        <v>329.0</v>
      </c>
      <c r="B286" s="77">
        <v>40.0</v>
      </c>
      <c r="C286" s="77" t="s">
        <v>1066</v>
      </c>
      <c r="D286" s="77">
        <v>2.52610491E8</v>
      </c>
      <c r="E286" s="78" t="s">
        <v>495</v>
      </c>
      <c r="F286" s="77" t="s">
        <v>784</v>
      </c>
      <c r="G286" s="82" t="s">
        <v>52</v>
      </c>
      <c r="H286" s="82" t="str">
        <f>VLOOKUP(G286,MetaData!$A$2:$C$13,3,false)</f>
        <v>Dian Hairunnisa, S.Pd</v>
      </c>
      <c r="I286" s="82" t="s">
        <v>485</v>
      </c>
      <c r="J286" s="82" t="str">
        <f>VLOOKUP(I286,MetaData!$E$2:$G$40,3,false)</f>
        <v>Desya (XI)</v>
      </c>
      <c r="K286" s="83"/>
    </row>
    <row r="287" ht="15.75" customHeight="1">
      <c r="A287" s="84">
        <v>330.0</v>
      </c>
      <c r="B287" s="77">
        <v>41.0</v>
      </c>
      <c r="C287" s="77" t="s">
        <v>1067</v>
      </c>
      <c r="D287" s="77">
        <v>2.52610504E8</v>
      </c>
      <c r="E287" s="78" t="s">
        <v>285</v>
      </c>
      <c r="F287" s="77" t="s">
        <v>782</v>
      </c>
      <c r="G287" s="79" t="s">
        <v>52</v>
      </c>
      <c r="H287" s="79" t="str">
        <f>VLOOKUP(G287,MetaData!$A$2:$C$13,3,false)</f>
        <v>Dian Hairunnisa, S.Pd</v>
      </c>
      <c r="I287" s="79" t="s">
        <v>272</v>
      </c>
      <c r="J287" s="79" t="str">
        <f>VLOOKUP(I287,MetaData!$E$2:$G$40,3,false)</f>
        <v>Rizza Al-Farisi</v>
      </c>
      <c r="K287" s="80"/>
    </row>
    <row r="288" ht="15.75" customHeight="1">
      <c r="A288" s="85">
        <v>331.0</v>
      </c>
      <c r="B288" s="77">
        <v>42.0</v>
      </c>
      <c r="C288" s="77" t="s">
        <v>1068</v>
      </c>
      <c r="D288" s="77">
        <v>2.52610523E8</v>
      </c>
      <c r="E288" s="78" t="s">
        <v>496</v>
      </c>
      <c r="F288" s="77" t="s">
        <v>784</v>
      </c>
      <c r="G288" s="82" t="s">
        <v>52</v>
      </c>
      <c r="H288" s="82" t="str">
        <f>VLOOKUP(G288,MetaData!$A$2:$C$13,3,false)</f>
        <v>Dian Hairunnisa, S.Pd</v>
      </c>
      <c r="I288" s="82" t="s">
        <v>485</v>
      </c>
      <c r="J288" s="82" t="str">
        <f>VLOOKUP(I288,MetaData!$E$2:$G$40,3,false)</f>
        <v>Desya (XI)</v>
      </c>
      <c r="K288" s="83"/>
    </row>
    <row r="289" ht="15.75" customHeight="1">
      <c r="A289" s="84">
        <v>332.0</v>
      </c>
      <c r="B289" s="77">
        <v>43.0</v>
      </c>
      <c r="C289" s="77" t="s">
        <v>1069</v>
      </c>
      <c r="D289" s="77">
        <v>2.52610525E8</v>
      </c>
      <c r="E289" s="78" t="s">
        <v>286</v>
      </c>
      <c r="F289" s="77" t="s">
        <v>782</v>
      </c>
      <c r="G289" s="79" t="s">
        <v>52</v>
      </c>
      <c r="H289" s="79" t="str">
        <f>VLOOKUP(G289,MetaData!$A$2:$C$13,3,false)</f>
        <v>Dian Hairunnisa, S.Pd</v>
      </c>
      <c r="I289" s="79" t="s">
        <v>272</v>
      </c>
      <c r="J289" s="79" t="str">
        <f>VLOOKUP(I289,MetaData!$E$2:$G$40,3,false)</f>
        <v>Rizza Al-Farisi</v>
      </c>
      <c r="K289" s="80"/>
    </row>
    <row r="290" ht="15.75" customHeight="1">
      <c r="A290" s="85">
        <v>333.0</v>
      </c>
      <c r="B290" s="77">
        <v>44.0</v>
      </c>
      <c r="C290" s="77" t="s">
        <v>1070</v>
      </c>
      <c r="D290" s="77">
        <v>2.52610527E8</v>
      </c>
      <c r="E290" s="78" t="s">
        <v>497</v>
      </c>
      <c r="F290" s="77" t="s">
        <v>784</v>
      </c>
      <c r="G290" s="82" t="s">
        <v>52</v>
      </c>
      <c r="H290" s="82" t="str">
        <f>VLOOKUP(G290,MetaData!$A$2:$C$13,3,false)</f>
        <v>Dian Hairunnisa, S.Pd</v>
      </c>
      <c r="I290" s="82" t="s">
        <v>485</v>
      </c>
      <c r="J290" s="82" t="str">
        <f>VLOOKUP(I290,MetaData!$E$2:$G$40,3,false)</f>
        <v>Desya (XI)</v>
      </c>
      <c r="K290" s="83"/>
    </row>
    <row r="291" ht="15.75" customHeight="1">
      <c r="A291" s="84">
        <v>334.0</v>
      </c>
      <c r="B291" s="77">
        <v>45.0</v>
      </c>
      <c r="C291" s="77" t="s">
        <v>1071</v>
      </c>
      <c r="D291" s="77">
        <v>2.52610532E8</v>
      </c>
      <c r="E291" s="78" t="s">
        <v>498</v>
      </c>
      <c r="F291" s="77" t="s">
        <v>784</v>
      </c>
      <c r="G291" s="79" t="s">
        <v>52</v>
      </c>
      <c r="H291" s="79" t="str">
        <f>VLOOKUP(G291,MetaData!$A$2:$C$13,3,false)</f>
        <v>Dian Hairunnisa, S.Pd</v>
      </c>
      <c r="I291" s="79" t="s">
        <v>485</v>
      </c>
      <c r="J291" s="79" t="str">
        <f>VLOOKUP(I291,MetaData!$E$2:$G$40,3,false)</f>
        <v>Desya (XI)</v>
      </c>
      <c r="K291" s="80"/>
    </row>
    <row r="292" ht="15.75" customHeight="1">
      <c r="A292" s="85">
        <v>335.0</v>
      </c>
      <c r="B292" s="77">
        <v>46.0</v>
      </c>
      <c r="C292" s="77" t="s">
        <v>1072</v>
      </c>
      <c r="D292" s="77">
        <v>2.52610539E8</v>
      </c>
      <c r="E292" s="78" t="s">
        <v>287</v>
      </c>
      <c r="F292" s="77" t="s">
        <v>782</v>
      </c>
      <c r="G292" s="82" t="s">
        <v>52</v>
      </c>
      <c r="H292" s="82" t="str">
        <f>VLOOKUP(G292,MetaData!$A$2:$C$13,3,false)</f>
        <v>Dian Hairunnisa, S.Pd</v>
      </c>
      <c r="I292" s="82" t="s">
        <v>272</v>
      </c>
      <c r="J292" s="82" t="str">
        <f>VLOOKUP(I292,MetaData!$E$2:$G$40,3,false)</f>
        <v>Rizza Al-Farisi</v>
      </c>
      <c r="K292" s="83"/>
    </row>
    <row r="293" ht="15.75" customHeight="1">
      <c r="A293" s="84">
        <v>336.0</v>
      </c>
      <c r="B293" s="77">
        <v>47.0</v>
      </c>
      <c r="C293" s="77" t="s">
        <v>1073</v>
      </c>
      <c r="D293" s="77">
        <v>2.52610547E8</v>
      </c>
      <c r="E293" s="78" t="s">
        <v>288</v>
      </c>
      <c r="F293" s="77" t="s">
        <v>782</v>
      </c>
      <c r="G293" s="79" t="s">
        <v>52</v>
      </c>
      <c r="H293" s="79" t="str">
        <f>VLOOKUP(G293,MetaData!$A$2:$C$13,3,false)</f>
        <v>Dian Hairunnisa, S.Pd</v>
      </c>
      <c r="I293" s="79" t="s">
        <v>272</v>
      </c>
      <c r="J293" s="79" t="str">
        <f>VLOOKUP(I293,MetaData!$E$2:$G$40,3,false)</f>
        <v>Rizza Al-Farisi</v>
      </c>
      <c r="K293" s="80"/>
    </row>
    <row r="294" ht="15.75" customHeight="1">
      <c r="A294" s="85">
        <v>337.0</v>
      </c>
      <c r="B294" s="77">
        <v>48.0</v>
      </c>
      <c r="C294" s="77" t="s">
        <v>1074</v>
      </c>
      <c r="D294" s="77">
        <v>2.52610559E8</v>
      </c>
      <c r="E294" s="78" t="s">
        <v>499</v>
      </c>
      <c r="F294" s="77" t="s">
        <v>784</v>
      </c>
      <c r="G294" s="82" t="s">
        <v>52</v>
      </c>
      <c r="H294" s="82" t="str">
        <f>VLOOKUP(G294,MetaData!$A$2:$C$13,3,false)</f>
        <v>Dian Hairunnisa, S.Pd</v>
      </c>
      <c r="I294" s="82" t="s">
        <v>485</v>
      </c>
      <c r="J294" s="82" t="str">
        <f>VLOOKUP(I294,MetaData!$E$2:$G$40,3,false)</f>
        <v>Desya (XI)</v>
      </c>
      <c r="K294" s="83"/>
    </row>
    <row r="295" ht="15.75" customHeight="1">
      <c r="A295" s="76">
        <v>345.0</v>
      </c>
      <c r="B295" s="77">
        <v>1.0</v>
      </c>
      <c r="C295" s="77" t="s">
        <v>1075</v>
      </c>
      <c r="D295" s="77">
        <v>2.52610007E8</v>
      </c>
      <c r="E295" s="78" t="s">
        <v>628</v>
      </c>
      <c r="F295" s="77" t="s">
        <v>784</v>
      </c>
      <c r="G295" s="79" t="s">
        <v>58</v>
      </c>
      <c r="H295" s="79" t="str">
        <f>VLOOKUP(G295,MetaData!$A$2:$C$13,3,false)</f>
        <v>Fatmawati, S.Pd</v>
      </c>
      <c r="I295" s="79" t="s">
        <v>627</v>
      </c>
      <c r="J295" s="79" t="str">
        <f>VLOOKUP(I295,MetaData!$E$2:$G$40,3,false)</f>
        <v>Sakina</v>
      </c>
      <c r="K295" s="80"/>
    </row>
    <row r="296" ht="15.75" customHeight="1">
      <c r="A296" s="81">
        <v>346.0</v>
      </c>
      <c r="B296" s="77">
        <v>2.0</v>
      </c>
      <c r="C296" s="77" t="s">
        <v>1076</v>
      </c>
      <c r="D296" s="77">
        <v>2.52610028E8</v>
      </c>
      <c r="E296" s="78" t="s">
        <v>629</v>
      </c>
      <c r="F296" s="77" t="s">
        <v>784</v>
      </c>
      <c r="G296" s="82" t="s">
        <v>58</v>
      </c>
      <c r="H296" s="82" t="str">
        <f>VLOOKUP(G296,MetaData!$A$2:$C$13,3,false)</f>
        <v>Fatmawati, S.Pd</v>
      </c>
      <c r="I296" s="82" t="s">
        <v>627</v>
      </c>
      <c r="J296" s="82" t="str">
        <f>VLOOKUP(I296,MetaData!$E$2:$G$40,3,false)</f>
        <v>Sakina</v>
      </c>
      <c r="K296" s="83"/>
    </row>
    <row r="297" ht="15.75" customHeight="1">
      <c r="A297" s="76">
        <v>347.0</v>
      </c>
      <c r="B297" s="77">
        <v>3.0</v>
      </c>
      <c r="C297" s="77" t="s">
        <v>1077</v>
      </c>
      <c r="D297" s="77">
        <v>2.52610035E8</v>
      </c>
      <c r="E297" s="78" t="s">
        <v>630</v>
      </c>
      <c r="F297" s="77" t="s">
        <v>784</v>
      </c>
      <c r="G297" s="79" t="s">
        <v>58</v>
      </c>
      <c r="H297" s="79" t="str">
        <f>VLOOKUP(G297,MetaData!$A$2:$C$13,3,false)</f>
        <v>Fatmawati, S.Pd</v>
      </c>
      <c r="I297" s="79" t="s">
        <v>627</v>
      </c>
      <c r="J297" s="79" t="str">
        <f>VLOOKUP(I297,MetaData!$E$2:$G$40,3,false)</f>
        <v>Sakina</v>
      </c>
      <c r="K297" s="80"/>
    </row>
    <row r="298" ht="15.75" customHeight="1">
      <c r="A298" s="81">
        <v>348.0</v>
      </c>
      <c r="B298" s="77">
        <v>4.0</v>
      </c>
      <c r="C298" s="77" t="s">
        <v>1078</v>
      </c>
      <c r="D298" s="77">
        <v>2.5261004E8</v>
      </c>
      <c r="E298" s="78" t="s">
        <v>631</v>
      </c>
      <c r="F298" s="77" t="s">
        <v>784</v>
      </c>
      <c r="G298" s="82" t="s">
        <v>58</v>
      </c>
      <c r="H298" s="82" t="str">
        <f>VLOOKUP(G298,MetaData!$A$2:$C$13,3,false)</f>
        <v>Fatmawati, S.Pd</v>
      </c>
      <c r="I298" s="82" t="s">
        <v>627</v>
      </c>
      <c r="J298" s="82" t="str">
        <f>VLOOKUP(I298,MetaData!$E$2:$G$40,3,false)</f>
        <v>Sakina</v>
      </c>
      <c r="K298" s="83"/>
    </row>
    <row r="299" ht="15.75" customHeight="1">
      <c r="A299" s="76">
        <v>349.0</v>
      </c>
      <c r="B299" s="77">
        <v>5.0</v>
      </c>
      <c r="C299" s="77" t="s">
        <v>1079</v>
      </c>
      <c r="D299" s="77">
        <v>2.52610041E8</v>
      </c>
      <c r="E299" s="78" t="s">
        <v>632</v>
      </c>
      <c r="F299" s="77" t="s">
        <v>784</v>
      </c>
      <c r="G299" s="79" t="s">
        <v>58</v>
      </c>
      <c r="H299" s="79" t="str">
        <f>VLOOKUP(G299,MetaData!$A$2:$C$13,3,false)</f>
        <v>Fatmawati, S.Pd</v>
      </c>
      <c r="I299" s="79" t="s">
        <v>627</v>
      </c>
      <c r="J299" s="79" t="str">
        <f>VLOOKUP(I299,MetaData!$E$2:$G$40,3,false)</f>
        <v>Sakina</v>
      </c>
      <c r="K299" s="80"/>
    </row>
    <row r="300" ht="15.75" customHeight="1">
      <c r="A300" s="81">
        <v>350.0</v>
      </c>
      <c r="B300" s="77">
        <v>6.0</v>
      </c>
      <c r="C300" s="77" t="s">
        <v>1080</v>
      </c>
      <c r="D300" s="77">
        <v>2.52610061E8</v>
      </c>
      <c r="E300" s="78" t="s">
        <v>633</v>
      </c>
      <c r="F300" s="77" t="s">
        <v>784</v>
      </c>
      <c r="G300" s="82" t="s">
        <v>58</v>
      </c>
      <c r="H300" s="82" t="str">
        <f>VLOOKUP(G300,MetaData!$A$2:$C$13,3,false)</f>
        <v>Fatmawati, S.Pd</v>
      </c>
      <c r="I300" s="82" t="s">
        <v>627</v>
      </c>
      <c r="J300" s="82" t="str">
        <f>VLOOKUP(I300,MetaData!$E$2:$G$40,3,false)</f>
        <v>Sakina</v>
      </c>
      <c r="K300" s="83"/>
    </row>
    <row r="301" ht="15.75" customHeight="1">
      <c r="A301" s="76">
        <v>351.0</v>
      </c>
      <c r="B301" s="77">
        <v>7.0</v>
      </c>
      <c r="C301" s="77" t="s">
        <v>1081</v>
      </c>
      <c r="D301" s="77">
        <v>2.52610077E8</v>
      </c>
      <c r="E301" s="78" t="s">
        <v>634</v>
      </c>
      <c r="F301" s="77" t="s">
        <v>784</v>
      </c>
      <c r="G301" s="79" t="s">
        <v>58</v>
      </c>
      <c r="H301" s="79" t="str">
        <f>VLOOKUP(G301,MetaData!$A$2:$C$13,3,false)</f>
        <v>Fatmawati, S.Pd</v>
      </c>
      <c r="I301" s="79" t="s">
        <v>627</v>
      </c>
      <c r="J301" s="79" t="str">
        <f>VLOOKUP(I301,MetaData!$E$2:$G$40,3,false)</f>
        <v>Sakina</v>
      </c>
      <c r="K301" s="80"/>
    </row>
    <row r="302" ht="15.75" customHeight="1">
      <c r="A302" s="81">
        <v>352.0</v>
      </c>
      <c r="B302" s="77">
        <v>8.0</v>
      </c>
      <c r="C302" s="77" t="s">
        <v>1082</v>
      </c>
      <c r="D302" s="77">
        <v>2.52610097E8</v>
      </c>
      <c r="E302" s="78" t="s">
        <v>635</v>
      </c>
      <c r="F302" s="77" t="s">
        <v>784</v>
      </c>
      <c r="G302" s="82" t="s">
        <v>58</v>
      </c>
      <c r="H302" s="82" t="str">
        <f>VLOOKUP(G302,MetaData!$A$2:$C$13,3,false)</f>
        <v>Fatmawati, S.Pd</v>
      </c>
      <c r="I302" s="82" t="s">
        <v>627</v>
      </c>
      <c r="J302" s="82" t="str">
        <f>VLOOKUP(I302,MetaData!$E$2:$G$40,3,false)</f>
        <v>Sakina</v>
      </c>
      <c r="K302" s="83"/>
    </row>
    <row r="303" ht="15.75" customHeight="1">
      <c r="A303" s="76">
        <v>353.0</v>
      </c>
      <c r="B303" s="77">
        <v>9.0</v>
      </c>
      <c r="C303" s="77" t="s">
        <v>1083</v>
      </c>
      <c r="D303" s="77">
        <v>2.52610108E8</v>
      </c>
      <c r="E303" s="78" t="s">
        <v>636</v>
      </c>
      <c r="F303" s="77" t="s">
        <v>784</v>
      </c>
      <c r="G303" s="79" t="s">
        <v>58</v>
      </c>
      <c r="H303" s="79" t="str">
        <f>VLOOKUP(G303,MetaData!$A$2:$C$13,3,false)</f>
        <v>Fatmawati, S.Pd</v>
      </c>
      <c r="I303" s="79" t="s">
        <v>627</v>
      </c>
      <c r="J303" s="79" t="str">
        <f>VLOOKUP(I303,MetaData!$E$2:$G$40,3,false)</f>
        <v>Sakina</v>
      </c>
      <c r="K303" s="80"/>
    </row>
    <row r="304" ht="15.75" customHeight="1">
      <c r="A304" s="81">
        <v>354.0</v>
      </c>
      <c r="B304" s="77">
        <v>10.0</v>
      </c>
      <c r="C304" s="77" t="s">
        <v>1084</v>
      </c>
      <c r="D304" s="77">
        <v>2.52610118E8</v>
      </c>
      <c r="E304" s="78" t="s">
        <v>637</v>
      </c>
      <c r="F304" s="77" t="s">
        <v>784</v>
      </c>
      <c r="G304" s="82" t="s">
        <v>58</v>
      </c>
      <c r="H304" s="82" t="str">
        <f>VLOOKUP(G304,MetaData!$A$2:$C$13,3,false)</f>
        <v>Fatmawati, S.Pd</v>
      </c>
      <c r="I304" s="82" t="s">
        <v>627</v>
      </c>
      <c r="J304" s="82" t="str">
        <f>VLOOKUP(I304,MetaData!$E$2:$G$40,3,false)</f>
        <v>Sakina</v>
      </c>
      <c r="K304" s="83"/>
    </row>
    <row r="305" ht="15.75" customHeight="1">
      <c r="A305" s="76">
        <v>355.0</v>
      </c>
      <c r="B305" s="77">
        <v>11.0</v>
      </c>
      <c r="C305" s="77" t="s">
        <v>1085</v>
      </c>
      <c r="D305" s="77">
        <v>2.52610125E8</v>
      </c>
      <c r="E305" s="78" t="s">
        <v>258</v>
      </c>
      <c r="F305" s="77" t="s">
        <v>782</v>
      </c>
      <c r="G305" s="79" t="s">
        <v>58</v>
      </c>
      <c r="H305" s="79" t="str">
        <f>VLOOKUP(G305,MetaData!$A$2:$C$13,3,false)</f>
        <v>Fatmawati, S.Pd</v>
      </c>
      <c r="I305" s="79" t="s">
        <v>257</v>
      </c>
      <c r="J305" s="79" t="str">
        <f>VLOOKUP(I305,MetaData!$E$2:$G$40,3,false)</f>
        <v>Teguh</v>
      </c>
      <c r="K305" s="80"/>
    </row>
    <row r="306" ht="15.75" customHeight="1">
      <c r="A306" s="81">
        <v>356.0</v>
      </c>
      <c r="B306" s="77">
        <v>12.0</v>
      </c>
      <c r="C306" s="77" t="s">
        <v>1086</v>
      </c>
      <c r="D306" s="77">
        <v>2.52610151E8</v>
      </c>
      <c r="E306" s="78" t="s">
        <v>638</v>
      </c>
      <c r="F306" s="77" t="s">
        <v>784</v>
      </c>
      <c r="G306" s="82" t="s">
        <v>58</v>
      </c>
      <c r="H306" s="82" t="str">
        <f>VLOOKUP(G306,MetaData!$A$2:$C$13,3,false)</f>
        <v>Fatmawati, S.Pd</v>
      </c>
      <c r="I306" s="82" t="s">
        <v>627</v>
      </c>
      <c r="J306" s="82" t="str">
        <f>VLOOKUP(I306,MetaData!$E$2:$G$40,3,false)</f>
        <v>Sakina</v>
      </c>
      <c r="K306" s="83"/>
    </row>
    <row r="307" ht="15.75" customHeight="1">
      <c r="A307" s="76">
        <v>357.0</v>
      </c>
      <c r="B307" s="77">
        <v>13.0</v>
      </c>
      <c r="C307" s="77" t="s">
        <v>1087</v>
      </c>
      <c r="D307" s="77">
        <v>2.5261016E8</v>
      </c>
      <c r="E307" s="78" t="s">
        <v>433</v>
      </c>
      <c r="F307" s="77" t="s">
        <v>784</v>
      </c>
      <c r="G307" s="79" t="s">
        <v>58</v>
      </c>
      <c r="H307" s="79" t="str">
        <f>VLOOKUP(G307,MetaData!$A$2:$C$13,3,false)</f>
        <v>Fatmawati, S.Pd</v>
      </c>
      <c r="I307" s="79" t="s">
        <v>428</v>
      </c>
      <c r="J307" s="79" t="str">
        <f>VLOOKUP(I307,MetaData!$E$2:$G$40,3,false)</f>
        <v>Iga</v>
      </c>
      <c r="K307" s="80"/>
    </row>
    <row r="308" ht="15.75" customHeight="1">
      <c r="A308" s="81">
        <v>358.0</v>
      </c>
      <c r="B308" s="77">
        <v>14.0</v>
      </c>
      <c r="C308" s="77" t="s">
        <v>1088</v>
      </c>
      <c r="D308" s="77">
        <v>2.52610161E8</v>
      </c>
      <c r="E308" s="78" t="s">
        <v>639</v>
      </c>
      <c r="F308" s="77" t="s">
        <v>784</v>
      </c>
      <c r="G308" s="82" t="s">
        <v>58</v>
      </c>
      <c r="H308" s="82" t="str">
        <f>VLOOKUP(G308,MetaData!$A$2:$C$13,3,false)</f>
        <v>Fatmawati, S.Pd</v>
      </c>
      <c r="I308" s="82" t="s">
        <v>627</v>
      </c>
      <c r="J308" s="82" t="str">
        <f>VLOOKUP(I308,MetaData!$E$2:$G$40,3,false)</f>
        <v>Sakina</v>
      </c>
      <c r="K308" s="83"/>
    </row>
    <row r="309" ht="15.75" customHeight="1">
      <c r="A309" s="76">
        <v>359.0</v>
      </c>
      <c r="B309" s="77">
        <v>15.0</v>
      </c>
      <c r="C309" s="77" t="s">
        <v>1089</v>
      </c>
      <c r="D309" s="77">
        <v>2.5261017E8</v>
      </c>
      <c r="E309" s="78" t="s">
        <v>640</v>
      </c>
      <c r="F309" s="77" t="s">
        <v>784</v>
      </c>
      <c r="G309" s="79" t="s">
        <v>58</v>
      </c>
      <c r="H309" s="79" t="str">
        <f>VLOOKUP(G309,MetaData!$A$2:$C$13,3,false)</f>
        <v>Fatmawati, S.Pd</v>
      </c>
      <c r="I309" s="79" t="s">
        <v>627</v>
      </c>
      <c r="J309" s="79" t="str">
        <f>VLOOKUP(I309,MetaData!$E$2:$G$40,3,false)</f>
        <v>Sakina</v>
      </c>
      <c r="K309" s="80"/>
    </row>
    <row r="310" ht="15.75" customHeight="1">
      <c r="A310" s="81">
        <v>360.0</v>
      </c>
      <c r="B310" s="77">
        <v>16.0</v>
      </c>
      <c r="C310" s="77" t="s">
        <v>1090</v>
      </c>
      <c r="D310" s="77">
        <v>2.52610174E8</v>
      </c>
      <c r="E310" s="78" t="s">
        <v>641</v>
      </c>
      <c r="F310" s="77" t="s">
        <v>784</v>
      </c>
      <c r="G310" s="82" t="s">
        <v>58</v>
      </c>
      <c r="H310" s="82" t="str">
        <f>VLOOKUP(G310,MetaData!$A$2:$C$13,3,false)</f>
        <v>Fatmawati, S.Pd</v>
      </c>
      <c r="I310" s="82" t="s">
        <v>627</v>
      </c>
      <c r="J310" s="82" t="str">
        <f>VLOOKUP(I310,MetaData!$E$2:$G$40,3,false)</f>
        <v>Sakina</v>
      </c>
      <c r="K310" s="83"/>
    </row>
    <row r="311" ht="15.75" customHeight="1">
      <c r="A311" s="76">
        <v>361.0</v>
      </c>
      <c r="B311" s="77">
        <v>17.0</v>
      </c>
      <c r="C311" s="77" t="s">
        <v>1091</v>
      </c>
      <c r="D311" s="77">
        <v>2.52610199E8</v>
      </c>
      <c r="E311" s="78" t="s">
        <v>259</v>
      </c>
      <c r="F311" s="77" t="s">
        <v>782</v>
      </c>
      <c r="G311" s="79" t="s">
        <v>58</v>
      </c>
      <c r="H311" s="79" t="str">
        <f>VLOOKUP(G311,MetaData!$A$2:$C$13,3,false)</f>
        <v>Fatmawati, S.Pd</v>
      </c>
      <c r="I311" s="79" t="s">
        <v>257</v>
      </c>
      <c r="J311" s="79" t="str">
        <f>VLOOKUP(I311,MetaData!$E$2:$G$40,3,false)</f>
        <v>Teguh</v>
      </c>
      <c r="K311" s="80"/>
    </row>
    <row r="312" ht="15.75" customHeight="1">
      <c r="A312" s="81">
        <v>362.0</v>
      </c>
      <c r="B312" s="77">
        <v>18.0</v>
      </c>
      <c r="C312" s="77" t="s">
        <v>1092</v>
      </c>
      <c r="D312" s="77">
        <v>2.52610203E8</v>
      </c>
      <c r="E312" s="78" t="s">
        <v>434</v>
      </c>
      <c r="F312" s="77" t="s">
        <v>784</v>
      </c>
      <c r="G312" s="82" t="s">
        <v>58</v>
      </c>
      <c r="H312" s="82" t="str">
        <f>VLOOKUP(G312,MetaData!$A$2:$C$13,3,false)</f>
        <v>Fatmawati, S.Pd</v>
      </c>
      <c r="I312" s="82" t="s">
        <v>428</v>
      </c>
      <c r="J312" s="82" t="str">
        <f>VLOOKUP(I312,MetaData!$E$2:$G$40,3,false)</f>
        <v>Iga</v>
      </c>
      <c r="K312" s="83"/>
    </row>
    <row r="313" ht="15.75" customHeight="1">
      <c r="A313" s="76">
        <v>363.0</v>
      </c>
      <c r="B313" s="77">
        <v>20.0</v>
      </c>
      <c r="C313" s="77" t="s">
        <v>1093</v>
      </c>
      <c r="D313" s="77">
        <v>2.52610255E8</v>
      </c>
      <c r="E313" s="78" t="s">
        <v>471</v>
      </c>
      <c r="F313" s="77" t="s">
        <v>784</v>
      </c>
      <c r="G313" s="79" t="s">
        <v>58</v>
      </c>
      <c r="H313" s="79" t="str">
        <f>VLOOKUP(G313,MetaData!$A$2:$C$13,3,false)</f>
        <v>Fatmawati, S.Pd</v>
      </c>
      <c r="I313" s="79" t="s">
        <v>470</v>
      </c>
      <c r="J313" s="79" t="str">
        <f>VLOOKUP(I313,MetaData!$E$2:$G$40,3,false)</f>
        <v>Arsyila (XI)</v>
      </c>
      <c r="K313" s="80"/>
    </row>
    <row r="314" ht="15.75" customHeight="1">
      <c r="A314" s="81">
        <v>364.0</v>
      </c>
      <c r="B314" s="77">
        <v>21.0</v>
      </c>
      <c r="C314" s="77" t="s">
        <v>1094</v>
      </c>
      <c r="D314" s="77">
        <v>2.52610265E8</v>
      </c>
      <c r="E314" s="78" t="s">
        <v>260</v>
      </c>
      <c r="F314" s="77" t="s">
        <v>782</v>
      </c>
      <c r="G314" s="82" t="s">
        <v>58</v>
      </c>
      <c r="H314" s="82" t="str">
        <f>VLOOKUP(G314,MetaData!$A$2:$C$13,3,false)</f>
        <v>Fatmawati, S.Pd</v>
      </c>
      <c r="I314" s="82" t="s">
        <v>257</v>
      </c>
      <c r="J314" s="82" t="str">
        <f>VLOOKUP(I314,MetaData!$E$2:$G$40,3,false)</f>
        <v>Teguh</v>
      </c>
      <c r="K314" s="83"/>
    </row>
    <row r="315" ht="15.75" customHeight="1">
      <c r="A315" s="76">
        <v>365.0</v>
      </c>
      <c r="B315" s="77">
        <v>22.0</v>
      </c>
      <c r="C315" s="77" t="s">
        <v>1095</v>
      </c>
      <c r="D315" s="77">
        <v>2.52610293E8</v>
      </c>
      <c r="E315" s="78" t="s">
        <v>261</v>
      </c>
      <c r="F315" s="77" t="s">
        <v>782</v>
      </c>
      <c r="G315" s="79" t="s">
        <v>58</v>
      </c>
      <c r="H315" s="79" t="str">
        <f>VLOOKUP(G315,MetaData!$A$2:$C$13,3,false)</f>
        <v>Fatmawati, S.Pd</v>
      </c>
      <c r="I315" s="79" t="s">
        <v>257</v>
      </c>
      <c r="J315" s="79" t="str">
        <f>VLOOKUP(I315,MetaData!$E$2:$G$40,3,false)</f>
        <v>Teguh</v>
      </c>
      <c r="K315" s="80"/>
    </row>
    <row r="316" ht="15.75" customHeight="1">
      <c r="A316" s="81">
        <v>366.0</v>
      </c>
      <c r="B316" s="77">
        <v>23.0</v>
      </c>
      <c r="C316" s="77" t="s">
        <v>1096</v>
      </c>
      <c r="D316" s="77">
        <v>2.52610314E8</v>
      </c>
      <c r="E316" s="78" t="s">
        <v>262</v>
      </c>
      <c r="F316" s="77" t="s">
        <v>782</v>
      </c>
      <c r="G316" s="82" t="s">
        <v>58</v>
      </c>
      <c r="H316" s="82" t="str">
        <f>VLOOKUP(G316,MetaData!$A$2:$C$13,3,false)</f>
        <v>Fatmawati, S.Pd</v>
      </c>
      <c r="I316" s="82" t="s">
        <v>257</v>
      </c>
      <c r="J316" s="82" t="str">
        <f>VLOOKUP(I316,MetaData!$E$2:$G$40,3,false)</f>
        <v>Teguh</v>
      </c>
      <c r="K316" s="83"/>
    </row>
    <row r="317" ht="15.75" customHeight="1">
      <c r="A317" s="76">
        <v>367.0</v>
      </c>
      <c r="B317" s="77">
        <v>24.0</v>
      </c>
      <c r="C317" s="77" t="s">
        <v>1097</v>
      </c>
      <c r="D317" s="77">
        <v>2.52610317E8</v>
      </c>
      <c r="E317" s="78" t="s">
        <v>263</v>
      </c>
      <c r="F317" s="77" t="s">
        <v>782</v>
      </c>
      <c r="G317" s="79" t="s">
        <v>58</v>
      </c>
      <c r="H317" s="79" t="str">
        <f>VLOOKUP(G317,MetaData!$A$2:$C$13,3,false)</f>
        <v>Fatmawati, S.Pd</v>
      </c>
      <c r="I317" s="79" t="s">
        <v>257</v>
      </c>
      <c r="J317" s="79" t="str">
        <f>VLOOKUP(I317,MetaData!$E$2:$G$40,3,false)</f>
        <v>Teguh</v>
      </c>
      <c r="K317" s="80"/>
    </row>
    <row r="318" ht="15.75" customHeight="1">
      <c r="A318" s="81">
        <v>368.0</v>
      </c>
      <c r="B318" s="77">
        <v>25.0</v>
      </c>
      <c r="C318" s="77" t="s">
        <v>1098</v>
      </c>
      <c r="D318" s="77">
        <v>2.52610321E8</v>
      </c>
      <c r="E318" s="78" t="s">
        <v>472</v>
      </c>
      <c r="F318" s="77" t="s">
        <v>784</v>
      </c>
      <c r="G318" s="82" t="s">
        <v>58</v>
      </c>
      <c r="H318" s="82" t="str">
        <f>VLOOKUP(G318,MetaData!$A$2:$C$13,3,false)</f>
        <v>Fatmawati, S.Pd</v>
      </c>
      <c r="I318" s="82" t="s">
        <v>470</v>
      </c>
      <c r="J318" s="82" t="str">
        <f>VLOOKUP(I318,MetaData!$E$2:$G$40,3,false)</f>
        <v>Arsyila (XI)</v>
      </c>
      <c r="K318" s="83"/>
    </row>
    <row r="319" ht="15.75" customHeight="1">
      <c r="A319" s="76">
        <v>369.0</v>
      </c>
      <c r="B319" s="77">
        <v>26.0</v>
      </c>
      <c r="C319" s="77" t="s">
        <v>1099</v>
      </c>
      <c r="D319" s="77">
        <v>2.52610324E8</v>
      </c>
      <c r="E319" s="78" t="s">
        <v>230</v>
      </c>
      <c r="F319" s="77" t="s">
        <v>782</v>
      </c>
      <c r="G319" s="79" t="s">
        <v>58</v>
      </c>
      <c r="H319" s="79" t="str">
        <f>VLOOKUP(G319,MetaData!$A$2:$C$13,3,false)</f>
        <v>Fatmawati, S.Pd</v>
      </c>
      <c r="I319" s="79" t="s">
        <v>220</v>
      </c>
      <c r="J319" s="79" t="str">
        <f>VLOOKUP(I319,MetaData!$E$2:$G$40,3,false)</f>
        <v>Rekhsa</v>
      </c>
      <c r="K319" s="80"/>
    </row>
    <row r="320" ht="15.75" customHeight="1">
      <c r="A320" s="81">
        <v>370.0</v>
      </c>
      <c r="B320" s="77">
        <v>27.0</v>
      </c>
      <c r="C320" s="77" t="s">
        <v>1100</v>
      </c>
      <c r="D320" s="77">
        <v>2.52610326E8</v>
      </c>
      <c r="E320" s="78" t="s">
        <v>264</v>
      </c>
      <c r="F320" s="77" t="s">
        <v>782</v>
      </c>
      <c r="G320" s="82" t="s">
        <v>58</v>
      </c>
      <c r="H320" s="82" t="str">
        <f>VLOOKUP(G320,MetaData!$A$2:$C$13,3,false)</f>
        <v>Fatmawati, S.Pd</v>
      </c>
      <c r="I320" s="82" t="s">
        <v>257</v>
      </c>
      <c r="J320" s="82" t="str">
        <f>VLOOKUP(I320,MetaData!$E$2:$G$40,3,false)</f>
        <v>Teguh</v>
      </c>
      <c r="K320" s="83"/>
    </row>
    <row r="321" ht="15.75" customHeight="1">
      <c r="A321" s="76">
        <v>371.0</v>
      </c>
      <c r="B321" s="77">
        <v>28.0</v>
      </c>
      <c r="C321" s="77" t="s">
        <v>1101</v>
      </c>
      <c r="D321" s="77">
        <v>2.52610349E8</v>
      </c>
      <c r="E321" s="78" t="s">
        <v>265</v>
      </c>
      <c r="F321" s="77" t="s">
        <v>782</v>
      </c>
      <c r="G321" s="79" t="s">
        <v>58</v>
      </c>
      <c r="H321" s="79" t="str">
        <f>VLOOKUP(G321,MetaData!$A$2:$C$13,3,false)</f>
        <v>Fatmawati, S.Pd</v>
      </c>
      <c r="I321" s="79" t="s">
        <v>257</v>
      </c>
      <c r="J321" s="79" t="str">
        <f>VLOOKUP(I321,MetaData!$E$2:$G$40,3,false)</f>
        <v>Teguh</v>
      </c>
      <c r="K321" s="80"/>
    </row>
    <row r="322" ht="15.75" customHeight="1">
      <c r="A322" s="81">
        <v>372.0</v>
      </c>
      <c r="B322" s="77">
        <v>29.0</v>
      </c>
      <c r="C322" s="77" t="s">
        <v>1102</v>
      </c>
      <c r="D322" s="77">
        <v>2.5261035E8</v>
      </c>
      <c r="E322" s="78" t="s">
        <v>266</v>
      </c>
      <c r="F322" s="77" t="s">
        <v>782</v>
      </c>
      <c r="G322" s="82" t="s">
        <v>58</v>
      </c>
      <c r="H322" s="82" t="str">
        <f>VLOOKUP(G322,MetaData!$A$2:$C$13,3,false)</f>
        <v>Fatmawati, S.Pd</v>
      </c>
      <c r="I322" s="82" t="s">
        <v>257</v>
      </c>
      <c r="J322" s="82" t="str">
        <f>VLOOKUP(I322,MetaData!$E$2:$G$40,3,false)</f>
        <v>Teguh</v>
      </c>
      <c r="K322" s="83"/>
    </row>
    <row r="323" ht="15.75" customHeight="1">
      <c r="A323" s="76">
        <v>373.0</v>
      </c>
      <c r="B323" s="77">
        <v>30.0</v>
      </c>
      <c r="C323" s="77" t="s">
        <v>1103</v>
      </c>
      <c r="D323" s="77">
        <v>2.52610353E8</v>
      </c>
      <c r="E323" s="78" t="s">
        <v>233</v>
      </c>
      <c r="F323" s="77" t="s">
        <v>782</v>
      </c>
      <c r="G323" s="79" t="s">
        <v>58</v>
      </c>
      <c r="H323" s="79" t="str">
        <f>VLOOKUP(G323,MetaData!$A$2:$C$13,3,false)</f>
        <v>Fatmawati, S.Pd</v>
      </c>
      <c r="I323" s="79" t="s">
        <v>220</v>
      </c>
      <c r="J323" s="79" t="str">
        <f>VLOOKUP(I323,MetaData!$E$2:$G$40,3,false)</f>
        <v>Rekhsa</v>
      </c>
      <c r="K323" s="80"/>
    </row>
    <row r="324" ht="15.75" customHeight="1">
      <c r="A324" s="81">
        <v>374.0</v>
      </c>
      <c r="B324" s="77">
        <v>31.0</v>
      </c>
      <c r="C324" s="77" t="s">
        <v>1104</v>
      </c>
      <c r="D324" s="77">
        <v>2.52610364E8</v>
      </c>
      <c r="E324" s="78" t="s">
        <v>267</v>
      </c>
      <c r="F324" s="77" t="s">
        <v>782</v>
      </c>
      <c r="G324" s="82" t="s">
        <v>58</v>
      </c>
      <c r="H324" s="82" t="str">
        <f>VLOOKUP(G324,MetaData!$A$2:$C$13,3,false)</f>
        <v>Fatmawati, S.Pd</v>
      </c>
      <c r="I324" s="82" t="s">
        <v>257</v>
      </c>
      <c r="J324" s="82" t="str">
        <f>VLOOKUP(I324,MetaData!$E$2:$G$40,3,false)</f>
        <v>Teguh</v>
      </c>
      <c r="K324" s="83"/>
    </row>
    <row r="325" ht="15.75" customHeight="1">
      <c r="A325" s="76">
        <v>375.0</v>
      </c>
      <c r="B325" s="77">
        <v>32.0</v>
      </c>
      <c r="C325" s="77" t="s">
        <v>1105</v>
      </c>
      <c r="D325" s="77">
        <v>2.52610376E8</v>
      </c>
      <c r="E325" s="78" t="s">
        <v>268</v>
      </c>
      <c r="F325" s="77" t="s">
        <v>782</v>
      </c>
      <c r="G325" s="79" t="s">
        <v>58</v>
      </c>
      <c r="H325" s="79" t="str">
        <f>VLOOKUP(G325,MetaData!$A$2:$C$13,3,false)</f>
        <v>Fatmawati, S.Pd</v>
      </c>
      <c r="I325" s="79" t="s">
        <v>257</v>
      </c>
      <c r="J325" s="79" t="str">
        <f>VLOOKUP(I325,MetaData!$E$2:$G$40,3,false)</f>
        <v>Teguh</v>
      </c>
      <c r="K325" s="80"/>
    </row>
    <row r="326" ht="15.75" customHeight="1">
      <c r="A326" s="81">
        <v>376.0</v>
      </c>
      <c r="B326" s="77">
        <v>33.0</v>
      </c>
      <c r="C326" s="77" t="s">
        <v>1106</v>
      </c>
      <c r="D326" s="77">
        <v>2.52610392E8</v>
      </c>
      <c r="E326" s="78" t="s">
        <v>473</v>
      </c>
      <c r="F326" s="77" t="s">
        <v>784</v>
      </c>
      <c r="G326" s="82" t="s">
        <v>58</v>
      </c>
      <c r="H326" s="82" t="str">
        <f>VLOOKUP(G326,MetaData!$A$2:$C$13,3,false)</f>
        <v>Fatmawati, S.Pd</v>
      </c>
      <c r="I326" s="82" t="s">
        <v>470</v>
      </c>
      <c r="J326" s="82" t="str">
        <f>VLOOKUP(I326,MetaData!$E$2:$G$40,3,false)</f>
        <v>Arsyila (XI)</v>
      </c>
      <c r="K326" s="83"/>
    </row>
    <row r="327" ht="15.75" customHeight="1">
      <c r="A327" s="76">
        <v>377.0</v>
      </c>
      <c r="B327" s="77">
        <v>34.0</v>
      </c>
      <c r="C327" s="77" t="s">
        <v>1107</v>
      </c>
      <c r="D327" s="77">
        <v>2.52610395E8</v>
      </c>
      <c r="E327" s="78" t="s">
        <v>474</v>
      </c>
      <c r="F327" s="77" t="s">
        <v>784</v>
      </c>
      <c r="G327" s="79" t="s">
        <v>58</v>
      </c>
      <c r="H327" s="79" t="str">
        <f>VLOOKUP(G327,MetaData!$A$2:$C$13,3,false)</f>
        <v>Fatmawati, S.Pd</v>
      </c>
      <c r="I327" s="79" t="s">
        <v>470</v>
      </c>
      <c r="J327" s="79" t="str">
        <f>VLOOKUP(I327,MetaData!$E$2:$G$40,3,false)</f>
        <v>Arsyila (XI)</v>
      </c>
      <c r="K327" s="80"/>
    </row>
    <row r="328" ht="15.75" customHeight="1">
      <c r="A328" s="81">
        <v>378.0</v>
      </c>
      <c r="B328" s="77">
        <v>35.0</v>
      </c>
      <c r="C328" s="77" t="s">
        <v>1108</v>
      </c>
      <c r="D328" s="77">
        <v>2.52610399E8</v>
      </c>
      <c r="E328" s="78" t="s">
        <v>475</v>
      </c>
      <c r="F328" s="77" t="s">
        <v>784</v>
      </c>
      <c r="G328" s="82" t="s">
        <v>58</v>
      </c>
      <c r="H328" s="82" t="str">
        <f>VLOOKUP(G328,MetaData!$A$2:$C$13,3,false)</f>
        <v>Fatmawati, S.Pd</v>
      </c>
      <c r="I328" s="82" t="s">
        <v>470</v>
      </c>
      <c r="J328" s="82" t="str">
        <f>VLOOKUP(I328,MetaData!$E$2:$G$40,3,false)</f>
        <v>Arsyila (XI)</v>
      </c>
      <c r="K328" s="83"/>
    </row>
    <row r="329" ht="15.75" customHeight="1">
      <c r="A329" s="76">
        <v>379.0</v>
      </c>
      <c r="B329" s="77">
        <v>36.0</v>
      </c>
      <c r="C329" s="77" t="s">
        <v>1109</v>
      </c>
      <c r="D329" s="77">
        <v>2.52610408E8</v>
      </c>
      <c r="E329" s="78" t="s">
        <v>476</v>
      </c>
      <c r="F329" s="77" t="s">
        <v>784</v>
      </c>
      <c r="G329" s="79" t="s">
        <v>58</v>
      </c>
      <c r="H329" s="79" t="str">
        <f>VLOOKUP(G329,MetaData!$A$2:$C$13,3,false)</f>
        <v>Fatmawati, S.Pd</v>
      </c>
      <c r="I329" s="79" t="s">
        <v>470</v>
      </c>
      <c r="J329" s="79" t="str">
        <f>VLOOKUP(I329,MetaData!$E$2:$G$40,3,false)</f>
        <v>Arsyila (XI)</v>
      </c>
      <c r="K329" s="80"/>
    </row>
    <row r="330" ht="15.75" customHeight="1">
      <c r="A330" s="81">
        <v>380.0</v>
      </c>
      <c r="B330" s="77">
        <v>37.0</v>
      </c>
      <c r="C330" s="77" t="s">
        <v>1110</v>
      </c>
      <c r="D330" s="77">
        <v>2.52610413E8</v>
      </c>
      <c r="E330" s="78" t="s">
        <v>477</v>
      </c>
      <c r="F330" s="77" t="s">
        <v>784</v>
      </c>
      <c r="G330" s="82" t="s">
        <v>58</v>
      </c>
      <c r="H330" s="82" t="str">
        <f>VLOOKUP(G330,MetaData!$A$2:$C$13,3,false)</f>
        <v>Fatmawati, S.Pd</v>
      </c>
      <c r="I330" s="82" t="s">
        <v>470</v>
      </c>
      <c r="J330" s="82" t="str">
        <f>VLOOKUP(I330,MetaData!$E$2:$G$40,3,false)</f>
        <v>Arsyila (XI)</v>
      </c>
      <c r="K330" s="83"/>
    </row>
    <row r="331" ht="15.75" customHeight="1">
      <c r="A331" s="76">
        <v>381.0</v>
      </c>
      <c r="B331" s="77">
        <v>38.0</v>
      </c>
      <c r="C331" s="77" t="s">
        <v>1111</v>
      </c>
      <c r="D331" s="77">
        <v>2.5261042E8</v>
      </c>
      <c r="E331" s="78" t="s">
        <v>479</v>
      </c>
      <c r="F331" s="77" t="s">
        <v>784</v>
      </c>
      <c r="G331" s="79" t="s">
        <v>58</v>
      </c>
      <c r="H331" s="79" t="str">
        <f>VLOOKUP(G331,MetaData!$A$2:$C$13,3,false)</f>
        <v>Fatmawati, S.Pd</v>
      </c>
      <c r="I331" s="79" t="s">
        <v>470</v>
      </c>
      <c r="J331" s="79" t="str">
        <f>VLOOKUP(I331,MetaData!$E$2:$G$40,3,false)</f>
        <v>Arsyila (XI)</v>
      </c>
      <c r="K331" s="80"/>
    </row>
    <row r="332" ht="15.75" customHeight="1">
      <c r="A332" s="81">
        <v>382.0</v>
      </c>
      <c r="B332" s="77">
        <v>39.0</v>
      </c>
      <c r="C332" s="77" t="s">
        <v>1112</v>
      </c>
      <c r="D332" s="77">
        <v>2.52610421E8</v>
      </c>
      <c r="E332" s="78" t="s">
        <v>478</v>
      </c>
      <c r="F332" s="77" t="s">
        <v>784</v>
      </c>
      <c r="G332" s="82" t="s">
        <v>58</v>
      </c>
      <c r="H332" s="82" t="str">
        <f>VLOOKUP(G332,MetaData!$A$2:$C$13,3,false)</f>
        <v>Fatmawati, S.Pd</v>
      </c>
      <c r="I332" s="82" t="s">
        <v>470</v>
      </c>
      <c r="J332" s="82" t="str">
        <f>VLOOKUP(I332,MetaData!$E$2:$G$40,3,false)</f>
        <v>Arsyila (XI)</v>
      </c>
      <c r="K332" s="83"/>
    </row>
    <row r="333" ht="15.75" customHeight="1">
      <c r="A333" s="76">
        <v>383.0</v>
      </c>
      <c r="B333" s="77">
        <v>40.0</v>
      </c>
      <c r="C333" s="77" t="s">
        <v>1113</v>
      </c>
      <c r="D333" s="77">
        <v>2.52610444E8</v>
      </c>
      <c r="E333" s="78" t="s">
        <v>480</v>
      </c>
      <c r="F333" s="77" t="s">
        <v>784</v>
      </c>
      <c r="G333" s="79" t="s">
        <v>58</v>
      </c>
      <c r="H333" s="79" t="str">
        <f>VLOOKUP(G333,MetaData!$A$2:$C$13,3,false)</f>
        <v>Fatmawati, S.Pd</v>
      </c>
      <c r="I333" s="79" t="s">
        <v>470</v>
      </c>
      <c r="J333" s="79" t="str">
        <f>VLOOKUP(I333,MetaData!$E$2:$G$40,3,false)</f>
        <v>Arsyila (XI)</v>
      </c>
      <c r="K333" s="80"/>
    </row>
    <row r="334" ht="15.75" customHeight="1">
      <c r="A334" s="81">
        <v>384.0</v>
      </c>
      <c r="B334" s="77">
        <v>41.0</v>
      </c>
      <c r="C334" s="77" t="s">
        <v>1114</v>
      </c>
      <c r="D334" s="77">
        <v>2.52610445E8</v>
      </c>
      <c r="E334" s="78" t="s">
        <v>481</v>
      </c>
      <c r="F334" s="77" t="s">
        <v>784</v>
      </c>
      <c r="G334" s="82" t="s">
        <v>58</v>
      </c>
      <c r="H334" s="82" t="str">
        <f>VLOOKUP(G334,MetaData!$A$2:$C$13,3,false)</f>
        <v>Fatmawati, S.Pd</v>
      </c>
      <c r="I334" s="82" t="s">
        <v>470</v>
      </c>
      <c r="J334" s="82" t="str">
        <f>VLOOKUP(I334,MetaData!$E$2:$G$40,3,false)</f>
        <v>Arsyila (XI)</v>
      </c>
      <c r="K334" s="83"/>
    </row>
    <row r="335" ht="15.75" customHeight="1">
      <c r="A335" s="76">
        <v>385.0</v>
      </c>
      <c r="B335" s="77">
        <v>42.0</v>
      </c>
      <c r="C335" s="77" t="s">
        <v>1115</v>
      </c>
      <c r="D335" s="77">
        <v>2.52610463E8</v>
      </c>
      <c r="E335" s="78" t="s">
        <v>269</v>
      </c>
      <c r="F335" s="77" t="s">
        <v>782</v>
      </c>
      <c r="G335" s="79" t="s">
        <v>58</v>
      </c>
      <c r="H335" s="79" t="str">
        <f>VLOOKUP(G335,MetaData!$A$2:$C$13,3,false)</f>
        <v>Fatmawati, S.Pd</v>
      </c>
      <c r="I335" s="79" t="s">
        <v>257</v>
      </c>
      <c r="J335" s="79" t="str">
        <f>VLOOKUP(I335,MetaData!$E$2:$G$40,3,false)</f>
        <v>Teguh</v>
      </c>
      <c r="K335" s="80"/>
    </row>
    <row r="336" ht="15.75" customHeight="1">
      <c r="A336" s="81">
        <v>386.0</v>
      </c>
      <c r="B336" s="77">
        <v>43.0</v>
      </c>
      <c r="C336" s="77" t="s">
        <v>1116</v>
      </c>
      <c r="D336" s="77">
        <v>2.5261047E8</v>
      </c>
      <c r="E336" s="78" t="s">
        <v>238</v>
      </c>
      <c r="F336" s="77" t="s">
        <v>782</v>
      </c>
      <c r="G336" s="82" t="s">
        <v>58</v>
      </c>
      <c r="H336" s="82" t="str">
        <f>VLOOKUP(G336,MetaData!$A$2:$C$13,3,false)</f>
        <v>Fatmawati, S.Pd</v>
      </c>
      <c r="I336" s="82" t="s">
        <v>220</v>
      </c>
      <c r="J336" s="82" t="str">
        <f>VLOOKUP(I336,MetaData!$E$2:$G$40,3,false)</f>
        <v>Rekhsa</v>
      </c>
      <c r="K336" s="83"/>
    </row>
    <row r="337" ht="15.75" customHeight="1">
      <c r="A337" s="76">
        <v>387.0</v>
      </c>
      <c r="B337" s="77">
        <v>44.0</v>
      </c>
      <c r="C337" s="77" t="s">
        <v>1117</v>
      </c>
      <c r="D337" s="77">
        <v>2.526105E8</v>
      </c>
      <c r="E337" s="78" t="s">
        <v>270</v>
      </c>
      <c r="F337" s="77" t="s">
        <v>782</v>
      </c>
      <c r="G337" s="79" t="s">
        <v>58</v>
      </c>
      <c r="H337" s="79" t="str">
        <f>VLOOKUP(G337,MetaData!$A$2:$C$13,3,false)</f>
        <v>Fatmawati, S.Pd</v>
      </c>
      <c r="I337" s="79" t="s">
        <v>257</v>
      </c>
      <c r="J337" s="79" t="str">
        <f>VLOOKUP(I337,MetaData!$E$2:$G$40,3,false)</f>
        <v>Teguh</v>
      </c>
      <c r="K337" s="80"/>
    </row>
    <row r="338" ht="15.75" customHeight="1">
      <c r="A338" s="81">
        <v>388.0</v>
      </c>
      <c r="B338" s="77">
        <v>45.0</v>
      </c>
      <c r="C338" s="77" t="s">
        <v>1118</v>
      </c>
      <c r="D338" s="77">
        <v>2.52610522E8</v>
      </c>
      <c r="E338" s="78" t="s">
        <v>482</v>
      </c>
      <c r="F338" s="77" t="s">
        <v>784</v>
      </c>
      <c r="G338" s="82" t="s">
        <v>58</v>
      </c>
      <c r="H338" s="82" t="str">
        <f>VLOOKUP(G338,MetaData!$A$2:$C$13,3,false)</f>
        <v>Fatmawati, S.Pd</v>
      </c>
      <c r="I338" s="82" t="s">
        <v>470</v>
      </c>
      <c r="J338" s="82" t="str">
        <f>VLOOKUP(I338,MetaData!$E$2:$G$40,3,false)</f>
        <v>Arsyila (XI)</v>
      </c>
      <c r="K338" s="83"/>
    </row>
    <row r="339" ht="15.75" customHeight="1">
      <c r="A339" s="76">
        <v>389.0</v>
      </c>
      <c r="B339" s="77">
        <v>46.0</v>
      </c>
      <c r="C339" s="77" t="s">
        <v>1119</v>
      </c>
      <c r="D339" s="77">
        <v>2.52610536E8</v>
      </c>
      <c r="E339" s="78" t="s">
        <v>483</v>
      </c>
      <c r="F339" s="77" t="s">
        <v>784</v>
      </c>
      <c r="G339" s="79" t="s">
        <v>58</v>
      </c>
      <c r="H339" s="79" t="str">
        <f>VLOOKUP(G339,MetaData!$A$2:$C$13,3,false)</f>
        <v>Fatmawati, S.Pd</v>
      </c>
      <c r="I339" s="79" t="s">
        <v>470</v>
      </c>
      <c r="J339" s="79" t="str">
        <f>VLOOKUP(I339,MetaData!$E$2:$G$40,3,false)</f>
        <v>Arsyila (XI)</v>
      </c>
      <c r="K339" s="80"/>
    </row>
    <row r="340" ht="15.75" customHeight="1">
      <c r="A340" s="81">
        <v>390.0</v>
      </c>
      <c r="B340" s="77">
        <v>47.0</v>
      </c>
      <c r="C340" s="77" t="s">
        <v>1120</v>
      </c>
      <c r="D340" s="77">
        <v>2.52610548E8</v>
      </c>
      <c r="E340" s="78" t="s">
        <v>484</v>
      </c>
      <c r="F340" s="77" t="s">
        <v>784</v>
      </c>
      <c r="G340" s="82" t="s">
        <v>58</v>
      </c>
      <c r="H340" s="82" t="str">
        <f>VLOOKUP(G340,MetaData!$A$2:$C$13,3,false)</f>
        <v>Fatmawati, S.Pd</v>
      </c>
      <c r="I340" s="82" t="s">
        <v>470</v>
      </c>
      <c r="J340" s="82" t="str">
        <f>VLOOKUP(I340,MetaData!$E$2:$G$40,3,false)</f>
        <v>Arsyila (XI)</v>
      </c>
      <c r="K340" s="83"/>
    </row>
    <row r="341" ht="15.75" customHeight="1">
      <c r="A341" s="76">
        <v>391.0</v>
      </c>
      <c r="B341" s="77">
        <v>48.0</v>
      </c>
      <c r="C341" s="77" t="s">
        <v>1121</v>
      </c>
      <c r="D341" s="77">
        <v>2.52610558E8</v>
      </c>
      <c r="E341" s="78" t="s">
        <v>271</v>
      </c>
      <c r="F341" s="77" t="s">
        <v>782</v>
      </c>
      <c r="G341" s="79" t="s">
        <v>58</v>
      </c>
      <c r="H341" s="79" t="str">
        <f>VLOOKUP(G341,MetaData!$A$2:$C$13,3,false)</f>
        <v>Fatmawati, S.Pd</v>
      </c>
      <c r="I341" s="79" t="s">
        <v>257</v>
      </c>
      <c r="J341" s="79" t="str">
        <f>VLOOKUP(I341,MetaData!$E$2:$G$40,3,false)</f>
        <v>Teguh</v>
      </c>
      <c r="K341" s="80"/>
    </row>
    <row r="342" ht="15.75" customHeight="1">
      <c r="A342" s="85">
        <v>399.0</v>
      </c>
      <c r="B342" s="77">
        <v>1.0</v>
      </c>
      <c r="C342" s="77" t="s">
        <v>1122</v>
      </c>
      <c r="D342" s="77">
        <v>2.52610003E8</v>
      </c>
      <c r="E342" s="78" t="s">
        <v>222</v>
      </c>
      <c r="F342" s="77" t="s">
        <v>782</v>
      </c>
      <c r="G342" s="82" t="s">
        <v>63</v>
      </c>
      <c r="H342" s="82" t="str">
        <f>VLOOKUP(G342,MetaData!$A$2:$C$13,3,false)</f>
        <v>Dra. Nani Suryani, M.Pd</v>
      </c>
      <c r="I342" s="82" t="s">
        <v>220</v>
      </c>
      <c r="J342" s="82" t="str">
        <f>VLOOKUP(I342,MetaData!$E$2:$G$40,3,false)</f>
        <v>Rekhsa</v>
      </c>
      <c r="K342" s="83"/>
    </row>
    <row r="343" ht="15.75" customHeight="1">
      <c r="A343" s="84">
        <v>400.0</v>
      </c>
      <c r="B343" s="77">
        <v>2.0</v>
      </c>
      <c r="C343" s="77" t="s">
        <v>1123</v>
      </c>
      <c r="D343" s="77">
        <v>2.52610019E8</v>
      </c>
      <c r="E343" s="78" t="s">
        <v>224</v>
      </c>
      <c r="F343" s="77" t="s">
        <v>782</v>
      </c>
      <c r="G343" s="79" t="s">
        <v>63</v>
      </c>
      <c r="H343" s="79" t="str">
        <f>VLOOKUP(G343,MetaData!$A$2:$C$13,3,false)</f>
        <v>Dra. Nani Suryani, M.Pd</v>
      </c>
      <c r="I343" s="79" t="s">
        <v>220</v>
      </c>
      <c r="J343" s="79" t="str">
        <f>VLOOKUP(I343,MetaData!$E$2:$G$40,3,false)</f>
        <v>Rekhsa</v>
      </c>
      <c r="K343" s="80"/>
    </row>
    <row r="344" ht="15.75" customHeight="1">
      <c r="A344" s="85">
        <v>401.0</v>
      </c>
      <c r="B344" s="77">
        <v>3.0</v>
      </c>
      <c r="C344" s="77" t="s">
        <v>1124</v>
      </c>
      <c r="D344" s="77">
        <v>2.52610027E8</v>
      </c>
      <c r="E344" s="78" t="s">
        <v>614</v>
      </c>
      <c r="F344" s="77" t="s">
        <v>784</v>
      </c>
      <c r="G344" s="82" t="s">
        <v>63</v>
      </c>
      <c r="H344" s="82" t="str">
        <f>VLOOKUP(G344,MetaData!$A$2:$C$13,3,false)</f>
        <v>Dra. Nani Suryani, M.Pd</v>
      </c>
      <c r="I344" s="82" t="s">
        <v>613</v>
      </c>
      <c r="J344" s="82" t="str">
        <f>VLOOKUP(I344,MetaData!$E$2:$G$40,3,false)</f>
        <v>Tiara (XII)</v>
      </c>
      <c r="K344" s="83"/>
    </row>
    <row r="345" ht="15.75" customHeight="1">
      <c r="A345" s="84">
        <v>402.0</v>
      </c>
      <c r="B345" s="77">
        <v>4.0</v>
      </c>
      <c r="C345" s="77" t="s">
        <v>1125</v>
      </c>
      <c r="D345" s="77">
        <v>2.52610071E8</v>
      </c>
      <c r="E345" s="78" t="s">
        <v>615</v>
      </c>
      <c r="F345" s="77" t="s">
        <v>784</v>
      </c>
      <c r="G345" s="79" t="s">
        <v>63</v>
      </c>
      <c r="H345" s="79" t="str">
        <f>VLOOKUP(G345,MetaData!$A$2:$C$13,3,false)</f>
        <v>Dra. Nani Suryani, M.Pd</v>
      </c>
      <c r="I345" s="79" t="s">
        <v>613</v>
      </c>
      <c r="J345" s="79" t="str">
        <f>VLOOKUP(I345,MetaData!$E$2:$G$40,3,false)</f>
        <v>Tiara (XII)</v>
      </c>
      <c r="K345" s="80"/>
    </row>
    <row r="346" ht="15.75" customHeight="1">
      <c r="A346" s="85">
        <v>403.0</v>
      </c>
      <c r="B346" s="77">
        <v>5.0</v>
      </c>
      <c r="C346" s="77" t="s">
        <v>1126</v>
      </c>
      <c r="D346" s="77">
        <v>2.52610073E8</v>
      </c>
      <c r="E346" s="78" t="s">
        <v>616</v>
      </c>
      <c r="F346" s="77" t="s">
        <v>784</v>
      </c>
      <c r="G346" s="82" t="s">
        <v>63</v>
      </c>
      <c r="H346" s="82" t="str">
        <f>VLOOKUP(G346,MetaData!$A$2:$C$13,3,false)</f>
        <v>Dra. Nani Suryani, M.Pd</v>
      </c>
      <c r="I346" s="82" t="s">
        <v>613</v>
      </c>
      <c r="J346" s="82" t="str">
        <f>VLOOKUP(I346,MetaData!$E$2:$G$40,3,false)</f>
        <v>Tiara (XII)</v>
      </c>
      <c r="K346" s="83"/>
    </row>
    <row r="347" ht="15.75" customHeight="1">
      <c r="A347" s="84">
        <v>404.0</v>
      </c>
      <c r="B347" s="77">
        <v>6.0</v>
      </c>
      <c r="C347" s="77" t="s">
        <v>1127</v>
      </c>
      <c r="D347" s="77">
        <v>2.52610078E8</v>
      </c>
      <c r="E347" s="78" t="s">
        <v>240</v>
      </c>
      <c r="F347" s="77" t="s">
        <v>782</v>
      </c>
      <c r="G347" s="79" t="s">
        <v>63</v>
      </c>
      <c r="H347" s="79" t="str">
        <f>VLOOKUP(G347,MetaData!$A$2:$C$13,3,false)</f>
        <v>Dra. Nani Suryani, M.Pd</v>
      </c>
      <c r="I347" s="79" t="s">
        <v>239</v>
      </c>
      <c r="J347" s="79" t="str">
        <f>VLOOKUP(I347,MetaData!$E$2:$G$40,3,false)</f>
        <v>Veril (XII)</v>
      </c>
      <c r="K347" s="80"/>
    </row>
    <row r="348" ht="15.75" customHeight="1">
      <c r="A348" s="85">
        <v>405.0</v>
      </c>
      <c r="B348" s="77">
        <v>7.0</v>
      </c>
      <c r="C348" s="77" t="s">
        <v>1128</v>
      </c>
      <c r="D348" s="77">
        <v>2.52610086E8</v>
      </c>
      <c r="E348" s="78" t="s">
        <v>617</v>
      </c>
      <c r="F348" s="77" t="s">
        <v>784</v>
      </c>
      <c r="G348" s="82" t="s">
        <v>63</v>
      </c>
      <c r="H348" s="82" t="str">
        <f>VLOOKUP(G348,MetaData!$A$2:$C$13,3,false)</f>
        <v>Dra. Nani Suryani, M.Pd</v>
      </c>
      <c r="I348" s="82" t="s">
        <v>613</v>
      </c>
      <c r="J348" s="82" t="str">
        <f>VLOOKUP(I348,MetaData!$E$2:$G$40,3,false)</f>
        <v>Tiara (XII)</v>
      </c>
      <c r="K348" s="83"/>
    </row>
    <row r="349" ht="15.75" customHeight="1">
      <c r="A349" s="84">
        <v>406.0</v>
      </c>
      <c r="B349" s="77">
        <v>8.0</v>
      </c>
      <c r="C349" s="77" t="s">
        <v>1129</v>
      </c>
      <c r="D349" s="77">
        <v>2.52610092E8</v>
      </c>
      <c r="E349" s="78" t="s">
        <v>241</v>
      </c>
      <c r="F349" s="77" t="s">
        <v>782</v>
      </c>
      <c r="G349" s="79" t="s">
        <v>63</v>
      </c>
      <c r="H349" s="79" t="str">
        <f>VLOOKUP(G349,MetaData!$A$2:$C$13,3,false)</f>
        <v>Dra. Nani Suryani, M.Pd</v>
      </c>
      <c r="I349" s="79" t="s">
        <v>239</v>
      </c>
      <c r="J349" s="79" t="str">
        <f>VLOOKUP(I349,MetaData!$E$2:$G$40,3,false)</f>
        <v>Veril (XII)</v>
      </c>
      <c r="K349" s="80"/>
    </row>
    <row r="350" ht="15.75" customHeight="1">
      <c r="A350" s="85">
        <v>407.0</v>
      </c>
      <c r="B350" s="77">
        <v>9.0</v>
      </c>
      <c r="C350" s="77" t="s">
        <v>1130</v>
      </c>
      <c r="D350" s="77">
        <v>2.52610095E8</v>
      </c>
      <c r="E350" s="78" t="s">
        <v>618</v>
      </c>
      <c r="F350" s="77" t="s">
        <v>784</v>
      </c>
      <c r="G350" s="82" t="s">
        <v>63</v>
      </c>
      <c r="H350" s="82" t="str">
        <f>VLOOKUP(G350,MetaData!$A$2:$C$13,3,false)</f>
        <v>Dra. Nani Suryani, M.Pd</v>
      </c>
      <c r="I350" s="82" t="s">
        <v>613</v>
      </c>
      <c r="J350" s="82" t="str">
        <f>VLOOKUP(I350,MetaData!$E$2:$G$40,3,false)</f>
        <v>Tiara (XII)</v>
      </c>
      <c r="K350" s="83"/>
    </row>
    <row r="351" ht="15.75" customHeight="1">
      <c r="A351" s="84">
        <v>408.0</v>
      </c>
      <c r="B351" s="77">
        <v>10.0</v>
      </c>
      <c r="C351" s="77" t="s">
        <v>1131</v>
      </c>
      <c r="D351" s="77">
        <v>2.52610117E8</v>
      </c>
      <c r="E351" s="78" t="s">
        <v>619</v>
      </c>
      <c r="F351" s="77" t="s">
        <v>784</v>
      </c>
      <c r="G351" s="79" t="s">
        <v>63</v>
      </c>
      <c r="H351" s="79" t="str">
        <f>VLOOKUP(G351,MetaData!$A$2:$C$13,3,false)</f>
        <v>Dra. Nani Suryani, M.Pd</v>
      </c>
      <c r="I351" s="79" t="s">
        <v>613</v>
      </c>
      <c r="J351" s="79" t="str">
        <f>VLOOKUP(I351,MetaData!$E$2:$G$40,3,false)</f>
        <v>Tiara (XII)</v>
      </c>
      <c r="K351" s="80"/>
    </row>
    <row r="352" ht="15.75" customHeight="1">
      <c r="A352" s="85">
        <v>409.0</v>
      </c>
      <c r="B352" s="77">
        <v>11.0</v>
      </c>
      <c r="C352" s="77" t="s">
        <v>1132</v>
      </c>
      <c r="D352" s="77">
        <v>2.52610133E8</v>
      </c>
      <c r="E352" s="78" t="s">
        <v>620</v>
      </c>
      <c r="F352" s="77" t="s">
        <v>784</v>
      </c>
      <c r="G352" s="82" t="s">
        <v>63</v>
      </c>
      <c r="H352" s="82" t="str">
        <f>VLOOKUP(G352,MetaData!$A$2:$C$13,3,false)</f>
        <v>Dra. Nani Suryani, M.Pd</v>
      </c>
      <c r="I352" s="82" t="s">
        <v>613</v>
      </c>
      <c r="J352" s="82" t="str">
        <f>VLOOKUP(I352,MetaData!$E$2:$G$40,3,false)</f>
        <v>Tiara (XII)</v>
      </c>
      <c r="K352" s="83"/>
    </row>
    <row r="353" ht="15.75" customHeight="1">
      <c r="A353" s="84">
        <v>410.0</v>
      </c>
      <c r="B353" s="77">
        <v>12.0</v>
      </c>
      <c r="C353" s="77" t="s">
        <v>1133</v>
      </c>
      <c r="D353" s="77">
        <v>2.52610135E8</v>
      </c>
      <c r="E353" s="78" t="s">
        <v>242</v>
      </c>
      <c r="F353" s="77" t="s">
        <v>782</v>
      </c>
      <c r="G353" s="79" t="s">
        <v>63</v>
      </c>
      <c r="H353" s="79" t="str">
        <f>VLOOKUP(G353,MetaData!$A$2:$C$13,3,false)</f>
        <v>Dra. Nani Suryani, M.Pd</v>
      </c>
      <c r="I353" s="79" t="s">
        <v>239</v>
      </c>
      <c r="J353" s="79" t="str">
        <f>VLOOKUP(I353,MetaData!$E$2:$G$40,3,false)</f>
        <v>Veril (XII)</v>
      </c>
      <c r="K353" s="80"/>
    </row>
    <row r="354" ht="15.75" customHeight="1">
      <c r="A354" s="85">
        <v>411.0</v>
      </c>
      <c r="B354" s="77">
        <v>13.0</v>
      </c>
      <c r="C354" s="77" t="s">
        <v>1134</v>
      </c>
      <c r="D354" s="77">
        <v>2.52610146E8</v>
      </c>
      <c r="E354" s="78" t="s">
        <v>621</v>
      </c>
      <c r="F354" s="77" t="s">
        <v>784</v>
      </c>
      <c r="G354" s="82" t="s">
        <v>63</v>
      </c>
      <c r="H354" s="82" t="str">
        <f>VLOOKUP(G354,MetaData!$A$2:$C$13,3,false)</f>
        <v>Dra. Nani Suryani, M.Pd</v>
      </c>
      <c r="I354" s="82" t="s">
        <v>613</v>
      </c>
      <c r="J354" s="82" t="str">
        <f>VLOOKUP(I354,MetaData!$E$2:$G$40,3,false)</f>
        <v>Tiara (XII)</v>
      </c>
      <c r="K354" s="83"/>
    </row>
    <row r="355" ht="15.75" customHeight="1">
      <c r="A355" s="84">
        <v>412.0</v>
      </c>
      <c r="B355" s="77">
        <v>14.0</v>
      </c>
      <c r="C355" s="77" t="s">
        <v>1135</v>
      </c>
      <c r="D355" s="77">
        <v>2.52610178E8</v>
      </c>
      <c r="E355" s="78" t="s">
        <v>622</v>
      </c>
      <c r="F355" s="77" t="s">
        <v>784</v>
      </c>
      <c r="G355" s="79" t="s">
        <v>63</v>
      </c>
      <c r="H355" s="79" t="str">
        <f>VLOOKUP(G355,MetaData!$A$2:$C$13,3,false)</f>
        <v>Dra. Nani Suryani, M.Pd</v>
      </c>
      <c r="I355" s="79" t="s">
        <v>613</v>
      </c>
      <c r="J355" s="79" t="str">
        <f>VLOOKUP(I355,MetaData!$E$2:$G$40,3,false)</f>
        <v>Tiara (XII)</v>
      </c>
      <c r="K355" s="80"/>
    </row>
    <row r="356" ht="15.75" customHeight="1">
      <c r="A356" s="85">
        <v>413.0</v>
      </c>
      <c r="B356" s="77">
        <v>15.0</v>
      </c>
      <c r="C356" s="77" t="s">
        <v>1136</v>
      </c>
      <c r="D356" s="77">
        <v>2.52610211E8</v>
      </c>
      <c r="E356" s="78" t="s">
        <v>227</v>
      </c>
      <c r="F356" s="77" t="s">
        <v>782</v>
      </c>
      <c r="G356" s="82" t="s">
        <v>63</v>
      </c>
      <c r="H356" s="82" t="str">
        <f>VLOOKUP(G356,MetaData!$A$2:$C$13,3,false)</f>
        <v>Dra. Nani Suryani, M.Pd</v>
      </c>
      <c r="I356" s="82" t="s">
        <v>220</v>
      </c>
      <c r="J356" s="82" t="str">
        <f>VLOOKUP(I356,MetaData!$E$2:$G$40,3,false)</f>
        <v>Rekhsa</v>
      </c>
      <c r="K356" s="83"/>
    </row>
    <row r="357" ht="15.75" customHeight="1">
      <c r="A357" s="84">
        <v>414.0</v>
      </c>
      <c r="B357" s="77">
        <v>16.0</v>
      </c>
      <c r="C357" s="77" t="s">
        <v>1137</v>
      </c>
      <c r="D357" s="77">
        <v>2.52610212E8</v>
      </c>
      <c r="E357" s="78" t="s">
        <v>623</v>
      </c>
      <c r="F357" s="77" t="s">
        <v>784</v>
      </c>
      <c r="G357" s="79" t="s">
        <v>63</v>
      </c>
      <c r="H357" s="79" t="str">
        <f>VLOOKUP(G357,MetaData!$A$2:$C$13,3,false)</f>
        <v>Dra. Nani Suryani, M.Pd</v>
      </c>
      <c r="I357" s="79" t="s">
        <v>613</v>
      </c>
      <c r="J357" s="79" t="str">
        <f>VLOOKUP(I357,MetaData!$E$2:$G$40,3,false)</f>
        <v>Tiara (XII)</v>
      </c>
      <c r="K357" s="80"/>
    </row>
    <row r="358" ht="15.75" customHeight="1">
      <c r="A358" s="85">
        <v>415.0</v>
      </c>
      <c r="B358" s="77">
        <v>17.0</v>
      </c>
      <c r="C358" s="77" t="s">
        <v>1138</v>
      </c>
      <c r="D358" s="77">
        <v>2.5261022E8</v>
      </c>
      <c r="E358" s="78" t="s">
        <v>624</v>
      </c>
      <c r="F358" s="77" t="s">
        <v>784</v>
      </c>
      <c r="G358" s="82" t="s">
        <v>63</v>
      </c>
      <c r="H358" s="82" t="str">
        <f>VLOOKUP(G358,MetaData!$A$2:$C$13,3,false)</f>
        <v>Dra. Nani Suryani, M.Pd</v>
      </c>
      <c r="I358" s="82" t="s">
        <v>613</v>
      </c>
      <c r="J358" s="82" t="str">
        <f>VLOOKUP(I358,MetaData!$E$2:$G$40,3,false)</f>
        <v>Tiara (XII)</v>
      </c>
      <c r="K358" s="83"/>
    </row>
    <row r="359" ht="15.75" customHeight="1">
      <c r="A359" s="84">
        <v>416.0</v>
      </c>
      <c r="B359" s="77">
        <v>18.0</v>
      </c>
      <c r="C359" s="77" t="s">
        <v>1139</v>
      </c>
      <c r="D359" s="77">
        <v>2.52610231E8</v>
      </c>
      <c r="E359" s="78" t="s">
        <v>243</v>
      </c>
      <c r="F359" s="77" t="s">
        <v>782</v>
      </c>
      <c r="G359" s="79" t="s">
        <v>63</v>
      </c>
      <c r="H359" s="79" t="str">
        <f>VLOOKUP(G359,MetaData!$A$2:$C$13,3,false)</f>
        <v>Dra. Nani Suryani, M.Pd</v>
      </c>
      <c r="I359" s="79" t="s">
        <v>239</v>
      </c>
      <c r="J359" s="79" t="str">
        <f>VLOOKUP(I359,MetaData!$E$2:$G$40,3,false)</f>
        <v>Veril (XII)</v>
      </c>
      <c r="K359" s="80"/>
    </row>
    <row r="360" ht="15.75" customHeight="1">
      <c r="A360" s="85">
        <v>417.0</v>
      </c>
      <c r="B360" s="77">
        <v>19.0</v>
      </c>
      <c r="C360" s="77" t="s">
        <v>1140</v>
      </c>
      <c r="D360" s="77">
        <v>2.52610232E8</v>
      </c>
      <c r="E360" s="78" t="s">
        <v>244</v>
      </c>
      <c r="F360" s="77" t="s">
        <v>782</v>
      </c>
      <c r="G360" s="82" t="s">
        <v>63</v>
      </c>
      <c r="H360" s="82" t="str">
        <f>VLOOKUP(G360,MetaData!$A$2:$C$13,3,false)</f>
        <v>Dra. Nani Suryani, M.Pd</v>
      </c>
      <c r="I360" s="82" t="s">
        <v>239</v>
      </c>
      <c r="J360" s="82" t="str">
        <f>VLOOKUP(I360,MetaData!$E$2:$G$40,3,false)</f>
        <v>Veril (XII)</v>
      </c>
      <c r="K360" s="83"/>
    </row>
    <row r="361" ht="15.75" customHeight="1">
      <c r="A361" s="84">
        <v>418.0</v>
      </c>
      <c r="B361" s="77">
        <v>20.0</v>
      </c>
      <c r="C361" s="77" t="s">
        <v>1141</v>
      </c>
      <c r="D361" s="77">
        <v>2.52610236E8</v>
      </c>
      <c r="E361" s="78" t="s">
        <v>625</v>
      </c>
      <c r="F361" s="77" t="s">
        <v>784</v>
      </c>
      <c r="G361" s="79" t="s">
        <v>63</v>
      </c>
      <c r="H361" s="79" t="str">
        <f>VLOOKUP(G361,MetaData!$A$2:$C$13,3,false)</f>
        <v>Dra. Nani Suryani, M.Pd</v>
      </c>
      <c r="I361" s="79" t="s">
        <v>613</v>
      </c>
      <c r="J361" s="79" t="str">
        <f>VLOOKUP(I361,MetaData!$E$2:$G$40,3,false)</f>
        <v>Tiara (XII)</v>
      </c>
      <c r="K361" s="80"/>
    </row>
    <row r="362" ht="15.75" customHeight="1">
      <c r="A362" s="85">
        <v>419.0</v>
      </c>
      <c r="B362" s="77">
        <v>21.0</v>
      </c>
      <c r="C362" s="77" t="s">
        <v>1142</v>
      </c>
      <c r="D362" s="77">
        <v>2.5261024E8</v>
      </c>
      <c r="E362" s="78" t="s">
        <v>245</v>
      </c>
      <c r="F362" s="77" t="s">
        <v>782</v>
      </c>
      <c r="G362" s="82" t="s">
        <v>63</v>
      </c>
      <c r="H362" s="82" t="str">
        <f>VLOOKUP(G362,MetaData!$A$2:$C$13,3,false)</f>
        <v>Dra. Nani Suryani, M.Pd</v>
      </c>
      <c r="I362" s="82" t="s">
        <v>239</v>
      </c>
      <c r="J362" s="82" t="str">
        <f>VLOOKUP(I362,MetaData!$E$2:$G$40,3,false)</f>
        <v>Veril (XII)</v>
      </c>
      <c r="K362" s="83"/>
    </row>
    <row r="363" ht="15.75" customHeight="1">
      <c r="A363" s="84">
        <v>420.0</v>
      </c>
      <c r="B363" s="77">
        <v>22.0</v>
      </c>
      <c r="C363" s="77" t="s">
        <v>1143</v>
      </c>
      <c r="D363" s="77">
        <v>2.52610248E8</v>
      </c>
      <c r="E363" s="78" t="s">
        <v>626</v>
      </c>
      <c r="F363" s="77" t="s">
        <v>784</v>
      </c>
      <c r="G363" s="79" t="s">
        <v>63</v>
      </c>
      <c r="H363" s="79" t="str">
        <f>VLOOKUP(G363,MetaData!$A$2:$C$13,3,false)</f>
        <v>Dra. Nani Suryani, M.Pd</v>
      </c>
      <c r="I363" s="79" t="s">
        <v>613</v>
      </c>
      <c r="J363" s="79" t="str">
        <f>VLOOKUP(I363,MetaData!$E$2:$G$40,3,false)</f>
        <v>Tiara (XII)</v>
      </c>
      <c r="K363" s="80"/>
    </row>
    <row r="364" ht="15.75" customHeight="1">
      <c r="A364" s="85">
        <v>421.0</v>
      </c>
      <c r="B364" s="77">
        <v>23.0</v>
      </c>
      <c r="C364" s="77" t="s">
        <v>1144</v>
      </c>
      <c r="D364" s="77">
        <v>2.52610256E8</v>
      </c>
      <c r="E364" s="78" t="s">
        <v>458</v>
      </c>
      <c r="F364" s="77" t="s">
        <v>784</v>
      </c>
      <c r="G364" s="82" t="s">
        <v>63</v>
      </c>
      <c r="H364" s="82" t="str">
        <f>VLOOKUP(G364,MetaData!$A$2:$C$13,3,false)</f>
        <v>Dra. Nani Suryani, M.Pd</v>
      </c>
      <c r="I364" s="82" t="s">
        <v>457</v>
      </c>
      <c r="J364" s="82" t="str">
        <f>VLOOKUP(I364,MetaData!$E$2:$G$40,3,false)</f>
        <v>Almira (XI)</v>
      </c>
      <c r="K364" s="83"/>
    </row>
    <row r="365" ht="15.75" customHeight="1">
      <c r="A365" s="84">
        <v>422.0</v>
      </c>
      <c r="B365" s="77">
        <v>24.0</v>
      </c>
      <c r="C365" s="77" t="s">
        <v>1145</v>
      </c>
      <c r="D365" s="77">
        <v>2.52610263E8</v>
      </c>
      <c r="E365" s="78" t="s">
        <v>459</v>
      </c>
      <c r="F365" s="77" t="s">
        <v>784</v>
      </c>
      <c r="G365" s="79" t="s">
        <v>63</v>
      </c>
      <c r="H365" s="79" t="str">
        <f>VLOOKUP(G365,MetaData!$A$2:$C$13,3,false)</f>
        <v>Dra. Nani Suryani, M.Pd</v>
      </c>
      <c r="I365" s="79" t="s">
        <v>457</v>
      </c>
      <c r="J365" s="79" t="str">
        <f>VLOOKUP(I365,MetaData!$E$2:$G$40,3,false)</f>
        <v>Almira (XI)</v>
      </c>
      <c r="K365" s="80"/>
    </row>
    <row r="366" ht="15.75" customHeight="1">
      <c r="A366" s="85">
        <v>423.0</v>
      </c>
      <c r="B366" s="77">
        <v>25.0</v>
      </c>
      <c r="C366" s="77" t="s">
        <v>1146</v>
      </c>
      <c r="D366" s="77">
        <v>2.52610297E8</v>
      </c>
      <c r="E366" s="78" t="s">
        <v>460</v>
      </c>
      <c r="F366" s="77" t="s">
        <v>784</v>
      </c>
      <c r="G366" s="82" t="s">
        <v>63</v>
      </c>
      <c r="H366" s="82" t="str">
        <f>VLOOKUP(G366,MetaData!$A$2:$C$13,3,false)</f>
        <v>Dra. Nani Suryani, M.Pd</v>
      </c>
      <c r="I366" s="82" t="s">
        <v>457</v>
      </c>
      <c r="J366" s="82" t="str">
        <f>VLOOKUP(I366,MetaData!$E$2:$G$40,3,false)</f>
        <v>Almira (XI)</v>
      </c>
      <c r="K366" s="83"/>
    </row>
    <row r="367" ht="15.75" customHeight="1">
      <c r="A367" s="84">
        <v>424.0</v>
      </c>
      <c r="B367" s="77">
        <v>26.0</v>
      </c>
      <c r="C367" s="77" t="s">
        <v>1147</v>
      </c>
      <c r="D367" s="77">
        <v>2.52610325E8</v>
      </c>
      <c r="E367" s="78" t="s">
        <v>246</v>
      </c>
      <c r="F367" s="77" t="s">
        <v>782</v>
      </c>
      <c r="G367" s="79" t="s">
        <v>63</v>
      </c>
      <c r="H367" s="79" t="str">
        <f>VLOOKUP(G367,MetaData!$A$2:$C$13,3,false)</f>
        <v>Dra. Nani Suryani, M.Pd</v>
      </c>
      <c r="I367" s="79" t="s">
        <v>239</v>
      </c>
      <c r="J367" s="79" t="str">
        <f>VLOOKUP(I367,MetaData!$E$2:$G$40,3,false)</f>
        <v>Veril (XII)</v>
      </c>
      <c r="K367" s="80"/>
    </row>
    <row r="368" ht="15.75" customHeight="1">
      <c r="A368" s="85">
        <v>425.0</v>
      </c>
      <c r="B368" s="77">
        <v>27.0</v>
      </c>
      <c r="C368" s="77" t="s">
        <v>1148</v>
      </c>
      <c r="D368" s="77">
        <v>2.52610337E8</v>
      </c>
      <c r="E368" s="78" t="s">
        <v>247</v>
      </c>
      <c r="F368" s="77" t="s">
        <v>782</v>
      </c>
      <c r="G368" s="82" t="s">
        <v>63</v>
      </c>
      <c r="H368" s="82" t="str">
        <f>VLOOKUP(G368,MetaData!$A$2:$C$13,3,false)</f>
        <v>Dra. Nani Suryani, M.Pd</v>
      </c>
      <c r="I368" s="82" t="s">
        <v>239</v>
      </c>
      <c r="J368" s="82" t="str">
        <f>VLOOKUP(I368,MetaData!$E$2:$G$40,3,false)</f>
        <v>Veril (XII)</v>
      </c>
      <c r="K368" s="83"/>
    </row>
    <row r="369" ht="15.75" customHeight="1">
      <c r="A369" s="84">
        <v>426.0</v>
      </c>
      <c r="B369" s="77">
        <v>28.0</v>
      </c>
      <c r="C369" s="77" t="s">
        <v>1149</v>
      </c>
      <c r="D369" s="77">
        <v>2.52610341E8</v>
      </c>
      <c r="E369" s="78" t="s">
        <v>248</v>
      </c>
      <c r="F369" s="77" t="s">
        <v>782</v>
      </c>
      <c r="G369" s="79" t="s">
        <v>63</v>
      </c>
      <c r="H369" s="79" t="str">
        <f>VLOOKUP(G369,MetaData!$A$2:$C$13,3,false)</f>
        <v>Dra. Nani Suryani, M.Pd</v>
      </c>
      <c r="I369" s="79" t="s">
        <v>239</v>
      </c>
      <c r="J369" s="79" t="str">
        <f>VLOOKUP(I369,MetaData!$E$2:$G$40,3,false)</f>
        <v>Veril (XII)</v>
      </c>
      <c r="K369" s="80"/>
    </row>
    <row r="370" ht="15.75" customHeight="1">
      <c r="A370" s="85">
        <v>427.0</v>
      </c>
      <c r="B370" s="77">
        <v>29.0</v>
      </c>
      <c r="C370" s="77" t="s">
        <v>1150</v>
      </c>
      <c r="D370" s="77">
        <v>2.52610344E8</v>
      </c>
      <c r="E370" s="78" t="s">
        <v>249</v>
      </c>
      <c r="F370" s="77" t="s">
        <v>782</v>
      </c>
      <c r="G370" s="82" t="s">
        <v>63</v>
      </c>
      <c r="H370" s="82" t="str">
        <f>VLOOKUP(G370,MetaData!$A$2:$C$13,3,false)</f>
        <v>Dra. Nani Suryani, M.Pd</v>
      </c>
      <c r="I370" s="82" t="s">
        <v>239</v>
      </c>
      <c r="J370" s="82" t="str">
        <f>VLOOKUP(I370,MetaData!$E$2:$G$40,3,false)</f>
        <v>Veril (XII)</v>
      </c>
      <c r="K370" s="83"/>
    </row>
    <row r="371" ht="15.75" customHeight="1">
      <c r="A371" s="84">
        <v>428.0</v>
      </c>
      <c r="B371" s="77">
        <v>30.0</v>
      </c>
      <c r="C371" s="77" t="s">
        <v>1151</v>
      </c>
      <c r="D371" s="77">
        <v>2.52610347E8</v>
      </c>
      <c r="E371" s="78" t="s">
        <v>250</v>
      </c>
      <c r="F371" s="77" t="s">
        <v>782</v>
      </c>
      <c r="G371" s="79" t="s">
        <v>63</v>
      </c>
      <c r="H371" s="79" t="str">
        <f>VLOOKUP(G371,MetaData!$A$2:$C$13,3,false)</f>
        <v>Dra. Nani Suryani, M.Pd</v>
      </c>
      <c r="I371" s="79" t="s">
        <v>239</v>
      </c>
      <c r="J371" s="79" t="str">
        <f>VLOOKUP(I371,MetaData!$E$2:$G$40,3,false)</f>
        <v>Veril (XII)</v>
      </c>
      <c r="K371" s="80"/>
    </row>
    <row r="372" ht="15.75" customHeight="1">
      <c r="A372" s="85">
        <v>429.0</v>
      </c>
      <c r="B372" s="77">
        <v>31.0</v>
      </c>
      <c r="C372" s="77" t="s">
        <v>1152</v>
      </c>
      <c r="D372" s="77">
        <v>2.52610358E8</v>
      </c>
      <c r="E372" s="78" t="s">
        <v>251</v>
      </c>
      <c r="F372" s="77" t="s">
        <v>782</v>
      </c>
      <c r="G372" s="82" t="s">
        <v>63</v>
      </c>
      <c r="H372" s="82" t="str">
        <f>VLOOKUP(G372,MetaData!$A$2:$C$13,3,false)</f>
        <v>Dra. Nani Suryani, M.Pd</v>
      </c>
      <c r="I372" s="82" t="s">
        <v>239</v>
      </c>
      <c r="J372" s="82" t="str">
        <f>VLOOKUP(I372,MetaData!$E$2:$G$40,3,false)</f>
        <v>Veril (XII)</v>
      </c>
      <c r="K372" s="83"/>
    </row>
    <row r="373" ht="15.75" customHeight="1">
      <c r="A373" s="84">
        <v>430.0</v>
      </c>
      <c r="B373" s="77">
        <v>32.0</v>
      </c>
      <c r="C373" s="77" t="s">
        <v>1153</v>
      </c>
      <c r="D373" s="77">
        <v>2.52610368E8</v>
      </c>
      <c r="E373" s="78" t="s">
        <v>252</v>
      </c>
      <c r="F373" s="77" t="s">
        <v>782</v>
      </c>
      <c r="G373" s="79" t="s">
        <v>63</v>
      </c>
      <c r="H373" s="79" t="str">
        <f>VLOOKUP(G373,MetaData!$A$2:$C$13,3,false)</f>
        <v>Dra. Nani Suryani, M.Pd</v>
      </c>
      <c r="I373" s="79" t="s">
        <v>239</v>
      </c>
      <c r="J373" s="79" t="str">
        <f>VLOOKUP(I373,MetaData!$E$2:$G$40,3,false)</f>
        <v>Veril (XII)</v>
      </c>
      <c r="K373" s="80"/>
    </row>
    <row r="374" ht="15.75" customHeight="1">
      <c r="A374" s="85">
        <v>431.0</v>
      </c>
      <c r="B374" s="77">
        <v>33.0</v>
      </c>
      <c r="C374" s="77" t="s">
        <v>1154</v>
      </c>
      <c r="D374" s="77">
        <v>2.52610372E8</v>
      </c>
      <c r="E374" s="78" t="s">
        <v>253</v>
      </c>
      <c r="F374" s="77" t="s">
        <v>782</v>
      </c>
      <c r="G374" s="82" t="s">
        <v>63</v>
      </c>
      <c r="H374" s="82" t="str">
        <f>VLOOKUP(G374,MetaData!$A$2:$C$13,3,false)</f>
        <v>Dra. Nani Suryani, M.Pd</v>
      </c>
      <c r="I374" s="82" t="s">
        <v>239</v>
      </c>
      <c r="J374" s="82" t="str">
        <f>VLOOKUP(I374,MetaData!$E$2:$G$40,3,false)</f>
        <v>Veril (XII)</v>
      </c>
      <c r="K374" s="83"/>
    </row>
    <row r="375" ht="15.75" customHeight="1">
      <c r="A375" s="84">
        <v>432.0</v>
      </c>
      <c r="B375" s="77">
        <v>34.0</v>
      </c>
      <c r="C375" s="77" t="s">
        <v>1155</v>
      </c>
      <c r="D375" s="77">
        <v>2.52610397E8</v>
      </c>
      <c r="E375" s="78" t="s">
        <v>254</v>
      </c>
      <c r="F375" s="77" t="s">
        <v>782</v>
      </c>
      <c r="G375" s="79" t="s">
        <v>63</v>
      </c>
      <c r="H375" s="79" t="str">
        <f>VLOOKUP(G375,MetaData!$A$2:$C$13,3,false)</f>
        <v>Dra. Nani Suryani, M.Pd</v>
      </c>
      <c r="I375" s="79" t="s">
        <v>239</v>
      </c>
      <c r="J375" s="79" t="str">
        <f>VLOOKUP(I375,MetaData!$E$2:$G$40,3,false)</f>
        <v>Veril (XII)</v>
      </c>
      <c r="K375" s="80"/>
    </row>
    <row r="376" ht="15.75" customHeight="1">
      <c r="A376" s="85">
        <v>433.0</v>
      </c>
      <c r="B376" s="77">
        <v>35.0</v>
      </c>
      <c r="C376" s="77" t="s">
        <v>1156</v>
      </c>
      <c r="D376" s="77">
        <v>2.52610398E8</v>
      </c>
      <c r="E376" s="78" t="s">
        <v>461</v>
      </c>
      <c r="F376" s="77" t="s">
        <v>784</v>
      </c>
      <c r="G376" s="82" t="s">
        <v>63</v>
      </c>
      <c r="H376" s="82" t="str">
        <f>VLOOKUP(G376,MetaData!$A$2:$C$13,3,false)</f>
        <v>Dra. Nani Suryani, M.Pd</v>
      </c>
      <c r="I376" s="82" t="s">
        <v>457</v>
      </c>
      <c r="J376" s="82" t="str">
        <f>VLOOKUP(I376,MetaData!$E$2:$G$40,3,false)</f>
        <v>Almira (XI)</v>
      </c>
      <c r="K376" s="83"/>
    </row>
    <row r="377" ht="15.75" customHeight="1">
      <c r="A377" s="84">
        <v>434.0</v>
      </c>
      <c r="B377" s="77">
        <v>36.0</v>
      </c>
      <c r="C377" s="77" t="s">
        <v>1157</v>
      </c>
      <c r="D377" s="77">
        <v>2.52610425E8</v>
      </c>
      <c r="E377" s="78" t="s">
        <v>462</v>
      </c>
      <c r="F377" s="77" t="s">
        <v>784</v>
      </c>
      <c r="G377" s="79" t="s">
        <v>63</v>
      </c>
      <c r="H377" s="79" t="str">
        <f>VLOOKUP(G377,MetaData!$A$2:$C$13,3,false)</f>
        <v>Dra. Nani Suryani, M.Pd</v>
      </c>
      <c r="I377" s="79" t="s">
        <v>457</v>
      </c>
      <c r="J377" s="79" t="str">
        <f>VLOOKUP(I377,MetaData!$E$2:$G$40,3,false)</f>
        <v>Almira (XI)</v>
      </c>
      <c r="K377" s="80"/>
    </row>
    <row r="378" ht="15.75" customHeight="1">
      <c r="A378" s="85">
        <v>435.0</v>
      </c>
      <c r="B378" s="77">
        <v>37.0</v>
      </c>
      <c r="C378" s="77" t="s">
        <v>1158</v>
      </c>
      <c r="D378" s="77">
        <v>2.52610441E8</v>
      </c>
      <c r="E378" s="78" t="s">
        <v>463</v>
      </c>
      <c r="F378" s="77" t="s">
        <v>784</v>
      </c>
      <c r="G378" s="82" t="s">
        <v>63</v>
      </c>
      <c r="H378" s="82" t="str">
        <f>VLOOKUP(G378,MetaData!$A$2:$C$13,3,false)</f>
        <v>Dra. Nani Suryani, M.Pd</v>
      </c>
      <c r="I378" s="82" t="s">
        <v>457</v>
      </c>
      <c r="J378" s="82" t="str">
        <f>VLOOKUP(I378,MetaData!$E$2:$G$40,3,false)</f>
        <v>Almira (XI)</v>
      </c>
      <c r="K378" s="83"/>
    </row>
    <row r="379" ht="15.75" customHeight="1">
      <c r="A379" s="84">
        <v>436.0</v>
      </c>
      <c r="B379" s="77">
        <v>38.0</v>
      </c>
      <c r="C379" s="77" t="s">
        <v>1159</v>
      </c>
      <c r="D379" s="77">
        <v>2.52610457E8</v>
      </c>
      <c r="E379" s="78" t="s">
        <v>464</v>
      </c>
      <c r="F379" s="77" t="s">
        <v>784</v>
      </c>
      <c r="G379" s="79" t="s">
        <v>63</v>
      </c>
      <c r="H379" s="79" t="str">
        <f>VLOOKUP(G379,MetaData!$A$2:$C$13,3,false)</f>
        <v>Dra. Nani Suryani, M.Pd</v>
      </c>
      <c r="I379" s="79" t="s">
        <v>457</v>
      </c>
      <c r="J379" s="79" t="str">
        <f>VLOOKUP(I379,MetaData!$E$2:$G$40,3,false)</f>
        <v>Almira (XI)</v>
      </c>
      <c r="K379" s="80"/>
    </row>
    <row r="380" ht="15.75" customHeight="1">
      <c r="A380" s="85">
        <v>437.0</v>
      </c>
      <c r="B380" s="77">
        <v>39.0</v>
      </c>
      <c r="C380" s="77" t="s">
        <v>1160</v>
      </c>
      <c r="D380" s="77">
        <v>2.5261046E8</v>
      </c>
      <c r="E380" s="78" t="s">
        <v>255</v>
      </c>
      <c r="F380" s="77" t="s">
        <v>782</v>
      </c>
      <c r="G380" s="82" t="s">
        <v>63</v>
      </c>
      <c r="H380" s="82" t="str">
        <f>VLOOKUP(G380,MetaData!$A$2:$C$13,3,false)</f>
        <v>Dra. Nani Suryani, M.Pd</v>
      </c>
      <c r="I380" s="82" t="s">
        <v>239</v>
      </c>
      <c r="J380" s="82" t="str">
        <f>VLOOKUP(I380,MetaData!$E$2:$G$40,3,false)</f>
        <v>Veril (XII)</v>
      </c>
      <c r="K380" s="83"/>
    </row>
    <row r="381" ht="15.75" customHeight="1">
      <c r="A381" s="84">
        <v>438.0</v>
      </c>
      <c r="B381" s="77">
        <v>40.0</v>
      </c>
      <c r="C381" s="77" t="s">
        <v>1161</v>
      </c>
      <c r="D381" s="77">
        <v>2.52610465E8</v>
      </c>
      <c r="E381" s="78" t="s">
        <v>465</v>
      </c>
      <c r="F381" s="77" t="s">
        <v>784</v>
      </c>
      <c r="G381" s="79" t="s">
        <v>63</v>
      </c>
      <c r="H381" s="79" t="str">
        <f>VLOOKUP(G381,MetaData!$A$2:$C$13,3,false)</f>
        <v>Dra. Nani Suryani, M.Pd</v>
      </c>
      <c r="I381" s="79" t="s">
        <v>457</v>
      </c>
      <c r="J381" s="79" t="str">
        <f>VLOOKUP(I381,MetaData!$E$2:$G$40,3,false)</f>
        <v>Almira (XI)</v>
      </c>
      <c r="K381" s="80"/>
    </row>
    <row r="382" ht="15.75" customHeight="1">
      <c r="A382" s="85">
        <v>439.0</v>
      </c>
      <c r="B382" s="77">
        <v>41.0</v>
      </c>
      <c r="C382" s="77" t="s">
        <v>1162</v>
      </c>
      <c r="D382" s="77">
        <v>2.52610473E8</v>
      </c>
      <c r="E382" s="78" t="s">
        <v>441</v>
      </c>
      <c r="F382" s="77" t="s">
        <v>784</v>
      </c>
      <c r="G382" s="82" t="s">
        <v>63</v>
      </c>
      <c r="H382" s="82" t="str">
        <f>VLOOKUP(G382,MetaData!$A$2:$C$13,3,false)</f>
        <v>Dra. Nani Suryani, M.Pd</v>
      </c>
      <c r="I382" s="82" t="s">
        <v>428</v>
      </c>
      <c r="J382" s="82" t="str">
        <f>VLOOKUP(I382,MetaData!$E$2:$G$40,3,false)</f>
        <v>Iga</v>
      </c>
      <c r="K382" s="83"/>
    </row>
    <row r="383" ht="15.75" customHeight="1">
      <c r="A383" s="84">
        <v>440.0</v>
      </c>
      <c r="B383" s="77">
        <v>42.0</v>
      </c>
      <c r="C383" s="77" t="s">
        <v>1163</v>
      </c>
      <c r="D383" s="77">
        <v>2.52610487E8</v>
      </c>
      <c r="E383" s="78" t="s">
        <v>256</v>
      </c>
      <c r="F383" s="77" t="s">
        <v>782</v>
      </c>
      <c r="G383" s="79" t="s">
        <v>63</v>
      </c>
      <c r="H383" s="79" t="str">
        <f>VLOOKUP(G383,MetaData!$A$2:$C$13,3,false)</f>
        <v>Dra. Nani Suryani, M.Pd</v>
      </c>
      <c r="I383" s="79" t="s">
        <v>239</v>
      </c>
      <c r="J383" s="79" t="str">
        <f>VLOOKUP(I383,MetaData!$E$2:$G$40,3,false)</f>
        <v>Veril (XII)</v>
      </c>
      <c r="K383" s="80"/>
    </row>
    <row r="384" ht="15.75" customHeight="1">
      <c r="A384" s="85">
        <v>441.0</v>
      </c>
      <c r="B384" s="77">
        <v>43.0</v>
      </c>
      <c r="C384" s="77" t="s">
        <v>1164</v>
      </c>
      <c r="D384" s="77">
        <v>2.52610511E8</v>
      </c>
      <c r="E384" s="78" t="s">
        <v>466</v>
      </c>
      <c r="F384" s="77" t="s">
        <v>784</v>
      </c>
      <c r="G384" s="82" t="s">
        <v>63</v>
      </c>
      <c r="H384" s="82" t="str">
        <f>VLOOKUP(G384,MetaData!$A$2:$C$13,3,false)</f>
        <v>Dra. Nani Suryani, M.Pd</v>
      </c>
      <c r="I384" s="82" t="s">
        <v>457</v>
      </c>
      <c r="J384" s="82" t="str">
        <f>VLOOKUP(I384,MetaData!$E$2:$G$40,3,false)</f>
        <v>Almira (XI)</v>
      </c>
      <c r="K384" s="83"/>
    </row>
    <row r="385" ht="15.75" customHeight="1">
      <c r="A385" s="84">
        <v>442.0</v>
      </c>
      <c r="B385" s="77">
        <v>44.0</v>
      </c>
      <c r="C385" s="77" t="s">
        <v>1165</v>
      </c>
      <c r="D385" s="77">
        <v>2.5261053E8</v>
      </c>
      <c r="E385" s="78" t="s">
        <v>467</v>
      </c>
      <c r="F385" s="77" t="s">
        <v>784</v>
      </c>
      <c r="G385" s="79" t="s">
        <v>63</v>
      </c>
      <c r="H385" s="79" t="str">
        <f>VLOOKUP(G385,MetaData!$A$2:$C$13,3,false)</f>
        <v>Dra. Nani Suryani, M.Pd</v>
      </c>
      <c r="I385" s="79" t="s">
        <v>457</v>
      </c>
      <c r="J385" s="79" t="str">
        <f>VLOOKUP(I385,MetaData!$E$2:$G$40,3,false)</f>
        <v>Almira (XI)</v>
      </c>
      <c r="K385" s="80"/>
    </row>
    <row r="386" ht="15.75" customHeight="1">
      <c r="A386" s="85">
        <v>443.0</v>
      </c>
      <c r="B386" s="77">
        <v>45.0</v>
      </c>
      <c r="C386" s="77" t="s">
        <v>1166</v>
      </c>
      <c r="D386" s="77">
        <v>2.52610537E8</v>
      </c>
      <c r="E386" s="78" t="s">
        <v>468</v>
      </c>
      <c r="F386" s="77" t="s">
        <v>784</v>
      </c>
      <c r="G386" s="82" t="s">
        <v>63</v>
      </c>
      <c r="H386" s="82" t="str">
        <f>VLOOKUP(G386,MetaData!$A$2:$C$13,3,false)</f>
        <v>Dra. Nani Suryani, M.Pd</v>
      </c>
      <c r="I386" s="82" t="s">
        <v>457</v>
      </c>
      <c r="J386" s="82" t="str">
        <f>VLOOKUP(I386,MetaData!$E$2:$G$40,3,false)</f>
        <v>Almira (XI)</v>
      </c>
      <c r="K386" s="83"/>
    </row>
    <row r="387" ht="15.75" customHeight="1">
      <c r="A387" s="84">
        <v>444.0</v>
      </c>
      <c r="B387" s="77">
        <v>46.0</v>
      </c>
      <c r="C387" s="77" t="s">
        <v>1167</v>
      </c>
      <c r="D387" s="77">
        <v>2.52610542E8</v>
      </c>
      <c r="E387" s="78" t="s">
        <v>469</v>
      </c>
      <c r="F387" s="77" t="s">
        <v>784</v>
      </c>
      <c r="G387" s="79" t="s">
        <v>63</v>
      </c>
      <c r="H387" s="79" t="str">
        <f>VLOOKUP(G387,MetaData!$A$2:$C$13,3,false)</f>
        <v>Dra. Nani Suryani, M.Pd</v>
      </c>
      <c r="I387" s="79" t="s">
        <v>457</v>
      </c>
      <c r="J387" s="79" t="str">
        <f>VLOOKUP(I387,MetaData!$E$2:$G$40,3,false)</f>
        <v>Almira (XI)</v>
      </c>
      <c r="K387" s="80"/>
    </row>
    <row r="388" ht="15.75" customHeight="1">
      <c r="A388" s="81">
        <v>452.0</v>
      </c>
      <c r="B388" s="77">
        <v>1.0</v>
      </c>
      <c r="C388" s="77" t="s">
        <v>1168</v>
      </c>
      <c r="D388" s="77">
        <v>2.52610001E8</v>
      </c>
      <c r="E388" s="78" t="s">
        <v>221</v>
      </c>
      <c r="F388" s="77" t="s">
        <v>782</v>
      </c>
      <c r="G388" s="82" t="s">
        <v>69</v>
      </c>
      <c r="H388" s="82" t="str">
        <f>VLOOKUP(G388,MetaData!$A$2:$C$13,3,false)</f>
        <v>Eva Fauziah, S.Pd</v>
      </c>
      <c r="I388" s="82" t="s">
        <v>220</v>
      </c>
      <c r="J388" s="82" t="str">
        <f>VLOOKUP(I388,MetaData!$E$2:$G$40,3,false)</f>
        <v>Rekhsa</v>
      </c>
      <c r="K388" s="83"/>
    </row>
    <row r="389" ht="15.75" customHeight="1">
      <c r="A389" s="76">
        <v>453.0</v>
      </c>
      <c r="B389" s="77">
        <v>2.0</v>
      </c>
      <c r="C389" s="77" t="s">
        <v>1169</v>
      </c>
      <c r="D389" s="77">
        <v>2.52610012E8</v>
      </c>
      <c r="E389" s="78" t="s">
        <v>396</v>
      </c>
      <c r="F389" s="77" t="s">
        <v>782</v>
      </c>
      <c r="G389" s="79" t="s">
        <v>69</v>
      </c>
      <c r="H389" s="79" t="str">
        <f>VLOOKUP(G389,MetaData!$A$2:$C$13,3,false)</f>
        <v>Eva Fauziah, S.Pd</v>
      </c>
      <c r="I389" s="79" t="s">
        <v>395</v>
      </c>
      <c r="J389" s="79" t="str">
        <f>VLOOKUP(I389,MetaData!$E$2:$G$40,3,false)</f>
        <v>Irghi (XII)</v>
      </c>
      <c r="K389" s="80"/>
    </row>
    <row r="390" ht="15.75" customHeight="1">
      <c r="A390" s="81">
        <v>454.0</v>
      </c>
      <c r="B390" s="77">
        <v>3.0</v>
      </c>
      <c r="C390" s="77" t="s">
        <v>1170</v>
      </c>
      <c r="D390" s="77">
        <v>2.52610014E8</v>
      </c>
      <c r="E390" s="78" t="s">
        <v>429</v>
      </c>
      <c r="F390" s="77" t="s">
        <v>784</v>
      </c>
      <c r="G390" s="82" t="s">
        <v>69</v>
      </c>
      <c r="H390" s="82" t="str">
        <f>VLOOKUP(G390,MetaData!$A$2:$C$13,3,false)</f>
        <v>Eva Fauziah, S.Pd</v>
      </c>
      <c r="I390" s="82" t="s">
        <v>428</v>
      </c>
      <c r="J390" s="82" t="str">
        <f>VLOOKUP(I390,MetaData!$E$2:$G$40,3,false)</f>
        <v>Iga</v>
      </c>
      <c r="K390" s="83"/>
    </row>
    <row r="391" ht="15.75" customHeight="1">
      <c r="A391" s="76">
        <v>455.0</v>
      </c>
      <c r="B391" s="77">
        <v>4.0</v>
      </c>
      <c r="C391" s="77" t="s">
        <v>1171</v>
      </c>
      <c r="D391" s="77">
        <v>2.5261002E8</v>
      </c>
      <c r="E391" s="78" t="s">
        <v>397</v>
      </c>
      <c r="F391" s="77" t="s">
        <v>782</v>
      </c>
      <c r="G391" s="79" t="s">
        <v>69</v>
      </c>
      <c r="H391" s="79" t="str">
        <f>VLOOKUP(G391,MetaData!$A$2:$C$13,3,false)</f>
        <v>Eva Fauziah, S.Pd</v>
      </c>
      <c r="I391" s="79" t="s">
        <v>395</v>
      </c>
      <c r="J391" s="79" t="str">
        <f>VLOOKUP(I391,MetaData!$E$2:$G$40,3,false)</f>
        <v>Irghi (XII)</v>
      </c>
      <c r="K391" s="80"/>
    </row>
    <row r="392" ht="15.75" customHeight="1">
      <c r="A392" s="81">
        <v>456.0</v>
      </c>
      <c r="B392" s="77">
        <v>5.0</v>
      </c>
      <c r="C392" s="77" t="s">
        <v>1172</v>
      </c>
      <c r="D392" s="77">
        <v>2.52610032E8</v>
      </c>
      <c r="E392" s="78" t="s">
        <v>398</v>
      </c>
      <c r="F392" s="77" t="s">
        <v>782</v>
      </c>
      <c r="G392" s="82" t="s">
        <v>69</v>
      </c>
      <c r="H392" s="82" t="str">
        <f>VLOOKUP(G392,MetaData!$A$2:$C$13,3,false)</f>
        <v>Eva Fauziah, S.Pd</v>
      </c>
      <c r="I392" s="82" t="s">
        <v>395</v>
      </c>
      <c r="J392" s="82" t="str">
        <f>VLOOKUP(I392,MetaData!$E$2:$G$40,3,false)</f>
        <v>Irghi (XII)</v>
      </c>
      <c r="K392" s="83"/>
    </row>
    <row r="393" ht="15.75" customHeight="1">
      <c r="A393" s="76">
        <v>457.0</v>
      </c>
      <c r="B393" s="77">
        <v>6.0</v>
      </c>
      <c r="C393" s="77" t="s">
        <v>1173</v>
      </c>
      <c r="D393" s="77">
        <v>2.52610037E8</v>
      </c>
      <c r="E393" s="78" t="s">
        <v>750</v>
      </c>
      <c r="F393" s="77" t="s">
        <v>784</v>
      </c>
      <c r="G393" s="79" t="s">
        <v>69</v>
      </c>
      <c r="H393" s="79" t="str">
        <f>VLOOKUP(G393,MetaData!$A$2:$C$13,3,false)</f>
        <v>Eva Fauziah, S.Pd</v>
      </c>
      <c r="I393" s="79" t="s">
        <v>749</v>
      </c>
      <c r="J393" s="79" t="str">
        <f>VLOOKUP(I393,MetaData!$E$2:$G$40,3,false)</f>
        <v>Citra</v>
      </c>
      <c r="K393" s="80"/>
    </row>
    <row r="394" ht="15.75" customHeight="1">
      <c r="A394" s="81">
        <v>458.0</v>
      </c>
      <c r="B394" s="77">
        <v>7.0</v>
      </c>
      <c r="C394" s="77" t="s">
        <v>1174</v>
      </c>
      <c r="D394" s="77">
        <v>2.52610054E8</v>
      </c>
      <c r="E394" s="78" t="s">
        <v>751</v>
      </c>
      <c r="F394" s="77" t="s">
        <v>784</v>
      </c>
      <c r="G394" s="82" t="s">
        <v>69</v>
      </c>
      <c r="H394" s="82" t="str">
        <f>VLOOKUP(G394,MetaData!$A$2:$C$13,3,false)</f>
        <v>Eva Fauziah, S.Pd</v>
      </c>
      <c r="I394" s="82" t="s">
        <v>749</v>
      </c>
      <c r="J394" s="82" t="str">
        <f>VLOOKUP(I394,MetaData!$E$2:$G$40,3,false)</f>
        <v>Citra</v>
      </c>
      <c r="K394" s="83"/>
    </row>
    <row r="395" ht="15.75" customHeight="1">
      <c r="A395" s="76">
        <v>459.0</v>
      </c>
      <c r="B395" s="77">
        <v>8.0</v>
      </c>
      <c r="C395" s="77" t="s">
        <v>1175</v>
      </c>
      <c r="D395" s="77">
        <v>2.52610059E8</v>
      </c>
      <c r="E395" s="78" t="s">
        <v>399</v>
      </c>
      <c r="F395" s="77" t="s">
        <v>782</v>
      </c>
      <c r="G395" s="79" t="s">
        <v>69</v>
      </c>
      <c r="H395" s="79" t="str">
        <f>VLOOKUP(G395,MetaData!$A$2:$C$13,3,false)</f>
        <v>Eva Fauziah, S.Pd</v>
      </c>
      <c r="I395" s="79" t="s">
        <v>395</v>
      </c>
      <c r="J395" s="79" t="str">
        <f>VLOOKUP(I395,MetaData!$E$2:$G$40,3,false)</f>
        <v>Irghi (XII)</v>
      </c>
      <c r="K395" s="80"/>
    </row>
    <row r="396" ht="15.75" customHeight="1">
      <c r="A396" s="81">
        <v>460.0</v>
      </c>
      <c r="B396" s="77">
        <v>9.0</v>
      </c>
      <c r="C396" s="77" t="s">
        <v>1176</v>
      </c>
      <c r="D396" s="77">
        <v>2.52610089E8</v>
      </c>
      <c r="E396" s="78" t="s">
        <v>752</v>
      </c>
      <c r="F396" s="77" t="s">
        <v>784</v>
      </c>
      <c r="G396" s="82" t="s">
        <v>69</v>
      </c>
      <c r="H396" s="82" t="str">
        <f>VLOOKUP(G396,MetaData!$A$2:$C$13,3,false)</f>
        <v>Eva Fauziah, S.Pd</v>
      </c>
      <c r="I396" s="82" t="s">
        <v>749</v>
      </c>
      <c r="J396" s="82" t="str">
        <f>VLOOKUP(I396,MetaData!$E$2:$G$40,3,false)</f>
        <v>Citra</v>
      </c>
      <c r="K396" s="83"/>
    </row>
    <row r="397" ht="15.75" customHeight="1">
      <c r="A397" s="76">
        <v>461.0</v>
      </c>
      <c r="B397" s="77">
        <v>10.0</v>
      </c>
      <c r="C397" s="77" t="s">
        <v>1177</v>
      </c>
      <c r="D397" s="77">
        <v>2.52610091E8</v>
      </c>
      <c r="E397" s="78" t="s">
        <v>753</v>
      </c>
      <c r="F397" s="77" t="s">
        <v>784</v>
      </c>
      <c r="G397" s="79" t="s">
        <v>69</v>
      </c>
      <c r="H397" s="79" t="str">
        <f>VLOOKUP(G397,MetaData!$A$2:$C$13,3,false)</f>
        <v>Eva Fauziah, S.Pd</v>
      </c>
      <c r="I397" s="79" t="s">
        <v>749</v>
      </c>
      <c r="J397" s="79" t="str">
        <f>VLOOKUP(I397,MetaData!$E$2:$G$40,3,false)</f>
        <v>Citra</v>
      </c>
      <c r="K397" s="80"/>
    </row>
    <row r="398" ht="15.75" customHeight="1">
      <c r="A398" s="81">
        <v>462.0</v>
      </c>
      <c r="B398" s="77">
        <v>11.0</v>
      </c>
      <c r="C398" s="77" t="s">
        <v>1178</v>
      </c>
      <c r="D398" s="77">
        <v>2.52610099E8</v>
      </c>
      <c r="E398" s="78" t="s">
        <v>754</v>
      </c>
      <c r="F398" s="77" t="s">
        <v>784</v>
      </c>
      <c r="G398" s="82" t="s">
        <v>69</v>
      </c>
      <c r="H398" s="82" t="str">
        <f>VLOOKUP(G398,MetaData!$A$2:$C$13,3,false)</f>
        <v>Eva Fauziah, S.Pd</v>
      </c>
      <c r="I398" s="82" t="s">
        <v>749</v>
      </c>
      <c r="J398" s="82" t="str">
        <f>VLOOKUP(I398,MetaData!$E$2:$G$40,3,false)</f>
        <v>Citra</v>
      </c>
      <c r="K398" s="83"/>
    </row>
    <row r="399" ht="15.75" customHeight="1">
      <c r="A399" s="76">
        <v>463.0</v>
      </c>
      <c r="B399" s="77">
        <v>12.0</v>
      </c>
      <c r="C399" s="77" t="s">
        <v>1179</v>
      </c>
      <c r="D399" s="77">
        <v>2.52610103E8</v>
      </c>
      <c r="E399" s="78" t="s">
        <v>755</v>
      </c>
      <c r="F399" s="77" t="s">
        <v>784</v>
      </c>
      <c r="G399" s="79" t="s">
        <v>69</v>
      </c>
      <c r="H399" s="79" t="str">
        <f>VLOOKUP(G399,MetaData!$A$2:$C$13,3,false)</f>
        <v>Eva Fauziah, S.Pd</v>
      </c>
      <c r="I399" s="79" t="s">
        <v>749</v>
      </c>
      <c r="J399" s="79" t="str">
        <f>VLOOKUP(I399,MetaData!$E$2:$G$40,3,false)</f>
        <v>Citra</v>
      </c>
      <c r="K399" s="80"/>
    </row>
    <row r="400" ht="15.75" customHeight="1">
      <c r="A400" s="81">
        <v>464.0</v>
      </c>
      <c r="B400" s="77">
        <v>13.0</v>
      </c>
      <c r="C400" s="77" t="s">
        <v>1180</v>
      </c>
      <c r="D400" s="77">
        <v>2.52610119E8</v>
      </c>
      <c r="E400" s="78" t="s">
        <v>756</v>
      </c>
      <c r="F400" s="77" t="s">
        <v>784</v>
      </c>
      <c r="G400" s="82" t="s">
        <v>69</v>
      </c>
      <c r="H400" s="82" t="str">
        <f>VLOOKUP(G400,MetaData!$A$2:$C$13,3,false)</f>
        <v>Eva Fauziah, S.Pd</v>
      </c>
      <c r="I400" s="82" t="s">
        <v>749</v>
      </c>
      <c r="J400" s="82" t="str">
        <f>VLOOKUP(I400,MetaData!$E$2:$G$40,3,false)</f>
        <v>Citra</v>
      </c>
      <c r="K400" s="83"/>
    </row>
    <row r="401" ht="15.75" customHeight="1">
      <c r="A401" s="76">
        <v>465.0</v>
      </c>
      <c r="B401" s="77">
        <v>14.0</v>
      </c>
      <c r="C401" s="77" t="s">
        <v>1181</v>
      </c>
      <c r="D401" s="77">
        <v>2.52610128E8</v>
      </c>
      <c r="E401" s="78" t="s">
        <v>400</v>
      </c>
      <c r="F401" s="77" t="s">
        <v>782</v>
      </c>
      <c r="G401" s="79" t="s">
        <v>69</v>
      </c>
      <c r="H401" s="79" t="str">
        <f>VLOOKUP(G401,MetaData!$A$2:$C$13,3,false)</f>
        <v>Eva Fauziah, S.Pd</v>
      </c>
      <c r="I401" s="79" t="s">
        <v>395</v>
      </c>
      <c r="J401" s="79" t="str">
        <f>VLOOKUP(I401,MetaData!$E$2:$G$40,3,false)</f>
        <v>Irghi (XII)</v>
      </c>
      <c r="K401" s="80"/>
    </row>
    <row r="402" ht="15.75" customHeight="1">
      <c r="A402" s="81">
        <v>466.0</v>
      </c>
      <c r="B402" s="77">
        <v>16.0</v>
      </c>
      <c r="C402" s="77" t="s">
        <v>1182</v>
      </c>
      <c r="D402" s="77">
        <v>2.52610165E8</v>
      </c>
      <c r="E402" s="78" t="s">
        <v>449</v>
      </c>
      <c r="F402" s="77" t="s">
        <v>784</v>
      </c>
      <c r="G402" s="82" t="s">
        <v>69</v>
      </c>
      <c r="H402" s="82" t="str">
        <f>VLOOKUP(G402,MetaData!$A$2:$C$13,3,false)</f>
        <v>Eva Fauziah, S.Pd</v>
      </c>
      <c r="I402" s="82" t="s">
        <v>443</v>
      </c>
      <c r="J402" s="82" t="str">
        <f>VLOOKUP(I402,MetaData!$E$2:$G$40,3,false)</f>
        <v>Ayun</v>
      </c>
      <c r="K402" s="83"/>
    </row>
    <row r="403" ht="15.75" customHeight="1">
      <c r="A403" s="76">
        <v>467.0</v>
      </c>
      <c r="B403" s="77">
        <v>17.0</v>
      </c>
      <c r="C403" s="77" t="s">
        <v>1183</v>
      </c>
      <c r="D403" s="77">
        <v>2.52610168E8</v>
      </c>
      <c r="E403" s="78" t="s">
        <v>757</v>
      </c>
      <c r="F403" s="77" t="s">
        <v>784</v>
      </c>
      <c r="G403" s="79" t="s">
        <v>69</v>
      </c>
      <c r="H403" s="79" t="str">
        <f>VLOOKUP(G403,MetaData!$A$2:$C$13,3,false)</f>
        <v>Eva Fauziah, S.Pd</v>
      </c>
      <c r="I403" s="79" t="s">
        <v>749</v>
      </c>
      <c r="J403" s="79" t="str">
        <f>VLOOKUP(I403,MetaData!$E$2:$G$40,3,false)</f>
        <v>Citra</v>
      </c>
      <c r="K403" s="80"/>
    </row>
    <row r="404" ht="15.75" customHeight="1">
      <c r="A404" s="81">
        <v>468.0</v>
      </c>
      <c r="B404" s="77">
        <v>18.0</v>
      </c>
      <c r="C404" s="77" t="s">
        <v>1184</v>
      </c>
      <c r="D404" s="77">
        <v>2.52610169E8</v>
      </c>
      <c r="E404" s="78" t="s">
        <v>401</v>
      </c>
      <c r="F404" s="77" t="s">
        <v>782</v>
      </c>
      <c r="G404" s="82" t="s">
        <v>69</v>
      </c>
      <c r="H404" s="82" t="str">
        <f>VLOOKUP(G404,MetaData!$A$2:$C$13,3,false)</f>
        <v>Eva Fauziah, S.Pd</v>
      </c>
      <c r="I404" s="82" t="s">
        <v>395</v>
      </c>
      <c r="J404" s="82" t="str">
        <f>VLOOKUP(I404,MetaData!$E$2:$G$40,3,false)</f>
        <v>Irghi (XII)</v>
      </c>
      <c r="K404" s="83"/>
    </row>
    <row r="405" ht="15.75" customHeight="1">
      <c r="A405" s="76">
        <v>469.0</v>
      </c>
      <c r="B405" s="77">
        <v>19.0</v>
      </c>
      <c r="C405" s="77" t="s">
        <v>1185</v>
      </c>
      <c r="D405" s="77">
        <v>2.52610222E8</v>
      </c>
      <c r="E405" s="78" t="s">
        <v>758</v>
      </c>
      <c r="F405" s="77" t="s">
        <v>784</v>
      </c>
      <c r="G405" s="79" t="s">
        <v>69</v>
      </c>
      <c r="H405" s="79" t="str">
        <f>VLOOKUP(G405,MetaData!$A$2:$C$13,3,false)</f>
        <v>Eva Fauziah, S.Pd</v>
      </c>
      <c r="I405" s="79" t="s">
        <v>749</v>
      </c>
      <c r="J405" s="79" t="str">
        <f>VLOOKUP(I405,MetaData!$E$2:$G$40,3,false)</f>
        <v>Citra</v>
      </c>
      <c r="K405" s="80"/>
    </row>
    <row r="406" ht="15.75" customHeight="1">
      <c r="A406" s="81">
        <v>470.0</v>
      </c>
      <c r="B406" s="77">
        <v>20.0</v>
      </c>
      <c r="C406" s="77" t="s">
        <v>1186</v>
      </c>
      <c r="D406" s="77">
        <v>2.52610226E8</v>
      </c>
      <c r="E406" s="78" t="s">
        <v>759</v>
      </c>
      <c r="F406" s="77" t="s">
        <v>784</v>
      </c>
      <c r="G406" s="82" t="s">
        <v>69</v>
      </c>
      <c r="H406" s="82" t="str">
        <f>VLOOKUP(G406,MetaData!$A$2:$C$13,3,false)</f>
        <v>Eva Fauziah, S.Pd</v>
      </c>
      <c r="I406" s="82" t="s">
        <v>749</v>
      </c>
      <c r="J406" s="82" t="str">
        <f>VLOOKUP(I406,MetaData!$E$2:$G$40,3,false)</f>
        <v>Citra</v>
      </c>
      <c r="K406" s="83"/>
    </row>
    <row r="407" ht="15.75" customHeight="1">
      <c r="A407" s="76">
        <v>471.0</v>
      </c>
      <c r="B407" s="77">
        <v>21.0</v>
      </c>
      <c r="C407" s="77" t="s">
        <v>1187</v>
      </c>
      <c r="D407" s="77">
        <v>2.52610234E8</v>
      </c>
      <c r="E407" s="78" t="s">
        <v>760</v>
      </c>
      <c r="F407" s="77" t="s">
        <v>784</v>
      </c>
      <c r="G407" s="79" t="s">
        <v>69</v>
      </c>
      <c r="H407" s="79" t="str">
        <f>VLOOKUP(G407,MetaData!$A$2:$C$13,3,false)</f>
        <v>Eva Fauziah, S.Pd</v>
      </c>
      <c r="I407" s="79" t="s">
        <v>749</v>
      </c>
      <c r="J407" s="79" t="str">
        <f>VLOOKUP(I407,MetaData!$E$2:$G$40,3,false)</f>
        <v>Citra</v>
      </c>
      <c r="K407" s="80"/>
    </row>
    <row r="408" ht="15.75" customHeight="1">
      <c r="A408" s="81">
        <v>472.0</v>
      </c>
      <c r="B408" s="77">
        <v>22.0</v>
      </c>
      <c r="C408" s="77" t="s">
        <v>1188</v>
      </c>
      <c r="D408" s="77">
        <v>2.52610235E8</v>
      </c>
      <c r="E408" s="78" t="s">
        <v>451</v>
      </c>
      <c r="F408" s="77" t="s">
        <v>784</v>
      </c>
      <c r="G408" s="82" t="s">
        <v>69</v>
      </c>
      <c r="H408" s="82" t="str">
        <f>VLOOKUP(G408,MetaData!$A$2:$C$13,3,false)</f>
        <v>Eva Fauziah, S.Pd</v>
      </c>
      <c r="I408" s="82" t="s">
        <v>443</v>
      </c>
      <c r="J408" s="82" t="str">
        <f>VLOOKUP(I408,MetaData!$E$2:$G$40,3,false)</f>
        <v>Ayun</v>
      </c>
      <c r="K408" s="83"/>
    </row>
    <row r="409" ht="15.75" customHeight="1">
      <c r="A409" s="76">
        <v>473.0</v>
      </c>
      <c r="B409" s="77">
        <v>24.0</v>
      </c>
      <c r="C409" s="77" t="s">
        <v>1189</v>
      </c>
      <c r="D409" s="77">
        <v>2.52610243E8</v>
      </c>
      <c r="E409" s="78" t="s">
        <v>402</v>
      </c>
      <c r="F409" s="77" t="s">
        <v>782</v>
      </c>
      <c r="G409" s="79" t="s">
        <v>69</v>
      </c>
      <c r="H409" s="79" t="str">
        <f>VLOOKUP(G409,MetaData!$A$2:$C$13,3,false)</f>
        <v>Eva Fauziah, S.Pd</v>
      </c>
      <c r="I409" s="79" t="s">
        <v>395</v>
      </c>
      <c r="J409" s="79" t="str">
        <f>VLOOKUP(I409,MetaData!$E$2:$G$40,3,false)</f>
        <v>Irghi (XII)</v>
      </c>
      <c r="K409" s="80"/>
    </row>
    <row r="410" ht="15.75" customHeight="1">
      <c r="A410" s="81">
        <v>474.0</v>
      </c>
      <c r="B410" s="77">
        <v>25.0</v>
      </c>
      <c r="C410" s="77" t="s">
        <v>1190</v>
      </c>
      <c r="D410" s="77">
        <v>2.52610251E8</v>
      </c>
      <c r="E410" s="78" t="s">
        <v>403</v>
      </c>
      <c r="F410" s="77" t="s">
        <v>782</v>
      </c>
      <c r="G410" s="82" t="s">
        <v>69</v>
      </c>
      <c r="H410" s="82" t="str">
        <f>VLOOKUP(G410,MetaData!$A$2:$C$13,3,false)</f>
        <v>Eva Fauziah, S.Pd</v>
      </c>
      <c r="I410" s="82" t="s">
        <v>395</v>
      </c>
      <c r="J410" s="82" t="str">
        <f>VLOOKUP(I410,MetaData!$E$2:$G$40,3,false)</f>
        <v>Irghi (XII)</v>
      </c>
      <c r="K410" s="83"/>
    </row>
    <row r="411" ht="15.75" customHeight="1">
      <c r="A411" s="76">
        <v>475.0</v>
      </c>
      <c r="B411" s="77">
        <v>26.0</v>
      </c>
      <c r="C411" s="77" t="s">
        <v>1191</v>
      </c>
      <c r="D411" s="77">
        <v>2.52610262E8</v>
      </c>
      <c r="E411" s="78" t="s">
        <v>761</v>
      </c>
      <c r="F411" s="77" t="s">
        <v>784</v>
      </c>
      <c r="G411" s="79" t="s">
        <v>69</v>
      </c>
      <c r="H411" s="79" t="str">
        <f>VLOOKUP(G411,MetaData!$A$2:$C$13,3,false)</f>
        <v>Eva Fauziah, S.Pd</v>
      </c>
      <c r="I411" s="79" t="s">
        <v>749</v>
      </c>
      <c r="J411" s="79" t="str">
        <f>VLOOKUP(I411,MetaData!$E$2:$G$40,3,false)</f>
        <v>Citra</v>
      </c>
      <c r="K411" s="80"/>
    </row>
    <row r="412" ht="15.75" customHeight="1">
      <c r="A412" s="81">
        <v>476.0</v>
      </c>
      <c r="B412" s="77">
        <v>27.0</v>
      </c>
      <c r="C412" s="77" t="s">
        <v>1192</v>
      </c>
      <c r="D412" s="77">
        <v>2.52610272E8</v>
      </c>
      <c r="E412" s="78" t="s">
        <v>590</v>
      </c>
      <c r="F412" s="77" t="s">
        <v>784</v>
      </c>
      <c r="G412" s="82" t="s">
        <v>69</v>
      </c>
      <c r="H412" s="82" t="str">
        <f>VLOOKUP(G412,MetaData!$A$2:$C$13,3,false)</f>
        <v>Eva Fauziah, S.Pd</v>
      </c>
      <c r="I412" s="82" t="s">
        <v>589</v>
      </c>
      <c r="J412" s="82" t="str">
        <f>VLOOKUP(I412,MetaData!$E$2:$G$40,3,false)</f>
        <v>Lexa (XI)</v>
      </c>
      <c r="K412" s="83"/>
    </row>
    <row r="413" ht="15.75" customHeight="1">
      <c r="A413" s="76">
        <v>477.0</v>
      </c>
      <c r="B413" s="77">
        <v>28.0</v>
      </c>
      <c r="C413" s="77" t="s">
        <v>1193</v>
      </c>
      <c r="D413" s="77">
        <v>2.52610283E8</v>
      </c>
      <c r="E413" s="78" t="s">
        <v>591</v>
      </c>
      <c r="F413" s="77" t="s">
        <v>784</v>
      </c>
      <c r="G413" s="79" t="s">
        <v>69</v>
      </c>
      <c r="H413" s="79" t="str">
        <f>VLOOKUP(G413,MetaData!$A$2:$C$13,3,false)</f>
        <v>Eva Fauziah, S.Pd</v>
      </c>
      <c r="I413" s="79" t="s">
        <v>589</v>
      </c>
      <c r="J413" s="79" t="str">
        <f>VLOOKUP(I413,MetaData!$E$2:$G$40,3,false)</f>
        <v>Lexa (XI)</v>
      </c>
      <c r="K413" s="80"/>
    </row>
    <row r="414" ht="15.75" customHeight="1">
      <c r="A414" s="81">
        <v>478.0</v>
      </c>
      <c r="B414" s="77">
        <v>29.0</v>
      </c>
      <c r="C414" s="77" t="s">
        <v>1194</v>
      </c>
      <c r="D414" s="77">
        <v>2.52610305E8</v>
      </c>
      <c r="E414" s="78" t="s">
        <v>404</v>
      </c>
      <c r="F414" s="77" t="s">
        <v>782</v>
      </c>
      <c r="G414" s="82" t="s">
        <v>69</v>
      </c>
      <c r="H414" s="82" t="str">
        <f>VLOOKUP(G414,MetaData!$A$2:$C$13,3,false)</f>
        <v>Eva Fauziah, S.Pd</v>
      </c>
      <c r="I414" s="82" t="s">
        <v>395</v>
      </c>
      <c r="J414" s="82" t="str">
        <f>VLOOKUP(I414,MetaData!$E$2:$G$40,3,false)</f>
        <v>Irghi (XII)</v>
      </c>
      <c r="K414" s="83"/>
    </row>
    <row r="415" ht="15.75" customHeight="1">
      <c r="A415" s="76">
        <v>479.0</v>
      </c>
      <c r="B415" s="77">
        <v>30.0</v>
      </c>
      <c r="C415" s="77" t="s">
        <v>1195</v>
      </c>
      <c r="D415" s="77">
        <v>2.52610327E8</v>
      </c>
      <c r="E415" s="78" t="s">
        <v>405</v>
      </c>
      <c r="F415" s="77" t="s">
        <v>782</v>
      </c>
      <c r="G415" s="79" t="s">
        <v>69</v>
      </c>
      <c r="H415" s="79" t="str">
        <f>VLOOKUP(G415,MetaData!$A$2:$C$13,3,false)</f>
        <v>Eva Fauziah, S.Pd</v>
      </c>
      <c r="I415" s="79" t="s">
        <v>395</v>
      </c>
      <c r="J415" s="79" t="str">
        <f>VLOOKUP(I415,MetaData!$E$2:$G$40,3,false)</f>
        <v>Irghi (XII)</v>
      </c>
      <c r="K415" s="80"/>
    </row>
    <row r="416" ht="15.75" customHeight="1">
      <c r="A416" s="81">
        <v>480.0</v>
      </c>
      <c r="B416" s="77">
        <v>31.0</v>
      </c>
      <c r="C416" s="77" t="s">
        <v>1196</v>
      </c>
      <c r="D416" s="77">
        <v>2.52610335E8</v>
      </c>
      <c r="E416" s="78" t="s">
        <v>406</v>
      </c>
      <c r="F416" s="77" t="s">
        <v>782</v>
      </c>
      <c r="G416" s="82" t="s">
        <v>69</v>
      </c>
      <c r="H416" s="82" t="str">
        <f>VLOOKUP(G416,MetaData!$A$2:$C$13,3,false)</f>
        <v>Eva Fauziah, S.Pd</v>
      </c>
      <c r="I416" s="82" t="s">
        <v>395</v>
      </c>
      <c r="J416" s="82" t="str">
        <f>VLOOKUP(I416,MetaData!$E$2:$G$40,3,false)</f>
        <v>Irghi (XII)</v>
      </c>
      <c r="K416" s="83"/>
    </row>
    <row r="417" ht="15.75" customHeight="1">
      <c r="A417" s="76">
        <v>481.0</v>
      </c>
      <c r="B417" s="77">
        <v>32.0</v>
      </c>
      <c r="C417" s="77" t="s">
        <v>1197</v>
      </c>
      <c r="D417" s="77">
        <v>2.52610375E8</v>
      </c>
      <c r="E417" s="78" t="s">
        <v>235</v>
      </c>
      <c r="F417" s="77" t="s">
        <v>782</v>
      </c>
      <c r="G417" s="79" t="s">
        <v>69</v>
      </c>
      <c r="H417" s="79" t="str">
        <f>VLOOKUP(G417,MetaData!$A$2:$C$13,3,false)</f>
        <v>Eva Fauziah, S.Pd</v>
      </c>
      <c r="I417" s="79" t="s">
        <v>220</v>
      </c>
      <c r="J417" s="79" t="str">
        <f>VLOOKUP(I417,MetaData!$E$2:$G$40,3,false)</f>
        <v>Rekhsa</v>
      </c>
      <c r="K417" s="80"/>
    </row>
    <row r="418" ht="15.75" customHeight="1">
      <c r="A418" s="81">
        <v>482.0</v>
      </c>
      <c r="B418" s="77">
        <v>33.0</v>
      </c>
      <c r="C418" s="77" t="s">
        <v>1198</v>
      </c>
      <c r="D418" s="77">
        <v>2.52610396E8</v>
      </c>
      <c r="E418" s="78" t="s">
        <v>592</v>
      </c>
      <c r="F418" s="77" t="s">
        <v>784</v>
      </c>
      <c r="G418" s="82" t="s">
        <v>69</v>
      </c>
      <c r="H418" s="82" t="str">
        <f>VLOOKUP(G418,MetaData!$A$2:$C$13,3,false)</f>
        <v>Eva Fauziah, S.Pd</v>
      </c>
      <c r="I418" s="82" t="s">
        <v>589</v>
      </c>
      <c r="J418" s="82" t="str">
        <f>VLOOKUP(I418,MetaData!$E$2:$G$40,3,false)</f>
        <v>Lexa (XI)</v>
      </c>
      <c r="K418" s="83"/>
    </row>
    <row r="419" ht="15.75" customHeight="1">
      <c r="A419" s="76">
        <v>483.0</v>
      </c>
      <c r="B419" s="77">
        <v>34.0</v>
      </c>
      <c r="C419" s="77" t="s">
        <v>1199</v>
      </c>
      <c r="D419" s="77">
        <v>2.52610402E8</v>
      </c>
      <c r="E419" s="78" t="s">
        <v>407</v>
      </c>
      <c r="F419" s="77" t="s">
        <v>782</v>
      </c>
      <c r="G419" s="79" t="s">
        <v>69</v>
      </c>
      <c r="H419" s="79" t="str">
        <f>VLOOKUP(G419,MetaData!$A$2:$C$13,3,false)</f>
        <v>Eva Fauziah, S.Pd</v>
      </c>
      <c r="I419" s="79" t="s">
        <v>395</v>
      </c>
      <c r="J419" s="79" t="str">
        <f>VLOOKUP(I419,MetaData!$E$2:$G$40,3,false)</f>
        <v>Irghi (XII)</v>
      </c>
      <c r="K419" s="80"/>
    </row>
    <row r="420" ht="15.75" customHeight="1">
      <c r="A420" s="81">
        <v>484.0</v>
      </c>
      <c r="B420" s="77">
        <v>35.0</v>
      </c>
      <c r="C420" s="77" t="s">
        <v>1200</v>
      </c>
      <c r="D420" s="77">
        <v>2.52610403E8</v>
      </c>
      <c r="E420" s="78" t="s">
        <v>593</v>
      </c>
      <c r="F420" s="77" t="s">
        <v>784</v>
      </c>
      <c r="G420" s="82" t="s">
        <v>69</v>
      </c>
      <c r="H420" s="82" t="str">
        <f>VLOOKUP(G420,MetaData!$A$2:$C$13,3,false)</f>
        <v>Eva Fauziah, S.Pd</v>
      </c>
      <c r="I420" s="82" t="s">
        <v>589</v>
      </c>
      <c r="J420" s="82" t="str">
        <f>VLOOKUP(I420,MetaData!$E$2:$G$40,3,false)</f>
        <v>Lexa (XI)</v>
      </c>
      <c r="K420" s="83"/>
    </row>
    <row r="421" ht="15.75" customHeight="1">
      <c r="A421" s="76">
        <v>485.0</v>
      </c>
      <c r="B421" s="77">
        <v>37.0</v>
      </c>
      <c r="C421" s="77" t="s">
        <v>1201</v>
      </c>
      <c r="D421" s="77">
        <v>2.52610443E8</v>
      </c>
      <c r="E421" s="78" t="s">
        <v>594</v>
      </c>
      <c r="F421" s="77" t="s">
        <v>784</v>
      </c>
      <c r="G421" s="79" t="s">
        <v>69</v>
      </c>
      <c r="H421" s="79" t="str">
        <f>VLOOKUP(G421,MetaData!$A$2:$C$13,3,false)</f>
        <v>Eva Fauziah, S.Pd</v>
      </c>
      <c r="I421" s="79" t="s">
        <v>589</v>
      </c>
      <c r="J421" s="79" t="str">
        <f>VLOOKUP(I421,MetaData!$E$2:$G$40,3,false)</f>
        <v>Lexa (XI)</v>
      </c>
      <c r="K421" s="80"/>
    </row>
    <row r="422" ht="15.75" customHeight="1">
      <c r="A422" s="81">
        <v>486.0</v>
      </c>
      <c r="B422" s="77">
        <v>38.0</v>
      </c>
      <c r="C422" s="77" t="s">
        <v>1202</v>
      </c>
      <c r="D422" s="77">
        <v>2.52610459E8</v>
      </c>
      <c r="E422" s="78" t="s">
        <v>408</v>
      </c>
      <c r="F422" s="77" t="s">
        <v>782</v>
      </c>
      <c r="G422" s="82" t="s">
        <v>69</v>
      </c>
      <c r="H422" s="82" t="str">
        <f>VLOOKUP(G422,MetaData!$A$2:$C$13,3,false)</f>
        <v>Eva Fauziah, S.Pd</v>
      </c>
      <c r="I422" s="82" t="s">
        <v>395</v>
      </c>
      <c r="J422" s="82" t="str">
        <f>VLOOKUP(I422,MetaData!$E$2:$G$40,3,false)</f>
        <v>Irghi (XII)</v>
      </c>
      <c r="K422" s="83"/>
    </row>
    <row r="423" ht="15.75" customHeight="1">
      <c r="A423" s="76">
        <v>487.0</v>
      </c>
      <c r="B423" s="77">
        <v>39.0</v>
      </c>
      <c r="C423" s="77" t="s">
        <v>1203</v>
      </c>
      <c r="D423" s="77">
        <v>2.52610462E8</v>
      </c>
      <c r="E423" s="78" t="s">
        <v>595</v>
      </c>
      <c r="F423" s="77" t="s">
        <v>784</v>
      </c>
      <c r="G423" s="79" t="s">
        <v>69</v>
      </c>
      <c r="H423" s="79" t="str">
        <f>VLOOKUP(G423,MetaData!$A$2:$C$13,3,false)</f>
        <v>Eva Fauziah, S.Pd</v>
      </c>
      <c r="I423" s="79" t="s">
        <v>589</v>
      </c>
      <c r="J423" s="79" t="str">
        <f>VLOOKUP(I423,MetaData!$E$2:$G$40,3,false)</f>
        <v>Lexa (XI)</v>
      </c>
      <c r="K423" s="80"/>
    </row>
    <row r="424" ht="15.75" customHeight="1">
      <c r="A424" s="81">
        <v>488.0</v>
      </c>
      <c r="B424" s="77">
        <v>40.0</v>
      </c>
      <c r="C424" s="77" t="s">
        <v>1204</v>
      </c>
      <c r="D424" s="77">
        <v>2.52610469E8</v>
      </c>
      <c r="E424" s="78" t="s">
        <v>409</v>
      </c>
      <c r="F424" s="77" t="s">
        <v>782</v>
      </c>
      <c r="G424" s="82" t="s">
        <v>69</v>
      </c>
      <c r="H424" s="82" t="str">
        <f>VLOOKUP(G424,MetaData!$A$2:$C$13,3,false)</f>
        <v>Eva Fauziah, S.Pd</v>
      </c>
      <c r="I424" s="82" t="s">
        <v>395</v>
      </c>
      <c r="J424" s="82" t="str">
        <f>VLOOKUP(I424,MetaData!$E$2:$G$40,3,false)</f>
        <v>Irghi (XII)</v>
      </c>
      <c r="K424" s="83"/>
    </row>
    <row r="425" ht="15.75" customHeight="1">
      <c r="A425" s="76">
        <v>489.0</v>
      </c>
      <c r="B425" s="77">
        <v>41.0</v>
      </c>
      <c r="C425" s="77" t="s">
        <v>1205</v>
      </c>
      <c r="D425" s="77">
        <v>2.52610493E8</v>
      </c>
      <c r="E425" s="78" t="s">
        <v>596</v>
      </c>
      <c r="F425" s="77" t="s">
        <v>784</v>
      </c>
      <c r="G425" s="79" t="s">
        <v>69</v>
      </c>
      <c r="H425" s="79" t="str">
        <f>VLOOKUP(G425,MetaData!$A$2:$C$13,3,false)</f>
        <v>Eva Fauziah, S.Pd</v>
      </c>
      <c r="I425" s="79" t="s">
        <v>589</v>
      </c>
      <c r="J425" s="79" t="str">
        <f>VLOOKUP(I425,MetaData!$E$2:$G$40,3,false)</f>
        <v>Lexa (XI)</v>
      </c>
      <c r="K425" s="80"/>
    </row>
    <row r="426" ht="15.75" customHeight="1">
      <c r="A426" s="81">
        <v>490.0</v>
      </c>
      <c r="B426" s="77">
        <v>42.0</v>
      </c>
      <c r="C426" s="77" t="s">
        <v>1206</v>
      </c>
      <c r="D426" s="77">
        <v>2.52610509E8</v>
      </c>
      <c r="E426" s="78" t="s">
        <v>597</v>
      </c>
      <c r="F426" s="77" t="s">
        <v>784</v>
      </c>
      <c r="G426" s="82" t="s">
        <v>69</v>
      </c>
      <c r="H426" s="82" t="str">
        <f>VLOOKUP(G426,MetaData!$A$2:$C$13,3,false)</f>
        <v>Eva Fauziah, S.Pd</v>
      </c>
      <c r="I426" s="82" t="s">
        <v>589</v>
      </c>
      <c r="J426" s="82" t="str">
        <f>VLOOKUP(I426,MetaData!$E$2:$G$40,3,false)</f>
        <v>Lexa (XI)</v>
      </c>
      <c r="K426" s="83"/>
    </row>
    <row r="427" ht="15.75" customHeight="1">
      <c r="A427" s="76">
        <v>491.0</v>
      </c>
      <c r="B427" s="77">
        <v>43.0</v>
      </c>
      <c r="C427" s="77" t="s">
        <v>1207</v>
      </c>
      <c r="D427" s="77">
        <v>2.5261051E8</v>
      </c>
      <c r="E427" s="78" t="s">
        <v>598</v>
      </c>
      <c r="F427" s="77" t="s">
        <v>784</v>
      </c>
      <c r="G427" s="79" t="s">
        <v>69</v>
      </c>
      <c r="H427" s="79" t="str">
        <f>VLOOKUP(G427,MetaData!$A$2:$C$13,3,false)</f>
        <v>Eva Fauziah, S.Pd</v>
      </c>
      <c r="I427" s="79" t="s">
        <v>589</v>
      </c>
      <c r="J427" s="79" t="str">
        <f>VLOOKUP(I427,MetaData!$E$2:$G$40,3,false)</f>
        <v>Lexa (XI)</v>
      </c>
      <c r="K427" s="80"/>
    </row>
    <row r="428" ht="15.75" customHeight="1">
      <c r="A428" s="81">
        <v>492.0</v>
      </c>
      <c r="B428" s="77">
        <v>44.0</v>
      </c>
      <c r="C428" s="77" t="s">
        <v>1208</v>
      </c>
      <c r="D428" s="77">
        <v>2.52610521E8</v>
      </c>
      <c r="E428" s="78" t="s">
        <v>599</v>
      </c>
      <c r="F428" s="77" t="s">
        <v>784</v>
      </c>
      <c r="G428" s="82" t="s">
        <v>69</v>
      </c>
      <c r="H428" s="82" t="str">
        <f>VLOOKUP(G428,MetaData!$A$2:$C$13,3,false)</f>
        <v>Eva Fauziah, S.Pd</v>
      </c>
      <c r="I428" s="82" t="s">
        <v>589</v>
      </c>
      <c r="J428" s="82" t="str">
        <f>VLOOKUP(I428,MetaData!$E$2:$G$40,3,false)</f>
        <v>Lexa (XI)</v>
      </c>
      <c r="K428" s="83"/>
    </row>
    <row r="429" ht="15.75" customHeight="1">
      <c r="A429" s="76">
        <v>493.0</v>
      </c>
      <c r="B429" s="77">
        <v>45.0</v>
      </c>
      <c r="C429" s="77" t="s">
        <v>1209</v>
      </c>
      <c r="D429" s="77">
        <v>2.52610526E8</v>
      </c>
      <c r="E429" s="78" t="s">
        <v>600</v>
      </c>
      <c r="F429" s="77" t="s">
        <v>784</v>
      </c>
      <c r="G429" s="79" t="s">
        <v>69</v>
      </c>
      <c r="H429" s="79" t="str">
        <f>VLOOKUP(G429,MetaData!$A$2:$C$13,3,false)</f>
        <v>Eva Fauziah, S.Pd</v>
      </c>
      <c r="I429" s="79" t="s">
        <v>589</v>
      </c>
      <c r="J429" s="79" t="str">
        <f>VLOOKUP(I429,MetaData!$E$2:$G$40,3,false)</f>
        <v>Lexa (XI)</v>
      </c>
      <c r="K429" s="80"/>
    </row>
    <row r="430" ht="15.75" customHeight="1">
      <c r="A430" s="85">
        <v>501.0</v>
      </c>
      <c r="B430" s="77">
        <v>1.0</v>
      </c>
      <c r="C430" s="77" t="s">
        <v>1210</v>
      </c>
      <c r="D430" s="77">
        <v>2.5261001E8</v>
      </c>
      <c r="E430" s="78" t="s">
        <v>737</v>
      </c>
      <c r="F430" s="77" t="s">
        <v>784</v>
      </c>
      <c r="G430" s="82" t="s">
        <v>74</v>
      </c>
      <c r="H430" s="82" t="str">
        <f>VLOOKUP(G430,MetaData!$A$2:$C$13,3,false)</f>
        <v>Rahmalia Dewi, S.Si</v>
      </c>
      <c r="I430" s="82" t="s">
        <v>736</v>
      </c>
      <c r="J430" s="82" t="str">
        <f>VLOOKUP(I430,MetaData!$E$2:$G$40,3,false)</f>
        <v>Kusniawati</v>
      </c>
      <c r="K430" s="83"/>
    </row>
    <row r="431" ht="15.75" customHeight="1">
      <c r="A431" s="84">
        <v>502.0</v>
      </c>
      <c r="B431" s="77">
        <v>2.0</v>
      </c>
      <c r="C431" s="77" t="s">
        <v>1211</v>
      </c>
      <c r="D431" s="77">
        <v>2.52610031E8</v>
      </c>
      <c r="E431" s="78" t="s">
        <v>738</v>
      </c>
      <c r="F431" s="77" t="s">
        <v>784</v>
      </c>
      <c r="G431" s="79" t="s">
        <v>74</v>
      </c>
      <c r="H431" s="79" t="str">
        <f>VLOOKUP(G431,MetaData!$A$2:$C$13,3,false)</f>
        <v>Rahmalia Dewi, S.Si</v>
      </c>
      <c r="I431" s="79" t="s">
        <v>736</v>
      </c>
      <c r="J431" s="79" t="str">
        <f>VLOOKUP(I431,MetaData!$E$2:$G$40,3,false)</f>
        <v>Kusniawati</v>
      </c>
      <c r="K431" s="80"/>
    </row>
    <row r="432" ht="15.75" customHeight="1">
      <c r="A432" s="85">
        <v>503.0</v>
      </c>
      <c r="B432" s="77">
        <v>3.0</v>
      </c>
      <c r="C432" s="77" t="s">
        <v>1212</v>
      </c>
      <c r="D432" s="77">
        <v>2.52610033E8</v>
      </c>
      <c r="E432" s="78" t="s">
        <v>378</v>
      </c>
      <c r="F432" s="77" t="s">
        <v>782</v>
      </c>
      <c r="G432" s="82" t="s">
        <v>74</v>
      </c>
      <c r="H432" s="82" t="str">
        <f>VLOOKUP(G432,MetaData!$A$2:$C$13,3,false)</f>
        <v>Rahmalia Dewi, S.Si</v>
      </c>
      <c r="I432" s="82" t="s">
        <v>377</v>
      </c>
      <c r="J432" s="82" t="str">
        <f>VLOOKUP(I432,MetaData!$E$2:$G$40,3,false)</f>
        <v>Khadafi (XII)</v>
      </c>
      <c r="K432" s="83"/>
    </row>
    <row r="433" ht="15.75" customHeight="1">
      <c r="A433" s="84">
        <v>504.0</v>
      </c>
      <c r="B433" s="77">
        <v>4.0</v>
      </c>
      <c r="C433" s="77" t="s">
        <v>1213</v>
      </c>
      <c r="D433" s="77">
        <v>2.52610047E8</v>
      </c>
      <c r="E433" s="78" t="s">
        <v>739</v>
      </c>
      <c r="F433" s="77" t="s">
        <v>784</v>
      </c>
      <c r="G433" s="79" t="s">
        <v>74</v>
      </c>
      <c r="H433" s="79" t="str">
        <f>VLOOKUP(G433,MetaData!$A$2:$C$13,3,false)</f>
        <v>Rahmalia Dewi, S.Si</v>
      </c>
      <c r="I433" s="79" t="s">
        <v>736</v>
      </c>
      <c r="J433" s="79" t="str">
        <f>VLOOKUP(I433,MetaData!$E$2:$G$40,3,false)</f>
        <v>Kusniawati</v>
      </c>
      <c r="K433" s="80"/>
    </row>
    <row r="434" ht="15.75" customHeight="1">
      <c r="A434" s="85">
        <v>505.0</v>
      </c>
      <c r="B434" s="77">
        <v>5.0</v>
      </c>
      <c r="C434" s="77" t="s">
        <v>1214</v>
      </c>
      <c r="D434" s="77">
        <v>2.52610066E8</v>
      </c>
      <c r="E434" s="78" t="s">
        <v>740</v>
      </c>
      <c r="F434" s="77" t="s">
        <v>784</v>
      </c>
      <c r="G434" s="82" t="s">
        <v>74</v>
      </c>
      <c r="H434" s="82" t="str">
        <f>VLOOKUP(G434,MetaData!$A$2:$C$13,3,false)</f>
        <v>Rahmalia Dewi, S.Si</v>
      </c>
      <c r="I434" s="82" t="s">
        <v>736</v>
      </c>
      <c r="J434" s="82" t="str">
        <f>VLOOKUP(I434,MetaData!$E$2:$G$40,3,false)</f>
        <v>Kusniawati</v>
      </c>
      <c r="K434" s="83"/>
    </row>
    <row r="435" ht="15.75" customHeight="1">
      <c r="A435" s="84">
        <v>506.0</v>
      </c>
      <c r="B435" s="77">
        <v>6.0</v>
      </c>
      <c r="C435" s="77" t="s">
        <v>1215</v>
      </c>
      <c r="D435" s="77">
        <v>2.52610085E8</v>
      </c>
      <c r="E435" s="78" t="s">
        <v>741</v>
      </c>
      <c r="F435" s="77" t="s">
        <v>784</v>
      </c>
      <c r="G435" s="79" t="s">
        <v>74</v>
      </c>
      <c r="H435" s="79" t="str">
        <f>VLOOKUP(G435,MetaData!$A$2:$C$13,3,false)</f>
        <v>Rahmalia Dewi, S.Si</v>
      </c>
      <c r="I435" s="79" t="s">
        <v>736</v>
      </c>
      <c r="J435" s="79" t="str">
        <f>VLOOKUP(I435,MetaData!$E$2:$G$40,3,false)</f>
        <v>Kusniawati</v>
      </c>
      <c r="K435" s="80"/>
    </row>
    <row r="436" ht="15.75" customHeight="1">
      <c r="A436" s="85">
        <v>507.0</v>
      </c>
      <c r="B436" s="77">
        <v>7.0</v>
      </c>
      <c r="C436" s="77" t="s">
        <v>1216</v>
      </c>
      <c r="D436" s="77">
        <v>2.52610098E8</v>
      </c>
      <c r="E436" s="78" t="s">
        <v>446</v>
      </c>
      <c r="F436" s="77" t="s">
        <v>784</v>
      </c>
      <c r="G436" s="82" t="s">
        <v>74</v>
      </c>
      <c r="H436" s="82" t="str">
        <f>VLOOKUP(G436,MetaData!$A$2:$C$13,3,false)</f>
        <v>Rahmalia Dewi, S.Si</v>
      </c>
      <c r="I436" s="82" t="s">
        <v>443</v>
      </c>
      <c r="J436" s="82" t="str">
        <f>VLOOKUP(I436,MetaData!$E$2:$G$40,3,false)</f>
        <v>Ayun</v>
      </c>
      <c r="K436" s="83"/>
    </row>
    <row r="437" ht="15.75" customHeight="1">
      <c r="A437" s="84">
        <v>508.0</v>
      </c>
      <c r="B437" s="77">
        <v>8.0</v>
      </c>
      <c r="C437" s="77" t="s">
        <v>1217</v>
      </c>
      <c r="D437" s="77">
        <v>2.52610105E8</v>
      </c>
      <c r="E437" s="78" t="s">
        <v>379</v>
      </c>
      <c r="F437" s="77" t="s">
        <v>782</v>
      </c>
      <c r="G437" s="79" t="s">
        <v>74</v>
      </c>
      <c r="H437" s="79" t="str">
        <f>VLOOKUP(G437,MetaData!$A$2:$C$13,3,false)</f>
        <v>Rahmalia Dewi, S.Si</v>
      </c>
      <c r="I437" s="79" t="s">
        <v>377</v>
      </c>
      <c r="J437" s="79" t="str">
        <f>VLOOKUP(I437,MetaData!$E$2:$G$40,3,false)</f>
        <v>Khadafi (XII)</v>
      </c>
      <c r="K437" s="80"/>
    </row>
    <row r="438" ht="15.75" customHeight="1">
      <c r="A438" s="85">
        <v>509.0</v>
      </c>
      <c r="B438" s="77">
        <v>9.0</v>
      </c>
      <c r="C438" s="77" t="s">
        <v>1218</v>
      </c>
      <c r="D438" s="77">
        <v>2.5261011E8</v>
      </c>
      <c r="E438" s="78" t="s">
        <v>380</v>
      </c>
      <c r="F438" s="77" t="s">
        <v>782</v>
      </c>
      <c r="G438" s="82" t="s">
        <v>74</v>
      </c>
      <c r="H438" s="82" t="str">
        <f>VLOOKUP(G438,MetaData!$A$2:$C$13,3,false)</f>
        <v>Rahmalia Dewi, S.Si</v>
      </c>
      <c r="I438" s="82" t="s">
        <v>377</v>
      </c>
      <c r="J438" s="82" t="str">
        <f>VLOOKUP(I438,MetaData!$E$2:$G$40,3,false)</f>
        <v>Khadafi (XII)</v>
      </c>
      <c r="K438" s="83"/>
    </row>
    <row r="439" ht="15.75" customHeight="1">
      <c r="A439" s="84">
        <v>510.0</v>
      </c>
      <c r="B439" s="77">
        <v>10.0</v>
      </c>
      <c r="C439" s="77" t="s">
        <v>1219</v>
      </c>
      <c r="D439" s="77">
        <v>2.52610111E8</v>
      </c>
      <c r="E439" s="78" t="s">
        <v>381</v>
      </c>
      <c r="F439" s="77" t="s">
        <v>782</v>
      </c>
      <c r="G439" s="79" t="s">
        <v>74</v>
      </c>
      <c r="H439" s="79" t="str">
        <f>VLOOKUP(G439,MetaData!$A$2:$C$13,3,false)</f>
        <v>Rahmalia Dewi, S.Si</v>
      </c>
      <c r="I439" s="79" t="s">
        <v>377</v>
      </c>
      <c r="J439" s="79" t="str">
        <f>VLOOKUP(I439,MetaData!$E$2:$G$40,3,false)</f>
        <v>Khadafi (XII)</v>
      </c>
      <c r="K439" s="80"/>
    </row>
    <row r="440" ht="15.75" customHeight="1">
      <c r="A440" s="85">
        <v>511.0</v>
      </c>
      <c r="B440" s="77">
        <v>11.0</v>
      </c>
      <c r="C440" s="77" t="s">
        <v>1220</v>
      </c>
      <c r="D440" s="77">
        <v>2.52610112E8</v>
      </c>
      <c r="E440" s="78" t="s">
        <v>742</v>
      </c>
      <c r="F440" s="77" t="s">
        <v>784</v>
      </c>
      <c r="G440" s="82" t="s">
        <v>74</v>
      </c>
      <c r="H440" s="82" t="str">
        <f>VLOOKUP(G440,MetaData!$A$2:$C$13,3,false)</f>
        <v>Rahmalia Dewi, S.Si</v>
      </c>
      <c r="I440" s="82" t="s">
        <v>736</v>
      </c>
      <c r="J440" s="82" t="str">
        <f>VLOOKUP(I440,MetaData!$E$2:$G$40,3,false)</f>
        <v>Kusniawati</v>
      </c>
      <c r="K440" s="83"/>
    </row>
    <row r="441" ht="15.75" customHeight="1">
      <c r="A441" s="84">
        <v>512.0</v>
      </c>
      <c r="B441" s="77">
        <v>12.0</v>
      </c>
      <c r="C441" s="77" t="s">
        <v>1221</v>
      </c>
      <c r="D441" s="77">
        <v>2.52610114E8</v>
      </c>
      <c r="E441" s="78" t="s">
        <v>743</v>
      </c>
      <c r="F441" s="77" t="s">
        <v>784</v>
      </c>
      <c r="G441" s="79" t="s">
        <v>74</v>
      </c>
      <c r="H441" s="79" t="str">
        <f>VLOOKUP(G441,MetaData!$A$2:$C$13,3,false)</f>
        <v>Rahmalia Dewi, S.Si</v>
      </c>
      <c r="I441" s="79" t="s">
        <v>736</v>
      </c>
      <c r="J441" s="79" t="str">
        <f>VLOOKUP(I441,MetaData!$E$2:$G$40,3,false)</f>
        <v>Kusniawati</v>
      </c>
      <c r="K441" s="80"/>
    </row>
    <row r="442" ht="15.75" customHeight="1">
      <c r="A442" s="85">
        <v>513.0</v>
      </c>
      <c r="B442" s="77">
        <v>13.0</v>
      </c>
      <c r="C442" s="77" t="s">
        <v>1222</v>
      </c>
      <c r="D442" s="77">
        <v>2.52610116E8</v>
      </c>
      <c r="E442" s="78" t="s">
        <v>744</v>
      </c>
      <c r="F442" s="77" t="s">
        <v>784</v>
      </c>
      <c r="G442" s="82" t="s">
        <v>74</v>
      </c>
      <c r="H442" s="82" t="str">
        <f>VLOOKUP(G442,MetaData!$A$2:$C$13,3,false)</f>
        <v>Rahmalia Dewi, S.Si</v>
      </c>
      <c r="I442" s="82" t="s">
        <v>736</v>
      </c>
      <c r="J442" s="82" t="str">
        <f>VLOOKUP(I442,MetaData!$E$2:$G$40,3,false)</f>
        <v>Kusniawati</v>
      </c>
      <c r="K442" s="83"/>
    </row>
    <row r="443" ht="15.75" customHeight="1">
      <c r="A443" s="84">
        <v>514.0</v>
      </c>
      <c r="B443" s="77">
        <v>14.0</v>
      </c>
      <c r="C443" s="77" t="s">
        <v>1223</v>
      </c>
      <c r="D443" s="77">
        <v>2.52610131E8</v>
      </c>
      <c r="E443" s="78" t="s">
        <v>745</v>
      </c>
      <c r="F443" s="77" t="s">
        <v>784</v>
      </c>
      <c r="G443" s="79" t="s">
        <v>74</v>
      </c>
      <c r="H443" s="79" t="str">
        <f>VLOOKUP(G443,MetaData!$A$2:$C$13,3,false)</f>
        <v>Rahmalia Dewi, S.Si</v>
      </c>
      <c r="I443" s="79" t="s">
        <v>736</v>
      </c>
      <c r="J443" s="79" t="str">
        <f>VLOOKUP(I443,MetaData!$E$2:$G$40,3,false)</f>
        <v>Kusniawati</v>
      </c>
      <c r="K443" s="80"/>
    </row>
    <row r="444" ht="15.75" customHeight="1">
      <c r="A444" s="85">
        <v>515.0</v>
      </c>
      <c r="B444" s="77">
        <v>16.0</v>
      </c>
      <c r="C444" s="77" t="s">
        <v>1224</v>
      </c>
      <c r="D444" s="77">
        <v>2.52610184E8</v>
      </c>
      <c r="E444" s="78" t="s">
        <v>382</v>
      </c>
      <c r="F444" s="77" t="s">
        <v>782</v>
      </c>
      <c r="G444" s="82" t="s">
        <v>74</v>
      </c>
      <c r="H444" s="82" t="str">
        <f>VLOOKUP(G444,MetaData!$A$2:$C$13,3,false)</f>
        <v>Rahmalia Dewi, S.Si</v>
      </c>
      <c r="I444" s="82" t="s">
        <v>377</v>
      </c>
      <c r="J444" s="82" t="str">
        <f>VLOOKUP(I444,MetaData!$E$2:$G$40,3,false)</f>
        <v>Khadafi (XII)</v>
      </c>
      <c r="K444" s="83"/>
    </row>
    <row r="445" ht="15.75" customHeight="1">
      <c r="A445" s="84">
        <v>516.0</v>
      </c>
      <c r="B445" s="77">
        <v>17.0</v>
      </c>
      <c r="C445" s="77" t="s">
        <v>1225</v>
      </c>
      <c r="D445" s="77">
        <v>2.52610196E8</v>
      </c>
      <c r="E445" s="78" t="s">
        <v>746</v>
      </c>
      <c r="F445" s="77" t="s">
        <v>784</v>
      </c>
      <c r="G445" s="79" t="s">
        <v>74</v>
      </c>
      <c r="H445" s="79" t="str">
        <f>VLOOKUP(G445,MetaData!$A$2:$C$13,3,false)</f>
        <v>Rahmalia Dewi, S.Si</v>
      </c>
      <c r="I445" s="79" t="s">
        <v>736</v>
      </c>
      <c r="J445" s="79" t="str">
        <f>VLOOKUP(I445,MetaData!$E$2:$G$40,3,false)</f>
        <v>Kusniawati</v>
      </c>
      <c r="K445" s="80"/>
    </row>
    <row r="446" ht="15.75" customHeight="1">
      <c r="A446" s="85">
        <v>517.0</v>
      </c>
      <c r="B446" s="77">
        <v>18.0</v>
      </c>
      <c r="C446" s="77" t="s">
        <v>1226</v>
      </c>
      <c r="D446" s="77">
        <v>2.52610217E8</v>
      </c>
      <c r="E446" s="78" t="s">
        <v>747</v>
      </c>
      <c r="F446" s="77" t="s">
        <v>784</v>
      </c>
      <c r="G446" s="82" t="s">
        <v>74</v>
      </c>
      <c r="H446" s="82" t="str">
        <f>VLOOKUP(G446,MetaData!$A$2:$C$13,3,false)</f>
        <v>Rahmalia Dewi, S.Si</v>
      </c>
      <c r="I446" s="82" t="s">
        <v>736</v>
      </c>
      <c r="J446" s="82" t="str">
        <f>VLOOKUP(I446,MetaData!$E$2:$G$40,3,false)</f>
        <v>Kusniawati</v>
      </c>
      <c r="K446" s="83"/>
    </row>
    <row r="447" ht="15.75" customHeight="1">
      <c r="A447" s="84">
        <v>518.0</v>
      </c>
      <c r="B447" s="77">
        <v>20.0</v>
      </c>
      <c r="C447" s="77" t="s">
        <v>1227</v>
      </c>
      <c r="D447" s="77">
        <v>2.52610241E8</v>
      </c>
      <c r="E447" s="78" t="s">
        <v>748</v>
      </c>
      <c r="F447" s="77" t="s">
        <v>784</v>
      </c>
      <c r="G447" s="79" t="s">
        <v>74</v>
      </c>
      <c r="H447" s="79" t="str">
        <f>VLOOKUP(G447,MetaData!$A$2:$C$13,3,false)</f>
        <v>Rahmalia Dewi, S.Si</v>
      </c>
      <c r="I447" s="79" t="s">
        <v>736</v>
      </c>
      <c r="J447" s="79" t="str">
        <f>VLOOKUP(I447,MetaData!$E$2:$G$40,3,false)</f>
        <v>Kusniawati</v>
      </c>
      <c r="K447" s="80"/>
    </row>
    <row r="448" ht="15.75" customHeight="1">
      <c r="A448" s="85">
        <v>519.0</v>
      </c>
      <c r="B448" s="77">
        <v>21.0</v>
      </c>
      <c r="C448" s="77" t="s">
        <v>1228</v>
      </c>
      <c r="D448" s="77">
        <v>2.52610253E8</v>
      </c>
      <c r="E448" s="78" t="s">
        <v>578</v>
      </c>
      <c r="F448" s="77" t="s">
        <v>784</v>
      </c>
      <c r="G448" s="82" t="s">
        <v>74</v>
      </c>
      <c r="H448" s="82" t="str">
        <f>VLOOKUP(G448,MetaData!$A$2:$C$13,3,false)</f>
        <v>Rahmalia Dewi, S.Si</v>
      </c>
      <c r="I448" s="82" t="s">
        <v>577</v>
      </c>
      <c r="J448" s="82" t="str">
        <f>VLOOKUP(I448,MetaData!$E$2:$G$40,3,false)</f>
        <v>Annisa Alya (XII)</v>
      </c>
      <c r="K448" s="83"/>
    </row>
    <row r="449" ht="15.75" customHeight="1">
      <c r="A449" s="84">
        <v>520.0</v>
      </c>
      <c r="B449" s="77">
        <v>22.0</v>
      </c>
      <c r="C449" s="77" t="s">
        <v>1229</v>
      </c>
      <c r="D449" s="77">
        <v>2.52610289E8</v>
      </c>
      <c r="E449" s="78" t="s">
        <v>383</v>
      </c>
      <c r="F449" s="77" t="s">
        <v>782</v>
      </c>
      <c r="G449" s="79" t="s">
        <v>74</v>
      </c>
      <c r="H449" s="79" t="str">
        <f>VLOOKUP(G449,MetaData!$A$2:$C$13,3,false)</f>
        <v>Rahmalia Dewi, S.Si</v>
      </c>
      <c r="I449" s="79" t="s">
        <v>377</v>
      </c>
      <c r="J449" s="79" t="str">
        <f>VLOOKUP(I449,MetaData!$E$2:$G$40,3,false)</f>
        <v>Khadafi (XII)</v>
      </c>
      <c r="K449" s="80"/>
    </row>
    <row r="450" ht="15.75" customHeight="1">
      <c r="A450" s="85">
        <v>521.0</v>
      </c>
      <c r="B450" s="77">
        <v>23.0</v>
      </c>
      <c r="C450" s="77" t="s">
        <v>1230</v>
      </c>
      <c r="D450" s="77">
        <v>2.52610292E8</v>
      </c>
      <c r="E450" s="78" t="s">
        <v>579</v>
      </c>
      <c r="F450" s="77" t="s">
        <v>784</v>
      </c>
      <c r="G450" s="82" t="s">
        <v>74</v>
      </c>
      <c r="H450" s="82" t="str">
        <f>VLOOKUP(G450,MetaData!$A$2:$C$13,3,false)</f>
        <v>Rahmalia Dewi, S.Si</v>
      </c>
      <c r="I450" s="82" t="s">
        <v>577</v>
      </c>
      <c r="J450" s="82" t="str">
        <f>VLOOKUP(I450,MetaData!$E$2:$G$40,3,false)</f>
        <v>Annisa Alya (XII)</v>
      </c>
      <c r="K450" s="83"/>
    </row>
    <row r="451" ht="15.75" customHeight="1">
      <c r="A451" s="84">
        <v>522.0</v>
      </c>
      <c r="B451" s="77">
        <v>24.0</v>
      </c>
      <c r="C451" s="77" t="s">
        <v>1231</v>
      </c>
      <c r="D451" s="77">
        <v>2.52610295E8</v>
      </c>
      <c r="E451" s="78" t="s">
        <v>580</v>
      </c>
      <c r="F451" s="77" t="s">
        <v>784</v>
      </c>
      <c r="G451" s="79" t="s">
        <v>74</v>
      </c>
      <c r="H451" s="79" t="str">
        <f>VLOOKUP(G451,MetaData!$A$2:$C$13,3,false)</f>
        <v>Rahmalia Dewi, S.Si</v>
      </c>
      <c r="I451" s="79" t="s">
        <v>577</v>
      </c>
      <c r="J451" s="79" t="str">
        <f>VLOOKUP(I451,MetaData!$E$2:$G$40,3,false)</f>
        <v>Annisa Alya (XII)</v>
      </c>
      <c r="K451" s="80"/>
    </row>
    <row r="452" ht="15.75" customHeight="1">
      <c r="A452" s="85">
        <v>523.0</v>
      </c>
      <c r="B452" s="77">
        <v>25.0</v>
      </c>
      <c r="C452" s="77" t="s">
        <v>1232</v>
      </c>
      <c r="D452" s="77">
        <v>2.5261031E8</v>
      </c>
      <c r="E452" s="78" t="s">
        <v>384</v>
      </c>
      <c r="F452" s="77" t="s">
        <v>782</v>
      </c>
      <c r="G452" s="82" t="s">
        <v>74</v>
      </c>
      <c r="H452" s="82" t="str">
        <f>VLOOKUP(G452,MetaData!$A$2:$C$13,3,false)</f>
        <v>Rahmalia Dewi, S.Si</v>
      </c>
      <c r="I452" s="82" t="s">
        <v>377</v>
      </c>
      <c r="J452" s="82" t="str">
        <f>VLOOKUP(I452,MetaData!$E$2:$G$40,3,false)</f>
        <v>Khadafi (XII)</v>
      </c>
      <c r="K452" s="83"/>
    </row>
    <row r="453" ht="15.75" customHeight="1">
      <c r="A453" s="84">
        <v>524.0</v>
      </c>
      <c r="B453" s="77">
        <v>26.0</v>
      </c>
      <c r="C453" s="77" t="s">
        <v>1233</v>
      </c>
      <c r="D453" s="77">
        <v>2.52610315E8</v>
      </c>
      <c r="E453" s="78" t="s">
        <v>385</v>
      </c>
      <c r="F453" s="77" t="s">
        <v>782</v>
      </c>
      <c r="G453" s="79" t="s">
        <v>74</v>
      </c>
      <c r="H453" s="79" t="str">
        <f>VLOOKUP(G453,MetaData!$A$2:$C$13,3,false)</f>
        <v>Rahmalia Dewi, S.Si</v>
      </c>
      <c r="I453" s="79" t="s">
        <v>377</v>
      </c>
      <c r="J453" s="79" t="str">
        <f>VLOOKUP(I453,MetaData!$E$2:$G$40,3,false)</f>
        <v>Khadafi (XII)</v>
      </c>
      <c r="K453" s="80"/>
    </row>
    <row r="454" ht="15.75" customHeight="1">
      <c r="A454" s="85">
        <v>525.0</v>
      </c>
      <c r="B454" s="77">
        <v>27.0</v>
      </c>
      <c r="C454" s="77" t="s">
        <v>1234</v>
      </c>
      <c r="D454" s="77">
        <v>2.52610328E8</v>
      </c>
      <c r="E454" s="78" t="s">
        <v>386</v>
      </c>
      <c r="F454" s="77" t="s">
        <v>782</v>
      </c>
      <c r="G454" s="82" t="s">
        <v>74</v>
      </c>
      <c r="H454" s="82" t="str">
        <f>VLOOKUP(G454,MetaData!$A$2:$C$13,3,false)</f>
        <v>Rahmalia Dewi, S.Si</v>
      </c>
      <c r="I454" s="82" t="s">
        <v>377</v>
      </c>
      <c r="J454" s="82" t="str">
        <f>VLOOKUP(I454,MetaData!$E$2:$G$40,3,false)</f>
        <v>Khadafi (XII)</v>
      </c>
      <c r="K454" s="83"/>
    </row>
    <row r="455" ht="15.75" customHeight="1">
      <c r="A455" s="84">
        <v>526.0</v>
      </c>
      <c r="B455" s="77">
        <v>28.0</v>
      </c>
      <c r="C455" s="77" t="s">
        <v>1235</v>
      </c>
      <c r="D455" s="77">
        <v>2.52610346E8</v>
      </c>
      <c r="E455" s="78" t="s">
        <v>387</v>
      </c>
      <c r="F455" s="77" t="s">
        <v>782</v>
      </c>
      <c r="G455" s="79" t="s">
        <v>74</v>
      </c>
      <c r="H455" s="79" t="str">
        <f>VLOOKUP(G455,MetaData!$A$2:$C$13,3,false)</f>
        <v>Rahmalia Dewi, S.Si</v>
      </c>
      <c r="I455" s="79" t="s">
        <v>377</v>
      </c>
      <c r="J455" s="79" t="str">
        <f>VLOOKUP(I455,MetaData!$E$2:$G$40,3,false)</f>
        <v>Khadafi (XII)</v>
      </c>
      <c r="K455" s="80"/>
    </row>
    <row r="456" ht="15.75" customHeight="1">
      <c r="A456" s="85">
        <v>527.0</v>
      </c>
      <c r="B456" s="77">
        <v>29.0</v>
      </c>
      <c r="C456" s="77" t="s">
        <v>1236</v>
      </c>
      <c r="D456" s="77">
        <v>2.52610348E8</v>
      </c>
      <c r="E456" s="78" t="s">
        <v>388</v>
      </c>
      <c r="F456" s="77" t="s">
        <v>782</v>
      </c>
      <c r="G456" s="82" t="s">
        <v>74</v>
      </c>
      <c r="H456" s="82" t="str">
        <f>VLOOKUP(G456,MetaData!$A$2:$C$13,3,false)</f>
        <v>Rahmalia Dewi, S.Si</v>
      </c>
      <c r="I456" s="82" t="s">
        <v>377</v>
      </c>
      <c r="J456" s="82" t="str">
        <f>VLOOKUP(I456,MetaData!$E$2:$G$40,3,false)</f>
        <v>Khadafi (XII)</v>
      </c>
      <c r="K456" s="83"/>
    </row>
    <row r="457" ht="15.75" customHeight="1">
      <c r="A457" s="84">
        <v>528.0</v>
      </c>
      <c r="B457" s="77">
        <v>30.0</v>
      </c>
      <c r="C457" s="77" t="s">
        <v>1237</v>
      </c>
      <c r="D457" s="77">
        <v>2.52610356E8</v>
      </c>
      <c r="E457" s="78" t="s">
        <v>389</v>
      </c>
      <c r="F457" s="77" t="s">
        <v>782</v>
      </c>
      <c r="G457" s="79" t="s">
        <v>74</v>
      </c>
      <c r="H457" s="79" t="str">
        <f>VLOOKUP(G457,MetaData!$A$2:$C$13,3,false)</f>
        <v>Rahmalia Dewi, S.Si</v>
      </c>
      <c r="I457" s="79" t="s">
        <v>377</v>
      </c>
      <c r="J457" s="79" t="str">
        <f>VLOOKUP(I457,MetaData!$E$2:$G$40,3,false)</f>
        <v>Khadafi (XII)</v>
      </c>
      <c r="K457" s="80"/>
    </row>
    <row r="458" ht="15.75" customHeight="1">
      <c r="A458" s="85">
        <v>529.0</v>
      </c>
      <c r="B458" s="77">
        <v>31.0</v>
      </c>
      <c r="C458" s="77" t="s">
        <v>1238</v>
      </c>
      <c r="D458" s="77">
        <v>2.52610367E8</v>
      </c>
      <c r="E458" s="78" t="s">
        <v>390</v>
      </c>
      <c r="F458" s="77" t="s">
        <v>782</v>
      </c>
      <c r="G458" s="82" t="s">
        <v>74</v>
      </c>
      <c r="H458" s="82" t="str">
        <f>VLOOKUP(G458,MetaData!$A$2:$C$13,3,false)</f>
        <v>Rahmalia Dewi, S.Si</v>
      </c>
      <c r="I458" s="82" t="s">
        <v>377</v>
      </c>
      <c r="J458" s="82" t="str">
        <f>VLOOKUP(I458,MetaData!$E$2:$G$40,3,false)</f>
        <v>Khadafi (XII)</v>
      </c>
      <c r="K458" s="83"/>
    </row>
    <row r="459" ht="15.75" customHeight="1">
      <c r="A459" s="84">
        <v>530.0</v>
      </c>
      <c r="B459" s="77">
        <v>32.0</v>
      </c>
      <c r="C459" s="77" t="s">
        <v>1239</v>
      </c>
      <c r="D459" s="77">
        <v>2.5261038E8</v>
      </c>
      <c r="E459" s="78" t="s">
        <v>391</v>
      </c>
      <c r="F459" s="77" t="s">
        <v>782</v>
      </c>
      <c r="G459" s="79" t="s">
        <v>74</v>
      </c>
      <c r="H459" s="79" t="str">
        <f>VLOOKUP(G459,MetaData!$A$2:$C$13,3,false)</f>
        <v>Rahmalia Dewi, S.Si</v>
      </c>
      <c r="I459" s="79" t="s">
        <v>377</v>
      </c>
      <c r="J459" s="79" t="str">
        <f>VLOOKUP(I459,MetaData!$E$2:$G$40,3,false)</f>
        <v>Khadafi (XII)</v>
      </c>
      <c r="K459" s="80"/>
    </row>
    <row r="460" ht="15.75" customHeight="1">
      <c r="A460" s="85">
        <v>531.0</v>
      </c>
      <c r="B460" s="77">
        <v>33.0</v>
      </c>
      <c r="C460" s="77" t="s">
        <v>1240</v>
      </c>
      <c r="D460" s="77">
        <v>2.52610385E8</v>
      </c>
      <c r="E460" s="78" t="s">
        <v>581</v>
      </c>
      <c r="F460" s="77" t="s">
        <v>784</v>
      </c>
      <c r="G460" s="82" t="s">
        <v>74</v>
      </c>
      <c r="H460" s="82" t="str">
        <f>VLOOKUP(G460,MetaData!$A$2:$C$13,3,false)</f>
        <v>Rahmalia Dewi, S.Si</v>
      </c>
      <c r="I460" s="82" t="s">
        <v>577</v>
      </c>
      <c r="J460" s="82" t="str">
        <f>VLOOKUP(I460,MetaData!$E$2:$G$40,3,false)</f>
        <v>Annisa Alya (XII)</v>
      </c>
      <c r="K460" s="83"/>
    </row>
    <row r="461" ht="15.75" customHeight="1">
      <c r="A461" s="84">
        <v>532.0</v>
      </c>
      <c r="B461" s="77">
        <v>34.0</v>
      </c>
      <c r="C461" s="77" t="s">
        <v>1241</v>
      </c>
      <c r="D461" s="77">
        <v>2.52610388E8</v>
      </c>
      <c r="E461" s="78" t="s">
        <v>436</v>
      </c>
      <c r="F461" s="77" t="s">
        <v>784</v>
      </c>
      <c r="G461" s="79" t="s">
        <v>74</v>
      </c>
      <c r="H461" s="79" t="str">
        <f>VLOOKUP(G461,MetaData!$A$2:$C$13,3,false)</f>
        <v>Rahmalia Dewi, S.Si</v>
      </c>
      <c r="I461" s="79" t="s">
        <v>428</v>
      </c>
      <c r="J461" s="79" t="str">
        <f>VLOOKUP(I461,MetaData!$E$2:$G$40,3,false)</f>
        <v>Iga</v>
      </c>
      <c r="K461" s="80"/>
    </row>
    <row r="462" ht="15.75" customHeight="1">
      <c r="A462" s="85">
        <v>533.0</v>
      </c>
      <c r="B462" s="77">
        <v>35.0</v>
      </c>
      <c r="C462" s="77" t="s">
        <v>1242</v>
      </c>
      <c r="D462" s="77">
        <v>2.52610417E8</v>
      </c>
      <c r="E462" s="78" t="s">
        <v>438</v>
      </c>
      <c r="F462" s="77" t="s">
        <v>784</v>
      </c>
      <c r="G462" s="82" t="s">
        <v>74</v>
      </c>
      <c r="H462" s="82" t="str">
        <f>VLOOKUP(G462,MetaData!$A$2:$C$13,3,false)</f>
        <v>Rahmalia Dewi, S.Si</v>
      </c>
      <c r="I462" s="82" t="s">
        <v>428</v>
      </c>
      <c r="J462" s="82" t="str">
        <f>VLOOKUP(I462,MetaData!$E$2:$G$40,3,false)</f>
        <v>Iga</v>
      </c>
      <c r="K462" s="83"/>
    </row>
    <row r="463" ht="15.75" customHeight="1">
      <c r="A463" s="84">
        <v>534.0</v>
      </c>
      <c r="B463" s="77">
        <v>36.0</v>
      </c>
      <c r="C463" s="77" t="s">
        <v>1243</v>
      </c>
      <c r="D463" s="77">
        <v>2.52610458E8</v>
      </c>
      <c r="E463" s="78" t="s">
        <v>392</v>
      </c>
      <c r="F463" s="77" t="s">
        <v>782</v>
      </c>
      <c r="G463" s="79" t="s">
        <v>74</v>
      </c>
      <c r="H463" s="79" t="str">
        <f>VLOOKUP(G463,MetaData!$A$2:$C$13,3,false)</f>
        <v>Rahmalia Dewi, S.Si</v>
      </c>
      <c r="I463" s="79" t="s">
        <v>377</v>
      </c>
      <c r="J463" s="79" t="str">
        <f>VLOOKUP(I463,MetaData!$E$2:$G$40,3,false)</f>
        <v>Khadafi (XII)</v>
      </c>
      <c r="K463" s="80"/>
    </row>
    <row r="464" ht="15.75" customHeight="1">
      <c r="A464" s="85">
        <v>535.0</v>
      </c>
      <c r="B464" s="77">
        <v>37.0</v>
      </c>
      <c r="C464" s="77" t="s">
        <v>1244</v>
      </c>
      <c r="D464" s="77">
        <v>2.52610482E8</v>
      </c>
      <c r="E464" s="78" t="s">
        <v>393</v>
      </c>
      <c r="F464" s="77" t="s">
        <v>782</v>
      </c>
      <c r="G464" s="82" t="s">
        <v>74</v>
      </c>
      <c r="H464" s="82" t="str">
        <f>VLOOKUP(G464,MetaData!$A$2:$C$13,3,false)</f>
        <v>Rahmalia Dewi, S.Si</v>
      </c>
      <c r="I464" s="82" t="s">
        <v>377</v>
      </c>
      <c r="J464" s="82" t="str">
        <f>VLOOKUP(I464,MetaData!$E$2:$G$40,3,false)</f>
        <v>Khadafi (XII)</v>
      </c>
      <c r="K464" s="83"/>
    </row>
    <row r="465" ht="15.75" customHeight="1">
      <c r="A465" s="84">
        <v>536.0</v>
      </c>
      <c r="B465" s="77">
        <v>38.0</v>
      </c>
      <c r="C465" s="77" t="s">
        <v>1245</v>
      </c>
      <c r="D465" s="77">
        <v>2.52610499E8</v>
      </c>
      <c r="E465" s="78" t="s">
        <v>582</v>
      </c>
      <c r="F465" s="77" t="s">
        <v>784</v>
      </c>
      <c r="G465" s="79" t="s">
        <v>74</v>
      </c>
      <c r="H465" s="79" t="str">
        <f>VLOOKUP(G465,MetaData!$A$2:$C$13,3,false)</f>
        <v>Rahmalia Dewi, S.Si</v>
      </c>
      <c r="I465" s="79" t="s">
        <v>577</v>
      </c>
      <c r="J465" s="79" t="str">
        <f>VLOOKUP(I465,MetaData!$E$2:$G$40,3,false)</f>
        <v>Annisa Alya (XII)</v>
      </c>
      <c r="K465" s="80"/>
    </row>
    <row r="466" ht="15.75" customHeight="1">
      <c r="A466" s="85">
        <v>537.0</v>
      </c>
      <c r="B466" s="77">
        <v>39.0</v>
      </c>
      <c r="C466" s="77" t="s">
        <v>1246</v>
      </c>
      <c r="D466" s="77">
        <v>2.52610503E8</v>
      </c>
      <c r="E466" s="78" t="s">
        <v>583</v>
      </c>
      <c r="F466" s="77" t="s">
        <v>784</v>
      </c>
      <c r="G466" s="82" t="s">
        <v>74</v>
      </c>
      <c r="H466" s="82" t="str">
        <f>VLOOKUP(G466,MetaData!$A$2:$C$13,3,false)</f>
        <v>Rahmalia Dewi, S.Si</v>
      </c>
      <c r="I466" s="82" t="s">
        <v>577</v>
      </c>
      <c r="J466" s="82" t="str">
        <f>VLOOKUP(I466,MetaData!$E$2:$G$40,3,false)</f>
        <v>Annisa Alya (XII)</v>
      </c>
      <c r="K466" s="83"/>
    </row>
    <row r="467" ht="15.75" customHeight="1">
      <c r="A467" s="84">
        <v>538.0</v>
      </c>
      <c r="B467" s="77">
        <v>40.0</v>
      </c>
      <c r="C467" s="77" t="s">
        <v>1247</v>
      </c>
      <c r="D467" s="77">
        <v>2.52610506E8</v>
      </c>
      <c r="E467" s="78" t="s">
        <v>584</v>
      </c>
      <c r="F467" s="77" t="s">
        <v>784</v>
      </c>
      <c r="G467" s="79" t="s">
        <v>74</v>
      </c>
      <c r="H467" s="79" t="str">
        <f>VLOOKUP(G467,MetaData!$A$2:$C$13,3,false)</f>
        <v>Rahmalia Dewi, S.Si</v>
      </c>
      <c r="I467" s="79" t="s">
        <v>577</v>
      </c>
      <c r="J467" s="79" t="str">
        <f>VLOOKUP(I467,MetaData!$E$2:$G$40,3,false)</f>
        <v>Annisa Alya (XII)</v>
      </c>
      <c r="K467" s="80"/>
    </row>
    <row r="468" ht="15.75" customHeight="1">
      <c r="A468" s="85">
        <v>539.0</v>
      </c>
      <c r="B468" s="77">
        <v>41.0</v>
      </c>
      <c r="C468" s="77" t="s">
        <v>1248</v>
      </c>
      <c r="D468" s="77">
        <v>2.52610518E8</v>
      </c>
      <c r="E468" s="78" t="s">
        <v>585</v>
      </c>
      <c r="F468" s="77" t="s">
        <v>784</v>
      </c>
      <c r="G468" s="82" t="s">
        <v>74</v>
      </c>
      <c r="H468" s="82" t="str">
        <f>VLOOKUP(G468,MetaData!$A$2:$C$13,3,false)</f>
        <v>Rahmalia Dewi, S.Si</v>
      </c>
      <c r="I468" s="82" t="s">
        <v>577</v>
      </c>
      <c r="J468" s="82" t="str">
        <f>VLOOKUP(I468,MetaData!$E$2:$G$40,3,false)</f>
        <v>Annisa Alya (XII)</v>
      </c>
      <c r="K468" s="83"/>
    </row>
    <row r="469" ht="15.75" customHeight="1">
      <c r="A469" s="84">
        <v>540.0</v>
      </c>
      <c r="B469" s="77">
        <v>42.0</v>
      </c>
      <c r="C469" s="77" t="s">
        <v>1249</v>
      </c>
      <c r="D469" s="77">
        <v>2.52610524E8</v>
      </c>
      <c r="E469" s="78" t="s">
        <v>586</v>
      </c>
      <c r="F469" s="77" t="s">
        <v>784</v>
      </c>
      <c r="G469" s="79" t="s">
        <v>74</v>
      </c>
      <c r="H469" s="79" t="str">
        <f>VLOOKUP(G469,MetaData!$A$2:$C$13,3,false)</f>
        <v>Rahmalia Dewi, S.Si</v>
      </c>
      <c r="I469" s="79" t="s">
        <v>577</v>
      </c>
      <c r="J469" s="79" t="str">
        <f>VLOOKUP(I469,MetaData!$E$2:$G$40,3,false)</f>
        <v>Annisa Alya (XII)</v>
      </c>
      <c r="K469" s="80"/>
    </row>
    <row r="470" ht="15.75" customHeight="1">
      <c r="A470" s="85">
        <v>541.0</v>
      </c>
      <c r="B470" s="77">
        <v>43.0</v>
      </c>
      <c r="C470" s="77" t="s">
        <v>1250</v>
      </c>
      <c r="D470" s="77">
        <v>2.52610545E8</v>
      </c>
      <c r="E470" s="78" t="s">
        <v>442</v>
      </c>
      <c r="F470" s="77" t="s">
        <v>784</v>
      </c>
      <c r="G470" s="82" t="s">
        <v>74</v>
      </c>
      <c r="H470" s="82" t="str">
        <f>VLOOKUP(G470,MetaData!$A$2:$C$13,3,false)</f>
        <v>Rahmalia Dewi, S.Si</v>
      </c>
      <c r="I470" s="82" t="s">
        <v>428</v>
      </c>
      <c r="J470" s="82" t="str">
        <f>VLOOKUP(I470,MetaData!$E$2:$G$40,3,false)</f>
        <v>Iga</v>
      </c>
      <c r="K470" s="83"/>
    </row>
    <row r="471" ht="15.75" customHeight="1">
      <c r="A471" s="84">
        <v>542.0</v>
      </c>
      <c r="B471" s="77">
        <v>44.0</v>
      </c>
      <c r="C471" s="77" t="s">
        <v>1251</v>
      </c>
      <c r="D471" s="77">
        <v>2.52610551E8</v>
      </c>
      <c r="E471" s="78" t="s">
        <v>587</v>
      </c>
      <c r="F471" s="77" t="s">
        <v>784</v>
      </c>
      <c r="G471" s="79" t="s">
        <v>74</v>
      </c>
      <c r="H471" s="79" t="str">
        <f>VLOOKUP(G471,MetaData!$A$2:$C$13,3,false)</f>
        <v>Rahmalia Dewi, S.Si</v>
      </c>
      <c r="I471" s="79" t="s">
        <v>577</v>
      </c>
      <c r="J471" s="79" t="str">
        <f>VLOOKUP(I471,MetaData!$E$2:$G$40,3,false)</f>
        <v>Annisa Alya (XII)</v>
      </c>
      <c r="K471" s="80"/>
    </row>
    <row r="472" ht="15.75" customHeight="1">
      <c r="A472" s="85">
        <v>543.0</v>
      </c>
      <c r="B472" s="77">
        <v>47.0</v>
      </c>
      <c r="C472" s="77" t="s">
        <v>1252</v>
      </c>
      <c r="D472" s="77">
        <v>2.52610561E8</v>
      </c>
      <c r="E472" s="78" t="s">
        <v>394</v>
      </c>
      <c r="F472" s="77" t="s">
        <v>782</v>
      </c>
      <c r="G472" s="82" t="s">
        <v>74</v>
      </c>
      <c r="H472" s="82" t="str">
        <f>VLOOKUP(G472,MetaData!$A$2:$C$13,3,false)</f>
        <v>Rahmalia Dewi, S.Si</v>
      </c>
      <c r="I472" s="82" t="s">
        <v>377</v>
      </c>
      <c r="J472" s="82" t="str">
        <f>VLOOKUP(I472,MetaData!$E$2:$G$40,3,false)</f>
        <v>Khadafi (XII)</v>
      </c>
      <c r="K472" s="83"/>
    </row>
    <row r="473" ht="15.75" customHeight="1">
      <c r="A473" s="84">
        <v>544.0</v>
      </c>
      <c r="B473" s="77">
        <v>48.0</v>
      </c>
      <c r="C473" s="77" t="s">
        <v>1253</v>
      </c>
      <c r="D473" s="77">
        <v>2.52610565E8</v>
      </c>
      <c r="E473" s="78" t="s">
        <v>588</v>
      </c>
      <c r="F473" s="77" t="s">
        <v>784</v>
      </c>
      <c r="G473" s="79" t="s">
        <v>74</v>
      </c>
      <c r="H473" s="79" t="str">
        <f>VLOOKUP(G473,MetaData!$A$2:$C$13,3,false)</f>
        <v>Rahmalia Dewi, S.Si</v>
      </c>
      <c r="I473" s="79" t="s">
        <v>577</v>
      </c>
      <c r="J473" s="79" t="str">
        <f>VLOOKUP(I473,MetaData!$E$2:$G$40,3,false)</f>
        <v>Annisa Alya (XII)</v>
      </c>
      <c r="K473" s="80"/>
    </row>
    <row r="474" ht="15.75" customHeight="1">
      <c r="A474" s="85">
        <v>551.0</v>
      </c>
      <c r="B474" s="77">
        <v>1.0</v>
      </c>
      <c r="C474" s="77" t="s">
        <v>1254</v>
      </c>
      <c r="D474" s="77">
        <v>2.52610015E8</v>
      </c>
      <c r="E474" s="78" t="s">
        <v>361</v>
      </c>
      <c r="F474" s="77" t="s">
        <v>782</v>
      </c>
      <c r="G474" s="82" t="s">
        <v>79</v>
      </c>
      <c r="H474" s="82" t="str">
        <f>VLOOKUP(G474,MetaData!$A$2:$C$13,3,false)</f>
        <v>Sari Rahayu, S.Pd, M.Pd</v>
      </c>
      <c r="I474" s="82" t="s">
        <v>360</v>
      </c>
      <c r="J474" s="82" t="str">
        <f>VLOOKUP(I474,MetaData!$E$2:$G$40,3,false)</f>
        <v>Almeer (XII)</v>
      </c>
      <c r="K474" s="83"/>
    </row>
    <row r="475" ht="15.75" customHeight="1">
      <c r="A475" s="84">
        <v>552.0</v>
      </c>
      <c r="B475" s="77">
        <v>2.0</v>
      </c>
      <c r="C475" s="77" t="s">
        <v>1255</v>
      </c>
      <c r="D475" s="77">
        <v>2.52610021E8</v>
      </c>
      <c r="E475" s="78" t="s">
        <v>724</v>
      </c>
      <c r="F475" s="77" t="s">
        <v>784</v>
      </c>
      <c r="G475" s="79" t="s">
        <v>79</v>
      </c>
      <c r="H475" s="79" t="str">
        <f>VLOOKUP(G475,MetaData!$A$2:$C$13,3,false)</f>
        <v>Sari Rahayu, S.Pd, M.Pd</v>
      </c>
      <c r="I475" s="79" t="s">
        <v>723</v>
      </c>
      <c r="J475" s="79" t="str">
        <f>VLOOKUP(I475,MetaData!$E$2:$G$40,3,false)</f>
        <v>Ninda (XII)</v>
      </c>
      <c r="K475" s="80"/>
    </row>
    <row r="476" ht="15.75" customHeight="1">
      <c r="A476" s="85">
        <v>553.0</v>
      </c>
      <c r="B476" s="77">
        <v>3.0</v>
      </c>
      <c r="C476" s="77" t="s">
        <v>1256</v>
      </c>
      <c r="D476" s="77">
        <v>2.52610029E8</v>
      </c>
      <c r="E476" s="78" t="s">
        <v>725</v>
      </c>
      <c r="F476" s="77" t="s">
        <v>784</v>
      </c>
      <c r="G476" s="82" t="s">
        <v>79</v>
      </c>
      <c r="H476" s="82" t="str">
        <f>VLOOKUP(G476,MetaData!$A$2:$C$13,3,false)</f>
        <v>Sari Rahayu, S.Pd, M.Pd</v>
      </c>
      <c r="I476" s="82" t="s">
        <v>723</v>
      </c>
      <c r="J476" s="82" t="str">
        <f>VLOOKUP(I476,MetaData!$E$2:$G$40,3,false)</f>
        <v>Ninda (XII)</v>
      </c>
      <c r="K476" s="83"/>
    </row>
    <row r="477" ht="15.75" customHeight="1">
      <c r="A477" s="84">
        <v>554.0</v>
      </c>
      <c r="B477" s="77">
        <v>4.0</v>
      </c>
      <c r="C477" s="77" t="s">
        <v>1257</v>
      </c>
      <c r="D477" s="77">
        <v>2.5261003E8</v>
      </c>
      <c r="E477" s="78" t="s">
        <v>726</v>
      </c>
      <c r="F477" s="77" t="s">
        <v>784</v>
      </c>
      <c r="G477" s="79" t="s">
        <v>79</v>
      </c>
      <c r="H477" s="79" t="str">
        <f>VLOOKUP(G477,MetaData!$A$2:$C$13,3,false)</f>
        <v>Sari Rahayu, S.Pd, M.Pd</v>
      </c>
      <c r="I477" s="79" t="s">
        <v>723</v>
      </c>
      <c r="J477" s="79" t="str">
        <f>VLOOKUP(I477,MetaData!$E$2:$G$40,3,false)</f>
        <v>Ninda (XII)</v>
      </c>
      <c r="K477" s="80"/>
    </row>
    <row r="478" ht="15.75" customHeight="1">
      <c r="A478" s="85">
        <v>555.0</v>
      </c>
      <c r="B478" s="77">
        <v>5.0</v>
      </c>
      <c r="C478" s="77" t="s">
        <v>1258</v>
      </c>
      <c r="D478" s="77">
        <v>2.52610046E8</v>
      </c>
      <c r="E478" s="78" t="s">
        <v>727</v>
      </c>
      <c r="F478" s="77" t="s">
        <v>784</v>
      </c>
      <c r="G478" s="82" t="s">
        <v>79</v>
      </c>
      <c r="H478" s="82" t="str">
        <f>VLOOKUP(G478,MetaData!$A$2:$C$13,3,false)</f>
        <v>Sari Rahayu, S.Pd, M.Pd</v>
      </c>
      <c r="I478" s="82" t="s">
        <v>723</v>
      </c>
      <c r="J478" s="82" t="str">
        <f>VLOOKUP(I478,MetaData!$E$2:$G$40,3,false)</f>
        <v>Ninda (XII)</v>
      </c>
      <c r="K478" s="83"/>
    </row>
    <row r="479" ht="15.75" customHeight="1">
      <c r="A479" s="84">
        <v>556.0</v>
      </c>
      <c r="B479" s="77">
        <v>6.0</v>
      </c>
      <c r="C479" s="77" t="s">
        <v>1259</v>
      </c>
      <c r="D479" s="77">
        <v>2.52610068E8</v>
      </c>
      <c r="E479" s="78" t="s">
        <v>728</v>
      </c>
      <c r="F479" s="77" t="s">
        <v>784</v>
      </c>
      <c r="G479" s="79" t="s">
        <v>79</v>
      </c>
      <c r="H479" s="79" t="str">
        <f>VLOOKUP(G479,MetaData!$A$2:$C$13,3,false)</f>
        <v>Sari Rahayu, S.Pd, M.Pd</v>
      </c>
      <c r="I479" s="79" t="s">
        <v>723</v>
      </c>
      <c r="J479" s="79" t="str">
        <f>VLOOKUP(I479,MetaData!$E$2:$G$40,3,false)</f>
        <v>Ninda (XII)</v>
      </c>
      <c r="K479" s="80"/>
    </row>
    <row r="480" ht="15.75" customHeight="1">
      <c r="A480" s="85">
        <v>557.0</v>
      </c>
      <c r="B480" s="77">
        <v>7.0</v>
      </c>
      <c r="C480" s="77" t="s">
        <v>1260</v>
      </c>
      <c r="D480" s="77">
        <v>2.5261008E8</v>
      </c>
      <c r="E480" s="78" t="s">
        <v>362</v>
      </c>
      <c r="F480" s="77" t="s">
        <v>782</v>
      </c>
      <c r="G480" s="82" t="s">
        <v>79</v>
      </c>
      <c r="H480" s="82" t="str">
        <f>VLOOKUP(G480,MetaData!$A$2:$C$13,3,false)</f>
        <v>Sari Rahayu, S.Pd, M.Pd</v>
      </c>
      <c r="I480" s="82" t="s">
        <v>360</v>
      </c>
      <c r="J480" s="82" t="str">
        <f>VLOOKUP(I480,MetaData!$E$2:$G$40,3,false)</f>
        <v>Almeer (XII)</v>
      </c>
      <c r="K480" s="83"/>
    </row>
    <row r="481" ht="15.75" customHeight="1">
      <c r="A481" s="84">
        <v>558.0</v>
      </c>
      <c r="B481" s="77">
        <v>8.0</v>
      </c>
      <c r="C481" s="77" t="s">
        <v>1261</v>
      </c>
      <c r="D481" s="77">
        <v>2.52610081E8</v>
      </c>
      <c r="E481" s="78" t="s">
        <v>729</v>
      </c>
      <c r="F481" s="77" t="s">
        <v>784</v>
      </c>
      <c r="G481" s="79" t="s">
        <v>79</v>
      </c>
      <c r="H481" s="79" t="str">
        <f>VLOOKUP(G481,MetaData!$A$2:$C$13,3,false)</f>
        <v>Sari Rahayu, S.Pd, M.Pd</v>
      </c>
      <c r="I481" s="79" t="s">
        <v>723</v>
      </c>
      <c r="J481" s="79" t="str">
        <f>VLOOKUP(I481,MetaData!$E$2:$G$40,3,false)</f>
        <v>Ninda (XII)</v>
      </c>
      <c r="K481" s="80"/>
    </row>
    <row r="482" ht="15.75" customHeight="1">
      <c r="A482" s="85">
        <v>559.0</v>
      </c>
      <c r="B482" s="77">
        <v>10.0</v>
      </c>
      <c r="C482" s="77" t="s">
        <v>1262</v>
      </c>
      <c r="D482" s="77">
        <v>2.52610106E8</v>
      </c>
      <c r="E482" s="78" t="s">
        <v>447</v>
      </c>
      <c r="F482" s="77" t="s">
        <v>784</v>
      </c>
      <c r="G482" s="82" t="s">
        <v>79</v>
      </c>
      <c r="H482" s="82" t="str">
        <f>VLOOKUP(G482,MetaData!$A$2:$C$13,3,false)</f>
        <v>Sari Rahayu, S.Pd, M.Pd</v>
      </c>
      <c r="I482" s="82" t="s">
        <v>443</v>
      </c>
      <c r="J482" s="82" t="str">
        <f>VLOOKUP(I482,MetaData!$E$2:$G$40,3,false)</f>
        <v>Ayun</v>
      </c>
      <c r="K482" s="83"/>
    </row>
    <row r="483" ht="15.75" customHeight="1">
      <c r="A483" s="84">
        <v>560.0</v>
      </c>
      <c r="B483" s="77">
        <v>11.0</v>
      </c>
      <c r="C483" s="77" t="s">
        <v>1263</v>
      </c>
      <c r="D483" s="77">
        <v>2.52610107E8</v>
      </c>
      <c r="E483" s="78" t="s">
        <v>730</v>
      </c>
      <c r="F483" s="77" t="s">
        <v>784</v>
      </c>
      <c r="G483" s="79" t="s">
        <v>79</v>
      </c>
      <c r="H483" s="79" t="str">
        <f>VLOOKUP(G483,MetaData!$A$2:$C$13,3,false)</f>
        <v>Sari Rahayu, S.Pd, M.Pd</v>
      </c>
      <c r="I483" s="79" t="s">
        <v>723</v>
      </c>
      <c r="J483" s="79" t="str">
        <f>VLOOKUP(I483,MetaData!$E$2:$G$40,3,false)</f>
        <v>Ninda (XII)</v>
      </c>
      <c r="K483" s="80"/>
    </row>
    <row r="484" ht="15.75" customHeight="1">
      <c r="A484" s="85">
        <v>561.0</v>
      </c>
      <c r="B484" s="77">
        <v>12.0</v>
      </c>
      <c r="C484" s="77" t="s">
        <v>1264</v>
      </c>
      <c r="D484" s="77">
        <v>2.52610127E8</v>
      </c>
      <c r="E484" s="78" t="s">
        <v>363</v>
      </c>
      <c r="F484" s="77" t="s">
        <v>782</v>
      </c>
      <c r="G484" s="82" t="s">
        <v>79</v>
      </c>
      <c r="H484" s="82" t="str">
        <f>VLOOKUP(G484,MetaData!$A$2:$C$13,3,false)</f>
        <v>Sari Rahayu, S.Pd, M.Pd</v>
      </c>
      <c r="I484" s="82" t="s">
        <v>360</v>
      </c>
      <c r="J484" s="82" t="str">
        <f>VLOOKUP(I484,MetaData!$E$2:$G$40,3,false)</f>
        <v>Almeer (XII)</v>
      </c>
      <c r="K484" s="83"/>
    </row>
    <row r="485" ht="15.75" customHeight="1">
      <c r="A485" s="84">
        <v>562.0</v>
      </c>
      <c r="B485" s="77">
        <v>13.0</v>
      </c>
      <c r="C485" s="77" t="s">
        <v>1265</v>
      </c>
      <c r="D485" s="77">
        <v>2.52610143E8</v>
      </c>
      <c r="E485" s="78" t="s">
        <v>364</v>
      </c>
      <c r="F485" s="77" t="s">
        <v>782</v>
      </c>
      <c r="G485" s="79" t="s">
        <v>79</v>
      </c>
      <c r="H485" s="79" t="str">
        <f>VLOOKUP(G485,MetaData!$A$2:$C$13,3,false)</f>
        <v>Sari Rahayu, S.Pd, M.Pd</v>
      </c>
      <c r="I485" s="79" t="s">
        <v>360</v>
      </c>
      <c r="J485" s="79" t="str">
        <f>VLOOKUP(I485,MetaData!$E$2:$G$40,3,false)</f>
        <v>Almeer (XII)</v>
      </c>
      <c r="K485" s="80"/>
    </row>
    <row r="486" ht="15.75" customHeight="1">
      <c r="A486" s="85">
        <v>563.0</v>
      </c>
      <c r="B486" s="77">
        <v>14.0</v>
      </c>
      <c r="C486" s="77" t="s">
        <v>1266</v>
      </c>
      <c r="D486" s="77">
        <v>2.52610147E8</v>
      </c>
      <c r="E486" s="78" t="s">
        <v>365</v>
      </c>
      <c r="F486" s="77" t="s">
        <v>782</v>
      </c>
      <c r="G486" s="82" t="s">
        <v>79</v>
      </c>
      <c r="H486" s="82" t="str">
        <f>VLOOKUP(G486,MetaData!$A$2:$C$13,3,false)</f>
        <v>Sari Rahayu, S.Pd, M.Pd</v>
      </c>
      <c r="I486" s="82" t="s">
        <v>360</v>
      </c>
      <c r="J486" s="82" t="str">
        <f>VLOOKUP(I486,MetaData!$E$2:$G$40,3,false)</f>
        <v>Almeer (XII)</v>
      </c>
      <c r="K486" s="83"/>
    </row>
    <row r="487" ht="15.75" customHeight="1">
      <c r="A487" s="84">
        <v>564.0</v>
      </c>
      <c r="B487" s="77">
        <v>15.0</v>
      </c>
      <c r="C487" s="77" t="s">
        <v>1267</v>
      </c>
      <c r="D487" s="77">
        <v>2.52610149E8</v>
      </c>
      <c r="E487" s="78" t="s">
        <v>731</v>
      </c>
      <c r="F487" s="77" t="s">
        <v>784</v>
      </c>
      <c r="G487" s="79" t="s">
        <v>79</v>
      </c>
      <c r="H487" s="79" t="str">
        <f>VLOOKUP(G487,MetaData!$A$2:$C$13,3,false)</f>
        <v>Sari Rahayu, S.Pd, M.Pd</v>
      </c>
      <c r="I487" s="79" t="s">
        <v>723</v>
      </c>
      <c r="J487" s="79" t="str">
        <f>VLOOKUP(I487,MetaData!$E$2:$G$40,3,false)</f>
        <v>Ninda (XII)</v>
      </c>
      <c r="K487" s="80"/>
    </row>
    <row r="488" ht="15.75" customHeight="1">
      <c r="A488" s="85">
        <v>565.0</v>
      </c>
      <c r="B488" s="77">
        <v>16.0</v>
      </c>
      <c r="C488" s="77" t="s">
        <v>1268</v>
      </c>
      <c r="D488" s="77">
        <v>2.52610152E8</v>
      </c>
      <c r="E488" s="78" t="s">
        <v>732</v>
      </c>
      <c r="F488" s="77" t="s">
        <v>784</v>
      </c>
      <c r="G488" s="82" t="s">
        <v>79</v>
      </c>
      <c r="H488" s="82" t="str">
        <f>VLOOKUP(G488,MetaData!$A$2:$C$13,3,false)</f>
        <v>Sari Rahayu, S.Pd, M.Pd</v>
      </c>
      <c r="I488" s="82" t="s">
        <v>723</v>
      </c>
      <c r="J488" s="82" t="str">
        <f>VLOOKUP(I488,MetaData!$E$2:$G$40,3,false)</f>
        <v>Ninda (XII)</v>
      </c>
      <c r="K488" s="83"/>
    </row>
    <row r="489" ht="15.75" customHeight="1">
      <c r="A489" s="84">
        <v>566.0</v>
      </c>
      <c r="B489" s="77">
        <v>17.0</v>
      </c>
      <c r="C489" s="77" t="s">
        <v>1269</v>
      </c>
      <c r="D489" s="77">
        <v>2.52610208E8</v>
      </c>
      <c r="E489" s="78" t="s">
        <v>733</v>
      </c>
      <c r="F489" s="77" t="s">
        <v>784</v>
      </c>
      <c r="G489" s="79" t="s">
        <v>79</v>
      </c>
      <c r="H489" s="79" t="str">
        <f>VLOOKUP(G489,MetaData!$A$2:$C$13,3,false)</f>
        <v>Sari Rahayu, S.Pd, M.Pd</v>
      </c>
      <c r="I489" s="79" t="s">
        <v>723</v>
      </c>
      <c r="J489" s="79" t="str">
        <f>VLOOKUP(I489,MetaData!$E$2:$G$40,3,false)</f>
        <v>Ninda (XII)</v>
      </c>
      <c r="K489" s="80"/>
    </row>
    <row r="490" ht="15.75" customHeight="1">
      <c r="A490" s="85">
        <v>567.0</v>
      </c>
      <c r="B490" s="77">
        <v>18.0</v>
      </c>
      <c r="C490" s="77" t="s">
        <v>1270</v>
      </c>
      <c r="D490" s="77">
        <v>2.52610218E8</v>
      </c>
      <c r="E490" s="78" t="s">
        <v>366</v>
      </c>
      <c r="F490" s="77" t="s">
        <v>782</v>
      </c>
      <c r="G490" s="82" t="s">
        <v>79</v>
      </c>
      <c r="H490" s="82" t="str">
        <f>VLOOKUP(G490,MetaData!$A$2:$C$13,3,false)</f>
        <v>Sari Rahayu, S.Pd, M.Pd</v>
      </c>
      <c r="I490" s="82" t="s">
        <v>360</v>
      </c>
      <c r="J490" s="82" t="str">
        <f>VLOOKUP(I490,MetaData!$E$2:$G$40,3,false)</f>
        <v>Almeer (XII)</v>
      </c>
      <c r="K490" s="83"/>
    </row>
    <row r="491" ht="15.75" customHeight="1">
      <c r="A491" s="84">
        <v>568.0</v>
      </c>
      <c r="B491" s="77">
        <v>19.0</v>
      </c>
      <c r="C491" s="77" t="s">
        <v>1271</v>
      </c>
      <c r="D491" s="77">
        <v>2.52610267E8</v>
      </c>
      <c r="E491" s="78" t="s">
        <v>734</v>
      </c>
      <c r="F491" s="77" t="s">
        <v>784</v>
      </c>
      <c r="G491" s="79" t="s">
        <v>79</v>
      </c>
      <c r="H491" s="79" t="str">
        <f>VLOOKUP(G491,MetaData!$A$2:$C$13,3,false)</f>
        <v>Sari Rahayu, S.Pd, M.Pd</v>
      </c>
      <c r="I491" s="79" t="s">
        <v>723</v>
      </c>
      <c r="J491" s="79" t="str">
        <f>VLOOKUP(I491,MetaData!$E$2:$G$40,3,false)</f>
        <v>Ninda (XII)</v>
      </c>
      <c r="K491" s="80"/>
    </row>
    <row r="492" ht="15.75" customHeight="1">
      <c r="A492" s="85">
        <v>569.0</v>
      </c>
      <c r="B492" s="77">
        <v>20.0</v>
      </c>
      <c r="C492" s="77" t="s">
        <v>1272</v>
      </c>
      <c r="D492" s="77">
        <v>2.52610269E8</v>
      </c>
      <c r="E492" s="78" t="s">
        <v>367</v>
      </c>
      <c r="F492" s="77" t="s">
        <v>782</v>
      </c>
      <c r="G492" s="82" t="s">
        <v>79</v>
      </c>
      <c r="H492" s="82" t="str">
        <f>VLOOKUP(G492,MetaData!$A$2:$C$13,3,false)</f>
        <v>Sari Rahayu, S.Pd, M.Pd</v>
      </c>
      <c r="I492" s="82" t="s">
        <v>360</v>
      </c>
      <c r="J492" s="82" t="str">
        <f>VLOOKUP(I492,MetaData!$E$2:$G$40,3,false)</f>
        <v>Almeer (XII)</v>
      </c>
      <c r="K492" s="83"/>
    </row>
    <row r="493" ht="15.75" customHeight="1">
      <c r="A493" s="84">
        <v>570.0</v>
      </c>
      <c r="B493" s="77">
        <v>21.0</v>
      </c>
      <c r="C493" s="77" t="s">
        <v>1273</v>
      </c>
      <c r="D493" s="77">
        <v>2.5261027E8</v>
      </c>
      <c r="E493" s="78" t="s">
        <v>735</v>
      </c>
      <c r="F493" s="77" t="s">
        <v>784</v>
      </c>
      <c r="G493" s="79" t="s">
        <v>79</v>
      </c>
      <c r="H493" s="79" t="str">
        <f>VLOOKUP(G493,MetaData!$A$2:$C$13,3,false)</f>
        <v>Sari Rahayu, S.Pd, M.Pd</v>
      </c>
      <c r="I493" s="79" t="s">
        <v>723</v>
      </c>
      <c r="J493" s="79" t="str">
        <f>VLOOKUP(I493,MetaData!$E$2:$G$40,3,false)</f>
        <v>Ninda (XII)</v>
      </c>
      <c r="K493" s="80"/>
    </row>
    <row r="494" ht="15.75" customHeight="1">
      <c r="A494" s="85">
        <v>571.0</v>
      </c>
      <c r="B494" s="77">
        <v>22.0</v>
      </c>
      <c r="C494" s="77" t="s">
        <v>1274</v>
      </c>
      <c r="D494" s="77">
        <v>2.52610271E8</v>
      </c>
      <c r="E494" s="78" t="s">
        <v>368</v>
      </c>
      <c r="F494" s="77" t="s">
        <v>782</v>
      </c>
      <c r="G494" s="82" t="s">
        <v>79</v>
      </c>
      <c r="H494" s="82" t="str">
        <f>VLOOKUP(G494,MetaData!$A$2:$C$13,3,false)</f>
        <v>Sari Rahayu, S.Pd, M.Pd</v>
      </c>
      <c r="I494" s="82" t="s">
        <v>360</v>
      </c>
      <c r="J494" s="82" t="str">
        <f>VLOOKUP(I494,MetaData!$E$2:$G$40,3,false)</f>
        <v>Almeer (XII)</v>
      </c>
      <c r="K494" s="83"/>
    </row>
    <row r="495" ht="15.75" customHeight="1">
      <c r="A495" s="84">
        <v>572.0</v>
      </c>
      <c r="B495" s="77">
        <v>23.0</v>
      </c>
      <c r="C495" s="77" t="s">
        <v>1275</v>
      </c>
      <c r="D495" s="77">
        <v>2.52610296E8</v>
      </c>
      <c r="E495" s="78" t="s">
        <v>565</v>
      </c>
      <c r="F495" s="77" t="s">
        <v>784</v>
      </c>
      <c r="G495" s="79" t="s">
        <v>79</v>
      </c>
      <c r="H495" s="79" t="str">
        <f>VLOOKUP(G495,MetaData!$A$2:$C$13,3,false)</f>
        <v>Sari Rahayu, S.Pd, M.Pd</v>
      </c>
      <c r="I495" s="79" t="s">
        <v>564</v>
      </c>
      <c r="J495" s="79" t="str">
        <f>VLOOKUP(I495,MetaData!$E$2:$G$40,3,false)</f>
        <v>Fiona (XI)</v>
      </c>
      <c r="K495" s="80"/>
    </row>
    <row r="496" ht="15.75" customHeight="1">
      <c r="A496" s="85">
        <v>573.0</v>
      </c>
      <c r="B496" s="77">
        <v>24.0</v>
      </c>
      <c r="C496" s="77" t="s">
        <v>1276</v>
      </c>
      <c r="D496" s="77">
        <v>2.52610298E8</v>
      </c>
      <c r="E496" s="78" t="s">
        <v>369</v>
      </c>
      <c r="F496" s="77" t="s">
        <v>782</v>
      </c>
      <c r="G496" s="82" t="s">
        <v>79</v>
      </c>
      <c r="H496" s="82" t="str">
        <f>VLOOKUP(G496,MetaData!$A$2:$C$13,3,false)</f>
        <v>Sari Rahayu, S.Pd, M.Pd</v>
      </c>
      <c r="I496" s="82" t="s">
        <v>360</v>
      </c>
      <c r="J496" s="82" t="str">
        <f>VLOOKUP(I496,MetaData!$E$2:$G$40,3,false)</f>
        <v>Almeer (XII)</v>
      </c>
      <c r="K496" s="83"/>
    </row>
    <row r="497" ht="15.75" customHeight="1">
      <c r="A497" s="84">
        <v>574.0</v>
      </c>
      <c r="B497" s="77">
        <v>26.0</v>
      </c>
      <c r="C497" s="77" t="s">
        <v>1277</v>
      </c>
      <c r="D497" s="77">
        <v>2.52610307E8</v>
      </c>
      <c r="E497" s="78" t="s">
        <v>566</v>
      </c>
      <c r="F497" s="77" t="s">
        <v>784</v>
      </c>
      <c r="G497" s="79" t="s">
        <v>79</v>
      </c>
      <c r="H497" s="79" t="str">
        <f>VLOOKUP(G497,MetaData!$A$2:$C$13,3,false)</f>
        <v>Sari Rahayu, S.Pd, M.Pd</v>
      </c>
      <c r="I497" s="79" t="s">
        <v>564</v>
      </c>
      <c r="J497" s="79" t="str">
        <f>VLOOKUP(I497,MetaData!$E$2:$G$40,3,false)</f>
        <v>Fiona (XI)</v>
      </c>
      <c r="K497" s="80"/>
    </row>
    <row r="498" ht="15.75" customHeight="1">
      <c r="A498" s="85">
        <v>575.0</v>
      </c>
      <c r="B498" s="77">
        <v>27.0</v>
      </c>
      <c r="C498" s="77" t="s">
        <v>1278</v>
      </c>
      <c r="D498" s="77">
        <v>2.52610331E8</v>
      </c>
      <c r="E498" s="78" t="s">
        <v>370</v>
      </c>
      <c r="F498" s="77" t="s">
        <v>782</v>
      </c>
      <c r="G498" s="82" t="s">
        <v>79</v>
      </c>
      <c r="H498" s="82" t="str">
        <f>VLOOKUP(G498,MetaData!$A$2:$C$13,3,false)</f>
        <v>Sari Rahayu, S.Pd, M.Pd</v>
      </c>
      <c r="I498" s="82" t="s">
        <v>360</v>
      </c>
      <c r="J498" s="82" t="str">
        <f>VLOOKUP(I498,MetaData!$E$2:$G$40,3,false)</f>
        <v>Almeer (XII)</v>
      </c>
      <c r="K498" s="83"/>
    </row>
    <row r="499" ht="15.75" customHeight="1">
      <c r="A499" s="84">
        <v>576.0</v>
      </c>
      <c r="B499" s="77">
        <v>28.0</v>
      </c>
      <c r="C499" s="77" t="s">
        <v>1279</v>
      </c>
      <c r="D499" s="77">
        <v>2.52610339E8</v>
      </c>
      <c r="E499" s="78" t="s">
        <v>371</v>
      </c>
      <c r="F499" s="77" t="s">
        <v>782</v>
      </c>
      <c r="G499" s="79" t="s">
        <v>79</v>
      </c>
      <c r="H499" s="79" t="str">
        <f>VLOOKUP(G499,MetaData!$A$2:$C$13,3,false)</f>
        <v>Sari Rahayu, S.Pd, M.Pd</v>
      </c>
      <c r="I499" s="79" t="s">
        <v>360</v>
      </c>
      <c r="J499" s="79" t="str">
        <f>VLOOKUP(I499,MetaData!$E$2:$G$40,3,false)</f>
        <v>Almeer (XII)</v>
      </c>
      <c r="K499" s="80"/>
    </row>
    <row r="500" ht="15.75" customHeight="1">
      <c r="A500" s="85">
        <v>577.0</v>
      </c>
      <c r="B500" s="77">
        <v>29.0</v>
      </c>
      <c r="C500" s="77" t="s">
        <v>1280</v>
      </c>
      <c r="D500" s="77">
        <v>2.52610359E8</v>
      </c>
      <c r="E500" s="78" t="s">
        <v>372</v>
      </c>
      <c r="F500" s="77" t="s">
        <v>782</v>
      </c>
      <c r="G500" s="82" t="s">
        <v>79</v>
      </c>
      <c r="H500" s="82" t="str">
        <f>VLOOKUP(G500,MetaData!$A$2:$C$13,3,false)</f>
        <v>Sari Rahayu, S.Pd, M.Pd</v>
      </c>
      <c r="I500" s="82" t="s">
        <v>360</v>
      </c>
      <c r="J500" s="82" t="str">
        <f>VLOOKUP(I500,MetaData!$E$2:$G$40,3,false)</f>
        <v>Almeer (XII)</v>
      </c>
      <c r="K500" s="83"/>
    </row>
    <row r="501" ht="15.75" customHeight="1">
      <c r="A501" s="84">
        <v>578.0</v>
      </c>
      <c r="B501" s="77">
        <v>30.0</v>
      </c>
      <c r="C501" s="77" t="s">
        <v>1281</v>
      </c>
      <c r="D501" s="77">
        <v>2.52610377E8</v>
      </c>
      <c r="E501" s="78" t="s">
        <v>373</v>
      </c>
      <c r="F501" s="77" t="s">
        <v>782</v>
      </c>
      <c r="G501" s="79" t="s">
        <v>79</v>
      </c>
      <c r="H501" s="79" t="str">
        <f>VLOOKUP(G501,MetaData!$A$2:$C$13,3,false)</f>
        <v>Sari Rahayu, S.Pd, M.Pd</v>
      </c>
      <c r="I501" s="79" t="s">
        <v>360</v>
      </c>
      <c r="J501" s="79" t="str">
        <f>VLOOKUP(I501,MetaData!$E$2:$G$40,3,false)</f>
        <v>Almeer (XII)</v>
      </c>
      <c r="K501" s="80"/>
    </row>
    <row r="502" ht="15.75" customHeight="1">
      <c r="A502" s="85">
        <v>579.0</v>
      </c>
      <c r="B502" s="77">
        <v>31.0</v>
      </c>
      <c r="C502" s="77" t="s">
        <v>1282</v>
      </c>
      <c r="D502" s="77">
        <v>2.52610387E8</v>
      </c>
      <c r="E502" s="78" t="s">
        <v>567</v>
      </c>
      <c r="F502" s="77" t="s">
        <v>784</v>
      </c>
      <c r="G502" s="82" t="s">
        <v>79</v>
      </c>
      <c r="H502" s="82" t="str">
        <f>VLOOKUP(G502,MetaData!$A$2:$C$13,3,false)</f>
        <v>Sari Rahayu, S.Pd, M.Pd</v>
      </c>
      <c r="I502" s="82" t="s">
        <v>564</v>
      </c>
      <c r="J502" s="82" t="str">
        <f>VLOOKUP(I502,MetaData!$E$2:$G$40,3,false)</f>
        <v>Fiona (XI)</v>
      </c>
      <c r="K502" s="83"/>
    </row>
    <row r="503" ht="15.75" customHeight="1">
      <c r="A503" s="84">
        <v>580.0</v>
      </c>
      <c r="B503" s="77">
        <v>32.0</v>
      </c>
      <c r="C503" s="77" t="s">
        <v>1283</v>
      </c>
      <c r="D503" s="77">
        <v>2.52610391E8</v>
      </c>
      <c r="E503" s="78" t="s">
        <v>452</v>
      </c>
      <c r="F503" s="77" t="s">
        <v>784</v>
      </c>
      <c r="G503" s="79" t="s">
        <v>79</v>
      </c>
      <c r="H503" s="79" t="str">
        <f>VLOOKUP(G503,MetaData!$A$2:$C$13,3,false)</f>
        <v>Sari Rahayu, S.Pd, M.Pd</v>
      </c>
      <c r="I503" s="79" t="s">
        <v>443</v>
      </c>
      <c r="J503" s="79" t="str">
        <f>VLOOKUP(I503,MetaData!$E$2:$G$40,3,false)</f>
        <v>Ayun</v>
      </c>
      <c r="K503" s="80"/>
    </row>
    <row r="504" ht="15.75" customHeight="1">
      <c r="A504" s="85">
        <v>581.0</v>
      </c>
      <c r="B504" s="77">
        <v>33.0</v>
      </c>
      <c r="C504" s="77" t="s">
        <v>1284</v>
      </c>
      <c r="D504" s="77">
        <v>2.526104E8</v>
      </c>
      <c r="E504" s="78" t="s">
        <v>237</v>
      </c>
      <c r="F504" s="77" t="s">
        <v>782</v>
      </c>
      <c r="G504" s="82" t="s">
        <v>79</v>
      </c>
      <c r="H504" s="82" t="str">
        <f>VLOOKUP(G504,MetaData!$A$2:$C$13,3,false)</f>
        <v>Sari Rahayu, S.Pd, M.Pd</v>
      </c>
      <c r="I504" s="82" t="s">
        <v>220</v>
      </c>
      <c r="J504" s="82" t="str">
        <f>VLOOKUP(I504,MetaData!$E$2:$G$40,3,false)</f>
        <v>Rekhsa</v>
      </c>
      <c r="K504" s="83"/>
    </row>
    <row r="505" ht="15.75" customHeight="1">
      <c r="A505" s="84">
        <v>582.0</v>
      </c>
      <c r="B505" s="77">
        <v>34.0</v>
      </c>
      <c r="C505" s="77" t="s">
        <v>1285</v>
      </c>
      <c r="D505" s="77">
        <v>2.52610405E8</v>
      </c>
      <c r="E505" s="78" t="s">
        <v>568</v>
      </c>
      <c r="F505" s="77" t="s">
        <v>784</v>
      </c>
      <c r="G505" s="79" t="s">
        <v>79</v>
      </c>
      <c r="H505" s="79" t="str">
        <f>VLOOKUP(G505,MetaData!$A$2:$C$13,3,false)</f>
        <v>Sari Rahayu, S.Pd, M.Pd</v>
      </c>
      <c r="I505" s="79" t="s">
        <v>564</v>
      </c>
      <c r="J505" s="79" t="str">
        <f>VLOOKUP(I505,MetaData!$E$2:$G$40,3,false)</f>
        <v>Fiona (XI)</v>
      </c>
      <c r="K505" s="80"/>
    </row>
    <row r="506" ht="15.75" customHeight="1">
      <c r="A506" s="85">
        <v>583.0</v>
      </c>
      <c r="B506" s="77">
        <v>35.0</v>
      </c>
      <c r="C506" s="77" t="s">
        <v>1286</v>
      </c>
      <c r="D506" s="77">
        <v>2.52610407E8</v>
      </c>
      <c r="E506" s="78" t="s">
        <v>569</v>
      </c>
      <c r="F506" s="77" t="s">
        <v>784</v>
      </c>
      <c r="G506" s="82" t="s">
        <v>79</v>
      </c>
      <c r="H506" s="82" t="str">
        <f>VLOOKUP(G506,MetaData!$A$2:$C$13,3,false)</f>
        <v>Sari Rahayu, S.Pd, M.Pd</v>
      </c>
      <c r="I506" s="82" t="s">
        <v>564</v>
      </c>
      <c r="J506" s="82" t="str">
        <f>VLOOKUP(I506,MetaData!$E$2:$G$40,3,false)</f>
        <v>Fiona (XI)</v>
      </c>
      <c r="K506" s="83"/>
    </row>
    <row r="507" ht="15.75" customHeight="1">
      <c r="A507" s="84">
        <v>584.0</v>
      </c>
      <c r="B507" s="77">
        <v>36.0</v>
      </c>
      <c r="C507" s="77" t="s">
        <v>1287</v>
      </c>
      <c r="D507" s="77">
        <v>2.52610411E8</v>
      </c>
      <c r="E507" s="78" t="s">
        <v>570</v>
      </c>
      <c r="F507" s="77" t="s">
        <v>784</v>
      </c>
      <c r="G507" s="79" t="s">
        <v>79</v>
      </c>
      <c r="H507" s="79" t="str">
        <f>VLOOKUP(G507,MetaData!$A$2:$C$13,3,false)</f>
        <v>Sari Rahayu, S.Pd, M.Pd</v>
      </c>
      <c r="I507" s="79" t="s">
        <v>564</v>
      </c>
      <c r="J507" s="79" t="str">
        <f>VLOOKUP(I507,MetaData!$E$2:$G$40,3,false)</f>
        <v>Fiona (XI)</v>
      </c>
      <c r="K507" s="80"/>
    </row>
    <row r="508" ht="15.75" customHeight="1">
      <c r="A508" s="85">
        <v>585.0</v>
      </c>
      <c r="B508" s="77">
        <v>39.0</v>
      </c>
      <c r="C508" s="77" t="s">
        <v>1288</v>
      </c>
      <c r="D508" s="77">
        <v>2.52610448E8</v>
      </c>
      <c r="E508" s="78" t="s">
        <v>374</v>
      </c>
      <c r="F508" s="77" t="s">
        <v>782</v>
      </c>
      <c r="G508" s="82" t="s">
        <v>79</v>
      </c>
      <c r="H508" s="82" t="str">
        <f>VLOOKUP(G508,MetaData!$A$2:$C$13,3,false)</f>
        <v>Sari Rahayu, S.Pd, M.Pd</v>
      </c>
      <c r="I508" s="82" t="s">
        <v>360</v>
      </c>
      <c r="J508" s="82" t="str">
        <f>VLOOKUP(I508,MetaData!$E$2:$G$40,3,false)</f>
        <v>Almeer (XII)</v>
      </c>
      <c r="K508" s="83"/>
    </row>
    <row r="509" ht="15.75" customHeight="1">
      <c r="A509" s="84">
        <v>586.0</v>
      </c>
      <c r="B509" s="77">
        <v>40.0</v>
      </c>
      <c r="C509" s="77" t="s">
        <v>1289</v>
      </c>
      <c r="D509" s="77">
        <v>2.52610455E8</v>
      </c>
      <c r="E509" s="78" t="s">
        <v>375</v>
      </c>
      <c r="F509" s="77" t="s">
        <v>782</v>
      </c>
      <c r="G509" s="79" t="s">
        <v>79</v>
      </c>
      <c r="H509" s="79" t="str">
        <f>VLOOKUP(G509,MetaData!$A$2:$C$13,3,false)</f>
        <v>Sari Rahayu, S.Pd, M.Pd</v>
      </c>
      <c r="I509" s="79" t="s">
        <v>360</v>
      </c>
      <c r="J509" s="79" t="str">
        <f>VLOOKUP(I509,MetaData!$E$2:$G$40,3,false)</f>
        <v>Almeer (XII)</v>
      </c>
      <c r="K509" s="80"/>
    </row>
    <row r="510" ht="15.75" customHeight="1">
      <c r="A510" s="85">
        <v>587.0</v>
      </c>
      <c r="B510" s="77">
        <v>41.0</v>
      </c>
      <c r="C510" s="77" t="s">
        <v>1290</v>
      </c>
      <c r="D510" s="77">
        <v>2.5261049E8</v>
      </c>
      <c r="E510" s="78" t="s">
        <v>455</v>
      </c>
      <c r="F510" s="77" t="s">
        <v>784</v>
      </c>
      <c r="G510" s="82" t="s">
        <v>79</v>
      </c>
      <c r="H510" s="82" t="str">
        <f>VLOOKUP(G510,MetaData!$A$2:$C$13,3,false)</f>
        <v>Sari Rahayu, S.Pd, M.Pd</v>
      </c>
      <c r="I510" s="82" t="s">
        <v>443</v>
      </c>
      <c r="J510" s="82" t="str">
        <f>VLOOKUP(I510,MetaData!$E$2:$G$40,3,false)</f>
        <v>Ayun</v>
      </c>
      <c r="K510" s="83"/>
    </row>
    <row r="511" ht="15.75" customHeight="1">
      <c r="A511" s="84">
        <v>588.0</v>
      </c>
      <c r="B511" s="77">
        <v>42.0</v>
      </c>
      <c r="C511" s="77" t="s">
        <v>1291</v>
      </c>
      <c r="D511" s="77">
        <v>2.52610494E8</v>
      </c>
      <c r="E511" s="78" t="s">
        <v>376</v>
      </c>
      <c r="F511" s="77" t="s">
        <v>782</v>
      </c>
      <c r="G511" s="79" t="s">
        <v>79</v>
      </c>
      <c r="H511" s="79" t="str">
        <f>VLOOKUP(G511,MetaData!$A$2:$C$13,3,false)</f>
        <v>Sari Rahayu, S.Pd, M.Pd</v>
      </c>
      <c r="I511" s="79" t="s">
        <v>360</v>
      </c>
      <c r="J511" s="79" t="str">
        <f>VLOOKUP(I511,MetaData!$E$2:$G$40,3,false)</f>
        <v>Almeer (XII)</v>
      </c>
      <c r="K511" s="80"/>
    </row>
    <row r="512" ht="15.75" customHeight="1">
      <c r="A512" s="85">
        <v>589.0</v>
      </c>
      <c r="B512" s="77">
        <v>43.0</v>
      </c>
      <c r="C512" s="77" t="s">
        <v>1292</v>
      </c>
      <c r="D512" s="77">
        <v>2.52610496E8</v>
      </c>
      <c r="E512" s="78" t="s">
        <v>571</v>
      </c>
      <c r="F512" s="77" t="s">
        <v>784</v>
      </c>
      <c r="G512" s="82" t="s">
        <v>79</v>
      </c>
      <c r="H512" s="82" t="str">
        <f>VLOOKUP(G512,MetaData!$A$2:$C$13,3,false)</f>
        <v>Sari Rahayu, S.Pd, M.Pd</v>
      </c>
      <c r="I512" s="82" t="s">
        <v>564</v>
      </c>
      <c r="J512" s="82" t="str">
        <f>VLOOKUP(I512,MetaData!$E$2:$G$40,3,false)</f>
        <v>Fiona (XI)</v>
      </c>
      <c r="K512" s="83"/>
    </row>
    <row r="513" ht="15.75" customHeight="1">
      <c r="A513" s="84">
        <v>590.0</v>
      </c>
      <c r="B513" s="77">
        <v>44.0</v>
      </c>
      <c r="C513" s="77" t="s">
        <v>1293</v>
      </c>
      <c r="D513" s="77">
        <v>2.52610502E8</v>
      </c>
      <c r="E513" s="78" t="s">
        <v>572</v>
      </c>
      <c r="F513" s="77" t="s">
        <v>784</v>
      </c>
      <c r="G513" s="79" t="s">
        <v>79</v>
      </c>
      <c r="H513" s="79" t="str">
        <f>VLOOKUP(G513,MetaData!$A$2:$C$13,3,false)</f>
        <v>Sari Rahayu, S.Pd, M.Pd</v>
      </c>
      <c r="I513" s="79" t="s">
        <v>564</v>
      </c>
      <c r="J513" s="79" t="str">
        <f>VLOOKUP(I513,MetaData!$E$2:$G$40,3,false)</f>
        <v>Fiona (XI)</v>
      </c>
      <c r="K513" s="80"/>
    </row>
    <row r="514" ht="15.75" customHeight="1">
      <c r="A514" s="85">
        <v>591.0</v>
      </c>
      <c r="B514" s="77">
        <v>45.0</v>
      </c>
      <c r="C514" s="77" t="s">
        <v>1294</v>
      </c>
      <c r="D514" s="77">
        <v>2.52610516E8</v>
      </c>
      <c r="E514" s="78" t="s">
        <v>573</v>
      </c>
      <c r="F514" s="77" t="s">
        <v>784</v>
      </c>
      <c r="G514" s="82" t="s">
        <v>79</v>
      </c>
      <c r="H514" s="82" t="str">
        <f>VLOOKUP(G514,MetaData!$A$2:$C$13,3,false)</f>
        <v>Sari Rahayu, S.Pd, M.Pd</v>
      </c>
      <c r="I514" s="82" t="s">
        <v>564</v>
      </c>
      <c r="J514" s="82" t="str">
        <f>VLOOKUP(I514,MetaData!$E$2:$G$40,3,false)</f>
        <v>Fiona (XI)</v>
      </c>
      <c r="K514" s="83"/>
    </row>
    <row r="515" ht="15.75" customHeight="1">
      <c r="A515" s="84">
        <v>592.0</v>
      </c>
      <c r="B515" s="77">
        <v>46.0</v>
      </c>
      <c r="C515" s="77" t="s">
        <v>1295</v>
      </c>
      <c r="D515" s="77">
        <v>2.52610531E8</v>
      </c>
      <c r="E515" s="78" t="s">
        <v>574</v>
      </c>
      <c r="F515" s="77" t="s">
        <v>784</v>
      </c>
      <c r="G515" s="79" t="s">
        <v>79</v>
      </c>
      <c r="H515" s="79" t="str">
        <f>VLOOKUP(G515,MetaData!$A$2:$C$13,3,false)</f>
        <v>Sari Rahayu, S.Pd, M.Pd</v>
      </c>
      <c r="I515" s="79" t="s">
        <v>564</v>
      </c>
      <c r="J515" s="79" t="str">
        <f>VLOOKUP(I515,MetaData!$E$2:$G$40,3,false)</f>
        <v>Fiona (XI)</v>
      </c>
      <c r="K515" s="80"/>
    </row>
    <row r="516" ht="15.75" customHeight="1">
      <c r="A516" s="85">
        <v>593.0</v>
      </c>
      <c r="B516" s="77">
        <v>47.0</v>
      </c>
      <c r="C516" s="77" t="s">
        <v>1296</v>
      </c>
      <c r="D516" s="77">
        <v>2.5261055E8</v>
      </c>
      <c r="E516" s="78" t="s">
        <v>575</v>
      </c>
      <c r="F516" s="77" t="s">
        <v>784</v>
      </c>
      <c r="G516" s="82" t="s">
        <v>79</v>
      </c>
      <c r="H516" s="82" t="str">
        <f>VLOOKUP(G516,MetaData!$A$2:$C$13,3,false)</f>
        <v>Sari Rahayu, S.Pd, M.Pd</v>
      </c>
      <c r="I516" s="82" t="s">
        <v>564</v>
      </c>
      <c r="J516" s="82" t="str">
        <f>VLOOKUP(I516,MetaData!$E$2:$G$40,3,false)</f>
        <v>Fiona (XI)</v>
      </c>
      <c r="K516" s="83"/>
    </row>
    <row r="517" ht="15.75" customHeight="1">
      <c r="A517" s="86">
        <v>594.0</v>
      </c>
      <c r="B517" s="77">
        <v>48.0</v>
      </c>
      <c r="C517" s="77" t="s">
        <v>1297</v>
      </c>
      <c r="D517" s="77">
        <v>2.52610562E8</v>
      </c>
      <c r="E517" s="78" t="s">
        <v>576</v>
      </c>
      <c r="F517" s="77" t="s">
        <v>784</v>
      </c>
      <c r="G517" s="87" t="s">
        <v>79</v>
      </c>
      <c r="H517" s="87" t="str">
        <f>VLOOKUP(G517,MetaData!$A$2:$C$13,3,false)</f>
        <v>Sari Rahayu, S.Pd, M.Pd</v>
      </c>
      <c r="I517" s="87" t="s">
        <v>564</v>
      </c>
      <c r="J517" s="87" t="str">
        <f>VLOOKUP(I517,MetaData!$E$2:$G$40,3,false)</f>
        <v>Fiona (XI)</v>
      </c>
      <c r="K517" s="88"/>
    </row>
    <row r="518" ht="15.75" customHeight="1">
      <c r="A518" s="70"/>
      <c r="B518" s="71"/>
      <c r="C518" s="71"/>
      <c r="D518" s="71"/>
      <c r="E518" s="71"/>
      <c r="F518" s="71"/>
    </row>
    <row r="519" ht="15.75" customHeight="1">
      <c r="A519" s="70"/>
      <c r="B519" s="71"/>
      <c r="C519" s="71"/>
      <c r="D519" s="71"/>
      <c r="E519" s="71"/>
      <c r="F519" s="71"/>
    </row>
    <row r="520" ht="15.75" customHeight="1">
      <c r="A520" s="70"/>
      <c r="B520" s="71"/>
      <c r="C520" s="71"/>
      <c r="D520" s="71"/>
      <c r="E520" s="71"/>
      <c r="F520" s="71"/>
    </row>
    <row r="521" ht="15.75" customHeight="1">
      <c r="A521" s="70"/>
      <c r="B521" s="71"/>
      <c r="C521" s="71"/>
      <c r="D521" s="71"/>
      <c r="E521" s="71"/>
      <c r="F521" s="71"/>
    </row>
    <row r="522" ht="15.75" customHeight="1">
      <c r="A522" s="70"/>
      <c r="B522" s="71"/>
      <c r="C522" s="71"/>
      <c r="D522" s="71"/>
      <c r="E522" s="71"/>
      <c r="F522" s="71"/>
    </row>
    <row r="523" ht="15.75" customHeight="1">
      <c r="A523" s="70"/>
      <c r="B523" s="71"/>
      <c r="C523" s="71"/>
      <c r="D523" s="71"/>
      <c r="E523" s="71"/>
      <c r="F523" s="71"/>
    </row>
    <row r="524" ht="15.75" customHeight="1">
      <c r="A524" s="70"/>
      <c r="B524" s="71"/>
      <c r="C524" s="71"/>
      <c r="D524" s="71"/>
      <c r="E524" s="71"/>
      <c r="F524" s="71"/>
    </row>
    <row r="525" ht="15.75" customHeight="1">
      <c r="A525" s="70"/>
      <c r="B525" s="71"/>
      <c r="C525" s="71"/>
      <c r="D525" s="71"/>
      <c r="E525" s="71"/>
      <c r="F525" s="71"/>
    </row>
    <row r="526" ht="15.75" customHeight="1">
      <c r="A526" s="70"/>
      <c r="B526" s="71"/>
      <c r="C526" s="71"/>
      <c r="D526" s="71"/>
      <c r="E526" s="71"/>
      <c r="F526" s="71"/>
    </row>
    <row r="527" ht="15.75" customHeight="1">
      <c r="A527" s="70"/>
      <c r="B527" s="71"/>
      <c r="C527" s="71"/>
      <c r="D527" s="71"/>
      <c r="E527" s="71"/>
      <c r="F527" s="71"/>
    </row>
    <row r="528" ht="15.75" customHeight="1">
      <c r="A528" s="70"/>
      <c r="B528" s="71"/>
      <c r="C528" s="71"/>
      <c r="D528" s="71"/>
      <c r="E528" s="71"/>
      <c r="F528" s="71"/>
    </row>
    <row r="529" ht="15.75" customHeight="1">
      <c r="A529" s="70"/>
      <c r="B529" s="71"/>
      <c r="C529" s="71"/>
      <c r="D529" s="71"/>
      <c r="E529" s="71"/>
      <c r="F529" s="71"/>
    </row>
    <row r="530" ht="15.75" customHeight="1">
      <c r="A530" s="70"/>
      <c r="B530" s="71"/>
      <c r="C530" s="71"/>
      <c r="D530" s="71"/>
      <c r="E530" s="71"/>
      <c r="F530" s="71"/>
    </row>
    <row r="531" ht="15.75" customHeight="1">
      <c r="A531" s="70"/>
      <c r="B531" s="71"/>
      <c r="C531" s="71"/>
      <c r="D531" s="71"/>
      <c r="E531" s="71"/>
      <c r="F531" s="71"/>
    </row>
    <row r="532" ht="15.75" customHeight="1">
      <c r="A532" s="70"/>
      <c r="B532" s="71"/>
      <c r="C532" s="71"/>
      <c r="D532" s="71"/>
      <c r="E532" s="71"/>
      <c r="F532" s="71"/>
    </row>
    <row r="533" ht="15.75" customHeight="1">
      <c r="A533" s="70"/>
      <c r="B533" s="71"/>
      <c r="C533" s="71"/>
      <c r="D533" s="71"/>
      <c r="E533" s="71"/>
      <c r="F533" s="71"/>
    </row>
    <row r="534" ht="15.75" customHeight="1">
      <c r="A534" s="70"/>
      <c r="B534" s="71"/>
      <c r="C534" s="71"/>
      <c r="D534" s="71"/>
      <c r="E534" s="71"/>
      <c r="F534" s="71"/>
    </row>
    <row r="535" ht="15.75" customHeight="1">
      <c r="A535" s="70"/>
      <c r="B535" s="71"/>
      <c r="C535" s="71"/>
      <c r="D535" s="71"/>
      <c r="E535" s="71"/>
      <c r="F535" s="71"/>
    </row>
    <row r="536" ht="15.75" customHeight="1">
      <c r="A536" s="70"/>
      <c r="B536" s="71"/>
      <c r="C536" s="71"/>
      <c r="D536" s="71"/>
      <c r="E536" s="71"/>
      <c r="F536" s="71"/>
    </row>
    <row r="537" ht="15.75" customHeight="1">
      <c r="A537" s="70"/>
      <c r="B537" s="71"/>
      <c r="C537" s="71"/>
      <c r="D537" s="71"/>
      <c r="E537" s="71"/>
      <c r="F537" s="71"/>
    </row>
    <row r="538" ht="15.75" customHeight="1">
      <c r="A538" s="70"/>
      <c r="B538" s="71"/>
      <c r="C538" s="71"/>
      <c r="D538" s="71"/>
      <c r="E538" s="71"/>
      <c r="F538" s="71"/>
    </row>
    <row r="539" ht="15.75" customHeight="1">
      <c r="A539" s="70"/>
      <c r="B539" s="71"/>
      <c r="C539" s="71"/>
      <c r="D539" s="71"/>
      <c r="E539" s="71"/>
      <c r="F539" s="71"/>
    </row>
    <row r="540" ht="15.75" customHeight="1">
      <c r="A540" s="70"/>
      <c r="B540" s="71"/>
      <c r="C540" s="71"/>
      <c r="D540" s="71"/>
      <c r="E540" s="71"/>
      <c r="F540" s="71"/>
    </row>
    <row r="541" ht="15.75" customHeight="1">
      <c r="A541" s="70"/>
      <c r="B541" s="71"/>
      <c r="C541" s="71"/>
      <c r="D541" s="71"/>
      <c r="E541" s="71"/>
      <c r="F541" s="71"/>
    </row>
    <row r="542" ht="15.75" customHeight="1">
      <c r="A542" s="70"/>
      <c r="B542" s="71"/>
      <c r="C542" s="71"/>
      <c r="D542" s="71"/>
      <c r="E542" s="71"/>
      <c r="F542" s="71"/>
    </row>
    <row r="543" ht="15.75" customHeight="1">
      <c r="A543" s="70"/>
      <c r="B543" s="71"/>
      <c r="C543" s="71"/>
      <c r="D543" s="71"/>
      <c r="E543" s="71"/>
      <c r="F543" s="71"/>
    </row>
    <row r="544" ht="15.75" customHeight="1">
      <c r="A544" s="70"/>
      <c r="B544" s="71"/>
      <c r="C544" s="71"/>
      <c r="D544" s="71"/>
      <c r="E544" s="71"/>
      <c r="F544" s="71"/>
    </row>
    <row r="545" ht="15.75" customHeight="1">
      <c r="A545" s="70"/>
      <c r="B545" s="71"/>
      <c r="C545" s="71"/>
      <c r="D545" s="71"/>
      <c r="E545" s="71"/>
      <c r="F545" s="71"/>
    </row>
    <row r="546" ht="15.75" customHeight="1">
      <c r="A546" s="70"/>
      <c r="B546" s="71"/>
      <c r="C546" s="71"/>
      <c r="D546" s="71"/>
      <c r="E546" s="71"/>
      <c r="F546" s="71"/>
    </row>
    <row r="547" ht="15.75" customHeight="1">
      <c r="A547" s="70"/>
      <c r="B547" s="71"/>
      <c r="C547" s="71"/>
      <c r="D547" s="71"/>
      <c r="E547" s="71"/>
      <c r="F547" s="71"/>
    </row>
    <row r="548" ht="15.75" customHeight="1">
      <c r="A548" s="70"/>
      <c r="B548" s="71"/>
      <c r="C548" s="71"/>
      <c r="D548" s="71"/>
      <c r="E548" s="71"/>
      <c r="F548" s="71"/>
    </row>
    <row r="549" ht="15.75" customHeight="1">
      <c r="A549" s="70"/>
      <c r="B549" s="71"/>
      <c r="C549" s="71"/>
      <c r="D549" s="71"/>
      <c r="E549" s="71"/>
      <c r="F549" s="71"/>
    </row>
    <row r="550" ht="15.75" customHeight="1">
      <c r="A550" s="70"/>
      <c r="B550" s="71"/>
      <c r="C550" s="71"/>
      <c r="D550" s="71"/>
      <c r="E550" s="71"/>
      <c r="F550" s="71"/>
    </row>
    <row r="551" ht="15.75" customHeight="1">
      <c r="A551" s="70"/>
      <c r="B551" s="71"/>
      <c r="C551" s="71"/>
      <c r="D551" s="71"/>
      <c r="E551" s="71"/>
      <c r="F551" s="71"/>
    </row>
    <row r="552" ht="15.75" customHeight="1">
      <c r="A552" s="70"/>
      <c r="B552" s="71"/>
      <c r="C552" s="71"/>
      <c r="D552" s="71"/>
      <c r="E552" s="71"/>
      <c r="F552" s="71"/>
    </row>
    <row r="553" ht="15.75" customHeight="1">
      <c r="A553" s="70"/>
      <c r="B553" s="71"/>
      <c r="C553" s="71"/>
      <c r="D553" s="71"/>
      <c r="E553" s="71"/>
      <c r="F553" s="71"/>
    </row>
    <row r="554" ht="15.75" customHeight="1">
      <c r="A554" s="70"/>
      <c r="B554" s="71"/>
      <c r="C554" s="71"/>
      <c r="D554" s="71"/>
      <c r="E554" s="71"/>
      <c r="F554" s="71"/>
    </row>
    <row r="555" ht="15.75" customHeight="1">
      <c r="A555" s="70"/>
      <c r="B555" s="71"/>
      <c r="C555" s="71"/>
      <c r="D555" s="71"/>
      <c r="E555" s="71"/>
      <c r="F555" s="71"/>
    </row>
    <row r="556" ht="15.75" customHeight="1">
      <c r="A556" s="70"/>
      <c r="B556" s="71"/>
      <c r="C556" s="71"/>
      <c r="D556" s="71"/>
      <c r="E556" s="71"/>
      <c r="F556" s="71"/>
    </row>
    <row r="557" ht="15.75" customHeight="1">
      <c r="A557" s="70"/>
      <c r="B557" s="71"/>
      <c r="C557" s="71"/>
      <c r="D557" s="71"/>
      <c r="E557" s="71"/>
      <c r="F557" s="71"/>
    </row>
    <row r="558" ht="15.75" customHeight="1">
      <c r="A558" s="70"/>
      <c r="B558" s="71"/>
      <c r="C558" s="71"/>
      <c r="D558" s="71"/>
      <c r="E558" s="71"/>
      <c r="F558" s="71"/>
    </row>
    <row r="559" ht="15.75" customHeight="1">
      <c r="A559" s="70"/>
      <c r="B559" s="71"/>
      <c r="C559" s="71"/>
      <c r="D559" s="71"/>
      <c r="E559" s="71"/>
      <c r="F559" s="71"/>
    </row>
    <row r="560" ht="15.75" customHeight="1">
      <c r="A560" s="70"/>
      <c r="B560" s="71"/>
      <c r="C560" s="71"/>
      <c r="D560" s="71"/>
      <c r="E560" s="71"/>
      <c r="F560" s="71"/>
    </row>
    <row r="561" ht="15.75" customHeight="1">
      <c r="A561" s="70"/>
      <c r="B561" s="71"/>
      <c r="C561" s="71"/>
      <c r="D561" s="71"/>
      <c r="E561" s="71"/>
      <c r="F561" s="71"/>
    </row>
    <row r="562" ht="15.75" customHeight="1">
      <c r="A562" s="70"/>
      <c r="B562" s="71"/>
      <c r="C562" s="71"/>
      <c r="D562" s="71"/>
      <c r="E562" s="71"/>
      <c r="F562" s="71"/>
    </row>
    <row r="563" ht="15.75" customHeight="1">
      <c r="A563" s="70"/>
      <c r="B563" s="71"/>
      <c r="C563" s="71"/>
      <c r="D563" s="71"/>
      <c r="E563" s="71"/>
      <c r="F563" s="71"/>
    </row>
    <row r="564" ht="15.75" customHeight="1">
      <c r="A564" s="70"/>
      <c r="B564" s="71"/>
      <c r="C564" s="71"/>
      <c r="D564" s="71"/>
      <c r="E564" s="71"/>
      <c r="F564" s="71"/>
    </row>
    <row r="565" ht="15.75" customHeight="1">
      <c r="A565" s="70"/>
      <c r="B565" s="71"/>
      <c r="C565" s="71"/>
      <c r="D565" s="71"/>
      <c r="E565" s="71"/>
      <c r="F565" s="71"/>
    </row>
    <row r="566" ht="15.75" customHeight="1">
      <c r="A566" s="70"/>
      <c r="B566" s="71"/>
      <c r="C566" s="71"/>
      <c r="D566" s="71"/>
      <c r="E566" s="71"/>
      <c r="F566" s="71"/>
    </row>
    <row r="567" ht="15.75" customHeight="1">
      <c r="A567" s="70"/>
      <c r="B567" s="71"/>
      <c r="C567" s="71"/>
      <c r="D567" s="71"/>
      <c r="E567" s="71"/>
      <c r="F567" s="71"/>
    </row>
    <row r="568" ht="15.75" customHeight="1">
      <c r="A568" s="70"/>
      <c r="B568" s="71"/>
      <c r="C568" s="71"/>
      <c r="D568" s="71"/>
      <c r="E568" s="71"/>
      <c r="F568" s="71"/>
    </row>
    <row r="569" ht="15.75" customHeight="1">
      <c r="A569" s="70"/>
      <c r="B569" s="71"/>
      <c r="C569" s="71"/>
      <c r="D569" s="71"/>
      <c r="E569" s="71"/>
      <c r="F569" s="71"/>
    </row>
    <row r="570" ht="15.75" customHeight="1">
      <c r="A570" s="70"/>
      <c r="B570" s="71"/>
      <c r="C570" s="71"/>
      <c r="D570" s="71"/>
      <c r="E570" s="71"/>
      <c r="F570" s="71"/>
    </row>
    <row r="571" ht="15.75" customHeight="1">
      <c r="A571" s="70"/>
      <c r="B571" s="71"/>
      <c r="C571" s="71"/>
      <c r="D571" s="71"/>
      <c r="E571" s="71"/>
      <c r="F571" s="71"/>
    </row>
    <row r="572" ht="15.75" customHeight="1">
      <c r="A572" s="70"/>
      <c r="B572" s="71"/>
      <c r="C572" s="71"/>
      <c r="D572" s="71"/>
      <c r="E572" s="71"/>
      <c r="F572" s="71"/>
    </row>
    <row r="573" ht="15.75" customHeight="1">
      <c r="A573" s="70"/>
      <c r="B573" s="71"/>
      <c r="C573" s="71"/>
      <c r="D573" s="71"/>
      <c r="E573" s="71"/>
      <c r="F573" s="71"/>
    </row>
    <row r="574" ht="15.75" customHeight="1">
      <c r="A574" s="70"/>
      <c r="B574" s="71"/>
      <c r="C574" s="71"/>
      <c r="D574" s="71"/>
      <c r="E574" s="71"/>
      <c r="F574" s="71"/>
    </row>
    <row r="575" ht="15.75" customHeight="1">
      <c r="A575" s="70"/>
      <c r="B575" s="71"/>
      <c r="C575" s="71"/>
      <c r="D575" s="71"/>
      <c r="E575" s="71"/>
      <c r="F575" s="71"/>
    </row>
    <row r="576" ht="15.75" customHeight="1">
      <c r="A576" s="70"/>
      <c r="B576" s="71"/>
      <c r="C576" s="71"/>
      <c r="D576" s="71"/>
      <c r="E576" s="71"/>
      <c r="F576" s="71"/>
    </row>
    <row r="577" ht="15.75" customHeight="1">
      <c r="A577" s="70"/>
      <c r="B577" s="71"/>
      <c r="C577" s="71"/>
      <c r="D577" s="71"/>
      <c r="E577" s="71"/>
      <c r="F577" s="71"/>
    </row>
    <row r="578" ht="15.75" customHeight="1">
      <c r="A578" s="70"/>
      <c r="B578" s="71"/>
      <c r="C578" s="71"/>
      <c r="D578" s="71"/>
      <c r="E578" s="71"/>
      <c r="F578" s="71"/>
    </row>
    <row r="579" ht="15.75" customHeight="1">
      <c r="A579" s="70"/>
      <c r="B579" s="71"/>
      <c r="C579" s="71"/>
      <c r="D579" s="71"/>
      <c r="E579" s="71"/>
      <c r="F579" s="71"/>
    </row>
    <row r="580" ht="15.75" customHeight="1">
      <c r="A580" s="70"/>
      <c r="B580" s="71"/>
      <c r="C580" s="71"/>
      <c r="D580" s="71"/>
      <c r="E580" s="71"/>
      <c r="F580" s="71"/>
    </row>
    <row r="581" ht="15.75" customHeight="1">
      <c r="A581" s="70"/>
      <c r="B581" s="71"/>
      <c r="C581" s="71"/>
      <c r="D581" s="71"/>
      <c r="E581" s="71"/>
      <c r="F581" s="71"/>
    </row>
    <row r="582" ht="15.75" customHeight="1">
      <c r="A582" s="70"/>
      <c r="B582" s="71"/>
      <c r="C582" s="71"/>
      <c r="D582" s="71"/>
      <c r="E582" s="71"/>
      <c r="F582" s="71"/>
    </row>
    <row r="583" ht="15.75" customHeight="1">
      <c r="A583" s="70"/>
      <c r="B583" s="71"/>
      <c r="C583" s="71"/>
      <c r="D583" s="71"/>
      <c r="E583" s="71"/>
      <c r="F583" s="71"/>
    </row>
    <row r="584" ht="15.75" customHeight="1">
      <c r="A584" s="70"/>
      <c r="B584" s="71"/>
      <c r="C584" s="71"/>
      <c r="D584" s="71"/>
      <c r="E584" s="71"/>
      <c r="F584" s="71"/>
    </row>
    <row r="585" ht="15.75" customHeight="1">
      <c r="A585" s="70"/>
      <c r="B585" s="71"/>
      <c r="C585" s="71"/>
      <c r="D585" s="71"/>
      <c r="E585" s="71"/>
      <c r="F585" s="71"/>
    </row>
    <row r="586" ht="15.75" customHeight="1">
      <c r="A586" s="70"/>
      <c r="B586" s="71"/>
      <c r="C586" s="71"/>
      <c r="D586" s="71"/>
      <c r="E586" s="71"/>
      <c r="F586" s="71"/>
    </row>
    <row r="587" ht="15.75" customHeight="1">
      <c r="A587" s="70"/>
      <c r="B587" s="71"/>
      <c r="C587" s="71"/>
      <c r="D587" s="71"/>
      <c r="E587" s="71"/>
      <c r="F587" s="71"/>
    </row>
    <row r="588" ht="15.75" customHeight="1">
      <c r="A588" s="70"/>
      <c r="B588" s="71"/>
      <c r="C588" s="71"/>
      <c r="D588" s="71"/>
      <c r="E588" s="71"/>
      <c r="F588" s="71"/>
    </row>
    <row r="589" ht="15.75" customHeight="1">
      <c r="A589" s="70"/>
      <c r="B589" s="71"/>
      <c r="C589" s="71"/>
      <c r="D589" s="71"/>
      <c r="E589" s="71"/>
      <c r="F589" s="71"/>
    </row>
    <row r="590" ht="15.75" customHeight="1">
      <c r="A590" s="70"/>
      <c r="B590" s="71"/>
      <c r="C590" s="71"/>
      <c r="D590" s="71"/>
      <c r="E590" s="71"/>
      <c r="F590" s="71"/>
    </row>
    <row r="591" ht="15.75" customHeight="1">
      <c r="A591" s="70"/>
      <c r="B591" s="71"/>
      <c r="C591" s="71"/>
      <c r="D591" s="71"/>
      <c r="E591" s="71"/>
      <c r="F591" s="71"/>
    </row>
    <row r="592" ht="15.75" customHeight="1">
      <c r="A592" s="70"/>
      <c r="B592" s="71"/>
      <c r="C592" s="71"/>
      <c r="D592" s="71"/>
      <c r="E592" s="71"/>
      <c r="F592" s="71"/>
    </row>
    <row r="593" ht="15.75" customHeight="1">
      <c r="A593" s="70"/>
      <c r="B593" s="71"/>
      <c r="C593" s="71"/>
      <c r="D593" s="71"/>
      <c r="E593" s="71"/>
      <c r="F593" s="71"/>
    </row>
    <row r="594" ht="15.75" customHeight="1">
      <c r="A594" s="70"/>
      <c r="B594" s="71"/>
      <c r="C594" s="71"/>
      <c r="D594" s="71"/>
      <c r="E594" s="71"/>
      <c r="F594" s="71"/>
    </row>
    <row r="595" ht="15.75" customHeight="1">
      <c r="A595" s="70"/>
      <c r="B595" s="71"/>
      <c r="C595" s="71"/>
      <c r="D595" s="71"/>
      <c r="E595" s="71"/>
      <c r="F595" s="71"/>
    </row>
    <row r="596" ht="15.75" customHeight="1">
      <c r="A596" s="70"/>
      <c r="B596" s="71"/>
      <c r="C596" s="71"/>
      <c r="D596" s="71"/>
      <c r="E596" s="71"/>
      <c r="F596" s="71"/>
    </row>
    <row r="597" ht="15.75" customHeight="1">
      <c r="A597" s="70"/>
      <c r="B597" s="71"/>
      <c r="C597" s="71"/>
      <c r="D597" s="71"/>
      <c r="E597" s="71"/>
      <c r="F597" s="71"/>
    </row>
    <row r="598" ht="15.75" customHeight="1">
      <c r="A598" s="70"/>
      <c r="B598" s="71"/>
      <c r="C598" s="71"/>
      <c r="D598" s="71"/>
      <c r="E598" s="71"/>
      <c r="F598" s="71"/>
    </row>
    <row r="599" ht="15.75" customHeight="1">
      <c r="A599" s="70"/>
      <c r="B599" s="71"/>
      <c r="C599" s="71"/>
      <c r="D599" s="71"/>
      <c r="E599" s="71"/>
      <c r="F599" s="71"/>
    </row>
    <row r="600" ht="15.75" customHeight="1">
      <c r="A600" s="70"/>
      <c r="B600" s="71"/>
      <c r="C600" s="71"/>
      <c r="D600" s="71"/>
      <c r="E600" s="71"/>
      <c r="F600" s="71"/>
    </row>
    <row r="601" ht="15.75" customHeight="1">
      <c r="A601" s="70"/>
      <c r="B601" s="71"/>
      <c r="C601" s="71"/>
      <c r="D601" s="71"/>
      <c r="E601" s="71"/>
      <c r="F601" s="71"/>
    </row>
    <row r="602" ht="15.75" customHeight="1">
      <c r="A602" s="70"/>
      <c r="B602" s="71"/>
      <c r="C602" s="71"/>
      <c r="D602" s="71"/>
      <c r="E602" s="71"/>
      <c r="F602" s="71"/>
    </row>
    <row r="603" ht="15.75" customHeight="1">
      <c r="A603" s="70"/>
      <c r="B603" s="71"/>
      <c r="C603" s="71"/>
      <c r="D603" s="71"/>
      <c r="E603" s="71"/>
      <c r="F603" s="71"/>
    </row>
    <row r="604" ht="15.75" customHeight="1">
      <c r="A604" s="70"/>
      <c r="B604" s="71"/>
      <c r="C604" s="71"/>
      <c r="D604" s="71"/>
      <c r="E604" s="71"/>
      <c r="F604" s="71"/>
    </row>
    <row r="605" ht="15.75" customHeight="1">
      <c r="A605" s="70"/>
      <c r="B605" s="71"/>
      <c r="C605" s="71"/>
      <c r="D605" s="71"/>
      <c r="E605" s="71"/>
      <c r="F605" s="71"/>
    </row>
    <row r="606" ht="15.75" customHeight="1">
      <c r="A606" s="70"/>
      <c r="B606" s="71"/>
      <c r="C606" s="71"/>
      <c r="D606" s="71"/>
      <c r="E606" s="71"/>
      <c r="F606" s="71"/>
    </row>
    <row r="607" ht="15.75" customHeight="1">
      <c r="A607" s="70"/>
      <c r="B607" s="71"/>
      <c r="C607" s="71"/>
      <c r="D607" s="71"/>
      <c r="E607" s="71"/>
      <c r="F607" s="71"/>
    </row>
    <row r="608" ht="15.75" customHeight="1">
      <c r="A608" s="70"/>
      <c r="B608" s="71"/>
      <c r="C608" s="71"/>
      <c r="D608" s="71"/>
      <c r="E608" s="71"/>
      <c r="F608" s="71"/>
    </row>
    <row r="609" ht="15.75" customHeight="1">
      <c r="A609" s="70"/>
      <c r="B609" s="71"/>
      <c r="C609" s="71"/>
      <c r="D609" s="71"/>
      <c r="E609" s="71"/>
      <c r="F609" s="71"/>
    </row>
    <row r="610" ht="15.75" customHeight="1">
      <c r="A610" s="70"/>
      <c r="B610" s="71"/>
      <c r="C610" s="71"/>
      <c r="D610" s="71"/>
      <c r="E610" s="71"/>
      <c r="F610" s="71"/>
    </row>
    <row r="611" ht="15.75" customHeight="1">
      <c r="A611" s="70"/>
      <c r="B611" s="71"/>
      <c r="C611" s="71"/>
      <c r="D611" s="71"/>
      <c r="E611" s="71"/>
      <c r="F611" s="71"/>
    </row>
    <row r="612" ht="15.75" customHeight="1">
      <c r="A612" s="70"/>
      <c r="B612" s="71"/>
      <c r="C612" s="71"/>
      <c r="D612" s="71"/>
      <c r="E612" s="71"/>
      <c r="F612" s="71"/>
    </row>
    <row r="613" ht="15.75" customHeight="1">
      <c r="A613" s="70"/>
      <c r="B613" s="71"/>
      <c r="C613" s="71"/>
      <c r="D613" s="71"/>
      <c r="E613" s="71"/>
      <c r="F613" s="71"/>
    </row>
    <row r="614" ht="15.75" customHeight="1">
      <c r="A614" s="70"/>
      <c r="B614" s="71"/>
      <c r="C614" s="71"/>
      <c r="D614" s="71"/>
      <c r="E614" s="71"/>
      <c r="F614" s="71"/>
    </row>
    <row r="615" ht="15.75" customHeight="1">
      <c r="A615" s="70"/>
      <c r="B615" s="71"/>
      <c r="C615" s="71"/>
      <c r="D615" s="71"/>
      <c r="E615" s="71"/>
      <c r="F615" s="71"/>
    </row>
    <row r="616" ht="15.75" customHeight="1">
      <c r="A616" s="70"/>
      <c r="B616" s="71"/>
      <c r="C616" s="71"/>
      <c r="D616" s="71"/>
      <c r="E616" s="71"/>
      <c r="F616" s="71"/>
    </row>
    <row r="617" ht="15.75" customHeight="1">
      <c r="A617" s="70"/>
      <c r="B617" s="71"/>
      <c r="C617" s="71"/>
      <c r="D617" s="71"/>
      <c r="E617" s="71"/>
      <c r="F617" s="71"/>
    </row>
    <row r="618" ht="15.75" customHeight="1">
      <c r="A618" s="70"/>
      <c r="B618" s="71"/>
      <c r="C618" s="71"/>
      <c r="D618" s="71"/>
      <c r="E618" s="71"/>
      <c r="F618" s="71"/>
    </row>
    <row r="619" ht="15.75" customHeight="1">
      <c r="A619" s="70"/>
      <c r="B619" s="71"/>
      <c r="C619" s="71"/>
      <c r="D619" s="71"/>
      <c r="E619" s="71"/>
      <c r="F619" s="71"/>
    </row>
    <row r="620" ht="15.75" customHeight="1">
      <c r="A620" s="70"/>
      <c r="B620" s="71"/>
      <c r="C620" s="71"/>
      <c r="D620" s="71"/>
      <c r="E620" s="71"/>
      <c r="F620" s="71"/>
    </row>
    <row r="621" ht="15.75" customHeight="1">
      <c r="A621" s="70"/>
      <c r="B621" s="71"/>
      <c r="C621" s="71"/>
      <c r="D621" s="71"/>
      <c r="E621" s="71"/>
      <c r="F621" s="71"/>
    </row>
    <row r="622" ht="15.75" customHeight="1">
      <c r="A622" s="70"/>
      <c r="B622" s="71"/>
      <c r="C622" s="71"/>
      <c r="D622" s="71"/>
      <c r="E622" s="71"/>
      <c r="F622" s="71"/>
    </row>
    <row r="623" ht="15.75" customHeight="1">
      <c r="A623" s="70"/>
      <c r="B623" s="71"/>
      <c r="C623" s="71"/>
      <c r="D623" s="71"/>
      <c r="E623" s="71"/>
      <c r="F623" s="71"/>
    </row>
    <row r="624" ht="15.75" customHeight="1">
      <c r="A624" s="70"/>
      <c r="B624" s="71"/>
      <c r="C624" s="71"/>
      <c r="D624" s="71"/>
      <c r="E624" s="71"/>
      <c r="F624" s="71"/>
    </row>
    <row r="625" ht="15.75" customHeight="1">
      <c r="A625" s="70"/>
      <c r="B625" s="71"/>
      <c r="C625" s="71"/>
      <c r="D625" s="71"/>
      <c r="E625" s="71"/>
      <c r="F625" s="71"/>
    </row>
    <row r="626" ht="15.75" customHeight="1">
      <c r="A626" s="70"/>
      <c r="B626" s="71"/>
      <c r="C626" s="71"/>
      <c r="D626" s="71"/>
      <c r="E626" s="71"/>
      <c r="F626" s="71"/>
    </row>
    <row r="627" ht="15.75" customHeight="1">
      <c r="A627" s="70"/>
      <c r="B627" s="71"/>
      <c r="C627" s="71"/>
      <c r="D627" s="71"/>
      <c r="E627" s="71"/>
      <c r="F627" s="71"/>
    </row>
    <row r="628" ht="15.75" customHeight="1">
      <c r="A628" s="70"/>
      <c r="B628" s="71"/>
      <c r="C628" s="71"/>
      <c r="D628" s="71"/>
      <c r="E628" s="71"/>
      <c r="F628" s="71"/>
    </row>
    <row r="629" ht="15.75" customHeight="1">
      <c r="A629" s="70"/>
      <c r="B629" s="71"/>
      <c r="C629" s="71"/>
      <c r="D629" s="71"/>
      <c r="E629" s="71"/>
      <c r="F629" s="71"/>
    </row>
    <row r="630" ht="15.75" customHeight="1">
      <c r="A630" s="70"/>
      <c r="B630" s="71"/>
      <c r="C630" s="71"/>
      <c r="D630" s="71"/>
      <c r="E630" s="71"/>
      <c r="F630" s="71"/>
    </row>
    <row r="631" ht="15.75" customHeight="1">
      <c r="A631" s="70"/>
      <c r="B631" s="71"/>
      <c r="C631" s="71"/>
      <c r="D631" s="71"/>
      <c r="E631" s="71"/>
      <c r="F631" s="71"/>
    </row>
    <row r="632" ht="15.75" customHeight="1">
      <c r="A632" s="70"/>
      <c r="B632" s="71"/>
      <c r="C632" s="71"/>
      <c r="D632" s="71"/>
      <c r="E632" s="71"/>
      <c r="F632" s="71"/>
    </row>
    <row r="633" ht="15.75" customHeight="1">
      <c r="A633" s="70"/>
      <c r="B633" s="71"/>
      <c r="C633" s="71"/>
      <c r="D633" s="71"/>
      <c r="E633" s="71"/>
      <c r="F633" s="71"/>
    </row>
    <row r="634" ht="15.75" customHeight="1">
      <c r="A634" s="70"/>
      <c r="B634" s="71"/>
      <c r="C634" s="71"/>
      <c r="D634" s="71"/>
      <c r="E634" s="71"/>
      <c r="F634" s="71"/>
    </row>
    <row r="635" ht="15.75" customHeight="1">
      <c r="A635" s="70"/>
      <c r="B635" s="71"/>
      <c r="C635" s="71"/>
      <c r="D635" s="71"/>
      <c r="E635" s="71"/>
      <c r="F635" s="71"/>
    </row>
    <row r="636" ht="15.75" customHeight="1">
      <c r="A636" s="70"/>
      <c r="B636" s="71"/>
      <c r="C636" s="71"/>
      <c r="D636" s="71"/>
      <c r="E636" s="71"/>
      <c r="F636" s="71"/>
    </row>
    <row r="637" ht="15.75" customHeight="1">
      <c r="A637" s="70"/>
      <c r="B637" s="71"/>
      <c r="C637" s="71"/>
      <c r="D637" s="71"/>
      <c r="E637" s="71"/>
      <c r="F637" s="71"/>
    </row>
    <row r="638" ht="15.75" customHeight="1">
      <c r="A638" s="70"/>
      <c r="B638" s="71"/>
      <c r="C638" s="71"/>
      <c r="D638" s="71"/>
      <c r="E638" s="71"/>
      <c r="F638" s="71"/>
    </row>
    <row r="639" ht="15.75" customHeight="1">
      <c r="A639" s="70"/>
      <c r="B639" s="71"/>
      <c r="C639" s="71"/>
      <c r="D639" s="71"/>
      <c r="E639" s="71"/>
      <c r="F639" s="71"/>
    </row>
    <row r="640" ht="15.75" customHeight="1">
      <c r="A640" s="70"/>
      <c r="B640" s="71"/>
      <c r="C640" s="71"/>
      <c r="D640" s="71"/>
      <c r="E640" s="71"/>
      <c r="F640" s="71"/>
    </row>
    <row r="641" ht="15.75" customHeight="1">
      <c r="A641" s="70"/>
      <c r="B641" s="71"/>
      <c r="C641" s="71"/>
      <c r="D641" s="71"/>
      <c r="E641" s="71"/>
      <c r="F641" s="71"/>
    </row>
    <row r="642" ht="15.75" customHeight="1">
      <c r="A642" s="70"/>
      <c r="B642" s="71"/>
      <c r="C642" s="71"/>
      <c r="D642" s="71"/>
      <c r="E642" s="71"/>
      <c r="F642" s="71"/>
    </row>
    <row r="643" ht="15.75" customHeight="1">
      <c r="A643" s="70"/>
      <c r="B643" s="71"/>
      <c r="C643" s="71"/>
      <c r="D643" s="71"/>
      <c r="E643" s="71"/>
      <c r="F643" s="71"/>
    </row>
    <row r="644" ht="15.75" customHeight="1">
      <c r="A644" s="70"/>
      <c r="B644" s="71"/>
      <c r="C644" s="71"/>
      <c r="D644" s="71"/>
      <c r="E644" s="71"/>
      <c r="F644" s="71"/>
    </row>
    <row r="645" ht="15.75" customHeight="1">
      <c r="A645" s="70"/>
      <c r="B645" s="71"/>
      <c r="C645" s="71"/>
      <c r="D645" s="71"/>
      <c r="E645" s="71"/>
      <c r="F645" s="71"/>
    </row>
    <row r="646" ht="15.75" customHeight="1">
      <c r="A646" s="70"/>
      <c r="B646" s="71"/>
      <c r="C646" s="71"/>
      <c r="D646" s="71"/>
      <c r="E646" s="71"/>
      <c r="F646" s="71"/>
    </row>
    <row r="647" ht="15.75" customHeight="1">
      <c r="A647" s="70"/>
      <c r="B647" s="71"/>
      <c r="C647" s="71"/>
      <c r="D647" s="71"/>
      <c r="E647" s="71"/>
      <c r="F647" s="71"/>
    </row>
    <row r="648" ht="15.75" customHeight="1">
      <c r="A648" s="70"/>
      <c r="B648" s="71"/>
      <c r="C648" s="71"/>
      <c r="D648" s="71"/>
      <c r="E648" s="71"/>
      <c r="F648" s="71"/>
    </row>
    <row r="649" ht="15.75" customHeight="1">
      <c r="A649" s="70"/>
      <c r="B649" s="71"/>
      <c r="C649" s="71"/>
      <c r="D649" s="71"/>
      <c r="E649" s="71"/>
      <c r="F649" s="71"/>
    </row>
    <row r="650" ht="15.75" customHeight="1">
      <c r="A650" s="70"/>
      <c r="B650" s="71"/>
      <c r="C650" s="71"/>
      <c r="D650" s="71"/>
      <c r="E650" s="71"/>
      <c r="F650" s="71"/>
    </row>
    <row r="651" ht="15.75" customHeight="1">
      <c r="A651" s="70"/>
      <c r="B651" s="71"/>
      <c r="C651" s="71"/>
      <c r="D651" s="71"/>
      <c r="E651" s="71"/>
      <c r="F651" s="71"/>
    </row>
    <row r="652" ht="15.75" customHeight="1">
      <c r="A652" s="70"/>
      <c r="B652" s="71"/>
      <c r="C652" s="71"/>
      <c r="D652" s="71"/>
      <c r="E652" s="71"/>
      <c r="F652" s="71"/>
    </row>
    <row r="653" ht="15.75" customHeight="1">
      <c r="A653" s="70"/>
      <c r="B653" s="71"/>
      <c r="C653" s="71"/>
      <c r="D653" s="71"/>
      <c r="E653" s="71"/>
      <c r="F653" s="71"/>
    </row>
    <row r="654" ht="15.75" customHeight="1">
      <c r="A654" s="70"/>
      <c r="B654" s="71"/>
      <c r="C654" s="71"/>
      <c r="D654" s="71"/>
      <c r="E654" s="71"/>
      <c r="F654" s="71"/>
    </row>
    <row r="655" ht="15.75" customHeight="1">
      <c r="A655" s="70"/>
      <c r="B655" s="71"/>
      <c r="C655" s="71"/>
      <c r="D655" s="71"/>
      <c r="E655" s="71"/>
      <c r="F655" s="71"/>
    </row>
    <row r="656" ht="15.75" customHeight="1">
      <c r="A656" s="70"/>
      <c r="B656" s="71"/>
      <c r="C656" s="71"/>
      <c r="D656" s="71"/>
      <c r="E656" s="71"/>
      <c r="F656" s="71"/>
    </row>
    <row r="657" ht="15.75" customHeight="1">
      <c r="A657" s="70"/>
      <c r="B657" s="71"/>
      <c r="C657" s="71"/>
      <c r="D657" s="71"/>
      <c r="E657" s="71"/>
      <c r="F657" s="71"/>
    </row>
    <row r="658" ht="15.75" customHeight="1">
      <c r="A658" s="70"/>
      <c r="B658" s="71"/>
      <c r="C658" s="71"/>
      <c r="D658" s="71"/>
      <c r="E658" s="71"/>
      <c r="F658" s="71"/>
    </row>
    <row r="659" ht="15.75" customHeight="1">
      <c r="A659" s="70"/>
      <c r="B659" s="71"/>
      <c r="C659" s="71"/>
      <c r="D659" s="71"/>
      <c r="E659" s="71"/>
      <c r="F659" s="71"/>
    </row>
    <row r="660" ht="15.75" customHeight="1">
      <c r="A660" s="70"/>
      <c r="B660" s="71"/>
      <c r="C660" s="71"/>
      <c r="D660" s="71"/>
      <c r="E660" s="71"/>
      <c r="F660" s="71"/>
    </row>
    <row r="661" ht="15.75" customHeight="1">
      <c r="A661" s="70"/>
      <c r="B661" s="71"/>
      <c r="C661" s="71"/>
      <c r="D661" s="71"/>
      <c r="E661" s="71"/>
      <c r="F661" s="71"/>
    </row>
    <row r="662" ht="15.75" customHeight="1">
      <c r="A662" s="70"/>
      <c r="B662" s="71"/>
      <c r="C662" s="71"/>
      <c r="D662" s="71"/>
      <c r="E662" s="71"/>
      <c r="F662" s="71"/>
    </row>
    <row r="663" ht="15.75" customHeight="1">
      <c r="A663" s="70"/>
      <c r="B663" s="71"/>
      <c r="C663" s="71"/>
      <c r="D663" s="71"/>
      <c r="E663" s="71"/>
      <c r="F663" s="71"/>
    </row>
    <row r="664" ht="15.75" customHeight="1">
      <c r="A664" s="70"/>
      <c r="B664" s="71"/>
      <c r="C664" s="71"/>
      <c r="D664" s="71"/>
      <c r="E664" s="71"/>
      <c r="F664" s="71"/>
    </row>
    <row r="665" ht="15.75" customHeight="1">
      <c r="A665" s="70"/>
      <c r="B665" s="71"/>
      <c r="C665" s="71"/>
      <c r="D665" s="71"/>
      <c r="E665" s="71"/>
      <c r="F665" s="71"/>
    </row>
    <row r="666" ht="15.75" customHeight="1">
      <c r="A666" s="70"/>
      <c r="B666" s="71"/>
      <c r="C666" s="71"/>
      <c r="D666" s="71"/>
      <c r="E666" s="71"/>
      <c r="F666" s="71"/>
    </row>
    <row r="667" ht="15.75" customHeight="1">
      <c r="A667" s="70"/>
      <c r="B667" s="71"/>
      <c r="C667" s="71"/>
      <c r="D667" s="71"/>
      <c r="E667" s="71"/>
      <c r="F667" s="71"/>
    </row>
    <row r="668" ht="15.75" customHeight="1">
      <c r="A668" s="70"/>
      <c r="B668" s="71"/>
      <c r="C668" s="71"/>
      <c r="D668" s="71"/>
      <c r="E668" s="71"/>
      <c r="F668" s="71"/>
    </row>
    <row r="669" ht="15.75" customHeight="1">
      <c r="A669" s="70"/>
      <c r="B669" s="71"/>
      <c r="C669" s="71"/>
      <c r="D669" s="71"/>
      <c r="E669" s="71"/>
      <c r="F669" s="71"/>
    </row>
    <row r="670" ht="15.75" customHeight="1">
      <c r="A670" s="70"/>
      <c r="B670" s="71"/>
      <c r="C670" s="71"/>
      <c r="D670" s="71"/>
      <c r="E670" s="71"/>
      <c r="F670" s="71"/>
    </row>
    <row r="671" ht="15.75" customHeight="1">
      <c r="A671" s="70"/>
      <c r="B671" s="71"/>
      <c r="C671" s="71"/>
      <c r="D671" s="71"/>
      <c r="E671" s="71"/>
      <c r="F671" s="71"/>
    </row>
    <row r="672" ht="15.75" customHeight="1">
      <c r="A672" s="70"/>
      <c r="B672" s="71"/>
      <c r="C672" s="71"/>
      <c r="D672" s="71"/>
      <c r="E672" s="71"/>
      <c r="F672" s="71"/>
    </row>
    <row r="673" ht="15.75" customHeight="1">
      <c r="A673" s="70"/>
      <c r="B673" s="71"/>
      <c r="C673" s="71"/>
      <c r="D673" s="71"/>
      <c r="E673" s="71"/>
      <c r="F673" s="71"/>
    </row>
    <row r="674" ht="15.75" customHeight="1">
      <c r="A674" s="70"/>
      <c r="B674" s="71"/>
      <c r="C674" s="71"/>
      <c r="D674" s="71"/>
      <c r="E674" s="71"/>
      <c r="F674" s="71"/>
    </row>
    <row r="675" ht="15.75" customHeight="1">
      <c r="A675" s="70"/>
      <c r="B675" s="71"/>
      <c r="C675" s="71"/>
      <c r="D675" s="71"/>
      <c r="E675" s="71"/>
      <c r="F675" s="71"/>
    </row>
    <row r="676" ht="15.75" customHeight="1">
      <c r="A676" s="70"/>
      <c r="B676" s="71"/>
      <c r="C676" s="71"/>
      <c r="D676" s="71"/>
      <c r="E676" s="71"/>
      <c r="F676" s="71"/>
    </row>
    <row r="677" ht="15.75" customHeight="1">
      <c r="A677" s="70"/>
      <c r="B677" s="71"/>
      <c r="C677" s="71"/>
      <c r="D677" s="71"/>
      <c r="E677" s="71"/>
      <c r="F677" s="71"/>
    </row>
    <row r="678" ht="15.75" customHeight="1">
      <c r="A678" s="70"/>
      <c r="B678" s="71"/>
      <c r="C678" s="71"/>
      <c r="D678" s="71"/>
      <c r="E678" s="71"/>
      <c r="F678" s="71"/>
    </row>
    <row r="679" ht="15.75" customHeight="1">
      <c r="A679" s="70"/>
      <c r="B679" s="71"/>
      <c r="C679" s="71"/>
      <c r="D679" s="71"/>
      <c r="E679" s="71"/>
      <c r="F679" s="71"/>
    </row>
    <row r="680" ht="15.75" customHeight="1">
      <c r="A680" s="70"/>
      <c r="B680" s="71"/>
      <c r="C680" s="71"/>
      <c r="D680" s="71"/>
      <c r="E680" s="71"/>
      <c r="F680" s="71"/>
    </row>
    <row r="681" ht="15.75" customHeight="1">
      <c r="A681" s="70"/>
      <c r="B681" s="71"/>
      <c r="C681" s="71"/>
      <c r="D681" s="71"/>
      <c r="E681" s="71"/>
      <c r="F681" s="71"/>
    </row>
    <row r="682" ht="15.75" customHeight="1">
      <c r="A682" s="70"/>
      <c r="B682" s="71"/>
      <c r="C682" s="71"/>
      <c r="D682" s="71"/>
      <c r="E682" s="71"/>
      <c r="F682" s="71"/>
    </row>
    <row r="683" ht="15.75" customHeight="1">
      <c r="A683" s="70"/>
      <c r="B683" s="71"/>
      <c r="C683" s="71"/>
      <c r="D683" s="71"/>
      <c r="E683" s="71"/>
      <c r="F683" s="71"/>
    </row>
    <row r="684" ht="15.75" customHeight="1">
      <c r="A684" s="70"/>
      <c r="B684" s="71"/>
      <c r="C684" s="71"/>
      <c r="D684" s="71"/>
      <c r="E684" s="71"/>
      <c r="F684" s="71"/>
    </row>
    <row r="685" ht="15.75" customHeight="1">
      <c r="A685" s="70"/>
      <c r="B685" s="71"/>
      <c r="C685" s="71"/>
      <c r="D685" s="71"/>
      <c r="E685" s="71"/>
      <c r="F685" s="71"/>
    </row>
    <row r="686" ht="15.75" customHeight="1">
      <c r="A686" s="70"/>
      <c r="B686" s="71"/>
      <c r="C686" s="71"/>
      <c r="D686" s="71"/>
      <c r="E686" s="71"/>
      <c r="F686" s="71"/>
    </row>
    <row r="687" ht="15.75" customHeight="1">
      <c r="A687" s="70"/>
      <c r="B687" s="71"/>
      <c r="C687" s="71"/>
      <c r="D687" s="71"/>
      <c r="E687" s="71"/>
      <c r="F687" s="71"/>
    </row>
    <row r="688" ht="15.75" customHeight="1">
      <c r="A688" s="70"/>
      <c r="B688" s="71"/>
      <c r="C688" s="71"/>
      <c r="D688" s="71"/>
      <c r="E688" s="71"/>
      <c r="F688" s="71"/>
    </row>
    <row r="689" ht="15.75" customHeight="1">
      <c r="A689" s="70"/>
      <c r="B689" s="71"/>
      <c r="C689" s="71"/>
      <c r="D689" s="71"/>
      <c r="E689" s="71"/>
      <c r="F689" s="71"/>
    </row>
    <row r="690" ht="15.75" customHeight="1">
      <c r="A690" s="70"/>
      <c r="B690" s="71"/>
      <c r="C690" s="71"/>
      <c r="D690" s="71"/>
      <c r="E690" s="71"/>
      <c r="F690" s="71"/>
    </row>
    <row r="691" ht="15.75" customHeight="1">
      <c r="A691" s="70"/>
      <c r="B691" s="71"/>
      <c r="C691" s="71"/>
      <c r="D691" s="71"/>
      <c r="E691" s="71"/>
      <c r="F691" s="71"/>
    </row>
    <row r="692" ht="15.75" customHeight="1">
      <c r="A692" s="70"/>
      <c r="B692" s="71"/>
      <c r="C692" s="71"/>
      <c r="D692" s="71"/>
      <c r="E692" s="71"/>
      <c r="F692" s="71"/>
    </row>
    <row r="693" ht="15.75" customHeight="1">
      <c r="A693" s="70"/>
      <c r="B693" s="71"/>
      <c r="C693" s="71"/>
      <c r="D693" s="71"/>
      <c r="E693" s="71"/>
      <c r="F693" s="71"/>
    </row>
    <row r="694" ht="15.75" customHeight="1">
      <c r="A694" s="70"/>
      <c r="B694" s="71"/>
      <c r="C694" s="71"/>
      <c r="D694" s="71"/>
      <c r="E694" s="71"/>
      <c r="F694" s="71"/>
    </row>
    <row r="695" ht="15.75" customHeight="1">
      <c r="A695" s="70"/>
      <c r="B695" s="71"/>
      <c r="C695" s="71"/>
      <c r="D695" s="71"/>
      <c r="E695" s="71"/>
      <c r="F695" s="71"/>
    </row>
    <row r="696" ht="15.75" customHeight="1">
      <c r="A696" s="70"/>
      <c r="B696" s="71"/>
      <c r="C696" s="71"/>
      <c r="D696" s="71"/>
      <c r="E696" s="71"/>
      <c r="F696" s="71"/>
    </row>
    <row r="697" ht="15.75" customHeight="1">
      <c r="A697" s="70"/>
      <c r="B697" s="71"/>
      <c r="C697" s="71"/>
      <c r="D697" s="71"/>
      <c r="E697" s="71"/>
      <c r="F697" s="71"/>
    </row>
    <row r="698" ht="15.75" customHeight="1">
      <c r="A698" s="70"/>
      <c r="B698" s="71"/>
      <c r="C698" s="71"/>
      <c r="D698" s="71"/>
      <c r="E698" s="71"/>
      <c r="F698" s="71"/>
    </row>
    <row r="699" ht="15.75" customHeight="1">
      <c r="A699" s="70"/>
      <c r="B699" s="71"/>
      <c r="C699" s="71"/>
      <c r="D699" s="71"/>
      <c r="E699" s="71"/>
      <c r="F699" s="71"/>
    </row>
    <row r="700" ht="15.75" customHeight="1">
      <c r="A700" s="70"/>
      <c r="B700" s="71"/>
      <c r="C700" s="71"/>
      <c r="D700" s="71"/>
      <c r="E700" s="71"/>
      <c r="F700" s="71"/>
    </row>
    <row r="701" ht="15.75" customHeight="1">
      <c r="A701" s="70"/>
      <c r="B701" s="71"/>
      <c r="C701" s="71"/>
      <c r="D701" s="71"/>
      <c r="E701" s="71"/>
      <c r="F701" s="71"/>
    </row>
    <row r="702" ht="15.75" customHeight="1">
      <c r="A702" s="70"/>
      <c r="B702" s="71"/>
      <c r="C702" s="71"/>
      <c r="D702" s="71"/>
      <c r="E702" s="71"/>
      <c r="F702" s="71"/>
    </row>
    <row r="703" ht="15.75" customHeight="1">
      <c r="A703" s="70"/>
      <c r="B703" s="71"/>
      <c r="C703" s="71"/>
      <c r="D703" s="71"/>
      <c r="E703" s="71"/>
      <c r="F703" s="71"/>
    </row>
    <row r="704" ht="15.75" customHeight="1">
      <c r="A704" s="70"/>
      <c r="B704" s="71"/>
      <c r="C704" s="71"/>
      <c r="D704" s="71"/>
      <c r="E704" s="71"/>
      <c r="F704" s="71"/>
    </row>
    <row r="705" ht="15.75" customHeight="1">
      <c r="A705" s="70"/>
      <c r="B705" s="71"/>
      <c r="C705" s="71"/>
      <c r="D705" s="71"/>
      <c r="E705" s="71"/>
      <c r="F705" s="71"/>
    </row>
    <row r="706" ht="15.75" customHeight="1">
      <c r="A706" s="70"/>
      <c r="B706" s="71"/>
      <c r="C706" s="71"/>
      <c r="D706" s="71"/>
      <c r="E706" s="71"/>
      <c r="F706" s="71"/>
    </row>
    <row r="707" ht="15.75" customHeight="1">
      <c r="A707" s="70"/>
      <c r="B707" s="71"/>
      <c r="C707" s="71"/>
      <c r="D707" s="71"/>
      <c r="E707" s="71"/>
      <c r="F707" s="71"/>
    </row>
    <row r="708" ht="15.75" customHeight="1">
      <c r="A708" s="70"/>
      <c r="B708" s="71"/>
      <c r="C708" s="71"/>
      <c r="D708" s="71"/>
      <c r="E708" s="71"/>
      <c r="F708" s="71"/>
    </row>
    <row r="709" ht="15.75" customHeight="1">
      <c r="A709" s="70"/>
      <c r="B709" s="71"/>
      <c r="C709" s="71"/>
      <c r="D709" s="71"/>
      <c r="E709" s="71"/>
      <c r="F709" s="71"/>
    </row>
    <row r="710" ht="15.75" customHeight="1">
      <c r="A710" s="70"/>
      <c r="B710" s="71"/>
      <c r="C710" s="71"/>
      <c r="D710" s="71"/>
      <c r="E710" s="71"/>
      <c r="F710" s="71"/>
    </row>
    <row r="711" ht="15.75" customHeight="1">
      <c r="A711" s="70"/>
      <c r="B711" s="71"/>
      <c r="C711" s="71"/>
      <c r="D711" s="71"/>
      <c r="E711" s="71"/>
      <c r="F711" s="71"/>
    </row>
    <row r="712" ht="15.75" customHeight="1">
      <c r="A712" s="70"/>
      <c r="B712" s="71"/>
      <c r="C712" s="71"/>
      <c r="D712" s="71"/>
      <c r="E712" s="71"/>
      <c r="F712" s="71"/>
    </row>
    <row r="713" ht="15.75" customHeight="1">
      <c r="A713" s="70"/>
      <c r="B713" s="71"/>
      <c r="C713" s="71"/>
      <c r="D713" s="71"/>
      <c r="E713" s="71"/>
      <c r="F713" s="71"/>
    </row>
    <row r="714" ht="15.75" customHeight="1">
      <c r="A714" s="70"/>
      <c r="B714" s="71"/>
      <c r="C714" s="71"/>
      <c r="D714" s="71"/>
      <c r="E714" s="71"/>
      <c r="F714" s="71"/>
    </row>
    <row r="715" ht="15.75" customHeight="1">
      <c r="A715" s="70"/>
      <c r="B715" s="71"/>
      <c r="C715" s="71"/>
      <c r="D715" s="71"/>
      <c r="E715" s="71"/>
      <c r="F715" s="71"/>
    </row>
    <row r="716" ht="15.75" customHeight="1">
      <c r="A716" s="70"/>
      <c r="B716" s="71"/>
      <c r="C716" s="71"/>
      <c r="D716" s="71"/>
      <c r="E716" s="71"/>
      <c r="F716" s="71"/>
    </row>
    <row r="717" ht="15.75" customHeight="1">
      <c r="A717" s="70"/>
      <c r="B717" s="71"/>
      <c r="C717" s="71"/>
      <c r="D717" s="71"/>
      <c r="E717" s="71"/>
      <c r="F717" s="71"/>
    </row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3:G517 I3:I517">
      <formula1>#REF!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9.25"/>
    <col customWidth="1" min="3" max="4" width="12.63"/>
    <col customWidth="1" min="5" max="5" width="32.0"/>
    <col customWidth="1" min="6" max="6" width="6.13"/>
    <col customWidth="1" min="7" max="8" width="36.13"/>
    <col customWidth="1" min="10" max="12" width="7.38"/>
  </cols>
  <sheetData>
    <row r="1" ht="15.75" customHeight="1">
      <c r="A1" s="90"/>
    </row>
    <row r="2" ht="15.75" customHeight="1">
      <c r="A2" s="91" t="s">
        <v>1299</v>
      </c>
      <c r="B2" s="91" t="s">
        <v>158</v>
      </c>
      <c r="C2" s="91" t="s">
        <v>776</v>
      </c>
      <c r="D2" s="91" t="s">
        <v>777</v>
      </c>
      <c r="E2" s="91" t="s">
        <v>1300</v>
      </c>
      <c r="F2" s="91" t="s">
        <v>1301</v>
      </c>
      <c r="G2" s="91" t="s">
        <v>1302</v>
      </c>
      <c r="H2" s="91" t="s">
        <v>1303</v>
      </c>
      <c r="I2" s="90"/>
      <c r="J2" s="90"/>
      <c r="K2" s="90"/>
      <c r="L2" s="90"/>
    </row>
    <row r="3" ht="15.75" customHeight="1">
      <c r="A3" s="91">
        <v>1.0</v>
      </c>
      <c r="B3" s="92" t="s">
        <v>21</v>
      </c>
      <c r="C3" s="92" t="s">
        <v>855</v>
      </c>
      <c r="D3" s="92">
        <v>2.52610338E8</v>
      </c>
      <c r="E3" s="93" t="s">
        <v>232</v>
      </c>
      <c r="F3" s="92" t="s">
        <v>782</v>
      </c>
      <c r="G3" s="94" t="s">
        <v>1304</v>
      </c>
      <c r="H3" s="94" t="s">
        <v>1305</v>
      </c>
    </row>
    <row r="4" ht="15.75" customHeight="1">
      <c r="A4" s="91">
        <v>2.0</v>
      </c>
      <c r="B4" s="92" t="s">
        <v>37</v>
      </c>
      <c r="C4" s="92" t="s">
        <v>927</v>
      </c>
      <c r="D4" s="92">
        <v>2.52610275E8</v>
      </c>
      <c r="E4" s="94" t="s">
        <v>228</v>
      </c>
      <c r="F4" s="92" t="s">
        <v>782</v>
      </c>
      <c r="G4" s="94" t="s">
        <v>1306</v>
      </c>
      <c r="H4" s="94" t="s">
        <v>1307</v>
      </c>
    </row>
    <row r="5" ht="15.75" customHeight="1">
      <c r="A5" s="91">
        <v>3.0</v>
      </c>
      <c r="B5" s="92" t="s">
        <v>37</v>
      </c>
      <c r="C5" s="92" t="s">
        <v>936</v>
      </c>
      <c r="D5" s="92">
        <v>2.52610378E8</v>
      </c>
      <c r="E5" s="94" t="s">
        <v>236</v>
      </c>
      <c r="F5" s="92" t="s">
        <v>782</v>
      </c>
      <c r="G5" s="94" t="s">
        <v>1308</v>
      </c>
      <c r="H5" s="94" t="s">
        <v>1309</v>
      </c>
    </row>
    <row r="6" ht="15.75" customHeight="1">
      <c r="A6" s="91">
        <v>4.0</v>
      </c>
      <c r="B6" s="92" t="s">
        <v>42</v>
      </c>
      <c r="C6" s="92" t="s">
        <v>975</v>
      </c>
      <c r="D6" s="92">
        <v>2.52610361E8</v>
      </c>
      <c r="E6" s="94" t="s">
        <v>234</v>
      </c>
      <c r="F6" s="92" t="s">
        <v>782</v>
      </c>
      <c r="G6" s="94" t="s">
        <v>1310</v>
      </c>
      <c r="H6" s="94" t="s">
        <v>1311</v>
      </c>
    </row>
    <row r="7" ht="15.75" customHeight="1">
      <c r="A7" s="91">
        <v>5.0</v>
      </c>
      <c r="B7" s="92" t="s">
        <v>52</v>
      </c>
      <c r="C7" s="92" t="s">
        <v>1041</v>
      </c>
      <c r="D7" s="92">
        <v>2.52610197E8</v>
      </c>
      <c r="E7" s="94" t="s">
        <v>226</v>
      </c>
      <c r="F7" s="92" t="s">
        <v>782</v>
      </c>
      <c r="G7" s="94" t="s">
        <v>1312</v>
      </c>
      <c r="H7" s="94" t="s">
        <v>1313</v>
      </c>
    </row>
    <row r="8" ht="15.75" customHeight="1">
      <c r="A8" s="91">
        <v>6.0</v>
      </c>
      <c r="B8" s="92" t="s">
        <v>58</v>
      </c>
      <c r="C8" s="92" t="s">
        <v>1103</v>
      </c>
      <c r="D8" s="92">
        <v>2.52610353E8</v>
      </c>
      <c r="E8" s="93" t="s">
        <v>233</v>
      </c>
      <c r="F8" s="92" t="s">
        <v>782</v>
      </c>
      <c r="G8" s="94" t="s">
        <v>1314</v>
      </c>
      <c r="H8" s="94" t="s">
        <v>1305</v>
      </c>
    </row>
    <row r="9" ht="15.75" customHeight="1">
      <c r="A9" s="91">
        <v>7.0</v>
      </c>
      <c r="B9" s="92" t="s">
        <v>58</v>
      </c>
      <c r="C9" s="92" t="s">
        <v>1116</v>
      </c>
      <c r="D9" s="92">
        <v>2.5261047E8</v>
      </c>
      <c r="E9" s="93" t="s">
        <v>238</v>
      </c>
      <c r="F9" s="92" t="s">
        <v>782</v>
      </c>
      <c r="G9" s="94" t="s">
        <v>1315</v>
      </c>
      <c r="H9" s="94" t="s">
        <v>1305</v>
      </c>
    </row>
    <row r="10" ht="15.75" customHeight="1">
      <c r="A10" s="91">
        <v>8.0</v>
      </c>
      <c r="B10" s="92" t="s">
        <v>63</v>
      </c>
      <c r="C10" s="92" t="s">
        <v>1122</v>
      </c>
      <c r="D10" s="92">
        <v>2.52610003E8</v>
      </c>
      <c r="E10" s="94" t="s">
        <v>222</v>
      </c>
      <c r="F10" s="92" t="s">
        <v>782</v>
      </c>
      <c r="G10" s="94" t="s">
        <v>1316</v>
      </c>
      <c r="H10" s="94" t="s">
        <v>1305</v>
      </c>
    </row>
    <row r="11" ht="15.75" customHeight="1">
      <c r="A11" s="91">
        <v>9.0</v>
      </c>
      <c r="B11" s="92" t="s">
        <v>69</v>
      </c>
      <c r="C11" s="92" t="s">
        <v>1168</v>
      </c>
      <c r="D11" s="92">
        <v>2.52610001E8</v>
      </c>
      <c r="E11" s="94" t="s">
        <v>221</v>
      </c>
      <c r="F11" s="92" t="s">
        <v>782</v>
      </c>
      <c r="G11" s="94" t="s">
        <v>1317</v>
      </c>
      <c r="H11" s="94" t="s">
        <v>1311</v>
      </c>
    </row>
    <row r="12" ht="15.75" customHeight="1">
      <c r="A12" s="91">
        <v>10.0</v>
      </c>
      <c r="B12" s="92" t="s">
        <v>69</v>
      </c>
      <c r="C12" s="92" t="s">
        <v>1197</v>
      </c>
      <c r="D12" s="92">
        <v>2.52610375E8</v>
      </c>
      <c r="E12" s="94" t="s">
        <v>235</v>
      </c>
      <c r="F12" s="92" t="s">
        <v>782</v>
      </c>
      <c r="G12" s="94" t="s">
        <v>1318</v>
      </c>
      <c r="H12" s="94" t="s">
        <v>1311</v>
      </c>
    </row>
    <row r="13" ht="15.75" customHeight="1">
      <c r="A13" s="90"/>
    </row>
    <row r="14" ht="15.75" customHeight="1">
      <c r="A14" s="90"/>
    </row>
    <row r="15" ht="15.75" customHeight="1">
      <c r="A15" s="90"/>
    </row>
    <row r="16" ht="15.75" customHeight="1">
      <c r="A16" s="90"/>
    </row>
    <row r="17" ht="15.75" customHeight="1">
      <c r="A17" s="90"/>
    </row>
    <row r="18" ht="15.75" customHeight="1">
      <c r="A18" s="90"/>
    </row>
    <row r="19" ht="15.75" customHeight="1">
      <c r="A19" s="90"/>
    </row>
    <row r="20" ht="15.75" customHeight="1">
      <c r="A20" s="90"/>
    </row>
    <row r="21" ht="15.75" customHeight="1">
      <c r="A21" s="90"/>
    </row>
    <row r="22" ht="15.75" customHeight="1">
      <c r="A22" s="90"/>
    </row>
    <row r="23" ht="15.75" customHeight="1">
      <c r="A23" s="90"/>
    </row>
    <row r="24" ht="15.75" customHeight="1">
      <c r="A24" s="90"/>
    </row>
    <row r="25" ht="15.75" customHeight="1">
      <c r="A25" s="90"/>
    </row>
    <row r="26" ht="15.75" customHeight="1">
      <c r="A26" s="90"/>
    </row>
    <row r="27" ht="15.75" customHeight="1">
      <c r="A27" s="90"/>
    </row>
    <row r="28" ht="15.75" customHeight="1">
      <c r="A28" s="90"/>
    </row>
    <row r="29" ht="15.75" customHeight="1">
      <c r="A29" s="90"/>
    </row>
    <row r="30" ht="15.75" customHeight="1">
      <c r="A30" s="90"/>
    </row>
    <row r="31" ht="15.75" customHeight="1">
      <c r="A31" s="90"/>
    </row>
    <row r="32" ht="15.75" customHeight="1">
      <c r="A32" s="90"/>
    </row>
    <row r="33" ht="15.75" customHeight="1">
      <c r="A33" s="90"/>
    </row>
    <row r="34" ht="15.75" customHeight="1">
      <c r="A34" s="90"/>
    </row>
    <row r="35" ht="15.75" customHeight="1">
      <c r="A35" s="90"/>
    </row>
    <row r="36" ht="15.75" customHeight="1">
      <c r="A36" s="90"/>
    </row>
    <row r="37" ht="15.75" customHeight="1">
      <c r="A37" s="90"/>
    </row>
    <row r="38" ht="15.75" customHeight="1">
      <c r="A38" s="90"/>
    </row>
    <row r="39" ht="15.75" customHeight="1">
      <c r="A39" s="90"/>
    </row>
    <row r="40" ht="15.75" customHeight="1">
      <c r="A40" s="90"/>
    </row>
    <row r="41" ht="15.75" customHeight="1">
      <c r="A41" s="90"/>
    </row>
    <row r="42" ht="15.75" customHeight="1">
      <c r="A42" s="90"/>
    </row>
    <row r="43" ht="15.75" customHeight="1">
      <c r="A43" s="90"/>
    </row>
    <row r="44" ht="15.75" customHeight="1">
      <c r="A44" s="90"/>
    </row>
    <row r="45" ht="15.75" customHeight="1">
      <c r="A45" s="90"/>
    </row>
    <row r="46" ht="15.75" customHeight="1">
      <c r="A46" s="90"/>
    </row>
    <row r="47" ht="15.75" customHeight="1">
      <c r="A47" s="90"/>
    </row>
    <row r="48" ht="15.75" customHeight="1">
      <c r="A48" s="90"/>
    </row>
    <row r="49" ht="15.75" customHeight="1">
      <c r="A49" s="90"/>
    </row>
    <row r="50" ht="15.75" customHeight="1">
      <c r="A50" s="90"/>
    </row>
    <row r="51" ht="15.75" customHeight="1">
      <c r="A51" s="90"/>
    </row>
    <row r="52" ht="15.75" customHeight="1">
      <c r="A52" s="90"/>
    </row>
    <row r="53" ht="15.75" customHeight="1">
      <c r="A53" s="90"/>
    </row>
    <row r="54" ht="15.75" customHeight="1">
      <c r="A54" s="90"/>
    </row>
    <row r="55" ht="15.75" customHeight="1">
      <c r="A55" s="90"/>
    </row>
    <row r="56" ht="15.75" customHeight="1">
      <c r="A56" s="90"/>
    </row>
    <row r="57" ht="15.75" customHeight="1">
      <c r="A57" s="90"/>
    </row>
    <row r="58" ht="15.75" customHeight="1">
      <c r="A58" s="90"/>
    </row>
    <row r="59" ht="15.75" customHeight="1">
      <c r="A59" s="90"/>
    </row>
    <row r="60" ht="15.75" customHeight="1">
      <c r="A60" s="90"/>
    </row>
    <row r="61" ht="15.75" customHeight="1">
      <c r="A61" s="90"/>
    </row>
    <row r="62" ht="15.75" customHeight="1">
      <c r="A62" s="90"/>
    </row>
    <row r="63" ht="15.75" customHeight="1">
      <c r="A63" s="90"/>
    </row>
    <row r="64" ht="15.75" customHeight="1">
      <c r="A64" s="90"/>
    </row>
    <row r="65" ht="15.75" customHeight="1">
      <c r="A65" s="90"/>
    </row>
    <row r="66" ht="15.75" customHeight="1">
      <c r="A66" s="90"/>
    </row>
    <row r="67" ht="15.75" customHeight="1">
      <c r="A67" s="90"/>
    </row>
    <row r="68" ht="15.75" customHeight="1">
      <c r="A68" s="90"/>
    </row>
    <row r="69" ht="15.75" customHeight="1">
      <c r="A69" s="90"/>
    </row>
    <row r="70" ht="15.75" customHeight="1">
      <c r="A70" s="90"/>
    </row>
    <row r="71" ht="15.75" customHeight="1">
      <c r="A71" s="90"/>
    </row>
    <row r="72" ht="15.75" customHeight="1">
      <c r="A72" s="90"/>
    </row>
    <row r="73" ht="15.75" customHeight="1">
      <c r="A73" s="90"/>
    </row>
    <row r="74" ht="15.75" customHeight="1">
      <c r="A74" s="90"/>
    </row>
    <row r="75" ht="15.75" customHeight="1">
      <c r="A75" s="90"/>
    </row>
    <row r="76" ht="15.75" customHeight="1">
      <c r="A76" s="90"/>
    </row>
    <row r="77" ht="15.75" customHeight="1">
      <c r="A77" s="90"/>
    </row>
    <row r="78" ht="15.75" customHeight="1">
      <c r="A78" s="90"/>
    </row>
    <row r="79" ht="15.75" customHeight="1">
      <c r="A79" s="90"/>
    </row>
    <row r="80" ht="15.75" customHeight="1">
      <c r="A80" s="90"/>
    </row>
    <row r="81" ht="15.75" customHeight="1">
      <c r="A81" s="90"/>
    </row>
    <row r="82" ht="15.75" customHeight="1">
      <c r="A82" s="90"/>
    </row>
    <row r="83" ht="15.75" customHeight="1">
      <c r="A83" s="90"/>
    </row>
    <row r="84" ht="15.75" customHeight="1">
      <c r="A84" s="90"/>
    </row>
    <row r="85" ht="15.75" customHeight="1">
      <c r="A85" s="90"/>
    </row>
    <row r="86" ht="15.75" customHeight="1">
      <c r="A86" s="90"/>
    </row>
    <row r="87" ht="15.75" customHeight="1">
      <c r="A87" s="90"/>
    </row>
    <row r="88" ht="15.75" customHeight="1">
      <c r="A88" s="90"/>
    </row>
    <row r="89" ht="15.75" customHeight="1">
      <c r="A89" s="90"/>
    </row>
    <row r="90" ht="15.75" customHeight="1">
      <c r="A90" s="90"/>
    </row>
    <row r="91" ht="15.75" customHeight="1">
      <c r="A91" s="90"/>
    </row>
    <row r="92" ht="15.75" customHeight="1">
      <c r="A92" s="90"/>
    </row>
    <row r="93" ht="15.75" customHeight="1">
      <c r="A93" s="90"/>
    </row>
    <row r="94" ht="15.75" customHeight="1">
      <c r="A94" s="90"/>
    </row>
    <row r="95" ht="15.75" customHeight="1">
      <c r="A95" s="90"/>
    </row>
    <row r="96" ht="15.75" customHeight="1">
      <c r="A96" s="90"/>
    </row>
    <row r="97" ht="15.75" customHeight="1">
      <c r="A97" s="90"/>
    </row>
    <row r="98" ht="15.75" customHeight="1">
      <c r="A98" s="90"/>
    </row>
    <row r="99" ht="15.75" customHeight="1">
      <c r="A99" s="90"/>
    </row>
    <row r="100" ht="15.75" customHeight="1">
      <c r="A100" s="90"/>
    </row>
    <row r="101" ht="15.75" customHeight="1">
      <c r="A101" s="90"/>
    </row>
    <row r="102" ht="15.75" customHeight="1">
      <c r="A102" s="90"/>
    </row>
    <row r="103" ht="15.75" customHeight="1">
      <c r="A103" s="90"/>
    </row>
    <row r="104" ht="15.75" customHeight="1">
      <c r="A104" s="90"/>
    </row>
    <row r="105" ht="15.75" customHeight="1">
      <c r="A105" s="90"/>
    </row>
    <row r="106" ht="15.75" customHeight="1">
      <c r="A106" s="90"/>
    </row>
    <row r="107" ht="15.75" customHeight="1">
      <c r="A107" s="90"/>
    </row>
    <row r="108" ht="15.75" customHeight="1">
      <c r="A108" s="90"/>
    </row>
    <row r="109" ht="15.75" customHeight="1">
      <c r="A109" s="90"/>
    </row>
    <row r="110" ht="15.75" customHeight="1">
      <c r="A110" s="90"/>
    </row>
    <row r="111" ht="15.75" customHeight="1">
      <c r="A111" s="90"/>
    </row>
    <row r="112" ht="15.75" customHeight="1">
      <c r="A112" s="90"/>
    </row>
    <row r="113" ht="15.75" customHeight="1">
      <c r="A113" s="90"/>
    </row>
    <row r="114" ht="15.75" customHeight="1">
      <c r="A114" s="90"/>
    </row>
    <row r="115" ht="15.75" customHeight="1">
      <c r="A115" s="90"/>
    </row>
    <row r="116" ht="15.75" customHeight="1">
      <c r="A116" s="90"/>
    </row>
    <row r="117" ht="15.75" customHeight="1">
      <c r="A117" s="90"/>
    </row>
    <row r="118" ht="15.75" customHeight="1">
      <c r="A118" s="90"/>
    </row>
    <row r="119" ht="15.75" customHeight="1">
      <c r="A119" s="90"/>
    </row>
    <row r="120" ht="15.75" customHeight="1">
      <c r="A120" s="90"/>
    </row>
    <row r="121" ht="15.75" customHeight="1">
      <c r="A121" s="90"/>
    </row>
    <row r="122" ht="15.75" customHeight="1">
      <c r="A122" s="90"/>
    </row>
    <row r="123" ht="15.75" customHeight="1">
      <c r="A123" s="90"/>
    </row>
    <row r="124" ht="15.75" customHeight="1">
      <c r="A124" s="90"/>
    </row>
    <row r="125" ht="15.75" customHeight="1">
      <c r="A125" s="90"/>
    </row>
    <row r="126" ht="15.75" customHeight="1">
      <c r="A126" s="90"/>
    </row>
    <row r="127" ht="15.75" customHeight="1">
      <c r="A127" s="90"/>
    </row>
    <row r="128" ht="15.75" customHeight="1">
      <c r="A128" s="90"/>
    </row>
    <row r="129" ht="15.75" customHeight="1">
      <c r="A129" s="90"/>
    </row>
    <row r="130" ht="15.75" customHeight="1">
      <c r="A130" s="90"/>
    </row>
    <row r="131" ht="15.75" customHeight="1">
      <c r="A131" s="90"/>
    </row>
    <row r="132" ht="15.75" customHeight="1">
      <c r="A132" s="90"/>
    </row>
    <row r="133" ht="15.75" customHeight="1">
      <c r="A133" s="90"/>
    </row>
    <row r="134" ht="15.75" customHeight="1">
      <c r="A134" s="90"/>
    </row>
    <row r="135" ht="15.75" customHeight="1">
      <c r="A135" s="90"/>
    </row>
    <row r="136" ht="15.75" customHeight="1">
      <c r="A136" s="90"/>
    </row>
    <row r="137" ht="15.75" customHeight="1">
      <c r="A137" s="90"/>
    </row>
    <row r="138" ht="15.75" customHeight="1">
      <c r="A138" s="90"/>
    </row>
    <row r="139" ht="15.75" customHeight="1">
      <c r="A139" s="90"/>
    </row>
    <row r="140" ht="15.75" customHeight="1">
      <c r="A140" s="90"/>
    </row>
    <row r="141" ht="15.75" customHeight="1">
      <c r="A141" s="90"/>
    </row>
    <row r="142" ht="15.75" customHeight="1">
      <c r="A142" s="90"/>
    </row>
    <row r="143" ht="15.75" customHeight="1">
      <c r="A143" s="90"/>
    </row>
    <row r="144" ht="15.75" customHeight="1">
      <c r="A144" s="90"/>
    </row>
    <row r="145" ht="15.75" customHeight="1">
      <c r="A145" s="90"/>
    </row>
    <row r="146" ht="15.75" customHeight="1">
      <c r="A146" s="90"/>
    </row>
    <row r="147" ht="15.75" customHeight="1">
      <c r="A147" s="90"/>
    </row>
    <row r="148" ht="15.75" customHeight="1">
      <c r="A148" s="90"/>
    </row>
    <row r="149" ht="15.75" customHeight="1">
      <c r="A149" s="90"/>
    </row>
    <row r="150" ht="15.75" customHeight="1">
      <c r="A150" s="90"/>
    </row>
    <row r="151" ht="15.75" customHeight="1">
      <c r="A151" s="90"/>
    </row>
    <row r="152" ht="15.75" customHeight="1">
      <c r="A152" s="90"/>
    </row>
    <row r="153" ht="15.75" customHeight="1">
      <c r="A153" s="90"/>
    </row>
    <row r="154" ht="15.75" customHeight="1">
      <c r="A154" s="90"/>
    </row>
    <row r="155" ht="15.75" customHeight="1">
      <c r="A155" s="90"/>
    </row>
    <row r="156" ht="15.75" customHeight="1">
      <c r="A156" s="90"/>
    </row>
    <row r="157" ht="15.75" customHeight="1">
      <c r="A157" s="90"/>
    </row>
    <row r="158" ht="15.75" customHeight="1">
      <c r="A158" s="90"/>
    </row>
    <row r="159" ht="15.75" customHeight="1">
      <c r="A159" s="90"/>
    </row>
    <row r="160" ht="15.75" customHeight="1">
      <c r="A160" s="90"/>
    </row>
    <row r="161" ht="15.75" customHeight="1">
      <c r="A161" s="90"/>
    </row>
    <row r="162" ht="15.75" customHeight="1">
      <c r="A162" s="90"/>
    </row>
    <row r="163" ht="15.75" customHeight="1">
      <c r="A163" s="90"/>
    </row>
    <row r="164" ht="15.75" customHeight="1">
      <c r="A164" s="90"/>
    </row>
    <row r="165" ht="15.75" customHeight="1">
      <c r="A165" s="90"/>
    </row>
    <row r="166" ht="15.75" customHeight="1">
      <c r="A166" s="90"/>
    </row>
    <row r="167" ht="15.75" customHeight="1">
      <c r="A167" s="90"/>
    </row>
    <row r="168" ht="15.75" customHeight="1">
      <c r="A168" s="90"/>
    </row>
    <row r="169" ht="15.75" customHeight="1">
      <c r="A169" s="90"/>
    </row>
    <row r="170" ht="15.75" customHeight="1">
      <c r="A170" s="90"/>
    </row>
    <row r="171" ht="15.75" customHeight="1">
      <c r="A171" s="90"/>
    </row>
    <row r="172" ht="15.75" customHeight="1">
      <c r="A172" s="90"/>
    </row>
    <row r="173" ht="15.75" customHeight="1">
      <c r="A173" s="90"/>
    </row>
    <row r="174" ht="15.75" customHeight="1">
      <c r="A174" s="90"/>
    </row>
    <row r="175" ht="15.75" customHeight="1">
      <c r="A175" s="90"/>
    </row>
    <row r="176" ht="15.75" customHeight="1">
      <c r="A176" s="90"/>
    </row>
    <row r="177" ht="15.75" customHeight="1">
      <c r="A177" s="90"/>
    </row>
    <row r="178" ht="15.75" customHeight="1">
      <c r="A178" s="90"/>
    </row>
    <row r="179" ht="15.75" customHeight="1">
      <c r="A179" s="90"/>
    </row>
    <row r="180" ht="15.75" customHeight="1">
      <c r="A180" s="90"/>
    </row>
    <row r="181" ht="15.75" customHeight="1">
      <c r="A181" s="90"/>
    </row>
    <row r="182" ht="15.75" customHeight="1">
      <c r="A182" s="90"/>
    </row>
    <row r="183" ht="15.75" customHeight="1">
      <c r="A183" s="90"/>
    </row>
    <row r="184" ht="15.75" customHeight="1">
      <c r="A184" s="90"/>
    </row>
    <row r="185" ht="15.75" customHeight="1">
      <c r="A185" s="90"/>
    </row>
    <row r="186" ht="15.75" customHeight="1">
      <c r="A186" s="90"/>
    </row>
    <row r="187" ht="15.75" customHeight="1">
      <c r="A187" s="90"/>
    </row>
    <row r="188" ht="15.75" customHeight="1">
      <c r="A188" s="90"/>
    </row>
    <row r="189" ht="15.75" customHeight="1">
      <c r="A189" s="90"/>
    </row>
    <row r="190" ht="15.75" customHeight="1">
      <c r="A190" s="90"/>
    </row>
    <row r="191" ht="15.75" customHeight="1">
      <c r="A191" s="90"/>
    </row>
    <row r="192" ht="15.75" customHeight="1">
      <c r="A192" s="90"/>
    </row>
    <row r="193" ht="15.75" customHeight="1">
      <c r="A193" s="90"/>
    </row>
    <row r="194" ht="15.75" customHeight="1">
      <c r="A194" s="90"/>
    </row>
    <row r="195" ht="15.75" customHeight="1">
      <c r="A195" s="90"/>
    </row>
    <row r="196" ht="15.75" customHeight="1">
      <c r="A196" s="90"/>
    </row>
    <row r="197" ht="15.75" customHeight="1">
      <c r="A197" s="90"/>
    </row>
    <row r="198" ht="15.75" customHeight="1">
      <c r="A198" s="90"/>
    </row>
    <row r="199" ht="15.75" customHeight="1">
      <c r="A199" s="90"/>
    </row>
    <row r="200" ht="15.75" customHeight="1">
      <c r="A200" s="90"/>
    </row>
    <row r="201" ht="15.75" customHeight="1">
      <c r="A201" s="90"/>
    </row>
    <row r="202" ht="15.75" customHeight="1">
      <c r="A202" s="90"/>
    </row>
    <row r="203" ht="15.75" customHeight="1">
      <c r="A203" s="90"/>
    </row>
    <row r="204" ht="15.75" customHeight="1">
      <c r="A204" s="90"/>
    </row>
    <row r="205" ht="15.75" customHeight="1">
      <c r="A205" s="90"/>
    </row>
    <row r="206" ht="15.75" customHeight="1">
      <c r="A206" s="90"/>
    </row>
    <row r="207" ht="15.75" customHeight="1">
      <c r="A207" s="90"/>
    </row>
    <row r="208" ht="15.75" customHeight="1">
      <c r="A208" s="90"/>
    </row>
    <row r="209" ht="15.75" customHeight="1">
      <c r="A209" s="90"/>
    </row>
    <row r="210" ht="15.75" customHeight="1">
      <c r="A210" s="90"/>
    </row>
    <row r="211" ht="15.75" customHeight="1">
      <c r="A211" s="90"/>
    </row>
    <row r="212" ht="15.75" customHeight="1">
      <c r="A212" s="90"/>
    </row>
    <row r="213" ht="15.75" customHeight="1">
      <c r="A213" s="90"/>
    </row>
    <row r="214" ht="15.75" customHeight="1">
      <c r="A214" s="90"/>
    </row>
    <row r="215" ht="15.75" customHeight="1">
      <c r="A215" s="90"/>
    </row>
    <row r="216" ht="15.75" customHeight="1">
      <c r="A216" s="90"/>
    </row>
    <row r="217" ht="15.75" customHeight="1">
      <c r="A217" s="90"/>
    </row>
    <row r="218" ht="15.75" customHeight="1">
      <c r="A218" s="90"/>
    </row>
    <row r="219" ht="15.75" customHeight="1">
      <c r="A219" s="90"/>
    </row>
    <row r="220" ht="15.75" customHeight="1">
      <c r="A220" s="9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9.25"/>
    <col customWidth="1" min="3" max="4" width="12.63"/>
    <col customWidth="1" min="5" max="5" width="32.0"/>
    <col customWidth="1" min="6" max="6" width="6.13"/>
    <col customWidth="1" min="7" max="8" width="36.13"/>
  </cols>
  <sheetData>
    <row r="1" ht="15.75" customHeight="1">
      <c r="A1" s="90"/>
    </row>
    <row r="2" ht="15.75" customHeight="1">
      <c r="A2" s="91" t="s">
        <v>1299</v>
      </c>
      <c r="B2" s="91" t="s">
        <v>158</v>
      </c>
      <c r="C2" s="91" t="s">
        <v>776</v>
      </c>
      <c r="D2" s="91" t="s">
        <v>777</v>
      </c>
      <c r="E2" s="91" t="s">
        <v>1300</v>
      </c>
      <c r="F2" s="91" t="s">
        <v>1301</v>
      </c>
      <c r="G2" s="91" t="s">
        <v>1302</v>
      </c>
      <c r="H2" s="91" t="s">
        <v>1303</v>
      </c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</row>
    <row r="3" ht="15.75" customHeight="1">
      <c r="A3" s="91">
        <v>1.0</v>
      </c>
      <c r="B3" s="92" t="s">
        <v>13</v>
      </c>
      <c r="C3" s="92" t="s">
        <v>806</v>
      </c>
      <c r="D3" s="92">
        <v>2.52610334E8</v>
      </c>
      <c r="E3" s="94" t="s">
        <v>231</v>
      </c>
      <c r="F3" s="92" t="s">
        <v>782</v>
      </c>
      <c r="G3" s="94" t="s">
        <v>1319</v>
      </c>
      <c r="H3" s="94" t="s">
        <v>1311</v>
      </c>
    </row>
    <row r="4" ht="15.75" customHeight="1">
      <c r="A4" s="91">
        <v>2.0</v>
      </c>
      <c r="B4" s="92" t="s">
        <v>21</v>
      </c>
      <c r="C4" s="92" t="s">
        <v>852</v>
      </c>
      <c r="D4" s="92">
        <v>2.5261032E8</v>
      </c>
      <c r="E4" s="93" t="s">
        <v>229</v>
      </c>
      <c r="F4" s="92" t="s">
        <v>782</v>
      </c>
      <c r="G4" s="94" t="s">
        <v>1320</v>
      </c>
      <c r="H4" s="94" t="s">
        <v>1321</v>
      </c>
    </row>
    <row r="5" ht="15.75" customHeight="1">
      <c r="A5" s="91">
        <v>3.0</v>
      </c>
      <c r="B5" s="92" t="s">
        <v>42</v>
      </c>
      <c r="C5" s="92" t="s">
        <v>952</v>
      </c>
      <c r="D5" s="92">
        <v>2.52610004E8</v>
      </c>
      <c r="E5" s="94" t="s">
        <v>223</v>
      </c>
      <c r="F5" s="92" t="s">
        <v>782</v>
      </c>
      <c r="G5" s="94" t="s">
        <v>1322</v>
      </c>
      <c r="H5" s="94" t="s">
        <v>1323</v>
      </c>
    </row>
    <row r="6" ht="15.75" customHeight="1">
      <c r="A6" s="91">
        <v>4.0</v>
      </c>
      <c r="B6" s="92" t="s">
        <v>52</v>
      </c>
      <c r="C6" s="92" t="s">
        <v>1037</v>
      </c>
      <c r="D6" s="92">
        <v>2.52610144E8</v>
      </c>
      <c r="E6" s="94" t="s">
        <v>225</v>
      </c>
      <c r="F6" s="92" t="s">
        <v>782</v>
      </c>
      <c r="G6" s="94" t="s">
        <v>1324</v>
      </c>
      <c r="H6" s="94" t="s">
        <v>1313</v>
      </c>
    </row>
    <row r="7" ht="15.75" customHeight="1">
      <c r="A7" s="91">
        <v>5.0</v>
      </c>
      <c r="B7" s="92" t="s">
        <v>58</v>
      </c>
      <c r="C7" s="92" t="s">
        <v>1099</v>
      </c>
      <c r="D7" s="92">
        <v>2.52610324E8</v>
      </c>
      <c r="E7" s="94" t="s">
        <v>230</v>
      </c>
      <c r="F7" s="92" t="s">
        <v>782</v>
      </c>
      <c r="G7" s="94" t="s">
        <v>1325</v>
      </c>
      <c r="H7" s="94" t="s">
        <v>1305</v>
      </c>
    </row>
    <row r="8" ht="15.75" customHeight="1">
      <c r="A8" s="91">
        <v>6.0</v>
      </c>
      <c r="B8" s="92" t="s">
        <v>63</v>
      </c>
      <c r="C8" s="92" t="s">
        <v>1123</v>
      </c>
      <c r="D8" s="92">
        <v>2.52610019E8</v>
      </c>
      <c r="E8" s="94" t="s">
        <v>224</v>
      </c>
      <c r="F8" s="92" t="s">
        <v>782</v>
      </c>
      <c r="G8" s="94" t="s">
        <v>1326</v>
      </c>
      <c r="H8" s="94" t="s">
        <v>1305</v>
      </c>
    </row>
    <row r="9" ht="15.75" customHeight="1">
      <c r="A9" s="91">
        <v>7.0</v>
      </c>
      <c r="B9" s="92" t="s">
        <v>63</v>
      </c>
      <c r="C9" s="92">
        <v>1.14593936E8</v>
      </c>
      <c r="D9" s="92">
        <v>2.52610231E8</v>
      </c>
      <c r="E9" s="94" t="s">
        <v>243</v>
      </c>
      <c r="F9" s="92" t="s">
        <v>782</v>
      </c>
      <c r="G9" s="94" t="s">
        <v>1327</v>
      </c>
      <c r="H9" s="94" t="s">
        <v>1305</v>
      </c>
    </row>
    <row r="10" ht="15.75" customHeight="1">
      <c r="A10" s="91">
        <v>8.0</v>
      </c>
      <c r="B10" s="92" t="s">
        <v>63</v>
      </c>
      <c r="C10" s="92" t="s">
        <v>1136</v>
      </c>
      <c r="D10" s="92">
        <v>2.52610211E8</v>
      </c>
      <c r="E10" s="94" t="s">
        <v>227</v>
      </c>
      <c r="F10" s="92" t="s">
        <v>782</v>
      </c>
      <c r="G10" s="94" t="s">
        <v>1328</v>
      </c>
      <c r="H10" s="94" t="s">
        <v>1305</v>
      </c>
    </row>
    <row r="11" ht="15.75" customHeight="1">
      <c r="A11" s="91">
        <v>9.0</v>
      </c>
      <c r="B11" s="92" t="s">
        <v>74</v>
      </c>
      <c r="C11" s="92" t="s">
        <v>1237</v>
      </c>
      <c r="D11" s="92">
        <v>2.52610356E8</v>
      </c>
      <c r="E11" s="94" t="s">
        <v>389</v>
      </c>
      <c r="F11" s="92" t="s">
        <v>782</v>
      </c>
      <c r="G11" s="94" t="s">
        <v>1329</v>
      </c>
      <c r="H11" s="94" t="s">
        <v>1311</v>
      </c>
    </row>
    <row r="12" ht="15.75" customHeight="1">
      <c r="A12" s="91">
        <v>10.0</v>
      </c>
      <c r="B12" s="92" t="s">
        <v>79</v>
      </c>
      <c r="C12" s="92">
        <v>3.106961615E9</v>
      </c>
      <c r="D12" s="92">
        <v>2.52610147E8</v>
      </c>
      <c r="E12" s="94" t="s">
        <v>365</v>
      </c>
      <c r="F12" s="92" t="s">
        <v>782</v>
      </c>
      <c r="G12" s="94" t="s">
        <v>1330</v>
      </c>
      <c r="H12" s="94" t="s">
        <v>1311</v>
      </c>
    </row>
    <row r="13" ht="15.75" customHeight="1">
      <c r="A13" s="91">
        <v>11.0</v>
      </c>
      <c r="B13" s="92" t="s">
        <v>79</v>
      </c>
      <c r="C13" s="92" t="s">
        <v>1284</v>
      </c>
      <c r="D13" s="92">
        <v>2.526104E8</v>
      </c>
      <c r="E13" s="94" t="s">
        <v>237</v>
      </c>
      <c r="F13" s="92" t="s">
        <v>782</v>
      </c>
      <c r="G13" s="94" t="s">
        <v>1331</v>
      </c>
      <c r="H13" s="94" t="s">
        <v>1332</v>
      </c>
    </row>
    <row r="14" ht="15.75" customHeight="1">
      <c r="A14" s="90"/>
    </row>
    <row r="15" ht="15.75" customHeight="1">
      <c r="A15" s="90"/>
    </row>
    <row r="16" ht="15.75" customHeight="1">
      <c r="A16" s="90"/>
    </row>
    <row r="17" ht="15.75" customHeight="1">
      <c r="A17" s="90"/>
    </row>
    <row r="18" ht="15.75" customHeight="1">
      <c r="A18" s="90"/>
    </row>
    <row r="19" ht="15.75" customHeight="1">
      <c r="A19" s="90"/>
    </row>
    <row r="20" ht="15.75" customHeight="1">
      <c r="A20" s="90"/>
    </row>
    <row r="21" ht="15.75" customHeight="1">
      <c r="A21" s="90"/>
    </row>
    <row r="22" ht="15.75" customHeight="1">
      <c r="A22" s="90"/>
    </row>
    <row r="23" ht="15.75" customHeight="1">
      <c r="A23" s="90"/>
    </row>
    <row r="24" ht="15.75" customHeight="1">
      <c r="A24" s="90"/>
    </row>
    <row r="25" ht="15.75" customHeight="1">
      <c r="A25" s="90"/>
    </row>
    <row r="26" ht="15.75" customHeight="1">
      <c r="A26" s="90"/>
    </row>
    <row r="27" ht="15.75" customHeight="1">
      <c r="A27" s="90"/>
    </row>
    <row r="28" ht="15.75" customHeight="1">
      <c r="A28" s="90"/>
    </row>
    <row r="29" ht="15.75" customHeight="1">
      <c r="A29" s="90"/>
    </row>
    <row r="30" ht="15.75" customHeight="1">
      <c r="A30" s="90"/>
    </row>
    <row r="31" ht="15.75" customHeight="1">
      <c r="A31" s="90"/>
    </row>
    <row r="32" ht="15.75" customHeight="1">
      <c r="A32" s="90"/>
    </row>
    <row r="33" ht="15.75" customHeight="1">
      <c r="A33" s="90"/>
    </row>
    <row r="34" ht="15.75" customHeight="1">
      <c r="A34" s="90"/>
    </row>
    <row r="35" ht="15.75" customHeight="1">
      <c r="A35" s="90"/>
    </row>
    <row r="36" ht="15.75" customHeight="1">
      <c r="A36" s="90"/>
    </row>
    <row r="37" ht="15.75" customHeight="1">
      <c r="A37" s="90"/>
    </row>
    <row r="38" ht="15.75" customHeight="1">
      <c r="A38" s="90"/>
    </row>
    <row r="39" ht="15.75" customHeight="1">
      <c r="A39" s="90"/>
    </row>
    <row r="40" ht="15.75" customHeight="1">
      <c r="A40" s="90"/>
    </row>
    <row r="41" ht="15.75" customHeight="1">
      <c r="A41" s="90"/>
    </row>
    <row r="42" ht="15.75" customHeight="1">
      <c r="A42" s="90"/>
    </row>
    <row r="43" ht="15.75" customHeight="1">
      <c r="A43" s="90"/>
    </row>
    <row r="44" ht="15.75" customHeight="1">
      <c r="A44" s="90"/>
    </row>
    <row r="45" ht="15.75" customHeight="1">
      <c r="A45" s="90"/>
    </row>
    <row r="46" ht="15.75" customHeight="1">
      <c r="A46" s="90"/>
    </row>
    <row r="47" ht="15.75" customHeight="1">
      <c r="A47" s="90"/>
    </row>
    <row r="48" ht="15.75" customHeight="1">
      <c r="A48" s="90"/>
    </row>
    <row r="49" ht="15.75" customHeight="1">
      <c r="A49" s="90"/>
    </row>
    <row r="50" ht="15.75" customHeight="1">
      <c r="A50" s="90"/>
    </row>
    <row r="51" ht="15.75" customHeight="1">
      <c r="A51" s="90"/>
    </row>
    <row r="52" ht="15.75" customHeight="1">
      <c r="A52" s="90"/>
    </row>
    <row r="53" ht="15.75" customHeight="1">
      <c r="A53" s="90"/>
    </row>
    <row r="54" ht="15.75" customHeight="1">
      <c r="A54" s="90"/>
    </row>
    <row r="55" ht="15.75" customHeight="1">
      <c r="A55" s="90"/>
    </row>
    <row r="56" ht="15.75" customHeight="1">
      <c r="A56" s="90"/>
    </row>
    <row r="57" ht="15.75" customHeight="1">
      <c r="A57" s="90"/>
    </row>
    <row r="58" ht="15.75" customHeight="1">
      <c r="A58" s="90"/>
    </row>
    <row r="59" ht="15.75" customHeight="1">
      <c r="A59" s="90"/>
    </row>
    <row r="60" ht="15.75" customHeight="1">
      <c r="A60" s="90"/>
    </row>
    <row r="61" ht="15.75" customHeight="1">
      <c r="A61" s="90"/>
    </row>
    <row r="62" ht="15.75" customHeight="1">
      <c r="A62" s="90"/>
    </row>
    <row r="63" ht="15.75" customHeight="1">
      <c r="A63" s="90"/>
    </row>
    <row r="64" ht="15.75" customHeight="1">
      <c r="A64" s="90"/>
    </row>
    <row r="65" ht="15.75" customHeight="1">
      <c r="A65" s="90"/>
    </row>
    <row r="66" ht="15.75" customHeight="1">
      <c r="A66" s="90"/>
    </row>
    <row r="67" ht="15.75" customHeight="1">
      <c r="A67" s="90"/>
    </row>
    <row r="68" ht="15.75" customHeight="1">
      <c r="A68" s="90"/>
    </row>
    <row r="69" ht="15.75" customHeight="1">
      <c r="A69" s="90"/>
    </row>
    <row r="70" ht="15.75" customHeight="1">
      <c r="A70" s="90"/>
    </row>
    <row r="71" ht="15.75" customHeight="1">
      <c r="A71" s="90"/>
    </row>
    <row r="72" ht="15.75" customHeight="1">
      <c r="A72" s="90"/>
    </row>
    <row r="73" ht="15.75" customHeight="1">
      <c r="A73" s="90"/>
    </row>
    <row r="74" ht="15.75" customHeight="1">
      <c r="A74" s="90"/>
    </row>
    <row r="75" ht="15.75" customHeight="1">
      <c r="A75" s="90"/>
    </row>
    <row r="76" ht="15.75" customHeight="1">
      <c r="A76" s="90"/>
    </row>
    <row r="77" ht="15.75" customHeight="1">
      <c r="A77" s="90"/>
    </row>
    <row r="78" ht="15.75" customHeight="1">
      <c r="A78" s="90"/>
    </row>
    <row r="79" ht="15.75" customHeight="1">
      <c r="A79" s="90"/>
    </row>
    <row r="80" ht="15.75" customHeight="1">
      <c r="A80" s="90"/>
    </row>
    <row r="81" ht="15.75" customHeight="1">
      <c r="A81" s="90"/>
    </row>
    <row r="82" ht="15.75" customHeight="1">
      <c r="A82" s="90"/>
    </row>
    <row r="83" ht="15.75" customHeight="1">
      <c r="A83" s="90"/>
    </row>
    <row r="84" ht="15.75" customHeight="1">
      <c r="A84" s="90"/>
    </row>
    <row r="85" ht="15.75" customHeight="1">
      <c r="A85" s="90"/>
    </row>
    <row r="86" ht="15.75" customHeight="1">
      <c r="A86" s="90"/>
    </row>
    <row r="87" ht="15.75" customHeight="1">
      <c r="A87" s="90"/>
    </row>
    <row r="88" ht="15.75" customHeight="1">
      <c r="A88" s="90"/>
    </row>
    <row r="89" ht="15.75" customHeight="1">
      <c r="A89" s="90"/>
    </row>
    <row r="90" ht="15.75" customHeight="1">
      <c r="A90" s="90"/>
    </row>
    <row r="91" ht="15.75" customHeight="1">
      <c r="A91" s="90"/>
    </row>
    <row r="92" ht="15.75" customHeight="1">
      <c r="A92" s="90"/>
    </row>
    <row r="93" ht="15.75" customHeight="1">
      <c r="A93" s="90"/>
    </row>
    <row r="94" ht="15.75" customHeight="1">
      <c r="A94" s="90"/>
    </row>
    <row r="95" ht="15.75" customHeight="1">
      <c r="A95" s="90"/>
    </row>
    <row r="96" ht="15.75" customHeight="1">
      <c r="A96" s="90"/>
    </row>
    <row r="97" ht="15.75" customHeight="1">
      <c r="A97" s="90"/>
    </row>
    <row r="98" ht="15.75" customHeight="1">
      <c r="A98" s="90"/>
    </row>
    <row r="99" ht="15.75" customHeight="1">
      <c r="A99" s="90"/>
    </row>
    <row r="100" ht="15.75" customHeight="1">
      <c r="A100" s="90"/>
    </row>
    <row r="101" ht="15.75" customHeight="1">
      <c r="A101" s="90"/>
    </row>
    <row r="102" ht="15.75" customHeight="1">
      <c r="A102" s="90"/>
    </row>
    <row r="103" ht="15.75" customHeight="1">
      <c r="A103" s="90"/>
    </row>
    <row r="104" ht="15.75" customHeight="1">
      <c r="A104" s="90"/>
    </row>
    <row r="105" ht="15.75" customHeight="1">
      <c r="A105" s="90"/>
    </row>
    <row r="106" ht="15.75" customHeight="1">
      <c r="A106" s="90"/>
    </row>
    <row r="107" ht="15.75" customHeight="1">
      <c r="A107" s="90"/>
    </row>
    <row r="108" ht="15.75" customHeight="1">
      <c r="A108" s="90"/>
    </row>
    <row r="109" ht="15.75" customHeight="1">
      <c r="A109" s="90"/>
    </row>
    <row r="110" ht="15.75" customHeight="1">
      <c r="A110" s="90"/>
    </row>
    <row r="111" ht="15.75" customHeight="1">
      <c r="A111" s="90"/>
    </row>
    <row r="112" ht="15.75" customHeight="1">
      <c r="A112" s="90"/>
    </row>
    <row r="113" ht="15.75" customHeight="1">
      <c r="A113" s="90"/>
    </row>
    <row r="114" ht="15.75" customHeight="1">
      <c r="A114" s="90"/>
    </row>
    <row r="115" ht="15.75" customHeight="1">
      <c r="A115" s="90"/>
    </row>
    <row r="116" ht="15.75" customHeight="1">
      <c r="A116" s="90"/>
    </row>
    <row r="117" ht="15.75" customHeight="1">
      <c r="A117" s="90"/>
    </row>
    <row r="118" ht="15.75" customHeight="1">
      <c r="A118" s="90"/>
    </row>
    <row r="119" ht="15.75" customHeight="1">
      <c r="A119" s="90"/>
    </row>
    <row r="120" ht="15.75" customHeight="1">
      <c r="A120" s="90"/>
    </row>
    <row r="121" ht="15.75" customHeight="1">
      <c r="A121" s="90"/>
    </row>
    <row r="122" ht="15.75" customHeight="1">
      <c r="A122" s="90"/>
    </row>
    <row r="123" ht="15.75" customHeight="1">
      <c r="A123" s="90"/>
    </row>
    <row r="124" ht="15.75" customHeight="1">
      <c r="A124" s="90"/>
    </row>
    <row r="125" ht="15.75" customHeight="1">
      <c r="A125" s="90"/>
    </row>
    <row r="126" ht="15.75" customHeight="1">
      <c r="A126" s="90"/>
    </row>
    <row r="127" ht="15.75" customHeight="1">
      <c r="A127" s="90"/>
    </row>
    <row r="128" ht="15.75" customHeight="1">
      <c r="A128" s="90"/>
    </row>
    <row r="129" ht="15.75" customHeight="1">
      <c r="A129" s="90"/>
    </row>
    <row r="130" ht="15.75" customHeight="1">
      <c r="A130" s="90"/>
    </row>
    <row r="131" ht="15.75" customHeight="1">
      <c r="A131" s="90"/>
    </row>
    <row r="132" ht="15.75" customHeight="1">
      <c r="A132" s="90"/>
    </row>
    <row r="133" ht="15.75" customHeight="1">
      <c r="A133" s="90"/>
    </row>
    <row r="134" ht="15.75" customHeight="1">
      <c r="A134" s="90"/>
    </row>
    <row r="135" ht="15.75" customHeight="1">
      <c r="A135" s="90"/>
    </row>
    <row r="136" ht="15.75" customHeight="1">
      <c r="A136" s="90"/>
    </row>
    <row r="137" ht="15.75" customHeight="1">
      <c r="A137" s="90"/>
    </row>
    <row r="138" ht="15.75" customHeight="1">
      <c r="A138" s="90"/>
    </row>
    <row r="139" ht="15.75" customHeight="1">
      <c r="A139" s="90"/>
    </row>
    <row r="140" ht="15.75" customHeight="1">
      <c r="A140" s="90"/>
    </row>
    <row r="141" ht="15.75" customHeight="1">
      <c r="A141" s="90"/>
    </row>
    <row r="142" ht="15.75" customHeight="1">
      <c r="A142" s="90"/>
    </row>
    <row r="143" ht="15.75" customHeight="1">
      <c r="A143" s="90"/>
    </row>
    <row r="144" ht="15.75" customHeight="1">
      <c r="A144" s="90"/>
    </row>
    <row r="145" ht="15.75" customHeight="1">
      <c r="A145" s="90"/>
    </row>
    <row r="146" ht="15.75" customHeight="1">
      <c r="A146" s="90"/>
    </row>
    <row r="147" ht="15.75" customHeight="1">
      <c r="A147" s="90"/>
    </row>
    <row r="148" ht="15.75" customHeight="1">
      <c r="A148" s="90"/>
    </row>
    <row r="149" ht="15.75" customHeight="1">
      <c r="A149" s="90"/>
    </row>
    <row r="150" ht="15.75" customHeight="1">
      <c r="A150" s="90"/>
    </row>
    <row r="151" ht="15.75" customHeight="1">
      <c r="A151" s="90"/>
    </row>
    <row r="152" ht="15.75" customHeight="1">
      <c r="A152" s="90"/>
    </row>
    <row r="153" ht="15.75" customHeight="1">
      <c r="A153" s="90"/>
    </row>
    <row r="154" ht="15.75" customHeight="1">
      <c r="A154" s="90"/>
    </row>
    <row r="155" ht="15.75" customHeight="1">
      <c r="A155" s="90"/>
    </row>
    <row r="156" ht="15.75" customHeight="1">
      <c r="A156" s="90"/>
    </row>
    <row r="157" ht="15.75" customHeight="1">
      <c r="A157" s="90"/>
    </row>
    <row r="158" ht="15.75" customHeight="1">
      <c r="A158" s="90"/>
    </row>
    <row r="159" ht="15.75" customHeight="1">
      <c r="A159" s="90"/>
    </row>
    <row r="160" ht="15.75" customHeight="1">
      <c r="A160" s="90"/>
    </row>
    <row r="161" ht="15.75" customHeight="1">
      <c r="A161" s="90"/>
    </row>
    <row r="162" ht="15.75" customHeight="1">
      <c r="A162" s="90"/>
    </row>
    <row r="163" ht="15.75" customHeight="1">
      <c r="A163" s="90"/>
    </row>
    <row r="164" ht="15.75" customHeight="1">
      <c r="A164" s="90"/>
    </row>
    <row r="165" ht="15.75" customHeight="1">
      <c r="A165" s="90"/>
    </row>
    <row r="166" ht="15.75" customHeight="1">
      <c r="A166" s="90"/>
    </row>
    <row r="167" ht="15.75" customHeight="1">
      <c r="A167" s="90"/>
    </row>
    <row r="168" ht="15.75" customHeight="1">
      <c r="A168" s="90"/>
    </row>
    <row r="169" ht="15.75" customHeight="1">
      <c r="A169" s="90"/>
    </row>
    <row r="170" ht="15.75" customHeight="1">
      <c r="A170" s="90"/>
    </row>
    <row r="171" ht="15.75" customHeight="1">
      <c r="A171" s="90"/>
    </row>
    <row r="172" ht="15.75" customHeight="1">
      <c r="A172" s="90"/>
    </row>
    <row r="173" ht="15.75" customHeight="1">
      <c r="A173" s="90"/>
    </row>
    <row r="174" ht="15.75" customHeight="1">
      <c r="A174" s="90"/>
    </row>
    <row r="175" ht="15.75" customHeight="1">
      <c r="A175" s="90"/>
    </row>
    <row r="176" ht="15.75" customHeight="1">
      <c r="A176" s="90"/>
    </row>
    <row r="177" ht="15.75" customHeight="1">
      <c r="A177" s="90"/>
    </row>
    <row r="178" ht="15.75" customHeight="1">
      <c r="A178" s="90"/>
    </row>
    <row r="179" ht="15.75" customHeight="1">
      <c r="A179" s="90"/>
    </row>
    <row r="180" ht="15.75" customHeight="1">
      <c r="A180" s="90"/>
    </row>
    <row r="181" ht="15.75" customHeight="1">
      <c r="A181" s="90"/>
    </row>
    <row r="182" ht="15.75" customHeight="1">
      <c r="A182" s="90"/>
    </row>
    <row r="183" ht="15.75" customHeight="1">
      <c r="A183" s="90"/>
    </row>
    <row r="184" ht="15.75" customHeight="1">
      <c r="A184" s="90"/>
    </row>
    <row r="185" ht="15.75" customHeight="1">
      <c r="A185" s="90"/>
    </row>
    <row r="186" ht="15.75" customHeight="1">
      <c r="A186" s="90"/>
    </row>
    <row r="187" ht="15.75" customHeight="1">
      <c r="A187" s="90"/>
    </row>
    <row r="188" ht="15.75" customHeight="1">
      <c r="A188" s="90"/>
    </row>
    <row r="189" ht="15.75" customHeight="1">
      <c r="A189" s="90"/>
    </row>
    <row r="190" ht="15.75" customHeight="1">
      <c r="A190" s="90"/>
    </row>
    <row r="191" ht="15.75" customHeight="1">
      <c r="A191" s="90"/>
    </row>
    <row r="192" ht="15.75" customHeight="1">
      <c r="A192" s="90"/>
    </row>
    <row r="193" ht="15.75" customHeight="1">
      <c r="A193" s="90"/>
    </row>
    <row r="194" ht="15.75" customHeight="1">
      <c r="A194" s="90"/>
    </row>
    <row r="195" ht="15.75" customHeight="1">
      <c r="A195" s="90"/>
    </row>
    <row r="196" ht="15.75" customHeight="1">
      <c r="A196" s="90"/>
    </row>
    <row r="197" ht="15.75" customHeight="1">
      <c r="A197" s="90"/>
    </row>
    <row r="198" ht="15.75" customHeight="1">
      <c r="A198" s="90"/>
    </row>
    <row r="199" ht="15.75" customHeight="1">
      <c r="A199" s="90"/>
    </row>
    <row r="200" ht="15.75" customHeight="1">
      <c r="A200" s="90"/>
    </row>
    <row r="201" ht="15.75" customHeight="1">
      <c r="A201" s="90"/>
    </row>
    <row r="202" ht="15.75" customHeight="1">
      <c r="A202" s="90"/>
    </row>
    <row r="203" ht="15.75" customHeight="1">
      <c r="A203" s="90"/>
    </row>
    <row r="204" ht="15.75" customHeight="1">
      <c r="A204" s="90"/>
    </row>
    <row r="205" ht="15.75" customHeight="1">
      <c r="A205" s="90"/>
    </row>
    <row r="206" ht="15.75" customHeight="1">
      <c r="A206" s="90"/>
    </row>
    <row r="207" ht="15.75" customHeight="1">
      <c r="A207" s="90"/>
    </row>
    <row r="208" ht="15.75" customHeight="1">
      <c r="A208" s="90"/>
    </row>
    <row r="209" ht="15.75" customHeight="1">
      <c r="A209" s="90"/>
    </row>
    <row r="210" ht="15.75" customHeight="1">
      <c r="A210" s="90"/>
    </row>
    <row r="211" ht="15.75" customHeight="1">
      <c r="A211" s="90"/>
    </row>
    <row r="212" ht="15.75" customHeight="1">
      <c r="A212" s="90"/>
    </row>
    <row r="213" ht="15.75" customHeight="1">
      <c r="A213" s="90"/>
    </row>
    <row r="214" ht="15.75" customHeight="1">
      <c r="A214" s="90"/>
    </row>
    <row r="215" ht="15.75" customHeight="1">
      <c r="A215" s="90"/>
    </row>
    <row r="216" ht="15.75" customHeight="1">
      <c r="A216" s="90"/>
    </row>
    <row r="217" ht="15.75" customHeight="1">
      <c r="A217" s="90"/>
    </row>
    <row r="218" ht="15.75" customHeight="1">
      <c r="A218" s="90"/>
    </row>
    <row r="219" ht="15.75" customHeight="1">
      <c r="A219" s="90"/>
    </row>
    <row r="220" ht="15.75" customHeight="1">
      <c r="A220" s="9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6.75"/>
    <col customWidth="1" min="3" max="4" width="12.63"/>
    <col customWidth="1" min="5" max="5" width="22.38"/>
    <col customWidth="1" min="6" max="6" width="5.0"/>
    <col customWidth="1" min="7" max="7" width="48.5"/>
    <col customWidth="1" min="8" max="8" width="33.25"/>
  </cols>
  <sheetData>
    <row r="1" ht="15.75" customHeight="1"/>
    <row r="2" ht="15.75" customHeight="1">
      <c r="A2" s="91" t="s">
        <v>1299</v>
      </c>
      <c r="B2" s="91" t="s">
        <v>158</v>
      </c>
      <c r="C2" s="91" t="s">
        <v>776</v>
      </c>
      <c r="D2" s="91" t="s">
        <v>777</v>
      </c>
      <c r="E2" s="91" t="s">
        <v>1300</v>
      </c>
      <c r="F2" s="91" t="s">
        <v>1301</v>
      </c>
      <c r="G2" s="91" t="s">
        <v>1302</v>
      </c>
      <c r="H2" s="91" t="s">
        <v>1303</v>
      </c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</row>
    <row r="3" ht="15.75" customHeight="1">
      <c r="A3" s="91">
        <v>1.0</v>
      </c>
      <c r="B3" s="91" t="s">
        <v>13</v>
      </c>
      <c r="C3" s="92" t="s">
        <v>792</v>
      </c>
      <c r="D3" s="92">
        <v>2.52610122E8</v>
      </c>
      <c r="E3" s="94" t="s">
        <v>448</v>
      </c>
      <c r="F3" s="92" t="s">
        <v>784</v>
      </c>
      <c r="G3" s="94" t="s">
        <v>1333</v>
      </c>
      <c r="H3" s="94" t="s">
        <v>1311</v>
      </c>
    </row>
    <row r="4" ht="15.75" customHeight="1">
      <c r="A4" s="91">
        <v>2.0</v>
      </c>
      <c r="B4" s="91" t="s">
        <v>13</v>
      </c>
      <c r="C4" s="92" t="s">
        <v>819</v>
      </c>
      <c r="D4" s="92">
        <v>2.52610477E8</v>
      </c>
      <c r="E4" s="94" t="s">
        <v>454</v>
      </c>
      <c r="F4" s="92" t="s">
        <v>784</v>
      </c>
      <c r="G4" s="94" t="s">
        <v>1334</v>
      </c>
      <c r="H4" s="94" t="s">
        <v>1311</v>
      </c>
    </row>
    <row r="5" ht="15.75" customHeight="1">
      <c r="A5" s="91">
        <v>3.0</v>
      </c>
      <c r="B5" s="91" t="s">
        <v>21</v>
      </c>
      <c r="C5" s="92" t="s">
        <v>830</v>
      </c>
      <c r="D5" s="92">
        <v>2.52610052E8</v>
      </c>
      <c r="E5" s="93" t="s">
        <v>445</v>
      </c>
      <c r="F5" s="92" t="s">
        <v>784</v>
      </c>
      <c r="G5" s="94" t="s">
        <v>1335</v>
      </c>
      <c r="H5" s="94" t="s">
        <v>1336</v>
      </c>
    </row>
    <row r="6" ht="15.75" customHeight="1">
      <c r="A6" s="91">
        <v>4.0</v>
      </c>
      <c r="B6" s="91" t="s">
        <v>21</v>
      </c>
      <c r="C6" s="92" t="s">
        <v>860</v>
      </c>
      <c r="D6" s="92">
        <v>2.52610434E8</v>
      </c>
      <c r="E6" s="94" t="s">
        <v>453</v>
      </c>
      <c r="F6" s="92" t="s">
        <v>784</v>
      </c>
      <c r="G6" s="94" t="s">
        <v>1337</v>
      </c>
      <c r="H6" s="94" t="s">
        <v>1305</v>
      </c>
    </row>
    <row r="7" ht="15.75" customHeight="1">
      <c r="A7" s="91">
        <v>5.0</v>
      </c>
      <c r="B7" s="91" t="s">
        <v>37</v>
      </c>
      <c r="C7" s="92" t="s">
        <v>946</v>
      </c>
      <c r="D7" s="92">
        <v>2.52610514E8</v>
      </c>
      <c r="E7" s="94" t="s">
        <v>456</v>
      </c>
      <c r="F7" s="92" t="s">
        <v>784</v>
      </c>
      <c r="G7" s="94" t="s">
        <v>1338</v>
      </c>
      <c r="H7" s="94" t="s">
        <v>1309</v>
      </c>
    </row>
    <row r="8" ht="15.75" customHeight="1">
      <c r="A8" s="91">
        <v>6.0</v>
      </c>
      <c r="B8" s="91" t="s">
        <v>42</v>
      </c>
      <c r="C8" s="92" t="s">
        <v>954</v>
      </c>
      <c r="D8" s="92">
        <v>2.52610022E8</v>
      </c>
      <c r="E8" s="94" t="s">
        <v>444</v>
      </c>
      <c r="F8" s="92" t="s">
        <v>784</v>
      </c>
      <c r="G8" s="94" t="s">
        <v>1339</v>
      </c>
      <c r="H8" s="94" t="s">
        <v>1311</v>
      </c>
    </row>
    <row r="9" ht="15.75" customHeight="1">
      <c r="A9" s="91">
        <v>7.0</v>
      </c>
      <c r="B9" s="91" t="s">
        <v>46</v>
      </c>
      <c r="C9" s="92" t="s">
        <v>1006</v>
      </c>
      <c r="D9" s="92">
        <v>2.52610195E8</v>
      </c>
      <c r="E9" s="94" t="s">
        <v>450</v>
      </c>
      <c r="F9" s="92" t="s">
        <v>784</v>
      </c>
      <c r="G9" s="94" t="s">
        <v>1340</v>
      </c>
      <c r="H9" s="94" t="s">
        <v>1341</v>
      </c>
    </row>
    <row r="10" ht="15.75" customHeight="1">
      <c r="A10" s="91">
        <v>8.0</v>
      </c>
      <c r="B10" s="91" t="s">
        <v>69</v>
      </c>
      <c r="C10" s="92" t="s">
        <v>1182</v>
      </c>
      <c r="D10" s="92">
        <v>2.52610165E8</v>
      </c>
      <c r="E10" s="94" t="s">
        <v>449</v>
      </c>
      <c r="F10" s="92" t="s">
        <v>784</v>
      </c>
      <c r="G10" s="94" t="s">
        <v>1342</v>
      </c>
      <c r="H10" s="94" t="s">
        <v>1343</v>
      </c>
    </row>
    <row r="11" ht="15.75" customHeight="1">
      <c r="A11" s="91">
        <v>9.0</v>
      </c>
      <c r="B11" s="91" t="s">
        <v>69</v>
      </c>
      <c r="C11" s="92" t="s">
        <v>1188</v>
      </c>
      <c r="D11" s="92">
        <v>2.52610235E8</v>
      </c>
      <c r="E11" s="94" t="s">
        <v>451</v>
      </c>
      <c r="F11" s="92" t="s">
        <v>784</v>
      </c>
      <c r="G11" s="94" t="s">
        <v>1344</v>
      </c>
      <c r="H11" s="94" t="s">
        <v>1345</v>
      </c>
    </row>
    <row r="12" ht="15.75" customHeight="1">
      <c r="A12" s="91">
        <v>10.0</v>
      </c>
      <c r="B12" s="91" t="s">
        <v>74</v>
      </c>
      <c r="C12" s="92" t="s">
        <v>1216</v>
      </c>
      <c r="D12" s="92">
        <v>2.52610098E8</v>
      </c>
      <c r="E12" s="94" t="s">
        <v>446</v>
      </c>
      <c r="F12" s="92" t="s">
        <v>784</v>
      </c>
      <c r="G12" s="94" t="s">
        <v>1346</v>
      </c>
      <c r="H12" s="94" t="s">
        <v>1311</v>
      </c>
    </row>
    <row r="13" ht="15.75" customHeight="1">
      <c r="A13" s="91">
        <v>11.0</v>
      </c>
      <c r="B13" s="91" t="s">
        <v>79</v>
      </c>
      <c r="C13" s="92" t="s">
        <v>1262</v>
      </c>
      <c r="D13" s="92">
        <v>2.52610106E8</v>
      </c>
      <c r="E13" s="94" t="s">
        <v>447</v>
      </c>
      <c r="F13" s="92" t="s">
        <v>784</v>
      </c>
      <c r="G13" s="94" t="s">
        <v>1347</v>
      </c>
      <c r="H13" s="94" t="s">
        <v>1332</v>
      </c>
    </row>
    <row r="14" ht="15.75" customHeight="1">
      <c r="A14" s="91">
        <v>12.0</v>
      </c>
      <c r="B14" s="91" t="s">
        <v>79</v>
      </c>
      <c r="C14" s="92" t="s">
        <v>1283</v>
      </c>
      <c r="D14" s="92">
        <v>2.52610391E8</v>
      </c>
      <c r="E14" s="94" t="s">
        <v>452</v>
      </c>
      <c r="F14" s="92" t="s">
        <v>784</v>
      </c>
      <c r="G14" s="94" t="s">
        <v>1348</v>
      </c>
      <c r="H14" s="94" t="s">
        <v>1311</v>
      </c>
    </row>
    <row r="15" ht="15.75" customHeight="1">
      <c r="A15" s="91">
        <v>13.0</v>
      </c>
      <c r="B15" s="91" t="s">
        <v>79</v>
      </c>
      <c r="C15" s="92" t="s">
        <v>1290</v>
      </c>
      <c r="D15" s="92">
        <v>2.5261049E8</v>
      </c>
      <c r="E15" s="94" t="s">
        <v>455</v>
      </c>
      <c r="F15" s="92" t="s">
        <v>784</v>
      </c>
      <c r="G15" s="94" t="s">
        <v>1349</v>
      </c>
      <c r="H15" s="94" t="s">
        <v>1350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6.38"/>
    <col customWidth="1" min="3" max="4" width="12.63"/>
    <col customWidth="1" min="5" max="5" width="21.88"/>
    <col customWidth="1" min="6" max="6" width="5.13"/>
    <col customWidth="1" min="7" max="7" width="31.13"/>
    <col customWidth="1" min="8" max="8" width="26.5"/>
  </cols>
  <sheetData>
    <row r="1" ht="15.75" customHeight="1">
      <c r="B1" s="90"/>
    </row>
    <row r="2" ht="15.75" customHeight="1">
      <c r="A2" s="91" t="s">
        <v>1299</v>
      </c>
      <c r="B2" s="91" t="s">
        <v>158</v>
      </c>
      <c r="C2" s="91" t="s">
        <v>776</v>
      </c>
      <c r="D2" s="91" t="s">
        <v>777</v>
      </c>
      <c r="E2" s="91" t="s">
        <v>1300</v>
      </c>
      <c r="F2" s="91" t="s">
        <v>1301</v>
      </c>
      <c r="G2" s="91" t="s">
        <v>1302</v>
      </c>
      <c r="H2" s="91" t="s">
        <v>1303</v>
      </c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</row>
    <row r="3" ht="15.75" customHeight="1">
      <c r="A3" s="91">
        <v>1.0</v>
      </c>
      <c r="B3" s="91" t="s">
        <v>21</v>
      </c>
      <c r="C3" s="92" t="s">
        <v>826</v>
      </c>
      <c r="D3" s="92">
        <v>2.52610023E8</v>
      </c>
      <c r="E3" s="93" t="s">
        <v>430</v>
      </c>
      <c r="F3" s="92" t="s">
        <v>784</v>
      </c>
      <c r="G3" s="94" t="s">
        <v>1351</v>
      </c>
      <c r="H3" s="94" t="s">
        <v>1305</v>
      </c>
    </row>
    <row r="4" ht="15.75" customHeight="1">
      <c r="A4" s="91">
        <v>2.0</v>
      </c>
      <c r="B4" s="91" t="s">
        <v>37</v>
      </c>
      <c r="C4" s="92" t="s">
        <v>912</v>
      </c>
      <c r="D4" s="92">
        <v>2.52610056E8</v>
      </c>
      <c r="E4" s="94" t="s">
        <v>432</v>
      </c>
      <c r="F4" s="92" t="s">
        <v>784</v>
      </c>
      <c r="G4" s="94" t="s">
        <v>1352</v>
      </c>
      <c r="H4" s="94" t="s">
        <v>1309</v>
      </c>
    </row>
    <row r="5" ht="15.75" customHeight="1">
      <c r="A5" s="91">
        <v>3.0</v>
      </c>
      <c r="B5" s="91" t="s">
        <v>42</v>
      </c>
      <c r="C5" s="92" t="s">
        <v>957</v>
      </c>
      <c r="D5" s="92">
        <v>2.52610043E8</v>
      </c>
      <c r="E5" s="94" t="s">
        <v>431</v>
      </c>
      <c r="F5" s="92" t="s">
        <v>784</v>
      </c>
      <c r="G5" s="94" t="s">
        <v>1353</v>
      </c>
      <c r="H5" s="94" t="s">
        <v>1311</v>
      </c>
    </row>
    <row r="6" ht="15.75" customHeight="1">
      <c r="A6" s="91">
        <v>4.0</v>
      </c>
      <c r="B6" s="91" t="s">
        <v>42</v>
      </c>
      <c r="C6" s="92" t="s">
        <v>966</v>
      </c>
      <c r="D6" s="92">
        <v>2.52610205E8</v>
      </c>
      <c r="E6" s="94" t="s">
        <v>435</v>
      </c>
      <c r="F6" s="92" t="s">
        <v>784</v>
      </c>
      <c r="G6" s="94" t="s">
        <v>1354</v>
      </c>
      <c r="H6" s="94" t="s">
        <v>1355</v>
      </c>
    </row>
    <row r="7" ht="15.75" customHeight="1">
      <c r="A7" s="91">
        <v>5.0</v>
      </c>
      <c r="B7" s="91" t="s">
        <v>42</v>
      </c>
      <c r="C7" s="92" t="s">
        <v>981</v>
      </c>
      <c r="D7" s="92">
        <v>2.52610412E8</v>
      </c>
      <c r="E7" s="94" t="s">
        <v>437</v>
      </c>
      <c r="F7" s="92" t="s">
        <v>784</v>
      </c>
      <c r="G7" s="94" t="s">
        <v>1356</v>
      </c>
      <c r="H7" s="94" t="s">
        <v>1311</v>
      </c>
    </row>
    <row r="8" ht="15.75" customHeight="1">
      <c r="A8" s="91">
        <v>6.0</v>
      </c>
      <c r="B8" s="91" t="s">
        <v>42</v>
      </c>
      <c r="C8" s="92" t="s">
        <v>983</v>
      </c>
      <c r="D8" s="92">
        <v>2.52610427E8</v>
      </c>
      <c r="E8" s="94" t="s">
        <v>439</v>
      </c>
      <c r="F8" s="92" t="s">
        <v>784</v>
      </c>
      <c r="G8" s="94" t="s">
        <v>1357</v>
      </c>
      <c r="H8" s="94" t="s">
        <v>1311</v>
      </c>
    </row>
    <row r="9" ht="15.75" customHeight="1">
      <c r="A9" s="91">
        <v>7.0</v>
      </c>
      <c r="B9" s="91" t="s">
        <v>52</v>
      </c>
      <c r="C9" s="92" t="s">
        <v>1063</v>
      </c>
      <c r="D9" s="92">
        <v>2.52610464E8</v>
      </c>
      <c r="E9" s="94" t="s">
        <v>440</v>
      </c>
      <c r="F9" s="92" t="s">
        <v>784</v>
      </c>
      <c r="G9" s="94" t="s">
        <v>1358</v>
      </c>
      <c r="H9" s="94" t="s">
        <v>1313</v>
      </c>
    </row>
    <row r="10" ht="15.75" customHeight="1">
      <c r="A10" s="91">
        <v>8.0</v>
      </c>
      <c r="B10" s="91" t="s">
        <v>58</v>
      </c>
      <c r="C10" s="92" t="s">
        <v>1087</v>
      </c>
      <c r="D10" s="92">
        <v>2.5261016E8</v>
      </c>
      <c r="E10" s="94" t="s">
        <v>433</v>
      </c>
      <c r="F10" s="92" t="s">
        <v>784</v>
      </c>
      <c r="G10" s="94" t="s">
        <v>1359</v>
      </c>
      <c r="H10" s="94" t="s">
        <v>1305</v>
      </c>
    </row>
    <row r="11" ht="15.75" customHeight="1">
      <c r="A11" s="91">
        <v>9.0</v>
      </c>
      <c r="B11" s="91" t="s">
        <v>58</v>
      </c>
      <c r="C11" s="92" t="s">
        <v>1092</v>
      </c>
      <c r="D11" s="92">
        <v>2.52610203E8</v>
      </c>
      <c r="E11" s="93" t="s">
        <v>434</v>
      </c>
      <c r="F11" s="92" t="s">
        <v>784</v>
      </c>
      <c r="G11" s="94" t="s">
        <v>1360</v>
      </c>
      <c r="H11" s="94" t="s">
        <v>1305</v>
      </c>
    </row>
    <row r="12" ht="15.75" customHeight="1">
      <c r="A12" s="91">
        <v>10.0</v>
      </c>
      <c r="B12" s="91" t="s">
        <v>63</v>
      </c>
      <c r="C12" s="92" t="s">
        <v>1162</v>
      </c>
      <c r="D12" s="92">
        <v>2.52610473E8</v>
      </c>
      <c r="E12" s="94" t="s">
        <v>441</v>
      </c>
      <c r="F12" s="92" t="s">
        <v>784</v>
      </c>
      <c r="G12" s="94" t="s">
        <v>1361</v>
      </c>
      <c r="H12" s="94" t="s">
        <v>1305</v>
      </c>
    </row>
    <row r="13" ht="15.75" customHeight="1">
      <c r="A13" s="91">
        <v>11.0</v>
      </c>
      <c r="B13" s="91" t="s">
        <v>69</v>
      </c>
      <c r="C13" s="92" t="s">
        <v>1170</v>
      </c>
      <c r="D13" s="92">
        <v>2.52610014E8</v>
      </c>
      <c r="E13" s="93" t="s">
        <v>429</v>
      </c>
      <c r="F13" s="92" t="s">
        <v>784</v>
      </c>
      <c r="G13" s="94" t="s">
        <v>1362</v>
      </c>
      <c r="H13" s="94" t="s">
        <v>1363</v>
      </c>
    </row>
    <row r="14" ht="15.75" customHeight="1">
      <c r="A14" s="91">
        <v>12.0</v>
      </c>
      <c r="B14" s="91" t="s">
        <v>74</v>
      </c>
      <c r="C14" s="92" t="s">
        <v>1241</v>
      </c>
      <c r="D14" s="92">
        <v>2.52610388E8</v>
      </c>
      <c r="E14" s="94" t="s">
        <v>436</v>
      </c>
      <c r="F14" s="92" t="s">
        <v>784</v>
      </c>
      <c r="G14" s="94" t="s">
        <v>1364</v>
      </c>
      <c r="H14" s="94" t="s">
        <v>1365</v>
      </c>
    </row>
    <row r="15" ht="15.75" customHeight="1">
      <c r="A15" s="91">
        <v>13.0</v>
      </c>
      <c r="B15" s="91" t="s">
        <v>74</v>
      </c>
      <c r="C15" s="92" t="s">
        <v>1242</v>
      </c>
      <c r="D15" s="92">
        <v>2.52610417E8</v>
      </c>
      <c r="E15" s="94" t="s">
        <v>438</v>
      </c>
      <c r="F15" s="92" t="s">
        <v>784</v>
      </c>
      <c r="G15" s="94" t="s">
        <v>1362</v>
      </c>
      <c r="H15" s="94" t="s">
        <v>1311</v>
      </c>
    </row>
    <row r="16" ht="15.75" customHeight="1">
      <c r="A16" s="91">
        <v>14.0</v>
      </c>
      <c r="B16" s="91" t="s">
        <v>74</v>
      </c>
      <c r="C16" s="92" t="s">
        <v>1250</v>
      </c>
      <c r="D16" s="92">
        <v>2.52610545E8</v>
      </c>
      <c r="E16" s="94" t="s">
        <v>442</v>
      </c>
      <c r="F16" s="92" t="s">
        <v>784</v>
      </c>
      <c r="G16" s="94" t="s">
        <v>1362</v>
      </c>
      <c r="H16" s="94" t="s">
        <v>1366</v>
      </c>
    </row>
    <row r="17" ht="15.75" customHeight="1">
      <c r="B17" s="90"/>
    </row>
    <row r="18" ht="15.75" customHeight="1">
      <c r="B18" s="90"/>
    </row>
    <row r="19" ht="15.75" customHeight="1">
      <c r="B19" s="90"/>
    </row>
    <row r="20" ht="15.75" customHeight="1">
      <c r="B20" s="90"/>
    </row>
    <row r="21" ht="15.75" customHeight="1">
      <c r="B21" s="90"/>
    </row>
    <row r="22" ht="15.75" customHeight="1">
      <c r="B22" s="90"/>
    </row>
    <row r="23" ht="15.75" customHeight="1">
      <c r="B23" s="90"/>
    </row>
    <row r="24" ht="15.75" customHeight="1">
      <c r="B24" s="90"/>
    </row>
    <row r="25" ht="15.75" customHeight="1">
      <c r="B25" s="90"/>
    </row>
    <row r="26" ht="15.75" customHeight="1">
      <c r="B26" s="90"/>
    </row>
    <row r="27" ht="15.75" customHeight="1">
      <c r="B27" s="90"/>
    </row>
    <row r="28" ht="15.75" customHeight="1">
      <c r="B28" s="90"/>
    </row>
    <row r="29" ht="15.75" customHeight="1">
      <c r="B29" s="90"/>
    </row>
    <row r="30" ht="15.75" customHeight="1">
      <c r="B30" s="90"/>
    </row>
    <row r="31" ht="15.75" customHeight="1">
      <c r="B31" s="90"/>
    </row>
    <row r="32" ht="15.75" customHeight="1">
      <c r="B32" s="90"/>
    </row>
    <row r="33" ht="15.75" customHeight="1">
      <c r="B33" s="90"/>
    </row>
    <row r="34" ht="15.75" customHeight="1">
      <c r="B34" s="90"/>
    </row>
    <row r="35" ht="15.75" customHeight="1">
      <c r="B35" s="90"/>
    </row>
    <row r="36" ht="15.75" customHeight="1">
      <c r="B36" s="90"/>
    </row>
    <row r="37" ht="15.75" customHeight="1">
      <c r="B37" s="90"/>
    </row>
    <row r="38" ht="15.75" customHeight="1">
      <c r="B38" s="90"/>
    </row>
    <row r="39" ht="15.75" customHeight="1">
      <c r="B39" s="90"/>
    </row>
    <row r="40" ht="15.75" customHeight="1">
      <c r="B40" s="90"/>
    </row>
    <row r="41" ht="15.75" customHeight="1">
      <c r="B41" s="90"/>
    </row>
    <row r="42" ht="15.75" customHeight="1">
      <c r="B42" s="90"/>
    </row>
    <row r="43" ht="15.75" customHeight="1">
      <c r="B43" s="90"/>
    </row>
    <row r="44" ht="15.75" customHeight="1">
      <c r="B44" s="90"/>
    </row>
    <row r="45" ht="15.75" customHeight="1">
      <c r="B45" s="90"/>
    </row>
    <row r="46" ht="15.75" customHeight="1">
      <c r="B46" s="90"/>
    </row>
    <row r="47" ht="15.75" customHeight="1">
      <c r="B47" s="90"/>
    </row>
    <row r="48" ht="15.75" customHeight="1">
      <c r="B48" s="90"/>
    </row>
    <row r="49" ht="15.75" customHeight="1">
      <c r="B49" s="90"/>
    </row>
    <row r="50" ht="15.75" customHeight="1">
      <c r="B50" s="90"/>
    </row>
    <row r="51" ht="15.75" customHeight="1">
      <c r="B51" s="90"/>
    </row>
    <row r="52" ht="15.75" customHeight="1">
      <c r="B52" s="90"/>
    </row>
    <row r="53" ht="15.75" customHeight="1">
      <c r="B53" s="90"/>
    </row>
    <row r="54" ht="15.75" customHeight="1">
      <c r="B54" s="90"/>
    </row>
    <row r="55" ht="15.75" customHeight="1">
      <c r="B55" s="90"/>
    </row>
    <row r="56" ht="15.75" customHeight="1">
      <c r="B56" s="90"/>
    </row>
    <row r="57" ht="15.75" customHeight="1">
      <c r="B57" s="90"/>
    </row>
    <row r="58" ht="15.75" customHeight="1">
      <c r="B58" s="90"/>
    </row>
    <row r="59" ht="15.75" customHeight="1">
      <c r="B59" s="90"/>
    </row>
    <row r="60" ht="15.75" customHeight="1">
      <c r="B60" s="90"/>
    </row>
    <row r="61" ht="15.75" customHeight="1">
      <c r="B61" s="90"/>
    </row>
    <row r="62" ht="15.75" customHeight="1">
      <c r="B62" s="90"/>
    </row>
    <row r="63" ht="15.75" customHeight="1">
      <c r="B63" s="90"/>
    </row>
    <row r="64" ht="15.75" customHeight="1">
      <c r="B64" s="90"/>
    </row>
    <row r="65" ht="15.75" customHeight="1">
      <c r="B65" s="90"/>
    </row>
    <row r="66" ht="15.75" customHeight="1">
      <c r="B66" s="90"/>
    </row>
    <row r="67" ht="15.75" customHeight="1">
      <c r="B67" s="90"/>
    </row>
    <row r="68" ht="15.75" customHeight="1">
      <c r="B68" s="90"/>
    </row>
    <row r="69" ht="15.75" customHeight="1">
      <c r="B69" s="90"/>
    </row>
    <row r="70" ht="15.75" customHeight="1">
      <c r="B70" s="90"/>
    </row>
    <row r="71" ht="15.75" customHeight="1">
      <c r="B71" s="90"/>
    </row>
    <row r="72" ht="15.75" customHeight="1">
      <c r="B72" s="90"/>
    </row>
    <row r="73" ht="15.75" customHeight="1">
      <c r="B73" s="90"/>
    </row>
    <row r="74" ht="15.75" customHeight="1">
      <c r="B74" s="90"/>
    </row>
    <row r="75" ht="15.75" customHeight="1">
      <c r="B75" s="90"/>
    </row>
    <row r="76" ht="15.75" customHeight="1">
      <c r="B76" s="90"/>
    </row>
    <row r="77" ht="15.75" customHeight="1">
      <c r="B77" s="90"/>
    </row>
    <row r="78" ht="15.75" customHeight="1">
      <c r="B78" s="90"/>
    </row>
    <row r="79" ht="15.75" customHeight="1">
      <c r="B79" s="90"/>
    </row>
    <row r="80" ht="15.75" customHeight="1">
      <c r="B80" s="90"/>
    </row>
    <row r="81" ht="15.75" customHeight="1">
      <c r="B81" s="90"/>
    </row>
    <row r="82" ht="15.75" customHeight="1">
      <c r="B82" s="90"/>
    </row>
    <row r="83" ht="15.75" customHeight="1">
      <c r="B83" s="90"/>
    </row>
    <row r="84" ht="15.75" customHeight="1">
      <c r="B84" s="90"/>
    </row>
    <row r="85" ht="15.75" customHeight="1">
      <c r="B85" s="90"/>
    </row>
    <row r="86" ht="15.75" customHeight="1">
      <c r="B86" s="90"/>
    </row>
    <row r="87" ht="15.75" customHeight="1">
      <c r="B87" s="90"/>
    </row>
    <row r="88" ht="15.75" customHeight="1">
      <c r="B88" s="90"/>
    </row>
    <row r="89" ht="15.75" customHeight="1">
      <c r="B89" s="90"/>
    </row>
    <row r="90" ht="15.75" customHeight="1">
      <c r="B90" s="90"/>
    </row>
    <row r="91" ht="15.75" customHeight="1">
      <c r="B91" s="90"/>
    </row>
    <row r="92" ht="15.75" customHeight="1">
      <c r="B92" s="90"/>
    </row>
    <row r="93" ht="15.75" customHeight="1">
      <c r="B93" s="90"/>
    </row>
    <row r="94" ht="15.75" customHeight="1">
      <c r="B94" s="90"/>
    </row>
    <row r="95" ht="15.75" customHeight="1">
      <c r="B95" s="90"/>
    </row>
    <row r="96" ht="15.75" customHeight="1">
      <c r="B96" s="90"/>
    </row>
    <row r="97" ht="15.75" customHeight="1">
      <c r="B97" s="90"/>
    </row>
    <row r="98" ht="15.75" customHeight="1">
      <c r="B98" s="90"/>
    </row>
    <row r="99" ht="15.75" customHeight="1">
      <c r="B99" s="90"/>
    </row>
    <row r="100" ht="15.75" customHeight="1">
      <c r="B100" s="90"/>
    </row>
    <row r="101" ht="15.75" customHeight="1">
      <c r="B101" s="90"/>
    </row>
    <row r="102" ht="15.75" customHeight="1">
      <c r="B102" s="90"/>
    </row>
    <row r="103" ht="15.75" customHeight="1">
      <c r="B103" s="90"/>
    </row>
    <row r="104" ht="15.75" customHeight="1">
      <c r="B104" s="90"/>
    </row>
    <row r="105" ht="15.75" customHeight="1">
      <c r="B105" s="90"/>
    </row>
    <row r="106" ht="15.75" customHeight="1">
      <c r="B106" s="90"/>
    </row>
    <row r="107" ht="15.75" customHeight="1">
      <c r="B107" s="90"/>
    </row>
    <row r="108" ht="15.75" customHeight="1">
      <c r="B108" s="90"/>
    </row>
    <row r="109" ht="15.75" customHeight="1">
      <c r="B109" s="90"/>
    </row>
    <row r="110" ht="15.75" customHeight="1">
      <c r="B110" s="90"/>
    </row>
    <row r="111" ht="15.75" customHeight="1">
      <c r="B111" s="90"/>
    </row>
    <row r="112" ht="15.75" customHeight="1">
      <c r="B112" s="90"/>
    </row>
    <row r="113" ht="15.75" customHeight="1">
      <c r="B113" s="90"/>
    </row>
    <row r="114" ht="15.75" customHeight="1">
      <c r="B114" s="90"/>
    </row>
    <row r="115" ht="15.75" customHeight="1">
      <c r="B115" s="90"/>
    </row>
    <row r="116" ht="15.75" customHeight="1">
      <c r="B116" s="90"/>
    </row>
    <row r="117" ht="15.75" customHeight="1">
      <c r="B117" s="90"/>
    </row>
    <row r="118" ht="15.75" customHeight="1">
      <c r="B118" s="90"/>
    </row>
    <row r="119" ht="15.75" customHeight="1">
      <c r="B119" s="90"/>
    </row>
    <row r="120" ht="15.75" customHeight="1">
      <c r="B120" s="90"/>
    </row>
    <row r="121" ht="15.75" customHeight="1">
      <c r="B121" s="90"/>
    </row>
    <row r="122" ht="15.75" customHeight="1">
      <c r="B122" s="90"/>
    </row>
    <row r="123" ht="15.75" customHeight="1">
      <c r="B123" s="90"/>
    </row>
    <row r="124" ht="15.75" customHeight="1">
      <c r="B124" s="90"/>
    </row>
    <row r="125" ht="15.75" customHeight="1">
      <c r="B125" s="90"/>
    </row>
    <row r="126" ht="15.75" customHeight="1">
      <c r="B126" s="90"/>
    </row>
    <row r="127" ht="15.75" customHeight="1">
      <c r="B127" s="90"/>
    </row>
    <row r="128" ht="15.75" customHeight="1">
      <c r="B128" s="90"/>
    </row>
    <row r="129" ht="15.75" customHeight="1">
      <c r="B129" s="90"/>
    </row>
    <row r="130" ht="15.75" customHeight="1">
      <c r="B130" s="90"/>
    </row>
    <row r="131" ht="15.75" customHeight="1">
      <c r="B131" s="90"/>
    </row>
    <row r="132" ht="15.75" customHeight="1">
      <c r="B132" s="90"/>
    </row>
    <row r="133" ht="15.75" customHeight="1">
      <c r="B133" s="90"/>
    </row>
    <row r="134" ht="15.75" customHeight="1">
      <c r="B134" s="90"/>
    </row>
    <row r="135" ht="15.75" customHeight="1">
      <c r="B135" s="90"/>
    </row>
    <row r="136" ht="15.75" customHeight="1">
      <c r="B136" s="90"/>
    </row>
    <row r="137" ht="15.75" customHeight="1">
      <c r="B137" s="90"/>
    </row>
    <row r="138" ht="15.75" customHeight="1">
      <c r="B138" s="90"/>
    </row>
    <row r="139" ht="15.75" customHeight="1">
      <c r="B139" s="90"/>
    </row>
    <row r="140" ht="15.75" customHeight="1">
      <c r="B140" s="90"/>
    </row>
    <row r="141" ht="15.75" customHeight="1">
      <c r="B141" s="90"/>
    </row>
    <row r="142" ht="15.75" customHeight="1">
      <c r="B142" s="90"/>
    </row>
    <row r="143" ht="15.75" customHeight="1">
      <c r="B143" s="90"/>
    </row>
    <row r="144" ht="15.75" customHeight="1">
      <c r="B144" s="90"/>
    </row>
    <row r="145" ht="15.75" customHeight="1">
      <c r="B145" s="90"/>
    </row>
    <row r="146" ht="15.75" customHeight="1">
      <c r="B146" s="90"/>
    </row>
    <row r="147" ht="15.75" customHeight="1">
      <c r="B147" s="90"/>
    </row>
    <row r="148" ht="15.75" customHeight="1">
      <c r="B148" s="90"/>
    </row>
    <row r="149" ht="15.75" customHeight="1">
      <c r="B149" s="90"/>
    </row>
    <row r="150" ht="15.75" customHeight="1">
      <c r="B150" s="90"/>
    </row>
    <row r="151" ht="15.75" customHeight="1">
      <c r="B151" s="90"/>
    </row>
    <row r="152" ht="15.75" customHeight="1">
      <c r="B152" s="90"/>
    </row>
    <row r="153" ht="15.75" customHeight="1">
      <c r="B153" s="90"/>
    </row>
    <row r="154" ht="15.75" customHeight="1">
      <c r="B154" s="90"/>
    </row>
    <row r="155" ht="15.75" customHeight="1">
      <c r="B155" s="90"/>
    </row>
    <row r="156" ht="15.75" customHeight="1">
      <c r="B156" s="90"/>
    </row>
    <row r="157" ht="15.75" customHeight="1">
      <c r="B157" s="90"/>
    </row>
    <row r="158" ht="15.75" customHeight="1">
      <c r="B158" s="90"/>
    </row>
    <row r="159" ht="15.75" customHeight="1">
      <c r="B159" s="90"/>
    </row>
    <row r="160" ht="15.75" customHeight="1">
      <c r="B160" s="90"/>
    </row>
    <row r="161" ht="15.75" customHeight="1">
      <c r="B161" s="90"/>
    </row>
    <row r="162" ht="15.75" customHeight="1">
      <c r="B162" s="90"/>
    </row>
    <row r="163" ht="15.75" customHeight="1">
      <c r="B163" s="90"/>
    </row>
    <row r="164" ht="15.75" customHeight="1">
      <c r="B164" s="90"/>
    </row>
    <row r="165" ht="15.75" customHeight="1">
      <c r="B165" s="90"/>
    </row>
    <row r="166" ht="15.75" customHeight="1">
      <c r="B166" s="90"/>
    </row>
    <row r="167" ht="15.75" customHeight="1">
      <c r="B167" s="90"/>
    </row>
    <row r="168" ht="15.75" customHeight="1">
      <c r="B168" s="90"/>
    </row>
    <row r="169" ht="15.75" customHeight="1">
      <c r="B169" s="90"/>
    </row>
    <row r="170" ht="15.75" customHeight="1">
      <c r="B170" s="90"/>
    </row>
    <row r="171" ht="15.75" customHeight="1">
      <c r="B171" s="90"/>
    </row>
    <row r="172" ht="15.75" customHeight="1">
      <c r="B172" s="90"/>
    </row>
    <row r="173" ht="15.75" customHeight="1">
      <c r="B173" s="90"/>
    </row>
    <row r="174" ht="15.75" customHeight="1">
      <c r="B174" s="90"/>
    </row>
    <row r="175" ht="15.75" customHeight="1">
      <c r="B175" s="90"/>
    </row>
    <row r="176" ht="15.75" customHeight="1">
      <c r="B176" s="90"/>
    </row>
    <row r="177" ht="15.75" customHeight="1">
      <c r="B177" s="90"/>
    </row>
    <row r="178" ht="15.75" customHeight="1">
      <c r="B178" s="90"/>
    </row>
    <row r="179" ht="15.75" customHeight="1">
      <c r="B179" s="90"/>
    </row>
    <row r="180" ht="15.75" customHeight="1">
      <c r="B180" s="90"/>
    </row>
    <row r="181" ht="15.75" customHeight="1">
      <c r="B181" s="90"/>
    </row>
    <row r="182" ht="15.75" customHeight="1">
      <c r="B182" s="90"/>
    </row>
    <row r="183" ht="15.75" customHeight="1">
      <c r="B183" s="90"/>
    </row>
    <row r="184" ht="15.75" customHeight="1">
      <c r="B184" s="90"/>
    </row>
    <row r="185" ht="15.75" customHeight="1">
      <c r="B185" s="90"/>
    </row>
    <row r="186" ht="15.75" customHeight="1">
      <c r="B186" s="90"/>
    </row>
    <row r="187" ht="15.75" customHeight="1">
      <c r="B187" s="90"/>
    </row>
    <row r="188" ht="15.75" customHeight="1">
      <c r="B188" s="90"/>
    </row>
    <row r="189" ht="15.75" customHeight="1">
      <c r="B189" s="90"/>
    </row>
    <row r="190" ht="15.75" customHeight="1">
      <c r="B190" s="90"/>
    </row>
    <row r="191" ht="15.75" customHeight="1">
      <c r="B191" s="90"/>
    </row>
    <row r="192" ht="15.75" customHeight="1">
      <c r="B192" s="90"/>
    </row>
    <row r="193" ht="15.75" customHeight="1">
      <c r="B193" s="90"/>
    </row>
    <row r="194" ht="15.75" customHeight="1">
      <c r="B194" s="90"/>
    </row>
    <row r="195" ht="15.75" customHeight="1">
      <c r="B195" s="90"/>
    </row>
    <row r="196" ht="15.75" customHeight="1">
      <c r="B196" s="90"/>
    </row>
    <row r="197" ht="15.75" customHeight="1">
      <c r="B197" s="90"/>
    </row>
    <row r="198" ht="15.75" customHeight="1">
      <c r="B198" s="90"/>
    </row>
    <row r="199" ht="15.75" customHeight="1">
      <c r="B199" s="90"/>
    </row>
    <row r="200" ht="15.75" customHeight="1">
      <c r="B200" s="90"/>
    </row>
    <row r="201" ht="15.75" customHeight="1">
      <c r="B201" s="90"/>
    </row>
    <row r="202" ht="15.75" customHeight="1">
      <c r="B202" s="90"/>
    </row>
    <row r="203" ht="15.75" customHeight="1">
      <c r="B203" s="90"/>
    </row>
    <row r="204" ht="15.75" customHeight="1">
      <c r="B204" s="90"/>
    </row>
    <row r="205" ht="15.75" customHeight="1">
      <c r="B205" s="90"/>
    </row>
    <row r="206" ht="15.75" customHeight="1">
      <c r="B206" s="90"/>
    </row>
    <row r="207" ht="15.75" customHeight="1">
      <c r="B207" s="90"/>
    </row>
    <row r="208" ht="15.75" customHeight="1">
      <c r="B208" s="90"/>
    </row>
    <row r="209" ht="15.75" customHeight="1">
      <c r="B209" s="90"/>
    </row>
    <row r="210" ht="15.75" customHeight="1">
      <c r="B210" s="90"/>
    </row>
    <row r="211" ht="15.75" customHeight="1">
      <c r="B211" s="90"/>
    </row>
    <row r="212" ht="15.75" customHeight="1">
      <c r="B212" s="90"/>
    </row>
    <row r="213" ht="15.75" customHeight="1">
      <c r="B213" s="90"/>
    </row>
    <row r="214" ht="15.75" customHeight="1">
      <c r="B214" s="90"/>
    </row>
    <row r="215" ht="15.75" customHeight="1">
      <c r="B215" s="90"/>
    </row>
    <row r="216" ht="15.75" customHeight="1">
      <c r="B216" s="90"/>
    </row>
    <row r="217" ht="15.75" customHeight="1">
      <c r="B217" s="90"/>
    </row>
    <row r="218" ht="15.75" customHeight="1">
      <c r="B218" s="90"/>
    </row>
    <row r="219" ht="15.75" customHeight="1">
      <c r="B219" s="90"/>
    </row>
    <row r="220" ht="15.75" customHeight="1">
      <c r="B220" s="9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5"/>
    <col customWidth="1" min="2" max="3" width="12.63"/>
    <col customWidth="1" min="4" max="4" width="38.38"/>
    <col customWidth="1" min="5" max="6" width="12.63"/>
  </cols>
  <sheetData>
    <row r="1" ht="15.75" customHeight="1">
      <c r="A1" s="71"/>
      <c r="B1" s="71"/>
      <c r="C1" s="71"/>
      <c r="D1" s="71"/>
      <c r="E1" s="71"/>
    </row>
    <row r="2" ht="15.75" customHeight="1">
      <c r="A2" s="71"/>
      <c r="B2" s="71"/>
      <c r="C2" s="71"/>
      <c r="D2" s="71"/>
      <c r="E2" s="71"/>
    </row>
    <row r="3" ht="15.75" customHeight="1">
      <c r="A3" s="71" t="s">
        <v>1367</v>
      </c>
      <c r="B3" s="71"/>
      <c r="C3" s="71"/>
      <c r="D3" s="71"/>
      <c r="E3" s="71" t="s">
        <v>13</v>
      </c>
    </row>
    <row r="4" ht="15.75" customHeight="1">
      <c r="A4" s="95" t="s">
        <v>775</v>
      </c>
      <c r="B4" s="95" t="s">
        <v>776</v>
      </c>
      <c r="C4" s="95" t="s">
        <v>777</v>
      </c>
      <c r="D4" s="95" t="s">
        <v>219</v>
      </c>
      <c r="E4" s="95" t="s">
        <v>778</v>
      </c>
    </row>
    <row r="5" ht="15.75" customHeight="1">
      <c r="A5" s="92">
        <v>1.0</v>
      </c>
      <c r="B5" s="92" t="s">
        <v>781</v>
      </c>
      <c r="C5" s="92">
        <v>2.52610008E8</v>
      </c>
      <c r="D5" s="94" t="s">
        <v>411</v>
      </c>
      <c r="E5" s="92" t="s">
        <v>782</v>
      </c>
    </row>
    <row r="6" ht="15.75" customHeight="1">
      <c r="A6" s="92">
        <v>2.0</v>
      </c>
      <c r="B6" s="92" t="s">
        <v>783</v>
      </c>
      <c r="C6" s="92">
        <v>2.52610048E8</v>
      </c>
      <c r="D6" s="94" t="s">
        <v>763</v>
      </c>
      <c r="E6" s="92" t="s">
        <v>784</v>
      </c>
    </row>
    <row r="7" ht="15.75" customHeight="1">
      <c r="A7" s="92">
        <v>3.0</v>
      </c>
      <c r="B7" s="92" t="s">
        <v>785</v>
      </c>
      <c r="C7" s="92">
        <v>2.52610053E8</v>
      </c>
      <c r="D7" s="94" t="s">
        <v>764</v>
      </c>
      <c r="E7" s="92" t="s">
        <v>784</v>
      </c>
    </row>
    <row r="8" ht="15.75" customHeight="1">
      <c r="A8" s="92">
        <v>4.0</v>
      </c>
      <c r="B8" s="92" t="s">
        <v>786</v>
      </c>
      <c r="C8" s="92">
        <v>2.52610082E8</v>
      </c>
      <c r="D8" s="94" t="s">
        <v>412</v>
      </c>
      <c r="E8" s="92" t="s">
        <v>782</v>
      </c>
    </row>
    <row r="9" ht="15.75" customHeight="1">
      <c r="A9" s="92">
        <v>5.0</v>
      </c>
      <c r="B9" s="92" t="s">
        <v>787</v>
      </c>
      <c r="C9" s="92">
        <v>2.52610083E8</v>
      </c>
      <c r="D9" s="94" t="s">
        <v>765</v>
      </c>
      <c r="E9" s="92" t="s">
        <v>784</v>
      </c>
    </row>
    <row r="10" ht="15.75" customHeight="1">
      <c r="A10" s="92">
        <v>6.0</v>
      </c>
      <c r="B10" s="92" t="s">
        <v>788</v>
      </c>
      <c r="C10" s="92">
        <v>2.52610087E8</v>
      </c>
      <c r="D10" s="94" t="s">
        <v>766</v>
      </c>
      <c r="E10" s="92" t="s">
        <v>784</v>
      </c>
    </row>
    <row r="11" ht="15.75" customHeight="1">
      <c r="A11" s="92">
        <v>7.0</v>
      </c>
      <c r="B11" s="92" t="s">
        <v>789</v>
      </c>
      <c r="C11" s="92">
        <v>2.52610088E8</v>
      </c>
      <c r="D11" s="94" t="s">
        <v>767</v>
      </c>
      <c r="E11" s="92" t="s">
        <v>784</v>
      </c>
    </row>
    <row r="12" ht="15.75" customHeight="1">
      <c r="A12" s="92">
        <v>8.0</v>
      </c>
      <c r="B12" s="92" t="s">
        <v>790</v>
      </c>
      <c r="C12" s="92">
        <v>2.526101E8</v>
      </c>
      <c r="D12" s="94" t="s">
        <v>768</v>
      </c>
      <c r="E12" s="92" t="s">
        <v>784</v>
      </c>
    </row>
    <row r="13" ht="15.75" customHeight="1">
      <c r="A13" s="92">
        <v>9.0</v>
      </c>
      <c r="B13" s="92" t="s">
        <v>791</v>
      </c>
      <c r="C13" s="92">
        <v>2.52610101E8</v>
      </c>
      <c r="D13" s="94" t="s">
        <v>769</v>
      </c>
      <c r="E13" s="92" t="s">
        <v>784</v>
      </c>
    </row>
    <row r="14" ht="15.75" customHeight="1">
      <c r="A14" s="92">
        <v>10.0</v>
      </c>
      <c r="B14" s="92" t="s">
        <v>792</v>
      </c>
      <c r="C14" s="92">
        <v>2.52610122E8</v>
      </c>
      <c r="D14" s="94" t="s">
        <v>448</v>
      </c>
      <c r="E14" s="92" t="s">
        <v>784</v>
      </c>
    </row>
    <row r="15" ht="15.75" customHeight="1">
      <c r="A15" s="92">
        <v>11.0</v>
      </c>
      <c r="B15" s="92" t="s">
        <v>793</v>
      </c>
      <c r="C15" s="92">
        <v>2.52610126E8</v>
      </c>
      <c r="D15" s="94" t="s">
        <v>413</v>
      </c>
      <c r="E15" s="92" t="s">
        <v>782</v>
      </c>
    </row>
    <row r="16" ht="15.75" customHeight="1">
      <c r="A16" s="92">
        <v>12.0</v>
      </c>
      <c r="B16" s="92" t="s">
        <v>794</v>
      </c>
      <c r="C16" s="92">
        <v>2.5261013E8</v>
      </c>
      <c r="D16" s="94" t="s">
        <v>770</v>
      </c>
      <c r="E16" s="92" t="s">
        <v>784</v>
      </c>
    </row>
    <row r="17" ht="15.75" customHeight="1">
      <c r="A17" s="92">
        <v>13.0</v>
      </c>
      <c r="B17" s="92" t="s">
        <v>795</v>
      </c>
      <c r="C17" s="92">
        <v>2.52610171E8</v>
      </c>
      <c r="D17" s="94" t="s">
        <v>414</v>
      </c>
      <c r="E17" s="92" t="s">
        <v>782</v>
      </c>
    </row>
    <row r="18" ht="15.75" customHeight="1">
      <c r="A18" s="92">
        <v>14.0</v>
      </c>
      <c r="B18" s="92" t="s">
        <v>796</v>
      </c>
      <c r="C18" s="92">
        <v>2.52610175E8</v>
      </c>
      <c r="D18" s="94" t="s">
        <v>771</v>
      </c>
      <c r="E18" s="92" t="s">
        <v>784</v>
      </c>
    </row>
    <row r="19" ht="15.75" customHeight="1">
      <c r="A19" s="92">
        <v>15.0</v>
      </c>
      <c r="B19" s="92" t="s">
        <v>797</v>
      </c>
      <c r="C19" s="92">
        <v>2.52610193E8</v>
      </c>
      <c r="D19" s="94" t="s">
        <v>415</v>
      </c>
      <c r="E19" s="92" t="s">
        <v>782</v>
      </c>
    </row>
    <row r="20" ht="15.75" customHeight="1">
      <c r="A20" s="92">
        <v>16.0</v>
      </c>
      <c r="B20" s="92" t="s">
        <v>798</v>
      </c>
      <c r="C20" s="92">
        <v>2.52610202E8</v>
      </c>
      <c r="D20" s="94" t="s">
        <v>416</v>
      </c>
      <c r="E20" s="92" t="s">
        <v>782</v>
      </c>
    </row>
    <row r="21" ht="15.75" customHeight="1">
      <c r="A21" s="92">
        <v>17.0</v>
      </c>
      <c r="B21" s="92" t="s">
        <v>799</v>
      </c>
      <c r="C21" s="92">
        <v>2.52610206E8</v>
      </c>
      <c r="D21" s="94" t="s">
        <v>772</v>
      </c>
      <c r="E21" s="92" t="s">
        <v>784</v>
      </c>
    </row>
    <row r="22" ht="15.75" customHeight="1">
      <c r="A22" s="92">
        <v>18.0</v>
      </c>
      <c r="B22" s="92" t="s">
        <v>800</v>
      </c>
      <c r="C22" s="92">
        <v>2.52610224E8</v>
      </c>
      <c r="D22" s="94" t="s">
        <v>773</v>
      </c>
      <c r="E22" s="92" t="s">
        <v>784</v>
      </c>
    </row>
    <row r="23" ht="15.75" customHeight="1">
      <c r="A23" s="92">
        <v>19.0</v>
      </c>
      <c r="B23" s="92" t="s">
        <v>801</v>
      </c>
      <c r="C23" s="92">
        <v>2.52610239E8</v>
      </c>
      <c r="D23" s="94" t="s">
        <v>602</v>
      </c>
      <c r="E23" s="92" t="s">
        <v>784</v>
      </c>
    </row>
    <row r="24" ht="15.75" customHeight="1">
      <c r="A24" s="92">
        <v>20.0</v>
      </c>
      <c r="B24" s="92" t="s">
        <v>802</v>
      </c>
      <c r="C24" s="92">
        <v>2.52610246E8</v>
      </c>
      <c r="D24" s="94" t="s">
        <v>603</v>
      </c>
      <c r="E24" s="92" t="s">
        <v>784</v>
      </c>
    </row>
    <row r="25" ht="15.75" customHeight="1">
      <c r="A25" s="92">
        <v>21.0</v>
      </c>
      <c r="B25" s="92" t="s">
        <v>803</v>
      </c>
      <c r="C25" s="92">
        <v>2.52610311E8</v>
      </c>
      <c r="D25" s="94" t="s">
        <v>604</v>
      </c>
      <c r="E25" s="92" t="s">
        <v>784</v>
      </c>
    </row>
    <row r="26" ht="15.75" customHeight="1">
      <c r="A26" s="92">
        <v>22.0</v>
      </c>
      <c r="B26" s="92" t="s">
        <v>804</v>
      </c>
      <c r="C26" s="92">
        <v>2.52610316E8</v>
      </c>
      <c r="D26" s="94" t="s">
        <v>417</v>
      </c>
      <c r="E26" s="92" t="s">
        <v>782</v>
      </c>
    </row>
    <row r="27" ht="15.75" customHeight="1">
      <c r="A27" s="92">
        <v>23.0</v>
      </c>
      <c r="B27" s="92" t="s">
        <v>805</v>
      </c>
      <c r="C27" s="92">
        <v>2.5261033E8</v>
      </c>
      <c r="D27" s="94" t="s">
        <v>418</v>
      </c>
      <c r="E27" s="92" t="s">
        <v>782</v>
      </c>
    </row>
    <row r="28" ht="15.75" customHeight="1">
      <c r="A28" s="92">
        <v>24.0</v>
      </c>
      <c r="B28" s="92" t="s">
        <v>806</v>
      </c>
      <c r="C28" s="92">
        <v>2.52610334E8</v>
      </c>
      <c r="D28" s="94" t="s">
        <v>231</v>
      </c>
      <c r="E28" s="92" t="s">
        <v>782</v>
      </c>
    </row>
    <row r="29" ht="15.75" customHeight="1">
      <c r="A29" s="92">
        <v>25.0</v>
      </c>
      <c r="B29" s="92" t="s">
        <v>807</v>
      </c>
      <c r="C29" s="92">
        <v>2.52610343E8</v>
      </c>
      <c r="D29" s="94" t="s">
        <v>419</v>
      </c>
      <c r="E29" s="92" t="s">
        <v>782</v>
      </c>
    </row>
    <row r="30" ht="15.75" customHeight="1">
      <c r="A30" s="92">
        <v>26.0</v>
      </c>
      <c r="B30" s="92" t="s">
        <v>808</v>
      </c>
      <c r="C30" s="92">
        <v>2.52610351E8</v>
      </c>
      <c r="D30" s="94" t="s">
        <v>420</v>
      </c>
      <c r="E30" s="92" t="s">
        <v>782</v>
      </c>
    </row>
    <row r="31" ht="15.75" customHeight="1">
      <c r="A31" s="92">
        <v>27.0</v>
      </c>
      <c r="B31" s="92" t="s">
        <v>809</v>
      </c>
      <c r="C31" s="92">
        <v>2.52610369E8</v>
      </c>
      <c r="D31" s="94" t="s">
        <v>421</v>
      </c>
      <c r="E31" s="92" t="s">
        <v>782</v>
      </c>
    </row>
    <row r="32" ht="15.75" customHeight="1">
      <c r="A32" s="92">
        <v>28.0</v>
      </c>
      <c r="B32" s="92" t="s">
        <v>810</v>
      </c>
      <c r="C32" s="92">
        <v>2.52610371E8</v>
      </c>
      <c r="D32" s="94" t="s">
        <v>422</v>
      </c>
      <c r="E32" s="92" t="s">
        <v>782</v>
      </c>
    </row>
    <row r="33" ht="15.75" customHeight="1">
      <c r="A33" s="92">
        <v>29.0</v>
      </c>
      <c r="B33" s="92" t="s">
        <v>811</v>
      </c>
      <c r="C33" s="92">
        <v>2.5261039E8</v>
      </c>
      <c r="D33" s="94" t="s">
        <v>605</v>
      </c>
      <c r="E33" s="92" t="s">
        <v>784</v>
      </c>
    </row>
    <row r="34" ht="15.75" customHeight="1">
      <c r="A34" s="92">
        <v>30.0</v>
      </c>
      <c r="B34" s="92" t="s">
        <v>812</v>
      </c>
      <c r="C34" s="92">
        <v>2.52610393E8</v>
      </c>
      <c r="D34" s="94" t="s">
        <v>606</v>
      </c>
      <c r="E34" s="92" t="s">
        <v>784</v>
      </c>
    </row>
    <row r="35" ht="15.75" customHeight="1">
      <c r="A35" s="92">
        <v>31.0</v>
      </c>
      <c r="B35" s="92" t="s">
        <v>813</v>
      </c>
      <c r="C35" s="92">
        <v>2.52610423E8</v>
      </c>
      <c r="D35" s="94" t="s">
        <v>607</v>
      </c>
      <c r="E35" s="92" t="s">
        <v>784</v>
      </c>
    </row>
    <row r="36" ht="15.75" customHeight="1">
      <c r="A36" s="92">
        <v>32.0</v>
      </c>
      <c r="B36" s="92" t="s">
        <v>814</v>
      </c>
      <c r="C36" s="92">
        <v>2.52610424E8</v>
      </c>
      <c r="D36" s="94" t="s">
        <v>608</v>
      </c>
      <c r="E36" s="92" t="s">
        <v>784</v>
      </c>
    </row>
    <row r="37" ht="15.75" customHeight="1">
      <c r="A37" s="92">
        <v>33.0</v>
      </c>
      <c r="B37" s="92" t="s">
        <v>815</v>
      </c>
      <c r="C37" s="92">
        <v>2.52610436E8</v>
      </c>
      <c r="D37" s="94" t="s">
        <v>423</v>
      </c>
      <c r="E37" s="92" t="s">
        <v>782</v>
      </c>
    </row>
    <row r="38" ht="15.75" customHeight="1">
      <c r="A38" s="92">
        <v>34.0</v>
      </c>
      <c r="B38" s="92" t="s">
        <v>816</v>
      </c>
      <c r="C38" s="92">
        <v>2.52610452E8</v>
      </c>
      <c r="D38" s="94" t="s">
        <v>424</v>
      </c>
      <c r="E38" s="92" t="s">
        <v>782</v>
      </c>
    </row>
    <row r="39" ht="15.75" customHeight="1">
      <c r="A39" s="92">
        <v>35.0</v>
      </c>
      <c r="B39" s="92" t="s">
        <v>817</v>
      </c>
      <c r="C39" s="92">
        <v>2.52610454E8</v>
      </c>
      <c r="D39" s="94" t="s">
        <v>425</v>
      </c>
      <c r="E39" s="92" t="s">
        <v>782</v>
      </c>
    </row>
    <row r="40" ht="15.75" customHeight="1">
      <c r="A40" s="92">
        <v>36.0</v>
      </c>
      <c r="B40" s="92" t="s">
        <v>818</v>
      </c>
      <c r="C40" s="92">
        <v>2.52610476E8</v>
      </c>
      <c r="D40" s="94" t="s">
        <v>426</v>
      </c>
      <c r="E40" s="92" t="s">
        <v>782</v>
      </c>
    </row>
    <row r="41" ht="15.75" customHeight="1">
      <c r="A41" s="92">
        <v>37.0</v>
      </c>
      <c r="B41" s="92" t="s">
        <v>819</v>
      </c>
      <c r="C41" s="92">
        <v>2.52610477E8</v>
      </c>
      <c r="D41" s="94" t="s">
        <v>454</v>
      </c>
      <c r="E41" s="92" t="s">
        <v>784</v>
      </c>
    </row>
    <row r="42" ht="15.75" customHeight="1">
      <c r="A42" s="92">
        <v>38.0</v>
      </c>
      <c r="B42" s="92" t="s">
        <v>820</v>
      </c>
      <c r="C42" s="92">
        <v>2.52610489E8</v>
      </c>
      <c r="D42" s="94" t="s">
        <v>609</v>
      </c>
      <c r="E42" s="92" t="s">
        <v>784</v>
      </c>
    </row>
    <row r="43" ht="15.75" customHeight="1">
      <c r="A43" s="92">
        <v>39.0</v>
      </c>
      <c r="B43" s="92" t="s">
        <v>821</v>
      </c>
      <c r="C43" s="92">
        <v>2.52610508E8</v>
      </c>
      <c r="D43" s="94" t="s">
        <v>610</v>
      </c>
      <c r="E43" s="92" t="s">
        <v>784</v>
      </c>
    </row>
    <row r="44" ht="15.75" customHeight="1">
      <c r="A44" s="92">
        <v>40.0</v>
      </c>
      <c r="B44" s="92" t="s">
        <v>822</v>
      </c>
      <c r="C44" s="92">
        <v>2.52610513E8</v>
      </c>
      <c r="D44" s="94" t="s">
        <v>611</v>
      </c>
      <c r="E44" s="92" t="s">
        <v>784</v>
      </c>
    </row>
    <row r="45" ht="15.75" customHeight="1">
      <c r="A45" s="92">
        <v>41.0</v>
      </c>
      <c r="B45" s="92" t="s">
        <v>823</v>
      </c>
      <c r="C45" s="92">
        <v>2.52610564E8</v>
      </c>
      <c r="D45" s="94" t="s">
        <v>427</v>
      </c>
      <c r="E45" s="92" t="s">
        <v>782</v>
      </c>
    </row>
    <row r="46" ht="15.75" customHeight="1">
      <c r="A46" s="92">
        <v>42.0</v>
      </c>
      <c r="B46" s="92" t="s">
        <v>824</v>
      </c>
      <c r="C46" s="92">
        <v>2.52610566E8</v>
      </c>
      <c r="D46" s="94" t="s">
        <v>612</v>
      </c>
      <c r="E46" s="92" t="s">
        <v>784</v>
      </c>
    </row>
    <row r="47" ht="15.75" customHeight="1">
      <c r="A47" s="71"/>
      <c r="B47" s="71"/>
      <c r="C47" s="71"/>
      <c r="D47" s="71"/>
      <c r="E47" s="71"/>
    </row>
    <row r="48" ht="15.75" customHeight="1">
      <c r="A48" s="71"/>
      <c r="B48" s="71"/>
      <c r="C48" s="71"/>
      <c r="D48" s="94" t="s">
        <v>1368</v>
      </c>
      <c r="E48" s="96">
        <f>COUNTIF(E5:E46,"P")</f>
        <v>24</v>
      </c>
    </row>
    <row r="49" ht="15.75" customHeight="1">
      <c r="A49" s="71"/>
      <c r="B49" s="71"/>
      <c r="C49" s="71"/>
      <c r="D49" s="94" t="s">
        <v>1369</v>
      </c>
      <c r="E49" s="96">
        <f>COUNTIF(E5:E46,"L")</f>
        <v>18</v>
      </c>
    </row>
    <row r="50" ht="15.75" customHeight="1">
      <c r="A50" s="71"/>
      <c r="B50" s="71"/>
      <c r="C50" s="71"/>
      <c r="D50" s="71"/>
      <c r="E50" s="71"/>
    </row>
    <row r="51" ht="15.75" customHeight="1">
      <c r="A51" s="71"/>
      <c r="B51" s="71"/>
      <c r="C51" s="71"/>
      <c r="D51" s="71"/>
      <c r="E51" s="71"/>
    </row>
    <row r="52" ht="15.75" customHeight="1">
      <c r="A52" s="71" t="s">
        <v>1370</v>
      </c>
      <c r="B52" s="71"/>
      <c r="C52" s="71"/>
      <c r="D52" s="71"/>
      <c r="E52" s="71" t="s">
        <v>21</v>
      </c>
    </row>
    <row r="53" ht="15.75" customHeight="1">
      <c r="A53" s="95" t="s">
        <v>775</v>
      </c>
      <c r="B53" s="95" t="s">
        <v>776</v>
      </c>
      <c r="C53" s="95" t="s">
        <v>777</v>
      </c>
      <c r="D53" s="95" t="s">
        <v>219</v>
      </c>
      <c r="E53" s="95" t="s">
        <v>778</v>
      </c>
    </row>
    <row r="54" ht="15.75" customHeight="1">
      <c r="A54" s="92">
        <v>1.0</v>
      </c>
      <c r="B54" s="92" t="s">
        <v>825</v>
      </c>
      <c r="C54" s="92">
        <v>2.52610011E8</v>
      </c>
      <c r="D54" s="94" t="s">
        <v>711</v>
      </c>
      <c r="E54" s="92" t="s">
        <v>784</v>
      </c>
    </row>
    <row r="55" ht="15.75" customHeight="1">
      <c r="A55" s="92">
        <v>2.0</v>
      </c>
      <c r="B55" s="92" t="s">
        <v>826</v>
      </c>
      <c r="C55" s="92">
        <v>2.52610023E8</v>
      </c>
      <c r="D55" s="94" t="s">
        <v>430</v>
      </c>
      <c r="E55" s="92" t="s">
        <v>784</v>
      </c>
    </row>
    <row r="56" ht="15.75" customHeight="1">
      <c r="A56" s="92">
        <v>3.0</v>
      </c>
      <c r="B56" s="92" t="s">
        <v>827</v>
      </c>
      <c r="C56" s="92">
        <v>2.52610026E8</v>
      </c>
      <c r="D56" s="94" t="s">
        <v>712</v>
      </c>
      <c r="E56" s="92" t="s">
        <v>784</v>
      </c>
    </row>
    <row r="57" ht="15.75" customHeight="1">
      <c r="A57" s="92">
        <v>4.0</v>
      </c>
      <c r="B57" s="92" t="s">
        <v>828</v>
      </c>
      <c r="C57" s="92">
        <v>2.52610039E8</v>
      </c>
      <c r="D57" s="94" t="s">
        <v>713</v>
      </c>
      <c r="E57" s="92" t="s">
        <v>784</v>
      </c>
    </row>
    <row r="58" ht="15.75" customHeight="1">
      <c r="A58" s="92">
        <v>5.0</v>
      </c>
      <c r="B58" s="92" t="s">
        <v>829</v>
      </c>
      <c r="C58" s="92">
        <v>2.5261005E8</v>
      </c>
      <c r="D58" s="94" t="s">
        <v>714</v>
      </c>
      <c r="E58" s="92" t="s">
        <v>784</v>
      </c>
    </row>
    <row r="59" ht="15.75" customHeight="1">
      <c r="A59" s="92">
        <v>6.0</v>
      </c>
      <c r="B59" s="92" t="s">
        <v>830</v>
      </c>
      <c r="C59" s="92">
        <v>2.52610052E8</v>
      </c>
      <c r="D59" s="94" t="s">
        <v>445</v>
      </c>
      <c r="E59" s="92" t="s">
        <v>784</v>
      </c>
    </row>
    <row r="60" ht="15.75" customHeight="1">
      <c r="A60" s="92">
        <v>7.0</v>
      </c>
      <c r="B60" s="92" t="s">
        <v>831</v>
      </c>
      <c r="C60" s="92">
        <v>2.52610058E8</v>
      </c>
      <c r="D60" s="94" t="s">
        <v>345</v>
      </c>
      <c r="E60" s="92" t="s">
        <v>782</v>
      </c>
    </row>
    <row r="61" ht="15.75" customHeight="1">
      <c r="A61" s="92">
        <v>8.0</v>
      </c>
      <c r="B61" s="92" t="s">
        <v>832</v>
      </c>
      <c r="C61" s="92">
        <v>2.52610062E8</v>
      </c>
      <c r="D61" s="94" t="s">
        <v>715</v>
      </c>
      <c r="E61" s="92" t="s">
        <v>784</v>
      </c>
    </row>
    <row r="62" ht="15.75" customHeight="1">
      <c r="A62" s="92">
        <v>9.0</v>
      </c>
      <c r="B62" s="92" t="s">
        <v>833</v>
      </c>
      <c r="C62" s="92">
        <v>2.5261007E8</v>
      </c>
      <c r="D62" s="94" t="s">
        <v>716</v>
      </c>
      <c r="E62" s="92" t="s">
        <v>784</v>
      </c>
    </row>
    <row r="63" ht="15.75" customHeight="1">
      <c r="A63" s="92">
        <v>10.0</v>
      </c>
      <c r="B63" s="92" t="s">
        <v>834</v>
      </c>
      <c r="C63" s="92">
        <v>2.52610084E8</v>
      </c>
      <c r="D63" s="94" t="s">
        <v>717</v>
      </c>
      <c r="E63" s="92" t="s">
        <v>784</v>
      </c>
    </row>
    <row r="64" ht="15.75" customHeight="1">
      <c r="A64" s="92">
        <v>11.0</v>
      </c>
      <c r="B64" s="92" t="s">
        <v>835</v>
      </c>
      <c r="C64" s="92">
        <v>2.5261009E8</v>
      </c>
      <c r="D64" s="94" t="s">
        <v>718</v>
      </c>
      <c r="E64" s="92" t="s">
        <v>784</v>
      </c>
    </row>
    <row r="65" ht="15.75" customHeight="1">
      <c r="A65" s="92">
        <v>12.0</v>
      </c>
      <c r="B65" s="92" t="s">
        <v>836</v>
      </c>
      <c r="C65" s="92">
        <v>2.52610102E8</v>
      </c>
      <c r="D65" s="94" t="s">
        <v>719</v>
      </c>
      <c r="E65" s="92" t="s">
        <v>784</v>
      </c>
    </row>
    <row r="66" ht="15.75" customHeight="1">
      <c r="A66" s="92">
        <v>13.0</v>
      </c>
      <c r="B66" s="92" t="s">
        <v>837</v>
      </c>
      <c r="C66" s="92">
        <v>2.52610124E8</v>
      </c>
      <c r="D66" s="94" t="s">
        <v>346</v>
      </c>
      <c r="E66" s="92" t="s">
        <v>782</v>
      </c>
    </row>
    <row r="67" ht="15.75" customHeight="1">
      <c r="A67" s="92">
        <v>14.0</v>
      </c>
      <c r="B67" s="92" t="s">
        <v>838</v>
      </c>
      <c r="C67" s="92">
        <v>2.52610139E8</v>
      </c>
      <c r="D67" s="94" t="s">
        <v>720</v>
      </c>
      <c r="E67" s="92" t="s">
        <v>784</v>
      </c>
    </row>
    <row r="68" ht="15.75" customHeight="1">
      <c r="A68" s="92">
        <v>15.0</v>
      </c>
      <c r="B68" s="92" t="s">
        <v>839</v>
      </c>
      <c r="C68" s="92">
        <v>2.52610145E8</v>
      </c>
      <c r="D68" s="94" t="s">
        <v>347</v>
      </c>
      <c r="E68" s="92" t="s">
        <v>782</v>
      </c>
    </row>
    <row r="69" ht="15.75" customHeight="1">
      <c r="A69" s="92">
        <v>16.0</v>
      </c>
      <c r="B69" s="92" t="s">
        <v>840</v>
      </c>
      <c r="C69" s="92">
        <v>2.52610153E8</v>
      </c>
      <c r="D69" s="94" t="s">
        <v>721</v>
      </c>
      <c r="E69" s="92" t="s">
        <v>784</v>
      </c>
    </row>
    <row r="70" ht="15.75" customHeight="1">
      <c r="A70" s="92">
        <v>17.0</v>
      </c>
      <c r="B70" s="92" t="s">
        <v>841</v>
      </c>
      <c r="C70" s="92">
        <v>2.52610154E8</v>
      </c>
      <c r="D70" s="94" t="s">
        <v>722</v>
      </c>
      <c r="E70" s="92" t="s">
        <v>784</v>
      </c>
    </row>
    <row r="71" ht="15.75" customHeight="1">
      <c r="A71" s="92">
        <v>18.0</v>
      </c>
      <c r="B71" s="92" t="s">
        <v>842</v>
      </c>
      <c r="C71" s="92">
        <v>2.52610164E8</v>
      </c>
      <c r="D71" s="94" t="s">
        <v>348</v>
      </c>
      <c r="E71" s="92" t="s">
        <v>782</v>
      </c>
    </row>
    <row r="72" ht="15.75" customHeight="1">
      <c r="A72" s="92">
        <v>19.0</v>
      </c>
      <c r="B72" s="92" t="s">
        <v>843</v>
      </c>
      <c r="C72" s="92">
        <v>2.5261018E8</v>
      </c>
      <c r="D72" s="94" t="s">
        <v>349</v>
      </c>
      <c r="E72" s="92" t="s">
        <v>782</v>
      </c>
    </row>
    <row r="73" ht="15.75" customHeight="1">
      <c r="A73" s="92">
        <v>20.0</v>
      </c>
      <c r="B73" s="92" t="s">
        <v>844</v>
      </c>
      <c r="C73" s="92">
        <v>2.52610181E8</v>
      </c>
      <c r="D73" s="94" t="s">
        <v>553</v>
      </c>
      <c r="E73" s="92" t="s">
        <v>784</v>
      </c>
    </row>
    <row r="74" ht="15.75" customHeight="1">
      <c r="A74" s="92">
        <v>21.0</v>
      </c>
      <c r="B74" s="92" t="s">
        <v>845</v>
      </c>
      <c r="C74" s="92">
        <v>2.52610185E8</v>
      </c>
      <c r="D74" s="94" t="s">
        <v>350</v>
      </c>
      <c r="E74" s="92" t="s">
        <v>782</v>
      </c>
    </row>
    <row r="75" ht="15.75" customHeight="1">
      <c r="A75" s="92">
        <v>22.0</v>
      </c>
      <c r="B75" s="92" t="s">
        <v>846</v>
      </c>
      <c r="C75" s="92">
        <v>2.52610186E8</v>
      </c>
      <c r="D75" s="94" t="s">
        <v>351</v>
      </c>
      <c r="E75" s="92" t="s">
        <v>782</v>
      </c>
    </row>
    <row r="76" ht="15.75" customHeight="1">
      <c r="A76" s="92">
        <v>23.0</v>
      </c>
      <c r="B76" s="92" t="s">
        <v>847</v>
      </c>
      <c r="C76" s="92">
        <v>2.52610238E8</v>
      </c>
      <c r="D76" s="94" t="s">
        <v>554</v>
      </c>
      <c r="E76" s="92" t="s">
        <v>784</v>
      </c>
    </row>
    <row r="77" ht="15.75" customHeight="1">
      <c r="A77" s="92">
        <v>24.0</v>
      </c>
      <c r="B77" s="92" t="s">
        <v>848</v>
      </c>
      <c r="C77" s="92">
        <v>2.52610277E8</v>
      </c>
      <c r="D77" s="94" t="s">
        <v>352</v>
      </c>
      <c r="E77" s="92" t="s">
        <v>782</v>
      </c>
    </row>
    <row r="78" ht="15.75" customHeight="1">
      <c r="A78" s="92">
        <v>25.0</v>
      </c>
      <c r="B78" s="92" t="s">
        <v>849</v>
      </c>
      <c r="C78" s="92">
        <v>2.5261028E8</v>
      </c>
      <c r="D78" s="94" t="s">
        <v>555</v>
      </c>
      <c r="E78" s="92" t="s">
        <v>784</v>
      </c>
    </row>
    <row r="79" ht="15.75" customHeight="1">
      <c r="A79" s="92">
        <v>26.0</v>
      </c>
      <c r="B79" s="92" t="s">
        <v>850</v>
      </c>
      <c r="C79" s="92">
        <v>2.52610302E8</v>
      </c>
      <c r="D79" s="94" t="s">
        <v>353</v>
      </c>
      <c r="E79" s="92" t="s">
        <v>782</v>
      </c>
    </row>
    <row r="80" ht="15.75" customHeight="1">
      <c r="A80" s="92">
        <v>27.0</v>
      </c>
      <c r="B80" s="92" t="s">
        <v>851</v>
      </c>
      <c r="C80" s="92">
        <v>2.52610319E8</v>
      </c>
      <c r="D80" s="94" t="s">
        <v>354</v>
      </c>
      <c r="E80" s="92" t="s">
        <v>782</v>
      </c>
    </row>
    <row r="81" ht="15.75" customHeight="1">
      <c r="A81" s="92">
        <v>28.0</v>
      </c>
      <c r="B81" s="92" t="s">
        <v>852</v>
      </c>
      <c r="C81" s="92">
        <v>2.5261032E8</v>
      </c>
      <c r="D81" s="94" t="s">
        <v>229</v>
      </c>
      <c r="E81" s="92" t="s">
        <v>782</v>
      </c>
    </row>
    <row r="82" ht="15.75" customHeight="1">
      <c r="A82" s="92">
        <v>29.0</v>
      </c>
      <c r="B82" s="92" t="s">
        <v>853</v>
      </c>
      <c r="C82" s="92">
        <v>2.52610332E8</v>
      </c>
      <c r="D82" s="94" t="s">
        <v>355</v>
      </c>
      <c r="E82" s="92" t="s">
        <v>782</v>
      </c>
    </row>
    <row r="83" ht="15.75" customHeight="1">
      <c r="A83" s="92">
        <v>30.0</v>
      </c>
      <c r="B83" s="92" t="s">
        <v>854</v>
      </c>
      <c r="C83" s="92">
        <v>2.52610336E8</v>
      </c>
      <c r="D83" s="94" t="s">
        <v>356</v>
      </c>
      <c r="E83" s="92" t="s">
        <v>782</v>
      </c>
    </row>
    <row r="84" ht="15.75" customHeight="1">
      <c r="A84" s="92">
        <v>31.0</v>
      </c>
      <c r="B84" s="92" t="s">
        <v>855</v>
      </c>
      <c r="C84" s="92">
        <v>2.52610338E8</v>
      </c>
      <c r="D84" s="94" t="s">
        <v>232</v>
      </c>
      <c r="E84" s="92" t="s">
        <v>782</v>
      </c>
    </row>
    <row r="85" ht="15.75" customHeight="1">
      <c r="A85" s="92">
        <v>32.0</v>
      </c>
      <c r="B85" s="92" t="s">
        <v>856</v>
      </c>
      <c r="C85" s="92">
        <v>2.52610362E8</v>
      </c>
      <c r="D85" s="94" t="s">
        <v>357</v>
      </c>
      <c r="E85" s="92" t="s">
        <v>782</v>
      </c>
    </row>
    <row r="86" ht="15.75" customHeight="1">
      <c r="A86" s="92">
        <v>33.0</v>
      </c>
      <c r="B86" s="92" t="s">
        <v>857</v>
      </c>
      <c r="C86" s="92">
        <v>2.52610365E8</v>
      </c>
      <c r="D86" s="94" t="s">
        <v>358</v>
      </c>
      <c r="E86" s="92" t="s">
        <v>782</v>
      </c>
    </row>
    <row r="87" ht="15.75" customHeight="1">
      <c r="A87" s="92">
        <v>34.0</v>
      </c>
      <c r="B87" s="92" t="s">
        <v>858</v>
      </c>
      <c r="C87" s="92">
        <v>2.52610416E8</v>
      </c>
      <c r="D87" s="94" t="s">
        <v>556</v>
      </c>
      <c r="E87" s="92" t="s">
        <v>784</v>
      </c>
    </row>
    <row r="88" ht="15.75" customHeight="1">
      <c r="A88" s="92">
        <v>35.0</v>
      </c>
      <c r="B88" s="92" t="s">
        <v>859</v>
      </c>
      <c r="C88" s="92">
        <v>2.52610419E8</v>
      </c>
      <c r="D88" s="94" t="s">
        <v>557</v>
      </c>
      <c r="E88" s="92" t="s">
        <v>784</v>
      </c>
    </row>
    <row r="89" ht="15.75" customHeight="1">
      <c r="A89" s="92">
        <v>36.0</v>
      </c>
      <c r="B89" s="92" t="s">
        <v>860</v>
      </c>
      <c r="C89" s="92">
        <v>2.52610434E8</v>
      </c>
      <c r="D89" s="94" t="s">
        <v>453</v>
      </c>
      <c r="E89" s="92" t="s">
        <v>784</v>
      </c>
    </row>
    <row r="90" ht="15.75" customHeight="1">
      <c r="A90" s="92">
        <v>37.0</v>
      </c>
      <c r="B90" s="92" t="s">
        <v>861</v>
      </c>
      <c r="C90" s="92">
        <v>2.5261044E8</v>
      </c>
      <c r="D90" s="94" t="s">
        <v>558</v>
      </c>
      <c r="E90" s="92" t="s">
        <v>784</v>
      </c>
    </row>
    <row r="91" ht="15.75" customHeight="1">
      <c r="A91" s="92">
        <v>38.0</v>
      </c>
      <c r="B91" s="92" t="s">
        <v>862</v>
      </c>
      <c r="C91" s="92">
        <v>2.52610467E8</v>
      </c>
      <c r="D91" s="94" t="s">
        <v>559</v>
      </c>
      <c r="E91" s="92" t="s">
        <v>784</v>
      </c>
    </row>
    <row r="92" ht="15.75" customHeight="1">
      <c r="A92" s="92">
        <v>39.0</v>
      </c>
      <c r="B92" s="92" t="s">
        <v>863</v>
      </c>
      <c r="C92" s="92">
        <v>2.52610474E8</v>
      </c>
      <c r="D92" s="94" t="s">
        <v>560</v>
      </c>
      <c r="E92" s="92" t="s">
        <v>784</v>
      </c>
    </row>
    <row r="93" ht="15.75" customHeight="1">
      <c r="A93" s="92">
        <v>40.0</v>
      </c>
      <c r="B93" s="92" t="s">
        <v>864</v>
      </c>
      <c r="C93" s="92">
        <v>2.52610497E8</v>
      </c>
      <c r="D93" s="94" t="s">
        <v>561</v>
      </c>
      <c r="E93" s="92" t="s">
        <v>784</v>
      </c>
    </row>
    <row r="94" ht="15.75" customHeight="1">
      <c r="A94" s="92">
        <v>41.0</v>
      </c>
      <c r="B94" s="92" t="s">
        <v>865</v>
      </c>
      <c r="C94" s="92">
        <v>2.52610546E8</v>
      </c>
      <c r="D94" s="94" t="s">
        <v>562</v>
      </c>
      <c r="E94" s="92" t="s">
        <v>784</v>
      </c>
    </row>
    <row r="95" ht="15.75" customHeight="1">
      <c r="A95" s="92">
        <v>42.0</v>
      </c>
      <c r="B95" s="92" t="s">
        <v>866</v>
      </c>
      <c r="C95" s="92">
        <v>2.5261056E8</v>
      </c>
      <c r="D95" s="94" t="s">
        <v>359</v>
      </c>
      <c r="E95" s="92" t="s">
        <v>782</v>
      </c>
    </row>
    <row r="96" ht="15.75" customHeight="1">
      <c r="A96" s="92">
        <v>43.0</v>
      </c>
      <c r="B96" s="92" t="s">
        <v>867</v>
      </c>
      <c r="C96" s="92">
        <v>2.52610563E8</v>
      </c>
      <c r="D96" s="94" t="s">
        <v>563</v>
      </c>
      <c r="E96" s="92" t="s">
        <v>784</v>
      </c>
    </row>
    <row r="97" ht="15.75" customHeight="1">
      <c r="A97" s="71"/>
      <c r="B97" s="71"/>
      <c r="C97" s="71"/>
      <c r="D97" s="71"/>
      <c r="E97" s="71"/>
    </row>
    <row r="98" ht="15.75" customHeight="1">
      <c r="A98" s="71"/>
      <c r="B98" s="71"/>
      <c r="C98" s="71"/>
      <c r="D98" s="94" t="s">
        <v>1368</v>
      </c>
      <c r="E98" s="96">
        <f>COUNTIF(E54:E96,"P")</f>
        <v>26</v>
      </c>
    </row>
    <row r="99" ht="15.75" customHeight="1">
      <c r="A99" s="71"/>
      <c r="B99" s="71"/>
      <c r="C99" s="71"/>
      <c r="D99" s="94" t="s">
        <v>1369</v>
      </c>
      <c r="E99" s="96">
        <f>COUNTIF(E54:E96,"L")</f>
        <v>17</v>
      </c>
    </row>
    <row r="100" ht="15.75" customHeight="1">
      <c r="A100" s="71"/>
      <c r="B100" s="71"/>
      <c r="C100" s="71"/>
      <c r="D100" s="71"/>
      <c r="E100" s="71"/>
    </row>
    <row r="101" ht="15.75" customHeight="1">
      <c r="A101" s="71"/>
      <c r="B101" s="71"/>
      <c r="C101" s="71"/>
      <c r="D101" s="71"/>
      <c r="E101" s="71"/>
    </row>
    <row r="102" ht="15.75" customHeight="1">
      <c r="A102" s="71" t="s">
        <v>1371</v>
      </c>
      <c r="B102" s="71"/>
      <c r="C102" s="71"/>
      <c r="D102" s="71"/>
      <c r="E102" s="71" t="s">
        <v>29</v>
      </c>
    </row>
    <row r="103" ht="15.75" customHeight="1">
      <c r="A103" s="95" t="s">
        <v>775</v>
      </c>
      <c r="B103" s="95" t="s">
        <v>776</v>
      </c>
      <c r="C103" s="95" t="s">
        <v>777</v>
      </c>
      <c r="D103" s="95" t="s">
        <v>219</v>
      </c>
      <c r="E103" s="95" t="s">
        <v>778</v>
      </c>
    </row>
    <row r="104" ht="15.75" customHeight="1">
      <c r="A104" s="92">
        <v>1.0</v>
      </c>
      <c r="B104" s="92" t="s">
        <v>868</v>
      </c>
      <c r="C104" s="92">
        <v>2.52610002E8</v>
      </c>
      <c r="D104" s="94" t="s">
        <v>331</v>
      </c>
      <c r="E104" s="92" t="s">
        <v>782</v>
      </c>
    </row>
    <row r="105" ht="15.75" customHeight="1">
      <c r="A105" s="92">
        <v>2.0</v>
      </c>
      <c r="B105" s="92" t="s">
        <v>869</v>
      </c>
      <c r="C105" s="92">
        <v>2.52610063E8</v>
      </c>
      <c r="D105" s="94" t="s">
        <v>332</v>
      </c>
      <c r="E105" s="92" t="s">
        <v>782</v>
      </c>
    </row>
    <row r="106" ht="15.75" customHeight="1">
      <c r="A106" s="92">
        <v>3.0</v>
      </c>
      <c r="B106" s="92" t="s">
        <v>870</v>
      </c>
      <c r="C106" s="92">
        <v>2.52610065E8</v>
      </c>
      <c r="D106" s="94" t="s">
        <v>697</v>
      </c>
      <c r="E106" s="92" t="s">
        <v>784</v>
      </c>
    </row>
    <row r="107" ht="15.75" customHeight="1">
      <c r="A107" s="92">
        <v>4.0</v>
      </c>
      <c r="B107" s="92" t="s">
        <v>871</v>
      </c>
      <c r="C107" s="92">
        <v>2.52610076E8</v>
      </c>
      <c r="D107" s="94" t="s">
        <v>333</v>
      </c>
      <c r="E107" s="92" t="s">
        <v>782</v>
      </c>
    </row>
    <row r="108" ht="15.75" customHeight="1">
      <c r="A108" s="92">
        <v>5.0</v>
      </c>
      <c r="B108" s="92" t="s">
        <v>872</v>
      </c>
      <c r="C108" s="92">
        <v>2.52610079E8</v>
      </c>
      <c r="D108" s="94" t="s">
        <v>334</v>
      </c>
      <c r="E108" s="92" t="s">
        <v>782</v>
      </c>
    </row>
    <row r="109" ht="15.75" customHeight="1">
      <c r="A109" s="92">
        <v>6.0</v>
      </c>
      <c r="B109" s="92" t="s">
        <v>873</v>
      </c>
      <c r="C109" s="92">
        <v>2.52610093E8</v>
      </c>
      <c r="D109" s="94" t="s">
        <v>698</v>
      </c>
      <c r="E109" s="92" t="s">
        <v>784</v>
      </c>
    </row>
    <row r="110" ht="15.75" customHeight="1">
      <c r="A110" s="92">
        <v>7.0</v>
      </c>
      <c r="B110" s="92" t="s">
        <v>874</v>
      </c>
      <c r="C110" s="92">
        <v>2.52610094E8</v>
      </c>
      <c r="D110" s="94" t="s">
        <v>699</v>
      </c>
      <c r="E110" s="92" t="s">
        <v>784</v>
      </c>
    </row>
    <row r="111" ht="15.75" customHeight="1">
      <c r="A111" s="92">
        <v>8.0</v>
      </c>
      <c r="B111" s="92" t="s">
        <v>875</v>
      </c>
      <c r="C111" s="92">
        <v>2.52610096E8</v>
      </c>
      <c r="D111" s="94" t="s">
        <v>700</v>
      </c>
      <c r="E111" s="92" t="s">
        <v>784</v>
      </c>
    </row>
    <row r="112" ht="15.75" customHeight="1">
      <c r="A112" s="92">
        <v>9.0</v>
      </c>
      <c r="B112" s="92" t="s">
        <v>876</v>
      </c>
      <c r="C112" s="92">
        <v>2.52610121E8</v>
      </c>
      <c r="D112" s="94" t="s">
        <v>701</v>
      </c>
      <c r="E112" s="92" t="s">
        <v>784</v>
      </c>
    </row>
    <row r="113" ht="15.75" customHeight="1">
      <c r="A113" s="92">
        <v>10.0</v>
      </c>
      <c r="B113" s="92" t="s">
        <v>877</v>
      </c>
      <c r="C113" s="92">
        <v>2.52610129E8</v>
      </c>
      <c r="D113" s="94" t="s">
        <v>335</v>
      </c>
      <c r="E113" s="92" t="s">
        <v>782</v>
      </c>
    </row>
    <row r="114" ht="15.75" customHeight="1">
      <c r="A114" s="92">
        <v>11.0</v>
      </c>
      <c r="B114" s="92" t="s">
        <v>878</v>
      </c>
      <c r="C114" s="92">
        <v>2.52610136E8</v>
      </c>
      <c r="D114" s="94" t="s">
        <v>702</v>
      </c>
      <c r="E114" s="92" t="s">
        <v>784</v>
      </c>
    </row>
    <row r="115" ht="15.75" customHeight="1">
      <c r="A115" s="92">
        <v>12.0</v>
      </c>
      <c r="B115" s="92" t="s">
        <v>879</v>
      </c>
      <c r="C115" s="92">
        <v>2.52610138E8</v>
      </c>
      <c r="D115" s="94" t="s">
        <v>703</v>
      </c>
      <c r="E115" s="92" t="s">
        <v>784</v>
      </c>
    </row>
    <row r="116" ht="15.75" customHeight="1">
      <c r="A116" s="92">
        <v>13.0</v>
      </c>
      <c r="B116" s="92" t="s">
        <v>880</v>
      </c>
      <c r="C116" s="92">
        <v>2.52610148E8</v>
      </c>
      <c r="D116" s="94" t="s">
        <v>704</v>
      </c>
      <c r="E116" s="92" t="s">
        <v>784</v>
      </c>
    </row>
    <row r="117" ht="15.75" customHeight="1">
      <c r="A117" s="92">
        <v>14.0</v>
      </c>
      <c r="B117" s="92" t="s">
        <v>881</v>
      </c>
      <c r="C117" s="92">
        <v>2.52610158E8</v>
      </c>
      <c r="D117" s="94" t="s">
        <v>705</v>
      </c>
      <c r="E117" s="92" t="s">
        <v>784</v>
      </c>
    </row>
    <row r="118" ht="15.75" customHeight="1">
      <c r="A118" s="92">
        <v>15.0</v>
      </c>
      <c r="B118" s="92" t="s">
        <v>882</v>
      </c>
      <c r="C118" s="92">
        <v>2.52610187E8</v>
      </c>
      <c r="D118" s="94" t="s">
        <v>706</v>
      </c>
      <c r="E118" s="92" t="s">
        <v>784</v>
      </c>
    </row>
    <row r="119" ht="15.75" customHeight="1">
      <c r="A119" s="92">
        <v>16.0</v>
      </c>
      <c r="B119" s="92" t="s">
        <v>883</v>
      </c>
      <c r="C119" s="92">
        <v>2.5261019E8</v>
      </c>
      <c r="D119" s="94" t="s">
        <v>336</v>
      </c>
      <c r="E119" s="92" t="s">
        <v>782</v>
      </c>
    </row>
    <row r="120" ht="15.75" customHeight="1">
      <c r="A120" s="92">
        <v>17.0</v>
      </c>
      <c r="B120" s="92" t="s">
        <v>884</v>
      </c>
      <c r="C120" s="92">
        <v>2.52610201E8</v>
      </c>
      <c r="D120" s="94" t="s">
        <v>337</v>
      </c>
      <c r="E120" s="92" t="s">
        <v>782</v>
      </c>
    </row>
    <row r="121" ht="15.75" customHeight="1">
      <c r="A121" s="92">
        <v>18.0</v>
      </c>
      <c r="B121" s="92" t="s">
        <v>885</v>
      </c>
      <c r="C121" s="92">
        <v>2.52610204E8</v>
      </c>
      <c r="D121" s="94" t="s">
        <v>707</v>
      </c>
      <c r="E121" s="92" t="s">
        <v>784</v>
      </c>
    </row>
    <row r="122" ht="15.75" customHeight="1">
      <c r="A122" s="92">
        <v>22.0</v>
      </c>
      <c r="B122" s="92" t="s">
        <v>886</v>
      </c>
      <c r="C122" s="92">
        <v>2.52610237E8</v>
      </c>
      <c r="D122" s="94" t="s">
        <v>338</v>
      </c>
      <c r="E122" s="92" t="s">
        <v>782</v>
      </c>
    </row>
    <row r="123" ht="15.75" customHeight="1">
      <c r="A123" s="92">
        <v>23.0</v>
      </c>
      <c r="B123" s="92" t="s">
        <v>887</v>
      </c>
      <c r="C123" s="92">
        <v>2.52610259E8</v>
      </c>
      <c r="D123" s="94" t="s">
        <v>708</v>
      </c>
      <c r="E123" s="92" t="s">
        <v>784</v>
      </c>
    </row>
    <row r="124" ht="15.75" customHeight="1">
      <c r="A124" s="92">
        <v>25.0</v>
      </c>
      <c r="B124" s="92" t="s">
        <v>888</v>
      </c>
      <c r="C124" s="92">
        <v>2.52610276E8</v>
      </c>
      <c r="D124" s="94" t="s">
        <v>709</v>
      </c>
      <c r="E124" s="92" t="s">
        <v>784</v>
      </c>
    </row>
    <row r="125" ht="15.75" customHeight="1">
      <c r="A125" s="92">
        <v>26.0</v>
      </c>
      <c r="B125" s="92" t="s">
        <v>889</v>
      </c>
      <c r="C125" s="92">
        <v>2.52610278E8</v>
      </c>
      <c r="D125" s="94" t="s">
        <v>339</v>
      </c>
      <c r="E125" s="92" t="s">
        <v>782</v>
      </c>
    </row>
    <row r="126" ht="15.75" customHeight="1">
      <c r="A126" s="92">
        <v>27.0</v>
      </c>
      <c r="B126" s="92" t="s">
        <v>890</v>
      </c>
      <c r="C126" s="92">
        <v>2.52610287E8</v>
      </c>
      <c r="D126" s="94" t="s">
        <v>540</v>
      </c>
      <c r="E126" s="92" t="s">
        <v>784</v>
      </c>
    </row>
    <row r="127" ht="15.75" customHeight="1">
      <c r="A127" s="92">
        <v>29.0</v>
      </c>
      <c r="B127" s="92" t="s">
        <v>891</v>
      </c>
      <c r="C127" s="92">
        <v>2.52610301E8</v>
      </c>
      <c r="D127" s="94" t="s">
        <v>541</v>
      </c>
      <c r="E127" s="92" t="s">
        <v>784</v>
      </c>
    </row>
    <row r="128" ht="15.75" customHeight="1">
      <c r="A128" s="92">
        <v>32.0</v>
      </c>
      <c r="B128" s="92" t="s">
        <v>892</v>
      </c>
      <c r="C128" s="92">
        <v>2.52610381E8</v>
      </c>
      <c r="D128" s="94" t="s">
        <v>340</v>
      </c>
      <c r="E128" s="92" t="s">
        <v>782</v>
      </c>
    </row>
    <row r="129" ht="15.75" customHeight="1">
      <c r="A129" s="92">
        <v>33.0</v>
      </c>
      <c r="B129" s="92" t="s">
        <v>893</v>
      </c>
      <c r="C129" s="92">
        <v>2.52610386E8</v>
      </c>
      <c r="D129" s="94" t="s">
        <v>542</v>
      </c>
      <c r="E129" s="92" t="s">
        <v>784</v>
      </c>
    </row>
    <row r="130" ht="15.75" customHeight="1">
      <c r="A130" s="92">
        <v>34.0</v>
      </c>
      <c r="B130" s="92" t="s">
        <v>894</v>
      </c>
      <c r="C130" s="92">
        <v>2.52610415E8</v>
      </c>
      <c r="D130" s="94" t="s">
        <v>543</v>
      </c>
      <c r="E130" s="92" t="s">
        <v>784</v>
      </c>
    </row>
    <row r="131" ht="15.75" customHeight="1">
      <c r="A131" s="92">
        <v>35.0</v>
      </c>
      <c r="B131" s="92" t="s">
        <v>895</v>
      </c>
      <c r="C131" s="92">
        <v>2.52610422E8</v>
      </c>
      <c r="D131" s="94" t="s">
        <v>341</v>
      </c>
      <c r="E131" s="92" t="s">
        <v>782</v>
      </c>
    </row>
    <row r="132" ht="15.75" customHeight="1">
      <c r="A132" s="92">
        <v>36.0</v>
      </c>
      <c r="B132" s="92" t="s">
        <v>896</v>
      </c>
      <c r="C132" s="92">
        <v>2.52610426E8</v>
      </c>
      <c r="D132" s="94" t="s">
        <v>544</v>
      </c>
      <c r="E132" s="92" t="s">
        <v>784</v>
      </c>
    </row>
    <row r="133" ht="15.75" customHeight="1">
      <c r="A133" s="92">
        <v>37.0</v>
      </c>
      <c r="B133" s="92" t="s">
        <v>897</v>
      </c>
      <c r="C133" s="92">
        <v>2.52610432E8</v>
      </c>
      <c r="D133" s="94" t="s">
        <v>342</v>
      </c>
      <c r="E133" s="92" t="s">
        <v>782</v>
      </c>
    </row>
    <row r="134" ht="15.75" customHeight="1">
      <c r="A134" s="92">
        <v>38.0</v>
      </c>
      <c r="B134" s="92" t="s">
        <v>898</v>
      </c>
      <c r="C134" s="92">
        <v>2.52610438E8</v>
      </c>
      <c r="D134" s="94" t="s">
        <v>545</v>
      </c>
      <c r="E134" s="92" t="s">
        <v>784</v>
      </c>
    </row>
    <row r="135" ht="15.75" customHeight="1">
      <c r="A135" s="92">
        <v>39.0</v>
      </c>
      <c r="B135" s="92" t="s">
        <v>899</v>
      </c>
      <c r="C135" s="92">
        <v>2.52610439E8</v>
      </c>
      <c r="D135" s="94" t="s">
        <v>546</v>
      </c>
      <c r="E135" s="92" t="s">
        <v>784</v>
      </c>
    </row>
    <row r="136" ht="15.75" customHeight="1">
      <c r="A136" s="92">
        <v>40.0</v>
      </c>
      <c r="B136" s="92" t="s">
        <v>900</v>
      </c>
      <c r="C136" s="92">
        <v>2.52610461E8</v>
      </c>
      <c r="D136" s="94" t="s">
        <v>547</v>
      </c>
      <c r="E136" s="92" t="s">
        <v>784</v>
      </c>
    </row>
    <row r="137" ht="15.75" customHeight="1">
      <c r="A137" s="92">
        <v>41.0</v>
      </c>
      <c r="B137" s="92" t="s">
        <v>901</v>
      </c>
      <c r="C137" s="92">
        <v>2.52610485E8</v>
      </c>
      <c r="D137" s="94" t="s">
        <v>343</v>
      </c>
      <c r="E137" s="92" t="s">
        <v>782</v>
      </c>
    </row>
    <row r="138" ht="15.75" customHeight="1">
      <c r="A138" s="92">
        <v>42.0</v>
      </c>
      <c r="B138" s="92" t="s">
        <v>902</v>
      </c>
      <c r="C138" s="92">
        <v>2.52610501E8</v>
      </c>
      <c r="D138" s="94" t="s">
        <v>548</v>
      </c>
      <c r="E138" s="92" t="s">
        <v>784</v>
      </c>
    </row>
    <row r="139" ht="15.75" customHeight="1">
      <c r="A139" s="92">
        <v>43.0</v>
      </c>
      <c r="B139" s="92" t="s">
        <v>903</v>
      </c>
      <c r="C139" s="92">
        <v>2.5261052E8</v>
      </c>
      <c r="D139" s="94" t="s">
        <v>549</v>
      </c>
      <c r="E139" s="92" t="s">
        <v>784</v>
      </c>
    </row>
    <row r="140" ht="15.75" customHeight="1">
      <c r="A140" s="92">
        <v>44.0</v>
      </c>
      <c r="B140" s="92" t="s">
        <v>904</v>
      </c>
      <c r="C140" s="92">
        <v>2.52610555E8</v>
      </c>
      <c r="D140" s="94" t="s">
        <v>550</v>
      </c>
      <c r="E140" s="92" t="s">
        <v>784</v>
      </c>
    </row>
    <row r="141" ht="15.75" customHeight="1">
      <c r="A141" s="92">
        <v>45.0</v>
      </c>
      <c r="B141" s="92" t="s">
        <v>905</v>
      </c>
      <c r="C141" s="92">
        <v>2.52610556E8</v>
      </c>
      <c r="D141" s="94" t="s">
        <v>551</v>
      </c>
      <c r="E141" s="92" t="s">
        <v>784</v>
      </c>
    </row>
    <row r="142" ht="15.75" customHeight="1">
      <c r="A142" s="92">
        <v>46.0</v>
      </c>
      <c r="B142" s="92" t="s">
        <v>906</v>
      </c>
      <c r="C142" s="92">
        <v>2.52610247E8</v>
      </c>
      <c r="D142" s="94" t="s">
        <v>539</v>
      </c>
      <c r="E142" s="92" t="s">
        <v>784</v>
      </c>
    </row>
    <row r="143" ht="15.75" customHeight="1">
      <c r="A143" s="71"/>
      <c r="B143" s="71"/>
      <c r="C143" s="71"/>
      <c r="D143" s="71"/>
      <c r="E143" s="71"/>
    </row>
    <row r="144" ht="15.75" customHeight="1">
      <c r="A144" s="71"/>
      <c r="B144" s="71"/>
      <c r="C144" s="71"/>
      <c r="D144" s="94" t="s">
        <v>1368</v>
      </c>
      <c r="E144" s="96">
        <f>COUNTIF(E104:E142,"P")</f>
        <v>26</v>
      </c>
    </row>
    <row r="145" ht="15.75" customHeight="1">
      <c r="A145" s="71"/>
      <c r="B145" s="71"/>
      <c r="C145" s="71"/>
      <c r="D145" s="94" t="s">
        <v>1369</v>
      </c>
      <c r="E145" s="96">
        <f>COUNTIF(E104:E142,"L")</f>
        <v>13</v>
      </c>
    </row>
    <row r="146" ht="15.75" customHeight="1">
      <c r="A146" s="71"/>
      <c r="B146" s="71"/>
      <c r="C146" s="71"/>
      <c r="D146" s="71"/>
      <c r="E146" s="71"/>
    </row>
    <row r="147" ht="15.75" customHeight="1">
      <c r="A147" s="71"/>
      <c r="B147" s="71"/>
      <c r="C147" s="71"/>
      <c r="D147" s="71"/>
      <c r="E147" s="71"/>
    </row>
    <row r="148" ht="15.75" customHeight="1">
      <c r="A148" s="71" t="s">
        <v>1372</v>
      </c>
      <c r="B148" s="71"/>
      <c r="C148" s="71"/>
      <c r="D148" s="71"/>
      <c r="E148" s="71" t="s">
        <v>37</v>
      </c>
    </row>
    <row r="149" ht="15.75" customHeight="1">
      <c r="A149" s="95" t="s">
        <v>775</v>
      </c>
      <c r="B149" s="95" t="s">
        <v>776</v>
      </c>
      <c r="C149" s="95" t="s">
        <v>777</v>
      </c>
      <c r="D149" s="95" t="s">
        <v>219</v>
      </c>
      <c r="E149" s="95" t="s">
        <v>778</v>
      </c>
    </row>
    <row r="150" ht="15.75" customHeight="1">
      <c r="A150" s="92">
        <v>1.0</v>
      </c>
      <c r="B150" s="92" t="s">
        <v>907</v>
      </c>
      <c r="C150" s="92">
        <v>2.52610016E8</v>
      </c>
      <c r="D150" s="94" t="s">
        <v>313</v>
      </c>
      <c r="E150" s="92" t="s">
        <v>782</v>
      </c>
    </row>
    <row r="151" ht="15.75" customHeight="1">
      <c r="A151" s="92">
        <v>2.0</v>
      </c>
      <c r="B151" s="92" t="s">
        <v>908</v>
      </c>
      <c r="C151" s="92">
        <v>2.52610018E8</v>
      </c>
      <c r="D151" s="94" t="s">
        <v>314</v>
      </c>
      <c r="E151" s="92" t="s">
        <v>782</v>
      </c>
    </row>
    <row r="152" ht="15.75" customHeight="1">
      <c r="A152" s="92">
        <v>3.0</v>
      </c>
      <c r="B152" s="92" t="s">
        <v>909</v>
      </c>
      <c r="C152" s="92">
        <v>2.52610038E8</v>
      </c>
      <c r="D152" s="94" t="s">
        <v>315</v>
      </c>
      <c r="E152" s="92" t="s">
        <v>782</v>
      </c>
    </row>
    <row r="153" ht="15.75" customHeight="1">
      <c r="A153" s="92">
        <v>4.0</v>
      </c>
      <c r="B153" s="92" t="s">
        <v>910</v>
      </c>
      <c r="C153" s="92">
        <v>2.52610045E8</v>
      </c>
      <c r="D153" s="94" t="s">
        <v>684</v>
      </c>
      <c r="E153" s="92" t="s">
        <v>784</v>
      </c>
    </row>
    <row r="154" ht="15.75" customHeight="1">
      <c r="A154" s="92">
        <v>5.0</v>
      </c>
      <c r="B154" s="92" t="s">
        <v>911</v>
      </c>
      <c r="C154" s="92">
        <v>2.52610049E8</v>
      </c>
      <c r="D154" s="94" t="s">
        <v>685</v>
      </c>
      <c r="E154" s="92" t="s">
        <v>784</v>
      </c>
    </row>
    <row r="155" ht="15.75" customHeight="1">
      <c r="A155" s="92">
        <v>6.0</v>
      </c>
      <c r="B155" s="92" t="s">
        <v>912</v>
      </c>
      <c r="C155" s="92">
        <v>2.52610056E8</v>
      </c>
      <c r="D155" s="94" t="s">
        <v>432</v>
      </c>
      <c r="E155" s="92" t="s">
        <v>784</v>
      </c>
    </row>
    <row r="156" ht="15.75" customHeight="1">
      <c r="A156" s="92">
        <v>7.0</v>
      </c>
      <c r="B156" s="92" t="s">
        <v>913</v>
      </c>
      <c r="C156" s="92">
        <v>2.52610069E8</v>
      </c>
      <c r="D156" s="94" t="s">
        <v>686</v>
      </c>
      <c r="E156" s="92" t="s">
        <v>784</v>
      </c>
    </row>
    <row r="157" ht="15.75" customHeight="1">
      <c r="A157" s="92">
        <v>8.0</v>
      </c>
      <c r="B157" s="92" t="s">
        <v>914</v>
      </c>
      <c r="C157" s="92">
        <v>2.52610074E8</v>
      </c>
      <c r="D157" s="94" t="s">
        <v>687</v>
      </c>
      <c r="E157" s="92" t="s">
        <v>784</v>
      </c>
    </row>
    <row r="158" ht="15.75" customHeight="1">
      <c r="A158" s="92">
        <v>9.0</v>
      </c>
      <c r="B158" s="92" t="s">
        <v>915</v>
      </c>
      <c r="C158" s="92">
        <v>2.52610132E8</v>
      </c>
      <c r="D158" s="94" t="s">
        <v>688</v>
      </c>
      <c r="E158" s="92" t="s">
        <v>784</v>
      </c>
    </row>
    <row r="159" ht="15.75" customHeight="1">
      <c r="A159" s="92">
        <v>10.0</v>
      </c>
      <c r="B159" s="92" t="s">
        <v>916</v>
      </c>
      <c r="C159" s="92">
        <v>2.52610155E8</v>
      </c>
      <c r="D159" s="94" t="s">
        <v>689</v>
      </c>
      <c r="E159" s="92" t="s">
        <v>784</v>
      </c>
    </row>
    <row r="160" ht="15.75" customHeight="1">
      <c r="A160" s="92">
        <v>11.0</v>
      </c>
      <c r="B160" s="92" t="s">
        <v>917</v>
      </c>
      <c r="C160" s="92">
        <v>2.52610162E8</v>
      </c>
      <c r="D160" s="94" t="s">
        <v>316</v>
      </c>
      <c r="E160" s="92" t="s">
        <v>782</v>
      </c>
    </row>
    <row r="161" ht="15.75" customHeight="1">
      <c r="A161" s="92">
        <v>12.0</v>
      </c>
      <c r="B161" s="92" t="s">
        <v>918</v>
      </c>
      <c r="C161" s="92">
        <v>2.52610173E8</v>
      </c>
      <c r="D161" s="94" t="s">
        <v>690</v>
      </c>
      <c r="E161" s="92" t="s">
        <v>784</v>
      </c>
    </row>
    <row r="162" ht="15.75" customHeight="1">
      <c r="A162" s="92">
        <v>13.0</v>
      </c>
      <c r="B162" s="92" t="s">
        <v>919</v>
      </c>
      <c r="C162" s="92">
        <v>2.52610183E8</v>
      </c>
      <c r="D162" s="94" t="s">
        <v>317</v>
      </c>
      <c r="E162" s="92" t="s">
        <v>782</v>
      </c>
    </row>
    <row r="163" ht="15.75" customHeight="1">
      <c r="A163" s="92">
        <v>14.0</v>
      </c>
      <c r="B163" s="92" t="s">
        <v>920</v>
      </c>
      <c r="C163" s="92">
        <v>2.52610188E8</v>
      </c>
      <c r="D163" s="94" t="s">
        <v>318</v>
      </c>
      <c r="E163" s="92" t="s">
        <v>782</v>
      </c>
    </row>
    <row r="164" ht="15.75" customHeight="1">
      <c r="A164" s="92">
        <v>15.0</v>
      </c>
      <c r="B164" s="92" t="s">
        <v>921</v>
      </c>
      <c r="C164" s="92">
        <v>2.52610191E8</v>
      </c>
      <c r="D164" s="94" t="s">
        <v>319</v>
      </c>
      <c r="E164" s="92" t="s">
        <v>782</v>
      </c>
    </row>
    <row r="165" ht="15.75" customHeight="1">
      <c r="A165" s="92">
        <v>16.0</v>
      </c>
      <c r="B165" s="92" t="s">
        <v>922</v>
      </c>
      <c r="C165" s="92">
        <v>2.52610216E8</v>
      </c>
      <c r="D165" s="94" t="s">
        <v>691</v>
      </c>
      <c r="E165" s="92" t="s">
        <v>784</v>
      </c>
    </row>
    <row r="166" ht="15.75" customHeight="1">
      <c r="A166" s="92">
        <v>17.0</v>
      </c>
      <c r="B166" s="92" t="s">
        <v>923</v>
      </c>
      <c r="C166" s="92">
        <v>2.52610233E8</v>
      </c>
      <c r="D166" s="94" t="s">
        <v>692</v>
      </c>
      <c r="E166" s="92" t="s">
        <v>784</v>
      </c>
    </row>
    <row r="167" ht="15.75" customHeight="1">
      <c r="A167" s="92">
        <v>18.0</v>
      </c>
      <c r="B167" s="92" t="s">
        <v>924</v>
      </c>
      <c r="C167" s="92">
        <v>2.52610258E8</v>
      </c>
      <c r="D167" s="94" t="s">
        <v>693</v>
      </c>
      <c r="E167" s="92" t="s">
        <v>784</v>
      </c>
    </row>
    <row r="168" ht="15.75" customHeight="1">
      <c r="A168" s="92">
        <v>19.0</v>
      </c>
      <c r="B168" s="92" t="s">
        <v>925</v>
      </c>
      <c r="C168" s="92">
        <v>2.5261026E8</v>
      </c>
      <c r="D168" s="94" t="s">
        <v>694</v>
      </c>
      <c r="E168" s="92" t="s">
        <v>784</v>
      </c>
    </row>
    <row r="169" ht="15.75" customHeight="1">
      <c r="A169" s="92">
        <v>20.0</v>
      </c>
      <c r="B169" s="92" t="s">
        <v>926</v>
      </c>
      <c r="C169" s="92">
        <v>2.52610266E8</v>
      </c>
      <c r="D169" s="94" t="s">
        <v>695</v>
      </c>
      <c r="E169" s="92" t="s">
        <v>784</v>
      </c>
    </row>
    <row r="170" ht="15.75" customHeight="1">
      <c r="A170" s="92">
        <v>21.0</v>
      </c>
      <c r="B170" s="92" t="s">
        <v>927</v>
      </c>
      <c r="C170" s="92">
        <v>2.52610275E8</v>
      </c>
      <c r="D170" s="94" t="s">
        <v>228</v>
      </c>
      <c r="E170" s="92" t="s">
        <v>782</v>
      </c>
    </row>
    <row r="171" ht="15.75" customHeight="1">
      <c r="A171" s="92">
        <v>22.0</v>
      </c>
      <c r="B171" s="92" t="s">
        <v>928</v>
      </c>
      <c r="C171" s="92">
        <v>2.52610282E8</v>
      </c>
      <c r="D171" s="94" t="s">
        <v>526</v>
      </c>
      <c r="E171" s="92" t="s">
        <v>784</v>
      </c>
    </row>
    <row r="172" ht="15.75" customHeight="1">
      <c r="A172" s="92">
        <v>23.0</v>
      </c>
      <c r="B172" s="92" t="s">
        <v>929</v>
      </c>
      <c r="C172" s="92">
        <v>2.52610294E8</v>
      </c>
      <c r="D172" s="94" t="s">
        <v>527</v>
      </c>
      <c r="E172" s="92" t="s">
        <v>784</v>
      </c>
    </row>
    <row r="173" ht="15.75" customHeight="1">
      <c r="A173" s="92">
        <v>24.0</v>
      </c>
      <c r="B173" s="92" t="s">
        <v>930</v>
      </c>
      <c r="C173" s="92">
        <v>2.52610306E8</v>
      </c>
      <c r="D173" s="94" t="s">
        <v>528</v>
      </c>
      <c r="E173" s="92" t="s">
        <v>784</v>
      </c>
    </row>
    <row r="174" ht="15.75" customHeight="1">
      <c r="A174" s="92">
        <v>25.0</v>
      </c>
      <c r="B174" s="92" t="s">
        <v>931</v>
      </c>
      <c r="C174" s="92">
        <v>2.52610309E8</v>
      </c>
      <c r="D174" s="94" t="s">
        <v>529</v>
      </c>
      <c r="E174" s="92" t="s">
        <v>784</v>
      </c>
    </row>
    <row r="175" ht="15.75" customHeight="1">
      <c r="A175" s="92">
        <v>26.0</v>
      </c>
      <c r="B175" s="92" t="s">
        <v>932</v>
      </c>
      <c r="C175" s="92">
        <v>2.52610329E8</v>
      </c>
      <c r="D175" s="94" t="s">
        <v>320</v>
      </c>
      <c r="E175" s="92" t="s">
        <v>782</v>
      </c>
    </row>
    <row r="176" ht="15.75" customHeight="1">
      <c r="A176" s="92">
        <v>27.0</v>
      </c>
      <c r="B176" s="92" t="s">
        <v>933</v>
      </c>
      <c r="C176" s="92">
        <v>2.52610357E8</v>
      </c>
      <c r="D176" s="94" t="s">
        <v>321</v>
      </c>
      <c r="E176" s="92" t="s">
        <v>782</v>
      </c>
    </row>
    <row r="177" ht="15.75" customHeight="1">
      <c r="A177" s="92">
        <v>28.0</v>
      </c>
      <c r="B177" s="92" t="s">
        <v>934</v>
      </c>
      <c r="C177" s="92">
        <v>2.52610363E8</v>
      </c>
      <c r="D177" s="94" t="s">
        <v>322</v>
      </c>
      <c r="E177" s="92" t="s">
        <v>782</v>
      </c>
    </row>
    <row r="178" ht="15.75" customHeight="1">
      <c r="A178" s="92">
        <v>29.0</v>
      </c>
      <c r="B178" s="92" t="s">
        <v>935</v>
      </c>
      <c r="C178" s="92">
        <v>2.52610373E8</v>
      </c>
      <c r="D178" s="94" t="s">
        <v>323</v>
      </c>
      <c r="E178" s="92" t="s">
        <v>782</v>
      </c>
    </row>
    <row r="179" ht="15.75" customHeight="1">
      <c r="A179" s="92">
        <v>30.0</v>
      </c>
      <c r="B179" s="92" t="s">
        <v>936</v>
      </c>
      <c r="C179" s="92">
        <v>2.52610378E8</v>
      </c>
      <c r="D179" s="94" t="s">
        <v>236</v>
      </c>
      <c r="E179" s="92" t="s">
        <v>782</v>
      </c>
    </row>
    <row r="180" ht="15.75" customHeight="1">
      <c r="A180" s="92">
        <v>31.0</v>
      </c>
      <c r="B180" s="92" t="s">
        <v>937</v>
      </c>
      <c r="C180" s="92">
        <v>2.52610382E8</v>
      </c>
      <c r="D180" s="94" t="s">
        <v>530</v>
      </c>
      <c r="E180" s="92" t="s">
        <v>784</v>
      </c>
    </row>
    <row r="181" ht="15.75" customHeight="1">
      <c r="A181" s="92">
        <v>33.0</v>
      </c>
      <c r="B181" s="92" t="s">
        <v>938</v>
      </c>
      <c r="C181" s="92">
        <v>2.52610435E8</v>
      </c>
      <c r="D181" s="94" t="s">
        <v>324</v>
      </c>
      <c r="E181" s="92" t="s">
        <v>782</v>
      </c>
    </row>
    <row r="182" ht="15.75" customHeight="1">
      <c r="A182" s="92">
        <v>34.0</v>
      </c>
      <c r="B182" s="92" t="s">
        <v>939</v>
      </c>
      <c r="C182" s="92">
        <v>2.52610447E8</v>
      </c>
      <c r="D182" s="94" t="s">
        <v>325</v>
      </c>
      <c r="E182" s="92" t="s">
        <v>782</v>
      </c>
    </row>
    <row r="183" ht="15.75" customHeight="1">
      <c r="A183" s="92">
        <v>35.0</v>
      </c>
      <c r="B183" s="92" t="s">
        <v>940</v>
      </c>
      <c r="C183" s="92">
        <v>2.52610472E8</v>
      </c>
      <c r="D183" s="94" t="s">
        <v>326</v>
      </c>
      <c r="E183" s="92" t="s">
        <v>782</v>
      </c>
    </row>
    <row r="184" ht="15.75" customHeight="1">
      <c r="A184" s="92">
        <v>36.0</v>
      </c>
      <c r="B184" s="92" t="s">
        <v>941</v>
      </c>
      <c r="C184" s="92">
        <v>2.52610475E8</v>
      </c>
      <c r="D184" s="94" t="s">
        <v>327</v>
      </c>
      <c r="E184" s="97"/>
    </row>
    <row r="185" ht="15.75" customHeight="1">
      <c r="A185" s="92">
        <v>37.0</v>
      </c>
      <c r="B185" s="92" t="s">
        <v>942</v>
      </c>
      <c r="C185" s="92">
        <v>2.5261048E8</v>
      </c>
      <c r="D185" s="94" t="s">
        <v>328</v>
      </c>
      <c r="E185" s="92" t="s">
        <v>782</v>
      </c>
    </row>
    <row r="186" ht="15.75" customHeight="1">
      <c r="A186" s="92">
        <v>38.0</v>
      </c>
      <c r="B186" s="92" t="s">
        <v>943</v>
      </c>
      <c r="C186" s="92">
        <v>2.52610483E8</v>
      </c>
      <c r="D186" s="94" t="s">
        <v>531</v>
      </c>
      <c r="E186" s="92" t="s">
        <v>784</v>
      </c>
    </row>
    <row r="187" ht="15.75" customHeight="1">
      <c r="A187" s="92">
        <v>39.0</v>
      </c>
      <c r="B187" s="92" t="s">
        <v>944</v>
      </c>
      <c r="C187" s="92">
        <v>2.52610492E8</v>
      </c>
      <c r="D187" s="94" t="s">
        <v>329</v>
      </c>
      <c r="E187" s="92" t="s">
        <v>782</v>
      </c>
    </row>
    <row r="188" ht="15.75" customHeight="1">
      <c r="A188" s="92">
        <v>40.0</v>
      </c>
      <c r="B188" s="92" t="s">
        <v>945</v>
      </c>
      <c r="C188" s="92">
        <v>2.52610512E8</v>
      </c>
      <c r="D188" s="94" t="s">
        <v>532</v>
      </c>
      <c r="E188" s="92" t="s">
        <v>784</v>
      </c>
    </row>
    <row r="189" ht="15.75" customHeight="1">
      <c r="A189" s="92">
        <v>41.0</v>
      </c>
      <c r="B189" s="92" t="s">
        <v>946</v>
      </c>
      <c r="C189" s="92">
        <v>2.52610514E8</v>
      </c>
      <c r="D189" s="94" t="s">
        <v>456</v>
      </c>
      <c r="E189" s="92" t="s">
        <v>784</v>
      </c>
    </row>
    <row r="190" ht="15.75" customHeight="1">
      <c r="A190" s="92">
        <v>42.0</v>
      </c>
      <c r="B190" s="92" t="s">
        <v>947</v>
      </c>
      <c r="C190" s="92">
        <v>2.52610515E8</v>
      </c>
      <c r="D190" s="94" t="s">
        <v>533</v>
      </c>
      <c r="E190" s="92" t="s">
        <v>784</v>
      </c>
    </row>
    <row r="191" ht="15.75" customHeight="1">
      <c r="A191" s="92">
        <v>43.0</v>
      </c>
      <c r="B191" s="92" t="s">
        <v>948</v>
      </c>
      <c r="C191" s="92">
        <v>2.52610519E8</v>
      </c>
      <c r="D191" s="94" t="s">
        <v>534</v>
      </c>
      <c r="E191" s="92" t="s">
        <v>784</v>
      </c>
    </row>
    <row r="192" ht="15.75" customHeight="1">
      <c r="A192" s="92">
        <v>44.0</v>
      </c>
      <c r="B192" s="92" t="s">
        <v>949</v>
      </c>
      <c r="C192" s="92">
        <v>2.52610533E8</v>
      </c>
      <c r="D192" s="94" t="s">
        <v>535</v>
      </c>
      <c r="E192" s="92" t="s">
        <v>784</v>
      </c>
    </row>
    <row r="193" ht="15.75" customHeight="1">
      <c r="A193" s="92">
        <v>45.0</v>
      </c>
      <c r="B193" s="92" t="s">
        <v>950</v>
      </c>
      <c r="C193" s="92">
        <v>2.52610534E8</v>
      </c>
      <c r="D193" s="94" t="s">
        <v>536</v>
      </c>
      <c r="E193" s="92" t="s">
        <v>784</v>
      </c>
    </row>
    <row r="194" ht="15.75" customHeight="1">
      <c r="A194" s="92">
        <v>46.0</v>
      </c>
      <c r="B194" s="92" t="s">
        <v>951</v>
      </c>
      <c r="C194" s="92">
        <v>2.52610544E8</v>
      </c>
      <c r="D194" s="94" t="s">
        <v>537</v>
      </c>
      <c r="E194" s="92" t="s">
        <v>784</v>
      </c>
    </row>
    <row r="195" ht="15.75" customHeight="1">
      <c r="A195" s="71"/>
      <c r="B195" s="71"/>
      <c r="C195" s="71"/>
      <c r="D195" s="71"/>
      <c r="E195" s="71"/>
    </row>
    <row r="196" ht="15.75" customHeight="1">
      <c r="A196" s="71"/>
      <c r="B196" s="71"/>
      <c r="C196" s="71"/>
      <c r="D196" s="94" t="s">
        <v>1368</v>
      </c>
      <c r="E196" s="96">
        <f>COUNTIF(E150:E194,"P")</f>
        <v>26</v>
      </c>
    </row>
    <row r="197" ht="15.75" customHeight="1">
      <c r="A197" s="71"/>
      <c r="B197" s="71"/>
      <c r="C197" s="71"/>
      <c r="D197" s="94" t="s">
        <v>1369</v>
      </c>
      <c r="E197" s="96">
        <f>COUNTIF(E150:E194,"L")</f>
        <v>18</v>
      </c>
    </row>
    <row r="198" ht="15.75" customHeight="1">
      <c r="A198" s="71"/>
      <c r="B198" s="71"/>
      <c r="C198" s="71"/>
      <c r="D198" s="71"/>
      <c r="E198" s="71"/>
    </row>
    <row r="199" ht="15.75" customHeight="1">
      <c r="A199" s="71"/>
      <c r="B199" s="71"/>
      <c r="C199" s="71"/>
      <c r="D199" s="71"/>
      <c r="E199" s="71"/>
    </row>
    <row r="200" ht="15.75" customHeight="1">
      <c r="A200" s="71"/>
      <c r="B200" s="71"/>
      <c r="C200" s="71"/>
      <c r="D200" s="71"/>
      <c r="E200" s="71"/>
    </row>
    <row r="201" ht="15.75" customHeight="1">
      <c r="A201" s="71" t="s">
        <v>1373</v>
      </c>
      <c r="B201" s="71"/>
      <c r="C201" s="71"/>
      <c r="D201" s="71"/>
      <c r="E201" s="71" t="s">
        <v>42</v>
      </c>
    </row>
    <row r="202" ht="15.75" customHeight="1">
      <c r="A202" s="95" t="s">
        <v>775</v>
      </c>
      <c r="B202" s="95" t="s">
        <v>776</v>
      </c>
      <c r="C202" s="95" t="s">
        <v>777</v>
      </c>
      <c r="D202" s="95" t="s">
        <v>219</v>
      </c>
      <c r="E202" s="95" t="s">
        <v>778</v>
      </c>
    </row>
    <row r="203" ht="15.75" customHeight="1">
      <c r="A203" s="92">
        <v>1.0</v>
      </c>
      <c r="B203" s="92" t="s">
        <v>952</v>
      </c>
      <c r="C203" s="92">
        <v>2.52610004E8</v>
      </c>
      <c r="D203" s="94" t="s">
        <v>223</v>
      </c>
      <c r="E203" s="92" t="s">
        <v>782</v>
      </c>
    </row>
    <row r="204" ht="15.75" customHeight="1">
      <c r="A204" s="92">
        <v>2.0</v>
      </c>
      <c r="B204" s="92" t="s">
        <v>953</v>
      </c>
      <c r="C204" s="92">
        <v>2.52610013E8</v>
      </c>
      <c r="D204" s="94" t="s">
        <v>298</v>
      </c>
      <c r="E204" s="92" t="s">
        <v>782</v>
      </c>
    </row>
    <row r="205" ht="15.75" customHeight="1">
      <c r="A205" s="92">
        <v>3.0</v>
      </c>
      <c r="B205" s="92" t="s">
        <v>954</v>
      </c>
      <c r="C205" s="92">
        <v>2.52610022E8</v>
      </c>
      <c r="D205" s="94" t="s">
        <v>444</v>
      </c>
      <c r="E205" s="92" t="s">
        <v>784</v>
      </c>
    </row>
    <row r="206" ht="15.75" customHeight="1">
      <c r="A206" s="92">
        <v>4.0</v>
      </c>
      <c r="B206" s="92" t="s">
        <v>955</v>
      </c>
      <c r="C206" s="92">
        <v>2.52610024E8</v>
      </c>
      <c r="D206" s="94" t="s">
        <v>671</v>
      </c>
      <c r="E206" s="92" t="s">
        <v>784</v>
      </c>
    </row>
    <row r="207" ht="15.75" customHeight="1">
      <c r="A207" s="92">
        <v>5.0</v>
      </c>
      <c r="B207" s="92" t="s">
        <v>956</v>
      </c>
      <c r="C207" s="92">
        <v>2.52610034E8</v>
      </c>
      <c r="D207" s="94" t="s">
        <v>299</v>
      </c>
      <c r="E207" s="92" t="s">
        <v>782</v>
      </c>
    </row>
    <row r="208" ht="15.75" customHeight="1">
      <c r="A208" s="92">
        <v>6.0</v>
      </c>
      <c r="B208" s="92" t="s">
        <v>957</v>
      </c>
      <c r="C208" s="92">
        <v>2.52610043E8</v>
      </c>
      <c r="D208" s="94" t="s">
        <v>431</v>
      </c>
      <c r="E208" s="92" t="s">
        <v>784</v>
      </c>
    </row>
    <row r="209" ht="15.75" customHeight="1">
      <c r="A209" s="92">
        <v>7.0</v>
      </c>
      <c r="B209" s="92" t="s">
        <v>958</v>
      </c>
      <c r="C209" s="92">
        <v>2.52610055E8</v>
      </c>
      <c r="D209" s="94" t="s">
        <v>672</v>
      </c>
      <c r="E209" s="92" t="s">
        <v>784</v>
      </c>
    </row>
    <row r="210" ht="15.75" customHeight="1">
      <c r="A210" s="92">
        <v>8.0</v>
      </c>
      <c r="B210" s="92" t="s">
        <v>959</v>
      </c>
      <c r="C210" s="92">
        <v>2.52610057E8</v>
      </c>
      <c r="D210" s="94" t="s">
        <v>673</v>
      </c>
      <c r="E210" s="92" t="s">
        <v>784</v>
      </c>
    </row>
    <row r="211" ht="15.75" customHeight="1">
      <c r="A211" s="92">
        <v>9.0</v>
      </c>
      <c r="B211" s="92" t="s">
        <v>960</v>
      </c>
      <c r="C211" s="92">
        <v>2.5261006E8</v>
      </c>
      <c r="D211" s="94" t="s">
        <v>300</v>
      </c>
      <c r="E211" s="92" t="s">
        <v>782</v>
      </c>
    </row>
    <row r="212" ht="15.75" customHeight="1">
      <c r="A212" s="92">
        <v>10.0</v>
      </c>
      <c r="B212" s="92" t="s">
        <v>961</v>
      </c>
      <c r="C212" s="92">
        <v>2.52610067E8</v>
      </c>
      <c r="D212" s="94" t="s">
        <v>674</v>
      </c>
      <c r="E212" s="92" t="s">
        <v>784</v>
      </c>
    </row>
    <row r="213" ht="15.75" customHeight="1">
      <c r="A213" s="92">
        <v>11.0</v>
      </c>
      <c r="B213" s="92" t="s">
        <v>962</v>
      </c>
      <c r="C213" s="92">
        <v>2.52610115E8</v>
      </c>
      <c r="D213" s="94" t="s">
        <v>301</v>
      </c>
      <c r="E213" s="92" t="s">
        <v>782</v>
      </c>
    </row>
    <row r="214" ht="15.75" customHeight="1">
      <c r="A214" s="92">
        <v>12.0</v>
      </c>
      <c r="B214" s="92" t="s">
        <v>963</v>
      </c>
      <c r="C214" s="92">
        <v>2.52610123E8</v>
      </c>
      <c r="D214" s="94" t="s">
        <v>675</v>
      </c>
      <c r="E214" s="92" t="s">
        <v>784</v>
      </c>
    </row>
    <row r="215" ht="15.75" customHeight="1">
      <c r="A215" s="92">
        <v>13.0</v>
      </c>
      <c r="B215" s="92" t="s">
        <v>964</v>
      </c>
      <c r="C215" s="92">
        <v>2.52610163E8</v>
      </c>
      <c r="D215" s="94" t="s">
        <v>676</v>
      </c>
      <c r="E215" s="92" t="s">
        <v>784</v>
      </c>
    </row>
    <row r="216" ht="15.75" customHeight="1">
      <c r="A216" s="92">
        <v>14.0</v>
      </c>
      <c r="B216" s="92" t="s">
        <v>965</v>
      </c>
      <c r="C216" s="92">
        <v>2.52610166E8</v>
      </c>
      <c r="D216" s="94" t="s">
        <v>677</v>
      </c>
      <c r="E216" s="92" t="s">
        <v>784</v>
      </c>
    </row>
    <row r="217" ht="15.75" customHeight="1">
      <c r="A217" s="92">
        <v>17.0</v>
      </c>
      <c r="B217" s="92" t="s">
        <v>966</v>
      </c>
      <c r="C217" s="92">
        <v>2.52610205E8</v>
      </c>
      <c r="D217" s="94" t="s">
        <v>435</v>
      </c>
      <c r="E217" s="92" t="s">
        <v>784</v>
      </c>
    </row>
    <row r="218" ht="15.75" customHeight="1">
      <c r="A218" s="92">
        <v>18.0</v>
      </c>
      <c r="B218" s="92" t="s">
        <v>967</v>
      </c>
      <c r="C218" s="92">
        <v>2.52610229E8</v>
      </c>
      <c r="D218" s="94" t="s">
        <v>678</v>
      </c>
      <c r="E218" s="92" t="s">
        <v>784</v>
      </c>
    </row>
    <row r="219" ht="15.75" customHeight="1">
      <c r="A219" s="92">
        <v>19.0</v>
      </c>
      <c r="B219" s="92" t="s">
        <v>968</v>
      </c>
      <c r="C219" s="92">
        <v>2.5261023E8</v>
      </c>
      <c r="D219" s="94" t="s">
        <v>302</v>
      </c>
      <c r="E219" s="92" t="s">
        <v>782</v>
      </c>
    </row>
    <row r="220" ht="15.75" customHeight="1">
      <c r="A220" s="92">
        <v>20.0</v>
      </c>
      <c r="B220" s="92" t="s">
        <v>969</v>
      </c>
      <c r="C220" s="92">
        <v>2.52610245E8</v>
      </c>
      <c r="D220" s="94" t="s">
        <v>679</v>
      </c>
      <c r="E220" s="92" t="s">
        <v>784</v>
      </c>
    </row>
    <row r="221" ht="15.75" customHeight="1">
      <c r="A221" s="92">
        <v>21.0</v>
      </c>
      <c r="B221" s="92" t="s">
        <v>970</v>
      </c>
      <c r="C221" s="92">
        <v>2.52610281E8</v>
      </c>
      <c r="D221" s="94" t="s">
        <v>680</v>
      </c>
      <c r="E221" s="92" t="s">
        <v>784</v>
      </c>
    </row>
    <row r="222" ht="15.75" customHeight="1">
      <c r="A222" s="92">
        <v>22.0</v>
      </c>
      <c r="B222" s="92" t="s">
        <v>971</v>
      </c>
      <c r="C222" s="92">
        <v>2.52610286E8</v>
      </c>
      <c r="D222" s="94" t="s">
        <v>681</v>
      </c>
      <c r="E222" s="92" t="s">
        <v>784</v>
      </c>
    </row>
    <row r="223" ht="15.75" customHeight="1">
      <c r="A223" s="92">
        <v>23.0</v>
      </c>
      <c r="B223" s="92" t="s">
        <v>972</v>
      </c>
      <c r="C223" s="92">
        <v>2.52610299E8</v>
      </c>
      <c r="D223" s="94" t="s">
        <v>682</v>
      </c>
      <c r="E223" s="92" t="s">
        <v>784</v>
      </c>
    </row>
    <row r="224" ht="15.75" customHeight="1">
      <c r="A224" s="92">
        <v>24.0</v>
      </c>
      <c r="B224" s="92" t="s">
        <v>973</v>
      </c>
      <c r="C224" s="92">
        <v>2.52610322E8</v>
      </c>
      <c r="D224" s="94" t="s">
        <v>303</v>
      </c>
      <c r="E224" s="92" t="s">
        <v>782</v>
      </c>
    </row>
    <row r="225" ht="15.75" customHeight="1">
      <c r="A225" s="92">
        <v>25.0</v>
      </c>
      <c r="B225" s="92" t="s">
        <v>974</v>
      </c>
      <c r="C225" s="92">
        <v>2.52610323E8</v>
      </c>
      <c r="D225" s="94" t="s">
        <v>304</v>
      </c>
      <c r="E225" s="92" t="s">
        <v>782</v>
      </c>
    </row>
    <row r="226" ht="15.75" customHeight="1">
      <c r="A226" s="92">
        <v>26.0</v>
      </c>
      <c r="B226" s="92" t="s">
        <v>975</v>
      </c>
      <c r="C226" s="92">
        <v>2.52610361E8</v>
      </c>
      <c r="D226" s="94" t="s">
        <v>234</v>
      </c>
      <c r="E226" s="92" t="s">
        <v>782</v>
      </c>
    </row>
    <row r="227" ht="15.75" customHeight="1">
      <c r="A227" s="92">
        <v>27.0</v>
      </c>
      <c r="B227" s="92" t="s">
        <v>976</v>
      </c>
      <c r="C227" s="92">
        <v>2.52610366E8</v>
      </c>
      <c r="D227" s="94" t="s">
        <v>305</v>
      </c>
      <c r="E227" s="92" t="s">
        <v>782</v>
      </c>
    </row>
    <row r="228" ht="15.75" customHeight="1">
      <c r="A228" s="92">
        <v>28.0</v>
      </c>
      <c r="B228" s="92" t="s">
        <v>977</v>
      </c>
      <c r="C228" s="92">
        <v>2.52610374E8</v>
      </c>
      <c r="D228" s="94" t="s">
        <v>306</v>
      </c>
      <c r="E228" s="92" t="s">
        <v>782</v>
      </c>
    </row>
    <row r="229" ht="15.75" customHeight="1">
      <c r="A229" s="92">
        <v>29.0</v>
      </c>
      <c r="B229" s="92" t="s">
        <v>978</v>
      </c>
      <c r="C229" s="92">
        <v>2.52610379E8</v>
      </c>
      <c r="D229" s="94" t="s">
        <v>307</v>
      </c>
      <c r="E229" s="92" t="s">
        <v>782</v>
      </c>
    </row>
    <row r="230" ht="15.75" customHeight="1">
      <c r="A230" s="92">
        <v>30.0</v>
      </c>
      <c r="B230" s="92" t="s">
        <v>979</v>
      </c>
      <c r="C230" s="92">
        <v>2.52610384E8</v>
      </c>
      <c r="D230" s="94" t="s">
        <v>513</v>
      </c>
      <c r="E230" s="92" t="s">
        <v>784</v>
      </c>
    </row>
    <row r="231" ht="15.75" customHeight="1">
      <c r="A231" s="92">
        <v>31.0</v>
      </c>
      <c r="B231" s="92" t="s">
        <v>980</v>
      </c>
      <c r="C231" s="92">
        <v>2.52610401E8</v>
      </c>
      <c r="D231" s="94" t="s">
        <v>308</v>
      </c>
      <c r="E231" s="92" t="s">
        <v>782</v>
      </c>
    </row>
    <row r="232" ht="15.75" customHeight="1">
      <c r="A232" s="92">
        <v>32.0</v>
      </c>
      <c r="B232" s="92" t="s">
        <v>981</v>
      </c>
      <c r="C232" s="92">
        <v>2.52610412E8</v>
      </c>
      <c r="D232" s="94" t="s">
        <v>437</v>
      </c>
      <c r="E232" s="92" t="s">
        <v>784</v>
      </c>
    </row>
    <row r="233" ht="15.75" customHeight="1">
      <c r="A233" s="92">
        <v>33.0</v>
      </c>
      <c r="B233" s="92" t="s">
        <v>982</v>
      </c>
      <c r="C233" s="92">
        <v>2.52610414E8</v>
      </c>
      <c r="D233" s="94" t="s">
        <v>514</v>
      </c>
      <c r="E233" s="92" t="s">
        <v>784</v>
      </c>
    </row>
    <row r="234" ht="15.75" customHeight="1">
      <c r="A234" s="92">
        <v>34.0</v>
      </c>
      <c r="B234" s="92" t="s">
        <v>983</v>
      </c>
      <c r="C234" s="92">
        <v>2.52610427E8</v>
      </c>
      <c r="D234" s="94" t="s">
        <v>439</v>
      </c>
      <c r="E234" s="92" t="s">
        <v>784</v>
      </c>
    </row>
    <row r="235" ht="15.75" customHeight="1">
      <c r="A235" s="92">
        <v>35.0</v>
      </c>
      <c r="B235" s="92" t="s">
        <v>984</v>
      </c>
      <c r="C235" s="92">
        <v>2.52610429E8</v>
      </c>
      <c r="D235" s="94" t="s">
        <v>309</v>
      </c>
      <c r="E235" s="92" t="s">
        <v>782</v>
      </c>
    </row>
    <row r="236" ht="15.75" customHeight="1">
      <c r="A236" s="92">
        <v>36.0</v>
      </c>
      <c r="B236" s="92" t="s">
        <v>985</v>
      </c>
      <c r="C236" s="92">
        <v>2.52610437E8</v>
      </c>
      <c r="D236" s="94" t="s">
        <v>515</v>
      </c>
      <c r="E236" s="92" t="s">
        <v>784</v>
      </c>
    </row>
    <row r="237" ht="15.75" customHeight="1">
      <c r="A237" s="92">
        <v>37.0</v>
      </c>
      <c r="B237" s="92" t="s">
        <v>986</v>
      </c>
      <c r="C237" s="92">
        <v>2.5261045E8</v>
      </c>
      <c r="D237" s="94" t="s">
        <v>516</v>
      </c>
      <c r="E237" s="92" t="s">
        <v>784</v>
      </c>
    </row>
    <row r="238" ht="15.75" customHeight="1">
      <c r="A238" s="92">
        <v>38.0</v>
      </c>
      <c r="B238" s="92" t="s">
        <v>987</v>
      </c>
      <c r="C238" s="92">
        <v>2.52610451E8</v>
      </c>
      <c r="D238" s="94" t="s">
        <v>517</v>
      </c>
      <c r="E238" s="92" t="s">
        <v>784</v>
      </c>
    </row>
    <row r="239" ht="15.75" customHeight="1">
      <c r="A239" s="92">
        <v>39.0</v>
      </c>
      <c r="B239" s="92" t="s">
        <v>988</v>
      </c>
      <c r="C239" s="92">
        <v>2.52610471E8</v>
      </c>
      <c r="D239" s="94" t="s">
        <v>310</v>
      </c>
      <c r="E239" s="92" t="s">
        <v>782</v>
      </c>
    </row>
    <row r="240" ht="15.75" customHeight="1">
      <c r="A240" s="92">
        <v>40.0</v>
      </c>
      <c r="B240" s="92" t="s">
        <v>989</v>
      </c>
      <c r="C240" s="92">
        <v>2.52610481E8</v>
      </c>
      <c r="D240" s="94" t="s">
        <v>518</v>
      </c>
      <c r="E240" s="92" t="s">
        <v>784</v>
      </c>
    </row>
    <row r="241" ht="15.75" customHeight="1">
      <c r="A241" s="92">
        <v>41.0</v>
      </c>
      <c r="B241" s="92" t="s">
        <v>990</v>
      </c>
      <c r="C241" s="92">
        <v>2.52610488E8</v>
      </c>
      <c r="D241" s="94" t="s">
        <v>519</v>
      </c>
      <c r="E241" s="92" t="s">
        <v>784</v>
      </c>
    </row>
    <row r="242" ht="15.75" customHeight="1">
      <c r="A242" s="92">
        <v>42.0</v>
      </c>
      <c r="B242" s="92" t="s">
        <v>991</v>
      </c>
      <c r="C242" s="92">
        <v>2.52610507E8</v>
      </c>
      <c r="D242" s="94" t="s">
        <v>520</v>
      </c>
      <c r="E242" s="92" t="s">
        <v>784</v>
      </c>
    </row>
    <row r="243" ht="15.75" customHeight="1">
      <c r="A243" s="92">
        <v>43.0</v>
      </c>
      <c r="B243" s="92" t="s">
        <v>992</v>
      </c>
      <c r="C243" s="92">
        <v>2.52610535E8</v>
      </c>
      <c r="D243" s="94" t="s">
        <v>521</v>
      </c>
      <c r="E243" s="92" t="s">
        <v>784</v>
      </c>
    </row>
    <row r="244" ht="15.75" customHeight="1">
      <c r="A244" s="92">
        <v>44.0</v>
      </c>
      <c r="B244" s="92" t="s">
        <v>993</v>
      </c>
      <c r="C244" s="92">
        <v>2.5261054E8</v>
      </c>
      <c r="D244" s="94" t="s">
        <v>522</v>
      </c>
      <c r="E244" s="92" t="s">
        <v>784</v>
      </c>
    </row>
    <row r="245" ht="15.75" customHeight="1">
      <c r="A245" s="92">
        <v>45.0</v>
      </c>
      <c r="B245" s="92" t="s">
        <v>994</v>
      </c>
      <c r="C245" s="92">
        <v>2.52610543E8</v>
      </c>
      <c r="D245" s="94" t="s">
        <v>523</v>
      </c>
      <c r="E245" s="92" t="s">
        <v>784</v>
      </c>
    </row>
    <row r="246" ht="15.75" customHeight="1">
      <c r="A246" s="92">
        <v>46.0</v>
      </c>
      <c r="B246" s="92" t="s">
        <v>995</v>
      </c>
      <c r="C246" s="92">
        <v>2.52610549E8</v>
      </c>
      <c r="D246" s="94" t="s">
        <v>311</v>
      </c>
      <c r="E246" s="92" t="s">
        <v>782</v>
      </c>
    </row>
    <row r="247" ht="15.75" customHeight="1">
      <c r="A247" s="92">
        <v>47.0</v>
      </c>
      <c r="B247" s="92" t="s">
        <v>996</v>
      </c>
      <c r="C247" s="92">
        <v>2.52610554E8</v>
      </c>
      <c r="D247" s="94" t="s">
        <v>524</v>
      </c>
      <c r="E247" s="92" t="s">
        <v>784</v>
      </c>
    </row>
    <row r="248" ht="15.75" customHeight="1">
      <c r="A248" s="71"/>
      <c r="B248" s="71"/>
      <c r="C248" s="71"/>
      <c r="D248" s="71"/>
      <c r="E248" s="71"/>
    </row>
    <row r="249" ht="15.75" customHeight="1">
      <c r="A249" s="71"/>
      <c r="B249" s="71"/>
      <c r="C249" s="71"/>
      <c r="D249" s="94" t="s">
        <v>1368</v>
      </c>
      <c r="E249" s="96">
        <f>COUNTIF(E203:E247,"P")</f>
        <v>29</v>
      </c>
    </row>
    <row r="250" ht="15.75" customHeight="1">
      <c r="A250" s="71"/>
      <c r="B250" s="71"/>
      <c r="C250" s="71"/>
      <c r="D250" s="94" t="s">
        <v>1369</v>
      </c>
      <c r="E250" s="96">
        <f>COUNTIF(E203:E247,"L")</f>
        <v>16</v>
      </c>
    </row>
    <row r="251" ht="15.75" customHeight="1">
      <c r="A251" s="71"/>
      <c r="B251" s="71"/>
      <c r="C251" s="71"/>
      <c r="D251" s="71"/>
      <c r="E251" s="71"/>
    </row>
    <row r="252" ht="15.75" customHeight="1">
      <c r="A252" s="71"/>
      <c r="B252" s="71"/>
      <c r="C252" s="71"/>
      <c r="D252" s="71"/>
      <c r="E252" s="71"/>
    </row>
    <row r="253" ht="15.75" customHeight="1">
      <c r="A253" s="71" t="s">
        <v>1374</v>
      </c>
      <c r="B253" s="71"/>
      <c r="C253" s="71"/>
      <c r="D253" s="71"/>
      <c r="E253" s="71" t="s">
        <v>46</v>
      </c>
    </row>
    <row r="254" ht="15.75" customHeight="1">
      <c r="A254" s="95" t="s">
        <v>775</v>
      </c>
      <c r="B254" s="95" t="s">
        <v>776</v>
      </c>
      <c r="C254" s="95" t="s">
        <v>777</v>
      </c>
      <c r="D254" s="95" t="s">
        <v>219</v>
      </c>
      <c r="E254" s="95" t="s">
        <v>778</v>
      </c>
    </row>
    <row r="255" ht="15.75" customHeight="1">
      <c r="A255" s="92">
        <v>3.0</v>
      </c>
      <c r="B255" s="92" t="s">
        <v>997</v>
      </c>
      <c r="C255" s="92">
        <v>2.52610036E8</v>
      </c>
      <c r="D255" s="94" t="s">
        <v>658</v>
      </c>
      <c r="E255" s="92" t="s">
        <v>784</v>
      </c>
    </row>
    <row r="256" ht="15.75" customHeight="1">
      <c r="A256" s="92">
        <v>4.0</v>
      </c>
      <c r="B256" s="92" t="s">
        <v>998</v>
      </c>
      <c r="C256" s="92">
        <v>2.52610042E8</v>
      </c>
      <c r="D256" s="94" t="s">
        <v>659</v>
      </c>
      <c r="E256" s="92" t="s">
        <v>784</v>
      </c>
    </row>
    <row r="257" ht="15.75" customHeight="1">
      <c r="A257" s="92">
        <v>5.0</v>
      </c>
      <c r="B257" s="92" t="s">
        <v>999</v>
      </c>
      <c r="C257" s="92">
        <v>2.52610072E8</v>
      </c>
      <c r="D257" s="94" t="s">
        <v>660</v>
      </c>
      <c r="E257" s="92" t="s">
        <v>784</v>
      </c>
    </row>
    <row r="258" ht="15.75" customHeight="1">
      <c r="A258" s="92">
        <v>7.0</v>
      </c>
      <c r="B258" s="92" t="s">
        <v>1000</v>
      </c>
      <c r="C258" s="92">
        <v>2.52610134E8</v>
      </c>
      <c r="D258" s="94" t="s">
        <v>661</v>
      </c>
      <c r="E258" s="92" t="s">
        <v>784</v>
      </c>
    </row>
    <row r="259" ht="15.75" customHeight="1">
      <c r="A259" s="92">
        <v>9.0</v>
      </c>
      <c r="B259" s="92" t="s">
        <v>1001</v>
      </c>
      <c r="C259" s="92">
        <v>2.52610157E8</v>
      </c>
      <c r="D259" s="94" t="s">
        <v>662</v>
      </c>
      <c r="E259" s="92" t="s">
        <v>784</v>
      </c>
    </row>
    <row r="260" ht="15.75" customHeight="1">
      <c r="A260" s="92">
        <v>10.0</v>
      </c>
      <c r="B260" s="92" t="s">
        <v>1002</v>
      </c>
      <c r="C260" s="92">
        <v>2.52610167E8</v>
      </c>
      <c r="D260" s="94" t="s">
        <v>663</v>
      </c>
      <c r="E260" s="92" t="s">
        <v>784</v>
      </c>
    </row>
    <row r="261" ht="15.75" customHeight="1">
      <c r="A261" s="92">
        <v>11.0</v>
      </c>
      <c r="B261" s="92" t="s">
        <v>1003</v>
      </c>
      <c r="C261" s="92">
        <v>2.52610172E8</v>
      </c>
      <c r="D261" s="94" t="s">
        <v>290</v>
      </c>
      <c r="E261" s="92" t="s">
        <v>782</v>
      </c>
    </row>
    <row r="262" ht="15.75" customHeight="1">
      <c r="A262" s="92">
        <v>12.0</v>
      </c>
      <c r="B262" s="92" t="s">
        <v>1004</v>
      </c>
      <c r="C262" s="92">
        <v>2.52610176E8</v>
      </c>
      <c r="D262" s="94" t="s">
        <v>291</v>
      </c>
      <c r="E262" s="92" t="s">
        <v>782</v>
      </c>
    </row>
    <row r="263" ht="15.75" customHeight="1">
      <c r="A263" s="92">
        <v>14.0</v>
      </c>
      <c r="B263" s="92" t="s">
        <v>1005</v>
      </c>
      <c r="C263" s="92">
        <v>2.52610194E8</v>
      </c>
      <c r="D263" s="94" t="s">
        <v>664</v>
      </c>
      <c r="E263" s="92" t="s">
        <v>784</v>
      </c>
    </row>
    <row r="264" ht="15.75" customHeight="1">
      <c r="A264" s="92">
        <v>15.0</v>
      </c>
      <c r="B264" s="92" t="s">
        <v>1006</v>
      </c>
      <c r="C264" s="92">
        <v>2.52610195E8</v>
      </c>
      <c r="D264" s="94" t="s">
        <v>450</v>
      </c>
      <c r="E264" s="92" t="s">
        <v>784</v>
      </c>
    </row>
    <row r="265" ht="15.75" customHeight="1">
      <c r="A265" s="92">
        <v>17.0</v>
      </c>
      <c r="B265" s="92" t="s">
        <v>1007</v>
      </c>
      <c r="C265" s="92">
        <v>2.52610209E8</v>
      </c>
      <c r="D265" s="94" t="s">
        <v>665</v>
      </c>
      <c r="E265" s="92" t="s">
        <v>784</v>
      </c>
    </row>
    <row r="266" ht="15.75" customHeight="1">
      <c r="A266" s="92">
        <v>18.0</v>
      </c>
      <c r="B266" s="92" t="s">
        <v>1008</v>
      </c>
      <c r="C266" s="92">
        <v>2.5261021E8</v>
      </c>
      <c r="D266" s="94" t="s">
        <v>666</v>
      </c>
      <c r="E266" s="92" t="s">
        <v>784</v>
      </c>
    </row>
    <row r="267" ht="15.75" customHeight="1">
      <c r="A267" s="92">
        <v>19.0</v>
      </c>
      <c r="B267" s="92" t="s">
        <v>1009</v>
      </c>
      <c r="C267" s="92">
        <v>2.52610214E8</v>
      </c>
      <c r="D267" s="94" t="s">
        <v>667</v>
      </c>
      <c r="E267" s="92" t="s">
        <v>784</v>
      </c>
    </row>
    <row r="268" ht="15.75" customHeight="1">
      <c r="A268" s="92">
        <v>20.0</v>
      </c>
      <c r="B268" s="92" t="s">
        <v>1010</v>
      </c>
      <c r="C268" s="92">
        <v>2.52610227E8</v>
      </c>
      <c r="D268" s="94" t="s">
        <v>668</v>
      </c>
      <c r="E268" s="92" t="s">
        <v>784</v>
      </c>
    </row>
    <row r="269" ht="15.75" customHeight="1">
      <c r="A269" s="92">
        <v>23.0</v>
      </c>
      <c r="B269" s="92" t="s">
        <v>1011</v>
      </c>
      <c r="C269" s="92">
        <v>2.52610273E8</v>
      </c>
      <c r="D269" s="94" t="s">
        <v>669</v>
      </c>
      <c r="E269" s="92" t="s">
        <v>784</v>
      </c>
    </row>
    <row r="270" ht="15.75" customHeight="1">
      <c r="A270" s="92">
        <v>24.0</v>
      </c>
      <c r="B270" s="92" t="s">
        <v>1012</v>
      </c>
      <c r="C270" s="92">
        <v>2.52610279E8</v>
      </c>
      <c r="D270" s="94" t="s">
        <v>501</v>
      </c>
      <c r="E270" s="92" t="s">
        <v>784</v>
      </c>
    </row>
    <row r="271" ht="15.75" customHeight="1">
      <c r="A271" s="92">
        <v>26.0</v>
      </c>
      <c r="B271" s="92" t="s">
        <v>1013</v>
      </c>
      <c r="C271" s="92">
        <v>2.52610308E8</v>
      </c>
      <c r="D271" s="94" t="s">
        <v>502</v>
      </c>
      <c r="E271" s="92" t="s">
        <v>784</v>
      </c>
    </row>
    <row r="272" ht="15.75" customHeight="1">
      <c r="A272" s="92">
        <v>28.0</v>
      </c>
      <c r="B272" s="92" t="s">
        <v>1014</v>
      </c>
      <c r="C272" s="92">
        <v>2.52610342E8</v>
      </c>
      <c r="D272" s="94" t="s">
        <v>292</v>
      </c>
      <c r="E272" s="92" t="s">
        <v>782</v>
      </c>
    </row>
    <row r="273" ht="15.75" customHeight="1">
      <c r="A273" s="92">
        <v>31.0</v>
      </c>
      <c r="B273" s="92" t="s">
        <v>1015</v>
      </c>
      <c r="C273" s="92">
        <v>2.52610394E8</v>
      </c>
      <c r="D273" s="94" t="s">
        <v>503</v>
      </c>
      <c r="E273" s="92" t="s">
        <v>784</v>
      </c>
    </row>
    <row r="274" ht="15.75" customHeight="1">
      <c r="A274" s="92">
        <v>32.0</v>
      </c>
      <c r="B274" s="92" t="s">
        <v>1016</v>
      </c>
      <c r="C274" s="92">
        <v>2.5261041E8</v>
      </c>
      <c r="D274" s="94" t="s">
        <v>504</v>
      </c>
      <c r="E274" s="92" t="s">
        <v>784</v>
      </c>
    </row>
    <row r="275" ht="15.75" customHeight="1">
      <c r="A275" s="92">
        <v>33.0</v>
      </c>
      <c r="B275" s="92" t="s">
        <v>1017</v>
      </c>
      <c r="C275" s="92">
        <v>2.52610442E8</v>
      </c>
      <c r="D275" s="94" t="s">
        <v>505</v>
      </c>
      <c r="E275" s="92" t="s">
        <v>784</v>
      </c>
    </row>
    <row r="276" ht="15.75" customHeight="1">
      <c r="A276" s="92">
        <v>35.0</v>
      </c>
      <c r="B276" s="92" t="s">
        <v>1018</v>
      </c>
      <c r="C276" s="92">
        <v>2.52610449E8</v>
      </c>
      <c r="D276" s="94" t="s">
        <v>293</v>
      </c>
      <c r="E276" s="92" t="s">
        <v>782</v>
      </c>
    </row>
    <row r="277" ht="15.75" customHeight="1">
      <c r="A277" s="92">
        <v>36.0</v>
      </c>
      <c r="B277" s="92" t="s">
        <v>1019</v>
      </c>
      <c r="C277" s="92">
        <v>2.52610453E8</v>
      </c>
      <c r="D277" s="94" t="s">
        <v>294</v>
      </c>
      <c r="E277" s="92" t="s">
        <v>782</v>
      </c>
    </row>
    <row r="278" ht="15.75" customHeight="1">
      <c r="A278" s="92">
        <v>39.0</v>
      </c>
      <c r="B278" s="92" t="s">
        <v>1020</v>
      </c>
      <c r="C278" s="92">
        <v>2.52610479E8</v>
      </c>
      <c r="D278" s="94" t="s">
        <v>295</v>
      </c>
      <c r="E278" s="92" t="s">
        <v>782</v>
      </c>
    </row>
    <row r="279" ht="15.75" customHeight="1">
      <c r="A279" s="92">
        <v>40.0</v>
      </c>
      <c r="B279" s="92" t="s">
        <v>1021</v>
      </c>
      <c r="C279" s="92">
        <v>2.52610484E8</v>
      </c>
      <c r="D279" s="94" t="s">
        <v>506</v>
      </c>
      <c r="E279" s="92" t="s">
        <v>784</v>
      </c>
    </row>
    <row r="280" ht="15.75" customHeight="1">
      <c r="A280" s="92">
        <v>41.0</v>
      </c>
      <c r="B280" s="92" t="s">
        <v>1022</v>
      </c>
      <c r="C280" s="92">
        <v>2.52610486E8</v>
      </c>
      <c r="D280" s="94" t="s">
        <v>507</v>
      </c>
      <c r="E280" s="92" t="s">
        <v>784</v>
      </c>
    </row>
    <row r="281" ht="15.75" customHeight="1">
      <c r="A281" s="92">
        <v>42.0</v>
      </c>
      <c r="B281" s="92" t="s">
        <v>1023</v>
      </c>
      <c r="C281" s="92">
        <v>2.52610495E8</v>
      </c>
      <c r="D281" s="94" t="s">
        <v>508</v>
      </c>
      <c r="E281" s="92" t="s">
        <v>784</v>
      </c>
    </row>
    <row r="282" ht="15.75" customHeight="1">
      <c r="A282" s="92">
        <v>43.0</v>
      </c>
      <c r="B282" s="92" t="s">
        <v>1024</v>
      </c>
      <c r="C282" s="92">
        <v>2.52610505E8</v>
      </c>
      <c r="D282" s="94" t="s">
        <v>509</v>
      </c>
      <c r="E282" s="92" t="s">
        <v>784</v>
      </c>
    </row>
    <row r="283" ht="15.75" customHeight="1">
      <c r="A283" s="92">
        <v>44.0</v>
      </c>
      <c r="B283" s="92" t="s">
        <v>1025</v>
      </c>
      <c r="C283" s="92">
        <v>2.52610517E8</v>
      </c>
      <c r="D283" s="94" t="s">
        <v>510</v>
      </c>
      <c r="E283" s="92" t="s">
        <v>784</v>
      </c>
    </row>
    <row r="284" ht="15.75" customHeight="1">
      <c r="A284" s="92">
        <v>45.0</v>
      </c>
      <c r="B284" s="92" t="s">
        <v>1026</v>
      </c>
      <c r="C284" s="92">
        <v>2.52610528E8</v>
      </c>
      <c r="D284" s="94" t="s">
        <v>296</v>
      </c>
      <c r="E284" s="92" t="s">
        <v>782</v>
      </c>
    </row>
    <row r="285" ht="15.75" customHeight="1">
      <c r="A285" s="92">
        <v>46.0</v>
      </c>
      <c r="B285" s="92" t="s">
        <v>1027</v>
      </c>
      <c r="C285" s="92">
        <v>2.52610529E8</v>
      </c>
      <c r="D285" s="94" t="s">
        <v>511</v>
      </c>
      <c r="E285" s="92" t="s">
        <v>784</v>
      </c>
    </row>
    <row r="286" ht="15.75" customHeight="1">
      <c r="A286" s="71"/>
      <c r="B286" s="71"/>
      <c r="C286" s="71"/>
      <c r="D286" s="71"/>
      <c r="E286" s="71"/>
    </row>
    <row r="287" ht="15.75" customHeight="1">
      <c r="A287" s="71"/>
      <c r="B287" s="71"/>
      <c r="C287" s="71"/>
      <c r="D287" s="94" t="s">
        <v>1368</v>
      </c>
      <c r="E287" s="96">
        <f>COUNTIF(E255:E285,"P")</f>
        <v>24</v>
      </c>
    </row>
    <row r="288" ht="15.75" customHeight="1">
      <c r="A288" s="71"/>
      <c r="B288" s="71"/>
      <c r="C288" s="71"/>
      <c r="D288" s="94" t="s">
        <v>1369</v>
      </c>
      <c r="E288" s="96">
        <f>COUNTIF(E255:E285,"L")</f>
        <v>7</v>
      </c>
    </row>
    <row r="289" ht="15.75" customHeight="1">
      <c r="A289" s="71"/>
      <c r="B289" s="71"/>
      <c r="C289" s="71"/>
      <c r="D289" s="71"/>
      <c r="E289" s="71"/>
    </row>
    <row r="290" ht="15.75" customHeight="1">
      <c r="A290" s="71"/>
      <c r="B290" s="71"/>
      <c r="C290" s="71"/>
      <c r="D290" s="71"/>
      <c r="E290" s="71"/>
    </row>
    <row r="291" ht="15.75" customHeight="1">
      <c r="A291" s="71" t="s">
        <v>1375</v>
      </c>
      <c r="B291" s="71"/>
      <c r="C291" s="71"/>
      <c r="D291" s="71"/>
      <c r="E291" s="71" t="s">
        <v>52</v>
      </c>
    </row>
    <row r="292" ht="15.75" customHeight="1">
      <c r="A292" s="95" t="s">
        <v>775</v>
      </c>
      <c r="B292" s="95" t="s">
        <v>776</v>
      </c>
      <c r="C292" s="95" t="s">
        <v>777</v>
      </c>
      <c r="D292" s="95" t="s">
        <v>219</v>
      </c>
      <c r="E292" s="95" t="s">
        <v>778</v>
      </c>
    </row>
    <row r="293" ht="15.75" customHeight="1">
      <c r="A293" s="92">
        <v>1.0</v>
      </c>
      <c r="B293" s="92" t="s">
        <v>1028</v>
      </c>
      <c r="C293" s="92">
        <v>2.52610006E8</v>
      </c>
      <c r="D293" s="94" t="s">
        <v>643</v>
      </c>
      <c r="E293" s="92" t="s">
        <v>784</v>
      </c>
    </row>
    <row r="294" ht="15.75" customHeight="1">
      <c r="A294" s="92">
        <v>2.0</v>
      </c>
      <c r="B294" s="92" t="s">
        <v>1029</v>
      </c>
      <c r="C294" s="92">
        <v>2.52610017E8</v>
      </c>
      <c r="D294" s="94" t="s">
        <v>273</v>
      </c>
      <c r="E294" s="92" t="s">
        <v>782</v>
      </c>
    </row>
    <row r="295" ht="15.75" customHeight="1">
      <c r="A295" s="92">
        <v>3.0</v>
      </c>
      <c r="B295" s="92" t="s">
        <v>1030</v>
      </c>
      <c r="C295" s="92">
        <v>2.52610025E8</v>
      </c>
      <c r="D295" s="94" t="s">
        <v>644</v>
      </c>
      <c r="E295" s="92" t="s">
        <v>784</v>
      </c>
    </row>
    <row r="296" ht="15.75" customHeight="1">
      <c r="A296" s="92">
        <v>4.0</v>
      </c>
      <c r="B296" s="92" t="s">
        <v>1031</v>
      </c>
      <c r="C296" s="92">
        <v>2.52610044E8</v>
      </c>
      <c r="D296" s="94" t="s">
        <v>645</v>
      </c>
      <c r="E296" s="92" t="s">
        <v>784</v>
      </c>
    </row>
    <row r="297" ht="15.75" customHeight="1">
      <c r="A297" s="92">
        <v>5.0</v>
      </c>
      <c r="B297" s="92" t="s">
        <v>1032</v>
      </c>
      <c r="C297" s="92">
        <v>2.52610051E8</v>
      </c>
      <c r="D297" s="94" t="s">
        <v>646</v>
      </c>
      <c r="E297" s="92" t="s">
        <v>784</v>
      </c>
    </row>
    <row r="298" ht="15.75" customHeight="1">
      <c r="A298" s="92">
        <v>6.0</v>
      </c>
      <c r="B298" s="92" t="s">
        <v>1033</v>
      </c>
      <c r="C298" s="92">
        <v>2.52610064E8</v>
      </c>
      <c r="D298" s="94" t="s">
        <v>647</v>
      </c>
      <c r="E298" s="92" t="s">
        <v>784</v>
      </c>
    </row>
    <row r="299" ht="15.75" customHeight="1">
      <c r="A299" s="92">
        <v>7.0</v>
      </c>
      <c r="B299" s="92" t="s">
        <v>1034</v>
      </c>
      <c r="C299" s="92">
        <v>2.52610113E8</v>
      </c>
      <c r="D299" s="94" t="s">
        <v>274</v>
      </c>
      <c r="E299" s="92" t="s">
        <v>782</v>
      </c>
    </row>
    <row r="300" ht="15.75" customHeight="1">
      <c r="A300" s="92">
        <v>8.0</v>
      </c>
      <c r="B300" s="92" t="s">
        <v>1035</v>
      </c>
      <c r="C300" s="92">
        <v>2.5261014E8</v>
      </c>
      <c r="D300" s="94" t="s">
        <v>648</v>
      </c>
      <c r="E300" s="92" t="s">
        <v>784</v>
      </c>
    </row>
    <row r="301" ht="15.75" customHeight="1">
      <c r="A301" s="92">
        <v>9.0</v>
      </c>
      <c r="B301" s="92" t="s">
        <v>1036</v>
      </c>
      <c r="C301" s="92">
        <v>2.52610141E8</v>
      </c>
      <c r="D301" s="94" t="s">
        <v>649</v>
      </c>
      <c r="E301" s="92" t="s">
        <v>784</v>
      </c>
    </row>
    <row r="302" ht="15.75" customHeight="1">
      <c r="A302" s="92">
        <v>10.0</v>
      </c>
      <c r="B302" s="92" t="s">
        <v>1037</v>
      </c>
      <c r="C302" s="92">
        <v>2.52610144E8</v>
      </c>
      <c r="D302" s="94" t="s">
        <v>225</v>
      </c>
      <c r="E302" s="92" t="s">
        <v>782</v>
      </c>
    </row>
    <row r="303" ht="15.75" customHeight="1">
      <c r="A303" s="92">
        <v>11.0</v>
      </c>
      <c r="B303" s="92" t="s">
        <v>1038</v>
      </c>
      <c r="C303" s="92">
        <v>2.52610156E8</v>
      </c>
      <c r="D303" s="94" t="s">
        <v>650</v>
      </c>
      <c r="E303" s="92" t="s">
        <v>784</v>
      </c>
    </row>
    <row r="304" ht="15.75" customHeight="1">
      <c r="A304" s="92">
        <v>12.0</v>
      </c>
      <c r="B304" s="92" t="s">
        <v>1039</v>
      </c>
      <c r="C304" s="92">
        <v>2.52610159E8</v>
      </c>
      <c r="D304" s="94" t="s">
        <v>651</v>
      </c>
      <c r="E304" s="92" t="s">
        <v>784</v>
      </c>
    </row>
    <row r="305" ht="15.75" customHeight="1">
      <c r="A305" s="92">
        <v>13.0</v>
      </c>
      <c r="B305" s="92" t="s">
        <v>1040</v>
      </c>
      <c r="C305" s="92">
        <v>2.52610179E8</v>
      </c>
      <c r="D305" s="94" t="s">
        <v>652</v>
      </c>
      <c r="E305" s="92" t="s">
        <v>784</v>
      </c>
    </row>
    <row r="306" ht="15.75" customHeight="1">
      <c r="A306" s="92">
        <v>15.0</v>
      </c>
      <c r="B306" s="92" t="s">
        <v>1041</v>
      </c>
      <c r="C306" s="92">
        <v>2.52610197E8</v>
      </c>
      <c r="D306" s="94" t="s">
        <v>226</v>
      </c>
      <c r="E306" s="92" t="s">
        <v>782</v>
      </c>
    </row>
    <row r="307" ht="15.75" customHeight="1">
      <c r="A307" s="92">
        <v>16.0</v>
      </c>
      <c r="B307" s="92" t="s">
        <v>1042</v>
      </c>
      <c r="C307" s="92">
        <v>2.526102E8</v>
      </c>
      <c r="D307" s="94" t="s">
        <v>275</v>
      </c>
      <c r="E307" s="92" t="s">
        <v>782</v>
      </c>
    </row>
    <row r="308" ht="15.75" customHeight="1">
      <c r="A308" s="92">
        <v>17.0</v>
      </c>
      <c r="B308" s="92" t="s">
        <v>1043</v>
      </c>
      <c r="C308" s="92">
        <v>2.52610221E8</v>
      </c>
      <c r="D308" s="94" t="s">
        <v>653</v>
      </c>
      <c r="E308" s="92" t="s">
        <v>784</v>
      </c>
    </row>
    <row r="309" ht="15.75" customHeight="1">
      <c r="A309" s="92">
        <v>18.0</v>
      </c>
      <c r="B309" s="92" t="s">
        <v>1044</v>
      </c>
      <c r="C309" s="92">
        <v>2.52610225E8</v>
      </c>
      <c r="D309" s="94" t="s">
        <v>276</v>
      </c>
      <c r="E309" s="92" t="s">
        <v>782</v>
      </c>
    </row>
    <row r="310" ht="15.75" customHeight="1">
      <c r="A310" s="92">
        <v>19.0</v>
      </c>
      <c r="B310" s="92" t="s">
        <v>1045</v>
      </c>
      <c r="C310" s="92">
        <v>2.52610252E8</v>
      </c>
      <c r="D310" s="94" t="s">
        <v>277</v>
      </c>
      <c r="E310" s="92" t="s">
        <v>782</v>
      </c>
    </row>
    <row r="311" ht="15.75" customHeight="1">
      <c r="A311" s="92">
        <v>20.0</v>
      </c>
      <c r="B311" s="92" t="s">
        <v>1046</v>
      </c>
      <c r="C311" s="92">
        <v>2.52610254E8</v>
      </c>
      <c r="D311" s="94" t="s">
        <v>654</v>
      </c>
      <c r="E311" s="92" t="s">
        <v>784</v>
      </c>
    </row>
    <row r="312" ht="15.75" customHeight="1">
      <c r="A312" s="92">
        <v>21.0</v>
      </c>
      <c r="B312" s="92" t="s">
        <v>1047</v>
      </c>
      <c r="C312" s="92">
        <v>2.52610264E8</v>
      </c>
      <c r="D312" s="94" t="s">
        <v>655</v>
      </c>
      <c r="E312" s="92" t="s">
        <v>784</v>
      </c>
    </row>
    <row r="313" ht="15.75" customHeight="1">
      <c r="A313" s="92">
        <v>22.0</v>
      </c>
      <c r="B313" s="92" t="s">
        <v>1048</v>
      </c>
      <c r="C313" s="92">
        <v>2.52610268E8</v>
      </c>
      <c r="D313" s="94" t="s">
        <v>656</v>
      </c>
      <c r="E313" s="92" t="s">
        <v>784</v>
      </c>
    </row>
    <row r="314" ht="15.75" customHeight="1">
      <c r="A314" s="92">
        <v>23.0</v>
      </c>
      <c r="B314" s="92" t="s">
        <v>1049</v>
      </c>
      <c r="C314" s="92">
        <v>2.52610284E8</v>
      </c>
      <c r="D314" s="94" t="s">
        <v>486</v>
      </c>
      <c r="E314" s="92" t="s">
        <v>784</v>
      </c>
    </row>
    <row r="315" ht="15.75" customHeight="1">
      <c r="A315" s="92">
        <v>24.0</v>
      </c>
      <c r="B315" s="92" t="s">
        <v>1050</v>
      </c>
      <c r="C315" s="92">
        <v>2.52610291E8</v>
      </c>
      <c r="D315" s="94" t="s">
        <v>487</v>
      </c>
      <c r="E315" s="92" t="s">
        <v>784</v>
      </c>
    </row>
    <row r="316" ht="15.75" customHeight="1">
      <c r="A316" s="92">
        <v>25.0</v>
      </c>
      <c r="B316" s="92" t="s">
        <v>1051</v>
      </c>
      <c r="C316" s="92">
        <v>2.526103E8</v>
      </c>
      <c r="D316" s="94" t="s">
        <v>278</v>
      </c>
      <c r="E316" s="92" t="s">
        <v>782</v>
      </c>
    </row>
    <row r="317" ht="15.75" customHeight="1">
      <c r="A317" s="92">
        <v>26.0</v>
      </c>
      <c r="B317" s="92" t="s">
        <v>1052</v>
      </c>
      <c r="C317" s="92">
        <v>2.52610318E8</v>
      </c>
      <c r="D317" s="94" t="s">
        <v>279</v>
      </c>
      <c r="E317" s="92" t="s">
        <v>782</v>
      </c>
    </row>
    <row r="318" ht="15.75" customHeight="1">
      <c r="A318" s="92">
        <v>27.0</v>
      </c>
      <c r="B318" s="92" t="s">
        <v>1053</v>
      </c>
      <c r="C318" s="92">
        <v>2.52610333E8</v>
      </c>
      <c r="D318" s="94" t="s">
        <v>280</v>
      </c>
      <c r="E318" s="92" t="s">
        <v>782</v>
      </c>
    </row>
    <row r="319" ht="15.75" customHeight="1">
      <c r="A319" s="92">
        <v>28.0</v>
      </c>
      <c r="B319" s="92" t="s">
        <v>1054</v>
      </c>
      <c r="C319" s="92">
        <v>2.5261034E8</v>
      </c>
      <c r="D319" s="94" t="s">
        <v>281</v>
      </c>
      <c r="E319" s="92" t="s">
        <v>782</v>
      </c>
    </row>
    <row r="320" ht="15.75" customHeight="1">
      <c r="A320" s="92">
        <v>29.0</v>
      </c>
      <c r="B320" s="92" t="s">
        <v>1055</v>
      </c>
      <c r="C320" s="92">
        <v>2.52610345E8</v>
      </c>
      <c r="D320" s="94" t="s">
        <v>282</v>
      </c>
      <c r="E320" s="92" t="s">
        <v>782</v>
      </c>
    </row>
    <row r="321" ht="15.75" customHeight="1">
      <c r="A321" s="92">
        <v>30.0</v>
      </c>
      <c r="B321" s="92" t="s">
        <v>1056</v>
      </c>
      <c r="C321" s="92">
        <v>2.52610352E8</v>
      </c>
      <c r="D321" s="94" t="s">
        <v>283</v>
      </c>
      <c r="E321" s="92" t="s">
        <v>782</v>
      </c>
    </row>
    <row r="322" ht="15.75" customHeight="1">
      <c r="A322" s="92">
        <v>31.0</v>
      </c>
      <c r="B322" s="92" t="s">
        <v>1057</v>
      </c>
      <c r="C322" s="92">
        <v>2.52610354E8</v>
      </c>
      <c r="D322" s="94" t="s">
        <v>284</v>
      </c>
      <c r="E322" s="92" t="s">
        <v>782</v>
      </c>
    </row>
    <row r="323" ht="15.75" customHeight="1">
      <c r="A323" s="92">
        <v>32.0</v>
      </c>
      <c r="B323" s="92" t="s">
        <v>1058</v>
      </c>
      <c r="C323" s="92">
        <v>2.52610383E8</v>
      </c>
      <c r="D323" s="94" t="s">
        <v>488</v>
      </c>
      <c r="E323" s="92" t="s">
        <v>784</v>
      </c>
    </row>
    <row r="324" ht="15.75" customHeight="1">
      <c r="A324" s="92">
        <v>33.0</v>
      </c>
      <c r="B324" s="92" t="s">
        <v>1059</v>
      </c>
      <c r="C324" s="92">
        <v>2.52610389E8</v>
      </c>
      <c r="D324" s="94" t="s">
        <v>489</v>
      </c>
      <c r="E324" s="92" t="s">
        <v>784</v>
      </c>
    </row>
    <row r="325" ht="15.75" customHeight="1">
      <c r="A325" s="92">
        <v>34.0</v>
      </c>
      <c r="B325" s="92" t="s">
        <v>1060</v>
      </c>
      <c r="C325" s="92">
        <v>2.52610404E8</v>
      </c>
      <c r="D325" s="94" t="s">
        <v>490</v>
      </c>
      <c r="E325" s="92" t="s">
        <v>784</v>
      </c>
    </row>
    <row r="326" ht="15.75" customHeight="1">
      <c r="A326" s="92">
        <v>35.0</v>
      </c>
      <c r="B326" s="92" t="s">
        <v>1061</v>
      </c>
      <c r="C326" s="92">
        <v>2.52610409E8</v>
      </c>
      <c r="D326" s="94" t="s">
        <v>491</v>
      </c>
      <c r="E326" s="92" t="s">
        <v>784</v>
      </c>
    </row>
    <row r="327" ht="15.75" customHeight="1">
      <c r="A327" s="92">
        <v>36.0</v>
      </c>
      <c r="B327" s="92" t="s">
        <v>1062</v>
      </c>
      <c r="C327" s="92">
        <v>2.52610428E8</v>
      </c>
      <c r="D327" s="94" t="s">
        <v>492</v>
      </c>
      <c r="E327" s="92" t="s">
        <v>784</v>
      </c>
    </row>
    <row r="328" ht="15.75" customHeight="1">
      <c r="A328" s="92">
        <v>37.0</v>
      </c>
      <c r="B328" s="92" t="s">
        <v>1063</v>
      </c>
      <c r="C328" s="92">
        <v>2.52610464E8</v>
      </c>
      <c r="D328" s="94" t="s">
        <v>440</v>
      </c>
      <c r="E328" s="92" t="s">
        <v>784</v>
      </c>
    </row>
    <row r="329" ht="15.75" customHeight="1">
      <c r="A329" s="92">
        <v>38.0</v>
      </c>
      <c r="B329" s="92" t="s">
        <v>1064</v>
      </c>
      <c r="C329" s="92">
        <v>2.52610466E8</v>
      </c>
      <c r="D329" s="94" t="s">
        <v>493</v>
      </c>
      <c r="E329" s="92" t="s">
        <v>784</v>
      </c>
    </row>
    <row r="330" ht="15.75" customHeight="1">
      <c r="A330" s="92">
        <v>39.0</v>
      </c>
      <c r="B330" s="92" t="s">
        <v>1065</v>
      </c>
      <c r="C330" s="92">
        <v>2.52610468E8</v>
      </c>
      <c r="D330" s="94" t="s">
        <v>494</v>
      </c>
      <c r="E330" s="92" t="s">
        <v>784</v>
      </c>
    </row>
    <row r="331" ht="15.75" customHeight="1">
      <c r="A331" s="92">
        <v>40.0</v>
      </c>
      <c r="B331" s="92" t="s">
        <v>1066</v>
      </c>
      <c r="C331" s="92">
        <v>2.52610491E8</v>
      </c>
      <c r="D331" s="94" t="s">
        <v>495</v>
      </c>
      <c r="E331" s="92" t="s">
        <v>784</v>
      </c>
    </row>
    <row r="332" ht="15.75" customHeight="1">
      <c r="A332" s="92">
        <v>41.0</v>
      </c>
      <c r="B332" s="92" t="s">
        <v>1067</v>
      </c>
      <c r="C332" s="92">
        <v>2.52610504E8</v>
      </c>
      <c r="D332" s="94" t="s">
        <v>285</v>
      </c>
      <c r="E332" s="92" t="s">
        <v>782</v>
      </c>
    </row>
    <row r="333" ht="15.75" customHeight="1">
      <c r="A333" s="92">
        <v>42.0</v>
      </c>
      <c r="B333" s="92" t="s">
        <v>1068</v>
      </c>
      <c r="C333" s="92">
        <v>2.52610523E8</v>
      </c>
      <c r="D333" s="94" t="s">
        <v>496</v>
      </c>
      <c r="E333" s="92" t="s">
        <v>784</v>
      </c>
    </row>
    <row r="334" ht="15.75" customHeight="1">
      <c r="A334" s="92">
        <v>43.0</v>
      </c>
      <c r="B334" s="92" t="s">
        <v>1069</v>
      </c>
      <c r="C334" s="92">
        <v>2.52610525E8</v>
      </c>
      <c r="D334" s="94" t="s">
        <v>286</v>
      </c>
      <c r="E334" s="92" t="s">
        <v>782</v>
      </c>
    </row>
    <row r="335" ht="15.75" customHeight="1">
      <c r="A335" s="92">
        <v>44.0</v>
      </c>
      <c r="B335" s="92" t="s">
        <v>1070</v>
      </c>
      <c r="C335" s="92">
        <v>2.52610527E8</v>
      </c>
      <c r="D335" s="94" t="s">
        <v>497</v>
      </c>
      <c r="E335" s="92" t="s">
        <v>784</v>
      </c>
    </row>
    <row r="336" ht="15.75" customHeight="1">
      <c r="A336" s="92">
        <v>45.0</v>
      </c>
      <c r="B336" s="92" t="s">
        <v>1071</v>
      </c>
      <c r="C336" s="92">
        <v>2.52610532E8</v>
      </c>
      <c r="D336" s="94" t="s">
        <v>498</v>
      </c>
      <c r="E336" s="92" t="s">
        <v>784</v>
      </c>
    </row>
    <row r="337" ht="15.75" customHeight="1">
      <c r="A337" s="92">
        <v>46.0</v>
      </c>
      <c r="B337" s="92" t="s">
        <v>1072</v>
      </c>
      <c r="C337" s="92">
        <v>2.52610539E8</v>
      </c>
      <c r="D337" s="94" t="s">
        <v>287</v>
      </c>
      <c r="E337" s="92" t="s">
        <v>782</v>
      </c>
    </row>
    <row r="338" ht="15.75" customHeight="1">
      <c r="A338" s="92">
        <v>47.0</v>
      </c>
      <c r="B338" s="92" t="s">
        <v>1073</v>
      </c>
      <c r="C338" s="92">
        <v>2.52610547E8</v>
      </c>
      <c r="D338" s="94" t="s">
        <v>288</v>
      </c>
      <c r="E338" s="92" t="s">
        <v>782</v>
      </c>
    </row>
    <row r="339" ht="15.75" customHeight="1">
      <c r="A339" s="92">
        <v>48.0</v>
      </c>
      <c r="B339" s="92" t="s">
        <v>1074</v>
      </c>
      <c r="C339" s="92">
        <v>2.52610559E8</v>
      </c>
      <c r="D339" s="94" t="s">
        <v>499</v>
      </c>
      <c r="E339" s="92" t="s">
        <v>784</v>
      </c>
    </row>
    <row r="340" ht="15.75" customHeight="1">
      <c r="A340" s="71"/>
      <c r="B340" s="71"/>
      <c r="C340" s="71"/>
      <c r="D340" s="71"/>
      <c r="E340" s="71"/>
    </row>
    <row r="341" ht="15.75" customHeight="1">
      <c r="A341" s="71"/>
      <c r="B341" s="71"/>
      <c r="C341" s="71"/>
      <c r="D341" s="94" t="s">
        <v>1368</v>
      </c>
      <c r="E341" s="92">
        <f>COUNTIF(E293:E339,"P")</f>
        <v>29</v>
      </c>
    </row>
    <row r="342" ht="15.75" customHeight="1">
      <c r="A342" s="71"/>
      <c r="B342" s="71"/>
      <c r="C342" s="71"/>
      <c r="D342" s="94" t="s">
        <v>1369</v>
      </c>
      <c r="E342" s="92">
        <f>COUNTIF(E293:E339,"L")</f>
        <v>18</v>
      </c>
    </row>
    <row r="343" ht="15.75" customHeight="1">
      <c r="A343" s="71"/>
      <c r="B343" s="71"/>
      <c r="C343" s="71"/>
      <c r="D343" s="71"/>
      <c r="E343" s="71"/>
    </row>
    <row r="344" ht="15.75" customHeight="1">
      <c r="A344" s="71"/>
      <c r="B344" s="71"/>
      <c r="C344" s="71"/>
      <c r="D344" s="71"/>
      <c r="E344" s="71"/>
    </row>
    <row r="345" ht="15.75" customHeight="1">
      <c r="A345" s="71" t="s">
        <v>1376</v>
      </c>
      <c r="B345" s="71"/>
      <c r="C345" s="71"/>
      <c r="D345" s="71"/>
      <c r="E345" s="71" t="s">
        <v>58</v>
      </c>
    </row>
    <row r="346" ht="15.75" customHeight="1">
      <c r="A346" s="95" t="s">
        <v>775</v>
      </c>
      <c r="B346" s="95" t="s">
        <v>776</v>
      </c>
      <c r="C346" s="95" t="s">
        <v>777</v>
      </c>
      <c r="D346" s="95" t="s">
        <v>219</v>
      </c>
      <c r="E346" s="95" t="s">
        <v>778</v>
      </c>
    </row>
    <row r="347" ht="15.75" customHeight="1">
      <c r="A347" s="92">
        <v>1.0</v>
      </c>
      <c r="B347" s="92" t="s">
        <v>1075</v>
      </c>
      <c r="C347" s="92">
        <v>2.52610007E8</v>
      </c>
      <c r="D347" s="94" t="s">
        <v>628</v>
      </c>
      <c r="E347" s="92" t="s">
        <v>784</v>
      </c>
    </row>
    <row r="348" ht="15.75" customHeight="1">
      <c r="A348" s="92">
        <v>2.0</v>
      </c>
      <c r="B348" s="92" t="s">
        <v>1076</v>
      </c>
      <c r="C348" s="92">
        <v>2.52610028E8</v>
      </c>
      <c r="D348" s="94" t="s">
        <v>629</v>
      </c>
      <c r="E348" s="92" t="s">
        <v>784</v>
      </c>
    </row>
    <row r="349" ht="15.75" customHeight="1">
      <c r="A349" s="92">
        <v>3.0</v>
      </c>
      <c r="B349" s="92" t="s">
        <v>1077</v>
      </c>
      <c r="C349" s="92">
        <v>2.52610035E8</v>
      </c>
      <c r="D349" s="94" t="s">
        <v>630</v>
      </c>
      <c r="E349" s="92" t="s">
        <v>784</v>
      </c>
    </row>
    <row r="350" ht="15.75" customHeight="1">
      <c r="A350" s="92">
        <v>4.0</v>
      </c>
      <c r="B350" s="92" t="s">
        <v>1078</v>
      </c>
      <c r="C350" s="92">
        <v>2.5261004E8</v>
      </c>
      <c r="D350" s="94" t="s">
        <v>631</v>
      </c>
      <c r="E350" s="92" t="s">
        <v>784</v>
      </c>
    </row>
    <row r="351" ht="15.75" customHeight="1">
      <c r="A351" s="92">
        <v>5.0</v>
      </c>
      <c r="B351" s="92" t="s">
        <v>1079</v>
      </c>
      <c r="C351" s="92">
        <v>2.52610041E8</v>
      </c>
      <c r="D351" s="94" t="s">
        <v>632</v>
      </c>
      <c r="E351" s="92" t="s">
        <v>784</v>
      </c>
    </row>
    <row r="352" ht="15.75" customHeight="1">
      <c r="A352" s="92">
        <v>6.0</v>
      </c>
      <c r="B352" s="92" t="s">
        <v>1080</v>
      </c>
      <c r="C352" s="92">
        <v>2.52610061E8</v>
      </c>
      <c r="D352" s="94" t="s">
        <v>633</v>
      </c>
      <c r="E352" s="92" t="s">
        <v>784</v>
      </c>
    </row>
    <row r="353" ht="15.75" customHeight="1">
      <c r="A353" s="92">
        <v>7.0</v>
      </c>
      <c r="B353" s="92" t="s">
        <v>1081</v>
      </c>
      <c r="C353" s="92">
        <v>2.52610077E8</v>
      </c>
      <c r="D353" s="94" t="s">
        <v>634</v>
      </c>
      <c r="E353" s="92" t="s">
        <v>784</v>
      </c>
    </row>
    <row r="354" ht="15.75" customHeight="1">
      <c r="A354" s="92">
        <v>8.0</v>
      </c>
      <c r="B354" s="92" t="s">
        <v>1082</v>
      </c>
      <c r="C354" s="92">
        <v>2.52610097E8</v>
      </c>
      <c r="D354" s="94" t="s">
        <v>635</v>
      </c>
      <c r="E354" s="92" t="s">
        <v>784</v>
      </c>
    </row>
    <row r="355" ht="15.75" customHeight="1">
      <c r="A355" s="92">
        <v>9.0</v>
      </c>
      <c r="B355" s="92" t="s">
        <v>1083</v>
      </c>
      <c r="C355" s="92">
        <v>2.52610108E8</v>
      </c>
      <c r="D355" s="94" t="s">
        <v>636</v>
      </c>
      <c r="E355" s="92" t="s">
        <v>784</v>
      </c>
    </row>
    <row r="356" ht="15.75" customHeight="1">
      <c r="A356" s="92">
        <v>10.0</v>
      </c>
      <c r="B356" s="92" t="s">
        <v>1084</v>
      </c>
      <c r="C356" s="92">
        <v>2.52610118E8</v>
      </c>
      <c r="D356" s="94" t="s">
        <v>637</v>
      </c>
      <c r="E356" s="92" t="s">
        <v>784</v>
      </c>
    </row>
    <row r="357" ht="15.75" customHeight="1">
      <c r="A357" s="92">
        <v>11.0</v>
      </c>
      <c r="B357" s="92" t="s">
        <v>1085</v>
      </c>
      <c r="C357" s="92">
        <v>2.52610125E8</v>
      </c>
      <c r="D357" s="94" t="s">
        <v>258</v>
      </c>
      <c r="E357" s="92" t="s">
        <v>782</v>
      </c>
    </row>
    <row r="358" ht="15.75" customHeight="1">
      <c r="A358" s="92">
        <v>12.0</v>
      </c>
      <c r="B358" s="92" t="s">
        <v>1086</v>
      </c>
      <c r="C358" s="92">
        <v>2.52610151E8</v>
      </c>
      <c r="D358" s="94" t="s">
        <v>638</v>
      </c>
      <c r="E358" s="92" t="s">
        <v>784</v>
      </c>
    </row>
    <row r="359" ht="15.75" customHeight="1">
      <c r="A359" s="92">
        <v>13.0</v>
      </c>
      <c r="B359" s="92" t="s">
        <v>1087</v>
      </c>
      <c r="C359" s="92">
        <v>2.5261016E8</v>
      </c>
      <c r="D359" s="94" t="s">
        <v>433</v>
      </c>
      <c r="E359" s="92" t="s">
        <v>784</v>
      </c>
    </row>
    <row r="360" ht="15.75" customHeight="1">
      <c r="A360" s="92">
        <v>14.0</v>
      </c>
      <c r="B360" s="92" t="s">
        <v>1088</v>
      </c>
      <c r="C360" s="92">
        <v>2.52610161E8</v>
      </c>
      <c r="D360" s="94" t="s">
        <v>639</v>
      </c>
      <c r="E360" s="92" t="s">
        <v>784</v>
      </c>
    </row>
    <row r="361" ht="15.75" customHeight="1">
      <c r="A361" s="92">
        <v>15.0</v>
      </c>
      <c r="B361" s="92" t="s">
        <v>1089</v>
      </c>
      <c r="C361" s="92">
        <v>2.5261017E8</v>
      </c>
      <c r="D361" s="94" t="s">
        <v>640</v>
      </c>
      <c r="E361" s="92" t="s">
        <v>784</v>
      </c>
    </row>
    <row r="362" ht="15.75" customHeight="1">
      <c r="A362" s="92">
        <v>16.0</v>
      </c>
      <c r="B362" s="92" t="s">
        <v>1090</v>
      </c>
      <c r="C362" s="92">
        <v>2.52610174E8</v>
      </c>
      <c r="D362" s="94" t="s">
        <v>641</v>
      </c>
      <c r="E362" s="92" t="s">
        <v>784</v>
      </c>
    </row>
    <row r="363" ht="15.75" customHeight="1">
      <c r="A363" s="92">
        <v>17.0</v>
      </c>
      <c r="B363" s="92" t="s">
        <v>1091</v>
      </c>
      <c r="C363" s="92">
        <v>2.52610199E8</v>
      </c>
      <c r="D363" s="94" t="s">
        <v>259</v>
      </c>
      <c r="E363" s="92" t="s">
        <v>782</v>
      </c>
    </row>
    <row r="364" ht="15.75" customHeight="1">
      <c r="A364" s="92">
        <v>18.0</v>
      </c>
      <c r="B364" s="92" t="s">
        <v>1092</v>
      </c>
      <c r="C364" s="92">
        <v>2.52610203E8</v>
      </c>
      <c r="D364" s="94" t="s">
        <v>434</v>
      </c>
      <c r="E364" s="92" t="s">
        <v>784</v>
      </c>
    </row>
    <row r="365" ht="15.75" customHeight="1">
      <c r="A365" s="92">
        <v>20.0</v>
      </c>
      <c r="B365" s="92" t="s">
        <v>1093</v>
      </c>
      <c r="C365" s="92">
        <v>2.52610255E8</v>
      </c>
      <c r="D365" s="94" t="s">
        <v>471</v>
      </c>
      <c r="E365" s="92" t="s">
        <v>784</v>
      </c>
    </row>
    <row r="366" ht="15.75" customHeight="1">
      <c r="A366" s="92">
        <v>21.0</v>
      </c>
      <c r="B366" s="92" t="s">
        <v>1094</v>
      </c>
      <c r="C366" s="92">
        <v>2.52610265E8</v>
      </c>
      <c r="D366" s="94" t="s">
        <v>260</v>
      </c>
      <c r="E366" s="92" t="s">
        <v>782</v>
      </c>
    </row>
    <row r="367" ht="15.75" customHeight="1">
      <c r="A367" s="92">
        <v>22.0</v>
      </c>
      <c r="B367" s="92" t="s">
        <v>1095</v>
      </c>
      <c r="C367" s="92">
        <v>2.52610293E8</v>
      </c>
      <c r="D367" s="94" t="s">
        <v>261</v>
      </c>
      <c r="E367" s="92" t="s">
        <v>782</v>
      </c>
    </row>
    <row r="368" ht="15.75" customHeight="1">
      <c r="A368" s="92">
        <v>23.0</v>
      </c>
      <c r="B368" s="92" t="s">
        <v>1096</v>
      </c>
      <c r="C368" s="92">
        <v>2.52610314E8</v>
      </c>
      <c r="D368" s="94" t="s">
        <v>262</v>
      </c>
      <c r="E368" s="92" t="s">
        <v>782</v>
      </c>
    </row>
    <row r="369" ht="15.75" customHeight="1">
      <c r="A369" s="92">
        <v>24.0</v>
      </c>
      <c r="B369" s="92" t="s">
        <v>1097</v>
      </c>
      <c r="C369" s="92">
        <v>2.52610317E8</v>
      </c>
      <c r="D369" s="94" t="s">
        <v>263</v>
      </c>
      <c r="E369" s="92" t="s">
        <v>782</v>
      </c>
    </row>
    <row r="370" ht="15.75" customHeight="1">
      <c r="A370" s="92">
        <v>25.0</v>
      </c>
      <c r="B370" s="92" t="s">
        <v>1098</v>
      </c>
      <c r="C370" s="92">
        <v>2.52610321E8</v>
      </c>
      <c r="D370" s="94" t="s">
        <v>472</v>
      </c>
      <c r="E370" s="92" t="s">
        <v>784</v>
      </c>
    </row>
    <row r="371" ht="15.75" customHeight="1">
      <c r="A371" s="92">
        <v>26.0</v>
      </c>
      <c r="B371" s="92" t="s">
        <v>1099</v>
      </c>
      <c r="C371" s="92">
        <v>2.52610324E8</v>
      </c>
      <c r="D371" s="94" t="s">
        <v>230</v>
      </c>
      <c r="E371" s="92" t="s">
        <v>782</v>
      </c>
    </row>
    <row r="372" ht="15.75" customHeight="1">
      <c r="A372" s="92">
        <v>27.0</v>
      </c>
      <c r="B372" s="92" t="s">
        <v>1100</v>
      </c>
      <c r="C372" s="92">
        <v>2.52610326E8</v>
      </c>
      <c r="D372" s="94" t="s">
        <v>264</v>
      </c>
      <c r="E372" s="92" t="s">
        <v>782</v>
      </c>
    </row>
    <row r="373" ht="15.75" customHeight="1">
      <c r="A373" s="92">
        <v>28.0</v>
      </c>
      <c r="B373" s="92" t="s">
        <v>1101</v>
      </c>
      <c r="C373" s="92">
        <v>2.52610349E8</v>
      </c>
      <c r="D373" s="94" t="s">
        <v>265</v>
      </c>
      <c r="E373" s="92" t="s">
        <v>782</v>
      </c>
    </row>
    <row r="374" ht="15.75" customHeight="1">
      <c r="A374" s="92">
        <v>29.0</v>
      </c>
      <c r="B374" s="92" t="s">
        <v>1102</v>
      </c>
      <c r="C374" s="92">
        <v>2.5261035E8</v>
      </c>
      <c r="D374" s="94" t="s">
        <v>266</v>
      </c>
      <c r="E374" s="92" t="s">
        <v>782</v>
      </c>
    </row>
    <row r="375" ht="15.75" customHeight="1">
      <c r="A375" s="92">
        <v>30.0</v>
      </c>
      <c r="B375" s="92" t="s">
        <v>1103</v>
      </c>
      <c r="C375" s="92">
        <v>2.52610353E8</v>
      </c>
      <c r="D375" s="94" t="s">
        <v>233</v>
      </c>
      <c r="E375" s="92" t="s">
        <v>782</v>
      </c>
    </row>
    <row r="376" ht="15.75" customHeight="1">
      <c r="A376" s="92">
        <v>31.0</v>
      </c>
      <c r="B376" s="92" t="s">
        <v>1104</v>
      </c>
      <c r="C376" s="92">
        <v>2.52610364E8</v>
      </c>
      <c r="D376" s="94" t="s">
        <v>267</v>
      </c>
      <c r="E376" s="92" t="s">
        <v>782</v>
      </c>
    </row>
    <row r="377" ht="15.75" customHeight="1">
      <c r="A377" s="92">
        <v>32.0</v>
      </c>
      <c r="B377" s="92" t="s">
        <v>1105</v>
      </c>
      <c r="C377" s="92">
        <v>2.52610376E8</v>
      </c>
      <c r="D377" s="94" t="s">
        <v>268</v>
      </c>
      <c r="E377" s="92" t="s">
        <v>782</v>
      </c>
    </row>
    <row r="378" ht="15.75" customHeight="1">
      <c r="A378" s="92">
        <v>33.0</v>
      </c>
      <c r="B378" s="92" t="s">
        <v>1106</v>
      </c>
      <c r="C378" s="92">
        <v>2.52610392E8</v>
      </c>
      <c r="D378" s="94" t="s">
        <v>473</v>
      </c>
      <c r="E378" s="92" t="s">
        <v>784</v>
      </c>
    </row>
    <row r="379" ht="15.75" customHeight="1">
      <c r="A379" s="92">
        <v>34.0</v>
      </c>
      <c r="B379" s="92" t="s">
        <v>1107</v>
      </c>
      <c r="C379" s="92">
        <v>2.52610395E8</v>
      </c>
      <c r="D379" s="94" t="s">
        <v>474</v>
      </c>
      <c r="E379" s="92" t="s">
        <v>784</v>
      </c>
    </row>
    <row r="380" ht="15.75" customHeight="1">
      <c r="A380" s="92">
        <v>35.0</v>
      </c>
      <c r="B380" s="92" t="s">
        <v>1108</v>
      </c>
      <c r="C380" s="92">
        <v>2.52610399E8</v>
      </c>
      <c r="D380" s="94" t="s">
        <v>475</v>
      </c>
      <c r="E380" s="92" t="s">
        <v>784</v>
      </c>
    </row>
    <row r="381" ht="15.75" customHeight="1">
      <c r="A381" s="92">
        <v>36.0</v>
      </c>
      <c r="B381" s="92" t="s">
        <v>1109</v>
      </c>
      <c r="C381" s="92">
        <v>2.52610408E8</v>
      </c>
      <c r="D381" s="94" t="s">
        <v>476</v>
      </c>
      <c r="E381" s="92" t="s">
        <v>784</v>
      </c>
    </row>
    <row r="382" ht="15.75" customHeight="1">
      <c r="A382" s="92">
        <v>37.0</v>
      </c>
      <c r="B382" s="92" t="s">
        <v>1110</v>
      </c>
      <c r="C382" s="92">
        <v>2.52610413E8</v>
      </c>
      <c r="D382" s="94" t="s">
        <v>477</v>
      </c>
      <c r="E382" s="92" t="s">
        <v>784</v>
      </c>
    </row>
    <row r="383" ht="15.75" customHeight="1">
      <c r="A383" s="92">
        <v>38.0</v>
      </c>
      <c r="B383" s="92" t="s">
        <v>1111</v>
      </c>
      <c r="C383" s="92">
        <v>2.5261042E8</v>
      </c>
      <c r="D383" s="94" t="s">
        <v>479</v>
      </c>
      <c r="E383" s="92" t="s">
        <v>784</v>
      </c>
    </row>
    <row r="384" ht="15.75" customHeight="1">
      <c r="A384" s="92">
        <v>39.0</v>
      </c>
      <c r="B384" s="92" t="s">
        <v>1112</v>
      </c>
      <c r="C384" s="92">
        <v>2.52610421E8</v>
      </c>
      <c r="D384" s="94" t="s">
        <v>478</v>
      </c>
      <c r="E384" s="92" t="s">
        <v>784</v>
      </c>
    </row>
    <row r="385" ht="15.75" customHeight="1">
      <c r="A385" s="92">
        <v>40.0</v>
      </c>
      <c r="B385" s="92" t="s">
        <v>1113</v>
      </c>
      <c r="C385" s="92">
        <v>2.52610444E8</v>
      </c>
      <c r="D385" s="94" t="s">
        <v>480</v>
      </c>
      <c r="E385" s="92" t="s">
        <v>784</v>
      </c>
    </row>
    <row r="386" ht="15.75" customHeight="1">
      <c r="A386" s="92">
        <v>41.0</v>
      </c>
      <c r="B386" s="92" t="s">
        <v>1114</v>
      </c>
      <c r="C386" s="92">
        <v>2.52610445E8</v>
      </c>
      <c r="D386" s="94" t="s">
        <v>481</v>
      </c>
      <c r="E386" s="92" t="s">
        <v>784</v>
      </c>
    </row>
    <row r="387" ht="15.75" customHeight="1">
      <c r="A387" s="92">
        <v>42.0</v>
      </c>
      <c r="B387" s="92" t="s">
        <v>1115</v>
      </c>
      <c r="C387" s="92">
        <v>2.52610463E8</v>
      </c>
      <c r="D387" s="94" t="s">
        <v>269</v>
      </c>
      <c r="E387" s="92" t="s">
        <v>782</v>
      </c>
    </row>
    <row r="388" ht="15.75" customHeight="1">
      <c r="A388" s="92">
        <v>43.0</v>
      </c>
      <c r="B388" s="92" t="s">
        <v>1116</v>
      </c>
      <c r="C388" s="92">
        <v>2.5261047E8</v>
      </c>
      <c r="D388" s="94" t="s">
        <v>238</v>
      </c>
      <c r="E388" s="92" t="s">
        <v>782</v>
      </c>
    </row>
    <row r="389" ht="15.75" customHeight="1">
      <c r="A389" s="92">
        <v>44.0</v>
      </c>
      <c r="B389" s="92" t="s">
        <v>1117</v>
      </c>
      <c r="C389" s="92">
        <v>2.526105E8</v>
      </c>
      <c r="D389" s="94" t="s">
        <v>270</v>
      </c>
      <c r="E389" s="92" t="s">
        <v>782</v>
      </c>
    </row>
    <row r="390" ht="15.75" customHeight="1">
      <c r="A390" s="92">
        <v>45.0</v>
      </c>
      <c r="B390" s="92" t="s">
        <v>1118</v>
      </c>
      <c r="C390" s="92">
        <v>2.52610522E8</v>
      </c>
      <c r="D390" s="94" t="s">
        <v>482</v>
      </c>
      <c r="E390" s="92" t="s">
        <v>784</v>
      </c>
    </row>
    <row r="391" ht="15.75" customHeight="1">
      <c r="A391" s="92">
        <v>46.0</v>
      </c>
      <c r="B391" s="92" t="s">
        <v>1119</v>
      </c>
      <c r="C391" s="92">
        <v>2.52610536E8</v>
      </c>
      <c r="D391" s="94" t="s">
        <v>483</v>
      </c>
      <c r="E391" s="92" t="s">
        <v>784</v>
      </c>
    </row>
    <row r="392" ht="15.75" customHeight="1">
      <c r="A392" s="92">
        <v>47.0</v>
      </c>
      <c r="B392" s="92" t="s">
        <v>1120</v>
      </c>
      <c r="C392" s="92">
        <v>2.52610548E8</v>
      </c>
      <c r="D392" s="94" t="s">
        <v>484</v>
      </c>
      <c r="E392" s="92" t="s">
        <v>784</v>
      </c>
    </row>
    <row r="393" ht="15.75" customHeight="1">
      <c r="A393" s="92">
        <v>48.0</v>
      </c>
      <c r="B393" s="92" t="s">
        <v>1121</v>
      </c>
      <c r="C393" s="92">
        <v>2.52610558E8</v>
      </c>
      <c r="D393" s="94" t="s">
        <v>271</v>
      </c>
      <c r="E393" s="92" t="s">
        <v>782</v>
      </c>
    </row>
    <row r="394" ht="15.75" customHeight="1">
      <c r="A394" s="71"/>
      <c r="B394" s="71"/>
      <c r="C394" s="71"/>
      <c r="D394" s="71"/>
      <c r="E394" s="71"/>
    </row>
    <row r="395" ht="15.75" customHeight="1">
      <c r="A395" s="71"/>
      <c r="B395" s="71"/>
      <c r="C395" s="71"/>
      <c r="D395" s="94" t="s">
        <v>1368</v>
      </c>
      <c r="E395" s="92">
        <f>COUNTIF(E347:E393,"P")</f>
        <v>30</v>
      </c>
    </row>
    <row r="396" ht="15.75" customHeight="1">
      <c r="A396" s="71"/>
      <c r="B396" s="71"/>
      <c r="C396" s="71"/>
      <c r="D396" s="94" t="s">
        <v>1369</v>
      </c>
      <c r="E396" s="92">
        <f>COUNTIF(E347:E393,"L")</f>
        <v>17</v>
      </c>
    </row>
    <row r="397" ht="15.75" customHeight="1">
      <c r="A397" s="71"/>
      <c r="B397" s="71"/>
      <c r="C397" s="71"/>
      <c r="D397" s="71"/>
      <c r="E397" s="71"/>
    </row>
    <row r="398" ht="15.75" customHeight="1">
      <c r="A398" s="71"/>
      <c r="B398" s="71"/>
      <c r="C398" s="71"/>
      <c r="D398" s="71"/>
      <c r="E398" s="71"/>
    </row>
    <row r="399" ht="15.75" customHeight="1">
      <c r="A399" s="71" t="s">
        <v>1377</v>
      </c>
      <c r="B399" s="71"/>
      <c r="C399" s="71"/>
      <c r="D399" s="71"/>
      <c r="E399" s="71" t="s">
        <v>63</v>
      </c>
    </row>
    <row r="400" ht="15.75" customHeight="1">
      <c r="A400" s="95" t="s">
        <v>775</v>
      </c>
      <c r="B400" s="95" t="s">
        <v>776</v>
      </c>
      <c r="C400" s="95" t="s">
        <v>777</v>
      </c>
      <c r="D400" s="95" t="s">
        <v>219</v>
      </c>
      <c r="E400" s="95" t="s">
        <v>778</v>
      </c>
    </row>
    <row r="401" ht="15.75" customHeight="1">
      <c r="A401" s="92">
        <v>1.0</v>
      </c>
      <c r="B401" s="92" t="s">
        <v>1122</v>
      </c>
      <c r="C401" s="92">
        <v>2.52610003E8</v>
      </c>
      <c r="D401" s="94" t="s">
        <v>222</v>
      </c>
      <c r="E401" s="92" t="s">
        <v>782</v>
      </c>
    </row>
    <row r="402" ht="15.75" customHeight="1">
      <c r="A402" s="92">
        <v>2.0</v>
      </c>
      <c r="B402" s="92" t="s">
        <v>1123</v>
      </c>
      <c r="C402" s="92">
        <v>2.52610019E8</v>
      </c>
      <c r="D402" s="94" t="s">
        <v>224</v>
      </c>
      <c r="E402" s="92" t="s">
        <v>782</v>
      </c>
    </row>
    <row r="403" ht="15.75" customHeight="1">
      <c r="A403" s="92">
        <v>3.0</v>
      </c>
      <c r="B403" s="92" t="s">
        <v>1124</v>
      </c>
      <c r="C403" s="92">
        <v>2.52610027E8</v>
      </c>
      <c r="D403" s="94" t="s">
        <v>614</v>
      </c>
      <c r="E403" s="92" t="s">
        <v>784</v>
      </c>
    </row>
    <row r="404" ht="15.75" customHeight="1">
      <c r="A404" s="92">
        <v>4.0</v>
      </c>
      <c r="B404" s="92" t="s">
        <v>1125</v>
      </c>
      <c r="C404" s="92">
        <v>2.52610071E8</v>
      </c>
      <c r="D404" s="94" t="s">
        <v>615</v>
      </c>
      <c r="E404" s="92" t="s">
        <v>784</v>
      </c>
    </row>
    <row r="405" ht="15.75" customHeight="1">
      <c r="A405" s="92">
        <v>5.0</v>
      </c>
      <c r="B405" s="92" t="s">
        <v>1126</v>
      </c>
      <c r="C405" s="92">
        <v>2.52610073E8</v>
      </c>
      <c r="D405" s="94" t="s">
        <v>616</v>
      </c>
      <c r="E405" s="92" t="s">
        <v>784</v>
      </c>
    </row>
    <row r="406" ht="15.75" customHeight="1">
      <c r="A406" s="92">
        <v>6.0</v>
      </c>
      <c r="B406" s="92" t="s">
        <v>1127</v>
      </c>
      <c r="C406" s="92">
        <v>2.52610078E8</v>
      </c>
      <c r="D406" s="94" t="s">
        <v>240</v>
      </c>
      <c r="E406" s="92" t="s">
        <v>782</v>
      </c>
    </row>
    <row r="407" ht="15.75" customHeight="1">
      <c r="A407" s="92">
        <v>7.0</v>
      </c>
      <c r="B407" s="92" t="s">
        <v>1128</v>
      </c>
      <c r="C407" s="92">
        <v>2.52610086E8</v>
      </c>
      <c r="D407" s="94" t="s">
        <v>617</v>
      </c>
      <c r="E407" s="92" t="s">
        <v>784</v>
      </c>
    </row>
    <row r="408" ht="15.75" customHeight="1">
      <c r="A408" s="92">
        <v>8.0</v>
      </c>
      <c r="B408" s="92" t="s">
        <v>1129</v>
      </c>
      <c r="C408" s="92">
        <v>2.52610092E8</v>
      </c>
      <c r="D408" s="94" t="s">
        <v>241</v>
      </c>
      <c r="E408" s="92" t="s">
        <v>782</v>
      </c>
    </row>
    <row r="409" ht="15.75" customHeight="1">
      <c r="A409" s="92">
        <v>9.0</v>
      </c>
      <c r="B409" s="92" t="s">
        <v>1130</v>
      </c>
      <c r="C409" s="92">
        <v>2.52610095E8</v>
      </c>
      <c r="D409" s="94" t="s">
        <v>618</v>
      </c>
      <c r="E409" s="92" t="s">
        <v>784</v>
      </c>
    </row>
    <row r="410" ht="15.75" customHeight="1">
      <c r="A410" s="92">
        <v>10.0</v>
      </c>
      <c r="B410" s="92" t="s">
        <v>1131</v>
      </c>
      <c r="C410" s="92">
        <v>2.52610117E8</v>
      </c>
      <c r="D410" s="94" t="s">
        <v>619</v>
      </c>
      <c r="E410" s="92" t="s">
        <v>784</v>
      </c>
    </row>
    <row r="411" ht="15.75" customHeight="1">
      <c r="A411" s="92">
        <v>11.0</v>
      </c>
      <c r="B411" s="92" t="s">
        <v>1132</v>
      </c>
      <c r="C411" s="92">
        <v>2.52610133E8</v>
      </c>
      <c r="D411" s="94" t="s">
        <v>620</v>
      </c>
      <c r="E411" s="92" t="s">
        <v>784</v>
      </c>
    </row>
    <row r="412" ht="15.75" customHeight="1">
      <c r="A412" s="92">
        <v>12.0</v>
      </c>
      <c r="B412" s="92" t="s">
        <v>1133</v>
      </c>
      <c r="C412" s="92">
        <v>2.52610135E8</v>
      </c>
      <c r="D412" s="94" t="s">
        <v>242</v>
      </c>
      <c r="E412" s="92" t="s">
        <v>782</v>
      </c>
    </row>
    <row r="413" ht="15.75" customHeight="1">
      <c r="A413" s="92">
        <v>13.0</v>
      </c>
      <c r="B413" s="92" t="s">
        <v>1134</v>
      </c>
      <c r="C413" s="92">
        <v>2.52610146E8</v>
      </c>
      <c r="D413" s="94" t="s">
        <v>621</v>
      </c>
      <c r="E413" s="92" t="s">
        <v>784</v>
      </c>
    </row>
    <row r="414" ht="15.75" customHeight="1">
      <c r="A414" s="92">
        <v>14.0</v>
      </c>
      <c r="B414" s="92" t="s">
        <v>1135</v>
      </c>
      <c r="C414" s="92">
        <v>2.52610178E8</v>
      </c>
      <c r="D414" s="94" t="s">
        <v>622</v>
      </c>
      <c r="E414" s="92" t="s">
        <v>784</v>
      </c>
    </row>
    <row r="415" ht="15.75" customHeight="1">
      <c r="A415" s="92">
        <v>15.0</v>
      </c>
      <c r="B415" s="92" t="s">
        <v>1136</v>
      </c>
      <c r="C415" s="92">
        <v>2.52610211E8</v>
      </c>
      <c r="D415" s="94" t="s">
        <v>227</v>
      </c>
      <c r="E415" s="92" t="s">
        <v>782</v>
      </c>
    </row>
    <row r="416" ht="15.75" customHeight="1">
      <c r="A416" s="92">
        <v>16.0</v>
      </c>
      <c r="B416" s="92" t="s">
        <v>1137</v>
      </c>
      <c r="C416" s="92">
        <v>2.52610212E8</v>
      </c>
      <c r="D416" s="94" t="s">
        <v>623</v>
      </c>
      <c r="E416" s="92" t="s">
        <v>784</v>
      </c>
    </row>
    <row r="417" ht="15.75" customHeight="1">
      <c r="A417" s="92">
        <v>17.0</v>
      </c>
      <c r="B417" s="92" t="s">
        <v>1138</v>
      </c>
      <c r="C417" s="92">
        <v>2.5261022E8</v>
      </c>
      <c r="D417" s="94" t="s">
        <v>624</v>
      </c>
      <c r="E417" s="92" t="s">
        <v>784</v>
      </c>
    </row>
    <row r="418" ht="15.75" customHeight="1">
      <c r="A418" s="92">
        <v>18.0</v>
      </c>
      <c r="B418" s="92" t="s">
        <v>1139</v>
      </c>
      <c r="C418" s="92">
        <v>2.52610231E8</v>
      </c>
      <c r="D418" s="94" t="s">
        <v>243</v>
      </c>
      <c r="E418" s="92" t="s">
        <v>782</v>
      </c>
    </row>
    <row r="419" ht="15.75" customHeight="1">
      <c r="A419" s="92">
        <v>19.0</v>
      </c>
      <c r="B419" s="92" t="s">
        <v>1140</v>
      </c>
      <c r="C419" s="92">
        <v>2.52610232E8</v>
      </c>
      <c r="D419" s="94" t="s">
        <v>244</v>
      </c>
      <c r="E419" s="92" t="s">
        <v>782</v>
      </c>
    </row>
    <row r="420" ht="15.75" customHeight="1">
      <c r="A420" s="92">
        <v>20.0</v>
      </c>
      <c r="B420" s="92" t="s">
        <v>1141</v>
      </c>
      <c r="C420" s="92">
        <v>2.52610236E8</v>
      </c>
      <c r="D420" s="94" t="s">
        <v>625</v>
      </c>
      <c r="E420" s="92" t="s">
        <v>784</v>
      </c>
    </row>
    <row r="421" ht="15.75" customHeight="1">
      <c r="A421" s="92">
        <v>21.0</v>
      </c>
      <c r="B421" s="92" t="s">
        <v>1142</v>
      </c>
      <c r="C421" s="92">
        <v>2.5261024E8</v>
      </c>
      <c r="D421" s="94" t="s">
        <v>245</v>
      </c>
      <c r="E421" s="92" t="s">
        <v>782</v>
      </c>
    </row>
    <row r="422" ht="15.75" customHeight="1">
      <c r="A422" s="92">
        <v>22.0</v>
      </c>
      <c r="B422" s="92" t="s">
        <v>1143</v>
      </c>
      <c r="C422" s="92">
        <v>2.52610248E8</v>
      </c>
      <c r="D422" s="94" t="s">
        <v>626</v>
      </c>
      <c r="E422" s="92" t="s">
        <v>784</v>
      </c>
    </row>
    <row r="423" ht="15.75" customHeight="1">
      <c r="A423" s="92">
        <v>23.0</v>
      </c>
      <c r="B423" s="92" t="s">
        <v>1144</v>
      </c>
      <c r="C423" s="92">
        <v>2.52610256E8</v>
      </c>
      <c r="D423" s="94" t="s">
        <v>458</v>
      </c>
      <c r="E423" s="92" t="s">
        <v>784</v>
      </c>
    </row>
    <row r="424" ht="15.75" customHeight="1">
      <c r="A424" s="92">
        <v>24.0</v>
      </c>
      <c r="B424" s="92" t="s">
        <v>1145</v>
      </c>
      <c r="C424" s="92">
        <v>2.52610263E8</v>
      </c>
      <c r="D424" s="94" t="s">
        <v>459</v>
      </c>
      <c r="E424" s="92" t="s">
        <v>784</v>
      </c>
    </row>
    <row r="425" ht="15.75" customHeight="1">
      <c r="A425" s="92">
        <v>25.0</v>
      </c>
      <c r="B425" s="92" t="s">
        <v>1146</v>
      </c>
      <c r="C425" s="92">
        <v>2.52610297E8</v>
      </c>
      <c r="D425" s="94" t="s">
        <v>460</v>
      </c>
      <c r="E425" s="92" t="s">
        <v>784</v>
      </c>
    </row>
    <row r="426" ht="15.75" customHeight="1">
      <c r="A426" s="92">
        <v>26.0</v>
      </c>
      <c r="B426" s="92" t="s">
        <v>1147</v>
      </c>
      <c r="C426" s="92">
        <v>2.52610325E8</v>
      </c>
      <c r="D426" s="94" t="s">
        <v>246</v>
      </c>
      <c r="E426" s="92" t="s">
        <v>782</v>
      </c>
    </row>
    <row r="427" ht="15.75" customHeight="1">
      <c r="A427" s="92">
        <v>27.0</v>
      </c>
      <c r="B427" s="92" t="s">
        <v>1148</v>
      </c>
      <c r="C427" s="92">
        <v>2.52610337E8</v>
      </c>
      <c r="D427" s="94" t="s">
        <v>247</v>
      </c>
      <c r="E427" s="92" t="s">
        <v>782</v>
      </c>
    </row>
    <row r="428" ht="15.75" customHeight="1">
      <c r="A428" s="92">
        <v>28.0</v>
      </c>
      <c r="B428" s="92" t="s">
        <v>1149</v>
      </c>
      <c r="C428" s="92">
        <v>2.52610341E8</v>
      </c>
      <c r="D428" s="94" t="s">
        <v>248</v>
      </c>
      <c r="E428" s="92" t="s">
        <v>782</v>
      </c>
    </row>
    <row r="429" ht="15.75" customHeight="1">
      <c r="A429" s="92">
        <v>29.0</v>
      </c>
      <c r="B429" s="92" t="s">
        <v>1150</v>
      </c>
      <c r="C429" s="92">
        <v>2.52610344E8</v>
      </c>
      <c r="D429" s="94" t="s">
        <v>249</v>
      </c>
      <c r="E429" s="92" t="s">
        <v>782</v>
      </c>
    </row>
    <row r="430" ht="15.75" customHeight="1">
      <c r="A430" s="92">
        <v>30.0</v>
      </c>
      <c r="B430" s="92" t="s">
        <v>1151</v>
      </c>
      <c r="C430" s="92">
        <v>2.52610347E8</v>
      </c>
      <c r="D430" s="94" t="s">
        <v>250</v>
      </c>
      <c r="E430" s="92" t="s">
        <v>782</v>
      </c>
    </row>
    <row r="431" ht="15.75" customHeight="1">
      <c r="A431" s="92">
        <v>31.0</v>
      </c>
      <c r="B431" s="92" t="s">
        <v>1152</v>
      </c>
      <c r="C431" s="92">
        <v>2.52610358E8</v>
      </c>
      <c r="D431" s="94" t="s">
        <v>251</v>
      </c>
      <c r="E431" s="92" t="s">
        <v>782</v>
      </c>
    </row>
    <row r="432" ht="15.75" customHeight="1">
      <c r="A432" s="92">
        <v>32.0</v>
      </c>
      <c r="B432" s="92" t="s">
        <v>1153</v>
      </c>
      <c r="C432" s="92">
        <v>2.52610368E8</v>
      </c>
      <c r="D432" s="94" t="s">
        <v>252</v>
      </c>
      <c r="E432" s="92" t="s">
        <v>782</v>
      </c>
    </row>
    <row r="433" ht="15.75" customHeight="1">
      <c r="A433" s="92">
        <v>33.0</v>
      </c>
      <c r="B433" s="92" t="s">
        <v>1154</v>
      </c>
      <c r="C433" s="92">
        <v>2.52610372E8</v>
      </c>
      <c r="D433" s="94" t="s">
        <v>253</v>
      </c>
      <c r="E433" s="92" t="s">
        <v>782</v>
      </c>
    </row>
    <row r="434" ht="15.75" customHeight="1">
      <c r="A434" s="92">
        <v>34.0</v>
      </c>
      <c r="B434" s="92" t="s">
        <v>1155</v>
      </c>
      <c r="C434" s="92">
        <v>2.52610397E8</v>
      </c>
      <c r="D434" s="94" t="s">
        <v>254</v>
      </c>
      <c r="E434" s="92" t="s">
        <v>782</v>
      </c>
    </row>
    <row r="435" ht="15.75" customHeight="1">
      <c r="A435" s="92">
        <v>35.0</v>
      </c>
      <c r="B435" s="92" t="s">
        <v>1156</v>
      </c>
      <c r="C435" s="92">
        <v>2.52610398E8</v>
      </c>
      <c r="D435" s="94" t="s">
        <v>461</v>
      </c>
      <c r="E435" s="92" t="s">
        <v>784</v>
      </c>
    </row>
    <row r="436" ht="15.75" customHeight="1">
      <c r="A436" s="92">
        <v>36.0</v>
      </c>
      <c r="B436" s="92" t="s">
        <v>1157</v>
      </c>
      <c r="C436" s="92">
        <v>2.52610425E8</v>
      </c>
      <c r="D436" s="94" t="s">
        <v>462</v>
      </c>
      <c r="E436" s="92" t="s">
        <v>784</v>
      </c>
    </row>
    <row r="437" ht="15.75" customHeight="1">
      <c r="A437" s="92">
        <v>37.0</v>
      </c>
      <c r="B437" s="92" t="s">
        <v>1158</v>
      </c>
      <c r="C437" s="92">
        <v>2.52610441E8</v>
      </c>
      <c r="D437" s="94" t="s">
        <v>463</v>
      </c>
      <c r="E437" s="92" t="s">
        <v>784</v>
      </c>
    </row>
    <row r="438" ht="15.75" customHeight="1">
      <c r="A438" s="92">
        <v>38.0</v>
      </c>
      <c r="B438" s="92" t="s">
        <v>1159</v>
      </c>
      <c r="C438" s="92">
        <v>2.52610457E8</v>
      </c>
      <c r="D438" s="94" t="s">
        <v>464</v>
      </c>
      <c r="E438" s="92" t="s">
        <v>784</v>
      </c>
    </row>
    <row r="439" ht="15.75" customHeight="1">
      <c r="A439" s="92">
        <v>39.0</v>
      </c>
      <c r="B439" s="92" t="s">
        <v>1160</v>
      </c>
      <c r="C439" s="92">
        <v>2.5261046E8</v>
      </c>
      <c r="D439" s="94" t="s">
        <v>255</v>
      </c>
      <c r="E439" s="92" t="s">
        <v>782</v>
      </c>
    </row>
    <row r="440" ht="15.75" customHeight="1">
      <c r="A440" s="92">
        <v>40.0</v>
      </c>
      <c r="B440" s="92" t="s">
        <v>1161</v>
      </c>
      <c r="C440" s="92">
        <v>2.52610465E8</v>
      </c>
      <c r="D440" s="94" t="s">
        <v>465</v>
      </c>
      <c r="E440" s="92" t="s">
        <v>784</v>
      </c>
    </row>
    <row r="441" ht="15.75" customHeight="1">
      <c r="A441" s="92">
        <v>41.0</v>
      </c>
      <c r="B441" s="92" t="s">
        <v>1162</v>
      </c>
      <c r="C441" s="92">
        <v>2.52610473E8</v>
      </c>
      <c r="D441" s="94" t="s">
        <v>441</v>
      </c>
      <c r="E441" s="92" t="s">
        <v>784</v>
      </c>
    </row>
    <row r="442" ht="15.75" customHeight="1">
      <c r="A442" s="92">
        <v>42.0</v>
      </c>
      <c r="B442" s="92" t="s">
        <v>1163</v>
      </c>
      <c r="C442" s="92">
        <v>2.52610487E8</v>
      </c>
      <c r="D442" s="94" t="s">
        <v>256</v>
      </c>
      <c r="E442" s="92" t="s">
        <v>782</v>
      </c>
    </row>
    <row r="443" ht="15.75" customHeight="1">
      <c r="A443" s="92">
        <v>43.0</v>
      </c>
      <c r="B443" s="92" t="s">
        <v>1164</v>
      </c>
      <c r="C443" s="92">
        <v>2.52610511E8</v>
      </c>
      <c r="D443" s="94" t="s">
        <v>466</v>
      </c>
      <c r="E443" s="92" t="s">
        <v>784</v>
      </c>
    </row>
    <row r="444" ht="15.75" customHeight="1">
      <c r="A444" s="92">
        <v>44.0</v>
      </c>
      <c r="B444" s="92" t="s">
        <v>1165</v>
      </c>
      <c r="C444" s="92">
        <v>2.5261053E8</v>
      </c>
      <c r="D444" s="94" t="s">
        <v>467</v>
      </c>
      <c r="E444" s="92" t="s">
        <v>784</v>
      </c>
    </row>
    <row r="445" ht="15.75" customHeight="1">
      <c r="A445" s="92">
        <v>45.0</v>
      </c>
      <c r="B445" s="92" t="s">
        <v>1166</v>
      </c>
      <c r="C445" s="92">
        <v>2.52610537E8</v>
      </c>
      <c r="D445" s="94" t="s">
        <v>468</v>
      </c>
      <c r="E445" s="92" t="s">
        <v>784</v>
      </c>
    </row>
    <row r="446" ht="15.75" customHeight="1">
      <c r="A446" s="92">
        <v>46.0</v>
      </c>
      <c r="B446" s="92" t="s">
        <v>1167</v>
      </c>
      <c r="C446" s="92">
        <v>2.52610542E8</v>
      </c>
      <c r="D446" s="94" t="s">
        <v>469</v>
      </c>
      <c r="E446" s="92" t="s">
        <v>784</v>
      </c>
    </row>
    <row r="447" ht="15.75" customHeight="1">
      <c r="A447" s="71"/>
      <c r="B447" s="71"/>
      <c r="C447" s="71"/>
      <c r="D447" s="71"/>
      <c r="E447" s="71"/>
    </row>
    <row r="448" ht="15.75" customHeight="1">
      <c r="A448" s="71"/>
      <c r="B448" s="71"/>
      <c r="C448" s="71"/>
      <c r="D448" s="94" t="s">
        <v>1368</v>
      </c>
      <c r="E448" s="92">
        <f>COUNTIF(E401:E446,"P")</f>
        <v>26</v>
      </c>
    </row>
    <row r="449" ht="15.75" customHeight="1">
      <c r="A449" s="71"/>
      <c r="B449" s="71"/>
      <c r="C449" s="71"/>
      <c r="D449" s="94" t="s">
        <v>1369</v>
      </c>
      <c r="E449" s="92">
        <f>COUNTIF(E400:E446,"L")</f>
        <v>20</v>
      </c>
    </row>
    <row r="450" ht="15.75" customHeight="1">
      <c r="A450" s="71"/>
      <c r="B450" s="71"/>
      <c r="C450" s="71"/>
      <c r="D450" s="71"/>
      <c r="E450" s="71"/>
    </row>
    <row r="451" ht="15.75" customHeight="1">
      <c r="A451" s="71"/>
      <c r="B451" s="71"/>
      <c r="C451" s="71"/>
      <c r="D451" s="71"/>
      <c r="E451" s="71"/>
    </row>
    <row r="452" ht="15.75" customHeight="1">
      <c r="A452" s="71" t="s">
        <v>1378</v>
      </c>
      <c r="B452" s="71"/>
      <c r="C452" s="71"/>
      <c r="D452" s="71"/>
      <c r="E452" s="71" t="s">
        <v>69</v>
      </c>
    </row>
    <row r="453" ht="15.75" customHeight="1">
      <c r="A453" s="95" t="s">
        <v>775</v>
      </c>
      <c r="B453" s="95" t="s">
        <v>776</v>
      </c>
      <c r="C453" s="95" t="s">
        <v>777</v>
      </c>
      <c r="D453" s="95" t="s">
        <v>219</v>
      </c>
      <c r="E453" s="95" t="s">
        <v>778</v>
      </c>
    </row>
    <row r="454" ht="15.75" customHeight="1">
      <c r="A454" s="92">
        <v>1.0</v>
      </c>
      <c r="B454" s="92" t="s">
        <v>1168</v>
      </c>
      <c r="C454" s="92">
        <v>2.52610001E8</v>
      </c>
      <c r="D454" s="94" t="s">
        <v>221</v>
      </c>
      <c r="E454" s="92" t="s">
        <v>782</v>
      </c>
    </row>
    <row r="455" ht="15.75" customHeight="1">
      <c r="A455" s="92">
        <v>2.0</v>
      </c>
      <c r="B455" s="92" t="s">
        <v>1169</v>
      </c>
      <c r="C455" s="92">
        <v>2.52610012E8</v>
      </c>
      <c r="D455" s="94" t="s">
        <v>396</v>
      </c>
      <c r="E455" s="92" t="s">
        <v>782</v>
      </c>
    </row>
    <row r="456" ht="15.75" customHeight="1">
      <c r="A456" s="92">
        <v>3.0</v>
      </c>
      <c r="B456" s="92" t="s">
        <v>1170</v>
      </c>
      <c r="C456" s="92">
        <v>2.52610014E8</v>
      </c>
      <c r="D456" s="94" t="s">
        <v>429</v>
      </c>
      <c r="E456" s="92" t="s">
        <v>784</v>
      </c>
    </row>
    <row r="457" ht="15.75" customHeight="1">
      <c r="A457" s="92">
        <v>4.0</v>
      </c>
      <c r="B457" s="92" t="s">
        <v>1171</v>
      </c>
      <c r="C457" s="92">
        <v>2.5261002E8</v>
      </c>
      <c r="D457" s="94" t="s">
        <v>397</v>
      </c>
      <c r="E457" s="92" t="s">
        <v>782</v>
      </c>
    </row>
    <row r="458" ht="15.75" customHeight="1">
      <c r="A458" s="92">
        <v>5.0</v>
      </c>
      <c r="B458" s="92" t="s">
        <v>1172</v>
      </c>
      <c r="C458" s="92">
        <v>2.52610032E8</v>
      </c>
      <c r="D458" s="94" t="s">
        <v>398</v>
      </c>
      <c r="E458" s="92" t="s">
        <v>782</v>
      </c>
    </row>
    <row r="459" ht="15.75" customHeight="1">
      <c r="A459" s="92">
        <v>6.0</v>
      </c>
      <c r="B459" s="92" t="s">
        <v>1173</v>
      </c>
      <c r="C459" s="92">
        <v>2.52610037E8</v>
      </c>
      <c r="D459" s="94" t="s">
        <v>750</v>
      </c>
      <c r="E459" s="92" t="s">
        <v>784</v>
      </c>
    </row>
    <row r="460" ht="15.75" customHeight="1">
      <c r="A460" s="92">
        <v>7.0</v>
      </c>
      <c r="B460" s="92" t="s">
        <v>1174</v>
      </c>
      <c r="C460" s="92">
        <v>2.52610054E8</v>
      </c>
      <c r="D460" s="94" t="s">
        <v>751</v>
      </c>
      <c r="E460" s="92" t="s">
        <v>784</v>
      </c>
    </row>
    <row r="461" ht="15.75" customHeight="1">
      <c r="A461" s="92">
        <v>8.0</v>
      </c>
      <c r="B461" s="92" t="s">
        <v>1175</v>
      </c>
      <c r="C461" s="92">
        <v>2.52610059E8</v>
      </c>
      <c r="D461" s="94" t="s">
        <v>399</v>
      </c>
      <c r="E461" s="92" t="s">
        <v>782</v>
      </c>
    </row>
    <row r="462" ht="15.75" customHeight="1">
      <c r="A462" s="92">
        <v>9.0</v>
      </c>
      <c r="B462" s="92" t="s">
        <v>1176</v>
      </c>
      <c r="C462" s="92">
        <v>2.52610089E8</v>
      </c>
      <c r="D462" s="94" t="s">
        <v>752</v>
      </c>
      <c r="E462" s="92" t="s">
        <v>784</v>
      </c>
    </row>
    <row r="463" ht="15.75" customHeight="1">
      <c r="A463" s="92">
        <v>10.0</v>
      </c>
      <c r="B463" s="92" t="s">
        <v>1177</v>
      </c>
      <c r="C463" s="92">
        <v>2.52610091E8</v>
      </c>
      <c r="D463" s="94" t="s">
        <v>753</v>
      </c>
      <c r="E463" s="92" t="s">
        <v>784</v>
      </c>
    </row>
    <row r="464" ht="15.75" customHeight="1">
      <c r="A464" s="92">
        <v>11.0</v>
      </c>
      <c r="B464" s="92" t="s">
        <v>1178</v>
      </c>
      <c r="C464" s="92">
        <v>2.52610099E8</v>
      </c>
      <c r="D464" s="94" t="s">
        <v>754</v>
      </c>
      <c r="E464" s="92" t="s">
        <v>784</v>
      </c>
    </row>
    <row r="465" ht="15.75" customHeight="1">
      <c r="A465" s="92">
        <v>12.0</v>
      </c>
      <c r="B465" s="92" t="s">
        <v>1179</v>
      </c>
      <c r="C465" s="92">
        <v>2.52610103E8</v>
      </c>
      <c r="D465" s="94" t="s">
        <v>755</v>
      </c>
      <c r="E465" s="92" t="s">
        <v>784</v>
      </c>
    </row>
    <row r="466" ht="15.75" customHeight="1">
      <c r="A466" s="92">
        <v>13.0</v>
      </c>
      <c r="B466" s="92" t="s">
        <v>1180</v>
      </c>
      <c r="C466" s="92">
        <v>2.52610119E8</v>
      </c>
      <c r="D466" s="94" t="s">
        <v>756</v>
      </c>
      <c r="E466" s="92" t="s">
        <v>784</v>
      </c>
    </row>
    <row r="467" ht="15.75" customHeight="1">
      <c r="A467" s="92">
        <v>14.0</v>
      </c>
      <c r="B467" s="92" t="s">
        <v>1181</v>
      </c>
      <c r="C467" s="92">
        <v>2.52610128E8</v>
      </c>
      <c r="D467" s="94" t="s">
        <v>400</v>
      </c>
      <c r="E467" s="92" t="s">
        <v>782</v>
      </c>
    </row>
    <row r="468" ht="15.75" customHeight="1">
      <c r="A468" s="92">
        <v>16.0</v>
      </c>
      <c r="B468" s="92" t="s">
        <v>1182</v>
      </c>
      <c r="C468" s="92">
        <v>2.52610165E8</v>
      </c>
      <c r="D468" s="94" t="s">
        <v>449</v>
      </c>
      <c r="E468" s="92" t="s">
        <v>784</v>
      </c>
    </row>
    <row r="469" ht="15.75" customHeight="1">
      <c r="A469" s="92">
        <v>17.0</v>
      </c>
      <c r="B469" s="92" t="s">
        <v>1183</v>
      </c>
      <c r="C469" s="92">
        <v>2.52610168E8</v>
      </c>
      <c r="D469" s="94" t="s">
        <v>757</v>
      </c>
      <c r="E469" s="92" t="s">
        <v>784</v>
      </c>
    </row>
    <row r="470" ht="15.75" customHeight="1">
      <c r="A470" s="92">
        <v>18.0</v>
      </c>
      <c r="B470" s="92" t="s">
        <v>1184</v>
      </c>
      <c r="C470" s="92">
        <v>2.52610169E8</v>
      </c>
      <c r="D470" s="94" t="s">
        <v>401</v>
      </c>
      <c r="E470" s="92" t="s">
        <v>782</v>
      </c>
    </row>
    <row r="471" ht="15.75" customHeight="1">
      <c r="A471" s="92">
        <v>19.0</v>
      </c>
      <c r="B471" s="92" t="s">
        <v>1185</v>
      </c>
      <c r="C471" s="92">
        <v>2.52610222E8</v>
      </c>
      <c r="D471" s="94" t="s">
        <v>758</v>
      </c>
      <c r="E471" s="92" t="s">
        <v>784</v>
      </c>
    </row>
    <row r="472" ht="15.75" customHeight="1">
      <c r="A472" s="92">
        <v>20.0</v>
      </c>
      <c r="B472" s="92" t="s">
        <v>1186</v>
      </c>
      <c r="C472" s="92">
        <v>2.52610226E8</v>
      </c>
      <c r="D472" s="94" t="s">
        <v>759</v>
      </c>
      <c r="E472" s="92" t="s">
        <v>784</v>
      </c>
    </row>
    <row r="473" ht="15.75" customHeight="1">
      <c r="A473" s="92">
        <v>21.0</v>
      </c>
      <c r="B473" s="92" t="s">
        <v>1187</v>
      </c>
      <c r="C473" s="92">
        <v>2.52610234E8</v>
      </c>
      <c r="D473" s="94" t="s">
        <v>760</v>
      </c>
      <c r="E473" s="92" t="s">
        <v>784</v>
      </c>
    </row>
    <row r="474" ht="15.75" customHeight="1">
      <c r="A474" s="92">
        <v>22.0</v>
      </c>
      <c r="B474" s="92" t="s">
        <v>1188</v>
      </c>
      <c r="C474" s="92">
        <v>2.52610235E8</v>
      </c>
      <c r="D474" s="94" t="s">
        <v>451</v>
      </c>
      <c r="E474" s="92" t="s">
        <v>784</v>
      </c>
    </row>
    <row r="475" ht="15.75" customHeight="1">
      <c r="A475" s="92">
        <v>24.0</v>
      </c>
      <c r="B475" s="92" t="s">
        <v>1189</v>
      </c>
      <c r="C475" s="92">
        <v>2.52610243E8</v>
      </c>
      <c r="D475" s="94" t="s">
        <v>402</v>
      </c>
      <c r="E475" s="92" t="s">
        <v>782</v>
      </c>
    </row>
    <row r="476" ht="15.75" customHeight="1">
      <c r="A476" s="92">
        <v>25.0</v>
      </c>
      <c r="B476" s="92" t="s">
        <v>1190</v>
      </c>
      <c r="C476" s="92">
        <v>2.52610251E8</v>
      </c>
      <c r="D476" s="94" t="s">
        <v>403</v>
      </c>
      <c r="E476" s="92" t="s">
        <v>782</v>
      </c>
    </row>
    <row r="477" ht="15.75" customHeight="1">
      <c r="A477" s="92">
        <v>26.0</v>
      </c>
      <c r="B477" s="92" t="s">
        <v>1191</v>
      </c>
      <c r="C477" s="92">
        <v>2.52610262E8</v>
      </c>
      <c r="D477" s="94" t="s">
        <v>761</v>
      </c>
      <c r="E477" s="92" t="s">
        <v>784</v>
      </c>
    </row>
    <row r="478" ht="15.75" customHeight="1">
      <c r="A478" s="92">
        <v>27.0</v>
      </c>
      <c r="B478" s="92" t="s">
        <v>1192</v>
      </c>
      <c r="C478" s="92">
        <v>2.52610272E8</v>
      </c>
      <c r="D478" s="94" t="s">
        <v>590</v>
      </c>
      <c r="E478" s="92" t="s">
        <v>784</v>
      </c>
    </row>
    <row r="479" ht="15.75" customHeight="1">
      <c r="A479" s="92">
        <v>28.0</v>
      </c>
      <c r="B479" s="92" t="s">
        <v>1193</v>
      </c>
      <c r="C479" s="92">
        <v>2.52610283E8</v>
      </c>
      <c r="D479" s="94" t="s">
        <v>591</v>
      </c>
      <c r="E479" s="92" t="s">
        <v>784</v>
      </c>
    </row>
    <row r="480" ht="15.75" customHeight="1">
      <c r="A480" s="92">
        <v>29.0</v>
      </c>
      <c r="B480" s="92" t="s">
        <v>1194</v>
      </c>
      <c r="C480" s="92">
        <v>2.52610305E8</v>
      </c>
      <c r="D480" s="94" t="s">
        <v>404</v>
      </c>
      <c r="E480" s="92" t="s">
        <v>782</v>
      </c>
    </row>
    <row r="481" ht="15.75" customHeight="1">
      <c r="A481" s="92">
        <v>30.0</v>
      </c>
      <c r="B481" s="92" t="s">
        <v>1195</v>
      </c>
      <c r="C481" s="92">
        <v>2.52610327E8</v>
      </c>
      <c r="D481" s="94" t="s">
        <v>405</v>
      </c>
      <c r="E481" s="92" t="s">
        <v>782</v>
      </c>
    </row>
    <row r="482" ht="15.75" customHeight="1">
      <c r="A482" s="92">
        <v>31.0</v>
      </c>
      <c r="B482" s="92" t="s">
        <v>1196</v>
      </c>
      <c r="C482" s="92">
        <v>2.52610335E8</v>
      </c>
      <c r="D482" s="94" t="s">
        <v>406</v>
      </c>
      <c r="E482" s="92" t="s">
        <v>782</v>
      </c>
    </row>
    <row r="483" ht="15.75" customHeight="1">
      <c r="A483" s="92">
        <v>32.0</v>
      </c>
      <c r="B483" s="92" t="s">
        <v>1197</v>
      </c>
      <c r="C483" s="92">
        <v>2.52610375E8</v>
      </c>
      <c r="D483" s="94" t="s">
        <v>235</v>
      </c>
      <c r="E483" s="92" t="s">
        <v>782</v>
      </c>
    </row>
    <row r="484" ht="15.75" customHeight="1">
      <c r="A484" s="92">
        <v>33.0</v>
      </c>
      <c r="B484" s="92" t="s">
        <v>1198</v>
      </c>
      <c r="C484" s="92">
        <v>2.52610396E8</v>
      </c>
      <c r="D484" s="94" t="s">
        <v>592</v>
      </c>
      <c r="E484" s="92" t="s">
        <v>784</v>
      </c>
    </row>
    <row r="485" ht="15.75" customHeight="1">
      <c r="A485" s="92">
        <v>34.0</v>
      </c>
      <c r="B485" s="92" t="s">
        <v>1199</v>
      </c>
      <c r="C485" s="92">
        <v>2.52610402E8</v>
      </c>
      <c r="D485" s="94" t="s">
        <v>407</v>
      </c>
      <c r="E485" s="92" t="s">
        <v>782</v>
      </c>
    </row>
    <row r="486" ht="15.75" customHeight="1">
      <c r="A486" s="92">
        <v>35.0</v>
      </c>
      <c r="B486" s="92" t="s">
        <v>1200</v>
      </c>
      <c r="C486" s="92">
        <v>2.52610403E8</v>
      </c>
      <c r="D486" s="94" t="s">
        <v>593</v>
      </c>
      <c r="E486" s="92" t="s">
        <v>784</v>
      </c>
    </row>
    <row r="487" ht="15.75" customHeight="1">
      <c r="A487" s="92">
        <v>37.0</v>
      </c>
      <c r="B487" s="92" t="s">
        <v>1201</v>
      </c>
      <c r="C487" s="92">
        <v>2.52610443E8</v>
      </c>
      <c r="D487" s="94" t="s">
        <v>594</v>
      </c>
      <c r="E487" s="92" t="s">
        <v>784</v>
      </c>
    </row>
    <row r="488" ht="15.75" customHeight="1">
      <c r="A488" s="92">
        <v>38.0</v>
      </c>
      <c r="B488" s="92" t="s">
        <v>1202</v>
      </c>
      <c r="C488" s="92">
        <v>2.52610459E8</v>
      </c>
      <c r="D488" s="94" t="s">
        <v>408</v>
      </c>
      <c r="E488" s="92" t="s">
        <v>782</v>
      </c>
    </row>
    <row r="489" ht="15.75" customHeight="1">
      <c r="A489" s="92">
        <v>39.0</v>
      </c>
      <c r="B489" s="92" t="s">
        <v>1203</v>
      </c>
      <c r="C489" s="92">
        <v>2.52610462E8</v>
      </c>
      <c r="D489" s="94" t="s">
        <v>595</v>
      </c>
      <c r="E489" s="92" t="s">
        <v>784</v>
      </c>
    </row>
    <row r="490" ht="15.75" customHeight="1">
      <c r="A490" s="92">
        <v>40.0</v>
      </c>
      <c r="B490" s="92" t="s">
        <v>1204</v>
      </c>
      <c r="C490" s="92">
        <v>2.52610469E8</v>
      </c>
      <c r="D490" s="94" t="s">
        <v>409</v>
      </c>
      <c r="E490" s="92" t="s">
        <v>782</v>
      </c>
    </row>
    <row r="491" ht="15.75" customHeight="1">
      <c r="A491" s="92">
        <v>41.0</v>
      </c>
      <c r="B491" s="92" t="s">
        <v>1205</v>
      </c>
      <c r="C491" s="92">
        <v>2.52610493E8</v>
      </c>
      <c r="D491" s="94" t="s">
        <v>596</v>
      </c>
      <c r="E491" s="92" t="s">
        <v>784</v>
      </c>
    </row>
    <row r="492" ht="15.75" customHeight="1">
      <c r="A492" s="92">
        <v>42.0</v>
      </c>
      <c r="B492" s="92" t="s">
        <v>1206</v>
      </c>
      <c r="C492" s="92">
        <v>2.52610509E8</v>
      </c>
      <c r="D492" s="94" t="s">
        <v>597</v>
      </c>
      <c r="E492" s="92" t="s">
        <v>784</v>
      </c>
    </row>
    <row r="493" ht="15.75" customHeight="1">
      <c r="A493" s="92">
        <v>43.0</v>
      </c>
      <c r="B493" s="92" t="s">
        <v>1207</v>
      </c>
      <c r="C493" s="92">
        <v>2.5261051E8</v>
      </c>
      <c r="D493" s="94" t="s">
        <v>598</v>
      </c>
      <c r="E493" s="92" t="s">
        <v>784</v>
      </c>
    </row>
    <row r="494" ht="15.75" customHeight="1">
      <c r="A494" s="92">
        <v>44.0</v>
      </c>
      <c r="B494" s="92" t="s">
        <v>1208</v>
      </c>
      <c r="C494" s="92">
        <v>2.52610521E8</v>
      </c>
      <c r="D494" s="94" t="s">
        <v>599</v>
      </c>
      <c r="E494" s="92" t="s">
        <v>784</v>
      </c>
    </row>
    <row r="495" ht="15.75" customHeight="1">
      <c r="A495" s="92">
        <v>45.0</v>
      </c>
      <c r="B495" s="92" t="s">
        <v>1209</v>
      </c>
      <c r="C495" s="92">
        <v>2.52610526E8</v>
      </c>
      <c r="D495" s="94" t="s">
        <v>600</v>
      </c>
      <c r="E495" s="92" t="s">
        <v>784</v>
      </c>
    </row>
    <row r="496" ht="15.75" customHeight="1">
      <c r="A496" s="71"/>
      <c r="B496" s="71"/>
      <c r="C496" s="71"/>
      <c r="D496" s="71"/>
      <c r="E496" s="71"/>
    </row>
    <row r="497" ht="15.75" customHeight="1">
      <c r="A497" s="71"/>
      <c r="B497" s="71"/>
      <c r="C497" s="71"/>
      <c r="D497" s="94" t="s">
        <v>1368</v>
      </c>
      <c r="E497" s="92">
        <f>COUNTIF(E454:E495,"P")</f>
        <v>26</v>
      </c>
    </row>
    <row r="498" ht="15.75" customHeight="1">
      <c r="A498" s="71"/>
      <c r="B498" s="71"/>
      <c r="C498" s="71"/>
      <c r="D498" s="94" t="s">
        <v>1369</v>
      </c>
      <c r="E498" s="92">
        <f>COUNTIF(E454:E495,"L")</f>
        <v>16</v>
      </c>
    </row>
    <row r="499" ht="15.75" customHeight="1">
      <c r="A499" s="71"/>
      <c r="B499" s="71"/>
      <c r="C499" s="71"/>
      <c r="D499" s="71"/>
      <c r="E499" s="71"/>
    </row>
    <row r="500" ht="15.75" customHeight="1">
      <c r="A500" s="71"/>
      <c r="B500" s="71"/>
      <c r="C500" s="71"/>
      <c r="D500" s="71"/>
      <c r="E500" s="71"/>
    </row>
    <row r="501" ht="15.75" customHeight="1">
      <c r="A501" s="71" t="s">
        <v>1379</v>
      </c>
      <c r="B501" s="71"/>
      <c r="C501" s="71"/>
      <c r="D501" s="71"/>
      <c r="E501" s="71" t="s">
        <v>74</v>
      </c>
    </row>
    <row r="502" ht="15.75" customHeight="1">
      <c r="A502" s="95" t="s">
        <v>775</v>
      </c>
      <c r="B502" s="95" t="s">
        <v>776</v>
      </c>
      <c r="C502" s="95" t="s">
        <v>777</v>
      </c>
      <c r="D502" s="95" t="s">
        <v>219</v>
      </c>
      <c r="E502" s="95" t="s">
        <v>778</v>
      </c>
    </row>
    <row r="503" ht="15.75" customHeight="1">
      <c r="A503" s="92">
        <v>1.0</v>
      </c>
      <c r="B503" s="92" t="s">
        <v>1210</v>
      </c>
      <c r="C503" s="92">
        <v>2.5261001E8</v>
      </c>
      <c r="D503" s="94" t="s">
        <v>737</v>
      </c>
      <c r="E503" s="92" t="s">
        <v>784</v>
      </c>
    </row>
    <row r="504" ht="15.75" customHeight="1">
      <c r="A504" s="92">
        <v>2.0</v>
      </c>
      <c r="B504" s="92" t="s">
        <v>1211</v>
      </c>
      <c r="C504" s="92">
        <v>2.52610031E8</v>
      </c>
      <c r="D504" s="94" t="s">
        <v>738</v>
      </c>
      <c r="E504" s="92" t="s">
        <v>784</v>
      </c>
    </row>
    <row r="505" ht="15.75" customHeight="1">
      <c r="A505" s="92">
        <v>3.0</v>
      </c>
      <c r="B505" s="92" t="s">
        <v>1212</v>
      </c>
      <c r="C505" s="92">
        <v>2.52610033E8</v>
      </c>
      <c r="D505" s="94" t="s">
        <v>378</v>
      </c>
      <c r="E505" s="92" t="s">
        <v>782</v>
      </c>
    </row>
    <row r="506" ht="15.75" customHeight="1">
      <c r="A506" s="92">
        <v>4.0</v>
      </c>
      <c r="B506" s="92" t="s">
        <v>1213</v>
      </c>
      <c r="C506" s="92">
        <v>2.52610047E8</v>
      </c>
      <c r="D506" s="94" t="s">
        <v>739</v>
      </c>
      <c r="E506" s="92" t="s">
        <v>784</v>
      </c>
    </row>
    <row r="507" ht="15.75" customHeight="1">
      <c r="A507" s="92">
        <v>5.0</v>
      </c>
      <c r="B507" s="92" t="s">
        <v>1214</v>
      </c>
      <c r="C507" s="92">
        <v>2.52610066E8</v>
      </c>
      <c r="D507" s="94" t="s">
        <v>740</v>
      </c>
      <c r="E507" s="92" t="s">
        <v>784</v>
      </c>
    </row>
    <row r="508" ht="15.75" customHeight="1">
      <c r="A508" s="92">
        <v>6.0</v>
      </c>
      <c r="B508" s="92" t="s">
        <v>1215</v>
      </c>
      <c r="C508" s="92">
        <v>2.52610085E8</v>
      </c>
      <c r="D508" s="94" t="s">
        <v>741</v>
      </c>
      <c r="E508" s="92" t="s">
        <v>784</v>
      </c>
    </row>
    <row r="509" ht="15.75" customHeight="1">
      <c r="A509" s="92">
        <v>7.0</v>
      </c>
      <c r="B509" s="92" t="s">
        <v>1216</v>
      </c>
      <c r="C509" s="92">
        <v>2.52610098E8</v>
      </c>
      <c r="D509" s="94" t="s">
        <v>446</v>
      </c>
      <c r="E509" s="92" t="s">
        <v>784</v>
      </c>
    </row>
    <row r="510" ht="15.75" customHeight="1">
      <c r="A510" s="92">
        <v>8.0</v>
      </c>
      <c r="B510" s="92" t="s">
        <v>1217</v>
      </c>
      <c r="C510" s="92">
        <v>2.52610105E8</v>
      </c>
      <c r="D510" s="94" t="s">
        <v>379</v>
      </c>
      <c r="E510" s="92" t="s">
        <v>782</v>
      </c>
    </row>
    <row r="511" ht="15.75" customHeight="1">
      <c r="A511" s="92">
        <v>9.0</v>
      </c>
      <c r="B511" s="92" t="s">
        <v>1218</v>
      </c>
      <c r="C511" s="92">
        <v>2.5261011E8</v>
      </c>
      <c r="D511" s="94" t="s">
        <v>380</v>
      </c>
      <c r="E511" s="92" t="s">
        <v>782</v>
      </c>
    </row>
    <row r="512" ht="15.75" customHeight="1">
      <c r="A512" s="92">
        <v>10.0</v>
      </c>
      <c r="B512" s="92" t="s">
        <v>1219</v>
      </c>
      <c r="C512" s="92">
        <v>2.52610111E8</v>
      </c>
      <c r="D512" s="94" t="s">
        <v>381</v>
      </c>
      <c r="E512" s="92" t="s">
        <v>782</v>
      </c>
    </row>
    <row r="513" ht="15.75" customHeight="1">
      <c r="A513" s="92">
        <v>11.0</v>
      </c>
      <c r="B513" s="92" t="s">
        <v>1220</v>
      </c>
      <c r="C513" s="92">
        <v>2.52610112E8</v>
      </c>
      <c r="D513" s="94" t="s">
        <v>742</v>
      </c>
      <c r="E513" s="92" t="s">
        <v>784</v>
      </c>
    </row>
    <row r="514" ht="15.75" customHeight="1">
      <c r="A514" s="92">
        <v>12.0</v>
      </c>
      <c r="B514" s="92" t="s">
        <v>1221</v>
      </c>
      <c r="C514" s="92">
        <v>2.52610114E8</v>
      </c>
      <c r="D514" s="94" t="s">
        <v>743</v>
      </c>
      <c r="E514" s="92" t="s">
        <v>784</v>
      </c>
    </row>
    <row r="515" ht="15.75" customHeight="1">
      <c r="A515" s="92">
        <v>13.0</v>
      </c>
      <c r="B515" s="92" t="s">
        <v>1222</v>
      </c>
      <c r="C515" s="92">
        <v>2.52610116E8</v>
      </c>
      <c r="D515" s="94" t="s">
        <v>744</v>
      </c>
      <c r="E515" s="92" t="s">
        <v>784</v>
      </c>
    </row>
    <row r="516" ht="15.75" customHeight="1">
      <c r="A516" s="92">
        <v>14.0</v>
      </c>
      <c r="B516" s="92" t="s">
        <v>1223</v>
      </c>
      <c r="C516" s="92">
        <v>2.52610131E8</v>
      </c>
      <c r="D516" s="94" t="s">
        <v>745</v>
      </c>
      <c r="E516" s="92" t="s">
        <v>784</v>
      </c>
    </row>
    <row r="517" ht="15.75" customHeight="1">
      <c r="A517" s="92">
        <v>16.0</v>
      </c>
      <c r="B517" s="92" t="s">
        <v>1224</v>
      </c>
      <c r="C517" s="92">
        <v>2.52610184E8</v>
      </c>
      <c r="D517" s="94" t="s">
        <v>382</v>
      </c>
      <c r="E517" s="92" t="s">
        <v>782</v>
      </c>
    </row>
    <row r="518" ht="15.75" customHeight="1">
      <c r="A518" s="92">
        <v>17.0</v>
      </c>
      <c r="B518" s="92" t="s">
        <v>1225</v>
      </c>
      <c r="C518" s="92">
        <v>2.52610196E8</v>
      </c>
      <c r="D518" s="94" t="s">
        <v>746</v>
      </c>
      <c r="E518" s="92" t="s">
        <v>784</v>
      </c>
    </row>
    <row r="519" ht="15.75" customHeight="1">
      <c r="A519" s="92">
        <v>18.0</v>
      </c>
      <c r="B519" s="92" t="s">
        <v>1226</v>
      </c>
      <c r="C519" s="92">
        <v>2.52610217E8</v>
      </c>
      <c r="D519" s="94" t="s">
        <v>747</v>
      </c>
      <c r="E519" s="92" t="s">
        <v>784</v>
      </c>
    </row>
    <row r="520" ht="15.75" customHeight="1">
      <c r="A520" s="92">
        <v>20.0</v>
      </c>
      <c r="B520" s="92" t="s">
        <v>1227</v>
      </c>
      <c r="C520" s="92">
        <v>2.52610241E8</v>
      </c>
      <c r="D520" s="94" t="s">
        <v>748</v>
      </c>
      <c r="E520" s="92" t="s">
        <v>784</v>
      </c>
    </row>
    <row r="521" ht="15.75" customHeight="1">
      <c r="A521" s="92">
        <v>21.0</v>
      </c>
      <c r="B521" s="92" t="s">
        <v>1228</v>
      </c>
      <c r="C521" s="92">
        <v>2.52610253E8</v>
      </c>
      <c r="D521" s="94" t="s">
        <v>578</v>
      </c>
      <c r="E521" s="92" t="s">
        <v>784</v>
      </c>
    </row>
    <row r="522" ht="15.75" customHeight="1">
      <c r="A522" s="92">
        <v>22.0</v>
      </c>
      <c r="B522" s="92" t="s">
        <v>1229</v>
      </c>
      <c r="C522" s="92">
        <v>2.52610289E8</v>
      </c>
      <c r="D522" s="94" t="s">
        <v>383</v>
      </c>
      <c r="E522" s="92" t="s">
        <v>782</v>
      </c>
    </row>
    <row r="523" ht="15.75" customHeight="1">
      <c r="A523" s="92">
        <v>23.0</v>
      </c>
      <c r="B523" s="92" t="s">
        <v>1230</v>
      </c>
      <c r="C523" s="92">
        <v>2.52610292E8</v>
      </c>
      <c r="D523" s="94" t="s">
        <v>579</v>
      </c>
      <c r="E523" s="92" t="s">
        <v>784</v>
      </c>
    </row>
    <row r="524" ht="15.75" customHeight="1">
      <c r="A524" s="92">
        <v>24.0</v>
      </c>
      <c r="B524" s="92" t="s">
        <v>1231</v>
      </c>
      <c r="C524" s="92">
        <v>2.52610295E8</v>
      </c>
      <c r="D524" s="94" t="s">
        <v>580</v>
      </c>
      <c r="E524" s="92" t="s">
        <v>784</v>
      </c>
    </row>
    <row r="525" ht="15.75" customHeight="1">
      <c r="A525" s="92">
        <v>25.0</v>
      </c>
      <c r="B525" s="92" t="s">
        <v>1232</v>
      </c>
      <c r="C525" s="92">
        <v>2.5261031E8</v>
      </c>
      <c r="D525" s="94" t="s">
        <v>384</v>
      </c>
      <c r="E525" s="92" t="s">
        <v>782</v>
      </c>
    </row>
    <row r="526" ht="15.75" customHeight="1">
      <c r="A526" s="92">
        <v>26.0</v>
      </c>
      <c r="B526" s="92" t="s">
        <v>1233</v>
      </c>
      <c r="C526" s="92">
        <v>2.52610315E8</v>
      </c>
      <c r="D526" s="94" t="s">
        <v>385</v>
      </c>
      <c r="E526" s="92" t="s">
        <v>782</v>
      </c>
    </row>
    <row r="527" ht="15.75" customHeight="1">
      <c r="A527" s="92">
        <v>27.0</v>
      </c>
      <c r="B527" s="92" t="s">
        <v>1234</v>
      </c>
      <c r="C527" s="92">
        <v>2.52610328E8</v>
      </c>
      <c r="D527" s="94" t="s">
        <v>386</v>
      </c>
      <c r="E527" s="92" t="s">
        <v>782</v>
      </c>
    </row>
    <row r="528" ht="15.75" customHeight="1">
      <c r="A528" s="92">
        <v>28.0</v>
      </c>
      <c r="B528" s="92" t="s">
        <v>1235</v>
      </c>
      <c r="C528" s="92">
        <v>2.52610346E8</v>
      </c>
      <c r="D528" s="94" t="s">
        <v>387</v>
      </c>
      <c r="E528" s="92" t="s">
        <v>782</v>
      </c>
    </row>
    <row r="529" ht="15.75" customHeight="1">
      <c r="A529" s="92">
        <v>29.0</v>
      </c>
      <c r="B529" s="92" t="s">
        <v>1236</v>
      </c>
      <c r="C529" s="92">
        <v>2.52610348E8</v>
      </c>
      <c r="D529" s="94" t="s">
        <v>388</v>
      </c>
      <c r="E529" s="92" t="s">
        <v>782</v>
      </c>
    </row>
    <row r="530" ht="15.75" customHeight="1">
      <c r="A530" s="92">
        <v>30.0</v>
      </c>
      <c r="B530" s="92" t="s">
        <v>1237</v>
      </c>
      <c r="C530" s="92">
        <v>2.52610356E8</v>
      </c>
      <c r="D530" s="94" t="s">
        <v>389</v>
      </c>
      <c r="E530" s="92" t="s">
        <v>782</v>
      </c>
    </row>
    <row r="531" ht="15.75" customHeight="1">
      <c r="A531" s="92">
        <v>31.0</v>
      </c>
      <c r="B531" s="92" t="s">
        <v>1238</v>
      </c>
      <c r="C531" s="92">
        <v>2.52610367E8</v>
      </c>
      <c r="D531" s="94" t="s">
        <v>390</v>
      </c>
      <c r="E531" s="92" t="s">
        <v>782</v>
      </c>
    </row>
    <row r="532" ht="15.75" customHeight="1">
      <c r="A532" s="92">
        <v>32.0</v>
      </c>
      <c r="B532" s="92" t="s">
        <v>1239</v>
      </c>
      <c r="C532" s="92">
        <v>2.5261038E8</v>
      </c>
      <c r="D532" s="94" t="s">
        <v>391</v>
      </c>
      <c r="E532" s="92" t="s">
        <v>782</v>
      </c>
    </row>
    <row r="533" ht="15.75" customHeight="1">
      <c r="A533" s="92">
        <v>33.0</v>
      </c>
      <c r="B533" s="92" t="s">
        <v>1240</v>
      </c>
      <c r="C533" s="92">
        <v>2.52610385E8</v>
      </c>
      <c r="D533" s="94" t="s">
        <v>581</v>
      </c>
      <c r="E533" s="92" t="s">
        <v>784</v>
      </c>
    </row>
    <row r="534" ht="15.75" customHeight="1">
      <c r="A534" s="92">
        <v>34.0</v>
      </c>
      <c r="B534" s="92" t="s">
        <v>1241</v>
      </c>
      <c r="C534" s="92">
        <v>2.52610388E8</v>
      </c>
      <c r="D534" s="94" t="s">
        <v>436</v>
      </c>
      <c r="E534" s="92" t="s">
        <v>784</v>
      </c>
    </row>
    <row r="535" ht="15.75" customHeight="1">
      <c r="A535" s="92">
        <v>35.0</v>
      </c>
      <c r="B535" s="92" t="s">
        <v>1242</v>
      </c>
      <c r="C535" s="92">
        <v>2.52610417E8</v>
      </c>
      <c r="D535" s="94" t="s">
        <v>438</v>
      </c>
      <c r="E535" s="92" t="s">
        <v>784</v>
      </c>
    </row>
    <row r="536" ht="15.75" customHeight="1">
      <c r="A536" s="92">
        <v>36.0</v>
      </c>
      <c r="B536" s="92" t="s">
        <v>1243</v>
      </c>
      <c r="C536" s="92">
        <v>2.52610458E8</v>
      </c>
      <c r="D536" s="94" t="s">
        <v>392</v>
      </c>
      <c r="E536" s="92" t="s">
        <v>782</v>
      </c>
    </row>
    <row r="537" ht="15.75" customHeight="1">
      <c r="A537" s="92">
        <v>37.0</v>
      </c>
      <c r="B537" s="92" t="s">
        <v>1244</v>
      </c>
      <c r="C537" s="92">
        <v>2.52610482E8</v>
      </c>
      <c r="D537" s="94" t="s">
        <v>393</v>
      </c>
      <c r="E537" s="92" t="s">
        <v>782</v>
      </c>
    </row>
    <row r="538" ht="15.75" customHeight="1">
      <c r="A538" s="92">
        <v>38.0</v>
      </c>
      <c r="B538" s="92" t="s">
        <v>1245</v>
      </c>
      <c r="C538" s="92">
        <v>2.52610499E8</v>
      </c>
      <c r="D538" s="94" t="s">
        <v>582</v>
      </c>
      <c r="E538" s="92" t="s">
        <v>784</v>
      </c>
    </row>
    <row r="539" ht="15.75" customHeight="1">
      <c r="A539" s="92">
        <v>39.0</v>
      </c>
      <c r="B539" s="92" t="s">
        <v>1246</v>
      </c>
      <c r="C539" s="92">
        <v>2.52610503E8</v>
      </c>
      <c r="D539" s="94" t="s">
        <v>583</v>
      </c>
      <c r="E539" s="92" t="s">
        <v>784</v>
      </c>
    </row>
    <row r="540" ht="15.75" customHeight="1">
      <c r="A540" s="92">
        <v>40.0</v>
      </c>
      <c r="B540" s="92" t="s">
        <v>1247</v>
      </c>
      <c r="C540" s="92">
        <v>2.52610506E8</v>
      </c>
      <c r="D540" s="94" t="s">
        <v>584</v>
      </c>
      <c r="E540" s="92" t="s">
        <v>784</v>
      </c>
    </row>
    <row r="541" ht="15.75" customHeight="1">
      <c r="A541" s="92">
        <v>41.0</v>
      </c>
      <c r="B541" s="92" t="s">
        <v>1248</v>
      </c>
      <c r="C541" s="92">
        <v>2.52610518E8</v>
      </c>
      <c r="D541" s="94" t="s">
        <v>585</v>
      </c>
      <c r="E541" s="92" t="s">
        <v>784</v>
      </c>
    </row>
    <row r="542" ht="15.75" customHeight="1">
      <c r="A542" s="92">
        <v>42.0</v>
      </c>
      <c r="B542" s="92" t="s">
        <v>1249</v>
      </c>
      <c r="C542" s="92">
        <v>2.52610524E8</v>
      </c>
      <c r="D542" s="94" t="s">
        <v>586</v>
      </c>
      <c r="E542" s="92" t="s">
        <v>784</v>
      </c>
    </row>
    <row r="543" ht="15.75" customHeight="1">
      <c r="A543" s="92">
        <v>43.0</v>
      </c>
      <c r="B543" s="92" t="s">
        <v>1250</v>
      </c>
      <c r="C543" s="92">
        <v>2.52610545E8</v>
      </c>
      <c r="D543" s="94" t="s">
        <v>442</v>
      </c>
      <c r="E543" s="92" t="s">
        <v>784</v>
      </c>
    </row>
    <row r="544" ht="15.75" customHeight="1">
      <c r="A544" s="92">
        <v>44.0</v>
      </c>
      <c r="B544" s="92" t="s">
        <v>1251</v>
      </c>
      <c r="C544" s="92">
        <v>2.52610551E8</v>
      </c>
      <c r="D544" s="94" t="s">
        <v>587</v>
      </c>
      <c r="E544" s="92" t="s">
        <v>784</v>
      </c>
    </row>
    <row r="545" ht="15.75" customHeight="1">
      <c r="A545" s="92">
        <v>47.0</v>
      </c>
      <c r="B545" s="92" t="s">
        <v>1252</v>
      </c>
      <c r="C545" s="92">
        <v>2.52610561E8</v>
      </c>
      <c r="D545" s="94" t="s">
        <v>394</v>
      </c>
      <c r="E545" s="92" t="s">
        <v>782</v>
      </c>
    </row>
    <row r="546" ht="15.75" customHeight="1">
      <c r="A546" s="92">
        <v>48.0</v>
      </c>
      <c r="B546" s="92" t="s">
        <v>1253</v>
      </c>
      <c r="C546" s="92">
        <v>2.52610565E8</v>
      </c>
      <c r="D546" s="94" t="s">
        <v>588</v>
      </c>
      <c r="E546" s="92" t="s">
        <v>784</v>
      </c>
    </row>
    <row r="547" ht="15.75" customHeight="1">
      <c r="A547" s="71"/>
      <c r="B547" s="71"/>
      <c r="C547" s="71"/>
      <c r="D547" s="71"/>
      <c r="E547" s="71"/>
    </row>
    <row r="548" ht="15.75" customHeight="1">
      <c r="A548" s="71"/>
      <c r="B548" s="71"/>
      <c r="C548" s="71"/>
      <c r="D548" s="94" t="s">
        <v>1368</v>
      </c>
      <c r="E548" s="96">
        <f>COUNTIF(E503:E546,"P")</f>
        <v>27</v>
      </c>
    </row>
    <row r="549" ht="15.75" customHeight="1">
      <c r="A549" s="71"/>
      <c r="B549" s="71"/>
      <c r="C549" s="71"/>
      <c r="D549" s="94" t="s">
        <v>1369</v>
      </c>
      <c r="E549" s="96">
        <f>COUNTIF(E503:E546,"L")</f>
        <v>17</v>
      </c>
    </row>
    <row r="550" ht="15.75" customHeight="1">
      <c r="A550" s="71"/>
      <c r="B550" s="71"/>
      <c r="C550" s="71"/>
      <c r="D550" s="71"/>
      <c r="E550" s="71"/>
    </row>
    <row r="551" ht="15.75" customHeight="1">
      <c r="A551" s="71" t="s">
        <v>1380</v>
      </c>
      <c r="B551" s="71"/>
      <c r="C551" s="71"/>
      <c r="D551" s="71"/>
      <c r="E551" s="71" t="s">
        <v>79</v>
      </c>
    </row>
    <row r="552" ht="15.75" customHeight="1">
      <c r="A552" s="95" t="s">
        <v>775</v>
      </c>
      <c r="B552" s="95" t="s">
        <v>776</v>
      </c>
      <c r="C552" s="95" t="s">
        <v>777</v>
      </c>
      <c r="D552" s="95" t="s">
        <v>219</v>
      </c>
      <c r="E552" s="95" t="s">
        <v>778</v>
      </c>
    </row>
    <row r="553" ht="15.75" customHeight="1">
      <c r="A553" s="92">
        <v>1.0</v>
      </c>
      <c r="B553" s="92" t="s">
        <v>1254</v>
      </c>
      <c r="C553" s="92">
        <v>2.52610015E8</v>
      </c>
      <c r="D553" s="94" t="s">
        <v>361</v>
      </c>
      <c r="E553" s="92" t="s">
        <v>782</v>
      </c>
    </row>
    <row r="554" ht="15.75" customHeight="1">
      <c r="A554" s="92">
        <v>2.0</v>
      </c>
      <c r="B554" s="92" t="s">
        <v>1255</v>
      </c>
      <c r="C554" s="92">
        <v>2.52610021E8</v>
      </c>
      <c r="D554" s="94" t="s">
        <v>724</v>
      </c>
      <c r="E554" s="92" t="s">
        <v>784</v>
      </c>
    </row>
    <row r="555" ht="15.75" customHeight="1">
      <c r="A555" s="92">
        <v>3.0</v>
      </c>
      <c r="B555" s="92" t="s">
        <v>1256</v>
      </c>
      <c r="C555" s="92">
        <v>2.52610029E8</v>
      </c>
      <c r="D555" s="94" t="s">
        <v>725</v>
      </c>
      <c r="E555" s="92" t="s">
        <v>784</v>
      </c>
    </row>
    <row r="556" ht="15.75" customHeight="1">
      <c r="A556" s="92">
        <v>4.0</v>
      </c>
      <c r="B556" s="92" t="s">
        <v>1257</v>
      </c>
      <c r="C556" s="92">
        <v>2.5261003E8</v>
      </c>
      <c r="D556" s="94" t="s">
        <v>726</v>
      </c>
      <c r="E556" s="92" t="s">
        <v>784</v>
      </c>
    </row>
    <row r="557" ht="15.75" customHeight="1">
      <c r="A557" s="92">
        <v>5.0</v>
      </c>
      <c r="B557" s="92" t="s">
        <v>1258</v>
      </c>
      <c r="C557" s="92">
        <v>2.52610046E8</v>
      </c>
      <c r="D557" s="94" t="s">
        <v>727</v>
      </c>
      <c r="E557" s="92" t="s">
        <v>784</v>
      </c>
    </row>
    <row r="558" ht="15.75" customHeight="1">
      <c r="A558" s="92">
        <v>6.0</v>
      </c>
      <c r="B558" s="92" t="s">
        <v>1259</v>
      </c>
      <c r="C558" s="92">
        <v>2.52610068E8</v>
      </c>
      <c r="D558" s="94" t="s">
        <v>728</v>
      </c>
      <c r="E558" s="92" t="s">
        <v>784</v>
      </c>
    </row>
    <row r="559" ht="15.75" customHeight="1">
      <c r="A559" s="92">
        <v>7.0</v>
      </c>
      <c r="B559" s="92" t="s">
        <v>1260</v>
      </c>
      <c r="C559" s="92">
        <v>2.5261008E8</v>
      </c>
      <c r="D559" s="94" t="s">
        <v>362</v>
      </c>
      <c r="E559" s="92" t="s">
        <v>782</v>
      </c>
    </row>
    <row r="560" ht="15.75" customHeight="1">
      <c r="A560" s="92">
        <v>8.0</v>
      </c>
      <c r="B560" s="92" t="s">
        <v>1261</v>
      </c>
      <c r="C560" s="92">
        <v>2.52610081E8</v>
      </c>
      <c r="D560" s="94" t="s">
        <v>729</v>
      </c>
      <c r="E560" s="92" t="s">
        <v>784</v>
      </c>
    </row>
    <row r="561" ht="15.75" customHeight="1">
      <c r="A561" s="92">
        <v>10.0</v>
      </c>
      <c r="B561" s="92" t="s">
        <v>1262</v>
      </c>
      <c r="C561" s="92">
        <v>2.52610106E8</v>
      </c>
      <c r="D561" s="94" t="s">
        <v>447</v>
      </c>
      <c r="E561" s="92" t="s">
        <v>784</v>
      </c>
    </row>
    <row r="562" ht="15.75" customHeight="1">
      <c r="A562" s="92">
        <v>11.0</v>
      </c>
      <c r="B562" s="92" t="s">
        <v>1263</v>
      </c>
      <c r="C562" s="92">
        <v>2.52610107E8</v>
      </c>
      <c r="D562" s="94" t="s">
        <v>730</v>
      </c>
      <c r="E562" s="92" t="s">
        <v>784</v>
      </c>
    </row>
    <row r="563" ht="15.75" customHeight="1">
      <c r="A563" s="92">
        <v>12.0</v>
      </c>
      <c r="B563" s="92" t="s">
        <v>1264</v>
      </c>
      <c r="C563" s="92">
        <v>2.52610127E8</v>
      </c>
      <c r="D563" s="94" t="s">
        <v>363</v>
      </c>
      <c r="E563" s="92" t="s">
        <v>782</v>
      </c>
    </row>
    <row r="564" ht="15.75" customHeight="1">
      <c r="A564" s="92">
        <v>13.0</v>
      </c>
      <c r="B564" s="92" t="s">
        <v>1265</v>
      </c>
      <c r="C564" s="92">
        <v>2.52610143E8</v>
      </c>
      <c r="D564" s="94" t="s">
        <v>364</v>
      </c>
      <c r="E564" s="92" t="s">
        <v>782</v>
      </c>
    </row>
    <row r="565" ht="15.75" customHeight="1">
      <c r="A565" s="92">
        <v>14.0</v>
      </c>
      <c r="B565" s="92" t="s">
        <v>1266</v>
      </c>
      <c r="C565" s="92">
        <v>2.52610147E8</v>
      </c>
      <c r="D565" s="94" t="s">
        <v>365</v>
      </c>
      <c r="E565" s="92" t="s">
        <v>782</v>
      </c>
    </row>
    <row r="566" ht="15.75" customHeight="1">
      <c r="A566" s="92">
        <v>15.0</v>
      </c>
      <c r="B566" s="92" t="s">
        <v>1267</v>
      </c>
      <c r="C566" s="92">
        <v>2.52610149E8</v>
      </c>
      <c r="D566" s="94" t="s">
        <v>731</v>
      </c>
      <c r="E566" s="92" t="s">
        <v>784</v>
      </c>
    </row>
    <row r="567" ht="15.75" customHeight="1">
      <c r="A567" s="92">
        <v>16.0</v>
      </c>
      <c r="B567" s="92" t="s">
        <v>1268</v>
      </c>
      <c r="C567" s="92">
        <v>2.52610152E8</v>
      </c>
      <c r="D567" s="94" t="s">
        <v>732</v>
      </c>
      <c r="E567" s="92" t="s">
        <v>784</v>
      </c>
    </row>
    <row r="568" ht="15.75" customHeight="1">
      <c r="A568" s="92">
        <v>17.0</v>
      </c>
      <c r="B568" s="92" t="s">
        <v>1269</v>
      </c>
      <c r="C568" s="92">
        <v>2.52610208E8</v>
      </c>
      <c r="D568" s="94" t="s">
        <v>733</v>
      </c>
      <c r="E568" s="92" t="s">
        <v>784</v>
      </c>
    </row>
    <row r="569" ht="15.75" customHeight="1">
      <c r="A569" s="92">
        <v>18.0</v>
      </c>
      <c r="B569" s="92" t="s">
        <v>1270</v>
      </c>
      <c r="C569" s="92">
        <v>2.52610218E8</v>
      </c>
      <c r="D569" s="94" t="s">
        <v>366</v>
      </c>
      <c r="E569" s="92" t="s">
        <v>782</v>
      </c>
    </row>
    <row r="570" ht="15.75" customHeight="1">
      <c r="A570" s="92">
        <v>19.0</v>
      </c>
      <c r="B570" s="92" t="s">
        <v>1271</v>
      </c>
      <c r="C570" s="92">
        <v>2.52610267E8</v>
      </c>
      <c r="D570" s="94" t="s">
        <v>734</v>
      </c>
      <c r="E570" s="92" t="s">
        <v>784</v>
      </c>
    </row>
    <row r="571" ht="15.75" customHeight="1">
      <c r="A571" s="92">
        <v>20.0</v>
      </c>
      <c r="B571" s="92" t="s">
        <v>1272</v>
      </c>
      <c r="C571" s="92">
        <v>2.52610269E8</v>
      </c>
      <c r="D571" s="94" t="s">
        <v>367</v>
      </c>
      <c r="E571" s="92" t="s">
        <v>782</v>
      </c>
    </row>
    <row r="572" ht="15.75" customHeight="1">
      <c r="A572" s="92">
        <v>21.0</v>
      </c>
      <c r="B572" s="92" t="s">
        <v>1273</v>
      </c>
      <c r="C572" s="92">
        <v>2.5261027E8</v>
      </c>
      <c r="D572" s="94" t="s">
        <v>735</v>
      </c>
      <c r="E572" s="92" t="s">
        <v>784</v>
      </c>
    </row>
    <row r="573" ht="15.75" customHeight="1">
      <c r="A573" s="92">
        <v>22.0</v>
      </c>
      <c r="B573" s="92" t="s">
        <v>1274</v>
      </c>
      <c r="C573" s="92">
        <v>2.52610271E8</v>
      </c>
      <c r="D573" s="94" t="s">
        <v>368</v>
      </c>
      <c r="E573" s="92" t="s">
        <v>782</v>
      </c>
    </row>
    <row r="574" ht="15.75" customHeight="1">
      <c r="A574" s="92">
        <v>23.0</v>
      </c>
      <c r="B574" s="92" t="s">
        <v>1275</v>
      </c>
      <c r="C574" s="92">
        <v>2.52610296E8</v>
      </c>
      <c r="D574" s="94" t="s">
        <v>565</v>
      </c>
      <c r="E574" s="92" t="s">
        <v>784</v>
      </c>
    </row>
    <row r="575" ht="15.75" customHeight="1">
      <c r="A575" s="92">
        <v>24.0</v>
      </c>
      <c r="B575" s="92" t="s">
        <v>1276</v>
      </c>
      <c r="C575" s="92">
        <v>2.52610298E8</v>
      </c>
      <c r="D575" s="94" t="s">
        <v>369</v>
      </c>
      <c r="E575" s="92" t="s">
        <v>782</v>
      </c>
    </row>
    <row r="576" ht="15.75" customHeight="1">
      <c r="A576" s="92">
        <v>26.0</v>
      </c>
      <c r="B576" s="92" t="s">
        <v>1277</v>
      </c>
      <c r="C576" s="92">
        <v>2.52610307E8</v>
      </c>
      <c r="D576" s="94" t="s">
        <v>566</v>
      </c>
      <c r="E576" s="92" t="s">
        <v>784</v>
      </c>
    </row>
    <row r="577" ht="15.75" customHeight="1">
      <c r="A577" s="92">
        <v>27.0</v>
      </c>
      <c r="B577" s="92" t="s">
        <v>1278</v>
      </c>
      <c r="C577" s="92">
        <v>2.52610331E8</v>
      </c>
      <c r="D577" s="94" t="s">
        <v>370</v>
      </c>
      <c r="E577" s="92" t="s">
        <v>782</v>
      </c>
    </row>
    <row r="578" ht="15.75" customHeight="1">
      <c r="A578" s="92">
        <v>28.0</v>
      </c>
      <c r="B578" s="92" t="s">
        <v>1279</v>
      </c>
      <c r="C578" s="92">
        <v>2.52610339E8</v>
      </c>
      <c r="D578" s="94" t="s">
        <v>371</v>
      </c>
      <c r="E578" s="92" t="s">
        <v>782</v>
      </c>
    </row>
    <row r="579" ht="15.75" customHeight="1">
      <c r="A579" s="92">
        <v>29.0</v>
      </c>
      <c r="B579" s="92" t="s">
        <v>1280</v>
      </c>
      <c r="C579" s="92">
        <v>2.52610359E8</v>
      </c>
      <c r="D579" s="94" t="s">
        <v>372</v>
      </c>
      <c r="E579" s="92" t="s">
        <v>782</v>
      </c>
    </row>
    <row r="580" ht="15.75" customHeight="1">
      <c r="A580" s="92">
        <v>30.0</v>
      </c>
      <c r="B580" s="92" t="s">
        <v>1281</v>
      </c>
      <c r="C580" s="92">
        <v>2.52610377E8</v>
      </c>
      <c r="D580" s="94" t="s">
        <v>373</v>
      </c>
      <c r="E580" s="92" t="s">
        <v>782</v>
      </c>
    </row>
    <row r="581" ht="15.75" customHeight="1">
      <c r="A581" s="92">
        <v>31.0</v>
      </c>
      <c r="B581" s="92" t="s">
        <v>1282</v>
      </c>
      <c r="C581" s="92">
        <v>2.52610387E8</v>
      </c>
      <c r="D581" s="94" t="s">
        <v>567</v>
      </c>
      <c r="E581" s="92" t="s">
        <v>784</v>
      </c>
    </row>
    <row r="582" ht="15.75" customHeight="1">
      <c r="A582" s="92">
        <v>32.0</v>
      </c>
      <c r="B582" s="92" t="s">
        <v>1283</v>
      </c>
      <c r="C582" s="92">
        <v>2.52610391E8</v>
      </c>
      <c r="D582" s="94" t="s">
        <v>452</v>
      </c>
      <c r="E582" s="92" t="s">
        <v>784</v>
      </c>
    </row>
    <row r="583" ht="15.75" customHeight="1">
      <c r="A583" s="92">
        <v>33.0</v>
      </c>
      <c r="B583" s="92" t="s">
        <v>1284</v>
      </c>
      <c r="C583" s="92">
        <v>2.526104E8</v>
      </c>
      <c r="D583" s="94" t="s">
        <v>237</v>
      </c>
      <c r="E583" s="92" t="s">
        <v>782</v>
      </c>
    </row>
    <row r="584" ht="15.75" customHeight="1">
      <c r="A584" s="92">
        <v>34.0</v>
      </c>
      <c r="B584" s="92" t="s">
        <v>1285</v>
      </c>
      <c r="C584" s="92">
        <v>2.52610405E8</v>
      </c>
      <c r="D584" s="94" t="s">
        <v>568</v>
      </c>
      <c r="E584" s="92" t="s">
        <v>784</v>
      </c>
    </row>
    <row r="585" ht="15.75" customHeight="1">
      <c r="A585" s="92">
        <v>35.0</v>
      </c>
      <c r="B585" s="92" t="s">
        <v>1286</v>
      </c>
      <c r="C585" s="92">
        <v>2.52610407E8</v>
      </c>
      <c r="D585" s="94" t="s">
        <v>569</v>
      </c>
      <c r="E585" s="92" t="s">
        <v>784</v>
      </c>
    </row>
    <row r="586" ht="15.75" customHeight="1">
      <c r="A586" s="92">
        <v>36.0</v>
      </c>
      <c r="B586" s="92" t="s">
        <v>1287</v>
      </c>
      <c r="C586" s="92">
        <v>2.52610411E8</v>
      </c>
      <c r="D586" s="94" t="s">
        <v>570</v>
      </c>
      <c r="E586" s="92" t="s">
        <v>784</v>
      </c>
    </row>
    <row r="587" ht="15.75" customHeight="1">
      <c r="A587" s="92">
        <v>39.0</v>
      </c>
      <c r="B587" s="92" t="s">
        <v>1288</v>
      </c>
      <c r="C587" s="92">
        <v>2.52610448E8</v>
      </c>
      <c r="D587" s="94" t="s">
        <v>374</v>
      </c>
      <c r="E587" s="92" t="s">
        <v>782</v>
      </c>
    </row>
    <row r="588" ht="15.75" customHeight="1">
      <c r="A588" s="92">
        <v>40.0</v>
      </c>
      <c r="B588" s="92" t="s">
        <v>1289</v>
      </c>
      <c r="C588" s="92">
        <v>2.52610455E8</v>
      </c>
      <c r="D588" s="94" t="s">
        <v>375</v>
      </c>
      <c r="E588" s="92" t="s">
        <v>782</v>
      </c>
    </row>
    <row r="589" ht="15.75" customHeight="1">
      <c r="A589" s="92">
        <v>41.0</v>
      </c>
      <c r="B589" s="92" t="s">
        <v>1290</v>
      </c>
      <c r="C589" s="92">
        <v>2.5261049E8</v>
      </c>
      <c r="D589" s="94" t="s">
        <v>455</v>
      </c>
      <c r="E589" s="92" t="s">
        <v>784</v>
      </c>
    </row>
    <row r="590" ht="15.75" customHeight="1">
      <c r="A590" s="92">
        <v>42.0</v>
      </c>
      <c r="B590" s="92" t="s">
        <v>1291</v>
      </c>
      <c r="C590" s="92">
        <v>2.52610494E8</v>
      </c>
      <c r="D590" s="94" t="s">
        <v>376</v>
      </c>
      <c r="E590" s="92" t="s">
        <v>782</v>
      </c>
    </row>
    <row r="591" ht="15.75" customHeight="1">
      <c r="A591" s="92">
        <v>43.0</v>
      </c>
      <c r="B591" s="92" t="s">
        <v>1292</v>
      </c>
      <c r="C591" s="92">
        <v>2.52610496E8</v>
      </c>
      <c r="D591" s="94" t="s">
        <v>571</v>
      </c>
      <c r="E591" s="92" t="s">
        <v>784</v>
      </c>
    </row>
    <row r="592" ht="15.75" customHeight="1">
      <c r="A592" s="92">
        <v>44.0</v>
      </c>
      <c r="B592" s="92" t="s">
        <v>1293</v>
      </c>
      <c r="C592" s="92">
        <v>2.52610502E8</v>
      </c>
      <c r="D592" s="94" t="s">
        <v>572</v>
      </c>
      <c r="E592" s="92" t="s">
        <v>784</v>
      </c>
    </row>
    <row r="593" ht="15.75" customHeight="1">
      <c r="A593" s="92">
        <v>45.0</v>
      </c>
      <c r="B593" s="92" t="s">
        <v>1294</v>
      </c>
      <c r="C593" s="92">
        <v>2.52610516E8</v>
      </c>
      <c r="D593" s="94" t="s">
        <v>573</v>
      </c>
      <c r="E593" s="92" t="s">
        <v>784</v>
      </c>
    </row>
    <row r="594" ht="15.75" customHeight="1">
      <c r="A594" s="92">
        <v>46.0</v>
      </c>
      <c r="B594" s="92" t="s">
        <v>1295</v>
      </c>
      <c r="C594" s="92">
        <v>2.52610531E8</v>
      </c>
      <c r="D594" s="94" t="s">
        <v>574</v>
      </c>
      <c r="E594" s="92" t="s">
        <v>784</v>
      </c>
    </row>
    <row r="595" ht="15.75" customHeight="1">
      <c r="A595" s="92">
        <v>47.0</v>
      </c>
      <c r="B595" s="92" t="s">
        <v>1296</v>
      </c>
      <c r="C595" s="92">
        <v>2.5261055E8</v>
      </c>
      <c r="D595" s="94" t="s">
        <v>575</v>
      </c>
      <c r="E595" s="92" t="s">
        <v>784</v>
      </c>
    </row>
    <row r="596" ht="15.75" customHeight="1">
      <c r="A596" s="92">
        <v>48.0</v>
      </c>
      <c r="B596" s="92" t="s">
        <v>1297</v>
      </c>
      <c r="C596" s="92">
        <v>2.52610562E8</v>
      </c>
      <c r="D596" s="94" t="s">
        <v>576</v>
      </c>
      <c r="E596" s="92" t="s">
        <v>784</v>
      </c>
    </row>
    <row r="597" ht="15.75" customHeight="1">
      <c r="A597" s="71"/>
      <c r="B597" s="71"/>
      <c r="C597" s="71"/>
      <c r="D597" s="71"/>
      <c r="E597" s="71"/>
    </row>
    <row r="598" ht="15.75" customHeight="1">
      <c r="A598" s="71"/>
      <c r="B598" s="71"/>
      <c r="C598" s="71"/>
      <c r="D598" s="94" t="s">
        <v>1368</v>
      </c>
      <c r="E598" s="96">
        <f>COUNTIF(E553:E596,"P")</f>
        <v>27</v>
      </c>
    </row>
    <row r="599" ht="15.75" customHeight="1">
      <c r="A599" s="71"/>
      <c r="B599" s="71"/>
      <c r="C599" s="71"/>
      <c r="D599" s="94" t="s">
        <v>1369</v>
      </c>
      <c r="E599" s="96">
        <f>COUNTIF(E553:E596,"L")</f>
        <v>17</v>
      </c>
    </row>
    <row r="600" ht="15.75" customHeight="1">
      <c r="A600" s="71"/>
      <c r="B600" s="71"/>
      <c r="C600" s="71"/>
      <c r="D600" s="71"/>
      <c r="E600" s="71"/>
    </row>
    <row r="601" ht="15.75" customHeight="1">
      <c r="A601" s="71"/>
      <c r="B601" s="71"/>
      <c r="C601" s="71"/>
      <c r="D601" s="71"/>
      <c r="E601" s="71"/>
    </row>
    <row r="602" ht="15.75" customHeight="1">
      <c r="A602" s="71"/>
      <c r="B602" s="71"/>
      <c r="C602" s="71"/>
      <c r="D602" s="71"/>
      <c r="E602" s="71"/>
    </row>
    <row r="603" ht="15.75" customHeight="1">
      <c r="A603" s="71"/>
      <c r="B603" s="71"/>
      <c r="C603" s="71"/>
      <c r="D603" s="71"/>
      <c r="E603" s="71"/>
    </row>
    <row r="604" ht="15.75" customHeight="1">
      <c r="A604" s="71"/>
      <c r="B604" s="71"/>
      <c r="C604" s="71"/>
      <c r="D604" s="71"/>
      <c r="E604" s="71"/>
    </row>
    <row r="605" ht="15.75" customHeight="1">
      <c r="A605" s="71"/>
      <c r="B605" s="71"/>
      <c r="C605" s="71"/>
      <c r="D605" s="71"/>
      <c r="E605" s="71"/>
    </row>
    <row r="606" ht="15.75" customHeight="1">
      <c r="A606" s="71"/>
      <c r="B606" s="71"/>
      <c r="C606" s="71"/>
      <c r="D606" s="71"/>
      <c r="E606" s="71"/>
    </row>
    <row r="607" ht="15.75" customHeight="1">
      <c r="A607" s="71"/>
      <c r="B607" s="71"/>
      <c r="C607" s="71"/>
      <c r="D607" s="71"/>
      <c r="E607" s="71"/>
    </row>
    <row r="608" ht="15.75" customHeight="1">
      <c r="A608" s="71"/>
      <c r="B608" s="71"/>
      <c r="C608" s="71"/>
      <c r="D608" s="71"/>
      <c r="E608" s="71"/>
    </row>
    <row r="609" ht="15.75" customHeight="1">
      <c r="A609" s="71"/>
      <c r="B609" s="71"/>
      <c r="C609" s="71"/>
      <c r="D609" s="71"/>
      <c r="E609" s="71"/>
    </row>
    <row r="610" ht="15.75" customHeight="1">
      <c r="A610" s="71"/>
      <c r="B610" s="71"/>
      <c r="C610" s="71"/>
      <c r="D610" s="71"/>
      <c r="E610" s="71"/>
    </row>
    <row r="611" ht="15.75" customHeight="1">
      <c r="A611" s="71"/>
      <c r="B611" s="71"/>
      <c r="C611" s="71"/>
      <c r="D611" s="71"/>
      <c r="E611" s="71"/>
    </row>
    <row r="612" ht="15.75" customHeight="1">
      <c r="A612" s="71"/>
      <c r="B612" s="71"/>
      <c r="C612" s="71"/>
      <c r="D612" s="71"/>
      <c r="E612" s="71"/>
    </row>
    <row r="613" ht="15.75" customHeight="1">
      <c r="A613" s="71"/>
      <c r="B613" s="71"/>
      <c r="C613" s="71"/>
      <c r="D613" s="71"/>
      <c r="E613" s="71"/>
    </row>
    <row r="614" ht="15.75" customHeight="1">
      <c r="A614" s="71"/>
      <c r="B614" s="71"/>
      <c r="C614" s="71"/>
      <c r="D614" s="71"/>
      <c r="E614" s="71"/>
    </row>
    <row r="615" ht="15.75" customHeight="1">
      <c r="A615" s="71"/>
      <c r="B615" s="71"/>
      <c r="C615" s="71"/>
      <c r="D615" s="71"/>
      <c r="E615" s="71"/>
    </row>
    <row r="616" ht="15.75" customHeight="1">
      <c r="A616" s="71"/>
      <c r="B616" s="71"/>
      <c r="C616" s="71"/>
      <c r="D616" s="71"/>
      <c r="E616" s="71"/>
    </row>
    <row r="617" ht="15.75" customHeight="1">
      <c r="A617" s="71"/>
      <c r="B617" s="71"/>
      <c r="C617" s="71"/>
      <c r="D617" s="71"/>
      <c r="E617" s="71"/>
    </row>
    <row r="618" ht="15.75" customHeight="1">
      <c r="A618" s="71"/>
      <c r="B618" s="71"/>
      <c r="C618" s="71"/>
      <c r="D618" s="71"/>
      <c r="E618" s="71"/>
    </row>
    <row r="619" ht="15.75" customHeight="1">
      <c r="A619" s="71"/>
      <c r="B619" s="71"/>
      <c r="C619" s="71"/>
      <c r="D619" s="71"/>
      <c r="E619" s="71"/>
    </row>
    <row r="620" ht="15.75" customHeight="1">
      <c r="A620" s="71"/>
      <c r="B620" s="71"/>
      <c r="C620" s="71"/>
      <c r="D620" s="71"/>
      <c r="E620" s="71"/>
    </row>
    <row r="621" ht="15.75" customHeight="1">
      <c r="A621" s="71"/>
      <c r="B621" s="71"/>
      <c r="C621" s="71"/>
      <c r="D621" s="71"/>
      <c r="E621" s="71"/>
    </row>
    <row r="622" ht="15.75" customHeight="1">
      <c r="A622" s="71"/>
      <c r="B622" s="71"/>
      <c r="C622" s="71"/>
      <c r="D622" s="71"/>
      <c r="E622" s="71"/>
    </row>
    <row r="623" ht="15.75" customHeight="1">
      <c r="A623" s="71"/>
      <c r="B623" s="71"/>
      <c r="C623" s="71"/>
      <c r="D623" s="71"/>
      <c r="E623" s="71"/>
    </row>
    <row r="624" ht="15.75" customHeight="1">
      <c r="A624" s="71"/>
      <c r="B624" s="71"/>
      <c r="C624" s="71"/>
      <c r="D624" s="71"/>
      <c r="E624" s="71"/>
    </row>
    <row r="625" ht="15.75" customHeight="1">
      <c r="A625" s="71"/>
      <c r="B625" s="71"/>
      <c r="C625" s="71"/>
      <c r="D625" s="71"/>
      <c r="E625" s="71"/>
    </row>
    <row r="626" ht="15.75" customHeight="1">
      <c r="A626" s="71"/>
      <c r="B626" s="71"/>
      <c r="C626" s="71"/>
      <c r="D626" s="71"/>
      <c r="E626" s="71"/>
    </row>
    <row r="627" ht="15.75" customHeight="1">
      <c r="A627" s="71"/>
      <c r="B627" s="71"/>
      <c r="C627" s="71"/>
      <c r="D627" s="71"/>
      <c r="E627" s="71"/>
    </row>
    <row r="628" ht="15.75" customHeight="1">
      <c r="A628" s="71"/>
      <c r="B628" s="71"/>
      <c r="C628" s="71"/>
      <c r="D628" s="71"/>
      <c r="E628" s="71"/>
    </row>
    <row r="629" ht="15.75" customHeight="1">
      <c r="A629" s="71"/>
      <c r="B629" s="71"/>
      <c r="C629" s="71"/>
      <c r="D629" s="71"/>
      <c r="E629" s="71"/>
    </row>
    <row r="630" ht="15.75" customHeight="1">
      <c r="A630" s="71"/>
      <c r="B630" s="71"/>
      <c r="C630" s="71"/>
      <c r="D630" s="71"/>
      <c r="E630" s="71"/>
    </row>
    <row r="631" ht="15.75" customHeight="1">
      <c r="A631" s="71"/>
      <c r="B631" s="71"/>
      <c r="C631" s="71"/>
      <c r="D631" s="71"/>
      <c r="E631" s="71"/>
    </row>
    <row r="632" ht="15.75" customHeight="1">
      <c r="A632" s="71"/>
      <c r="B632" s="71"/>
      <c r="C632" s="71"/>
      <c r="D632" s="71"/>
      <c r="E632" s="71"/>
    </row>
    <row r="633" ht="15.75" customHeight="1">
      <c r="A633" s="71"/>
      <c r="B633" s="71"/>
      <c r="C633" s="71"/>
      <c r="D633" s="71"/>
      <c r="E633" s="71"/>
    </row>
    <row r="634" ht="15.75" customHeight="1">
      <c r="A634" s="71"/>
      <c r="B634" s="71"/>
      <c r="C634" s="71"/>
      <c r="D634" s="71"/>
      <c r="E634" s="71"/>
    </row>
    <row r="635" ht="15.75" customHeight="1">
      <c r="A635" s="71"/>
      <c r="B635" s="71"/>
      <c r="C635" s="71"/>
      <c r="D635" s="71"/>
      <c r="E635" s="71"/>
    </row>
    <row r="636" ht="15.75" customHeight="1">
      <c r="A636" s="71"/>
      <c r="B636" s="71"/>
      <c r="C636" s="71"/>
      <c r="D636" s="71"/>
      <c r="E636" s="71"/>
    </row>
    <row r="637" ht="15.75" customHeight="1">
      <c r="A637" s="71"/>
      <c r="B637" s="71"/>
      <c r="C637" s="71"/>
      <c r="D637" s="71"/>
      <c r="E637" s="71"/>
    </row>
    <row r="638" ht="15.75" customHeight="1">
      <c r="A638" s="71"/>
      <c r="B638" s="71"/>
      <c r="C638" s="71"/>
      <c r="D638" s="71"/>
      <c r="E638" s="71"/>
    </row>
    <row r="639" ht="15.75" customHeight="1">
      <c r="A639" s="71"/>
      <c r="B639" s="71"/>
      <c r="C639" s="71"/>
      <c r="D639" s="71"/>
      <c r="E639" s="71"/>
    </row>
    <row r="640" ht="15.75" customHeight="1">
      <c r="A640" s="71"/>
      <c r="B640" s="71"/>
      <c r="C640" s="71"/>
      <c r="D640" s="71"/>
      <c r="E640" s="71"/>
    </row>
    <row r="641" ht="15.75" customHeight="1">
      <c r="A641" s="71"/>
      <c r="B641" s="71"/>
      <c r="C641" s="71"/>
      <c r="D641" s="71"/>
      <c r="E641" s="71"/>
    </row>
    <row r="642" ht="15.75" customHeight="1">
      <c r="A642" s="71"/>
      <c r="B642" s="71"/>
      <c r="C642" s="71"/>
      <c r="D642" s="71"/>
      <c r="E642" s="71"/>
    </row>
    <row r="643" ht="15.75" customHeight="1">
      <c r="A643" s="71"/>
      <c r="B643" s="71"/>
      <c r="C643" s="71"/>
      <c r="D643" s="71"/>
      <c r="E643" s="71"/>
    </row>
    <row r="644" ht="15.75" customHeight="1">
      <c r="A644" s="71"/>
      <c r="B644" s="71"/>
      <c r="C644" s="71"/>
      <c r="D644" s="71"/>
      <c r="E644" s="71"/>
    </row>
    <row r="645" ht="15.75" customHeight="1">
      <c r="A645" s="71"/>
      <c r="B645" s="71"/>
      <c r="C645" s="71"/>
      <c r="D645" s="71"/>
      <c r="E645" s="71"/>
    </row>
    <row r="646" ht="15.75" customHeight="1">
      <c r="A646" s="71"/>
      <c r="B646" s="71"/>
      <c r="C646" s="71"/>
      <c r="D646" s="71"/>
      <c r="E646" s="71"/>
    </row>
    <row r="647" ht="15.75" customHeight="1">
      <c r="A647" s="71"/>
      <c r="B647" s="71"/>
      <c r="C647" s="71"/>
      <c r="D647" s="71"/>
      <c r="E647" s="71"/>
    </row>
    <row r="648" ht="15.75" customHeight="1">
      <c r="A648" s="71"/>
      <c r="B648" s="71"/>
      <c r="C648" s="71"/>
      <c r="D648" s="71"/>
      <c r="E648" s="71"/>
    </row>
    <row r="649" ht="15.75" customHeight="1">
      <c r="A649" s="71"/>
      <c r="B649" s="71"/>
      <c r="C649" s="71"/>
      <c r="D649" s="71"/>
      <c r="E649" s="71"/>
    </row>
    <row r="650" ht="15.75" customHeight="1">
      <c r="A650" s="71"/>
      <c r="B650" s="71"/>
      <c r="C650" s="71"/>
      <c r="D650" s="71"/>
      <c r="E650" s="71"/>
    </row>
    <row r="651" ht="15.75" customHeight="1">
      <c r="A651" s="71"/>
      <c r="B651" s="71"/>
      <c r="C651" s="71"/>
      <c r="D651" s="71"/>
      <c r="E651" s="71"/>
    </row>
    <row r="652" ht="15.75" customHeight="1">
      <c r="A652" s="71"/>
      <c r="B652" s="71"/>
      <c r="C652" s="71"/>
      <c r="D652" s="71"/>
      <c r="E652" s="71"/>
    </row>
    <row r="653" ht="15.75" customHeight="1">
      <c r="A653" s="71"/>
      <c r="B653" s="71"/>
      <c r="C653" s="71"/>
      <c r="D653" s="71"/>
      <c r="E653" s="71"/>
    </row>
    <row r="654" ht="15.75" customHeight="1">
      <c r="A654" s="71"/>
      <c r="B654" s="71"/>
      <c r="C654" s="71"/>
      <c r="D654" s="71"/>
      <c r="E654" s="71"/>
    </row>
    <row r="655" ht="15.75" customHeight="1">
      <c r="A655" s="71"/>
      <c r="B655" s="71"/>
      <c r="C655" s="71"/>
      <c r="D655" s="71"/>
      <c r="E655" s="71"/>
    </row>
    <row r="656" ht="15.75" customHeight="1">
      <c r="A656" s="71"/>
      <c r="B656" s="71"/>
      <c r="C656" s="71"/>
      <c r="D656" s="71"/>
      <c r="E656" s="71"/>
    </row>
    <row r="657" ht="15.75" customHeight="1">
      <c r="A657" s="71"/>
      <c r="B657" s="71"/>
      <c r="C657" s="71"/>
      <c r="D657" s="71"/>
      <c r="E657" s="71"/>
    </row>
    <row r="658" ht="15.75" customHeight="1">
      <c r="A658" s="71"/>
      <c r="B658" s="71"/>
      <c r="C658" s="71"/>
      <c r="D658" s="71"/>
      <c r="E658" s="71"/>
    </row>
    <row r="659" ht="15.75" customHeight="1">
      <c r="A659" s="71"/>
      <c r="B659" s="71"/>
      <c r="C659" s="71"/>
      <c r="D659" s="71"/>
      <c r="E659" s="71"/>
    </row>
    <row r="660" ht="15.75" customHeight="1">
      <c r="A660" s="71"/>
      <c r="B660" s="71"/>
      <c r="C660" s="71"/>
      <c r="D660" s="71"/>
      <c r="E660" s="71"/>
    </row>
    <row r="661" ht="15.75" customHeight="1">
      <c r="A661" s="71"/>
      <c r="B661" s="71"/>
      <c r="C661" s="71"/>
      <c r="D661" s="71"/>
      <c r="E661" s="71"/>
    </row>
    <row r="662" ht="15.75" customHeight="1">
      <c r="A662" s="71"/>
      <c r="B662" s="71"/>
      <c r="C662" s="71"/>
      <c r="D662" s="71"/>
      <c r="E662" s="71"/>
    </row>
    <row r="663" ht="15.75" customHeight="1">
      <c r="A663" s="71"/>
      <c r="B663" s="71"/>
      <c r="C663" s="71"/>
      <c r="D663" s="71"/>
      <c r="E663" s="71"/>
    </row>
    <row r="664" ht="15.75" customHeight="1">
      <c r="A664" s="71"/>
      <c r="B664" s="71"/>
      <c r="C664" s="71"/>
      <c r="D664" s="71"/>
      <c r="E664" s="71"/>
    </row>
    <row r="665" ht="15.75" customHeight="1">
      <c r="A665" s="71"/>
      <c r="B665" s="71"/>
      <c r="C665" s="71"/>
      <c r="D665" s="71"/>
      <c r="E665" s="71"/>
    </row>
    <row r="666" ht="15.75" customHeight="1">
      <c r="A666" s="71"/>
      <c r="B666" s="71"/>
      <c r="C666" s="71"/>
      <c r="D666" s="71"/>
      <c r="E666" s="71"/>
    </row>
    <row r="667" ht="15.75" customHeight="1">
      <c r="A667" s="71"/>
      <c r="B667" s="71"/>
      <c r="C667" s="71"/>
      <c r="D667" s="71"/>
      <c r="E667" s="71"/>
    </row>
    <row r="668" ht="15.75" customHeight="1">
      <c r="A668" s="71"/>
      <c r="B668" s="71"/>
      <c r="C668" s="71"/>
      <c r="D668" s="71"/>
      <c r="E668" s="71"/>
    </row>
    <row r="669" ht="15.75" customHeight="1">
      <c r="A669" s="71"/>
      <c r="B669" s="71"/>
      <c r="C669" s="71"/>
      <c r="D669" s="71"/>
      <c r="E669" s="71"/>
    </row>
    <row r="670" ht="15.75" customHeight="1">
      <c r="A670" s="71"/>
      <c r="B670" s="71"/>
      <c r="C670" s="71"/>
      <c r="D670" s="71"/>
      <c r="E670" s="71"/>
    </row>
    <row r="671" ht="15.75" customHeight="1">
      <c r="A671" s="71"/>
      <c r="B671" s="71"/>
      <c r="C671" s="71"/>
      <c r="D671" s="71"/>
      <c r="E671" s="71"/>
    </row>
    <row r="672" ht="15.75" customHeight="1">
      <c r="A672" s="71"/>
      <c r="B672" s="71"/>
      <c r="C672" s="71"/>
      <c r="D672" s="71"/>
      <c r="E672" s="71"/>
    </row>
    <row r="673" ht="15.75" customHeight="1">
      <c r="A673" s="71"/>
      <c r="B673" s="71"/>
      <c r="C673" s="71"/>
      <c r="D673" s="71"/>
      <c r="E673" s="71"/>
    </row>
    <row r="674" ht="15.75" customHeight="1">
      <c r="A674" s="71"/>
      <c r="B674" s="71"/>
      <c r="C674" s="71"/>
      <c r="D674" s="71"/>
      <c r="E674" s="71"/>
    </row>
    <row r="675" ht="15.75" customHeight="1">
      <c r="A675" s="71"/>
      <c r="B675" s="71"/>
      <c r="C675" s="71"/>
      <c r="D675" s="71"/>
      <c r="E675" s="71"/>
    </row>
    <row r="676" ht="15.75" customHeight="1">
      <c r="A676" s="71"/>
      <c r="B676" s="71"/>
      <c r="C676" s="71"/>
      <c r="D676" s="71"/>
      <c r="E676" s="71"/>
    </row>
    <row r="677" ht="15.75" customHeight="1">
      <c r="A677" s="71"/>
      <c r="B677" s="71"/>
      <c r="C677" s="71"/>
      <c r="D677" s="71"/>
      <c r="E677" s="71"/>
    </row>
    <row r="678" ht="15.75" customHeight="1">
      <c r="A678" s="71"/>
      <c r="B678" s="71"/>
      <c r="C678" s="71"/>
      <c r="D678" s="71"/>
      <c r="E678" s="71"/>
    </row>
    <row r="679" ht="15.75" customHeight="1">
      <c r="A679" s="71"/>
      <c r="B679" s="71"/>
      <c r="C679" s="71"/>
      <c r="D679" s="71"/>
      <c r="E679" s="71"/>
    </row>
    <row r="680" ht="15.75" customHeight="1">
      <c r="A680" s="71"/>
      <c r="B680" s="71"/>
      <c r="C680" s="71"/>
      <c r="D680" s="71"/>
      <c r="E680" s="71"/>
    </row>
    <row r="681" ht="15.75" customHeight="1">
      <c r="A681" s="71"/>
      <c r="B681" s="71"/>
      <c r="C681" s="71"/>
      <c r="D681" s="71"/>
      <c r="E681" s="71"/>
    </row>
    <row r="682" ht="15.75" customHeight="1">
      <c r="A682" s="71"/>
      <c r="B682" s="71"/>
      <c r="C682" s="71"/>
      <c r="D682" s="71"/>
      <c r="E682" s="71"/>
    </row>
    <row r="683" ht="15.75" customHeight="1">
      <c r="A683" s="71"/>
      <c r="B683" s="71"/>
      <c r="C683" s="71"/>
      <c r="D683" s="71"/>
      <c r="E683" s="71"/>
    </row>
    <row r="684" ht="15.75" customHeight="1">
      <c r="A684" s="71"/>
      <c r="B684" s="71"/>
      <c r="C684" s="71"/>
      <c r="D684" s="71"/>
      <c r="E684" s="71"/>
    </row>
    <row r="685" ht="15.75" customHeight="1">
      <c r="A685" s="71"/>
      <c r="B685" s="71"/>
      <c r="C685" s="71"/>
      <c r="D685" s="71"/>
      <c r="E685" s="71"/>
    </row>
    <row r="686" ht="15.75" customHeight="1">
      <c r="A686" s="71"/>
      <c r="B686" s="71"/>
      <c r="C686" s="71"/>
      <c r="D686" s="71"/>
      <c r="E686" s="71"/>
    </row>
    <row r="687" ht="15.75" customHeight="1">
      <c r="A687" s="71"/>
      <c r="B687" s="71"/>
      <c r="C687" s="71"/>
      <c r="D687" s="71"/>
      <c r="E687" s="71"/>
    </row>
    <row r="688" ht="15.75" customHeight="1">
      <c r="A688" s="71"/>
      <c r="B688" s="71"/>
      <c r="C688" s="71"/>
      <c r="D688" s="71"/>
      <c r="E688" s="71"/>
    </row>
    <row r="689" ht="15.75" customHeight="1">
      <c r="A689" s="71"/>
      <c r="B689" s="71"/>
      <c r="C689" s="71"/>
      <c r="D689" s="71"/>
      <c r="E689" s="71"/>
    </row>
    <row r="690" ht="15.75" customHeight="1">
      <c r="A690" s="71"/>
      <c r="B690" s="71"/>
      <c r="C690" s="71"/>
      <c r="D690" s="71"/>
      <c r="E690" s="71"/>
    </row>
    <row r="691" ht="15.75" customHeight="1">
      <c r="A691" s="71"/>
      <c r="B691" s="71"/>
      <c r="C691" s="71"/>
      <c r="D691" s="71"/>
      <c r="E691" s="71"/>
    </row>
    <row r="692" ht="15.75" customHeight="1">
      <c r="A692" s="71"/>
      <c r="B692" s="71"/>
      <c r="C692" s="71"/>
      <c r="D692" s="71"/>
      <c r="E692" s="71"/>
    </row>
    <row r="693" ht="15.75" customHeight="1">
      <c r="A693" s="71"/>
      <c r="B693" s="71"/>
      <c r="C693" s="71"/>
      <c r="D693" s="71"/>
      <c r="E693" s="71"/>
    </row>
    <row r="694" ht="15.75" customHeight="1">
      <c r="A694" s="71"/>
      <c r="B694" s="71"/>
      <c r="C694" s="71"/>
      <c r="D694" s="71"/>
      <c r="E694" s="71"/>
    </row>
    <row r="695" ht="15.75" customHeight="1">
      <c r="A695" s="71"/>
      <c r="B695" s="71"/>
      <c r="C695" s="71"/>
      <c r="D695" s="71"/>
      <c r="E695" s="71"/>
    </row>
    <row r="696" ht="15.75" customHeight="1">
      <c r="A696" s="71"/>
      <c r="B696" s="71"/>
      <c r="C696" s="71"/>
      <c r="D696" s="71"/>
      <c r="E696" s="71"/>
    </row>
    <row r="697" ht="15.75" customHeight="1">
      <c r="A697" s="71"/>
      <c r="B697" s="71"/>
      <c r="C697" s="71"/>
      <c r="D697" s="71"/>
      <c r="E697" s="71"/>
    </row>
    <row r="698" ht="15.75" customHeight="1">
      <c r="A698" s="71"/>
      <c r="B698" s="71"/>
      <c r="C698" s="71"/>
      <c r="D698" s="71"/>
      <c r="E698" s="71"/>
    </row>
    <row r="699" ht="15.75" customHeight="1">
      <c r="A699" s="71"/>
      <c r="B699" s="71"/>
      <c r="C699" s="71"/>
      <c r="D699" s="71"/>
      <c r="E699" s="71"/>
    </row>
    <row r="700" ht="15.75" customHeight="1">
      <c r="A700" s="71"/>
      <c r="B700" s="71"/>
      <c r="C700" s="71"/>
      <c r="D700" s="71"/>
      <c r="E700" s="71"/>
    </row>
    <row r="701" ht="15.75" customHeight="1">
      <c r="A701" s="71"/>
      <c r="B701" s="71"/>
      <c r="C701" s="71"/>
      <c r="D701" s="71"/>
      <c r="E701" s="71"/>
    </row>
    <row r="702" ht="15.75" customHeight="1">
      <c r="A702" s="71"/>
      <c r="B702" s="71"/>
      <c r="C702" s="71"/>
      <c r="D702" s="71"/>
      <c r="E702" s="71"/>
    </row>
    <row r="703" ht="15.75" customHeight="1">
      <c r="A703" s="71"/>
      <c r="B703" s="71"/>
      <c r="C703" s="71"/>
      <c r="D703" s="71"/>
      <c r="E703" s="71"/>
    </row>
    <row r="704" ht="15.75" customHeight="1">
      <c r="A704" s="71"/>
      <c r="B704" s="71"/>
      <c r="C704" s="71"/>
      <c r="D704" s="71"/>
      <c r="E704" s="71"/>
    </row>
    <row r="705" ht="15.75" customHeight="1">
      <c r="A705" s="71"/>
      <c r="B705" s="71"/>
      <c r="C705" s="71"/>
      <c r="D705" s="71"/>
      <c r="E705" s="71"/>
    </row>
    <row r="706" ht="15.75" customHeight="1">
      <c r="A706" s="71"/>
      <c r="B706" s="71"/>
      <c r="C706" s="71"/>
      <c r="D706" s="71"/>
      <c r="E706" s="71"/>
    </row>
    <row r="707" ht="15.75" customHeight="1">
      <c r="A707" s="71"/>
      <c r="B707" s="71"/>
      <c r="C707" s="71"/>
      <c r="D707" s="71"/>
      <c r="E707" s="71"/>
    </row>
    <row r="708" ht="15.75" customHeight="1">
      <c r="A708" s="71"/>
      <c r="B708" s="71"/>
      <c r="C708" s="71"/>
      <c r="D708" s="71"/>
      <c r="E708" s="71"/>
    </row>
    <row r="709" ht="15.75" customHeight="1">
      <c r="A709" s="71"/>
      <c r="B709" s="71"/>
      <c r="C709" s="71"/>
      <c r="D709" s="71"/>
      <c r="E709" s="71"/>
    </row>
    <row r="710" ht="15.75" customHeight="1">
      <c r="A710" s="71"/>
      <c r="B710" s="71"/>
      <c r="C710" s="71"/>
      <c r="D710" s="71"/>
      <c r="E710" s="71"/>
    </row>
    <row r="711" ht="15.75" customHeight="1">
      <c r="A711" s="71"/>
      <c r="B711" s="71"/>
      <c r="C711" s="71"/>
      <c r="D711" s="71"/>
      <c r="E711" s="71"/>
    </row>
    <row r="712" ht="15.75" customHeight="1">
      <c r="A712" s="71"/>
      <c r="B712" s="71"/>
      <c r="C712" s="71"/>
      <c r="D712" s="71"/>
      <c r="E712" s="71"/>
    </row>
    <row r="713" ht="15.75" customHeight="1">
      <c r="A713" s="71"/>
      <c r="B713" s="71"/>
      <c r="C713" s="71"/>
      <c r="D713" s="71"/>
      <c r="E713" s="71"/>
    </row>
    <row r="714" ht="15.75" customHeight="1">
      <c r="A714" s="71"/>
      <c r="B714" s="71"/>
      <c r="C714" s="71"/>
      <c r="D714" s="71"/>
      <c r="E714" s="71"/>
    </row>
    <row r="715" ht="15.75" customHeight="1">
      <c r="A715" s="71"/>
      <c r="B715" s="71"/>
      <c r="C715" s="71"/>
      <c r="D715" s="71"/>
      <c r="E715" s="71"/>
    </row>
    <row r="716" ht="15.75" customHeight="1">
      <c r="A716" s="71"/>
      <c r="B716" s="71"/>
      <c r="C716" s="71"/>
      <c r="D716" s="71"/>
      <c r="E716" s="71"/>
    </row>
    <row r="717" ht="15.75" customHeight="1">
      <c r="A717" s="71"/>
      <c r="B717" s="71"/>
      <c r="C717" s="71"/>
      <c r="D717" s="71"/>
      <c r="E717" s="71"/>
    </row>
    <row r="718" ht="15.75" customHeight="1">
      <c r="A718" s="71"/>
      <c r="B718" s="71"/>
      <c r="C718" s="71"/>
      <c r="D718" s="71"/>
      <c r="E718" s="71"/>
    </row>
    <row r="719" ht="15.75" customHeight="1">
      <c r="A719" s="71"/>
      <c r="B719" s="71"/>
      <c r="C719" s="71"/>
      <c r="D719" s="71"/>
      <c r="E719" s="71"/>
    </row>
    <row r="720" ht="15.75" customHeight="1">
      <c r="A720" s="71"/>
      <c r="B720" s="71"/>
      <c r="C720" s="71"/>
      <c r="D720" s="71"/>
      <c r="E720" s="71"/>
    </row>
    <row r="721" ht="15.75" customHeight="1">
      <c r="A721" s="71"/>
      <c r="B721" s="71"/>
      <c r="C721" s="71"/>
      <c r="D721" s="71"/>
      <c r="E721" s="71"/>
    </row>
    <row r="722" ht="15.75" customHeight="1">
      <c r="A722" s="71"/>
      <c r="B722" s="71"/>
      <c r="C722" s="71"/>
      <c r="D722" s="71"/>
      <c r="E722" s="71"/>
    </row>
    <row r="723" ht="15.75" customHeight="1">
      <c r="A723" s="71"/>
      <c r="B723" s="71"/>
      <c r="C723" s="71"/>
      <c r="D723" s="71"/>
      <c r="E723" s="71"/>
    </row>
    <row r="724" ht="15.75" customHeight="1">
      <c r="A724" s="71"/>
      <c r="B724" s="71"/>
      <c r="C724" s="71"/>
      <c r="D724" s="71"/>
      <c r="E724" s="71"/>
    </row>
    <row r="725" ht="15.75" customHeight="1">
      <c r="A725" s="71"/>
      <c r="B725" s="71"/>
      <c r="C725" s="71"/>
      <c r="D725" s="71"/>
      <c r="E725" s="71"/>
    </row>
    <row r="726" ht="15.75" customHeight="1">
      <c r="A726" s="71"/>
      <c r="B726" s="71"/>
      <c r="C726" s="71"/>
      <c r="D726" s="71"/>
      <c r="E726" s="71"/>
    </row>
    <row r="727" ht="15.75" customHeight="1">
      <c r="A727" s="71"/>
      <c r="B727" s="71"/>
      <c r="C727" s="71"/>
      <c r="D727" s="71"/>
      <c r="E727" s="71"/>
    </row>
    <row r="728" ht="15.75" customHeight="1">
      <c r="A728" s="71"/>
      <c r="B728" s="71"/>
      <c r="C728" s="71"/>
      <c r="D728" s="71"/>
      <c r="E728" s="71"/>
    </row>
    <row r="729" ht="15.75" customHeight="1">
      <c r="A729" s="71"/>
      <c r="B729" s="71"/>
      <c r="C729" s="71"/>
      <c r="D729" s="71"/>
      <c r="E729" s="71"/>
    </row>
    <row r="730" ht="15.75" customHeight="1">
      <c r="A730" s="71"/>
      <c r="B730" s="71"/>
      <c r="C730" s="71"/>
      <c r="D730" s="71"/>
      <c r="E730" s="71"/>
    </row>
    <row r="731" ht="15.75" customHeight="1">
      <c r="A731" s="71"/>
      <c r="B731" s="71"/>
      <c r="C731" s="71"/>
      <c r="D731" s="71"/>
      <c r="E731" s="71"/>
    </row>
    <row r="732" ht="15.75" customHeight="1">
      <c r="A732" s="71"/>
      <c r="B732" s="71"/>
      <c r="C732" s="71"/>
      <c r="D732" s="71"/>
      <c r="E732" s="71"/>
    </row>
    <row r="733" ht="15.75" customHeight="1">
      <c r="A733" s="71"/>
      <c r="B733" s="71"/>
      <c r="C733" s="71"/>
      <c r="D733" s="71"/>
      <c r="E733" s="71"/>
    </row>
    <row r="734" ht="15.75" customHeight="1">
      <c r="A734" s="71"/>
      <c r="B734" s="71"/>
      <c r="C734" s="71"/>
      <c r="D734" s="71"/>
      <c r="E734" s="71"/>
    </row>
    <row r="735" ht="15.75" customHeight="1">
      <c r="A735" s="71"/>
      <c r="B735" s="71"/>
      <c r="C735" s="71"/>
      <c r="D735" s="71"/>
      <c r="E735" s="71"/>
    </row>
    <row r="736" ht="15.75" customHeight="1">
      <c r="A736" s="71"/>
      <c r="B736" s="71"/>
      <c r="C736" s="71"/>
      <c r="D736" s="71"/>
      <c r="E736" s="71"/>
    </row>
    <row r="737" ht="15.75" customHeight="1">
      <c r="A737" s="71"/>
      <c r="B737" s="71"/>
      <c r="C737" s="71"/>
      <c r="D737" s="71"/>
      <c r="E737" s="71"/>
    </row>
    <row r="738" ht="15.75" customHeight="1">
      <c r="A738" s="71"/>
      <c r="B738" s="71"/>
      <c r="C738" s="71"/>
      <c r="D738" s="71"/>
      <c r="E738" s="71"/>
    </row>
    <row r="739" ht="15.75" customHeight="1">
      <c r="A739" s="71"/>
      <c r="B739" s="71"/>
      <c r="C739" s="71"/>
      <c r="D739" s="71"/>
      <c r="E739" s="71"/>
    </row>
    <row r="740" ht="15.75" customHeight="1">
      <c r="A740" s="71"/>
      <c r="B740" s="71"/>
      <c r="C740" s="71"/>
      <c r="D740" s="71"/>
      <c r="E740" s="71"/>
    </row>
    <row r="741" ht="15.75" customHeight="1">
      <c r="A741" s="71"/>
      <c r="B741" s="71"/>
      <c r="C741" s="71"/>
      <c r="D741" s="71"/>
      <c r="E741" s="71"/>
    </row>
    <row r="742" ht="15.75" customHeight="1">
      <c r="A742" s="71"/>
      <c r="B742" s="71"/>
      <c r="C742" s="71"/>
      <c r="D742" s="71"/>
      <c r="E742" s="71"/>
    </row>
    <row r="743" ht="15.75" customHeight="1">
      <c r="A743" s="71"/>
      <c r="B743" s="71"/>
      <c r="C743" s="71"/>
      <c r="D743" s="71"/>
      <c r="E743" s="71"/>
    </row>
    <row r="744" ht="15.75" customHeight="1">
      <c r="A744" s="71"/>
      <c r="B744" s="71"/>
      <c r="C744" s="71"/>
      <c r="D744" s="71"/>
      <c r="E744" s="71"/>
    </row>
    <row r="745" ht="15.75" customHeight="1">
      <c r="A745" s="71"/>
      <c r="B745" s="71"/>
      <c r="C745" s="71"/>
      <c r="D745" s="71"/>
      <c r="E745" s="71"/>
    </row>
    <row r="746" ht="15.75" customHeight="1">
      <c r="A746" s="71"/>
      <c r="B746" s="71"/>
      <c r="C746" s="71"/>
      <c r="D746" s="71"/>
      <c r="E746" s="71"/>
    </row>
    <row r="747" ht="15.75" customHeight="1">
      <c r="A747" s="71"/>
      <c r="B747" s="71"/>
      <c r="C747" s="71"/>
      <c r="D747" s="71"/>
      <c r="E747" s="71"/>
    </row>
    <row r="748" ht="15.75" customHeight="1">
      <c r="A748" s="71"/>
      <c r="B748" s="71"/>
      <c r="C748" s="71"/>
      <c r="D748" s="71"/>
      <c r="E748" s="71"/>
    </row>
    <row r="749" ht="15.75" customHeight="1">
      <c r="A749" s="71"/>
      <c r="B749" s="71"/>
      <c r="C749" s="71"/>
      <c r="D749" s="71"/>
      <c r="E749" s="71"/>
    </row>
    <row r="750" ht="15.75" customHeight="1">
      <c r="A750" s="71"/>
      <c r="B750" s="71"/>
      <c r="C750" s="71"/>
      <c r="D750" s="71"/>
      <c r="E750" s="71"/>
    </row>
    <row r="751" ht="15.75" customHeight="1">
      <c r="A751" s="71"/>
      <c r="B751" s="71"/>
      <c r="C751" s="71"/>
      <c r="D751" s="71"/>
      <c r="E751" s="71"/>
    </row>
    <row r="752" ht="15.75" customHeight="1">
      <c r="A752" s="71"/>
      <c r="B752" s="71"/>
      <c r="C752" s="71"/>
      <c r="D752" s="71"/>
      <c r="E752" s="71"/>
    </row>
    <row r="753" ht="15.75" customHeight="1">
      <c r="A753" s="71"/>
      <c r="B753" s="71"/>
      <c r="C753" s="71"/>
      <c r="D753" s="71"/>
      <c r="E753" s="71"/>
    </row>
    <row r="754" ht="15.75" customHeight="1">
      <c r="A754" s="71"/>
      <c r="B754" s="71"/>
      <c r="C754" s="71"/>
      <c r="D754" s="71"/>
      <c r="E754" s="71"/>
    </row>
    <row r="755" ht="15.75" customHeight="1">
      <c r="A755" s="71"/>
      <c r="B755" s="71"/>
      <c r="C755" s="71"/>
      <c r="D755" s="71"/>
      <c r="E755" s="71"/>
    </row>
    <row r="756" ht="15.75" customHeight="1">
      <c r="A756" s="71"/>
      <c r="B756" s="71"/>
      <c r="C756" s="71"/>
      <c r="D756" s="71"/>
      <c r="E756" s="71"/>
    </row>
    <row r="757" ht="15.75" customHeight="1">
      <c r="A757" s="71"/>
      <c r="B757" s="71"/>
      <c r="C757" s="71"/>
      <c r="D757" s="71"/>
      <c r="E757" s="71"/>
    </row>
    <row r="758" ht="15.75" customHeight="1">
      <c r="A758" s="71"/>
      <c r="B758" s="71"/>
      <c r="C758" s="71"/>
      <c r="D758" s="71"/>
      <c r="E758" s="71"/>
    </row>
    <row r="759" ht="15.75" customHeight="1">
      <c r="A759" s="71"/>
      <c r="B759" s="71"/>
      <c r="C759" s="71"/>
      <c r="D759" s="71"/>
      <c r="E759" s="71"/>
    </row>
    <row r="760" ht="15.75" customHeight="1">
      <c r="A760" s="71"/>
      <c r="B760" s="71"/>
      <c r="C760" s="71"/>
      <c r="D760" s="71"/>
      <c r="E760" s="71"/>
    </row>
    <row r="761" ht="15.75" customHeight="1">
      <c r="A761" s="71"/>
      <c r="B761" s="71"/>
      <c r="C761" s="71"/>
      <c r="D761" s="71"/>
      <c r="E761" s="71"/>
    </row>
    <row r="762" ht="15.75" customHeight="1">
      <c r="A762" s="71"/>
      <c r="B762" s="71"/>
      <c r="C762" s="71"/>
      <c r="D762" s="71"/>
      <c r="E762" s="71"/>
    </row>
    <row r="763" ht="15.75" customHeight="1">
      <c r="A763" s="71"/>
      <c r="B763" s="71"/>
      <c r="C763" s="71"/>
      <c r="D763" s="71"/>
      <c r="E763" s="71"/>
    </row>
    <row r="764" ht="15.75" customHeight="1">
      <c r="A764" s="71"/>
      <c r="B764" s="71"/>
      <c r="C764" s="71"/>
      <c r="D764" s="71"/>
      <c r="E764" s="71"/>
    </row>
    <row r="765" ht="15.75" customHeight="1">
      <c r="A765" s="71"/>
      <c r="B765" s="71"/>
      <c r="C765" s="71"/>
      <c r="D765" s="71"/>
      <c r="E765" s="71"/>
    </row>
    <row r="766" ht="15.75" customHeight="1">
      <c r="A766" s="71"/>
      <c r="B766" s="71"/>
      <c r="C766" s="71"/>
      <c r="D766" s="71"/>
      <c r="E766" s="71"/>
    </row>
    <row r="767" ht="15.75" customHeight="1">
      <c r="A767" s="71"/>
      <c r="B767" s="71"/>
      <c r="C767" s="71"/>
      <c r="D767" s="71"/>
      <c r="E767" s="71"/>
    </row>
    <row r="768" ht="15.75" customHeight="1">
      <c r="A768" s="71"/>
      <c r="B768" s="71"/>
      <c r="C768" s="71"/>
      <c r="D768" s="71"/>
      <c r="E768" s="71"/>
    </row>
    <row r="769" ht="15.75" customHeight="1">
      <c r="A769" s="71"/>
      <c r="B769" s="71"/>
      <c r="C769" s="71"/>
      <c r="D769" s="71"/>
      <c r="E769" s="71"/>
    </row>
    <row r="770" ht="15.75" customHeight="1">
      <c r="A770" s="71"/>
      <c r="B770" s="71"/>
      <c r="C770" s="71"/>
      <c r="D770" s="71"/>
      <c r="E770" s="71"/>
    </row>
    <row r="771" ht="15.75" customHeight="1">
      <c r="A771" s="71"/>
      <c r="B771" s="71"/>
      <c r="C771" s="71"/>
      <c r="D771" s="71"/>
      <c r="E771" s="71"/>
    </row>
    <row r="772" ht="15.75" customHeight="1">
      <c r="A772" s="71"/>
      <c r="B772" s="71"/>
      <c r="C772" s="71"/>
      <c r="D772" s="71"/>
      <c r="E772" s="71"/>
    </row>
    <row r="773" ht="15.75" customHeight="1">
      <c r="A773" s="71"/>
      <c r="B773" s="71"/>
      <c r="C773" s="71"/>
      <c r="D773" s="71"/>
      <c r="E773" s="71"/>
    </row>
    <row r="774" ht="15.75" customHeight="1">
      <c r="A774" s="71"/>
      <c r="B774" s="71"/>
      <c r="C774" s="71"/>
      <c r="D774" s="71"/>
      <c r="E774" s="71"/>
    </row>
    <row r="775" ht="15.75" customHeight="1">
      <c r="A775" s="71"/>
      <c r="B775" s="71"/>
      <c r="C775" s="71"/>
      <c r="D775" s="71"/>
      <c r="E775" s="71"/>
    </row>
    <row r="776" ht="15.75" customHeight="1">
      <c r="A776" s="71"/>
      <c r="B776" s="71"/>
      <c r="C776" s="71"/>
      <c r="D776" s="71"/>
      <c r="E776" s="71"/>
    </row>
    <row r="777" ht="15.75" customHeight="1">
      <c r="A777" s="71"/>
      <c r="B777" s="71"/>
      <c r="C777" s="71"/>
      <c r="D777" s="71"/>
      <c r="E777" s="71"/>
    </row>
    <row r="778" ht="15.75" customHeight="1">
      <c r="A778" s="71"/>
      <c r="B778" s="71"/>
      <c r="C778" s="71"/>
      <c r="D778" s="71"/>
      <c r="E778" s="71"/>
    </row>
    <row r="779" ht="15.75" customHeight="1">
      <c r="A779" s="71"/>
      <c r="B779" s="71"/>
      <c r="C779" s="71"/>
      <c r="D779" s="71"/>
      <c r="E779" s="71"/>
    </row>
    <row r="780" ht="15.75" customHeight="1">
      <c r="A780" s="71"/>
      <c r="B780" s="71"/>
      <c r="C780" s="71"/>
      <c r="D780" s="71"/>
      <c r="E780" s="71"/>
    </row>
    <row r="781" ht="15.75" customHeight="1">
      <c r="A781" s="71"/>
      <c r="B781" s="71"/>
      <c r="C781" s="71"/>
      <c r="D781" s="71"/>
      <c r="E781" s="71"/>
    </row>
    <row r="782" ht="15.75" customHeight="1">
      <c r="A782" s="71"/>
      <c r="B782" s="71"/>
      <c r="C782" s="71"/>
      <c r="D782" s="71"/>
      <c r="E782" s="71"/>
    </row>
    <row r="783" ht="15.75" customHeight="1">
      <c r="A783" s="71"/>
      <c r="B783" s="71"/>
      <c r="C783" s="71"/>
      <c r="D783" s="71"/>
      <c r="E783" s="71"/>
    </row>
    <row r="784" ht="15.75" customHeight="1">
      <c r="A784" s="71"/>
      <c r="B784" s="71"/>
      <c r="C784" s="71"/>
      <c r="D784" s="71"/>
      <c r="E784" s="71"/>
    </row>
    <row r="785" ht="15.75" customHeight="1">
      <c r="A785" s="71"/>
      <c r="B785" s="71"/>
      <c r="C785" s="71"/>
      <c r="D785" s="71"/>
      <c r="E785" s="71"/>
    </row>
    <row r="786" ht="15.75" customHeight="1">
      <c r="A786" s="71"/>
      <c r="B786" s="71"/>
      <c r="C786" s="71"/>
      <c r="D786" s="71"/>
      <c r="E786" s="71"/>
    </row>
    <row r="787" ht="15.75" customHeight="1">
      <c r="A787" s="71"/>
      <c r="B787" s="71"/>
      <c r="C787" s="71"/>
      <c r="D787" s="71"/>
      <c r="E787" s="71"/>
    </row>
    <row r="788" ht="15.75" customHeight="1">
      <c r="A788" s="71"/>
      <c r="B788" s="71"/>
      <c r="C788" s="71"/>
      <c r="D788" s="71"/>
      <c r="E788" s="71"/>
    </row>
    <row r="789" ht="15.75" customHeight="1">
      <c r="A789" s="71"/>
      <c r="B789" s="71"/>
      <c r="C789" s="71"/>
      <c r="D789" s="71"/>
      <c r="E789" s="71"/>
    </row>
    <row r="790" ht="15.75" customHeight="1">
      <c r="A790" s="71"/>
      <c r="B790" s="71"/>
      <c r="C790" s="71"/>
      <c r="D790" s="71"/>
      <c r="E790" s="71"/>
    </row>
    <row r="791" ht="15.75" customHeight="1">
      <c r="A791" s="71"/>
      <c r="B791" s="71"/>
      <c r="C791" s="71"/>
      <c r="D791" s="71"/>
      <c r="E791" s="71"/>
    </row>
    <row r="792" ht="15.75" customHeight="1">
      <c r="A792" s="71"/>
      <c r="B792" s="71"/>
      <c r="C792" s="71"/>
      <c r="D792" s="71"/>
      <c r="E792" s="71"/>
    </row>
    <row r="793" ht="15.75" customHeight="1">
      <c r="A793" s="71"/>
      <c r="B793" s="71"/>
      <c r="C793" s="71"/>
      <c r="D793" s="71"/>
      <c r="E793" s="71"/>
    </row>
    <row r="794" ht="15.75" customHeight="1">
      <c r="A794" s="71"/>
      <c r="B794" s="71"/>
      <c r="C794" s="71"/>
      <c r="D794" s="71"/>
      <c r="E794" s="71"/>
    </row>
    <row r="795" ht="15.75" customHeight="1">
      <c r="A795" s="71"/>
      <c r="B795" s="71"/>
      <c r="C795" s="71"/>
      <c r="D795" s="71"/>
      <c r="E795" s="71"/>
    </row>
    <row r="796" ht="15.75" customHeight="1">
      <c r="A796" s="71"/>
      <c r="B796" s="71"/>
      <c r="C796" s="71"/>
      <c r="D796" s="71"/>
      <c r="E796" s="71"/>
    </row>
    <row r="797" ht="15.75" customHeight="1">
      <c r="A797" s="71"/>
      <c r="B797" s="71"/>
      <c r="C797" s="71"/>
      <c r="D797" s="71"/>
      <c r="E797" s="71"/>
    </row>
    <row r="798" ht="15.75" customHeight="1">
      <c r="A798" s="71"/>
      <c r="B798" s="71"/>
      <c r="C798" s="71"/>
      <c r="D798" s="71"/>
      <c r="E798" s="71"/>
    </row>
    <row r="799" ht="15.75" customHeight="1">
      <c r="A799" s="71"/>
      <c r="B799" s="71"/>
      <c r="C799" s="71"/>
      <c r="D799" s="71"/>
      <c r="E799" s="71"/>
    </row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E$599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.25"/>
    <col customWidth="1" min="3" max="3" width="41.0"/>
    <col customWidth="1" min="4" max="4" width="3.25"/>
    <col customWidth="1" min="5" max="5" width="12.63"/>
    <col customWidth="1" min="6" max="6" width="4.25"/>
    <col customWidth="1" min="7" max="7" width="14.25"/>
    <col customWidth="1" min="8" max="8" width="4.5"/>
  </cols>
  <sheetData>
    <row r="1" ht="15.75" customHeight="1">
      <c r="A1" s="98" t="s">
        <v>158</v>
      </c>
      <c r="B1" s="98"/>
      <c r="C1" s="98" t="s">
        <v>779</v>
      </c>
      <c r="D1" s="98"/>
      <c r="E1" s="98" t="s">
        <v>218</v>
      </c>
      <c r="F1" s="98"/>
      <c r="G1" s="98" t="s">
        <v>5</v>
      </c>
      <c r="H1" s="98"/>
      <c r="I1" s="98" t="s">
        <v>1381</v>
      </c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</row>
    <row r="2" ht="15.75" customHeight="1">
      <c r="A2" s="99" t="s">
        <v>13</v>
      </c>
      <c r="B2" s="100"/>
      <c r="C2" s="100" t="s">
        <v>1382</v>
      </c>
      <c r="D2" s="100"/>
      <c r="E2" s="100" t="s">
        <v>410</v>
      </c>
      <c r="F2" s="100"/>
      <c r="G2" s="101" t="s">
        <v>14</v>
      </c>
      <c r="H2" s="101"/>
      <c r="I2" s="100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</row>
    <row r="3" ht="15.75" customHeight="1">
      <c r="A3" s="99" t="s">
        <v>21</v>
      </c>
      <c r="B3" s="100"/>
      <c r="C3" s="100" t="s">
        <v>1383</v>
      </c>
      <c r="D3" s="100"/>
      <c r="E3" s="100" t="s">
        <v>344</v>
      </c>
      <c r="F3" s="100"/>
      <c r="G3" s="101" t="s">
        <v>22</v>
      </c>
      <c r="H3" s="101"/>
      <c r="I3" s="100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</row>
    <row r="4" ht="15.75" customHeight="1">
      <c r="A4" s="99" t="s">
        <v>29</v>
      </c>
      <c r="B4" s="100"/>
      <c r="C4" s="100" t="s">
        <v>1384</v>
      </c>
      <c r="D4" s="100"/>
      <c r="E4" s="100" t="s">
        <v>330</v>
      </c>
      <c r="F4" s="100"/>
      <c r="G4" s="101" t="s">
        <v>30</v>
      </c>
      <c r="H4" s="101"/>
      <c r="I4" s="100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</row>
    <row r="5" ht="15.75" customHeight="1">
      <c r="A5" s="99" t="s">
        <v>37</v>
      </c>
      <c r="B5" s="100"/>
      <c r="C5" s="100" t="s">
        <v>1372</v>
      </c>
      <c r="D5" s="100"/>
      <c r="E5" s="100" t="s">
        <v>312</v>
      </c>
      <c r="F5" s="100"/>
      <c r="G5" s="101" t="s">
        <v>38</v>
      </c>
      <c r="H5" s="101"/>
      <c r="I5" s="100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</row>
    <row r="6" ht="15.75" customHeight="1">
      <c r="A6" s="99" t="s">
        <v>42</v>
      </c>
      <c r="B6" s="100"/>
      <c r="C6" s="100" t="s">
        <v>1373</v>
      </c>
      <c r="D6" s="100"/>
      <c r="E6" s="100" t="s">
        <v>297</v>
      </c>
      <c r="F6" s="100"/>
      <c r="G6" s="101" t="s">
        <v>43</v>
      </c>
      <c r="H6" s="101"/>
      <c r="I6" s="100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</row>
    <row r="7" ht="15.75" customHeight="1">
      <c r="A7" s="99" t="s">
        <v>46</v>
      </c>
      <c r="B7" s="100"/>
      <c r="C7" s="100" t="s">
        <v>1385</v>
      </c>
      <c r="D7" s="100"/>
      <c r="E7" s="100" t="s">
        <v>289</v>
      </c>
      <c r="F7" s="100"/>
      <c r="G7" s="101" t="s">
        <v>47</v>
      </c>
      <c r="H7" s="101"/>
      <c r="I7" s="100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</row>
    <row r="8" ht="15.75" customHeight="1">
      <c r="A8" s="99" t="s">
        <v>52</v>
      </c>
      <c r="B8" s="100"/>
      <c r="C8" s="100" t="s">
        <v>1386</v>
      </c>
      <c r="D8" s="100"/>
      <c r="E8" s="100" t="s">
        <v>272</v>
      </c>
      <c r="F8" s="100"/>
      <c r="G8" s="101" t="s">
        <v>53</v>
      </c>
      <c r="H8" s="101"/>
      <c r="I8" s="100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</row>
    <row r="9" ht="15.75" customHeight="1">
      <c r="A9" s="99" t="s">
        <v>58</v>
      </c>
      <c r="B9" s="100"/>
      <c r="C9" s="100" t="s">
        <v>1387</v>
      </c>
      <c r="D9" s="100"/>
      <c r="E9" s="100" t="s">
        <v>257</v>
      </c>
      <c r="F9" s="100"/>
      <c r="G9" s="101" t="s">
        <v>59</v>
      </c>
      <c r="H9" s="101"/>
      <c r="I9" s="100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</row>
    <row r="10" ht="15.75" customHeight="1">
      <c r="A10" s="99" t="s">
        <v>63</v>
      </c>
      <c r="B10" s="100"/>
      <c r="C10" s="100" t="s">
        <v>1388</v>
      </c>
      <c r="D10" s="100"/>
      <c r="E10" s="100" t="s">
        <v>239</v>
      </c>
      <c r="F10" s="100"/>
      <c r="G10" s="101" t="s">
        <v>64</v>
      </c>
      <c r="H10" s="101"/>
      <c r="I10" s="100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</row>
    <row r="11" ht="15.75" customHeight="1">
      <c r="A11" s="99" t="s">
        <v>69</v>
      </c>
      <c r="B11" s="100"/>
      <c r="C11" s="100" t="s">
        <v>1389</v>
      </c>
      <c r="D11" s="100"/>
      <c r="E11" s="100" t="s">
        <v>395</v>
      </c>
      <c r="F11" s="100"/>
      <c r="G11" s="101" t="s">
        <v>70</v>
      </c>
      <c r="H11" s="101"/>
      <c r="I11" s="100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</row>
    <row r="12" ht="15.75" customHeight="1">
      <c r="A12" s="99" t="s">
        <v>74</v>
      </c>
      <c r="B12" s="100"/>
      <c r="C12" s="100" t="s">
        <v>1390</v>
      </c>
      <c r="D12" s="100"/>
      <c r="E12" s="100" t="s">
        <v>377</v>
      </c>
      <c r="F12" s="100"/>
      <c r="G12" s="101" t="s">
        <v>75</v>
      </c>
      <c r="H12" s="101"/>
      <c r="I12" s="100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</row>
    <row r="13" ht="15.75" customHeight="1">
      <c r="A13" s="99" t="s">
        <v>79</v>
      </c>
      <c r="B13" s="100"/>
      <c r="C13" s="100" t="s">
        <v>1391</v>
      </c>
      <c r="D13" s="100"/>
      <c r="E13" s="100" t="s">
        <v>360</v>
      </c>
      <c r="F13" s="100"/>
      <c r="G13" s="101" t="s">
        <v>80</v>
      </c>
      <c r="H13" s="101"/>
      <c r="I13" s="100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</row>
    <row r="14" ht="15.75" customHeight="1">
      <c r="A14" s="99"/>
      <c r="B14" s="100"/>
      <c r="C14" s="100"/>
      <c r="D14" s="100"/>
      <c r="E14" s="100" t="s">
        <v>220</v>
      </c>
      <c r="F14" s="100"/>
      <c r="G14" s="101" t="s">
        <v>85</v>
      </c>
      <c r="H14" s="102"/>
      <c r="I14" s="102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</row>
    <row r="15" ht="15.75" customHeight="1">
      <c r="A15" s="99"/>
      <c r="B15" s="100"/>
      <c r="C15" s="100"/>
      <c r="D15" s="100"/>
      <c r="E15" s="100" t="s">
        <v>762</v>
      </c>
      <c r="F15" s="100"/>
      <c r="G15" s="101" t="s">
        <v>15</v>
      </c>
      <c r="H15" s="101"/>
      <c r="I15" s="101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</row>
    <row r="16" ht="15.75" customHeight="1">
      <c r="A16" s="99"/>
      <c r="B16" s="100"/>
      <c r="C16" s="100"/>
      <c r="D16" s="100"/>
      <c r="E16" s="100" t="s">
        <v>710</v>
      </c>
      <c r="F16" s="100"/>
      <c r="G16" s="101" t="s">
        <v>24</v>
      </c>
      <c r="H16" s="101"/>
      <c r="I16" s="101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</row>
    <row r="17" ht="15.75" customHeight="1">
      <c r="A17" s="99"/>
      <c r="B17" s="100"/>
      <c r="C17" s="100"/>
      <c r="D17" s="100"/>
      <c r="E17" s="100" t="s">
        <v>696</v>
      </c>
      <c r="F17" s="100"/>
      <c r="G17" s="101" t="s">
        <v>31</v>
      </c>
      <c r="H17" s="101"/>
      <c r="I17" s="101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</row>
    <row r="18" ht="15.75" customHeight="1">
      <c r="A18" s="99"/>
      <c r="B18" s="100"/>
      <c r="C18" s="100"/>
      <c r="D18" s="100"/>
      <c r="E18" s="100" t="s">
        <v>683</v>
      </c>
      <c r="F18" s="100"/>
      <c r="G18" s="101" t="s">
        <v>28</v>
      </c>
      <c r="H18" s="101"/>
      <c r="I18" s="101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</row>
    <row r="19" ht="15.75" customHeight="1">
      <c r="A19" s="99"/>
      <c r="B19" s="100"/>
      <c r="C19" s="100"/>
      <c r="D19" s="100"/>
      <c r="E19" s="100" t="s">
        <v>670</v>
      </c>
      <c r="F19" s="100"/>
      <c r="G19" s="101" t="s">
        <v>36</v>
      </c>
      <c r="H19" s="101"/>
      <c r="I19" s="101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</row>
    <row r="20" ht="15.75" customHeight="1">
      <c r="A20" s="99"/>
      <c r="B20" s="100"/>
      <c r="C20" s="100"/>
      <c r="D20" s="100"/>
      <c r="E20" s="100" t="s">
        <v>657</v>
      </c>
      <c r="F20" s="100"/>
      <c r="G20" s="101" t="s">
        <v>48</v>
      </c>
      <c r="H20" s="101"/>
      <c r="I20" s="101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</row>
    <row r="21" ht="15.75" customHeight="1">
      <c r="A21" s="99"/>
      <c r="B21" s="100"/>
      <c r="C21" s="100"/>
      <c r="D21" s="100"/>
      <c r="E21" s="100" t="s">
        <v>642</v>
      </c>
      <c r="F21" s="100"/>
      <c r="G21" s="101" t="s">
        <v>54</v>
      </c>
      <c r="H21" s="101"/>
      <c r="I21" s="101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</row>
    <row r="22" ht="15.75" customHeight="1">
      <c r="A22" s="99"/>
      <c r="B22" s="100"/>
      <c r="C22" s="100"/>
      <c r="D22" s="100"/>
      <c r="E22" s="100" t="s">
        <v>627</v>
      </c>
      <c r="F22" s="100"/>
      <c r="G22" s="101" t="s">
        <v>41</v>
      </c>
      <c r="H22" s="101"/>
      <c r="I22" s="101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</row>
    <row r="23" ht="15.75" customHeight="1">
      <c r="A23" s="99"/>
      <c r="B23" s="100"/>
      <c r="C23" s="100"/>
      <c r="D23" s="100"/>
      <c r="E23" s="100" t="s">
        <v>613</v>
      </c>
      <c r="F23" s="100"/>
      <c r="G23" s="101" t="s">
        <v>65</v>
      </c>
      <c r="H23" s="101"/>
      <c r="I23" s="101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</row>
    <row r="24" ht="15.75" customHeight="1">
      <c r="A24" s="99"/>
      <c r="B24" s="100"/>
      <c r="C24" s="100"/>
      <c r="D24" s="100"/>
      <c r="E24" s="100" t="s">
        <v>749</v>
      </c>
      <c r="F24" s="100"/>
      <c r="G24" s="101" t="s">
        <v>71</v>
      </c>
      <c r="H24" s="101"/>
      <c r="I24" s="101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</row>
    <row r="25" ht="15.75" customHeight="1">
      <c r="A25" s="99"/>
      <c r="B25" s="100"/>
      <c r="C25" s="100"/>
      <c r="D25" s="100"/>
      <c r="E25" s="100" t="s">
        <v>736</v>
      </c>
      <c r="F25" s="100"/>
      <c r="G25" s="101" t="s">
        <v>76</v>
      </c>
      <c r="H25" s="101"/>
      <c r="I25" s="101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</row>
    <row r="26" ht="15.75" customHeight="1">
      <c r="A26" s="99"/>
      <c r="B26" s="100"/>
      <c r="C26" s="100"/>
      <c r="D26" s="100"/>
      <c r="E26" s="100" t="s">
        <v>723</v>
      </c>
      <c r="F26" s="100"/>
      <c r="G26" s="101" t="s">
        <v>81</v>
      </c>
      <c r="H26" s="101"/>
      <c r="I26" s="101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</row>
    <row r="27" ht="15.75" customHeight="1">
      <c r="A27" s="99"/>
      <c r="B27" s="100"/>
      <c r="C27" s="100"/>
      <c r="D27" s="100"/>
      <c r="E27" s="100" t="s">
        <v>443</v>
      </c>
      <c r="F27" s="100"/>
      <c r="G27" s="101" t="s">
        <v>87</v>
      </c>
      <c r="H27" s="102"/>
      <c r="I27" s="102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</row>
    <row r="28" ht="15.75" customHeight="1">
      <c r="A28" s="99"/>
      <c r="B28" s="100"/>
      <c r="C28" s="100"/>
      <c r="D28" s="100"/>
      <c r="E28" s="100" t="s">
        <v>428</v>
      </c>
      <c r="F28" s="100"/>
      <c r="G28" s="101" t="s">
        <v>17</v>
      </c>
      <c r="H28" s="102"/>
      <c r="I28" s="102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</row>
    <row r="29" ht="15.75" customHeight="1">
      <c r="A29" s="99"/>
      <c r="B29" s="100"/>
      <c r="C29" s="100"/>
      <c r="D29" s="100"/>
      <c r="E29" s="100" t="s">
        <v>601</v>
      </c>
      <c r="F29" s="100"/>
      <c r="G29" s="101" t="s">
        <v>16</v>
      </c>
      <c r="H29" s="102"/>
      <c r="I29" s="102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</row>
    <row r="30" ht="15.75" customHeight="1">
      <c r="A30" s="99"/>
      <c r="B30" s="100"/>
      <c r="C30" s="100"/>
      <c r="D30" s="100"/>
      <c r="E30" s="100" t="s">
        <v>552</v>
      </c>
      <c r="F30" s="100"/>
      <c r="G30" s="101" t="s">
        <v>25</v>
      </c>
      <c r="H30" s="102"/>
      <c r="I30" s="102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</row>
    <row r="31" ht="15.75" customHeight="1">
      <c r="A31" s="99"/>
      <c r="B31" s="100"/>
      <c r="C31" s="100"/>
      <c r="D31" s="100"/>
      <c r="E31" s="100" t="s">
        <v>538</v>
      </c>
      <c r="F31" s="100"/>
      <c r="G31" s="101" t="s">
        <v>32</v>
      </c>
      <c r="H31" s="102"/>
      <c r="I31" s="102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</row>
    <row r="32" ht="15.75" customHeight="1">
      <c r="A32" s="99"/>
      <c r="B32" s="100"/>
      <c r="C32" s="100"/>
      <c r="D32" s="100"/>
      <c r="E32" s="100" t="s">
        <v>525</v>
      </c>
      <c r="F32" s="100"/>
      <c r="G32" s="101" t="s">
        <v>39</v>
      </c>
      <c r="H32" s="102"/>
      <c r="I32" s="102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</row>
    <row r="33" ht="15.75" customHeight="1">
      <c r="A33" s="99"/>
      <c r="B33" s="100"/>
      <c r="C33" s="100"/>
      <c r="D33" s="100"/>
      <c r="E33" s="100" t="s">
        <v>512</v>
      </c>
      <c r="F33" s="100"/>
      <c r="G33" s="101" t="s">
        <v>44</v>
      </c>
      <c r="H33" s="102"/>
      <c r="I33" s="102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</row>
    <row r="34" ht="15.75" customHeight="1">
      <c r="A34" s="99"/>
      <c r="B34" s="100"/>
      <c r="C34" s="100"/>
      <c r="D34" s="100"/>
      <c r="E34" s="100" t="s">
        <v>500</v>
      </c>
      <c r="F34" s="100"/>
      <c r="G34" s="101" t="s">
        <v>49</v>
      </c>
      <c r="H34" s="102"/>
      <c r="I34" s="102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</row>
    <row r="35" ht="15.75" customHeight="1">
      <c r="A35" s="99"/>
      <c r="B35" s="100"/>
      <c r="C35" s="100"/>
      <c r="D35" s="100"/>
      <c r="E35" s="100" t="s">
        <v>485</v>
      </c>
      <c r="F35" s="100"/>
      <c r="G35" s="101" t="s">
        <v>55</v>
      </c>
      <c r="H35" s="102"/>
      <c r="I35" s="102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</row>
    <row r="36" ht="15.75" customHeight="1">
      <c r="A36" s="99"/>
      <c r="B36" s="100"/>
      <c r="C36" s="100"/>
      <c r="D36" s="100"/>
      <c r="E36" s="100" t="s">
        <v>470</v>
      </c>
      <c r="F36" s="100"/>
      <c r="G36" s="101" t="s">
        <v>60</v>
      </c>
      <c r="H36" s="102"/>
      <c r="I36" s="102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</row>
    <row r="37" ht="15.75" customHeight="1">
      <c r="A37" s="99"/>
      <c r="B37" s="100"/>
      <c r="C37" s="100"/>
      <c r="D37" s="100"/>
      <c r="E37" s="100" t="s">
        <v>457</v>
      </c>
      <c r="F37" s="100"/>
      <c r="G37" s="101" t="s">
        <v>66</v>
      </c>
      <c r="H37" s="102"/>
      <c r="I37" s="102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</row>
    <row r="38" ht="15.75" customHeight="1">
      <c r="A38" s="99"/>
      <c r="B38" s="100"/>
      <c r="C38" s="100"/>
      <c r="D38" s="100"/>
      <c r="E38" s="100" t="s">
        <v>589</v>
      </c>
      <c r="F38" s="100"/>
      <c r="G38" s="101" t="s">
        <v>72</v>
      </c>
      <c r="H38" s="102"/>
      <c r="I38" s="102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</row>
    <row r="39" ht="15.75" customHeight="1">
      <c r="A39" s="99"/>
      <c r="B39" s="100"/>
      <c r="C39" s="100"/>
      <c r="D39" s="100"/>
      <c r="E39" s="100" t="s">
        <v>577</v>
      </c>
      <c r="F39" s="100"/>
      <c r="G39" s="101" t="s">
        <v>77</v>
      </c>
      <c r="H39" s="102"/>
      <c r="I39" s="102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</row>
    <row r="40" ht="15.75" customHeight="1">
      <c r="A40" s="99"/>
      <c r="B40" s="100"/>
      <c r="C40" s="100"/>
      <c r="D40" s="100"/>
      <c r="E40" s="100" t="s">
        <v>564</v>
      </c>
      <c r="F40" s="100"/>
      <c r="G40" s="101" t="s">
        <v>82</v>
      </c>
      <c r="H40" s="102"/>
      <c r="I40" s="102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</row>
    <row r="41" ht="15.75" customHeight="1">
      <c r="A41" s="99"/>
      <c r="B41" s="99"/>
      <c r="C41" s="99"/>
      <c r="D41" s="99"/>
      <c r="E41" s="99"/>
      <c r="F41" s="99"/>
      <c r="G41" s="99"/>
      <c r="H41" s="98"/>
      <c r="I41" s="98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</row>
    <row r="42" ht="15.75" customHeight="1">
      <c r="A42" s="99"/>
      <c r="B42" s="99"/>
      <c r="C42" s="99"/>
      <c r="D42" s="99"/>
      <c r="E42" s="99"/>
      <c r="F42" s="99"/>
      <c r="G42" s="99"/>
      <c r="H42" s="98"/>
      <c r="I42" s="98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</row>
    <row r="43" ht="15.75" customHeight="1">
      <c r="A43" s="99"/>
      <c r="B43" s="99"/>
      <c r="C43" s="99"/>
      <c r="D43" s="99"/>
      <c r="E43" s="99"/>
      <c r="F43" s="99"/>
      <c r="G43" s="99"/>
      <c r="H43" s="98"/>
      <c r="I43" s="98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</row>
    <row r="44" ht="15.75" customHeight="1">
      <c r="A44" s="99"/>
      <c r="B44" s="99"/>
      <c r="C44" s="99"/>
      <c r="D44" s="99"/>
      <c r="E44" s="99"/>
      <c r="F44" s="99"/>
      <c r="G44" s="99"/>
      <c r="H44" s="98"/>
      <c r="I44" s="98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</row>
    <row r="45" ht="15.75" customHeight="1">
      <c r="A45" s="99"/>
      <c r="B45" s="99"/>
      <c r="C45" s="99"/>
      <c r="D45" s="99"/>
      <c r="E45" s="99"/>
      <c r="F45" s="99"/>
      <c r="G45" s="99"/>
      <c r="H45" s="98"/>
      <c r="I45" s="98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</row>
    <row r="46" ht="15.75" customHeight="1">
      <c r="A46" s="99"/>
      <c r="B46" s="99"/>
      <c r="C46" s="99"/>
      <c r="D46" s="99"/>
      <c r="E46" s="99"/>
      <c r="F46" s="99"/>
      <c r="G46" s="99"/>
      <c r="H46" s="98"/>
      <c r="I46" s="98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</row>
    <row r="47" ht="15.75" customHeight="1">
      <c r="A47" s="99"/>
      <c r="B47" s="99"/>
      <c r="C47" s="99"/>
      <c r="D47" s="99"/>
      <c r="E47" s="99"/>
      <c r="F47" s="99"/>
      <c r="G47" s="99"/>
      <c r="H47" s="98"/>
      <c r="I47" s="98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</row>
    <row r="48" ht="15.75" customHeight="1">
      <c r="A48" s="99"/>
      <c r="B48" s="99"/>
      <c r="C48" s="99"/>
      <c r="D48" s="99"/>
      <c r="E48" s="99"/>
      <c r="F48" s="99"/>
      <c r="G48" s="99"/>
      <c r="H48" s="98"/>
      <c r="I48" s="98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</row>
    <row r="49" ht="15.75" customHeight="1">
      <c r="A49" s="99"/>
      <c r="B49" s="99"/>
      <c r="C49" s="99"/>
      <c r="D49" s="99"/>
      <c r="E49" s="99"/>
      <c r="F49" s="99"/>
      <c r="G49" s="99"/>
      <c r="H49" s="98"/>
      <c r="I49" s="98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</row>
    <row r="50" ht="15.75" customHeight="1">
      <c r="A50" s="99"/>
      <c r="B50" s="99"/>
      <c r="C50" s="99"/>
      <c r="D50" s="99"/>
      <c r="E50" s="99"/>
      <c r="F50" s="99"/>
      <c r="G50" s="99"/>
      <c r="H50" s="98"/>
      <c r="I50" s="98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</row>
    <row r="51" ht="15.75" customHeight="1">
      <c r="A51" s="99"/>
      <c r="B51" s="99"/>
      <c r="C51" s="99"/>
      <c r="D51" s="99"/>
      <c r="E51" s="99"/>
      <c r="F51" s="99"/>
      <c r="G51" s="99"/>
      <c r="H51" s="98"/>
      <c r="I51" s="98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99"/>
      <c r="AB51" s="99"/>
      <c r="AC51" s="99"/>
    </row>
    <row r="52" ht="15.75" customHeight="1">
      <c r="A52" s="99"/>
      <c r="B52" s="99"/>
      <c r="C52" s="99"/>
      <c r="D52" s="99"/>
      <c r="E52" s="99"/>
      <c r="F52" s="99"/>
      <c r="G52" s="99"/>
      <c r="H52" s="98"/>
      <c r="I52" s="98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</row>
    <row r="53" ht="15.75" customHeight="1">
      <c r="A53" s="99"/>
      <c r="B53" s="99"/>
      <c r="C53" s="99"/>
      <c r="D53" s="99"/>
      <c r="E53" s="99"/>
      <c r="F53" s="99"/>
      <c r="G53" s="99"/>
      <c r="H53" s="98"/>
      <c r="I53" s="98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</row>
    <row r="54" ht="15.75" customHeight="1">
      <c r="A54" s="99"/>
      <c r="B54" s="99"/>
      <c r="C54" s="99"/>
      <c r="D54" s="99"/>
      <c r="E54" s="99"/>
      <c r="F54" s="99"/>
      <c r="G54" s="99"/>
      <c r="H54" s="98"/>
      <c r="I54" s="98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</row>
    <row r="55" ht="15.75" customHeight="1">
      <c r="A55" s="99"/>
      <c r="B55" s="99"/>
      <c r="C55" s="99"/>
      <c r="D55" s="99"/>
      <c r="E55" s="99"/>
      <c r="F55" s="99"/>
      <c r="G55" s="99"/>
      <c r="H55" s="98"/>
      <c r="I55" s="98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</row>
    <row r="56" ht="15.75" customHeight="1">
      <c r="A56" s="99"/>
      <c r="B56" s="99"/>
      <c r="C56" s="99"/>
      <c r="D56" s="99"/>
      <c r="E56" s="99"/>
      <c r="F56" s="99"/>
      <c r="G56" s="99"/>
      <c r="H56" s="98"/>
      <c r="I56" s="98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</row>
    <row r="57" ht="15.75" customHeight="1">
      <c r="A57" s="99"/>
      <c r="B57" s="99"/>
      <c r="C57" s="99"/>
      <c r="D57" s="99"/>
      <c r="E57" s="99"/>
      <c r="F57" s="99"/>
      <c r="G57" s="99"/>
      <c r="H57" s="98"/>
      <c r="I57" s="98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</row>
    <row r="58" ht="15.75" customHeight="1">
      <c r="A58" s="99"/>
      <c r="B58" s="99"/>
      <c r="C58" s="99"/>
      <c r="D58" s="99"/>
      <c r="E58" s="99"/>
      <c r="F58" s="99"/>
      <c r="G58" s="99"/>
      <c r="H58" s="98"/>
      <c r="I58" s="98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</row>
    <row r="59" ht="15.75" customHeight="1">
      <c r="A59" s="99"/>
      <c r="B59" s="99"/>
      <c r="C59" s="99"/>
      <c r="D59" s="99"/>
      <c r="E59" s="99"/>
      <c r="F59" s="99"/>
      <c r="G59" s="99"/>
      <c r="H59" s="98"/>
      <c r="I59" s="98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</row>
    <row r="60" ht="15.75" customHeight="1">
      <c r="A60" s="99"/>
      <c r="B60" s="99"/>
      <c r="C60" s="99"/>
      <c r="D60" s="99"/>
      <c r="E60" s="99"/>
      <c r="F60" s="99"/>
      <c r="G60" s="99"/>
      <c r="H60" s="98"/>
      <c r="I60" s="98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</row>
    <row r="61" ht="15.75" customHeight="1">
      <c r="A61" s="99"/>
      <c r="B61" s="99"/>
      <c r="C61" s="99"/>
      <c r="D61" s="99"/>
      <c r="E61" s="99"/>
      <c r="F61" s="99"/>
      <c r="G61" s="99"/>
      <c r="H61" s="98"/>
      <c r="I61" s="98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</row>
    <row r="62" ht="15.75" customHeight="1">
      <c r="A62" s="99"/>
      <c r="B62" s="99"/>
      <c r="C62" s="99"/>
      <c r="D62" s="99"/>
      <c r="E62" s="99"/>
      <c r="F62" s="99"/>
      <c r="G62" s="99"/>
      <c r="H62" s="98"/>
      <c r="I62" s="98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</row>
    <row r="63" ht="15.75" customHeight="1">
      <c r="A63" s="99"/>
      <c r="B63" s="99"/>
      <c r="C63" s="99"/>
      <c r="D63" s="99"/>
      <c r="E63" s="99"/>
      <c r="F63" s="99"/>
      <c r="G63" s="99"/>
      <c r="H63" s="98"/>
      <c r="I63" s="98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</row>
    <row r="64" ht="15.75" customHeight="1">
      <c r="A64" s="99"/>
      <c r="B64" s="99"/>
      <c r="C64" s="99"/>
      <c r="D64" s="99"/>
      <c r="E64" s="99"/>
      <c r="F64" s="99"/>
      <c r="G64" s="99"/>
      <c r="H64" s="98"/>
      <c r="I64" s="98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</row>
    <row r="65" ht="15.75" customHeight="1">
      <c r="A65" s="99"/>
      <c r="B65" s="99"/>
      <c r="C65" s="99"/>
      <c r="D65" s="99"/>
      <c r="E65" s="99"/>
      <c r="F65" s="99"/>
      <c r="G65" s="99"/>
      <c r="H65" s="98"/>
      <c r="I65" s="98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</row>
    <row r="66" ht="15.75" customHeight="1">
      <c r="A66" s="99"/>
      <c r="B66" s="99"/>
      <c r="C66" s="99"/>
      <c r="D66" s="99"/>
      <c r="E66" s="99"/>
      <c r="F66" s="99"/>
      <c r="G66" s="99"/>
      <c r="H66" s="98"/>
      <c r="I66" s="98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</row>
    <row r="67" ht="15.75" customHeight="1">
      <c r="A67" s="99"/>
      <c r="B67" s="99"/>
      <c r="C67" s="99"/>
      <c r="D67" s="99"/>
      <c r="E67" s="99"/>
      <c r="F67" s="99"/>
      <c r="G67" s="99"/>
      <c r="H67" s="98"/>
      <c r="I67" s="98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</row>
    <row r="68" ht="15.75" customHeight="1">
      <c r="A68" s="99"/>
      <c r="B68" s="99"/>
      <c r="C68" s="99"/>
      <c r="D68" s="99"/>
      <c r="E68" s="99"/>
      <c r="F68" s="99"/>
      <c r="G68" s="99"/>
      <c r="H68" s="98"/>
      <c r="I68" s="98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</row>
    <row r="69" ht="15.75" customHeight="1">
      <c r="A69" s="99"/>
      <c r="B69" s="99"/>
      <c r="C69" s="99"/>
      <c r="D69" s="99"/>
      <c r="E69" s="99"/>
      <c r="F69" s="99"/>
      <c r="G69" s="99"/>
      <c r="H69" s="98"/>
      <c r="I69" s="98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</row>
    <row r="70" ht="15.75" customHeight="1">
      <c r="A70" s="99"/>
      <c r="B70" s="99"/>
      <c r="C70" s="99"/>
      <c r="D70" s="99"/>
      <c r="E70" s="99"/>
      <c r="F70" s="99"/>
      <c r="G70" s="99"/>
      <c r="H70" s="98"/>
      <c r="I70" s="98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</row>
    <row r="71" ht="15.75" customHeight="1">
      <c r="A71" s="99"/>
      <c r="B71" s="99"/>
      <c r="C71" s="99"/>
      <c r="D71" s="99"/>
      <c r="E71" s="99"/>
      <c r="F71" s="99"/>
      <c r="G71" s="99"/>
      <c r="H71" s="98"/>
      <c r="I71" s="98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</row>
    <row r="72" ht="15.75" customHeight="1">
      <c r="A72" s="99"/>
      <c r="B72" s="99"/>
      <c r="C72" s="99"/>
      <c r="D72" s="99"/>
      <c r="E72" s="99"/>
      <c r="F72" s="99"/>
      <c r="G72" s="99"/>
      <c r="H72" s="98"/>
      <c r="I72" s="98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</row>
    <row r="73" ht="15.75" customHeight="1">
      <c r="A73" s="99"/>
      <c r="B73" s="99"/>
      <c r="C73" s="99"/>
      <c r="D73" s="99"/>
      <c r="E73" s="99"/>
      <c r="F73" s="99"/>
      <c r="G73" s="99"/>
      <c r="H73" s="98"/>
      <c r="I73" s="98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</row>
    <row r="74" ht="15.75" customHeight="1">
      <c r="A74" s="99"/>
      <c r="B74" s="99"/>
      <c r="C74" s="99"/>
      <c r="D74" s="99"/>
      <c r="E74" s="99"/>
      <c r="F74" s="99"/>
      <c r="G74" s="99"/>
      <c r="H74" s="98"/>
      <c r="I74" s="98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</row>
    <row r="75" ht="15.75" customHeight="1">
      <c r="A75" s="99"/>
      <c r="B75" s="99"/>
      <c r="C75" s="99"/>
      <c r="D75" s="99"/>
      <c r="E75" s="99"/>
      <c r="F75" s="99"/>
      <c r="G75" s="99"/>
      <c r="H75" s="98"/>
      <c r="I75" s="98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</row>
    <row r="76" ht="15.75" customHeight="1">
      <c r="A76" s="99"/>
      <c r="B76" s="99"/>
      <c r="C76" s="99"/>
      <c r="D76" s="99"/>
      <c r="E76" s="99"/>
      <c r="F76" s="99"/>
      <c r="G76" s="99"/>
      <c r="H76" s="98"/>
      <c r="I76" s="98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</row>
    <row r="77" ht="15.75" customHeight="1">
      <c r="A77" s="99"/>
      <c r="B77" s="99"/>
      <c r="C77" s="99"/>
      <c r="D77" s="99"/>
      <c r="E77" s="99"/>
      <c r="F77" s="99"/>
      <c r="G77" s="99"/>
      <c r="H77" s="98"/>
      <c r="I77" s="98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</row>
    <row r="78" ht="15.75" customHeight="1">
      <c r="A78" s="99"/>
      <c r="B78" s="99"/>
      <c r="C78" s="99"/>
      <c r="D78" s="99"/>
      <c r="E78" s="99"/>
      <c r="F78" s="99"/>
      <c r="G78" s="99"/>
      <c r="H78" s="98"/>
      <c r="I78" s="98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</row>
    <row r="79" ht="15.75" customHeight="1">
      <c r="A79" s="99"/>
      <c r="B79" s="99"/>
      <c r="C79" s="99"/>
      <c r="D79" s="99"/>
      <c r="E79" s="99"/>
      <c r="F79" s="99"/>
      <c r="G79" s="99"/>
      <c r="H79" s="98"/>
      <c r="I79" s="98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99"/>
      <c r="AB79" s="99"/>
      <c r="AC79" s="99"/>
    </row>
    <row r="80" ht="15.75" customHeight="1">
      <c r="A80" s="99"/>
      <c r="B80" s="99"/>
      <c r="C80" s="99"/>
      <c r="D80" s="99"/>
      <c r="E80" s="99"/>
      <c r="F80" s="99"/>
      <c r="G80" s="99"/>
      <c r="H80" s="98"/>
      <c r="I80" s="98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</row>
    <row r="81" ht="15.75" customHeight="1">
      <c r="A81" s="99"/>
      <c r="B81" s="99"/>
      <c r="C81" s="99"/>
      <c r="D81" s="99"/>
      <c r="E81" s="99"/>
      <c r="F81" s="99"/>
      <c r="G81" s="99"/>
      <c r="H81" s="98"/>
      <c r="I81" s="98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99"/>
      <c r="AB81" s="99"/>
      <c r="AC81" s="99"/>
    </row>
    <row r="82" ht="15.75" customHeight="1">
      <c r="A82" s="99"/>
      <c r="B82" s="99"/>
      <c r="C82" s="99"/>
      <c r="D82" s="99"/>
      <c r="E82" s="99"/>
      <c r="F82" s="99"/>
      <c r="G82" s="99"/>
      <c r="H82" s="98"/>
      <c r="I82" s="98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  <c r="AB82" s="99"/>
      <c r="AC82" s="99"/>
    </row>
    <row r="83" ht="15.75" customHeight="1">
      <c r="A83" s="99"/>
      <c r="B83" s="99"/>
      <c r="C83" s="99"/>
      <c r="D83" s="99"/>
      <c r="E83" s="99"/>
      <c r="F83" s="99"/>
      <c r="G83" s="99"/>
      <c r="H83" s="98"/>
      <c r="I83" s="98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  <c r="AA83" s="99"/>
      <c r="AB83" s="99"/>
      <c r="AC83" s="99"/>
    </row>
    <row r="84" ht="15.75" customHeight="1">
      <c r="A84" s="99"/>
      <c r="B84" s="99"/>
      <c r="C84" s="99"/>
      <c r="D84" s="99"/>
      <c r="E84" s="99"/>
      <c r="F84" s="99"/>
      <c r="G84" s="99"/>
      <c r="H84" s="98"/>
      <c r="I84" s="98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99"/>
      <c r="AB84" s="99"/>
      <c r="AC84" s="99"/>
    </row>
    <row r="85" ht="15.75" customHeight="1">
      <c r="A85" s="99"/>
      <c r="B85" s="99"/>
      <c r="C85" s="99"/>
      <c r="D85" s="99"/>
      <c r="E85" s="99"/>
      <c r="F85" s="99"/>
      <c r="G85" s="99"/>
      <c r="H85" s="98"/>
      <c r="I85" s="98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  <c r="AA85" s="99"/>
      <c r="AB85" s="99"/>
      <c r="AC85" s="99"/>
    </row>
    <row r="86" ht="15.75" customHeight="1">
      <c r="A86" s="99"/>
      <c r="B86" s="99"/>
      <c r="C86" s="99"/>
      <c r="D86" s="99"/>
      <c r="E86" s="99"/>
      <c r="F86" s="99"/>
      <c r="G86" s="99"/>
      <c r="H86" s="98"/>
      <c r="I86" s="98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  <c r="AB86" s="99"/>
      <c r="AC86" s="99"/>
    </row>
    <row r="87" ht="15.75" customHeight="1">
      <c r="A87" s="99"/>
      <c r="B87" s="99"/>
      <c r="C87" s="99"/>
      <c r="D87" s="99"/>
      <c r="E87" s="99"/>
      <c r="F87" s="99"/>
      <c r="G87" s="99"/>
      <c r="H87" s="98"/>
      <c r="I87" s="98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</row>
    <row r="88" ht="15.75" customHeight="1">
      <c r="A88" s="99"/>
      <c r="B88" s="99"/>
      <c r="C88" s="99"/>
      <c r="D88" s="99"/>
      <c r="E88" s="99"/>
      <c r="F88" s="99"/>
      <c r="G88" s="99"/>
      <c r="H88" s="98"/>
      <c r="I88" s="98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99"/>
      <c r="AB88" s="99"/>
      <c r="AC88" s="99"/>
    </row>
    <row r="89" ht="15.75" customHeight="1">
      <c r="A89" s="99"/>
      <c r="B89" s="99"/>
      <c r="C89" s="99"/>
      <c r="D89" s="99"/>
      <c r="E89" s="99"/>
      <c r="F89" s="99"/>
      <c r="G89" s="99"/>
      <c r="H89" s="98"/>
      <c r="I89" s="98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</row>
    <row r="90" ht="15.75" customHeight="1">
      <c r="A90" s="99"/>
      <c r="B90" s="99"/>
      <c r="C90" s="99"/>
      <c r="D90" s="99"/>
      <c r="E90" s="99"/>
      <c r="F90" s="99"/>
      <c r="G90" s="99"/>
      <c r="H90" s="98"/>
      <c r="I90" s="98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  <c r="AC90" s="99"/>
    </row>
    <row r="91" ht="15.75" customHeight="1">
      <c r="A91" s="99"/>
      <c r="B91" s="99"/>
      <c r="C91" s="99"/>
      <c r="D91" s="99"/>
      <c r="E91" s="99"/>
      <c r="F91" s="99"/>
      <c r="G91" s="99"/>
      <c r="H91" s="98"/>
      <c r="I91" s="98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  <c r="AB91" s="99"/>
      <c r="AC91" s="99"/>
    </row>
    <row r="92" ht="15.75" customHeight="1">
      <c r="A92" s="99"/>
      <c r="B92" s="99"/>
      <c r="C92" s="99"/>
      <c r="D92" s="99"/>
      <c r="E92" s="99"/>
      <c r="F92" s="99"/>
      <c r="G92" s="99"/>
      <c r="H92" s="98"/>
      <c r="I92" s="98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</row>
    <row r="93" ht="15.75" customHeight="1">
      <c r="A93" s="99"/>
      <c r="B93" s="99"/>
      <c r="C93" s="99"/>
      <c r="D93" s="99"/>
      <c r="E93" s="99"/>
      <c r="F93" s="99"/>
      <c r="G93" s="99"/>
      <c r="H93" s="98"/>
      <c r="I93" s="98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99"/>
    </row>
    <row r="94" ht="15.75" customHeight="1">
      <c r="A94" s="99"/>
      <c r="B94" s="99"/>
      <c r="C94" s="99"/>
      <c r="D94" s="99"/>
      <c r="E94" s="99"/>
      <c r="F94" s="99"/>
      <c r="G94" s="99"/>
      <c r="H94" s="98"/>
      <c r="I94" s="98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</row>
    <row r="95" ht="15.75" customHeight="1">
      <c r="A95" s="99"/>
      <c r="B95" s="99"/>
      <c r="C95" s="99"/>
      <c r="D95" s="99"/>
      <c r="E95" s="99"/>
      <c r="F95" s="99"/>
      <c r="G95" s="99"/>
      <c r="H95" s="98"/>
      <c r="I95" s="98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</row>
    <row r="96" ht="15.75" customHeight="1">
      <c r="A96" s="99"/>
      <c r="B96" s="99"/>
      <c r="C96" s="99"/>
      <c r="D96" s="99"/>
      <c r="E96" s="99"/>
      <c r="F96" s="99"/>
      <c r="G96" s="99"/>
      <c r="H96" s="98"/>
      <c r="I96" s="98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99"/>
    </row>
    <row r="97" ht="15.75" customHeight="1">
      <c r="A97" s="99"/>
      <c r="B97" s="99"/>
      <c r="C97" s="99"/>
      <c r="D97" s="99"/>
      <c r="E97" s="99"/>
      <c r="F97" s="99"/>
      <c r="G97" s="99"/>
      <c r="H97" s="98"/>
      <c r="I97" s="98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</row>
    <row r="98" ht="15.75" customHeight="1">
      <c r="A98" s="99"/>
      <c r="B98" s="99"/>
      <c r="C98" s="99"/>
      <c r="D98" s="99"/>
      <c r="E98" s="99"/>
      <c r="F98" s="99"/>
      <c r="G98" s="99"/>
      <c r="H98" s="98"/>
      <c r="I98" s="98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</row>
    <row r="99" ht="15.75" customHeight="1">
      <c r="A99" s="99"/>
      <c r="B99" s="99"/>
      <c r="C99" s="99"/>
      <c r="D99" s="99"/>
      <c r="E99" s="99"/>
      <c r="F99" s="99"/>
      <c r="G99" s="99"/>
      <c r="H99" s="98"/>
      <c r="I99" s="98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</row>
    <row r="100" ht="15.75" customHeight="1">
      <c r="A100" s="99"/>
      <c r="B100" s="99"/>
      <c r="C100" s="99"/>
      <c r="D100" s="99"/>
      <c r="E100" s="99"/>
      <c r="F100" s="99"/>
      <c r="G100" s="99"/>
      <c r="H100" s="98"/>
      <c r="I100" s="98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</row>
    <row r="101" ht="15.75" customHeight="1">
      <c r="A101" s="99"/>
      <c r="B101" s="99"/>
      <c r="C101" s="99"/>
      <c r="D101" s="99"/>
      <c r="E101" s="99"/>
      <c r="F101" s="99"/>
      <c r="G101" s="99"/>
      <c r="H101" s="98"/>
      <c r="I101" s="98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</row>
    <row r="102" ht="15.75" customHeight="1">
      <c r="A102" s="99"/>
      <c r="B102" s="99"/>
      <c r="C102" s="99"/>
      <c r="D102" s="99"/>
      <c r="E102" s="99"/>
      <c r="F102" s="99"/>
      <c r="G102" s="99"/>
      <c r="H102" s="98"/>
      <c r="I102" s="98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</row>
    <row r="103" ht="15.75" customHeight="1">
      <c r="A103" s="99"/>
      <c r="B103" s="99"/>
      <c r="C103" s="99"/>
      <c r="D103" s="99"/>
      <c r="E103" s="99"/>
      <c r="F103" s="99"/>
      <c r="G103" s="99"/>
      <c r="H103" s="98"/>
      <c r="I103" s="98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</row>
    <row r="104" ht="15.75" customHeight="1">
      <c r="A104" s="99"/>
      <c r="B104" s="99"/>
      <c r="C104" s="99"/>
      <c r="D104" s="99"/>
      <c r="E104" s="99"/>
      <c r="F104" s="99"/>
      <c r="G104" s="99"/>
      <c r="H104" s="98"/>
      <c r="I104" s="98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</row>
    <row r="105" ht="15.75" customHeight="1">
      <c r="A105" s="99"/>
      <c r="B105" s="99"/>
      <c r="C105" s="99"/>
      <c r="D105" s="99"/>
      <c r="E105" s="99"/>
      <c r="F105" s="99"/>
      <c r="G105" s="99"/>
      <c r="H105" s="98"/>
      <c r="I105" s="98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</row>
    <row r="106" ht="15.75" customHeight="1">
      <c r="A106" s="99"/>
      <c r="B106" s="99"/>
      <c r="C106" s="99"/>
      <c r="D106" s="99"/>
      <c r="E106" s="99"/>
      <c r="F106" s="99"/>
      <c r="G106" s="99"/>
      <c r="H106" s="98"/>
      <c r="I106" s="98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</row>
    <row r="107" ht="15.75" customHeight="1">
      <c r="A107" s="99"/>
      <c r="B107" s="99"/>
      <c r="C107" s="99"/>
      <c r="D107" s="99"/>
      <c r="E107" s="99"/>
      <c r="F107" s="99"/>
      <c r="G107" s="99"/>
      <c r="H107" s="98"/>
      <c r="I107" s="98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</row>
    <row r="108" ht="15.75" customHeight="1">
      <c r="A108" s="99"/>
      <c r="B108" s="99"/>
      <c r="C108" s="99"/>
      <c r="D108" s="99"/>
      <c r="E108" s="99"/>
      <c r="F108" s="99"/>
      <c r="G108" s="99"/>
      <c r="H108" s="98"/>
      <c r="I108" s="98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</row>
    <row r="109" ht="15.75" customHeight="1">
      <c r="A109" s="99"/>
      <c r="B109" s="99"/>
      <c r="C109" s="99"/>
      <c r="D109" s="99"/>
      <c r="E109" s="99"/>
      <c r="F109" s="99"/>
      <c r="G109" s="99"/>
      <c r="H109" s="98"/>
      <c r="I109" s="98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</row>
    <row r="110" ht="15.75" customHeight="1">
      <c r="A110" s="99"/>
      <c r="B110" s="99"/>
      <c r="C110" s="99"/>
      <c r="D110" s="99"/>
      <c r="E110" s="99"/>
      <c r="F110" s="99"/>
      <c r="G110" s="99"/>
      <c r="H110" s="98"/>
      <c r="I110" s="98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</row>
    <row r="111" ht="15.75" customHeight="1">
      <c r="A111" s="99"/>
      <c r="B111" s="99"/>
      <c r="C111" s="99"/>
      <c r="D111" s="99"/>
      <c r="E111" s="99"/>
      <c r="F111" s="99"/>
      <c r="G111" s="99"/>
      <c r="H111" s="98"/>
      <c r="I111" s="98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</row>
    <row r="112" ht="15.75" customHeight="1">
      <c r="A112" s="99"/>
      <c r="B112" s="99"/>
      <c r="C112" s="99"/>
      <c r="D112" s="99"/>
      <c r="E112" s="99"/>
      <c r="F112" s="99"/>
      <c r="G112" s="99"/>
      <c r="H112" s="98"/>
      <c r="I112" s="98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</row>
    <row r="113" ht="15.75" customHeight="1">
      <c r="A113" s="99"/>
      <c r="B113" s="99"/>
      <c r="C113" s="99"/>
      <c r="D113" s="99"/>
      <c r="E113" s="99"/>
      <c r="F113" s="99"/>
      <c r="G113" s="99"/>
      <c r="H113" s="98"/>
      <c r="I113" s="98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  <c r="AC113" s="99"/>
    </row>
    <row r="114" ht="15.75" customHeight="1">
      <c r="A114" s="99"/>
      <c r="B114" s="99"/>
      <c r="C114" s="99"/>
      <c r="D114" s="99"/>
      <c r="E114" s="99"/>
      <c r="F114" s="99"/>
      <c r="G114" s="99"/>
      <c r="H114" s="98"/>
      <c r="I114" s="98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</row>
    <row r="115" ht="15.75" customHeight="1">
      <c r="A115" s="99"/>
      <c r="B115" s="99"/>
      <c r="C115" s="99"/>
      <c r="D115" s="99"/>
      <c r="E115" s="99"/>
      <c r="F115" s="99"/>
      <c r="G115" s="99"/>
      <c r="H115" s="98"/>
      <c r="I115" s="98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99"/>
      <c r="AB115" s="99"/>
      <c r="AC115" s="99"/>
    </row>
    <row r="116" ht="15.75" customHeight="1">
      <c r="A116" s="99"/>
      <c r="B116" s="99"/>
      <c r="C116" s="99"/>
      <c r="D116" s="99"/>
      <c r="E116" s="99"/>
      <c r="F116" s="99"/>
      <c r="G116" s="99"/>
      <c r="H116" s="98"/>
      <c r="I116" s="98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99"/>
      <c r="AB116" s="99"/>
      <c r="AC116" s="99"/>
    </row>
    <row r="117" ht="15.75" customHeight="1">
      <c r="A117" s="99"/>
      <c r="B117" s="99"/>
      <c r="C117" s="99"/>
      <c r="D117" s="99"/>
      <c r="E117" s="99"/>
      <c r="F117" s="99"/>
      <c r="G117" s="99"/>
      <c r="H117" s="98"/>
      <c r="I117" s="98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  <c r="AA117" s="99"/>
      <c r="AB117" s="99"/>
      <c r="AC117" s="99"/>
    </row>
    <row r="118" ht="15.75" customHeight="1">
      <c r="A118" s="99"/>
      <c r="B118" s="99"/>
      <c r="C118" s="99"/>
      <c r="D118" s="99"/>
      <c r="E118" s="99"/>
      <c r="F118" s="99"/>
      <c r="G118" s="99"/>
      <c r="H118" s="98"/>
      <c r="I118" s="98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99"/>
      <c r="AB118" s="99"/>
      <c r="AC118" s="99"/>
    </row>
    <row r="119" ht="15.75" customHeight="1">
      <c r="A119" s="99"/>
      <c r="B119" s="99"/>
      <c r="C119" s="99"/>
      <c r="D119" s="99"/>
      <c r="E119" s="99"/>
      <c r="F119" s="99"/>
      <c r="G119" s="99"/>
      <c r="H119" s="98"/>
      <c r="I119" s="98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  <c r="AA119" s="99"/>
      <c r="AB119" s="99"/>
      <c r="AC119" s="99"/>
    </row>
    <row r="120" ht="15.75" customHeight="1">
      <c r="A120" s="99"/>
      <c r="B120" s="99"/>
      <c r="C120" s="99"/>
      <c r="D120" s="99"/>
      <c r="E120" s="99"/>
      <c r="F120" s="99"/>
      <c r="G120" s="99"/>
      <c r="H120" s="98"/>
      <c r="I120" s="98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  <c r="AA120" s="99"/>
      <c r="AB120" s="99"/>
      <c r="AC120" s="99"/>
    </row>
    <row r="121" ht="15.75" customHeight="1">
      <c r="A121" s="99"/>
      <c r="B121" s="99"/>
      <c r="C121" s="99"/>
      <c r="D121" s="99"/>
      <c r="E121" s="99"/>
      <c r="F121" s="99"/>
      <c r="G121" s="99"/>
      <c r="H121" s="98"/>
      <c r="I121" s="98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  <c r="AA121" s="99"/>
      <c r="AB121" s="99"/>
      <c r="AC121" s="99"/>
    </row>
    <row r="122" ht="15.75" customHeight="1">
      <c r="A122" s="99"/>
      <c r="B122" s="99"/>
      <c r="C122" s="99"/>
      <c r="D122" s="99"/>
      <c r="E122" s="99"/>
      <c r="F122" s="99"/>
      <c r="G122" s="99"/>
      <c r="H122" s="98"/>
      <c r="I122" s="98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  <c r="AA122" s="99"/>
      <c r="AB122" s="99"/>
      <c r="AC122" s="99"/>
    </row>
    <row r="123" ht="15.75" customHeight="1">
      <c r="A123" s="99"/>
      <c r="B123" s="99"/>
      <c r="C123" s="99"/>
      <c r="D123" s="99"/>
      <c r="E123" s="99"/>
      <c r="F123" s="99"/>
      <c r="G123" s="99"/>
      <c r="H123" s="98"/>
      <c r="I123" s="98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  <c r="AA123" s="99"/>
      <c r="AB123" s="99"/>
      <c r="AC123" s="99"/>
    </row>
    <row r="124" ht="15.75" customHeight="1">
      <c r="A124" s="99"/>
      <c r="B124" s="99"/>
      <c r="C124" s="99"/>
      <c r="D124" s="99"/>
      <c r="E124" s="99"/>
      <c r="F124" s="99"/>
      <c r="G124" s="99"/>
      <c r="H124" s="98"/>
      <c r="I124" s="98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  <c r="AA124" s="99"/>
      <c r="AB124" s="99"/>
      <c r="AC124" s="99"/>
    </row>
    <row r="125" ht="15.75" customHeight="1">
      <c r="A125" s="99"/>
      <c r="B125" s="99"/>
      <c r="C125" s="99"/>
      <c r="D125" s="99"/>
      <c r="E125" s="99"/>
      <c r="F125" s="99"/>
      <c r="G125" s="99"/>
      <c r="H125" s="98"/>
      <c r="I125" s="98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  <c r="AA125" s="99"/>
      <c r="AB125" s="99"/>
      <c r="AC125" s="99"/>
    </row>
    <row r="126" ht="15.75" customHeight="1">
      <c r="A126" s="99"/>
      <c r="B126" s="99"/>
      <c r="C126" s="99"/>
      <c r="D126" s="99"/>
      <c r="E126" s="99"/>
      <c r="F126" s="99"/>
      <c r="G126" s="99"/>
      <c r="H126" s="98"/>
      <c r="I126" s="98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  <c r="AA126" s="99"/>
      <c r="AB126" s="99"/>
      <c r="AC126" s="99"/>
    </row>
    <row r="127" ht="15.75" customHeight="1">
      <c r="A127" s="99"/>
      <c r="B127" s="99"/>
      <c r="C127" s="99"/>
      <c r="D127" s="99"/>
      <c r="E127" s="99"/>
      <c r="F127" s="99"/>
      <c r="G127" s="99"/>
      <c r="H127" s="98"/>
      <c r="I127" s="98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  <c r="AA127" s="99"/>
      <c r="AB127" s="99"/>
      <c r="AC127" s="99"/>
    </row>
    <row r="128" ht="15.75" customHeight="1">
      <c r="A128" s="99"/>
      <c r="B128" s="99"/>
      <c r="C128" s="99"/>
      <c r="D128" s="99"/>
      <c r="E128" s="99"/>
      <c r="F128" s="99"/>
      <c r="G128" s="99"/>
      <c r="H128" s="98"/>
      <c r="I128" s="98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  <c r="AA128" s="99"/>
      <c r="AB128" s="99"/>
      <c r="AC128" s="99"/>
    </row>
    <row r="129" ht="15.75" customHeight="1">
      <c r="A129" s="99"/>
      <c r="B129" s="99"/>
      <c r="C129" s="99"/>
      <c r="D129" s="99"/>
      <c r="E129" s="99"/>
      <c r="F129" s="99"/>
      <c r="G129" s="99"/>
      <c r="H129" s="98"/>
      <c r="I129" s="98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  <c r="AA129" s="99"/>
      <c r="AB129" s="99"/>
      <c r="AC129" s="99"/>
    </row>
    <row r="130" ht="15.75" customHeight="1">
      <c r="A130" s="99"/>
      <c r="B130" s="99"/>
      <c r="C130" s="99"/>
      <c r="D130" s="99"/>
      <c r="E130" s="99"/>
      <c r="F130" s="99"/>
      <c r="G130" s="99"/>
      <c r="H130" s="98"/>
      <c r="I130" s="98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99"/>
      <c r="AB130" s="99"/>
      <c r="AC130" s="99"/>
    </row>
    <row r="131" ht="15.75" customHeight="1">
      <c r="A131" s="99"/>
      <c r="B131" s="99"/>
      <c r="C131" s="99"/>
      <c r="D131" s="99"/>
      <c r="E131" s="99"/>
      <c r="F131" s="99"/>
      <c r="G131" s="99"/>
      <c r="H131" s="98"/>
      <c r="I131" s="98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  <c r="AA131" s="99"/>
      <c r="AB131" s="99"/>
      <c r="AC131" s="99"/>
    </row>
    <row r="132" ht="15.75" customHeight="1">
      <c r="A132" s="99"/>
      <c r="B132" s="99"/>
      <c r="C132" s="99"/>
      <c r="D132" s="99"/>
      <c r="E132" s="99"/>
      <c r="F132" s="99"/>
      <c r="G132" s="99"/>
      <c r="H132" s="98"/>
      <c r="I132" s="98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  <c r="AA132" s="99"/>
      <c r="AB132" s="99"/>
      <c r="AC132" s="99"/>
    </row>
    <row r="133" ht="15.75" customHeight="1">
      <c r="A133" s="99"/>
      <c r="B133" s="99"/>
      <c r="C133" s="99"/>
      <c r="D133" s="99"/>
      <c r="E133" s="99"/>
      <c r="F133" s="99"/>
      <c r="G133" s="99"/>
      <c r="H133" s="98"/>
      <c r="I133" s="98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  <c r="AA133" s="99"/>
      <c r="AB133" s="99"/>
      <c r="AC133" s="99"/>
    </row>
    <row r="134" ht="15.75" customHeight="1">
      <c r="A134" s="99"/>
      <c r="B134" s="99"/>
      <c r="C134" s="99"/>
      <c r="D134" s="99"/>
      <c r="E134" s="99"/>
      <c r="F134" s="99"/>
      <c r="G134" s="99"/>
      <c r="H134" s="98"/>
      <c r="I134" s="98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  <c r="AA134" s="99"/>
      <c r="AB134" s="99"/>
      <c r="AC134" s="99"/>
    </row>
    <row r="135" ht="15.75" customHeight="1">
      <c r="A135" s="99"/>
      <c r="B135" s="99"/>
      <c r="C135" s="99"/>
      <c r="D135" s="99"/>
      <c r="E135" s="99"/>
      <c r="F135" s="99"/>
      <c r="G135" s="99"/>
      <c r="H135" s="98"/>
      <c r="I135" s="98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  <c r="AA135" s="99"/>
      <c r="AB135" s="99"/>
      <c r="AC135" s="99"/>
    </row>
    <row r="136" ht="15.75" customHeight="1">
      <c r="A136" s="99"/>
      <c r="B136" s="99"/>
      <c r="C136" s="99"/>
      <c r="D136" s="99"/>
      <c r="E136" s="99"/>
      <c r="F136" s="99"/>
      <c r="G136" s="99"/>
      <c r="H136" s="98"/>
      <c r="I136" s="98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  <c r="AA136" s="99"/>
      <c r="AB136" s="99"/>
      <c r="AC136" s="99"/>
    </row>
    <row r="137" ht="15.75" customHeight="1">
      <c r="A137" s="99"/>
      <c r="B137" s="99"/>
      <c r="C137" s="99"/>
      <c r="D137" s="99"/>
      <c r="E137" s="99"/>
      <c r="F137" s="99"/>
      <c r="G137" s="99"/>
      <c r="H137" s="98"/>
      <c r="I137" s="98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  <c r="AA137" s="99"/>
      <c r="AB137" s="99"/>
      <c r="AC137" s="99"/>
    </row>
    <row r="138" ht="15.75" customHeight="1">
      <c r="A138" s="99"/>
      <c r="B138" s="99"/>
      <c r="C138" s="99"/>
      <c r="D138" s="99"/>
      <c r="E138" s="99"/>
      <c r="F138" s="99"/>
      <c r="G138" s="99"/>
      <c r="H138" s="98"/>
      <c r="I138" s="98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  <c r="AA138" s="99"/>
      <c r="AB138" s="99"/>
      <c r="AC138" s="99"/>
    </row>
    <row r="139" ht="15.75" customHeight="1">
      <c r="A139" s="99"/>
      <c r="B139" s="99"/>
      <c r="C139" s="99"/>
      <c r="D139" s="99"/>
      <c r="E139" s="99"/>
      <c r="F139" s="99"/>
      <c r="G139" s="99"/>
      <c r="H139" s="98"/>
      <c r="I139" s="98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  <c r="AA139" s="99"/>
      <c r="AB139" s="99"/>
      <c r="AC139" s="99"/>
    </row>
    <row r="140" ht="15.75" customHeight="1">
      <c r="A140" s="99"/>
      <c r="B140" s="99"/>
      <c r="C140" s="99"/>
      <c r="D140" s="99"/>
      <c r="E140" s="99"/>
      <c r="F140" s="99"/>
      <c r="G140" s="99"/>
      <c r="H140" s="98"/>
      <c r="I140" s="98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  <c r="AA140" s="99"/>
      <c r="AB140" s="99"/>
      <c r="AC140" s="99"/>
    </row>
    <row r="141" ht="15.75" customHeight="1">
      <c r="A141" s="99"/>
      <c r="B141" s="99"/>
      <c r="C141" s="99"/>
      <c r="D141" s="99"/>
      <c r="E141" s="99"/>
      <c r="F141" s="99"/>
      <c r="G141" s="99"/>
      <c r="H141" s="98"/>
      <c r="I141" s="98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</row>
    <row r="142" ht="15.75" customHeight="1">
      <c r="A142" s="99"/>
      <c r="B142" s="99"/>
      <c r="C142" s="99"/>
      <c r="D142" s="99"/>
      <c r="E142" s="99"/>
      <c r="F142" s="99"/>
      <c r="G142" s="99"/>
      <c r="H142" s="98"/>
      <c r="I142" s="98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  <c r="AA142" s="99"/>
      <c r="AB142" s="99"/>
      <c r="AC142" s="99"/>
    </row>
    <row r="143" ht="15.75" customHeight="1">
      <c r="A143" s="99"/>
      <c r="B143" s="99"/>
      <c r="C143" s="99"/>
      <c r="D143" s="99"/>
      <c r="E143" s="99"/>
      <c r="F143" s="99"/>
      <c r="G143" s="99"/>
      <c r="H143" s="98"/>
      <c r="I143" s="98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  <c r="AA143" s="99"/>
      <c r="AB143" s="99"/>
      <c r="AC143" s="99"/>
    </row>
    <row r="144" ht="15.75" customHeight="1">
      <c r="A144" s="99"/>
      <c r="B144" s="99"/>
      <c r="C144" s="99"/>
      <c r="D144" s="99"/>
      <c r="E144" s="99"/>
      <c r="F144" s="99"/>
      <c r="G144" s="99"/>
      <c r="H144" s="98"/>
      <c r="I144" s="98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  <c r="AA144" s="99"/>
      <c r="AB144" s="99"/>
      <c r="AC144" s="99"/>
    </row>
    <row r="145" ht="15.75" customHeight="1">
      <c r="A145" s="99"/>
      <c r="B145" s="99"/>
      <c r="C145" s="99"/>
      <c r="D145" s="99"/>
      <c r="E145" s="99"/>
      <c r="F145" s="99"/>
      <c r="G145" s="99"/>
      <c r="H145" s="98"/>
      <c r="I145" s="98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  <c r="AA145" s="99"/>
      <c r="AB145" s="99"/>
      <c r="AC145" s="99"/>
    </row>
    <row r="146" ht="15.75" customHeight="1">
      <c r="A146" s="99"/>
      <c r="B146" s="99"/>
      <c r="C146" s="99"/>
      <c r="D146" s="99"/>
      <c r="E146" s="99"/>
      <c r="F146" s="99"/>
      <c r="G146" s="99"/>
      <c r="H146" s="98"/>
      <c r="I146" s="98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  <c r="AA146" s="99"/>
      <c r="AB146" s="99"/>
      <c r="AC146" s="99"/>
    </row>
    <row r="147" ht="15.75" customHeight="1">
      <c r="A147" s="99"/>
      <c r="B147" s="99"/>
      <c r="C147" s="99"/>
      <c r="D147" s="99"/>
      <c r="E147" s="99"/>
      <c r="F147" s="99"/>
      <c r="G147" s="99"/>
      <c r="H147" s="98"/>
      <c r="I147" s="98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  <c r="AA147" s="99"/>
      <c r="AB147" s="99"/>
      <c r="AC147" s="99"/>
    </row>
    <row r="148" ht="15.75" customHeight="1">
      <c r="A148" s="99"/>
      <c r="B148" s="99"/>
      <c r="C148" s="99"/>
      <c r="D148" s="99"/>
      <c r="E148" s="99"/>
      <c r="F148" s="99"/>
      <c r="G148" s="99"/>
      <c r="H148" s="98"/>
      <c r="I148" s="98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  <c r="AA148" s="99"/>
      <c r="AB148" s="99"/>
      <c r="AC148" s="99"/>
    </row>
    <row r="149" ht="15.75" customHeight="1">
      <c r="A149" s="99"/>
      <c r="B149" s="99"/>
      <c r="C149" s="99"/>
      <c r="D149" s="99"/>
      <c r="E149" s="99"/>
      <c r="F149" s="99"/>
      <c r="G149" s="99"/>
      <c r="H149" s="98"/>
      <c r="I149" s="98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  <c r="AA149" s="99"/>
      <c r="AB149" s="99"/>
      <c r="AC149" s="99"/>
    </row>
    <row r="150" ht="15.75" customHeight="1">
      <c r="A150" s="99"/>
      <c r="B150" s="99"/>
      <c r="C150" s="99"/>
      <c r="D150" s="99"/>
      <c r="E150" s="99"/>
      <c r="F150" s="99"/>
      <c r="G150" s="99"/>
      <c r="H150" s="98"/>
      <c r="I150" s="98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  <c r="AA150" s="99"/>
      <c r="AB150" s="99"/>
      <c r="AC150" s="99"/>
    </row>
    <row r="151" ht="15.75" customHeight="1">
      <c r="A151" s="99"/>
      <c r="B151" s="99"/>
      <c r="C151" s="99"/>
      <c r="D151" s="99"/>
      <c r="E151" s="99"/>
      <c r="F151" s="99"/>
      <c r="G151" s="99"/>
      <c r="H151" s="98"/>
      <c r="I151" s="98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99"/>
      <c r="AB151" s="99"/>
      <c r="AC151" s="99"/>
    </row>
    <row r="152" ht="15.75" customHeight="1">
      <c r="A152" s="99"/>
      <c r="B152" s="99"/>
      <c r="C152" s="99"/>
      <c r="D152" s="99"/>
      <c r="E152" s="99"/>
      <c r="F152" s="99"/>
      <c r="G152" s="99"/>
      <c r="H152" s="98"/>
      <c r="I152" s="98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</row>
    <row r="153" ht="15.75" customHeight="1">
      <c r="A153" s="99"/>
      <c r="B153" s="99"/>
      <c r="C153" s="99"/>
      <c r="D153" s="99"/>
      <c r="E153" s="99"/>
      <c r="F153" s="99"/>
      <c r="G153" s="99"/>
      <c r="H153" s="98"/>
      <c r="I153" s="98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  <c r="AA153" s="99"/>
      <c r="AB153" s="99"/>
      <c r="AC153" s="99"/>
    </row>
    <row r="154" ht="15.75" customHeight="1">
      <c r="A154" s="99"/>
      <c r="B154" s="99"/>
      <c r="C154" s="99"/>
      <c r="D154" s="99"/>
      <c r="E154" s="99"/>
      <c r="F154" s="99"/>
      <c r="G154" s="99"/>
      <c r="H154" s="98"/>
      <c r="I154" s="98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  <c r="AA154" s="99"/>
      <c r="AB154" s="99"/>
      <c r="AC154" s="99"/>
    </row>
    <row r="155" ht="15.75" customHeight="1">
      <c r="A155" s="99"/>
      <c r="B155" s="99"/>
      <c r="C155" s="99"/>
      <c r="D155" s="99"/>
      <c r="E155" s="99"/>
      <c r="F155" s="99"/>
      <c r="G155" s="99"/>
      <c r="H155" s="98"/>
      <c r="I155" s="98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  <c r="AA155" s="99"/>
      <c r="AB155" s="99"/>
      <c r="AC155" s="99"/>
    </row>
    <row r="156" ht="15.75" customHeight="1">
      <c r="A156" s="99"/>
      <c r="B156" s="99"/>
      <c r="C156" s="99"/>
      <c r="D156" s="99"/>
      <c r="E156" s="99"/>
      <c r="F156" s="99"/>
      <c r="G156" s="99"/>
      <c r="H156" s="98"/>
      <c r="I156" s="98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</row>
    <row r="157" ht="15.75" customHeight="1">
      <c r="A157" s="99"/>
      <c r="B157" s="99"/>
      <c r="C157" s="99"/>
      <c r="D157" s="99"/>
      <c r="E157" s="99"/>
      <c r="F157" s="99"/>
      <c r="G157" s="99"/>
      <c r="H157" s="98"/>
      <c r="I157" s="98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  <c r="AA157" s="99"/>
      <c r="AB157" s="99"/>
      <c r="AC157" s="99"/>
    </row>
    <row r="158" ht="15.75" customHeight="1">
      <c r="A158" s="99"/>
      <c r="B158" s="99"/>
      <c r="C158" s="99"/>
      <c r="D158" s="99"/>
      <c r="E158" s="99"/>
      <c r="F158" s="99"/>
      <c r="G158" s="99"/>
      <c r="H158" s="98"/>
      <c r="I158" s="98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  <c r="AA158" s="99"/>
      <c r="AB158" s="99"/>
      <c r="AC158" s="99"/>
    </row>
    <row r="159" ht="15.75" customHeight="1">
      <c r="A159" s="99"/>
      <c r="B159" s="99"/>
      <c r="C159" s="99"/>
      <c r="D159" s="99"/>
      <c r="E159" s="99"/>
      <c r="F159" s="99"/>
      <c r="G159" s="99"/>
      <c r="H159" s="98"/>
      <c r="I159" s="98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  <c r="AA159" s="99"/>
      <c r="AB159" s="99"/>
      <c r="AC159" s="99"/>
    </row>
    <row r="160" ht="15.75" customHeight="1">
      <c r="A160" s="99"/>
      <c r="B160" s="99"/>
      <c r="C160" s="99"/>
      <c r="D160" s="99"/>
      <c r="E160" s="99"/>
      <c r="F160" s="99"/>
      <c r="G160" s="99"/>
      <c r="H160" s="98"/>
      <c r="I160" s="98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/>
      <c r="AC160" s="99"/>
    </row>
    <row r="161" ht="15.75" customHeight="1">
      <c r="A161" s="99"/>
      <c r="B161" s="99"/>
      <c r="C161" s="99"/>
      <c r="D161" s="99"/>
      <c r="E161" s="99"/>
      <c r="F161" s="99"/>
      <c r="G161" s="99"/>
      <c r="H161" s="98"/>
      <c r="I161" s="98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/>
      <c r="AC161" s="99"/>
    </row>
    <row r="162" ht="15.75" customHeight="1">
      <c r="A162" s="99"/>
      <c r="B162" s="99"/>
      <c r="C162" s="99"/>
      <c r="D162" s="99"/>
      <c r="E162" s="99"/>
      <c r="F162" s="99"/>
      <c r="G162" s="99"/>
      <c r="H162" s="98"/>
      <c r="I162" s="98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/>
      <c r="AC162" s="99"/>
    </row>
    <row r="163" ht="15.75" customHeight="1">
      <c r="A163" s="99"/>
      <c r="B163" s="99"/>
      <c r="C163" s="99"/>
      <c r="D163" s="99"/>
      <c r="E163" s="99"/>
      <c r="F163" s="99"/>
      <c r="G163" s="99"/>
      <c r="H163" s="98"/>
      <c r="I163" s="98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/>
      <c r="AC163" s="99"/>
    </row>
    <row r="164" ht="15.75" customHeight="1">
      <c r="A164" s="99"/>
      <c r="B164" s="99"/>
      <c r="C164" s="99"/>
      <c r="D164" s="99"/>
      <c r="E164" s="99"/>
      <c r="F164" s="99"/>
      <c r="G164" s="99"/>
      <c r="H164" s="98"/>
      <c r="I164" s="98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</row>
    <row r="165" ht="15.75" customHeight="1">
      <c r="A165" s="99"/>
      <c r="B165" s="99"/>
      <c r="C165" s="99"/>
      <c r="D165" s="99"/>
      <c r="E165" s="99"/>
      <c r="F165" s="99"/>
      <c r="G165" s="99"/>
      <c r="H165" s="98"/>
      <c r="I165" s="98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</row>
    <row r="166" ht="15.75" customHeight="1">
      <c r="A166" s="99"/>
      <c r="B166" s="99"/>
      <c r="C166" s="99"/>
      <c r="D166" s="99"/>
      <c r="E166" s="99"/>
      <c r="F166" s="99"/>
      <c r="G166" s="99"/>
      <c r="H166" s="98"/>
      <c r="I166" s="98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  <c r="AA166" s="99"/>
      <c r="AB166" s="99"/>
      <c r="AC166" s="99"/>
    </row>
    <row r="167" ht="15.75" customHeight="1">
      <c r="A167" s="99"/>
      <c r="B167" s="99"/>
      <c r="C167" s="99"/>
      <c r="D167" s="99"/>
      <c r="E167" s="99"/>
      <c r="F167" s="99"/>
      <c r="G167" s="99"/>
      <c r="H167" s="98"/>
      <c r="I167" s="98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  <c r="AA167" s="99"/>
      <c r="AB167" s="99"/>
      <c r="AC167" s="99"/>
    </row>
    <row r="168" ht="15.75" customHeight="1">
      <c r="A168" s="99"/>
      <c r="B168" s="99"/>
      <c r="C168" s="99"/>
      <c r="D168" s="99"/>
      <c r="E168" s="99"/>
      <c r="F168" s="99"/>
      <c r="G168" s="99"/>
      <c r="H168" s="98"/>
      <c r="I168" s="98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  <c r="AC168" s="99"/>
    </row>
    <row r="169" ht="15.75" customHeight="1">
      <c r="A169" s="99"/>
      <c r="B169" s="99"/>
      <c r="C169" s="99"/>
      <c r="D169" s="99"/>
      <c r="E169" s="99"/>
      <c r="F169" s="99"/>
      <c r="G169" s="99"/>
      <c r="H169" s="98"/>
      <c r="I169" s="98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</row>
    <row r="170" ht="15.75" customHeight="1">
      <c r="A170" s="99"/>
      <c r="B170" s="99"/>
      <c r="C170" s="99"/>
      <c r="D170" s="99"/>
      <c r="E170" s="99"/>
      <c r="F170" s="99"/>
      <c r="G170" s="99"/>
      <c r="H170" s="98"/>
      <c r="I170" s="98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</row>
    <row r="171" ht="15.75" customHeight="1">
      <c r="A171" s="99"/>
      <c r="B171" s="99"/>
      <c r="C171" s="99"/>
      <c r="D171" s="99"/>
      <c r="E171" s="99"/>
      <c r="F171" s="99"/>
      <c r="G171" s="99"/>
      <c r="H171" s="98"/>
      <c r="I171" s="98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  <c r="AA171" s="99"/>
      <c r="AB171" s="99"/>
      <c r="AC171" s="99"/>
    </row>
    <row r="172" ht="15.75" customHeight="1">
      <c r="A172" s="99"/>
      <c r="B172" s="99"/>
      <c r="C172" s="99"/>
      <c r="D172" s="99"/>
      <c r="E172" s="99"/>
      <c r="F172" s="99"/>
      <c r="G172" s="99"/>
      <c r="H172" s="98"/>
      <c r="I172" s="98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  <c r="AA172" s="99"/>
      <c r="AB172" s="99"/>
      <c r="AC172" s="99"/>
    </row>
    <row r="173" ht="15.75" customHeight="1">
      <c r="A173" s="99"/>
      <c r="B173" s="99"/>
      <c r="C173" s="99"/>
      <c r="D173" s="99"/>
      <c r="E173" s="99"/>
      <c r="F173" s="99"/>
      <c r="G173" s="99"/>
      <c r="H173" s="98"/>
      <c r="I173" s="98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  <c r="AA173" s="99"/>
      <c r="AB173" s="99"/>
      <c r="AC173" s="99"/>
    </row>
    <row r="174" ht="15.75" customHeight="1">
      <c r="A174" s="99"/>
      <c r="B174" s="99"/>
      <c r="C174" s="99"/>
      <c r="D174" s="99"/>
      <c r="E174" s="99"/>
      <c r="F174" s="99"/>
      <c r="G174" s="99"/>
      <c r="H174" s="98"/>
      <c r="I174" s="98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  <c r="AA174" s="99"/>
      <c r="AB174" s="99"/>
      <c r="AC174" s="99"/>
    </row>
    <row r="175" ht="15.75" customHeight="1">
      <c r="A175" s="99"/>
      <c r="B175" s="99"/>
      <c r="C175" s="99"/>
      <c r="D175" s="99"/>
      <c r="E175" s="99"/>
      <c r="F175" s="99"/>
      <c r="G175" s="99"/>
      <c r="H175" s="98"/>
      <c r="I175" s="98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  <c r="AA175" s="99"/>
      <c r="AB175" s="99"/>
      <c r="AC175" s="99"/>
    </row>
    <row r="176" ht="15.75" customHeight="1">
      <c r="A176" s="99"/>
      <c r="B176" s="99"/>
      <c r="C176" s="99"/>
      <c r="D176" s="99"/>
      <c r="E176" s="99"/>
      <c r="F176" s="99"/>
      <c r="G176" s="99"/>
      <c r="H176" s="98"/>
      <c r="I176" s="98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  <c r="AA176" s="99"/>
      <c r="AB176" s="99"/>
      <c r="AC176" s="99"/>
    </row>
    <row r="177" ht="15.75" customHeight="1">
      <c r="A177" s="99"/>
      <c r="B177" s="99"/>
      <c r="C177" s="99"/>
      <c r="D177" s="99"/>
      <c r="E177" s="99"/>
      <c r="F177" s="99"/>
      <c r="G177" s="99"/>
      <c r="H177" s="98"/>
      <c r="I177" s="98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  <c r="AA177" s="99"/>
      <c r="AB177" s="99"/>
      <c r="AC177" s="99"/>
    </row>
    <row r="178" ht="15.75" customHeight="1">
      <c r="A178" s="99"/>
      <c r="B178" s="99"/>
      <c r="C178" s="99"/>
      <c r="D178" s="99"/>
      <c r="E178" s="99"/>
      <c r="F178" s="99"/>
      <c r="G178" s="99"/>
      <c r="H178" s="98"/>
      <c r="I178" s="98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  <c r="AA178" s="99"/>
      <c r="AB178" s="99"/>
      <c r="AC178" s="99"/>
    </row>
    <row r="179" ht="15.75" customHeight="1">
      <c r="A179" s="99"/>
      <c r="B179" s="99"/>
      <c r="C179" s="99"/>
      <c r="D179" s="99"/>
      <c r="E179" s="99"/>
      <c r="F179" s="99"/>
      <c r="G179" s="99"/>
      <c r="H179" s="98"/>
      <c r="I179" s="98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  <c r="AA179" s="99"/>
      <c r="AB179" s="99"/>
      <c r="AC179" s="99"/>
    </row>
    <row r="180" ht="15.75" customHeight="1">
      <c r="A180" s="99"/>
      <c r="B180" s="99"/>
      <c r="C180" s="99"/>
      <c r="D180" s="99"/>
      <c r="E180" s="99"/>
      <c r="F180" s="99"/>
      <c r="G180" s="99"/>
      <c r="H180" s="98"/>
      <c r="I180" s="98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  <c r="AA180" s="99"/>
      <c r="AB180" s="99"/>
      <c r="AC180" s="99"/>
    </row>
    <row r="181" ht="15.75" customHeight="1">
      <c r="A181" s="99"/>
      <c r="B181" s="99"/>
      <c r="C181" s="99"/>
      <c r="D181" s="99"/>
      <c r="E181" s="99"/>
      <c r="F181" s="99"/>
      <c r="G181" s="99"/>
      <c r="H181" s="98"/>
      <c r="I181" s="98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  <c r="AA181" s="99"/>
      <c r="AB181" s="99"/>
      <c r="AC181" s="99"/>
    </row>
    <row r="182" ht="15.75" customHeight="1">
      <c r="A182" s="99"/>
      <c r="B182" s="99"/>
      <c r="C182" s="99"/>
      <c r="D182" s="99"/>
      <c r="E182" s="99"/>
      <c r="F182" s="99"/>
      <c r="G182" s="99"/>
      <c r="H182" s="98"/>
      <c r="I182" s="98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  <c r="AA182" s="99"/>
      <c r="AB182" s="99"/>
      <c r="AC182" s="99"/>
    </row>
    <row r="183" ht="15.75" customHeight="1">
      <c r="A183" s="99"/>
      <c r="B183" s="99"/>
      <c r="C183" s="99"/>
      <c r="D183" s="99"/>
      <c r="E183" s="99"/>
      <c r="F183" s="99"/>
      <c r="G183" s="99"/>
      <c r="H183" s="98"/>
      <c r="I183" s="98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  <c r="AA183" s="99"/>
      <c r="AB183" s="99"/>
      <c r="AC183" s="99"/>
    </row>
    <row r="184" ht="15.75" customHeight="1">
      <c r="A184" s="99"/>
      <c r="B184" s="99"/>
      <c r="C184" s="99"/>
      <c r="D184" s="99"/>
      <c r="E184" s="99"/>
      <c r="F184" s="99"/>
      <c r="G184" s="99"/>
      <c r="H184" s="98"/>
      <c r="I184" s="98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  <c r="AA184" s="99"/>
      <c r="AB184" s="99"/>
      <c r="AC184" s="99"/>
    </row>
    <row r="185" ht="15.75" customHeight="1">
      <c r="A185" s="99"/>
      <c r="B185" s="99"/>
      <c r="C185" s="99"/>
      <c r="D185" s="99"/>
      <c r="E185" s="99"/>
      <c r="F185" s="99"/>
      <c r="G185" s="99"/>
      <c r="H185" s="98"/>
      <c r="I185" s="98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  <c r="AA185" s="99"/>
      <c r="AB185" s="99"/>
      <c r="AC185" s="99"/>
    </row>
    <row r="186" ht="15.75" customHeight="1">
      <c r="A186" s="99"/>
      <c r="B186" s="99"/>
      <c r="C186" s="99"/>
      <c r="D186" s="99"/>
      <c r="E186" s="99"/>
      <c r="F186" s="99"/>
      <c r="G186" s="99"/>
      <c r="H186" s="98"/>
      <c r="I186" s="98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  <c r="AA186" s="99"/>
      <c r="AB186" s="99"/>
      <c r="AC186" s="99"/>
    </row>
    <row r="187" ht="15.75" customHeight="1">
      <c r="A187" s="99"/>
      <c r="B187" s="99"/>
      <c r="C187" s="99"/>
      <c r="D187" s="99"/>
      <c r="E187" s="99"/>
      <c r="F187" s="99"/>
      <c r="G187" s="99"/>
      <c r="H187" s="98"/>
      <c r="I187" s="98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  <c r="AA187" s="99"/>
      <c r="AB187" s="99"/>
      <c r="AC187" s="99"/>
    </row>
    <row r="188" ht="15.75" customHeight="1">
      <c r="A188" s="99"/>
      <c r="B188" s="99"/>
      <c r="C188" s="99"/>
      <c r="D188" s="99"/>
      <c r="E188" s="99"/>
      <c r="F188" s="99"/>
      <c r="G188" s="99"/>
      <c r="H188" s="98"/>
      <c r="I188" s="98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  <c r="AA188" s="99"/>
      <c r="AB188" s="99"/>
      <c r="AC188" s="99"/>
    </row>
    <row r="189" ht="15.75" customHeight="1">
      <c r="A189" s="99"/>
      <c r="B189" s="99"/>
      <c r="C189" s="99"/>
      <c r="D189" s="99"/>
      <c r="E189" s="99"/>
      <c r="F189" s="99"/>
      <c r="G189" s="99"/>
      <c r="H189" s="98"/>
      <c r="I189" s="98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  <c r="AA189" s="99"/>
      <c r="AB189" s="99"/>
      <c r="AC189" s="99"/>
    </row>
    <row r="190" ht="15.75" customHeight="1">
      <c r="A190" s="99"/>
      <c r="B190" s="99"/>
      <c r="C190" s="99"/>
      <c r="D190" s="99"/>
      <c r="E190" s="99"/>
      <c r="F190" s="99"/>
      <c r="G190" s="99"/>
      <c r="H190" s="98"/>
      <c r="I190" s="98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  <c r="AA190" s="99"/>
      <c r="AB190" s="99"/>
      <c r="AC190" s="99"/>
    </row>
    <row r="191" ht="15.75" customHeight="1">
      <c r="A191" s="99"/>
      <c r="B191" s="99"/>
      <c r="C191" s="99"/>
      <c r="D191" s="99"/>
      <c r="E191" s="99"/>
      <c r="F191" s="99"/>
      <c r="G191" s="99"/>
      <c r="H191" s="98"/>
      <c r="I191" s="98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  <c r="AA191" s="99"/>
      <c r="AB191" s="99"/>
      <c r="AC191" s="99"/>
    </row>
    <row r="192" ht="15.75" customHeight="1">
      <c r="A192" s="99"/>
      <c r="B192" s="99"/>
      <c r="C192" s="99"/>
      <c r="D192" s="99"/>
      <c r="E192" s="99"/>
      <c r="F192" s="99"/>
      <c r="G192" s="99"/>
      <c r="H192" s="98"/>
      <c r="I192" s="98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  <c r="AA192" s="99"/>
      <c r="AB192" s="99"/>
      <c r="AC192" s="99"/>
    </row>
    <row r="193" ht="15.75" customHeight="1">
      <c r="A193" s="99"/>
      <c r="B193" s="99"/>
      <c r="C193" s="99"/>
      <c r="D193" s="99"/>
      <c r="E193" s="99"/>
      <c r="F193" s="99"/>
      <c r="G193" s="99"/>
      <c r="H193" s="98"/>
      <c r="I193" s="98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  <c r="AA193" s="99"/>
      <c r="AB193" s="99"/>
      <c r="AC193" s="99"/>
    </row>
    <row r="194" ht="15.75" customHeight="1">
      <c r="A194" s="99"/>
      <c r="B194" s="99"/>
      <c r="C194" s="99"/>
      <c r="D194" s="99"/>
      <c r="E194" s="99"/>
      <c r="F194" s="99"/>
      <c r="G194" s="99"/>
      <c r="H194" s="98"/>
      <c r="I194" s="98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  <c r="AA194" s="99"/>
      <c r="AB194" s="99"/>
      <c r="AC194" s="99"/>
    </row>
    <row r="195" ht="15.75" customHeight="1">
      <c r="A195" s="99"/>
      <c r="B195" s="99"/>
      <c r="C195" s="99"/>
      <c r="D195" s="99"/>
      <c r="E195" s="99"/>
      <c r="F195" s="99"/>
      <c r="G195" s="99"/>
      <c r="H195" s="98"/>
      <c r="I195" s="98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  <c r="AA195" s="99"/>
      <c r="AB195" s="99"/>
      <c r="AC195" s="99"/>
    </row>
    <row r="196" ht="15.75" customHeight="1">
      <c r="A196" s="99"/>
      <c r="B196" s="99"/>
      <c r="C196" s="99"/>
      <c r="D196" s="99"/>
      <c r="E196" s="99"/>
      <c r="F196" s="99"/>
      <c r="G196" s="99"/>
      <c r="H196" s="98"/>
      <c r="I196" s="98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  <c r="AA196" s="99"/>
      <c r="AB196" s="99"/>
      <c r="AC196" s="99"/>
    </row>
    <row r="197" ht="15.75" customHeight="1">
      <c r="A197" s="99"/>
      <c r="B197" s="99"/>
      <c r="C197" s="99"/>
      <c r="D197" s="99"/>
      <c r="E197" s="99"/>
      <c r="F197" s="99"/>
      <c r="G197" s="99"/>
      <c r="H197" s="98"/>
      <c r="I197" s="98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  <c r="AA197" s="99"/>
      <c r="AB197" s="99"/>
      <c r="AC197" s="99"/>
    </row>
    <row r="198" ht="15.75" customHeight="1">
      <c r="A198" s="99"/>
      <c r="B198" s="99"/>
      <c r="C198" s="99"/>
      <c r="D198" s="99"/>
      <c r="E198" s="99"/>
      <c r="F198" s="99"/>
      <c r="G198" s="99"/>
      <c r="H198" s="98"/>
      <c r="I198" s="98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  <c r="AA198" s="99"/>
      <c r="AB198" s="99"/>
      <c r="AC198" s="99"/>
    </row>
    <row r="199" ht="15.75" customHeight="1">
      <c r="A199" s="99"/>
      <c r="B199" s="99"/>
      <c r="C199" s="99"/>
      <c r="D199" s="99"/>
      <c r="E199" s="99"/>
      <c r="F199" s="99"/>
      <c r="G199" s="99"/>
      <c r="H199" s="98"/>
      <c r="I199" s="98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  <c r="AA199" s="99"/>
      <c r="AB199" s="99"/>
      <c r="AC199" s="99"/>
    </row>
    <row r="200" ht="15.75" customHeight="1">
      <c r="A200" s="99"/>
      <c r="B200" s="99"/>
      <c r="C200" s="99"/>
      <c r="D200" s="99"/>
      <c r="E200" s="99"/>
      <c r="F200" s="99"/>
      <c r="G200" s="99"/>
      <c r="H200" s="98"/>
      <c r="I200" s="98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  <c r="AA200" s="99"/>
      <c r="AB200" s="99"/>
      <c r="AC200" s="99"/>
    </row>
    <row r="201" ht="15.75" customHeight="1">
      <c r="A201" s="99"/>
      <c r="B201" s="99"/>
      <c r="C201" s="99"/>
      <c r="D201" s="99"/>
      <c r="E201" s="99"/>
      <c r="F201" s="99"/>
      <c r="G201" s="99"/>
      <c r="H201" s="98"/>
      <c r="I201" s="98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  <c r="AA201" s="99"/>
      <c r="AB201" s="99"/>
      <c r="AC201" s="99"/>
    </row>
    <row r="202" ht="15.75" customHeight="1">
      <c r="A202" s="99"/>
      <c r="B202" s="99"/>
      <c r="C202" s="99"/>
      <c r="D202" s="99"/>
      <c r="E202" s="99"/>
      <c r="F202" s="99"/>
      <c r="G202" s="99"/>
      <c r="H202" s="98"/>
      <c r="I202" s="98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  <c r="AA202" s="99"/>
      <c r="AB202" s="99"/>
      <c r="AC202" s="99"/>
    </row>
    <row r="203" ht="15.75" customHeight="1">
      <c r="A203" s="99"/>
      <c r="B203" s="99"/>
      <c r="C203" s="99"/>
      <c r="D203" s="99"/>
      <c r="E203" s="99"/>
      <c r="F203" s="99"/>
      <c r="G203" s="99"/>
      <c r="H203" s="98"/>
      <c r="I203" s="98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  <c r="AA203" s="99"/>
      <c r="AB203" s="99"/>
      <c r="AC203" s="99"/>
    </row>
    <row r="204" ht="15.75" customHeight="1">
      <c r="A204" s="99"/>
      <c r="B204" s="99"/>
      <c r="C204" s="99"/>
      <c r="D204" s="99"/>
      <c r="E204" s="99"/>
      <c r="F204" s="99"/>
      <c r="G204" s="99"/>
      <c r="H204" s="98"/>
      <c r="I204" s="98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  <c r="AA204" s="99"/>
      <c r="AB204" s="99"/>
      <c r="AC204" s="99"/>
    </row>
    <row r="205" ht="15.75" customHeight="1">
      <c r="A205" s="99"/>
      <c r="B205" s="99"/>
      <c r="C205" s="99"/>
      <c r="D205" s="99"/>
      <c r="E205" s="99"/>
      <c r="F205" s="99"/>
      <c r="G205" s="99"/>
      <c r="H205" s="98"/>
      <c r="I205" s="98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  <c r="AA205" s="99"/>
      <c r="AB205" s="99"/>
      <c r="AC205" s="99"/>
    </row>
    <row r="206" ht="15.75" customHeight="1">
      <c r="A206" s="99"/>
      <c r="B206" s="99"/>
      <c r="C206" s="99"/>
      <c r="D206" s="99"/>
      <c r="E206" s="99"/>
      <c r="F206" s="99"/>
      <c r="G206" s="99"/>
      <c r="H206" s="98"/>
      <c r="I206" s="98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  <c r="AA206" s="99"/>
      <c r="AB206" s="99"/>
      <c r="AC206" s="99"/>
    </row>
    <row r="207" ht="15.75" customHeight="1">
      <c r="A207" s="99"/>
      <c r="B207" s="99"/>
      <c r="C207" s="99"/>
      <c r="D207" s="99"/>
      <c r="E207" s="99"/>
      <c r="F207" s="99"/>
      <c r="G207" s="99"/>
      <c r="H207" s="98"/>
      <c r="I207" s="98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  <c r="AA207" s="99"/>
      <c r="AB207" s="99"/>
      <c r="AC207" s="99"/>
    </row>
    <row r="208" ht="15.75" customHeight="1">
      <c r="A208" s="99"/>
      <c r="B208" s="99"/>
      <c r="C208" s="99"/>
      <c r="D208" s="99"/>
      <c r="E208" s="99"/>
      <c r="F208" s="99"/>
      <c r="G208" s="99"/>
      <c r="H208" s="98"/>
      <c r="I208" s="98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</row>
    <row r="209" ht="15.75" customHeight="1">
      <c r="A209" s="99"/>
      <c r="B209" s="99"/>
      <c r="C209" s="99"/>
      <c r="D209" s="99"/>
      <c r="E209" s="99"/>
      <c r="F209" s="99"/>
      <c r="G209" s="99"/>
      <c r="H209" s="98"/>
      <c r="I209" s="98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  <c r="AA209" s="99"/>
      <c r="AB209" s="99"/>
      <c r="AC209" s="99"/>
    </row>
    <row r="210" ht="15.75" customHeight="1">
      <c r="A210" s="99"/>
      <c r="B210" s="99"/>
      <c r="C210" s="99"/>
      <c r="D210" s="99"/>
      <c r="E210" s="99"/>
      <c r="F210" s="99"/>
      <c r="G210" s="99"/>
      <c r="H210" s="98"/>
      <c r="I210" s="98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  <c r="AA210" s="99"/>
      <c r="AB210" s="99"/>
      <c r="AC210" s="99"/>
    </row>
    <row r="211" ht="15.75" customHeight="1">
      <c r="A211" s="99"/>
      <c r="B211" s="99"/>
      <c r="C211" s="99"/>
      <c r="D211" s="99"/>
      <c r="E211" s="99"/>
      <c r="F211" s="99"/>
      <c r="G211" s="99"/>
      <c r="H211" s="98"/>
      <c r="I211" s="98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  <c r="AA211" s="99"/>
      <c r="AB211" s="99"/>
      <c r="AC211" s="99"/>
    </row>
    <row r="212" ht="15.75" customHeight="1">
      <c r="A212" s="99"/>
      <c r="B212" s="99"/>
      <c r="C212" s="99"/>
      <c r="D212" s="99"/>
      <c r="E212" s="99"/>
      <c r="F212" s="99"/>
      <c r="G212" s="99"/>
      <c r="H212" s="98"/>
      <c r="I212" s="98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  <c r="AA212" s="99"/>
      <c r="AB212" s="99"/>
      <c r="AC212" s="99"/>
    </row>
    <row r="213" ht="15.75" customHeight="1">
      <c r="A213" s="99"/>
      <c r="B213" s="99"/>
      <c r="C213" s="99"/>
      <c r="D213" s="99"/>
      <c r="E213" s="99"/>
      <c r="F213" s="99"/>
      <c r="G213" s="99"/>
      <c r="H213" s="98"/>
      <c r="I213" s="98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  <c r="AA213" s="99"/>
      <c r="AB213" s="99"/>
      <c r="AC213" s="99"/>
    </row>
    <row r="214" ht="15.75" customHeight="1">
      <c r="A214" s="99"/>
      <c r="B214" s="99"/>
      <c r="C214" s="99"/>
      <c r="D214" s="99"/>
      <c r="E214" s="99"/>
      <c r="F214" s="99"/>
      <c r="G214" s="99"/>
      <c r="H214" s="98"/>
      <c r="I214" s="98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  <c r="AA214" s="99"/>
      <c r="AB214" s="99"/>
      <c r="AC214" s="99"/>
    </row>
    <row r="215" ht="15.75" customHeight="1">
      <c r="A215" s="99"/>
      <c r="B215" s="99"/>
      <c r="C215" s="99"/>
      <c r="D215" s="99"/>
      <c r="E215" s="99"/>
      <c r="F215" s="99"/>
      <c r="G215" s="99"/>
      <c r="H215" s="98"/>
      <c r="I215" s="98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  <c r="AA215" s="99"/>
      <c r="AB215" s="99"/>
      <c r="AC215" s="99"/>
    </row>
    <row r="216" ht="15.75" customHeight="1">
      <c r="A216" s="99"/>
      <c r="B216" s="99"/>
      <c r="C216" s="99"/>
      <c r="D216" s="99"/>
      <c r="E216" s="99"/>
      <c r="F216" s="99"/>
      <c r="G216" s="99"/>
      <c r="H216" s="98"/>
      <c r="I216" s="98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  <c r="AA216" s="99"/>
      <c r="AB216" s="99"/>
      <c r="AC216" s="99"/>
    </row>
    <row r="217" ht="15.75" customHeight="1">
      <c r="A217" s="99"/>
      <c r="B217" s="99"/>
      <c r="C217" s="99"/>
      <c r="D217" s="99"/>
      <c r="E217" s="99"/>
      <c r="F217" s="99"/>
      <c r="G217" s="99"/>
      <c r="H217" s="98"/>
      <c r="I217" s="98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  <c r="AA217" s="99"/>
      <c r="AB217" s="99"/>
      <c r="AC217" s="99"/>
    </row>
    <row r="218" ht="15.75" customHeight="1">
      <c r="A218" s="99"/>
      <c r="B218" s="99"/>
      <c r="C218" s="99"/>
      <c r="D218" s="99"/>
      <c r="E218" s="99"/>
      <c r="F218" s="99"/>
      <c r="G218" s="99"/>
      <c r="H218" s="98"/>
      <c r="I218" s="98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  <c r="AA218" s="99"/>
      <c r="AB218" s="99"/>
      <c r="AC218" s="99"/>
    </row>
    <row r="219" ht="15.75" customHeight="1">
      <c r="A219" s="99"/>
      <c r="B219" s="99"/>
      <c r="C219" s="99"/>
      <c r="D219" s="99"/>
      <c r="E219" s="99"/>
      <c r="F219" s="99"/>
      <c r="G219" s="99"/>
      <c r="H219" s="98"/>
      <c r="I219" s="98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  <c r="AA219" s="99"/>
      <c r="AB219" s="99"/>
      <c r="AC219" s="99"/>
    </row>
    <row r="220" ht="15.75" customHeight="1">
      <c r="A220" s="99"/>
      <c r="B220" s="99"/>
      <c r="C220" s="99"/>
      <c r="D220" s="99"/>
      <c r="E220" s="99"/>
      <c r="F220" s="99"/>
      <c r="G220" s="99"/>
      <c r="H220" s="98"/>
      <c r="I220" s="98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  <c r="AA220" s="99"/>
      <c r="AB220" s="99"/>
      <c r="AC220" s="99"/>
    </row>
    <row r="221" ht="15.75" customHeight="1">
      <c r="A221" s="99"/>
      <c r="B221" s="99"/>
      <c r="C221" s="99"/>
      <c r="D221" s="99"/>
      <c r="E221" s="99"/>
      <c r="F221" s="99"/>
      <c r="G221" s="99"/>
      <c r="H221" s="98"/>
      <c r="I221" s="98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  <c r="AA221" s="99"/>
      <c r="AB221" s="99"/>
      <c r="AC221" s="99"/>
    </row>
    <row r="222" ht="15.75" customHeight="1">
      <c r="A222" s="99"/>
      <c r="B222" s="99"/>
      <c r="C222" s="99"/>
      <c r="D222" s="99"/>
      <c r="E222" s="99"/>
      <c r="F222" s="99"/>
      <c r="G222" s="99"/>
      <c r="H222" s="98"/>
      <c r="I222" s="98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  <c r="AA222" s="99"/>
      <c r="AB222" s="99"/>
      <c r="AC222" s="99"/>
    </row>
    <row r="223" ht="15.75" customHeight="1">
      <c r="A223" s="99"/>
      <c r="B223" s="99"/>
      <c r="C223" s="99"/>
      <c r="D223" s="99"/>
      <c r="E223" s="99"/>
      <c r="F223" s="99"/>
      <c r="G223" s="99"/>
      <c r="H223" s="98"/>
      <c r="I223" s="98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  <c r="AA223" s="99"/>
      <c r="AB223" s="99"/>
      <c r="AC223" s="99"/>
    </row>
    <row r="224" ht="15.75" customHeight="1">
      <c r="A224" s="99"/>
      <c r="B224" s="99"/>
      <c r="C224" s="99"/>
      <c r="D224" s="99"/>
      <c r="E224" s="99"/>
      <c r="F224" s="99"/>
      <c r="G224" s="99"/>
      <c r="H224" s="98"/>
      <c r="I224" s="98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  <c r="AA224" s="99"/>
      <c r="AB224" s="99"/>
      <c r="AC224" s="99"/>
    </row>
    <row r="225" ht="15.75" customHeight="1">
      <c r="A225" s="99"/>
      <c r="B225" s="99"/>
      <c r="C225" s="99"/>
      <c r="D225" s="99"/>
      <c r="E225" s="99"/>
      <c r="F225" s="99"/>
      <c r="G225" s="99"/>
      <c r="H225" s="98"/>
      <c r="I225" s="98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  <c r="AA225" s="99"/>
      <c r="AB225" s="99"/>
      <c r="AC225" s="99"/>
    </row>
    <row r="226" ht="15.75" customHeight="1">
      <c r="A226" s="99"/>
      <c r="B226" s="99"/>
      <c r="C226" s="99"/>
      <c r="D226" s="99"/>
      <c r="E226" s="99"/>
      <c r="F226" s="99"/>
      <c r="G226" s="99"/>
      <c r="H226" s="98"/>
      <c r="I226" s="98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  <c r="AA226" s="99"/>
      <c r="AB226" s="99"/>
      <c r="AC226" s="99"/>
    </row>
    <row r="227" ht="15.75" customHeight="1">
      <c r="A227" s="99"/>
      <c r="B227" s="99"/>
      <c r="C227" s="99"/>
      <c r="D227" s="99"/>
      <c r="E227" s="99"/>
      <c r="F227" s="99"/>
      <c r="G227" s="99"/>
      <c r="H227" s="98"/>
      <c r="I227" s="98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  <c r="AA227" s="99"/>
      <c r="AB227" s="99"/>
      <c r="AC227" s="99"/>
    </row>
    <row r="228" ht="15.75" customHeight="1">
      <c r="A228" s="99"/>
      <c r="B228" s="99"/>
      <c r="C228" s="99"/>
      <c r="D228" s="99"/>
      <c r="E228" s="99"/>
      <c r="F228" s="99"/>
      <c r="G228" s="99"/>
      <c r="H228" s="98"/>
      <c r="I228" s="98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99"/>
      <c r="AB228" s="99"/>
      <c r="AC228" s="99"/>
    </row>
    <row r="229" ht="15.75" customHeight="1">
      <c r="A229" s="99"/>
      <c r="B229" s="99"/>
      <c r="C229" s="99"/>
      <c r="D229" s="99"/>
      <c r="E229" s="99"/>
      <c r="F229" s="99"/>
      <c r="G229" s="99"/>
      <c r="H229" s="98"/>
      <c r="I229" s="98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99"/>
      <c r="AB229" s="99"/>
      <c r="AC229" s="99"/>
    </row>
    <row r="230" ht="15.75" customHeight="1">
      <c r="A230" s="99"/>
      <c r="B230" s="99"/>
      <c r="C230" s="99"/>
      <c r="D230" s="99"/>
      <c r="E230" s="99"/>
      <c r="F230" s="99"/>
      <c r="G230" s="99"/>
      <c r="H230" s="98"/>
      <c r="I230" s="98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99"/>
      <c r="AB230" s="99"/>
      <c r="AC230" s="99"/>
    </row>
    <row r="231" ht="15.75" customHeight="1">
      <c r="A231" s="99"/>
      <c r="B231" s="99"/>
      <c r="C231" s="99"/>
      <c r="D231" s="99"/>
      <c r="E231" s="99"/>
      <c r="F231" s="99"/>
      <c r="G231" s="99"/>
      <c r="H231" s="98"/>
      <c r="I231" s="98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</row>
    <row r="232" ht="15.75" customHeight="1">
      <c r="A232" s="99"/>
      <c r="B232" s="99"/>
      <c r="C232" s="99"/>
      <c r="D232" s="99"/>
      <c r="E232" s="99"/>
      <c r="F232" s="99"/>
      <c r="G232" s="99"/>
      <c r="H232" s="98"/>
      <c r="I232" s="98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  <c r="AA232" s="99"/>
      <c r="AB232" s="99"/>
      <c r="AC232" s="99"/>
    </row>
    <row r="233" ht="15.75" customHeight="1">
      <c r="A233" s="99"/>
      <c r="B233" s="99"/>
      <c r="C233" s="99"/>
      <c r="D233" s="99"/>
      <c r="E233" s="99"/>
      <c r="F233" s="99"/>
      <c r="G233" s="99"/>
      <c r="H233" s="98"/>
      <c r="I233" s="98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  <c r="AA233" s="99"/>
      <c r="AB233" s="99"/>
      <c r="AC233" s="99"/>
    </row>
    <row r="234" ht="15.75" customHeight="1">
      <c r="A234" s="99"/>
      <c r="B234" s="99"/>
      <c r="C234" s="99"/>
      <c r="D234" s="99"/>
      <c r="E234" s="99"/>
      <c r="F234" s="99"/>
      <c r="G234" s="99"/>
      <c r="H234" s="98"/>
      <c r="I234" s="98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  <c r="AA234" s="99"/>
      <c r="AB234" s="99"/>
      <c r="AC234" s="99"/>
    </row>
    <row r="235" ht="15.75" customHeight="1">
      <c r="A235" s="99"/>
      <c r="B235" s="99"/>
      <c r="C235" s="99"/>
      <c r="D235" s="99"/>
      <c r="E235" s="99"/>
      <c r="F235" s="99"/>
      <c r="G235" s="99"/>
      <c r="H235" s="98"/>
      <c r="I235" s="98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  <c r="AA235" s="99"/>
      <c r="AB235" s="99"/>
      <c r="AC235" s="99"/>
    </row>
    <row r="236" ht="15.75" customHeight="1">
      <c r="A236" s="99"/>
      <c r="B236" s="99"/>
      <c r="C236" s="99"/>
      <c r="D236" s="99"/>
      <c r="E236" s="99"/>
      <c r="F236" s="99"/>
      <c r="G236" s="99"/>
      <c r="H236" s="98"/>
      <c r="I236" s="98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  <c r="AA236" s="99"/>
      <c r="AB236" s="99"/>
      <c r="AC236" s="99"/>
    </row>
    <row r="237" ht="15.75" customHeight="1">
      <c r="A237" s="99"/>
      <c r="B237" s="99"/>
      <c r="C237" s="99"/>
      <c r="D237" s="99"/>
      <c r="E237" s="99"/>
      <c r="F237" s="99"/>
      <c r="G237" s="99"/>
      <c r="H237" s="98"/>
      <c r="I237" s="98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  <c r="AA237" s="99"/>
      <c r="AB237" s="99"/>
      <c r="AC237" s="99"/>
    </row>
    <row r="238" ht="15.75" customHeight="1">
      <c r="A238" s="99"/>
      <c r="B238" s="99"/>
      <c r="C238" s="99"/>
      <c r="D238" s="99"/>
      <c r="E238" s="99"/>
      <c r="F238" s="99"/>
      <c r="G238" s="99"/>
      <c r="H238" s="98"/>
      <c r="I238" s="98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</row>
    <row r="239" ht="15.75" customHeight="1">
      <c r="A239" s="99"/>
      <c r="B239" s="99"/>
      <c r="C239" s="99"/>
      <c r="D239" s="99"/>
      <c r="E239" s="99"/>
      <c r="F239" s="99"/>
      <c r="G239" s="99"/>
      <c r="H239" s="98"/>
      <c r="I239" s="98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</row>
    <row r="240" ht="15.75" customHeight="1">
      <c r="A240" s="99"/>
      <c r="B240" s="99"/>
      <c r="C240" s="99"/>
      <c r="D240" s="99"/>
      <c r="E240" s="99"/>
      <c r="F240" s="99"/>
      <c r="G240" s="99"/>
      <c r="H240" s="98"/>
      <c r="I240" s="98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  <c r="AA240" s="99"/>
      <c r="AB240" s="99"/>
      <c r="AC240" s="99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5"/>
    <col customWidth="1" min="2" max="3" width="12.63"/>
    <col customWidth="1" min="4" max="4" width="38.38"/>
    <col customWidth="1" min="5" max="5" width="4.88"/>
    <col customWidth="1" min="6" max="6" width="12.63"/>
    <col customWidth="1" min="7" max="7" width="3.63"/>
    <col customWidth="1" min="10" max="10" width="21.75"/>
    <col customWidth="1" min="11" max="11" width="3.63"/>
    <col customWidth="1" min="13" max="13" width="3.63"/>
    <col customWidth="1" min="16" max="16" width="20.75"/>
    <col customWidth="1" min="17" max="17" width="3.63"/>
  </cols>
  <sheetData>
    <row r="1" ht="15.75" customHeight="1">
      <c r="A1" s="71"/>
      <c r="B1" s="71"/>
      <c r="C1" s="71"/>
      <c r="D1" s="71"/>
      <c r="E1" s="71"/>
    </row>
    <row r="2" ht="15.75" customHeight="1">
      <c r="A2" s="71"/>
      <c r="B2" s="71"/>
      <c r="C2" s="71"/>
      <c r="D2" s="71"/>
      <c r="E2" s="71"/>
    </row>
    <row r="3" ht="15.75" customHeight="1">
      <c r="A3" s="71" t="s">
        <v>1367</v>
      </c>
      <c r="B3" s="71"/>
      <c r="C3" s="71"/>
      <c r="D3" s="71"/>
      <c r="E3" s="71" t="s">
        <v>13</v>
      </c>
      <c r="I3" s="103" t="s">
        <v>1392</v>
      </c>
      <c r="J3" s="103" t="s">
        <v>15</v>
      </c>
      <c r="O3" s="103" t="s">
        <v>1392</v>
      </c>
      <c r="P3" s="103" t="s">
        <v>1393</v>
      </c>
    </row>
    <row r="4" ht="15.75" customHeight="1">
      <c r="A4" s="95" t="s">
        <v>775</v>
      </c>
      <c r="B4" s="95" t="s">
        <v>776</v>
      </c>
      <c r="C4" s="95" t="s">
        <v>777</v>
      </c>
      <c r="D4" s="95" t="s">
        <v>219</v>
      </c>
      <c r="E4" s="95" t="s">
        <v>778</v>
      </c>
      <c r="G4" s="95" t="s">
        <v>775</v>
      </c>
      <c r="H4" s="95" t="s">
        <v>776</v>
      </c>
      <c r="I4" s="95" t="s">
        <v>777</v>
      </c>
      <c r="J4" s="95" t="s">
        <v>219</v>
      </c>
      <c r="K4" s="95" t="s">
        <v>778</v>
      </c>
      <c r="M4" s="95" t="s">
        <v>775</v>
      </c>
      <c r="N4" s="95" t="s">
        <v>776</v>
      </c>
      <c r="O4" s="95" t="s">
        <v>777</v>
      </c>
      <c r="P4" s="95" t="s">
        <v>219</v>
      </c>
      <c r="Q4" s="95" t="s">
        <v>778</v>
      </c>
    </row>
    <row r="5" ht="15.75" customHeight="1">
      <c r="A5" s="92">
        <v>1.0</v>
      </c>
      <c r="B5" s="92" t="s">
        <v>781</v>
      </c>
      <c r="C5" s="92">
        <v>2.52610008E8</v>
      </c>
      <c r="D5" s="94" t="s">
        <v>411</v>
      </c>
      <c r="E5" s="92" t="s">
        <v>782</v>
      </c>
      <c r="G5" s="92">
        <v>1.0</v>
      </c>
      <c r="H5" s="92" t="s">
        <v>783</v>
      </c>
      <c r="I5" s="92">
        <v>2.52610048E8</v>
      </c>
      <c r="J5" s="94" t="s">
        <v>763</v>
      </c>
      <c r="K5" s="92" t="s">
        <v>784</v>
      </c>
      <c r="M5" s="92">
        <v>1.0</v>
      </c>
      <c r="N5" s="92" t="s">
        <v>785</v>
      </c>
      <c r="O5" s="92">
        <v>2.52610053E8</v>
      </c>
      <c r="P5" s="94" t="s">
        <v>764</v>
      </c>
      <c r="Q5" s="92" t="s">
        <v>784</v>
      </c>
    </row>
    <row r="6" ht="15.75" customHeight="1">
      <c r="A6" s="92">
        <v>2.0</v>
      </c>
      <c r="B6" s="92" t="s">
        <v>786</v>
      </c>
      <c r="C6" s="92">
        <v>2.52610082E8</v>
      </c>
      <c r="D6" s="94" t="s">
        <v>412</v>
      </c>
      <c r="E6" s="92" t="s">
        <v>782</v>
      </c>
      <c r="G6" s="92">
        <v>2.0</v>
      </c>
      <c r="H6" s="92" t="s">
        <v>787</v>
      </c>
      <c r="I6" s="92">
        <v>2.52610083E8</v>
      </c>
      <c r="J6" s="94" t="s">
        <v>765</v>
      </c>
      <c r="K6" s="92" t="s">
        <v>784</v>
      </c>
      <c r="M6" s="92">
        <v>2.0</v>
      </c>
      <c r="N6" s="92" t="s">
        <v>788</v>
      </c>
      <c r="O6" s="92">
        <v>2.52610087E8</v>
      </c>
      <c r="P6" s="94" t="s">
        <v>766</v>
      </c>
      <c r="Q6" s="92" t="s">
        <v>784</v>
      </c>
    </row>
    <row r="7" ht="15.75" customHeight="1">
      <c r="A7" s="92">
        <v>3.0</v>
      </c>
      <c r="B7" s="92" t="s">
        <v>793</v>
      </c>
      <c r="C7" s="92">
        <v>2.52610126E8</v>
      </c>
      <c r="D7" s="94" t="s">
        <v>413</v>
      </c>
      <c r="E7" s="92" t="s">
        <v>782</v>
      </c>
      <c r="G7" s="92">
        <v>3.0</v>
      </c>
      <c r="H7" s="92" t="s">
        <v>789</v>
      </c>
      <c r="I7" s="92">
        <v>2.52610088E8</v>
      </c>
      <c r="J7" s="94" t="s">
        <v>767</v>
      </c>
      <c r="K7" s="92" t="s">
        <v>784</v>
      </c>
      <c r="M7" s="92">
        <v>3.0</v>
      </c>
      <c r="N7" s="92" t="s">
        <v>790</v>
      </c>
      <c r="O7" s="92">
        <v>2.526101E8</v>
      </c>
      <c r="P7" s="94" t="s">
        <v>768</v>
      </c>
      <c r="Q7" s="92" t="s">
        <v>784</v>
      </c>
    </row>
    <row r="8" ht="15.75" customHeight="1">
      <c r="A8" s="92">
        <v>4.0</v>
      </c>
      <c r="B8" s="92" t="s">
        <v>795</v>
      </c>
      <c r="C8" s="92">
        <v>2.52610171E8</v>
      </c>
      <c r="D8" s="94" t="s">
        <v>414</v>
      </c>
      <c r="E8" s="92" t="s">
        <v>782</v>
      </c>
      <c r="G8" s="92">
        <v>4.0</v>
      </c>
      <c r="H8" s="92" t="s">
        <v>791</v>
      </c>
      <c r="I8" s="92">
        <v>2.52610101E8</v>
      </c>
      <c r="J8" s="94" t="s">
        <v>769</v>
      </c>
      <c r="K8" s="92" t="s">
        <v>784</v>
      </c>
      <c r="M8" s="92">
        <v>4.0</v>
      </c>
      <c r="N8" s="92" t="s">
        <v>794</v>
      </c>
      <c r="O8" s="92">
        <v>2.5261013E8</v>
      </c>
      <c r="P8" s="94" t="s">
        <v>770</v>
      </c>
      <c r="Q8" s="92" t="s">
        <v>784</v>
      </c>
    </row>
    <row r="9" ht="15.75" customHeight="1">
      <c r="A9" s="92">
        <v>5.0</v>
      </c>
      <c r="B9" s="92" t="s">
        <v>797</v>
      </c>
      <c r="C9" s="92">
        <v>2.52610193E8</v>
      </c>
      <c r="D9" s="94" t="s">
        <v>415</v>
      </c>
      <c r="E9" s="92" t="s">
        <v>782</v>
      </c>
      <c r="G9" s="92">
        <v>5.0</v>
      </c>
      <c r="H9" s="92" t="s">
        <v>796</v>
      </c>
      <c r="I9" s="92">
        <v>2.52610175E8</v>
      </c>
      <c r="J9" s="94" t="s">
        <v>771</v>
      </c>
      <c r="K9" s="92" t="s">
        <v>784</v>
      </c>
      <c r="M9" s="92">
        <v>5.0</v>
      </c>
      <c r="N9" s="92" t="s">
        <v>799</v>
      </c>
      <c r="O9" s="92">
        <v>2.52610206E8</v>
      </c>
      <c r="P9" s="94" t="s">
        <v>772</v>
      </c>
      <c r="Q9" s="92" t="s">
        <v>784</v>
      </c>
    </row>
    <row r="10" ht="15.75" customHeight="1">
      <c r="A10" s="92">
        <v>6.0</v>
      </c>
      <c r="B10" s="92" t="s">
        <v>798</v>
      </c>
      <c r="C10" s="92">
        <v>2.52610202E8</v>
      </c>
      <c r="D10" s="94" t="s">
        <v>416</v>
      </c>
      <c r="E10" s="92" t="s">
        <v>782</v>
      </c>
      <c r="G10" s="92">
        <v>6.0</v>
      </c>
      <c r="H10" s="92" t="s">
        <v>800</v>
      </c>
      <c r="I10" s="92">
        <v>2.52610224E8</v>
      </c>
      <c r="J10" s="94" t="s">
        <v>773</v>
      </c>
      <c r="K10" s="92" t="s">
        <v>784</v>
      </c>
      <c r="M10" s="92">
        <v>6.0</v>
      </c>
      <c r="N10" s="92" t="s">
        <v>801</v>
      </c>
      <c r="O10" s="92">
        <v>2.52610239E8</v>
      </c>
      <c r="P10" s="94" t="s">
        <v>602</v>
      </c>
      <c r="Q10" s="92" t="s">
        <v>784</v>
      </c>
    </row>
    <row r="11" ht="15.75" customHeight="1">
      <c r="A11" s="92">
        <v>7.0</v>
      </c>
      <c r="B11" s="92" t="s">
        <v>804</v>
      </c>
      <c r="C11" s="92">
        <v>2.52610316E8</v>
      </c>
      <c r="D11" s="94" t="s">
        <v>417</v>
      </c>
      <c r="E11" s="92" t="s">
        <v>782</v>
      </c>
      <c r="G11" s="92">
        <v>7.0</v>
      </c>
      <c r="H11" s="92" t="s">
        <v>802</v>
      </c>
      <c r="I11" s="92">
        <v>2.52610246E8</v>
      </c>
      <c r="J11" s="94" t="s">
        <v>603</v>
      </c>
      <c r="K11" s="92" t="s">
        <v>784</v>
      </c>
      <c r="M11" s="92">
        <v>7.0</v>
      </c>
      <c r="N11" s="92" t="s">
        <v>803</v>
      </c>
      <c r="O11" s="92">
        <v>2.52610311E8</v>
      </c>
      <c r="P11" s="94" t="s">
        <v>604</v>
      </c>
      <c r="Q11" s="92" t="s">
        <v>784</v>
      </c>
    </row>
    <row r="12" ht="15.75" customHeight="1">
      <c r="A12" s="92">
        <v>8.0</v>
      </c>
      <c r="B12" s="92" t="s">
        <v>805</v>
      </c>
      <c r="C12" s="92">
        <v>2.5261033E8</v>
      </c>
      <c r="D12" s="94" t="s">
        <v>418</v>
      </c>
      <c r="E12" s="92" t="s">
        <v>782</v>
      </c>
      <c r="G12" s="92">
        <v>8.0</v>
      </c>
      <c r="H12" s="92" t="s">
        <v>811</v>
      </c>
      <c r="I12" s="92">
        <v>2.5261039E8</v>
      </c>
      <c r="J12" s="94" t="s">
        <v>605</v>
      </c>
      <c r="K12" s="92" t="s">
        <v>784</v>
      </c>
      <c r="M12" s="92">
        <v>8.0</v>
      </c>
      <c r="N12" s="92" t="s">
        <v>812</v>
      </c>
      <c r="O12" s="92">
        <v>2.52610393E8</v>
      </c>
      <c r="P12" s="94" t="s">
        <v>606</v>
      </c>
      <c r="Q12" s="92" t="s">
        <v>784</v>
      </c>
    </row>
    <row r="13" ht="15.75" customHeight="1">
      <c r="A13" s="92">
        <v>9.0</v>
      </c>
      <c r="B13" s="92" t="s">
        <v>807</v>
      </c>
      <c r="C13" s="92">
        <v>2.52610343E8</v>
      </c>
      <c r="D13" s="94" t="s">
        <v>419</v>
      </c>
      <c r="E13" s="92" t="s">
        <v>782</v>
      </c>
      <c r="G13" s="92">
        <v>9.0</v>
      </c>
      <c r="H13" s="92" t="s">
        <v>813</v>
      </c>
      <c r="I13" s="92">
        <v>2.52610423E8</v>
      </c>
      <c r="J13" s="94" t="s">
        <v>607</v>
      </c>
      <c r="K13" s="92" t="s">
        <v>784</v>
      </c>
      <c r="M13" s="92">
        <v>9.0</v>
      </c>
      <c r="N13" s="92" t="s">
        <v>814</v>
      </c>
      <c r="O13" s="92">
        <v>2.52610424E8</v>
      </c>
      <c r="P13" s="94" t="s">
        <v>608</v>
      </c>
      <c r="Q13" s="92" t="s">
        <v>784</v>
      </c>
    </row>
    <row r="14" ht="15.75" customHeight="1">
      <c r="A14" s="92">
        <v>10.0</v>
      </c>
      <c r="B14" s="92" t="s">
        <v>808</v>
      </c>
      <c r="C14" s="92">
        <v>2.52610351E8</v>
      </c>
      <c r="D14" s="94" t="s">
        <v>420</v>
      </c>
      <c r="E14" s="92" t="s">
        <v>782</v>
      </c>
      <c r="G14" s="92">
        <v>10.0</v>
      </c>
      <c r="H14" s="92" t="s">
        <v>820</v>
      </c>
      <c r="I14" s="92">
        <v>2.52610489E8</v>
      </c>
      <c r="J14" s="94" t="s">
        <v>609</v>
      </c>
      <c r="K14" s="92" t="s">
        <v>784</v>
      </c>
      <c r="M14" s="92">
        <v>10.0</v>
      </c>
      <c r="N14" s="92" t="s">
        <v>821</v>
      </c>
      <c r="O14" s="92">
        <v>2.52610508E8</v>
      </c>
      <c r="P14" s="94" t="s">
        <v>610</v>
      </c>
      <c r="Q14" s="92" t="s">
        <v>784</v>
      </c>
    </row>
    <row r="15" ht="15.75" customHeight="1">
      <c r="A15" s="92">
        <v>11.0</v>
      </c>
      <c r="B15" s="92" t="s">
        <v>809</v>
      </c>
      <c r="C15" s="92">
        <v>2.52610369E8</v>
      </c>
      <c r="D15" s="94" t="s">
        <v>421</v>
      </c>
      <c r="E15" s="92" t="s">
        <v>782</v>
      </c>
      <c r="G15" s="92">
        <v>11.0</v>
      </c>
      <c r="H15" s="92" t="s">
        <v>822</v>
      </c>
      <c r="I15" s="92">
        <v>2.52610513E8</v>
      </c>
      <c r="J15" s="94" t="s">
        <v>611</v>
      </c>
      <c r="K15" s="92" t="s">
        <v>784</v>
      </c>
      <c r="M15" s="92">
        <v>11.0</v>
      </c>
      <c r="N15" s="92" t="s">
        <v>824</v>
      </c>
      <c r="O15" s="92">
        <v>2.52610566E8</v>
      </c>
      <c r="P15" s="94" t="s">
        <v>612</v>
      </c>
      <c r="Q15" s="92" t="s">
        <v>784</v>
      </c>
    </row>
    <row r="16" ht="15.75" customHeight="1">
      <c r="A16" s="92">
        <v>12.0</v>
      </c>
      <c r="B16" s="92" t="s">
        <v>810</v>
      </c>
      <c r="C16" s="92">
        <v>2.52610371E8</v>
      </c>
      <c r="D16" s="94" t="s">
        <v>422</v>
      </c>
      <c r="E16" s="92" t="s">
        <v>782</v>
      </c>
    </row>
    <row r="17" ht="15.75" customHeight="1">
      <c r="A17" s="92">
        <v>13.0</v>
      </c>
      <c r="B17" s="92" t="s">
        <v>815</v>
      </c>
      <c r="C17" s="92">
        <v>2.52610436E8</v>
      </c>
      <c r="D17" s="94" t="s">
        <v>423</v>
      </c>
      <c r="E17" s="92" t="s">
        <v>782</v>
      </c>
    </row>
    <row r="18" ht="15.75" customHeight="1">
      <c r="A18" s="92">
        <v>14.0</v>
      </c>
      <c r="B18" s="92" t="s">
        <v>816</v>
      </c>
      <c r="C18" s="92">
        <v>2.52610452E8</v>
      </c>
      <c r="D18" s="94" t="s">
        <v>424</v>
      </c>
      <c r="E18" s="92" t="s">
        <v>782</v>
      </c>
    </row>
    <row r="19" ht="15.75" customHeight="1">
      <c r="A19" s="92">
        <v>15.0</v>
      </c>
      <c r="B19" s="92" t="s">
        <v>817</v>
      </c>
      <c r="C19" s="92">
        <v>2.52610454E8</v>
      </c>
      <c r="D19" s="94" t="s">
        <v>425</v>
      </c>
      <c r="E19" s="92" t="s">
        <v>782</v>
      </c>
    </row>
    <row r="20" ht="15.75" customHeight="1">
      <c r="A20" s="92">
        <v>16.0</v>
      </c>
      <c r="B20" s="92" t="s">
        <v>818</v>
      </c>
      <c r="C20" s="92">
        <v>2.52610476E8</v>
      </c>
      <c r="D20" s="94" t="s">
        <v>426</v>
      </c>
      <c r="E20" s="92" t="s">
        <v>782</v>
      </c>
    </row>
    <row r="21" ht="15.75" customHeight="1">
      <c r="A21" s="92">
        <v>17.0</v>
      </c>
      <c r="B21" s="92" t="s">
        <v>823</v>
      </c>
      <c r="C21" s="92">
        <v>2.52610564E8</v>
      </c>
      <c r="D21" s="94" t="s">
        <v>427</v>
      </c>
      <c r="E21" s="92" t="s">
        <v>782</v>
      </c>
    </row>
    <row r="22" ht="15.75" customHeight="1">
      <c r="A22" s="71"/>
      <c r="B22" s="71"/>
      <c r="C22" s="71"/>
      <c r="D22" s="71"/>
      <c r="E22" s="71"/>
    </row>
    <row r="23" ht="15.75" customHeight="1">
      <c r="A23" s="71"/>
      <c r="B23" s="71"/>
      <c r="C23" s="71"/>
      <c r="D23" s="94" t="s">
        <v>1368</v>
      </c>
      <c r="E23" s="96">
        <f>COUNTIF(K5:Q15,"P")</f>
        <v>22</v>
      </c>
    </row>
    <row r="24" ht="15.75" customHeight="1">
      <c r="A24" s="71"/>
      <c r="B24" s="71"/>
      <c r="C24" s="71"/>
      <c r="D24" s="94" t="s">
        <v>1369</v>
      </c>
      <c r="E24" s="96">
        <f>COUNTIF(E5:E21,"L")</f>
        <v>17</v>
      </c>
    </row>
    <row r="25" ht="15.75" customHeight="1">
      <c r="A25" s="71"/>
      <c r="B25" s="71"/>
      <c r="C25" s="71"/>
      <c r="D25" s="71"/>
      <c r="E25" s="71"/>
    </row>
    <row r="26" ht="15.75" customHeight="1">
      <c r="A26" s="71"/>
      <c r="B26" s="71"/>
      <c r="C26" s="71"/>
      <c r="D26" s="71"/>
      <c r="E26" s="71"/>
    </row>
    <row r="27" ht="15.75" customHeight="1">
      <c r="A27" s="71" t="s">
        <v>1370</v>
      </c>
      <c r="B27" s="71"/>
      <c r="C27" s="71"/>
      <c r="D27" s="71"/>
      <c r="E27" s="71" t="s">
        <v>21</v>
      </c>
      <c r="I27" s="103" t="s">
        <v>1392</v>
      </c>
      <c r="J27" s="103" t="s">
        <v>24</v>
      </c>
      <c r="O27" s="103" t="s">
        <v>1392</v>
      </c>
      <c r="P27" s="103" t="s">
        <v>25</v>
      </c>
    </row>
    <row r="28" ht="15.75" customHeight="1">
      <c r="A28" s="95" t="s">
        <v>775</v>
      </c>
      <c r="B28" s="95" t="s">
        <v>776</v>
      </c>
      <c r="C28" s="95" t="s">
        <v>777</v>
      </c>
      <c r="D28" s="95" t="s">
        <v>219</v>
      </c>
      <c r="E28" s="95" t="s">
        <v>778</v>
      </c>
      <c r="G28" s="95" t="s">
        <v>775</v>
      </c>
      <c r="H28" s="95" t="s">
        <v>776</v>
      </c>
      <c r="I28" s="95" t="s">
        <v>777</v>
      </c>
      <c r="J28" s="95" t="s">
        <v>219</v>
      </c>
      <c r="K28" s="95" t="s">
        <v>778</v>
      </c>
      <c r="M28" s="95" t="s">
        <v>775</v>
      </c>
      <c r="N28" s="95" t="s">
        <v>776</v>
      </c>
      <c r="O28" s="95" t="s">
        <v>777</v>
      </c>
      <c r="P28" s="95" t="s">
        <v>219</v>
      </c>
      <c r="Q28" s="95" t="s">
        <v>778</v>
      </c>
    </row>
    <row r="29" ht="15.75" customHeight="1">
      <c r="A29" s="92">
        <v>1.0</v>
      </c>
      <c r="B29" s="92" t="s">
        <v>831</v>
      </c>
      <c r="C29" s="92">
        <v>2.52610058E8</v>
      </c>
      <c r="D29" s="94" t="s">
        <v>345</v>
      </c>
      <c r="E29" s="92" t="s">
        <v>782</v>
      </c>
      <c r="G29" s="92">
        <v>1.0</v>
      </c>
      <c r="H29" s="92" t="s">
        <v>825</v>
      </c>
      <c r="I29" s="92">
        <v>2.52610011E8</v>
      </c>
      <c r="J29" s="94" t="s">
        <v>711</v>
      </c>
      <c r="K29" s="92" t="s">
        <v>784</v>
      </c>
      <c r="M29" s="92">
        <v>1.0</v>
      </c>
      <c r="N29" s="92" t="s">
        <v>844</v>
      </c>
      <c r="O29" s="92">
        <v>2.52610181E8</v>
      </c>
      <c r="P29" s="94" t="s">
        <v>553</v>
      </c>
      <c r="Q29" s="92" t="s">
        <v>784</v>
      </c>
    </row>
    <row r="30" ht="15.75" customHeight="1">
      <c r="A30" s="92">
        <v>2.0</v>
      </c>
      <c r="B30" s="92" t="s">
        <v>837</v>
      </c>
      <c r="C30" s="92">
        <v>2.52610124E8</v>
      </c>
      <c r="D30" s="94" t="s">
        <v>346</v>
      </c>
      <c r="E30" s="92" t="s">
        <v>782</v>
      </c>
      <c r="G30" s="92">
        <v>2.0</v>
      </c>
      <c r="H30" s="92" t="s">
        <v>827</v>
      </c>
      <c r="I30" s="92">
        <v>2.52610026E8</v>
      </c>
      <c r="J30" s="94" t="s">
        <v>712</v>
      </c>
      <c r="K30" s="92" t="s">
        <v>784</v>
      </c>
      <c r="M30" s="92">
        <v>2.0</v>
      </c>
      <c r="N30" s="92" t="s">
        <v>847</v>
      </c>
      <c r="O30" s="92">
        <v>2.52610238E8</v>
      </c>
      <c r="P30" s="94" t="s">
        <v>554</v>
      </c>
      <c r="Q30" s="92" t="s">
        <v>784</v>
      </c>
    </row>
    <row r="31" ht="15.75" customHeight="1">
      <c r="A31" s="92">
        <v>3.0</v>
      </c>
      <c r="B31" s="92" t="s">
        <v>839</v>
      </c>
      <c r="C31" s="92">
        <v>2.52610145E8</v>
      </c>
      <c r="D31" s="94" t="s">
        <v>347</v>
      </c>
      <c r="E31" s="92" t="s">
        <v>782</v>
      </c>
      <c r="G31" s="92">
        <v>3.0</v>
      </c>
      <c r="H31" s="92" t="s">
        <v>828</v>
      </c>
      <c r="I31" s="92">
        <v>2.52610039E8</v>
      </c>
      <c r="J31" s="94" t="s">
        <v>713</v>
      </c>
      <c r="K31" s="92" t="s">
        <v>784</v>
      </c>
      <c r="M31" s="92">
        <v>3.0</v>
      </c>
      <c r="N31" s="92" t="s">
        <v>849</v>
      </c>
      <c r="O31" s="92">
        <v>2.5261028E8</v>
      </c>
      <c r="P31" s="94" t="s">
        <v>555</v>
      </c>
      <c r="Q31" s="92" t="s">
        <v>784</v>
      </c>
    </row>
    <row r="32" ht="15.75" customHeight="1">
      <c r="A32" s="92">
        <v>4.0</v>
      </c>
      <c r="B32" s="92" t="s">
        <v>842</v>
      </c>
      <c r="C32" s="92">
        <v>2.52610164E8</v>
      </c>
      <c r="D32" s="94" t="s">
        <v>348</v>
      </c>
      <c r="E32" s="92" t="s">
        <v>782</v>
      </c>
      <c r="G32" s="92">
        <v>4.0</v>
      </c>
      <c r="H32" s="92" t="s">
        <v>829</v>
      </c>
      <c r="I32" s="92">
        <v>2.5261005E8</v>
      </c>
      <c r="J32" s="94" t="s">
        <v>714</v>
      </c>
      <c r="K32" s="92" t="s">
        <v>784</v>
      </c>
      <c r="M32" s="92">
        <v>4.0</v>
      </c>
      <c r="N32" s="92" t="s">
        <v>858</v>
      </c>
      <c r="O32" s="92">
        <v>2.52610416E8</v>
      </c>
      <c r="P32" s="94" t="s">
        <v>556</v>
      </c>
      <c r="Q32" s="92" t="s">
        <v>784</v>
      </c>
    </row>
    <row r="33" ht="15.75" customHeight="1">
      <c r="A33" s="92">
        <v>5.0</v>
      </c>
      <c r="B33" s="92" t="s">
        <v>843</v>
      </c>
      <c r="C33" s="92">
        <v>2.5261018E8</v>
      </c>
      <c r="D33" s="94" t="s">
        <v>349</v>
      </c>
      <c r="E33" s="92" t="s">
        <v>782</v>
      </c>
      <c r="G33" s="92">
        <v>5.0</v>
      </c>
      <c r="H33" s="92" t="s">
        <v>832</v>
      </c>
      <c r="I33" s="92">
        <v>2.52610062E8</v>
      </c>
      <c r="J33" s="94" t="s">
        <v>715</v>
      </c>
      <c r="K33" s="92" t="s">
        <v>784</v>
      </c>
      <c r="M33" s="92">
        <v>5.0</v>
      </c>
      <c r="N33" s="92" t="s">
        <v>859</v>
      </c>
      <c r="O33" s="92">
        <v>2.52610419E8</v>
      </c>
      <c r="P33" s="94" t="s">
        <v>557</v>
      </c>
      <c r="Q33" s="92" t="s">
        <v>784</v>
      </c>
    </row>
    <row r="34" ht="15.75" customHeight="1">
      <c r="A34" s="92">
        <v>6.0</v>
      </c>
      <c r="B34" s="92" t="s">
        <v>845</v>
      </c>
      <c r="C34" s="92">
        <v>2.52610185E8</v>
      </c>
      <c r="D34" s="94" t="s">
        <v>350</v>
      </c>
      <c r="E34" s="92" t="s">
        <v>782</v>
      </c>
      <c r="G34" s="92">
        <v>6.0</v>
      </c>
      <c r="H34" s="92" t="s">
        <v>833</v>
      </c>
      <c r="I34" s="92">
        <v>2.5261007E8</v>
      </c>
      <c r="J34" s="94" t="s">
        <v>716</v>
      </c>
      <c r="K34" s="92" t="s">
        <v>784</v>
      </c>
      <c r="M34" s="92">
        <v>6.0</v>
      </c>
      <c r="N34" s="92" t="s">
        <v>861</v>
      </c>
      <c r="O34" s="92">
        <v>2.5261044E8</v>
      </c>
      <c r="P34" s="94" t="s">
        <v>558</v>
      </c>
      <c r="Q34" s="92" t="s">
        <v>784</v>
      </c>
    </row>
    <row r="35" ht="15.75" customHeight="1">
      <c r="A35" s="92">
        <v>7.0</v>
      </c>
      <c r="B35" s="92" t="s">
        <v>846</v>
      </c>
      <c r="C35" s="92">
        <v>2.52610186E8</v>
      </c>
      <c r="D35" s="94" t="s">
        <v>351</v>
      </c>
      <c r="E35" s="92" t="s">
        <v>782</v>
      </c>
      <c r="G35" s="92">
        <v>7.0</v>
      </c>
      <c r="H35" s="92" t="s">
        <v>834</v>
      </c>
      <c r="I35" s="92">
        <v>2.52610084E8</v>
      </c>
      <c r="J35" s="94" t="s">
        <v>717</v>
      </c>
      <c r="K35" s="92" t="s">
        <v>784</v>
      </c>
      <c r="M35" s="92">
        <v>7.0</v>
      </c>
      <c r="N35" s="92" t="s">
        <v>862</v>
      </c>
      <c r="O35" s="92">
        <v>2.52610467E8</v>
      </c>
      <c r="P35" s="94" t="s">
        <v>559</v>
      </c>
      <c r="Q35" s="92" t="s">
        <v>784</v>
      </c>
    </row>
    <row r="36" ht="15.75" customHeight="1">
      <c r="A36" s="92">
        <v>8.0</v>
      </c>
      <c r="B36" s="92" t="s">
        <v>848</v>
      </c>
      <c r="C36" s="92">
        <v>2.52610277E8</v>
      </c>
      <c r="D36" s="94" t="s">
        <v>352</v>
      </c>
      <c r="E36" s="92" t="s">
        <v>782</v>
      </c>
      <c r="G36" s="92">
        <v>8.0</v>
      </c>
      <c r="H36" s="92" t="s">
        <v>835</v>
      </c>
      <c r="I36" s="92">
        <v>2.5261009E8</v>
      </c>
      <c r="J36" s="94" t="s">
        <v>718</v>
      </c>
      <c r="K36" s="92" t="s">
        <v>784</v>
      </c>
      <c r="M36" s="92">
        <v>8.0</v>
      </c>
      <c r="N36" s="92" t="s">
        <v>863</v>
      </c>
      <c r="O36" s="92">
        <v>2.52610474E8</v>
      </c>
      <c r="P36" s="94" t="s">
        <v>560</v>
      </c>
      <c r="Q36" s="92" t="s">
        <v>784</v>
      </c>
    </row>
    <row r="37" ht="15.75" customHeight="1">
      <c r="A37" s="92">
        <v>9.0</v>
      </c>
      <c r="B37" s="92" t="s">
        <v>850</v>
      </c>
      <c r="C37" s="92">
        <v>2.52610302E8</v>
      </c>
      <c r="D37" s="94" t="s">
        <v>353</v>
      </c>
      <c r="E37" s="92" t="s">
        <v>782</v>
      </c>
      <c r="G37" s="92">
        <v>9.0</v>
      </c>
      <c r="H37" s="92" t="s">
        <v>836</v>
      </c>
      <c r="I37" s="92">
        <v>2.52610102E8</v>
      </c>
      <c r="J37" s="94" t="s">
        <v>719</v>
      </c>
      <c r="K37" s="92" t="s">
        <v>784</v>
      </c>
      <c r="M37" s="92">
        <v>9.0</v>
      </c>
      <c r="N37" s="92" t="s">
        <v>864</v>
      </c>
      <c r="O37" s="92">
        <v>2.52610497E8</v>
      </c>
      <c r="P37" s="94" t="s">
        <v>561</v>
      </c>
      <c r="Q37" s="92" t="s">
        <v>784</v>
      </c>
    </row>
    <row r="38" ht="15.75" customHeight="1">
      <c r="A38" s="92">
        <v>10.0</v>
      </c>
      <c r="B38" s="92" t="s">
        <v>851</v>
      </c>
      <c r="C38" s="92">
        <v>2.52610319E8</v>
      </c>
      <c r="D38" s="94" t="s">
        <v>354</v>
      </c>
      <c r="E38" s="92" t="s">
        <v>782</v>
      </c>
      <c r="G38" s="92">
        <v>10.0</v>
      </c>
      <c r="H38" s="92" t="s">
        <v>838</v>
      </c>
      <c r="I38" s="92">
        <v>2.52610139E8</v>
      </c>
      <c r="J38" s="94" t="s">
        <v>720</v>
      </c>
      <c r="K38" s="92" t="s">
        <v>784</v>
      </c>
      <c r="M38" s="92">
        <v>10.0</v>
      </c>
      <c r="N38" s="92" t="s">
        <v>865</v>
      </c>
      <c r="O38" s="92">
        <v>2.52610546E8</v>
      </c>
      <c r="P38" s="94" t="s">
        <v>562</v>
      </c>
      <c r="Q38" s="92" t="s">
        <v>784</v>
      </c>
    </row>
    <row r="39" ht="15.75" customHeight="1">
      <c r="A39" s="92">
        <v>11.0</v>
      </c>
      <c r="B39" s="92" t="s">
        <v>853</v>
      </c>
      <c r="C39" s="92">
        <v>2.52610332E8</v>
      </c>
      <c r="D39" s="94" t="s">
        <v>355</v>
      </c>
      <c r="E39" s="92" t="s">
        <v>782</v>
      </c>
      <c r="G39" s="92">
        <v>11.0</v>
      </c>
      <c r="H39" s="92" t="s">
        <v>840</v>
      </c>
      <c r="I39" s="92">
        <v>2.52610153E8</v>
      </c>
      <c r="J39" s="94" t="s">
        <v>721</v>
      </c>
      <c r="K39" s="92" t="s">
        <v>784</v>
      </c>
      <c r="M39" s="92">
        <v>11.0</v>
      </c>
      <c r="N39" s="92" t="s">
        <v>867</v>
      </c>
      <c r="O39" s="92">
        <v>2.52610563E8</v>
      </c>
      <c r="P39" s="94" t="s">
        <v>563</v>
      </c>
      <c r="Q39" s="92" t="s">
        <v>784</v>
      </c>
    </row>
    <row r="40" ht="15.75" customHeight="1">
      <c r="A40" s="92">
        <v>12.0</v>
      </c>
      <c r="B40" s="92" t="s">
        <v>854</v>
      </c>
      <c r="C40" s="92">
        <v>2.52610336E8</v>
      </c>
      <c r="D40" s="94" t="s">
        <v>356</v>
      </c>
      <c r="E40" s="92" t="s">
        <v>782</v>
      </c>
      <c r="G40" s="92">
        <v>12.0</v>
      </c>
      <c r="H40" s="92" t="s">
        <v>841</v>
      </c>
      <c r="I40" s="92">
        <v>2.52610154E8</v>
      </c>
      <c r="J40" s="94" t="s">
        <v>722</v>
      </c>
      <c r="K40" s="92" t="s">
        <v>784</v>
      </c>
    </row>
    <row r="41" ht="15.75" customHeight="1">
      <c r="A41" s="92">
        <v>13.0</v>
      </c>
      <c r="B41" s="92" t="s">
        <v>856</v>
      </c>
      <c r="C41" s="92">
        <v>2.52610362E8</v>
      </c>
      <c r="D41" s="94" t="s">
        <v>357</v>
      </c>
      <c r="E41" s="92" t="s">
        <v>782</v>
      </c>
    </row>
    <row r="42" ht="15.75" customHeight="1">
      <c r="A42" s="92">
        <v>14.0</v>
      </c>
      <c r="B42" s="92" t="s">
        <v>857</v>
      </c>
      <c r="C42" s="92">
        <v>2.52610365E8</v>
      </c>
      <c r="D42" s="94" t="s">
        <v>358</v>
      </c>
      <c r="E42" s="92" t="s">
        <v>782</v>
      </c>
    </row>
    <row r="43" ht="15.75" customHeight="1">
      <c r="A43" s="92">
        <v>15.0</v>
      </c>
      <c r="B43" s="92" t="s">
        <v>866</v>
      </c>
      <c r="C43" s="92">
        <v>2.5261056E8</v>
      </c>
      <c r="D43" s="94" t="s">
        <v>359</v>
      </c>
      <c r="E43" s="92" t="s">
        <v>782</v>
      </c>
    </row>
    <row r="44" ht="15.75" customHeight="1">
      <c r="A44" s="71"/>
      <c r="B44" s="71"/>
      <c r="C44" s="71"/>
      <c r="D44" s="71"/>
      <c r="E44" s="71"/>
    </row>
    <row r="45" ht="15.75" customHeight="1">
      <c r="A45" s="71"/>
      <c r="B45" s="71"/>
      <c r="C45" s="71"/>
      <c r="D45" s="94" t="s">
        <v>1368</v>
      </c>
      <c r="E45" s="96">
        <f>COUNTIF(K29:Q40,"P")</f>
        <v>23</v>
      </c>
    </row>
    <row r="46" ht="15.75" customHeight="1">
      <c r="A46" s="71"/>
      <c r="B46" s="71"/>
      <c r="C46" s="71"/>
      <c r="D46" s="94" t="s">
        <v>1369</v>
      </c>
      <c r="E46" s="96">
        <f>COUNTIF(E29:E43,"L")</f>
        <v>15</v>
      </c>
    </row>
    <row r="47" ht="15.75" customHeight="1">
      <c r="A47" s="71"/>
      <c r="B47" s="71"/>
      <c r="C47" s="71"/>
      <c r="D47" s="71"/>
      <c r="E47" s="71"/>
    </row>
    <row r="48" ht="15.75" customHeight="1">
      <c r="A48" s="71"/>
      <c r="B48" s="71"/>
      <c r="C48" s="71"/>
      <c r="D48" s="71"/>
      <c r="E48" s="71"/>
    </row>
    <row r="49" ht="15.75" customHeight="1">
      <c r="A49" s="71" t="s">
        <v>1371</v>
      </c>
      <c r="B49" s="71"/>
      <c r="C49" s="71"/>
      <c r="D49" s="71"/>
      <c r="E49" s="71" t="s">
        <v>29</v>
      </c>
    </row>
    <row r="50" ht="15.75" customHeight="1">
      <c r="A50" s="95" t="s">
        <v>775</v>
      </c>
      <c r="B50" s="95" t="s">
        <v>776</v>
      </c>
      <c r="C50" s="95" t="s">
        <v>777</v>
      </c>
      <c r="D50" s="95" t="s">
        <v>219</v>
      </c>
      <c r="E50" s="95" t="s">
        <v>778</v>
      </c>
    </row>
    <row r="51" ht="15.75" customHeight="1">
      <c r="A51" s="92">
        <v>1.0</v>
      </c>
      <c r="B51" s="92" t="s">
        <v>868</v>
      </c>
      <c r="C51" s="92">
        <v>2.52610002E8</v>
      </c>
      <c r="D51" s="94" t="s">
        <v>331</v>
      </c>
      <c r="E51" s="92" t="s">
        <v>782</v>
      </c>
    </row>
    <row r="52" ht="15.75" customHeight="1">
      <c r="A52" s="92">
        <v>2.0</v>
      </c>
      <c r="B52" s="92" t="s">
        <v>869</v>
      </c>
      <c r="C52" s="92">
        <v>2.52610063E8</v>
      </c>
      <c r="D52" s="94" t="s">
        <v>332</v>
      </c>
      <c r="E52" s="92" t="s">
        <v>782</v>
      </c>
    </row>
    <row r="53" ht="15.75" customHeight="1">
      <c r="A53" s="92">
        <v>3.0</v>
      </c>
      <c r="B53" s="92" t="s">
        <v>870</v>
      </c>
      <c r="C53" s="92">
        <v>2.52610065E8</v>
      </c>
      <c r="D53" s="94" t="s">
        <v>697</v>
      </c>
      <c r="E53" s="92" t="s">
        <v>784</v>
      </c>
    </row>
    <row r="54" ht="15.75" customHeight="1">
      <c r="A54" s="92">
        <v>4.0</v>
      </c>
      <c r="B54" s="92" t="s">
        <v>871</v>
      </c>
      <c r="C54" s="92">
        <v>2.52610076E8</v>
      </c>
      <c r="D54" s="94" t="s">
        <v>333</v>
      </c>
      <c r="E54" s="92" t="s">
        <v>782</v>
      </c>
    </row>
    <row r="55" ht="15.75" customHeight="1">
      <c r="A55" s="92">
        <v>5.0</v>
      </c>
      <c r="B55" s="92" t="s">
        <v>872</v>
      </c>
      <c r="C55" s="92">
        <v>2.52610079E8</v>
      </c>
      <c r="D55" s="94" t="s">
        <v>334</v>
      </c>
      <c r="E55" s="92" t="s">
        <v>782</v>
      </c>
    </row>
    <row r="56" ht="15.75" customHeight="1">
      <c r="A56" s="92">
        <v>6.0</v>
      </c>
      <c r="B56" s="92" t="s">
        <v>873</v>
      </c>
      <c r="C56" s="92">
        <v>2.52610093E8</v>
      </c>
      <c r="D56" s="94" t="s">
        <v>698</v>
      </c>
      <c r="E56" s="92" t="s">
        <v>784</v>
      </c>
    </row>
    <row r="57" ht="15.75" customHeight="1">
      <c r="A57" s="92">
        <v>7.0</v>
      </c>
      <c r="B57" s="92" t="s">
        <v>874</v>
      </c>
      <c r="C57" s="92">
        <v>2.52610094E8</v>
      </c>
      <c r="D57" s="94" t="s">
        <v>699</v>
      </c>
      <c r="E57" s="92" t="s">
        <v>784</v>
      </c>
    </row>
    <row r="58" ht="15.75" customHeight="1">
      <c r="A58" s="92">
        <v>8.0</v>
      </c>
      <c r="B58" s="92" t="s">
        <v>875</v>
      </c>
      <c r="C58" s="92">
        <v>2.52610096E8</v>
      </c>
      <c r="D58" s="94" t="s">
        <v>700</v>
      </c>
      <c r="E58" s="92" t="s">
        <v>784</v>
      </c>
    </row>
    <row r="59" ht="15.75" customHeight="1">
      <c r="A59" s="92">
        <v>9.0</v>
      </c>
      <c r="B59" s="92" t="s">
        <v>876</v>
      </c>
      <c r="C59" s="92">
        <v>2.52610121E8</v>
      </c>
      <c r="D59" s="94" t="s">
        <v>701</v>
      </c>
      <c r="E59" s="92" t="s">
        <v>784</v>
      </c>
    </row>
    <row r="60" ht="15.75" customHeight="1">
      <c r="A60" s="92">
        <v>10.0</v>
      </c>
      <c r="B60" s="92" t="s">
        <v>877</v>
      </c>
      <c r="C60" s="92">
        <v>2.52610129E8</v>
      </c>
      <c r="D60" s="94" t="s">
        <v>335</v>
      </c>
      <c r="E60" s="92" t="s">
        <v>782</v>
      </c>
    </row>
    <row r="61" ht="15.75" customHeight="1">
      <c r="A61" s="92">
        <v>11.0</v>
      </c>
      <c r="B61" s="92" t="s">
        <v>878</v>
      </c>
      <c r="C61" s="92">
        <v>2.52610136E8</v>
      </c>
      <c r="D61" s="94" t="s">
        <v>702</v>
      </c>
      <c r="E61" s="92" t="s">
        <v>784</v>
      </c>
    </row>
    <row r="62" ht="15.75" customHeight="1">
      <c r="A62" s="92">
        <v>12.0</v>
      </c>
      <c r="B62" s="92" t="s">
        <v>879</v>
      </c>
      <c r="C62" s="92">
        <v>2.52610138E8</v>
      </c>
      <c r="D62" s="94" t="s">
        <v>703</v>
      </c>
      <c r="E62" s="92" t="s">
        <v>784</v>
      </c>
    </row>
    <row r="63" ht="15.75" customHeight="1">
      <c r="A63" s="92">
        <v>13.0</v>
      </c>
      <c r="B63" s="92" t="s">
        <v>880</v>
      </c>
      <c r="C63" s="92">
        <v>2.52610148E8</v>
      </c>
      <c r="D63" s="94" t="s">
        <v>704</v>
      </c>
      <c r="E63" s="92" t="s">
        <v>784</v>
      </c>
    </row>
    <row r="64" ht="15.75" customHeight="1">
      <c r="A64" s="92">
        <v>14.0</v>
      </c>
      <c r="B64" s="92" t="s">
        <v>881</v>
      </c>
      <c r="C64" s="92">
        <v>2.52610158E8</v>
      </c>
      <c r="D64" s="94" t="s">
        <v>705</v>
      </c>
      <c r="E64" s="92" t="s">
        <v>784</v>
      </c>
    </row>
    <row r="65" ht="15.75" customHeight="1">
      <c r="A65" s="92">
        <v>15.0</v>
      </c>
      <c r="B65" s="92" t="s">
        <v>882</v>
      </c>
      <c r="C65" s="92">
        <v>2.52610187E8</v>
      </c>
      <c r="D65" s="94" t="s">
        <v>706</v>
      </c>
      <c r="E65" s="92" t="s">
        <v>784</v>
      </c>
    </row>
    <row r="66" ht="15.75" customHeight="1">
      <c r="A66" s="92">
        <v>16.0</v>
      </c>
      <c r="B66" s="92" t="s">
        <v>883</v>
      </c>
      <c r="C66" s="92">
        <v>2.5261019E8</v>
      </c>
      <c r="D66" s="94" t="s">
        <v>336</v>
      </c>
      <c r="E66" s="92" t="s">
        <v>782</v>
      </c>
    </row>
    <row r="67" ht="15.75" customHeight="1">
      <c r="A67" s="92">
        <v>17.0</v>
      </c>
      <c r="B67" s="92" t="s">
        <v>884</v>
      </c>
      <c r="C67" s="92">
        <v>2.52610201E8</v>
      </c>
      <c r="D67" s="94" t="s">
        <v>337</v>
      </c>
      <c r="E67" s="92" t="s">
        <v>782</v>
      </c>
    </row>
    <row r="68" ht="15.75" customHeight="1">
      <c r="A68" s="92">
        <v>18.0</v>
      </c>
      <c r="B68" s="92" t="s">
        <v>885</v>
      </c>
      <c r="C68" s="92">
        <v>2.52610204E8</v>
      </c>
      <c r="D68" s="94" t="s">
        <v>707</v>
      </c>
      <c r="E68" s="92" t="s">
        <v>784</v>
      </c>
    </row>
    <row r="69" ht="15.75" customHeight="1">
      <c r="A69" s="92">
        <v>22.0</v>
      </c>
      <c r="B69" s="92" t="s">
        <v>886</v>
      </c>
      <c r="C69" s="92">
        <v>2.52610237E8</v>
      </c>
      <c r="D69" s="94" t="s">
        <v>338</v>
      </c>
      <c r="E69" s="92" t="s">
        <v>782</v>
      </c>
    </row>
    <row r="70" ht="15.75" customHeight="1">
      <c r="A70" s="92">
        <v>23.0</v>
      </c>
      <c r="B70" s="92" t="s">
        <v>887</v>
      </c>
      <c r="C70" s="92">
        <v>2.52610259E8</v>
      </c>
      <c r="D70" s="94" t="s">
        <v>708</v>
      </c>
      <c r="E70" s="92" t="s">
        <v>784</v>
      </c>
    </row>
    <row r="71" ht="15.75" customHeight="1">
      <c r="A71" s="92">
        <v>25.0</v>
      </c>
      <c r="B71" s="92" t="s">
        <v>888</v>
      </c>
      <c r="C71" s="92">
        <v>2.52610276E8</v>
      </c>
      <c r="D71" s="94" t="s">
        <v>709</v>
      </c>
      <c r="E71" s="92" t="s">
        <v>784</v>
      </c>
    </row>
    <row r="72" ht="15.75" customHeight="1">
      <c r="A72" s="92">
        <v>26.0</v>
      </c>
      <c r="B72" s="92" t="s">
        <v>889</v>
      </c>
      <c r="C72" s="92">
        <v>2.52610278E8</v>
      </c>
      <c r="D72" s="94" t="s">
        <v>339</v>
      </c>
      <c r="E72" s="92" t="s">
        <v>782</v>
      </c>
    </row>
    <row r="73" ht="15.75" customHeight="1">
      <c r="A73" s="92">
        <v>27.0</v>
      </c>
      <c r="B73" s="92" t="s">
        <v>890</v>
      </c>
      <c r="C73" s="92">
        <v>2.52610287E8</v>
      </c>
      <c r="D73" s="94" t="s">
        <v>540</v>
      </c>
      <c r="E73" s="92" t="s">
        <v>784</v>
      </c>
    </row>
    <row r="74" ht="15.75" customHeight="1">
      <c r="A74" s="92">
        <v>29.0</v>
      </c>
      <c r="B74" s="92" t="s">
        <v>891</v>
      </c>
      <c r="C74" s="92">
        <v>2.52610301E8</v>
      </c>
      <c r="D74" s="94" t="s">
        <v>541</v>
      </c>
      <c r="E74" s="92" t="s">
        <v>784</v>
      </c>
    </row>
    <row r="75" ht="15.75" customHeight="1">
      <c r="A75" s="92">
        <v>32.0</v>
      </c>
      <c r="B75" s="92" t="s">
        <v>892</v>
      </c>
      <c r="C75" s="92">
        <v>2.52610381E8</v>
      </c>
      <c r="D75" s="94" t="s">
        <v>340</v>
      </c>
      <c r="E75" s="92" t="s">
        <v>782</v>
      </c>
    </row>
    <row r="76" ht="15.75" customHeight="1">
      <c r="A76" s="92">
        <v>33.0</v>
      </c>
      <c r="B76" s="92" t="s">
        <v>893</v>
      </c>
      <c r="C76" s="92">
        <v>2.52610386E8</v>
      </c>
      <c r="D76" s="94" t="s">
        <v>542</v>
      </c>
      <c r="E76" s="92" t="s">
        <v>784</v>
      </c>
    </row>
    <row r="77" ht="15.75" customHeight="1">
      <c r="A77" s="92">
        <v>34.0</v>
      </c>
      <c r="B77" s="92" t="s">
        <v>894</v>
      </c>
      <c r="C77" s="92">
        <v>2.52610415E8</v>
      </c>
      <c r="D77" s="94" t="s">
        <v>543</v>
      </c>
      <c r="E77" s="92" t="s">
        <v>784</v>
      </c>
    </row>
    <row r="78" ht="15.75" customHeight="1">
      <c r="A78" s="92">
        <v>35.0</v>
      </c>
      <c r="B78" s="92" t="s">
        <v>895</v>
      </c>
      <c r="C78" s="92">
        <v>2.52610422E8</v>
      </c>
      <c r="D78" s="94" t="s">
        <v>341</v>
      </c>
      <c r="E78" s="92" t="s">
        <v>782</v>
      </c>
    </row>
    <row r="79" ht="15.75" customHeight="1">
      <c r="A79" s="92">
        <v>36.0</v>
      </c>
      <c r="B79" s="92" t="s">
        <v>896</v>
      </c>
      <c r="C79" s="92">
        <v>2.52610426E8</v>
      </c>
      <c r="D79" s="94" t="s">
        <v>544</v>
      </c>
      <c r="E79" s="92" t="s">
        <v>784</v>
      </c>
    </row>
    <row r="80" ht="15.75" customHeight="1">
      <c r="A80" s="92">
        <v>37.0</v>
      </c>
      <c r="B80" s="92" t="s">
        <v>897</v>
      </c>
      <c r="C80" s="92">
        <v>2.52610432E8</v>
      </c>
      <c r="D80" s="94" t="s">
        <v>342</v>
      </c>
      <c r="E80" s="92" t="s">
        <v>782</v>
      </c>
    </row>
    <row r="81" ht="15.75" customHeight="1">
      <c r="A81" s="92">
        <v>38.0</v>
      </c>
      <c r="B81" s="92" t="s">
        <v>898</v>
      </c>
      <c r="C81" s="92">
        <v>2.52610438E8</v>
      </c>
      <c r="D81" s="94" t="s">
        <v>545</v>
      </c>
      <c r="E81" s="92" t="s">
        <v>784</v>
      </c>
    </row>
    <row r="82" ht="15.75" customHeight="1">
      <c r="A82" s="92">
        <v>39.0</v>
      </c>
      <c r="B82" s="92" t="s">
        <v>899</v>
      </c>
      <c r="C82" s="92">
        <v>2.52610439E8</v>
      </c>
      <c r="D82" s="94" t="s">
        <v>546</v>
      </c>
      <c r="E82" s="92" t="s">
        <v>784</v>
      </c>
    </row>
    <row r="83" ht="15.75" customHeight="1">
      <c r="A83" s="92">
        <v>40.0</v>
      </c>
      <c r="B83" s="92" t="s">
        <v>900</v>
      </c>
      <c r="C83" s="92">
        <v>2.52610461E8</v>
      </c>
      <c r="D83" s="94" t="s">
        <v>547</v>
      </c>
      <c r="E83" s="92" t="s">
        <v>784</v>
      </c>
    </row>
    <row r="84" ht="15.75" customHeight="1">
      <c r="A84" s="92">
        <v>41.0</v>
      </c>
      <c r="B84" s="92" t="s">
        <v>901</v>
      </c>
      <c r="C84" s="92">
        <v>2.52610485E8</v>
      </c>
      <c r="D84" s="94" t="s">
        <v>343</v>
      </c>
      <c r="E84" s="92" t="s">
        <v>782</v>
      </c>
    </row>
    <row r="85" ht="15.75" customHeight="1">
      <c r="A85" s="92">
        <v>42.0</v>
      </c>
      <c r="B85" s="92" t="s">
        <v>902</v>
      </c>
      <c r="C85" s="92">
        <v>2.52610501E8</v>
      </c>
      <c r="D85" s="94" t="s">
        <v>548</v>
      </c>
      <c r="E85" s="92" t="s">
        <v>784</v>
      </c>
    </row>
    <row r="86" ht="15.75" customHeight="1">
      <c r="A86" s="92">
        <v>43.0</v>
      </c>
      <c r="B86" s="92" t="s">
        <v>903</v>
      </c>
      <c r="C86" s="92">
        <v>2.5261052E8</v>
      </c>
      <c r="D86" s="94" t="s">
        <v>549</v>
      </c>
      <c r="E86" s="92" t="s">
        <v>784</v>
      </c>
    </row>
    <row r="87" ht="15.75" customHeight="1">
      <c r="A87" s="92">
        <v>44.0</v>
      </c>
      <c r="B87" s="92" t="s">
        <v>904</v>
      </c>
      <c r="C87" s="92">
        <v>2.52610555E8</v>
      </c>
      <c r="D87" s="94" t="s">
        <v>550</v>
      </c>
      <c r="E87" s="92" t="s">
        <v>784</v>
      </c>
    </row>
    <row r="88" ht="15.75" customHeight="1">
      <c r="A88" s="92">
        <v>45.0</v>
      </c>
      <c r="B88" s="92" t="s">
        <v>905</v>
      </c>
      <c r="C88" s="92">
        <v>2.52610556E8</v>
      </c>
      <c r="D88" s="94" t="s">
        <v>551</v>
      </c>
      <c r="E88" s="92" t="s">
        <v>784</v>
      </c>
    </row>
    <row r="89" ht="15.75" customHeight="1">
      <c r="A89" s="92">
        <v>46.0</v>
      </c>
      <c r="B89" s="92" t="s">
        <v>906</v>
      </c>
      <c r="C89" s="92">
        <v>2.52610247E8</v>
      </c>
      <c r="D89" s="94" t="s">
        <v>539</v>
      </c>
      <c r="E89" s="92" t="s">
        <v>784</v>
      </c>
    </row>
    <row r="90" ht="15.75" customHeight="1">
      <c r="A90" s="71"/>
      <c r="B90" s="71"/>
      <c r="C90" s="71"/>
      <c r="D90" s="71"/>
      <c r="E90" s="71"/>
    </row>
    <row r="91" ht="15.75" customHeight="1">
      <c r="A91" s="71"/>
      <c r="B91" s="71"/>
      <c r="C91" s="71"/>
      <c r="D91" s="94" t="s">
        <v>1368</v>
      </c>
      <c r="E91" s="96">
        <f>COUNTIF(E51:E89,"P")</f>
        <v>26</v>
      </c>
    </row>
    <row r="92" ht="15.75" customHeight="1">
      <c r="A92" s="71"/>
      <c r="B92" s="71"/>
      <c r="C92" s="71"/>
      <c r="D92" s="94" t="s">
        <v>1369</v>
      </c>
      <c r="E92" s="96">
        <f>COUNTIF(E51:E89,"L")</f>
        <v>13</v>
      </c>
    </row>
    <row r="93" ht="15.75" customHeight="1">
      <c r="A93" s="71"/>
      <c r="B93" s="71"/>
      <c r="C93" s="71"/>
      <c r="D93" s="71"/>
      <c r="E93" s="71"/>
    </row>
    <row r="94" ht="15.75" customHeight="1">
      <c r="A94" s="71"/>
      <c r="B94" s="71"/>
      <c r="C94" s="71"/>
      <c r="D94" s="71"/>
      <c r="E94" s="71"/>
    </row>
    <row r="95" ht="15.75" customHeight="1">
      <c r="A95" s="71" t="s">
        <v>1372</v>
      </c>
      <c r="B95" s="71"/>
      <c r="C95" s="71"/>
      <c r="D95" s="71"/>
      <c r="E95" s="71" t="s">
        <v>37</v>
      </c>
    </row>
    <row r="96" ht="15.75" customHeight="1">
      <c r="A96" s="95" t="s">
        <v>775</v>
      </c>
      <c r="B96" s="95" t="s">
        <v>776</v>
      </c>
      <c r="C96" s="95" t="s">
        <v>777</v>
      </c>
      <c r="D96" s="95" t="s">
        <v>219</v>
      </c>
      <c r="E96" s="95" t="s">
        <v>778</v>
      </c>
    </row>
    <row r="97" ht="15.75" customHeight="1">
      <c r="A97" s="92">
        <v>1.0</v>
      </c>
      <c r="B97" s="92" t="s">
        <v>907</v>
      </c>
      <c r="C97" s="92">
        <v>2.52610016E8</v>
      </c>
      <c r="D97" s="94" t="s">
        <v>313</v>
      </c>
      <c r="E97" s="92" t="s">
        <v>782</v>
      </c>
    </row>
    <row r="98" ht="15.75" customHeight="1">
      <c r="A98" s="92">
        <v>2.0</v>
      </c>
      <c r="B98" s="92" t="s">
        <v>908</v>
      </c>
      <c r="C98" s="92">
        <v>2.52610018E8</v>
      </c>
      <c r="D98" s="94" t="s">
        <v>314</v>
      </c>
      <c r="E98" s="92" t="s">
        <v>782</v>
      </c>
    </row>
    <row r="99" ht="15.75" customHeight="1">
      <c r="A99" s="92">
        <v>3.0</v>
      </c>
      <c r="B99" s="92" t="s">
        <v>909</v>
      </c>
      <c r="C99" s="92">
        <v>2.52610038E8</v>
      </c>
      <c r="D99" s="94" t="s">
        <v>315</v>
      </c>
      <c r="E99" s="92" t="s">
        <v>782</v>
      </c>
    </row>
    <row r="100" ht="15.75" customHeight="1">
      <c r="A100" s="92">
        <v>4.0</v>
      </c>
      <c r="B100" s="92" t="s">
        <v>910</v>
      </c>
      <c r="C100" s="92">
        <v>2.52610045E8</v>
      </c>
      <c r="D100" s="94" t="s">
        <v>684</v>
      </c>
      <c r="E100" s="92" t="s">
        <v>784</v>
      </c>
    </row>
    <row r="101" ht="15.75" customHeight="1">
      <c r="A101" s="92">
        <v>5.0</v>
      </c>
      <c r="B101" s="92" t="s">
        <v>911</v>
      </c>
      <c r="C101" s="92">
        <v>2.52610049E8</v>
      </c>
      <c r="D101" s="94" t="s">
        <v>685</v>
      </c>
      <c r="E101" s="92" t="s">
        <v>784</v>
      </c>
    </row>
    <row r="102" ht="15.75" customHeight="1">
      <c r="A102" s="92">
        <v>6.0</v>
      </c>
      <c r="B102" s="92" t="s">
        <v>912</v>
      </c>
      <c r="C102" s="92">
        <v>2.52610056E8</v>
      </c>
      <c r="D102" s="94" t="s">
        <v>432</v>
      </c>
      <c r="E102" s="92" t="s">
        <v>784</v>
      </c>
    </row>
    <row r="103" ht="15.75" customHeight="1">
      <c r="A103" s="92">
        <v>7.0</v>
      </c>
      <c r="B103" s="92" t="s">
        <v>913</v>
      </c>
      <c r="C103" s="92">
        <v>2.52610069E8</v>
      </c>
      <c r="D103" s="94" t="s">
        <v>686</v>
      </c>
      <c r="E103" s="92" t="s">
        <v>784</v>
      </c>
    </row>
    <row r="104" ht="15.75" customHeight="1">
      <c r="A104" s="92">
        <v>8.0</v>
      </c>
      <c r="B104" s="92" t="s">
        <v>914</v>
      </c>
      <c r="C104" s="92">
        <v>2.52610074E8</v>
      </c>
      <c r="D104" s="94" t="s">
        <v>687</v>
      </c>
      <c r="E104" s="92" t="s">
        <v>784</v>
      </c>
    </row>
    <row r="105" ht="15.75" customHeight="1">
      <c r="A105" s="92">
        <v>9.0</v>
      </c>
      <c r="B105" s="92" t="s">
        <v>915</v>
      </c>
      <c r="C105" s="92">
        <v>2.52610132E8</v>
      </c>
      <c r="D105" s="94" t="s">
        <v>688</v>
      </c>
      <c r="E105" s="92" t="s">
        <v>784</v>
      </c>
    </row>
    <row r="106" ht="15.75" customHeight="1">
      <c r="A106" s="92">
        <v>10.0</v>
      </c>
      <c r="B106" s="92" t="s">
        <v>916</v>
      </c>
      <c r="C106" s="92">
        <v>2.52610155E8</v>
      </c>
      <c r="D106" s="94" t="s">
        <v>689</v>
      </c>
      <c r="E106" s="92" t="s">
        <v>784</v>
      </c>
    </row>
    <row r="107" ht="15.75" customHeight="1">
      <c r="A107" s="92">
        <v>11.0</v>
      </c>
      <c r="B107" s="92" t="s">
        <v>917</v>
      </c>
      <c r="C107" s="92">
        <v>2.52610162E8</v>
      </c>
      <c r="D107" s="94" t="s">
        <v>316</v>
      </c>
      <c r="E107" s="92" t="s">
        <v>782</v>
      </c>
    </row>
    <row r="108" ht="15.75" customHeight="1">
      <c r="A108" s="92">
        <v>12.0</v>
      </c>
      <c r="B108" s="92" t="s">
        <v>918</v>
      </c>
      <c r="C108" s="92">
        <v>2.52610173E8</v>
      </c>
      <c r="D108" s="94" t="s">
        <v>690</v>
      </c>
      <c r="E108" s="92" t="s">
        <v>784</v>
      </c>
    </row>
    <row r="109" ht="15.75" customHeight="1">
      <c r="A109" s="92">
        <v>13.0</v>
      </c>
      <c r="B109" s="92" t="s">
        <v>919</v>
      </c>
      <c r="C109" s="92">
        <v>2.52610183E8</v>
      </c>
      <c r="D109" s="94" t="s">
        <v>317</v>
      </c>
      <c r="E109" s="92" t="s">
        <v>782</v>
      </c>
    </row>
    <row r="110" ht="15.75" customHeight="1">
      <c r="A110" s="92">
        <v>14.0</v>
      </c>
      <c r="B110" s="92" t="s">
        <v>920</v>
      </c>
      <c r="C110" s="92">
        <v>2.52610188E8</v>
      </c>
      <c r="D110" s="94" t="s">
        <v>318</v>
      </c>
      <c r="E110" s="92" t="s">
        <v>782</v>
      </c>
    </row>
    <row r="111" ht="15.75" customHeight="1">
      <c r="A111" s="92">
        <v>15.0</v>
      </c>
      <c r="B111" s="92" t="s">
        <v>921</v>
      </c>
      <c r="C111" s="92">
        <v>2.52610191E8</v>
      </c>
      <c r="D111" s="94" t="s">
        <v>319</v>
      </c>
      <c r="E111" s="92" t="s">
        <v>782</v>
      </c>
    </row>
    <row r="112" ht="15.75" customHeight="1">
      <c r="A112" s="92">
        <v>16.0</v>
      </c>
      <c r="B112" s="92" t="s">
        <v>922</v>
      </c>
      <c r="C112" s="92">
        <v>2.52610216E8</v>
      </c>
      <c r="D112" s="94" t="s">
        <v>691</v>
      </c>
      <c r="E112" s="92" t="s">
        <v>784</v>
      </c>
    </row>
    <row r="113" ht="15.75" customHeight="1">
      <c r="A113" s="92">
        <v>17.0</v>
      </c>
      <c r="B113" s="92" t="s">
        <v>923</v>
      </c>
      <c r="C113" s="92">
        <v>2.52610233E8</v>
      </c>
      <c r="D113" s="94" t="s">
        <v>692</v>
      </c>
      <c r="E113" s="92" t="s">
        <v>784</v>
      </c>
    </row>
    <row r="114" ht="15.75" customHeight="1">
      <c r="A114" s="92">
        <v>18.0</v>
      </c>
      <c r="B114" s="92" t="s">
        <v>924</v>
      </c>
      <c r="C114" s="92">
        <v>2.52610258E8</v>
      </c>
      <c r="D114" s="94" t="s">
        <v>693</v>
      </c>
      <c r="E114" s="92" t="s">
        <v>784</v>
      </c>
    </row>
    <row r="115" ht="15.75" customHeight="1">
      <c r="A115" s="92">
        <v>19.0</v>
      </c>
      <c r="B115" s="92" t="s">
        <v>925</v>
      </c>
      <c r="C115" s="92">
        <v>2.5261026E8</v>
      </c>
      <c r="D115" s="94" t="s">
        <v>694</v>
      </c>
      <c r="E115" s="92" t="s">
        <v>784</v>
      </c>
    </row>
    <row r="116" ht="15.75" customHeight="1">
      <c r="A116" s="92">
        <v>20.0</v>
      </c>
      <c r="B116" s="92" t="s">
        <v>926</v>
      </c>
      <c r="C116" s="92">
        <v>2.52610266E8</v>
      </c>
      <c r="D116" s="94" t="s">
        <v>695</v>
      </c>
      <c r="E116" s="92" t="s">
        <v>784</v>
      </c>
    </row>
    <row r="117" ht="15.75" customHeight="1">
      <c r="A117" s="92">
        <v>21.0</v>
      </c>
      <c r="B117" s="92" t="s">
        <v>927</v>
      </c>
      <c r="C117" s="92">
        <v>2.52610275E8</v>
      </c>
      <c r="D117" s="94" t="s">
        <v>228</v>
      </c>
      <c r="E117" s="92" t="s">
        <v>782</v>
      </c>
    </row>
    <row r="118" ht="15.75" customHeight="1">
      <c r="A118" s="92">
        <v>22.0</v>
      </c>
      <c r="B118" s="92" t="s">
        <v>928</v>
      </c>
      <c r="C118" s="92">
        <v>2.52610282E8</v>
      </c>
      <c r="D118" s="94" t="s">
        <v>526</v>
      </c>
      <c r="E118" s="92" t="s">
        <v>784</v>
      </c>
    </row>
    <row r="119" ht="15.75" customHeight="1">
      <c r="A119" s="92">
        <v>23.0</v>
      </c>
      <c r="B119" s="92" t="s">
        <v>929</v>
      </c>
      <c r="C119" s="92">
        <v>2.52610294E8</v>
      </c>
      <c r="D119" s="94" t="s">
        <v>527</v>
      </c>
      <c r="E119" s="92" t="s">
        <v>784</v>
      </c>
    </row>
    <row r="120" ht="15.75" customHeight="1">
      <c r="A120" s="92">
        <v>24.0</v>
      </c>
      <c r="B120" s="92" t="s">
        <v>930</v>
      </c>
      <c r="C120" s="92">
        <v>2.52610306E8</v>
      </c>
      <c r="D120" s="94" t="s">
        <v>528</v>
      </c>
      <c r="E120" s="92" t="s">
        <v>784</v>
      </c>
    </row>
    <row r="121" ht="15.75" customHeight="1">
      <c r="A121" s="92">
        <v>25.0</v>
      </c>
      <c r="B121" s="92" t="s">
        <v>931</v>
      </c>
      <c r="C121" s="92">
        <v>2.52610309E8</v>
      </c>
      <c r="D121" s="94" t="s">
        <v>529</v>
      </c>
      <c r="E121" s="92" t="s">
        <v>784</v>
      </c>
    </row>
    <row r="122" ht="15.75" customHeight="1">
      <c r="A122" s="92">
        <v>26.0</v>
      </c>
      <c r="B122" s="92" t="s">
        <v>932</v>
      </c>
      <c r="C122" s="92">
        <v>2.52610329E8</v>
      </c>
      <c r="D122" s="94" t="s">
        <v>320</v>
      </c>
      <c r="E122" s="92" t="s">
        <v>782</v>
      </c>
    </row>
    <row r="123" ht="15.75" customHeight="1">
      <c r="A123" s="92">
        <v>27.0</v>
      </c>
      <c r="B123" s="92" t="s">
        <v>933</v>
      </c>
      <c r="C123" s="92">
        <v>2.52610357E8</v>
      </c>
      <c r="D123" s="94" t="s">
        <v>321</v>
      </c>
      <c r="E123" s="92" t="s">
        <v>782</v>
      </c>
    </row>
    <row r="124" ht="15.75" customHeight="1">
      <c r="A124" s="92">
        <v>28.0</v>
      </c>
      <c r="B124" s="92" t="s">
        <v>934</v>
      </c>
      <c r="C124" s="92">
        <v>2.52610363E8</v>
      </c>
      <c r="D124" s="94" t="s">
        <v>322</v>
      </c>
      <c r="E124" s="92" t="s">
        <v>782</v>
      </c>
    </row>
    <row r="125" ht="15.75" customHeight="1">
      <c r="A125" s="92">
        <v>29.0</v>
      </c>
      <c r="B125" s="92" t="s">
        <v>935</v>
      </c>
      <c r="C125" s="92">
        <v>2.52610373E8</v>
      </c>
      <c r="D125" s="94" t="s">
        <v>323</v>
      </c>
      <c r="E125" s="92" t="s">
        <v>782</v>
      </c>
    </row>
    <row r="126" ht="15.75" customHeight="1">
      <c r="A126" s="92">
        <v>30.0</v>
      </c>
      <c r="B126" s="92" t="s">
        <v>936</v>
      </c>
      <c r="C126" s="92">
        <v>2.52610378E8</v>
      </c>
      <c r="D126" s="94" t="s">
        <v>236</v>
      </c>
      <c r="E126" s="92" t="s">
        <v>782</v>
      </c>
    </row>
    <row r="127" ht="15.75" customHeight="1">
      <c r="A127" s="92">
        <v>31.0</v>
      </c>
      <c r="B127" s="92" t="s">
        <v>937</v>
      </c>
      <c r="C127" s="92">
        <v>2.52610382E8</v>
      </c>
      <c r="D127" s="94" t="s">
        <v>530</v>
      </c>
      <c r="E127" s="92" t="s">
        <v>784</v>
      </c>
    </row>
    <row r="128" ht="15.75" customHeight="1">
      <c r="A128" s="92">
        <v>33.0</v>
      </c>
      <c r="B128" s="92" t="s">
        <v>938</v>
      </c>
      <c r="C128" s="92">
        <v>2.52610435E8</v>
      </c>
      <c r="D128" s="94" t="s">
        <v>324</v>
      </c>
      <c r="E128" s="92" t="s">
        <v>782</v>
      </c>
    </row>
    <row r="129" ht="15.75" customHeight="1">
      <c r="A129" s="92">
        <v>34.0</v>
      </c>
      <c r="B129" s="92" t="s">
        <v>939</v>
      </c>
      <c r="C129" s="92">
        <v>2.52610447E8</v>
      </c>
      <c r="D129" s="94" t="s">
        <v>325</v>
      </c>
      <c r="E129" s="92" t="s">
        <v>782</v>
      </c>
    </row>
    <row r="130" ht="15.75" customHeight="1">
      <c r="A130" s="92">
        <v>35.0</v>
      </c>
      <c r="B130" s="92" t="s">
        <v>940</v>
      </c>
      <c r="C130" s="92">
        <v>2.52610472E8</v>
      </c>
      <c r="D130" s="94" t="s">
        <v>326</v>
      </c>
      <c r="E130" s="92" t="s">
        <v>782</v>
      </c>
    </row>
    <row r="131" ht="15.75" customHeight="1">
      <c r="A131" s="92">
        <v>36.0</v>
      </c>
      <c r="B131" s="92" t="s">
        <v>941</v>
      </c>
      <c r="C131" s="92">
        <v>2.52610475E8</v>
      </c>
      <c r="D131" s="94" t="s">
        <v>327</v>
      </c>
      <c r="E131" s="97"/>
    </row>
    <row r="132" ht="15.75" customHeight="1">
      <c r="A132" s="92">
        <v>37.0</v>
      </c>
      <c r="B132" s="92" t="s">
        <v>942</v>
      </c>
      <c r="C132" s="92">
        <v>2.5261048E8</v>
      </c>
      <c r="D132" s="94" t="s">
        <v>328</v>
      </c>
      <c r="E132" s="92" t="s">
        <v>782</v>
      </c>
    </row>
    <row r="133" ht="15.75" customHeight="1">
      <c r="A133" s="92">
        <v>38.0</v>
      </c>
      <c r="B133" s="92" t="s">
        <v>943</v>
      </c>
      <c r="C133" s="92">
        <v>2.52610483E8</v>
      </c>
      <c r="D133" s="94" t="s">
        <v>531</v>
      </c>
      <c r="E133" s="92" t="s">
        <v>784</v>
      </c>
    </row>
    <row r="134" ht="15.75" customHeight="1">
      <c r="A134" s="92">
        <v>39.0</v>
      </c>
      <c r="B134" s="92" t="s">
        <v>944</v>
      </c>
      <c r="C134" s="92">
        <v>2.52610492E8</v>
      </c>
      <c r="D134" s="94" t="s">
        <v>329</v>
      </c>
      <c r="E134" s="92" t="s">
        <v>782</v>
      </c>
    </row>
    <row r="135" ht="15.75" customHeight="1">
      <c r="A135" s="92">
        <v>40.0</v>
      </c>
      <c r="B135" s="92" t="s">
        <v>945</v>
      </c>
      <c r="C135" s="92">
        <v>2.52610512E8</v>
      </c>
      <c r="D135" s="94" t="s">
        <v>532</v>
      </c>
      <c r="E135" s="92" t="s">
        <v>784</v>
      </c>
    </row>
    <row r="136" ht="15.75" customHeight="1">
      <c r="A136" s="92">
        <v>41.0</v>
      </c>
      <c r="B136" s="92" t="s">
        <v>946</v>
      </c>
      <c r="C136" s="92">
        <v>2.52610514E8</v>
      </c>
      <c r="D136" s="94" t="s">
        <v>456</v>
      </c>
      <c r="E136" s="92" t="s">
        <v>784</v>
      </c>
    </row>
    <row r="137" ht="15.75" customHeight="1">
      <c r="A137" s="92">
        <v>42.0</v>
      </c>
      <c r="B137" s="92" t="s">
        <v>947</v>
      </c>
      <c r="C137" s="92">
        <v>2.52610515E8</v>
      </c>
      <c r="D137" s="94" t="s">
        <v>533</v>
      </c>
      <c r="E137" s="92" t="s">
        <v>784</v>
      </c>
    </row>
    <row r="138" ht="15.75" customHeight="1">
      <c r="A138" s="92">
        <v>43.0</v>
      </c>
      <c r="B138" s="92" t="s">
        <v>948</v>
      </c>
      <c r="C138" s="92">
        <v>2.52610519E8</v>
      </c>
      <c r="D138" s="94" t="s">
        <v>534</v>
      </c>
      <c r="E138" s="92" t="s">
        <v>784</v>
      </c>
    </row>
    <row r="139" ht="15.75" customHeight="1">
      <c r="A139" s="92">
        <v>44.0</v>
      </c>
      <c r="B139" s="92" t="s">
        <v>949</v>
      </c>
      <c r="C139" s="92">
        <v>2.52610533E8</v>
      </c>
      <c r="D139" s="94" t="s">
        <v>535</v>
      </c>
      <c r="E139" s="92" t="s">
        <v>784</v>
      </c>
    </row>
    <row r="140" ht="15.75" customHeight="1">
      <c r="A140" s="92">
        <v>45.0</v>
      </c>
      <c r="B140" s="92" t="s">
        <v>950</v>
      </c>
      <c r="C140" s="92">
        <v>2.52610534E8</v>
      </c>
      <c r="D140" s="94" t="s">
        <v>536</v>
      </c>
      <c r="E140" s="92" t="s">
        <v>784</v>
      </c>
    </row>
    <row r="141" ht="15.75" customHeight="1">
      <c r="A141" s="92">
        <v>46.0</v>
      </c>
      <c r="B141" s="92" t="s">
        <v>951</v>
      </c>
      <c r="C141" s="92">
        <v>2.52610544E8</v>
      </c>
      <c r="D141" s="94" t="s">
        <v>537</v>
      </c>
      <c r="E141" s="92" t="s">
        <v>784</v>
      </c>
    </row>
    <row r="142" ht="15.75" customHeight="1">
      <c r="A142" s="71"/>
      <c r="B142" s="71"/>
      <c r="C142" s="71"/>
      <c r="D142" s="71"/>
      <c r="E142" s="71"/>
    </row>
    <row r="143" ht="15.75" customHeight="1">
      <c r="A143" s="71"/>
      <c r="B143" s="71"/>
      <c r="C143" s="71"/>
      <c r="D143" s="94" t="s">
        <v>1368</v>
      </c>
      <c r="E143" s="96">
        <f>COUNTIF(E97:E141,"P")</f>
        <v>26</v>
      </c>
    </row>
    <row r="144" ht="15.75" customHeight="1">
      <c r="A144" s="71"/>
      <c r="B144" s="71"/>
      <c r="C144" s="71"/>
      <c r="D144" s="94" t="s">
        <v>1369</v>
      </c>
      <c r="E144" s="96">
        <f>COUNTIF(E97:E141,"L")</f>
        <v>18</v>
      </c>
    </row>
    <row r="145" ht="15.75" customHeight="1">
      <c r="A145" s="71"/>
      <c r="B145" s="71"/>
      <c r="C145" s="71"/>
      <c r="D145" s="71"/>
      <c r="E145" s="71"/>
    </row>
    <row r="146" ht="15.75" customHeight="1">
      <c r="A146" s="71"/>
      <c r="B146" s="71"/>
      <c r="C146" s="71"/>
      <c r="D146" s="71"/>
      <c r="E146" s="71"/>
    </row>
    <row r="147" ht="15.75" customHeight="1">
      <c r="A147" s="71"/>
      <c r="B147" s="71"/>
      <c r="C147" s="71"/>
      <c r="D147" s="71"/>
      <c r="E147" s="71"/>
    </row>
    <row r="148" ht="15.75" customHeight="1">
      <c r="A148" s="71" t="s">
        <v>1373</v>
      </c>
      <c r="B148" s="71"/>
      <c r="C148" s="71"/>
      <c r="D148" s="71"/>
      <c r="E148" s="71" t="s">
        <v>42</v>
      </c>
    </row>
    <row r="149" ht="15.75" customHeight="1">
      <c r="A149" s="95" t="s">
        <v>775</v>
      </c>
      <c r="B149" s="95" t="s">
        <v>776</v>
      </c>
      <c r="C149" s="95" t="s">
        <v>777</v>
      </c>
      <c r="D149" s="95" t="s">
        <v>219</v>
      </c>
      <c r="E149" s="95" t="s">
        <v>778</v>
      </c>
    </row>
    <row r="150" ht="15.75" customHeight="1">
      <c r="A150" s="92">
        <v>1.0</v>
      </c>
      <c r="B150" s="92" t="s">
        <v>952</v>
      </c>
      <c r="C150" s="92">
        <v>2.52610004E8</v>
      </c>
      <c r="D150" s="94" t="s">
        <v>223</v>
      </c>
      <c r="E150" s="92" t="s">
        <v>782</v>
      </c>
    </row>
    <row r="151" ht="15.75" customHeight="1">
      <c r="A151" s="92">
        <v>2.0</v>
      </c>
      <c r="B151" s="92" t="s">
        <v>953</v>
      </c>
      <c r="C151" s="92">
        <v>2.52610013E8</v>
      </c>
      <c r="D151" s="94" t="s">
        <v>298</v>
      </c>
      <c r="E151" s="92" t="s">
        <v>782</v>
      </c>
    </row>
    <row r="152" ht="15.75" customHeight="1">
      <c r="A152" s="92">
        <v>3.0</v>
      </c>
      <c r="B152" s="92" t="s">
        <v>954</v>
      </c>
      <c r="C152" s="92">
        <v>2.52610022E8</v>
      </c>
      <c r="D152" s="94" t="s">
        <v>444</v>
      </c>
      <c r="E152" s="92" t="s">
        <v>784</v>
      </c>
    </row>
    <row r="153" ht="15.75" customHeight="1">
      <c r="A153" s="92">
        <v>4.0</v>
      </c>
      <c r="B153" s="92" t="s">
        <v>955</v>
      </c>
      <c r="C153" s="92">
        <v>2.52610024E8</v>
      </c>
      <c r="D153" s="94" t="s">
        <v>671</v>
      </c>
      <c r="E153" s="92" t="s">
        <v>784</v>
      </c>
    </row>
    <row r="154" ht="15.75" customHeight="1">
      <c r="A154" s="92">
        <v>5.0</v>
      </c>
      <c r="B154" s="92" t="s">
        <v>956</v>
      </c>
      <c r="C154" s="92">
        <v>2.52610034E8</v>
      </c>
      <c r="D154" s="94" t="s">
        <v>299</v>
      </c>
      <c r="E154" s="92" t="s">
        <v>782</v>
      </c>
    </row>
    <row r="155" ht="15.75" customHeight="1">
      <c r="A155" s="92">
        <v>6.0</v>
      </c>
      <c r="B155" s="92" t="s">
        <v>957</v>
      </c>
      <c r="C155" s="92">
        <v>2.52610043E8</v>
      </c>
      <c r="D155" s="94" t="s">
        <v>431</v>
      </c>
      <c r="E155" s="92" t="s">
        <v>784</v>
      </c>
    </row>
    <row r="156" ht="15.75" customHeight="1">
      <c r="A156" s="92">
        <v>7.0</v>
      </c>
      <c r="B156" s="92" t="s">
        <v>958</v>
      </c>
      <c r="C156" s="92">
        <v>2.52610055E8</v>
      </c>
      <c r="D156" s="94" t="s">
        <v>672</v>
      </c>
      <c r="E156" s="92" t="s">
        <v>784</v>
      </c>
    </row>
    <row r="157" ht="15.75" customHeight="1">
      <c r="A157" s="92">
        <v>8.0</v>
      </c>
      <c r="B157" s="92" t="s">
        <v>959</v>
      </c>
      <c r="C157" s="92">
        <v>2.52610057E8</v>
      </c>
      <c r="D157" s="94" t="s">
        <v>673</v>
      </c>
      <c r="E157" s="92" t="s">
        <v>784</v>
      </c>
    </row>
    <row r="158" ht="15.75" customHeight="1">
      <c r="A158" s="92">
        <v>9.0</v>
      </c>
      <c r="B158" s="92" t="s">
        <v>960</v>
      </c>
      <c r="C158" s="92">
        <v>2.5261006E8</v>
      </c>
      <c r="D158" s="94" t="s">
        <v>300</v>
      </c>
      <c r="E158" s="92" t="s">
        <v>782</v>
      </c>
    </row>
    <row r="159" ht="15.75" customHeight="1">
      <c r="A159" s="92">
        <v>10.0</v>
      </c>
      <c r="B159" s="92" t="s">
        <v>961</v>
      </c>
      <c r="C159" s="92">
        <v>2.52610067E8</v>
      </c>
      <c r="D159" s="94" t="s">
        <v>674</v>
      </c>
      <c r="E159" s="92" t="s">
        <v>784</v>
      </c>
    </row>
    <row r="160" ht="15.75" customHeight="1">
      <c r="A160" s="92">
        <v>11.0</v>
      </c>
      <c r="B160" s="92" t="s">
        <v>962</v>
      </c>
      <c r="C160" s="92">
        <v>2.52610115E8</v>
      </c>
      <c r="D160" s="94" t="s">
        <v>301</v>
      </c>
      <c r="E160" s="92" t="s">
        <v>782</v>
      </c>
    </row>
    <row r="161" ht="15.75" customHeight="1">
      <c r="A161" s="92">
        <v>12.0</v>
      </c>
      <c r="B161" s="92" t="s">
        <v>963</v>
      </c>
      <c r="C161" s="92">
        <v>2.52610123E8</v>
      </c>
      <c r="D161" s="94" t="s">
        <v>675</v>
      </c>
      <c r="E161" s="92" t="s">
        <v>784</v>
      </c>
    </row>
    <row r="162" ht="15.75" customHeight="1">
      <c r="A162" s="92">
        <v>13.0</v>
      </c>
      <c r="B162" s="92" t="s">
        <v>964</v>
      </c>
      <c r="C162" s="92">
        <v>2.52610163E8</v>
      </c>
      <c r="D162" s="94" t="s">
        <v>676</v>
      </c>
      <c r="E162" s="92" t="s">
        <v>784</v>
      </c>
    </row>
    <row r="163" ht="15.75" customHeight="1">
      <c r="A163" s="92">
        <v>14.0</v>
      </c>
      <c r="B163" s="92" t="s">
        <v>965</v>
      </c>
      <c r="C163" s="92">
        <v>2.52610166E8</v>
      </c>
      <c r="D163" s="94" t="s">
        <v>677</v>
      </c>
      <c r="E163" s="92" t="s">
        <v>784</v>
      </c>
    </row>
    <row r="164" ht="15.75" customHeight="1">
      <c r="A164" s="92">
        <v>17.0</v>
      </c>
      <c r="B164" s="92" t="s">
        <v>966</v>
      </c>
      <c r="C164" s="92">
        <v>2.52610205E8</v>
      </c>
      <c r="D164" s="94" t="s">
        <v>435</v>
      </c>
      <c r="E164" s="92" t="s">
        <v>784</v>
      </c>
    </row>
    <row r="165" ht="15.75" customHeight="1">
      <c r="A165" s="92">
        <v>18.0</v>
      </c>
      <c r="B165" s="92" t="s">
        <v>967</v>
      </c>
      <c r="C165" s="92">
        <v>2.52610229E8</v>
      </c>
      <c r="D165" s="94" t="s">
        <v>678</v>
      </c>
      <c r="E165" s="92" t="s">
        <v>784</v>
      </c>
    </row>
    <row r="166" ht="15.75" customHeight="1">
      <c r="A166" s="92">
        <v>19.0</v>
      </c>
      <c r="B166" s="92" t="s">
        <v>968</v>
      </c>
      <c r="C166" s="92">
        <v>2.5261023E8</v>
      </c>
      <c r="D166" s="94" t="s">
        <v>302</v>
      </c>
      <c r="E166" s="92" t="s">
        <v>782</v>
      </c>
    </row>
    <row r="167" ht="15.75" customHeight="1">
      <c r="A167" s="92">
        <v>20.0</v>
      </c>
      <c r="B167" s="92" t="s">
        <v>969</v>
      </c>
      <c r="C167" s="92">
        <v>2.52610245E8</v>
      </c>
      <c r="D167" s="94" t="s">
        <v>679</v>
      </c>
      <c r="E167" s="92" t="s">
        <v>784</v>
      </c>
    </row>
    <row r="168" ht="15.75" customHeight="1">
      <c r="A168" s="92">
        <v>21.0</v>
      </c>
      <c r="B168" s="92" t="s">
        <v>970</v>
      </c>
      <c r="C168" s="92">
        <v>2.52610281E8</v>
      </c>
      <c r="D168" s="94" t="s">
        <v>680</v>
      </c>
      <c r="E168" s="92" t="s">
        <v>784</v>
      </c>
    </row>
    <row r="169" ht="15.75" customHeight="1">
      <c r="A169" s="92">
        <v>22.0</v>
      </c>
      <c r="B169" s="92" t="s">
        <v>971</v>
      </c>
      <c r="C169" s="92">
        <v>2.52610286E8</v>
      </c>
      <c r="D169" s="94" t="s">
        <v>681</v>
      </c>
      <c r="E169" s="92" t="s">
        <v>784</v>
      </c>
    </row>
    <row r="170" ht="15.75" customHeight="1">
      <c r="A170" s="92">
        <v>23.0</v>
      </c>
      <c r="B170" s="92" t="s">
        <v>972</v>
      </c>
      <c r="C170" s="92">
        <v>2.52610299E8</v>
      </c>
      <c r="D170" s="94" t="s">
        <v>682</v>
      </c>
      <c r="E170" s="92" t="s">
        <v>784</v>
      </c>
    </row>
    <row r="171" ht="15.75" customHeight="1">
      <c r="A171" s="92">
        <v>24.0</v>
      </c>
      <c r="B171" s="92" t="s">
        <v>973</v>
      </c>
      <c r="C171" s="92">
        <v>2.52610322E8</v>
      </c>
      <c r="D171" s="94" t="s">
        <v>303</v>
      </c>
      <c r="E171" s="92" t="s">
        <v>782</v>
      </c>
    </row>
    <row r="172" ht="15.75" customHeight="1">
      <c r="A172" s="92">
        <v>25.0</v>
      </c>
      <c r="B172" s="92" t="s">
        <v>974</v>
      </c>
      <c r="C172" s="92">
        <v>2.52610323E8</v>
      </c>
      <c r="D172" s="94" t="s">
        <v>304</v>
      </c>
      <c r="E172" s="92" t="s">
        <v>782</v>
      </c>
    </row>
    <row r="173" ht="15.75" customHeight="1">
      <c r="A173" s="92">
        <v>26.0</v>
      </c>
      <c r="B173" s="92" t="s">
        <v>975</v>
      </c>
      <c r="C173" s="92">
        <v>2.52610361E8</v>
      </c>
      <c r="D173" s="94" t="s">
        <v>234</v>
      </c>
      <c r="E173" s="92" t="s">
        <v>782</v>
      </c>
    </row>
    <row r="174" ht="15.75" customHeight="1">
      <c r="A174" s="92">
        <v>27.0</v>
      </c>
      <c r="B174" s="92" t="s">
        <v>976</v>
      </c>
      <c r="C174" s="92">
        <v>2.52610366E8</v>
      </c>
      <c r="D174" s="94" t="s">
        <v>305</v>
      </c>
      <c r="E174" s="92" t="s">
        <v>782</v>
      </c>
    </row>
    <row r="175" ht="15.75" customHeight="1">
      <c r="A175" s="92">
        <v>28.0</v>
      </c>
      <c r="B175" s="92" t="s">
        <v>977</v>
      </c>
      <c r="C175" s="92">
        <v>2.52610374E8</v>
      </c>
      <c r="D175" s="94" t="s">
        <v>306</v>
      </c>
      <c r="E175" s="92" t="s">
        <v>782</v>
      </c>
    </row>
    <row r="176" ht="15.75" customHeight="1">
      <c r="A176" s="92">
        <v>29.0</v>
      </c>
      <c r="B176" s="92" t="s">
        <v>978</v>
      </c>
      <c r="C176" s="92">
        <v>2.52610379E8</v>
      </c>
      <c r="D176" s="94" t="s">
        <v>307</v>
      </c>
      <c r="E176" s="92" t="s">
        <v>782</v>
      </c>
    </row>
    <row r="177" ht="15.75" customHeight="1">
      <c r="A177" s="92">
        <v>30.0</v>
      </c>
      <c r="B177" s="92" t="s">
        <v>979</v>
      </c>
      <c r="C177" s="92">
        <v>2.52610384E8</v>
      </c>
      <c r="D177" s="94" t="s">
        <v>513</v>
      </c>
      <c r="E177" s="92" t="s">
        <v>784</v>
      </c>
    </row>
    <row r="178" ht="15.75" customHeight="1">
      <c r="A178" s="92">
        <v>31.0</v>
      </c>
      <c r="B178" s="92" t="s">
        <v>980</v>
      </c>
      <c r="C178" s="92">
        <v>2.52610401E8</v>
      </c>
      <c r="D178" s="94" t="s">
        <v>308</v>
      </c>
      <c r="E178" s="92" t="s">
        <v>782</v>
      </c>
    </row>
    <row r="179" ht="15.75" customHeight="1">
      <c r="A179" s="92">
        <v>32.0</v>
      </c>
      <c r="B179" s="92" t="s">
        <v>981</v>
      </c>
      <c r="C179" s="92">
        <v>2.52610412E8</v>
      </c>
      <c r="D179" s="94" t="s">
        <v>437</v>
      </c>
      <c r="E179" s="92" t="s">
        <v>784</v>
      </c>
    </row>
    <row r="180" ht="15.75" customHeight="1">
      <c r="A180" s="92">
        <v>33.0</v>
      </c>
      <c r="B180" s="92" t="s">
        <v>982</v>
      </c>
      <c r="C180" s="92">
        <v>2.52610414E8</v>
      </c>
      <c r="D180" s="94" t="s">
        <v>514</v>
      </c>
      <c r="E180" s="92" t="s">
        <v>784</v>
      </c>
    </row>
    <row r="181" ht="15.75" customHeight="1">
      <c r="A181" s="92">
        <v>34.0</v>
      </c>
      <c r="B181" s="92" t="s">
        <v>983</v>
      </c>
      <c r="C181" s="92">
        <v>2.52610427E8</v>
      </c>
      <c r="D181" s="94" t="s">
        <v>439</v>
      </c>
      <c r="E181" s="92" t="s">
        <v>784</v>
      </c>
    </row>
    <row r="182" ht="15.75" customHeight="1">
      <c r="A182" s="92">
        <v>35.0</v>
      </c>
      <c r="B182" s="92" t="s">
        <v>984</v>
      </c>
      <c r="C182" s="92">
        <v>2.52610429E8</v>
      </c>
      <c r="D182" s="94" t="s">
        <v>309</v>
      </c>
      <c r="E182" s="92" t="s">
        <v>782</v>
      </c>
    </row>
    <row r="183" ht="15.75" customHeight="1">
      <c r="A183" s="92">
        <v>36.0</v>
      </c>
      <c r="B183" s="92" t="s">
        <v>985</v>
      </c>
      <c r="C183" s="92">
        <v>2.52610437E8</v>
      </c>
      <c r="D183" s="94" t="s">
        <v>515</v>
      </c>
      <c r="E183" s="92" t="s">
        <v>784</v>
      </c>
    </row>
    <row r="184" ht="15.75" customHeight="1">
      <c r="A184" s="92">
        <v>37.0</v>
      </c>
      <c r="B184" s="92" t="s">
        <v>986</v>
      </c>
      <c r="C184" s="92">
        <v>2.5261045E8</v>
      </c>
      <c r="D184" s="94" t="s">
        <v>516</v>
      </c>
      <c r="E184" s="92" t="s">
        <v>784</v>
      </c>
    </row>
    <row r="185" ht="15.75" customHeight="1">
      <c r="A185" s="92">
        <v>38.0</v>
      </c>
      <c r="B185" s="92" t="s">
        <v>987</v>
      </c>
      <c r="C185" s="92">
        <v>2.52610451E8</v>
      </c>
      <c r="D185" s="94" t="s">
        <v>517</v>
      </c>
      <c r="E185" s="92" t="s">
        <v>784</v>
      </c>
    </row>
    <row r="186" ht="15.75" customHeight="1">
      <c r="A186" s="92">
        <v>39.0</v>
      </c>
      <c r="B186" s="92" t="s">
        <v>988</v>
      </c>
      <c r="C186" s="92">
        <v>2.52610471E8</v>
      </c>
      <c r="D186" s="94" t="s">
        <v>310</v>
      </c>
      <c r="E186" s="92" t="s">
        <v>782</v>
      </c>
    </row>
    <row r="187" ht="15.75" customHeight="1">
      <c r="A187" s="92">
        <v>40.0</v>
      </c>
      <c r="B187" s="92" t="s">
        <v>989</v>
      </c>
      <c r="C187" s="92">
        <v>2.52610481E8</v>
      </c>
      <c r="D187" s="94" t="s">
        <v>518</v>
      </c>
      <c r="E187" s="92" t="s">
        <v>784</v>
      </c>
    </row>
    <row r="188" ht="15.75" customHeight="1">
      <c r="A188" s="92">
        <v>41.0</v>
      </c>
      <c r="B188" s="92" t="s">
        <v>990</v>
      </c>
      <c r="C188" s="92">
        <v>2.52610488E8</v>
      </c>
      <c r="D188" s="94" t="s">
        <v>519</v>
      </c>
      <c r="E188" s="92" t="s">
        <v>784</v>
      </c>
    </row>
    <row r="189" ht="15.75" customHeight="1">
      <c r="A189" s="92">
        <v>42.0</v>
      </c>
      <c r="B189" s="92" t="s">
        <v>991</v>
      </c>
      <c r="C189" s="92">
        <v>2.52610507E8</v>
      </c>
      <c r="D189" s="94" t="s">
        <v>520</v>
      </c>
      <c r="E189" s="92" t="s">
        <v>784</v>
      </c>
    </row>
    <row r="190" ht="15.75" customHeight="1">
      <c r="A190" s="92">
        <v>43.0</v>
      </c>
      <c r="B190" s="92" t="s">
        <v>992</v>
      </c>
      <c r="C190" s="92">
        <v>2.52610535E8</v>
      </c>
      <c r="D190" s="94" t="s">
        <v>521</v>
      </c>
      <c r="E190" s="92" t="s">
        <v>784</v>
      </c>
    </row>
    <row r="191" ht="15.75" customHeight="1">
      <c r="A191" s="92">
        <v>44.0</v>
      </c>
      <c r="B191" s="92" t="s">
        <v>993</v>
      </c>
      <c r="C191" s="92">
        <v>2.5261054E8</v>
      </c>
      <c r="D191" s="94" t="s">
        <v>522</v>
      </c>
      <c r="E191" s="92" t="s">
        <v>784</v>
      </c>
    </row>
    <row r="192" ht="15.75" customHeight="1">
      <c r="A192" s="92">
        <v>45.0</v>
      </c>
      <c r="B192" s="92" t="s">
        <v>994</v>
      </c>
      <c r="C192" s="92">
        <v>2.52610543E8</v>
      </c>
      <c r="D192" s="94" t="s">
        <v>523</v>
      </c>
      <c r="E192" s="92" t="s">
        <v>784</v>
      </c>
    </row>
    <row r="193" ht="15.75" customHeight="1">
      <c r="A193" s="92">
        <v>46.0</v>
      </c>
      <c r="B193" s="92" t="s">
        <v>995</v>
      </c>
      <c r="C193" s="92">
        <v>2.52610549E8</v>
      </c>
      <c r="D193" s="94" t="s">
        <v>311</v>
      </c>
      <c r="E193" s="92" t="s">
        <v>782</v>
      </c>
    </row>
    <row r="194" ht="15.75" customHeight="1">
      <c r="A194" s="92">
        <v>47.0</v>
      </c>
      <c r="B194" s="92" t="s">
        <v>996</v>
      </c>
      <c r="C194" s="92">
        <v>2.52610554E8</v>
      </c>
      <c r="D194" s="94" t="s">
        <v>524</v>
      </c>
      <c r="E194" s="92" t="s">
        <v>784</v>
      </c>
    </row>
    <row r="195" ht="15.75" customHeight="1">
      <c r="A195" s="71"/>
      <c r="B195" s="71"/>
      <c r="C195" s="71"/>
      <c r="D195" s="71"/>
      <c r="E195" s="71"/>
    </row>
    <row r="196" ht="15.75" customHeight="1">
      <c r="A196" s="71"/>
      <c r="B196" s="71"/>
      <c r="C196" s="71"/>
      <c r="D196" s="94" t="s">
        <v>1368</v>
      </c>
      <c r="E196" s="96">
        <f>COUNTIF(E150:E194,"P")</f>
        <v>29</v>
      </c>
    </row>
    <row r="197" ht="15.75" customHeight="1">
      <c r="A197" s="71"/>
      <c r="B197" s="71"/>
      <c r="C197" s="71"/>
      <c r="D197" s="94" t="s">
        <v>1369</v>
      </c>
      <c r="E197" s="96">
        <f>COUNTIF(E150:E194,"L")</f>
        <v>16</v>
      </c>
    </row>
    <row r="198" ht="15.75" customHeight="1">
      <c r="A198" s="71"/>
      <c r="B198" s="71"/>
      <c r="C198" s="71"/>
      <c r="D198" s="71"/>
      <c r="E198" s="71"/>
    </row>
    <row r="199" ht="15.75" customHeight="1">
      <c r="A199" s="71"/>
      <c r="B199" s="71"/>
      <c r="C199" s="71"/>
      <c r="D199" s="71"/>
      <c r="E199" s="71"/>
    </row>
    <row r="200" ht="15.75" customHeight="1">
      <c r="A200" s="71" t="s">
        <v>1374</v>
      </c>
      <c r="B200" s="71"/>
      <c r="C200" s="71"/>
      <c r="D200" s="71"/>
      <c r="E200" s="71" t="s">
        <v>46</v>
      </c>
    </row>
    <row r="201" ht="15.75" customHeight="1">
      <c r="A201" s="95" t="s">
        <v>775</v>
      </c>
      <c r="B201" s="95" t="s">
        <v>776</v>
      </c>
      <c r="C201" s="95" t="s">
        <v>777</v>
      </c>
      <c r="D201" s="95" t="s">
        <v>219</v>
      </c>
      <c r="E201" s="95" t="s">
        <v>778</v>
      </c>
    </row>
    <row r="202" ht="15.75" customHeight="1">
      <c r="A202" s="92">
        <v>3.0</v>
      </c>
      <c r="B202" s="92" t="s">
        <v>997</v>
      </c>
      <c r="C202" s="92">
        <v>2.52610036E8</v>
      </c>
      <c r="D202" s="94" t="s">
        <v>658</v>
      </c>
      <c r="E202" s="92" t="s">
        <v>784</v>
      </c>
    </row>
    <row r="203" ht="15.75" customHeight="1">
      <c r="A203" s="92">
        <v>4.0</v>
      </c>
      <c r="B203" s="92" t="s">
        <v>998</v>
      </c>
      <c r="C203" s="92">
        <v>2.52610042E8</v>
      </c>
      <c r="D203" s="94" t="s">
        <v>659</v>
      </c>
      <c r="E203" s="92" t="s">
        <v>784</v>
      </c>
    </row>
    <row r="204" ht="15.75" customHeight="1">
      <c r="A204" s="92">
        <v>5.0</v>
      </c>
      <c r="B204" s="92" t="s">
        <v>999</v>
      </c>
      <c r="C204" s="92">
        <v>2.52610072E8</v>
      </c>
      <c r="D204" s="94" t="s">
        <v>660</v>
      </c>
      <c r="E204" s="92" t="s">
        <v>784</v>
      </c>
    </row>
    <row r="205" ht="15.75" customHeight="1">
      <c r="A205" s="92">
        <v>7.0</v>
      </c>
      <c r="B205" s="92" t="s">
        <v>1000</v>
      </c>
      <c r="C205" s="92">
        <v>2.52610134E8</v>
      </c>
      <c r="D205" s="94" t="s">
        <v>661</v>
      </c>
      <c r="E205" s="92" t="s">
        <v>784</v>
      </c>
    </row>
    <row r="206" ht="15.75" customHeight="1">
      <c r="A206" s="92">
        <v>9.0</v>
      </c>
      <c r="B206" s="92" t="s">
        <v>1001</v>
      </c>
      <c r="C206" s="92">
        <v>2.52610157E8</v>
      </c>
      <c r="D206" s="94" t="s">
        <v>662</v>
      </c>
      <c r="E206" s="92" t="s">
        <v>784</v>
      </c>
    </row>
    <row r="207" ht="15.75" customHeight="1">
      <c r="A207" s="92">
        <v>10.0</v>
      </c>
      <c r="B207" s="92" t="s">
        <v>1002</v>
      </c>
      <c r="C207" s="92">
        <v>2.52610167E8</v>
      </c>
      <c r="D207" s="94" t="s">
        <v>663</v>
      </c>
      <c r="E207" s="92" t="s">
        <v>784</v>
      </c>
    </row>
    <row r="208" ht="15.75" customHeight="1">
      <c r="A208" s="92">
        <v>11.0</v>
      </c>
      <c r="B208" s="92" t="s">
        <v>1003</v>
      </c>
      <c r="C208" s="92">
        <v>2.52610172E8</v>
      </c>
      <c r="D208" s="94" t="s">
        <v>290</v>
      </c>
      <c r="E208" s="92" t="s">
        <v>782</v>
      </c>
    </row>
    <row r="209" ht="15.75" customHeight="1">
      <c r="A209" s="92">
        <v>12.0</v>
      </c>
      <c r="B209" s="92" t="s">
        <v>1004</v>
      </c>
      <c r="C209" s="92">
        <v>2.52610176E8</v>
      </c>
      <c r="D209" s="94" t="s">
        <v>291</v>
      </c>
      <c r="E209" s="92" t="s">
        <v>782</v>
      </c>
    </row>
    <row r="210" ht="15.75" customHeight="1">
      <c r="A210" s="92">
        <v>14.0</v>
      </c>
      <c r="B210" s="92" t="s">
        <v>1005</v>
      </c>
      <c r="C210" s="92">
        <v>2.52610194E8</v>
      </c>
      <c r="D210" s="94" t="s">
        <v>664</v>
      </c>
      <c r="E210" s="92" t="s">
        <v>784</v>
      </c>
    </row>
    <row r="211" ht="15.75" customHeight="1">
      <c r="A211" s="92">
        <v>15.0</v>
      </c>
      <c r="B211" s="92" t="s">
        <v>1006</v>
      </c>
      <c r="C211" s="92">
        <v>2.52610195E8</v>
      </c>
      <c r="D211" s="94" t="s">
        <v>450</v>
      </c>
      <c r="E211" s="92" t="s">
        <v>784</v>
      </c>
    </row>
    <row r="212" ht="15.75" customHeight="1">
      <c r="A212" s="92">
        <v>17.0</v>
      </c>
      <c r="B212" s="92" t="s">
        <v>1007</v>
      </c>
      <c r="C212" s="92">
        <v>2.52610209E8</v>
      </c>
      <c r="D212" s="94" t="s">
        <v>665</v>
      </c>
      <c r="E212" s="92" t="s">
        <v>784</v>
      </c>
    </row>
    <row r="213" ht="15.75" customHeight="1">
      <c r="A213" s="92">
        <v>18.0</v>
      </c>
      <c r="B213" s="92" t="s">
        <v>1008</v>
      </c>
      <c r="C213" s="92">
        <v>2.5261021E8</v>
      </c>
      <c r="D213" s="94" t="s">
        <v>666</v>
      </c>
      <c r="E213" s="92" t="s">
        <v>784</v>
      </c>
    </row>
    <row r="214" ht="15.75" customHeight="1">
      <c r="A214" s="92">
        <v>19.0</v>
      </c>
      <c r="B214" s="92" t="s">
        <v>1009</v>
      </c>
      <c r="C214" s="92">
        <v>2.52610214E8</v>
      </c>
      <c r="D214" s="94" t="s">
        <v>667</v>
      </c>
      <c r="E214" s="92" t="s">
        <v>784</v>
      </c>
    </row>
    <row r="215" ht="15.75" customHeight="1">
      <c r="A215" s="92">
        <v>20.0</v>
      </c>
      <c r="B215" s="92" t="s">
        <v>1010</v>
      </c>
      <c r="C215" s="92">
        <v>2.52610227E8</v>
      </c>
      <c r="D215" s="94" t="s">
        <v>668</v>
      </c>
      <c r="E215" s="92" t="s">
        <v>784</v>
      </c>
    </row>
    <row r="216" ht="15.75" customHeight="1">
      <c r="A216" s="92">
        <v>23.0</v>
      </c>
      <c r="B216" s="92" t="s">
        <v>1011</v>
      </c>
      <c r="C216" s="92">
        <v>2.52610273E8</v>
      </c>
      <c r="D216" s="94" t="s">
        <v>669</v>
      </c>
      <c r="E216" s="92" t="s">
        <v>784</v>
      </c>
    </row>
    <row r="217" ht="15.75" customHeight="1">
      <c r="A217" s="92">
        <v>24.0</v>
      </c>
      <c r="B217" s="92" t="s">
        <v>1012</v>
      </c>
      <c r="C217" s="92">
        <v>2.52610279E8</v>
      </c>
      <c r="D217" s="94" t="s">
        <v>501</v>
      </c>
      <c r="E217" s="92" t="s">
        <v>784</v>
      </c>
    </row>
    <row r="218" ht="15.75" customHeight="1">
      <c r="A218" s="92">
        <v>26.0</v>
      </c>
      <c r="B218" s="92" t="s">
        <v>1013</v>
      </c>
      <c r="C218" s="92">
        <v>2.52610308E8</v>
      </c>
      <c r="D218" s="94" t="s">
        <v>502</v>
      </c>
      <c r="E218" s="92" t="s">
        <v>784</v>
      </c>
    </row>
    <row r="219" ht="15.75" customHeight="1">
      <c r="A219" s="92">
        <v>28.0</v>
      </c>
      <c r="B219" s="92" t="s">
        <v>1014</v>
      </c>
      <c r="C219" s="92">
        <v>2.52610342E8</v>
      </c>
      <c r="D219" s="94" t="s">
        <v>292</v>
      </c>
      <c r="E219" s="92" t="s">
        <v>782</v>
      </c>
    </row>
    <row r="220" ht="15.75" customHeight="1">
      <c r="A220" s="92">
        <v>31.0</v>
      </c>
      <c r="B220" s="92" t="s">
        <v>1015</v>
      </c>
      <c r="C220" s="92">
        <v>2.52610394E8</v>
      </c>
      <c r="D220" s="94" t="s">
        <v>503</v>
      </c>
      <c r="E220" s="92" t="s">
        <v>784</v>
      </c>
    </row>
    <row r="221" ht="15.75" customHeight="1">
      <c r="A221" s="92">
        <v>32.0</v>
      </c>
      <c r="B221" s="92" t="s">
        <v>1016</v>
      </c>
      <c r="C221" s="92">
        <v>2.5261041E8</v>
      </c>
      <c r="D221" s="94" t="s">
        <v>504</v>
      </c>
      <c r="E221" s="92" t="s">
        <v>784</v>
      </c>
    </row>
    <row r="222" ht="15.75" customHeight="1">
      <c r="A222" s="92">
        <v>33.0</v>
      </c>
      <c r="B222" s="92" t="s">
        <v>1017</v>
      </c>
      <c r="C222" s="92">
        <v>2.52610442E8</v>
      </c>
      <c r="D222" s="94" t="s">
        <v>505</v>
      </c>
      <c r="E222" s="92" t="s">
        <v>784</v>
      </c>
    </row>
    <row r="223" ht="15.75" customHeight="1">
      <c r="A223" s="92">
        <v>35.0</v>
      </c>
      <c r="B223" s="92" t="s">
        <v>1018</v>
      </c>
      <c r="C223" s="92">
        <v>2.52610449E8</v>
      </c>
      <c r="D223" s="94" t="s">
        <v>293</v>
      </c>
      <c r="E223" s="92" t="s">
        <v>782</v>
      </c>
    </row>
    <row r="224" ht="15.75" customHeight="1">
      <c r="A224" s="92">
        <v>36.0</v>
      </c>
      <c r="B224" s="92" t="s">
        <v>1019</v>
      </c>
      <c r="C224" s="92">
        <v>2.52610453E8</v>
      </c>
      <c r="D224" s="94" t="s">
        <v>294</v>
      </c>
      <c r="E224" s="92" t="s">
        <v>782</v>
      </c>
    </row>
    <row r="225" ht="15.75" customHeight="1">
      <c r="A225" s="92">
        <v>39.0</v>
      </c>
      <c r="B225" s="92" t="s">
        <v>1020</v>
      </c>
      <c r="C225" s="92">
        <v>2.52610479E8</v>
      </c>
      <c r="D225" s="94" t="s">
        <v>295</v>
      </c>
      <c r="E225" s="92" t="s">
        <v>782</v>
      </c>
    </row>
    <row r="226" ht="15.75" customHeight="1">
      <c r="A226" s="92">
        <v>40.0</v>
      </c>
      <c r="B226" s="92" t="s">
        <v>1021</v>
      </c>
      <c r="C226" s="92">
        <v>2.52610484E8</v>
      </c>
      <c r="D226" s="94" t="s">
        <v>506</v>
      </c>
      <c r="E226" s="92" t="s">
        <v>784</v>
      </c>
    </row>
    <row r="227" ht="15.75" customHeight="1">
      <c r="A227" s="92">
        <v>41.0</v>
      </c>
      <c r="B227" s="92" t="s">
        <v>1022</v>
      </c>
      <c r="C227" s="92">
        <v>2.52610486E8</v>
      </c>
      <c r="D227" s="94" t="s">
        <v>507</v>
      </c>
      <c r="E227" s="92" t="s">
        <v>784</v>
      </c>
    </row>
    <row r="228" ht="15.75" customHeight="1">
      <c r="A228" s="92">
        <v>42.0</v>
      </c>
      <c r="B228" s="92" t="s">
        <v>1023</v>
      </c>
      <c r="C228" s="92">
        <v>2.52610495E8</v>
      </c>
      <c r="D228" s="94" t="s">
        <v>508</v>
      </c>
      <c r="E228" s="92" t="s">
        <v>784</v>
      </c>
    </row>
    <row r="229" ht="15.75" customHeight="1">
      <c r="A229" s="92">
        <v>43.0</v>
      </c>
      <c r="B229" s="92" t="s">
        <v>1024</v>
      </c>
      <c r="C229" s="92">
        <v>2.52610505E8</v>
      </c>
      <c r="D229" s="94" t="s">
        <v>509</v>
      </c>
      <c r="E229" s="92" t="s">
        <v>784</v>
      </c>
    </row>
    <row r="230" ht="15.75" customHeight="1">
      <c r="A230" s="92">
        <v>44.0</v>
      </c>
      <c r="B230" s="92" t="s">
        <v>1025</v>
      </c>
      <c r="C230" s="92">
        <v>2.52610517E8</v>
      </c>
      <c r="D230" s="94" t="s">
        <v>510</v>
      </c>
      <c r="E230" s="92" t="s">
        <v>784</v>
      </c>
    </row>
    <row r="231" ht="15.75" customHeight="1">
      <c r="A231" s="92">
        <v>45.0</v>
      </c>
      <c r="B231" s="92" t="s">
        <v>1026</v>
      </c>
      <c r="C231" s="92">
        <v>2.52610528E8</v>
      </c>
      <c r="D231" s="94" t="s">
        <v>296</v>
      </c>
      <c r="E231" s="92" t="s">
        <v>782</v>
      </c>
    </row>
    <row r="232" ht="15.75" customHeight="1">
      <c r="A232" s="92">
        <v>46.0</v>
      </c>
      <c r="B232" s="92" t="s">
        <v>1027</v>
      </c>
      <c r="C232" s="92">
        <v>2.52610529E8</v>
      </c>
      <c r="D232" s="94" t="s">
        <v>511</v>
      </c>
      <c r="E232" s="92" t="s">
        <v>784</v>
      </c>
    </row>
    <row r="233" ht="15.75" customHeight="1">
      <c r="A233" s="71"/>
      <c r="B233" s="71"/>
      <c r="C233" s="71"/>
      <c r="D233" s="71"/>
      <c r="E233" s="71"/>
    </row>
    <row r="234" ht="15.75" customHeight="1">
      <c r="A234" s="71"/>
      <c r="B234" s="71"/>
      <c r="C234" s="71"/>
      <c r="D234" s="94" t="s">
        <v>1368</v>
      </c>
      <c r="E234" s="96">
        <f>COUNTIF(E202:E232,"P")</f>
        <v>24</v>
      </c>
    </row>
    <row r="235" ht="15.75" customHeight="1">
      <c r="A235" s="71"/>
      <c r="B235" s="71"/>
      <c r="C235" s="71"/>
      <c r="D235" s="94" t="s">
        <v>1369</v>
      </c>
      <c r="E235" s="96">
        <f>COUNTIF(E202:E232,"L")</f>
        <v>7</v>
      </c>
    </row>
    <row r="236" ht="15.75" customHeight="1">
      <c r="A236" s="71"/>
      <c r="B236" s="71"/>
      <c r="C236" s="71"/>
      <c r="D236" s="71"/>
      <c r="E236" s="71"/>
    </row>
    <row r="237" ht="15.75" customHeight="1">
      <c r="A237" s="71"/>
      <c r="B237" s="71"/>
      <c r="C237" s="71"/>
      <c r="D237" s="71"/>
      <c r="E237" s="71"/>
    </row>
    <row r="238" ht="15.75" customHeight="1">
      <c r="A238" s="71" t="s">
        <v>1375</v>
      </c>
      <c r="B238" s="71"/>
      <c r="C238" s="71"/>
      <c r="D238" s="71"/>
      <c r="E238" s="71" t="s">
        <v>52</v>
      </c>
    </row>
    <row r="239" ht="15.75" customHeight="1">
      <c r="A239" s="95" t="s">
        <v>775</v>
      </c>
      <c r="B239" s="95" t="s">
        <v>776</v>
      </c>
      <c r="C239" s="95" t="s">
        <v>777</v>
      </c>
      <c r="D239" s="95" t="s">
        <v>219</v>
      </c>
      <c r="E239" s="95" t="s">
        <v>778</v>
      </c>
    </row>
    <row r="240" ht="15.75" customHeight="1">
      <c r="A240" s="92">
        <v>1.0</v>
      </c>
      <c r="B240" s="92" t="s">
        <v>1028</v>
      </c>
      <c r="C240" s="92">
        <v>2.52610006E8</v>
      </c>
      <c r="D240" s="94" t="s">
        <v>643</v>
      </c>
      <c r="E240" s="92" t="s">
        <v>784</v>
      </c>
    </row>
    <row r="241" ht="15.75" customHeight="1">
      <c r="A241" s="92">
        <v>2.0</v>
      </c>
      <c r="B241" s="92" t="s">
        <v>1029</v>
      </c>
      <c r="C241" s="92">
        <v>2.52610017E8</v>
      </c>
      <c r="D241" s="94" t="s">
        <v>273</v>
      </c>
      <c r="E241" s="92" t="s">
        <v>782</v>
      </c>
    </row>
    <row r="242" ht="15.75" customHeight="1">
      <c r="A242" s="92">
        <v>3.0</v>
      </c>
      <c r="B242" s="92" t="s">
        <v>1030</v>
      </c>
      <c r="C242" s="92">
        <v>2.52610025E8</v>
      </c>
      <c r="D242" s="94" t="s">
        <v>644</v>
      </c>
      <c r="E242" s="92" t="s">
        <v>784</v>
      </c>
    </row>
    <row r="243" ht="15.75" customHeight="1">
      <c r="A243" s="92">
        <v>4.0</v>
      </c>
      <c r="B243" s="92" t="s">
        <v>1031</v>
      </c>
      <c r="C243" s="92">
        <v>2.52610044E8</v>
      </c>
      <c r="D243" s="94" t="s">
        <v>645</v>
      </c>
      <c r="E243" s="92" t="s">
        <v>784</v>
      </c>
    </row>
    <row r="244" ht="15.75" customHeight="1">
      <c r="A244" s="92">
        <v>5.0</v>
      </c>
      <c r="B244" s="92" t="s">
        <v>1032</v>
      </c>
      <c r="C244" s="92">
        <v>2.52610051E8</v>
      </c>
      <c r="D244" s="94" t="s">
        <v>646</v>
      </c>
      <c r="E244" s="92" t="s">
        <v>784</v>
      </c>
    </row>
    <row r="245" ht="15.75" customHeight="1">
      <c r="A245" s="92">
        <v>6.0</v>
      </c>
      <c r="B245" s="92" t="s">
        <v>1033</v>
      </c>
      <c r="C245" s="92">
        <v>2.52610064E8</v>
      </c>
      <c r="D245" s="94" t="s">
        <v>647</v>
      </c>
      <c r="E245" s="92" t="s">
        <v>784</v>
      </c>
    </row>
    <row r="246" ht="15.75" customHeight="1">
      <c r="A246" s="92">
        <v>7.0</v>
      </c>
      <c r="B246" s="92" t="s">
        <v>1034</v>
      </c>
      <c r="C246" s="92">
        <v>2.52610113E8</v>
      </c>
      <c r="D246" s="94" t="s">
        <v>274</v>
      </c>
      <c r="E246" s="92" t="s">
        <v>782</v>
      </c>
    </row>
    <row r="247" ht="15.75" customHeight="1">
      <c r="A247" s="92">
        <v>8.0</v>
      </c>
      <c r="B247" s="92" t="s">
        <v>1035</v>
      </c>
      <c r="C247" s="92">
        <v>2.5261014E8</v>
      </c>
      <c r="D247" s="94" t="s">
        <v>648</v>
      </c>
      <c r="E247" s="92" t="s">
        <v>784</v>
      </c>
    </row>
    <row r="248" ht="15.75" customHeight="1">
      <c r="A248" s="92">
        <v>9.0</v>
      </c>
      <c r="B248" s="92" t="s">
        <v>1036</v>
      </c>
      <c r="C248" s="92">
        <v>2.52610141E8</v>
      </c>
      <c r="D248" s="94" t="s">
        <v>649</v>
      </c>
      <c r="E248" s="92" t="s">
        <v>784</v>
      </c>
    </row>
    <row r="249" ht="15.75" customHeight="1">
      <c r="A249" s="92">
        <v>10.0</v>
      </c>
      <c r="B249" s="92" t="s">
        <v>1037</v>
      </c>
      <c r="C249" s="92">
        <v>2.52610144E8</v>
      </c>
      <c r="D249" s="94" t="s">
        <v>225</v>
      </c>
      <c r="E249" s="92" t="s">
        <v>782</v>
      </c>
    </row>
    <row r="250" ht="15.75" customHeight="1">
      <c r="A250" s="92">
        <v>11.0</v>
      </c>
      <c r="B250" s="92" t="s">
        <v>1038</v>
      </c>
      <c r="C250" s="92">
        <v>2.52610156E8</v>
      </c>
      <c r="D250" s="94" t="s">
        <v>650</v>
      </c>
      <c r="E250" s="92" t="s">
        <v>784</v>
      </c>
    </row>
    <row r="251" ht="15.75" customHeight="1">
      <c r="A251" s="92">
        <v>12.0</v>
      </c>
      <c r="B251" s="92" t="s">
        <v>1039</v>
      </c>
      <c r="C251" s="92">
        <v>2.52610159E8</v>
      </c>
      <c r="D251" s="94" t="s">
        <v>651</v>
      </c>
      <c r="E251" s="92" t="s">
        <v>784</v>
      </c>
    </row>
    <row r="252" ht="15.75" customHeight="1">
      <c r="A252" s="92">
        <v>13.0</v>
      </c>
      <c r="B252" s="92" t="s">
        <v>1040</v>
      </c>
      <c r="C252" s="92">
        <v>2.52610179E8</v>
      </c>
      <c r="D252" s="94" t="s">
        <v>652</v>
      </c>
      <c r="E252" s="92" t="s">
        <v>784</v>
      </c>
    </row>
    <row r="253" ht="15.75" customHeight="1">
      <c r="A253" s="92">
        <v>15.0</v>
      </c>
      <c r="B253" s="92" t="s">
        <v>1041</v>
      </c>
      <c r="C253" s="92">
        <v>2.52610197E8</v>
      </c>
      <c r="D253" s="94" t="s">
        <v>226</v>
      </c>
      <c r="E253" s="92" t="s">
        <v>782</v>
      </c>
    </row>
    <row r="254" ht="15.75" customHeight="1">
      <c r="A254" s="92">
        <v>16.0</v>
      </c>
      <c r="B254" s="92" t="s">
        <v>1042</v>
      </c>
      <c r="C254" s="92">
        <v>2.526102E8</v>
      </c>
      <c r="D254" s="94" t="s">
        <v>275</v>
      </c>
      <c r="E254" s="92" t="s">
        <v>782</v>
      </c>
    </row>
    <row r="255" ht="15.75" customHeight="1">
      <c r="A255" s="92">
        <v>17.0</v>
      </c>
      <c r="B255" s="92" t="s">
        <v>1043</v>
      </c>
      <c r="C255" s="92">
        <v>2.52610221E8</v>
      </c>
      <c r="D255" s="94" t="s">
        <v>653</v>
      </c>
      <c r="E255" s="92" t="s">
        <v>784</v>
      </c>
    </row>
    <row r="256" ht="15.75" customHeight="1">
      <c r="A256" s="92">
        <v>18.0</v>
      </c>
      <c r="B256" s="92" t="s">
        <v>1044</v>
      </c>
      <c r="C256" s="92">
        <v>2.52610225E8</v>
      </c>
      <c r="D256" s="94" t="s">
        <v>276</v>
      </c>
      <c r="E256" s="92" t="s">
        <v>782</v>
      </c>
    </row>
    <row r="257" ht="15.75" customHeight="1">
      <c r="A257" s="92">
        <v>19.0</v>
      </c>
      <c r="B257" s="92" t="s">
        <v>1045</v>
      </c>
      <c r="C257" s="92">
        <v>2.52610252E8</v>
      </c>
      <c r="D257" s="94" t="s">
        <v>277</v>
      </c>
      <c r="E257" s="92" t="s">
        <v>782</v>
      </c>
    </row>
    <row r="258" ht="15.75" customHeight="1">
      <c r="A258" s="92">
        <v>20.0</v>
      </c>
      <c r="B258" s="92" t="s">
        <v>1046</v>
      </c>
      <c r="C258" s="92">
        <v>2.52610254E8</v>
      </c>
      <c r="D258" s="94" t="s">
        <v>654</v>
      </c>
      <c r="E258" s="92" t="s">
        <v>784</v>
      </c>
    </row>
    <row r="259" ht="15.75" customHeight="1">
      <c r="A259" s="92">
        <v>21.0</v>
      </c>
      <c r="B259" s="92" t="s">
        <v>1047</v>
      </c>
      <c r="C259" s="92">
        <v>2.52610264E8</v>
      </c>
      <c r="D259" s="94" t="s">
        <v>655</v>
      </c>
      <c r="E259" s="92" t="s">
        <v>784</v>
      </c>
    </row>
    <row r="260" ht="15.75" customHeight="1">
      <c r="A260" s="92">
        <v>22.0</v>
      </c>
      <c r="B260" s="92" t="s">
        <v>1048</v>
      </c>
      <c r="C260" s="92">
        <v>2.52610268E8</v>
      </c>
      <c r="D260" s="94" t="s">
        <v>656</v>
      </c>
      <c r="E260" s="92" t="s">
        <v>784</v>
      </c>
    </row>
    <row r="261" ht="15.75" customHeight="1">
      <c r="A261" s="92">
        <v>23.0</v>
      </c>
      <c r="B261" s="92" t="s">
        <v>1049</v>
      </c>
      <c r="C261" s="92">
        <v>2.52610284E8</v>
      </c>
      <c r="D261" s="94" t="s">
        <v>486</v>
      </c>
      <c r="E261" s="92" t="s">
        <v>784</v>
      </c>
    </row>
    <row r="262" ht="15.75" customHeight="1">
      <c r="A262" s="92">
        <v>24.0</v>
      </c>
      <c r="B262" s="92" t="s">
        <v>1050</v>
      </c>
      <c r="C262" s="92">
        <v>2.52610291E8</v>
      </c>
      <c r="D262" s="94" t="s">
        <v>487</v>
      </c>
      <c r="E262" s="92" t="s">
        <v>784</v>
      </c>
    </row>
    <row r="263" ht="15.75" customHeight="1">
      <c r="A263" s="92">
        <v>25.0</v>
      </c>
      <c r="B263" s="92" t="s">
        <v>1051</v>
      </c>
      <c r="C263" s="92">
        <v>2.526103E8</v>
      </c>
      <c r="D263" s="94" t="s">
        <v>278</v>
      </c>
      <c r="E263" s="92" t="s">
        <v>782</v>
      </c>
    </row>
    <row r="264" ht="15.75" customHeight="1">
      <c r="A264" s="92">
        <v>26.0</v>
      </c>
      <c r="B264" s="92" t="s">
        <v>1052</v>
      </c>
      <c r="C264" s="92">
        <v>2.52610318E8</v>
      </c>
      <c r="D264" s="94" t="s">
        <v>279</v>
      </c>
      <c r="E264" s="92" t="s">
        <v>782</v>
      </c>
    </row>
    <row r="265" ht="15.75" customHeight="1">
      <c r="A265" s="92">
        <v>27.0</v>
      </c>
      <c r="B265" s="92" t="s">
        <v>1053</v>
      </c>
      <c r="C265" s="92">
        <v>2.52610333E8</v>
      </c>
      <c r="D265" s="94" t="s">
        <v>280</v>
      </c>
      <c r="E265" s="92" t="s">
        <v>782</v>
      </c>
    </row>
    <row r="266" ht="15.75" customHeight="1">
      <c r="A266" s="92">
        <v>28.0</v>
      </c>
      <c r="B266" s="92" t="s">
        <v>1054</v>
      </c>
      <c r="C266" s="92">
        <v>2.5261034E8</v>
      </c>
      <c r="D266" s="94" t="s">
        <v>281</v>
      </c>
      <c r="E266" s="92" t="s">
        <v>782</v>
      </c>
    </row>
    <row r="267" ht="15.75" customHeight="1">
      <c r="A267" s="92">
        <v>29.0</v>
      </c>
      <c r="B267" s="92" t="s">
        <v>1055</v>
      </c>
      <c r="C267" s="92">
        <v>2.52610345E8</v>
      </c>
      <c r="D267" s="94" t="s">
        <v>282</v>
      </c>
      <c r="E267" s="92" t="s">
        <v>782</v>
      </c>
    </row>
    <row r="268" ht="15.75" customHeight="1">
      <c r="A268" s="92">
        <v>30.0</v>
      </c>
      <c r="B268" s="92" t="s">
        <v>1056</v>
      </c>
      <c r="C268" s="92">
        <v>2.52610352E8</v>
      </c>
      <c r="D268" s="94" t="s">
        <v>283</v>
      </c>
      <c r="E268" s="92" t="s">
        <v>782</v>
      </c>
    </row>
    <row r="269" ht="15.75" customHeight="1">
      <c r="A269" s="92">
        <v>31.0</v>
      </c>
      <c r="B269" s="92" t="s">
        <v>1057</v>
      </c>
      <c r="C269" s="92">
        <v>2.52610354E8</v>
      </c>
      <c r="D269" s="94" t="s">
        <v>284</v>
      </c>
      <c r="E269" s="92" t="s">
        <v>782</v>
      </c>
    </row>
    <row r="270" ht="15.75" customHeight="1">
      <c r="A270" s="92">
        <v>32.0</v>
      </c>
      <c r="B270" s="92" t="s">
        <v>1058</v>
      </c>
      <c r="C270" s="92">
        <v>2.52610383E8</v>
      </c>
      <c r="D270" s="94" t="s">
        <v>488</v>
      </c>
      <c r="E270" s="92" t="s">
        <v>784</v>
      </c>
    </row>
    <row r="271" ht="15.75" customHeight="1">
      <c r="A271" s="92">
        <v>33.0</v>
      </c>
      <c r="B271" s="92" t="s">
        <v>1059</v>
      </c>
      <c r="C271" s="92">
        <v>2.52610389E8</v>
      </c>
      <c r="D271" s="94" t="s">
        <v>489</v>
      </c>
      <c r="E271" s="92" t="s">
        <v>784</v>
      </c>
    </row>
    <row r="272" ht="15.75" customHeight="1">
      <c r="A272" s="92">
        <v>34.0</v>
      </c>
      <c r="B272" s="92" t="s">
        <v>1060</v>
      </c>
      <c r="C272" s="92">
        <v>2.52610404E8</v>
      </c>
      <c r="D272" s="94" t="s">
        <v>490</v>
      </c>
      <c r="E272" s="92" t="s">
        <v>784</v>
      </c>
    </row>
    <row r="273" ht="15.75" customHeight="1">
      <c r="A273" s="92">
        <v>35.0</v>
      </c>
      <c r="B273" s="92" t="s">
        <v>1061</v>
      </c>
      <c r="C273" s="92">
        <v>2.52610409E8</v>
      </c>
      <c r="D273" s="94" t="s">
        <v>491</v>
      </c>
      <c r="E273" s="92" t="s">
        <v>784</v>
      </c>
    </row>
    <row r="274" ht="15.75" customHeight="1">
      <c r="A274" s="92">
        <v>36.0</v>
      </c>
      <c r="B274" s="92" t="s">
        <v>1062</v>
      </c>
      <c r="C274" s="92">
        <v>2.52610428E8</v>
      </c>
      <c r="D274" s="94" t="s">
        <v>492</v>
      </c>
      <c r="E274" s="92" t="s">
        <v>784</v>
      </c>
    </row>
    <row r="275" ht="15.75" customHeight="1">
      <c r="A275" s="92">
        <v>37.0</v>
      </c>
      <c r="B275" s="92" t="s">
        <v>1063</v>
      </c>
      <c r="C275" s="92">
        <v>2.52610464E8</v>
      </c>
      <c r="D275" s="94" t="s">
        <v>440</v>
      </c>
      <c r="E275" s="92" t="s">
        <v>784</v>
      </c>
    </row>
    <row r="276" ht="15.75" customHeight="1">
      <c r="A276" s="92">
        <v>38.0</v>
      </c>
      <c r="B276" s="92" t="s">
        <v>1064</v>
      </c>
      <c r="C276" s="92">
        <v>2.52610466E8</v>
      </c>
      <c r="D276" s="94" t="s">
        <v>493</v>
      </c>
      <c r="E276" s="92" t="s">
        <v>784</v>
      </c>
    </row>
    <row r="277" ht="15.75" customHeight="1">
      <c r="A277" s="92">
        <v>39.0</v>
      </c>
      <c r="B277" s="92" t="s">
        <v>1065</v>
      </c>
      <c r="C277" s="92">
        <v>2.52610468E8</v>
      </c>
      <c r="D277" s="94" t="s">
        <v>494</v>
      </c>
      <c r="E277" s="92" t="s">
        <v>784</v>
      </c>
    </row>
    <row r="278" ht="15.75" customHeight="1">
      <c r="A278" s="92">
        <v>40.0</v>
      </c>
      <c r="B278" s="92" t="s">
        <v>1066</v>
      </c>
      <c r="C278" s="92">
        <v>2.52610491E8</v>
      </c>
      <c r="D278" s="94" t="s">
        <v>495</v>
      </c>
      <c r="E278" s="92" t="s">
        <v>784</v>
      </c>
    </row>
    <row r="279" ht="15.75" customHeight="1">
      <c r="A279" s="92">
        <v>41.0</v>
      </c>
      <c r="B279" s="92" t="s">
        <v>1067</v>
      </c>
      <c r="C279" s="92">
        <v>2.52610504E8</v>
      </c>
      <c r="D279" s="94" t="s">
        <v>285</v>
      </c>
      <c r="E279" s="92" t="s">
        <v>782</v>
      </c>
    </row>
    <row r="280" ht="15.75" customHeight="1">
      <c r="A280" s="92">
        <v>42.0</v>
      </c>
      <c r="B280" s="92" t="s">
        <v>1068</v>
      </c>
      <c r="C280" s="92">
        <v>2.52610523E8</v>
      </c>
      <c r="D280" s="94" t="s">
        <v>496</v>
      </c>
      <c r="E280" s="92" t="s">
        <v>784</v>
      </c>
    </row>
    <row r="281" ht="15.75" customHeight="1">
      <c r="A281" s="92">
        <v>43.0</v>
      </c>
      <c r="B281" s="92" t="s">
        <v>1069</v>
      </c>
      <c r="C281" s="92">
        <v>2.52610525E8</v>
      </c>
      <c r="D281" s="94" t="s">
        <v>286</v>
      </c>
      <c r="E281" s="92" t="s">
        <v>782</v>
      </c>
    </row>
    <row r="282" ht="15.75" customHeight="1">
      <c r="A282" s="92">
        <v>44.0</v>
      </c>
      <c r="B282" s="92" t="s">
        <v>1070</v>
      </c>
      <c r="C282" s="92">
        <v>2.52610527E8</v>
      </c>
      <c r="D282" s="94" t="s">
        <v>497</v>
      </c>
      <c r="E282" s="92" t="s">
        <v>784</v>
      </c>
    </row>
    <row r="283" ht="15.75" customHeight="1">
      <c r="A283" s="92">
        <v>45.0</v>
      </c>
      <c r="B283" s="92" t="s">
        <v>1071</v>
      </c>
      <c r="C283" s="92">
        <v>2.52610532E8</v>
      </c>
      <c r="D283" s="94" t="s">
        <v>498</v>
      </c>
      <c r="E283" s="92" t="s">
        <v>784</v>
      </c>
    </row>
    <row r="284" ht="15.75" customHeight="1">
      <c r="A284" s="92">
        <v>46.0</v>
      </c>
      <c r="B284" s="92" t="s">
        <v>1072</v>
      </c>
      <c r="C284" s="92">
        <v>2.52610539E8</v>
      </c>
      <c r="D284" s="94" t="s">
        <v>287</v>
      </c>
      <c r="E284" s="92" t="s">
        <v>782</v>
      </c>
    </row>
    <row r="285" ht="15.75" customHeight="1">
      <c r="A285" s="92">
        <v>47.0</v>
      </c>
      <c r="B285" s="92" t="s">
        <v>1073</v>
      </c>
      <c r="C285" s="92">
        <v>2.52610547E8</v>
      </c>
      <c r="D285" s="94" t="s">
        <v>288</v>
      </c>
      <c r="E285" s="92" t="s">
        <v>782</v>
      </c>
    </row>
    <row r="286" ht="15.75" customHeight="1">
      <c r="A286" s="92">
        <v>48.0</v>
      </c>
      <c r="B286" s="92" t="s">
        <v>1074</v>
      </c>
      <c r="C286" s="92">
        <v>2.52610559E8</v>
      </c>
      <c r="D286" s="94" t="s">
        <v>499</v>
      </c>
      <c r="E286" s="92" t="s">
        <v>784</v>
      </c>
    </row>
    <row r="287" ht="15.75" customHeight="1">
      <c r="A287" s="71"/>
      <c r="B287" s="71"/>
      <c r="C287" s="71"/>
      <c r="D287" s="71"/>
      <c r="E287" s="71"/>
    </row>
    <row r="288" ht="15.75" customHeight="1">
      <c r="A288" s="71"/>
      <c r="B288" s="71"/>
      <c r="C288" s="71"/>
      <c r="D288" s="94" t="s">
        <v>1368</v>
      </c>
      <c r="E288" s="92">
        <f>COUNTIF(E240:E286,"P")</f>
        <v>29</v>
      </c>
    </row>
    <row r="289" ht="15.75" customHeight="1">
      <c r="A289" s="71"/>
      <c r="B289" s="71"/>
      <c r="C289" s="71"/>
      <c r="D289" s="94" t="s">
        <v>1369</v>
      </c>
      <c r="E289" s="92">
        <f>COUNTIF(E240:E286,"L")</f>
        <v>18</v>
      </c>
    </row>
    <row r="290" ht="15.75" customHeight="1">
      <c r="A290" s="71"/>
      <c r="B290" s="71"/>
      <c r="C290" s="71"/>
      <c r="D290" s="71"/>
      <c r="E290" s="71"/>
    </row>
    <row r="291" ht="15.75" customHeight="1">
      <c r="A291" s="71"/>
      <c r="B291" s="71"/>
      <c r="C291" s="71"/>
      <c r="D291" s="71"/>
      <c r="E291" s="71"/>
    </row>
    <row r="292" ht="15.75" customHeight="1">
      <c r="A292" s="71" t="s">
        <v>1376</v>
      </c>
      <c r="B292" s="71"/>
      <c r="C292" s="71"/>
      <c r="D292" s="71"/>
      <c r="E292" s="71" t="s">
        <v>58</v>
      </c>
    </row>
    <row r="293" ht="15.75" customHeight="1">
      <c r="A293" s="95" t="s">
        <v>775</v>
      </c>
      <c r="B293" s="95" t="s">
        <v>776</v>
      </c>
      <c r="C293" s="95" t="s">
        <v>777</v>
      </c>
      <c r="D293" s="95" t="s">
        <v>219</v>
      </c>
      <c r="E293" s="95" t="s">
        <v>778</v>
      </c>
    </row>
    <row r="294" ht="15.75" customHeight="1">
      <c r="A294" s="92">
        <v>1.0</v>
      </c>
      <c r="B294" s="92" t="s">
        <v>1075</v>
      </c>
      <c r="C294" s="92">
        <v>2.52610007E8</v>
      </c>
      <c r="D294" s="94" t="s">
        <v>628</v>
      </c>
      <c r="E294" s="92" t="s">
        <v>784</v>
      </c>
    </row>
    <row r="295" ht="15.75" customHeight="1">
      <c r="A295" s="92">
        <v>2.0</v>
      </c>
      <c r="B295" s="92" t="s">
        <v>1076</v>
      </c>
      <c r="C295" s="92">
        <v>2.52610028E8</v>
      </c>
      <c r="D295" s="94" t="s">
        <v>629</v>
      </c>
      <c r="E295" s="92" t="s">
        <v>784</v>
      </c>
    </row>
    <row r="296" ht="15.75" customHeight="1">
      <c r="A296" s="92">
        <v>3.0</v>
      </c>
      <c r="B296" s="92" t="s">
        <v>1077</v>
      </c>
      <c r="C296" s="92">
        <v>2.52610035E8</v>
      </c>
      <c r="D296" s="94" t="s">
        <v>630</v>
      </c>
      <c r="E296" s="92" t="s">
        <v>784</v>
      </c>
    </row>
    <row r="297" ht="15.75" customHeight="1">
      <c r="A297" s="92">
        <v>4.0</v>
      </c>
      <c r="B297" s="92" t="s">
        <v>1078</v>
      </c>
      <c r="C297" s="92">
        <v>2.5261004E8</v>
      </c>
      <c r="D297" s="94" t="s">
        <v>631</v>
      </c>
      <c r="E297" s="92" t="s">
        <v>784</v>
      </c>
    </row>
    <row r="298" ht="15.75" customHeight="1">
      <c r="A298" s="92">
        <v>5.0</v>
      </c>
      <c r="B298" s="92" t="s">
        <v>1079</v>
      </c>
      <c r="C298" s="92">
        <v>2.52610041E8</v>
      </c>
      <c r="D298" s="94" t="s">
        <v>632</v>
      </c>
      <c r="E298" s="92" t="s">
        <v>784</v>
      </c>
    </row>
    <row r="299" ht="15.75" customHeight="1">
      <c r="A299" s="92">
        <v>6.0</v>
      </c>
      <c r="B299" s="92" t="s">
        <v>1080</v>
      </c>
      <c r="C299" s="92">
        <v>2.52610061E8</v>
      </c>
      <c r="D299" s="94" t="s">
        <v>633</v>
      </c>
      <c r="E299" s="92" t="s">
        <v>784</v>
      </c>
    </row>
    <row r="300" ht="15.75" customHeight="1">
      <c r="A300" s="92">
        <v>7.0</v>
      </c>
      <c r="B300" s="92" t="s">
        <v>1081</v>
      </c>
      <c r="C300" s="92">
        <v>2.52610077E8</v>
      </c>
      <c r="D300" s="94" t="s">
        <v>634</v>
      </c>
      <c r="E300" s="92" t="s">
        <v>784</v>
      </c>
    </row>
    <row r="301" ht="15.75" customHeight="1">
      <c r="A301" s="92">
        <v>8.0</v>
      </c>
      <c r="B301" s="92" t="s">
        <v>1082</v>
      </c>
      <c r="C301" s="92">
        <v>2.52610097E8</v>
      </c>
      <c r="D301" s="94" t="s">
        <v>635</v>
      </c>
      <c r="E301" s="92" t="s">
        <v>784</v>
      </c>
    </row>
    <row r="302" ht="15.75" customHeight="1">
      <c r="A302" s="92">
        <v>9.0</v>
      </c>
      <c r="B302" s="92" t="s">
        <v>1083</v>
      </c>
      <c r="C302" s="92">
        <v>2.52610108E8</v>
      </c>
      <c r="D302" s="94" t="s">
        <v>636</v>
      </c>
      <c r="E302" s="92" t="s">
        <v>784</v>
      </c>
    </row>
    <row r="303" ht="15.75" customHeight="1">
      <c r="A303" s="92">
        <v>10.0</v>
      </c>
      <c r="B303" s="92" t="s">
        <v>1084</v>
      </c>
      <c r="C303" s="92">
        <v>2.52610118E8</v>
      </c>
      <c r="D303" s="94" t="s">
        <v>637</v>
      </c>
      <c r="E303" s="92" t="s">
        <v>784</v>
      </c>
    </row>
    <row r="304" ht="15.75" customHeight="1">
      <c r="A304" s="92">
        <v>11.0</v>
      </c>
      <c r="B304" s="92" t="s">
        <v>1085</v>
      </c>
      <c r="C304" s="92">
        <v>2.52610125E8</v>
      </c>
      <c r="D304" s="94" t="s">
        <v>258</v>
      </c>
      <c r="E304" s="92" t="s">
        <v>782</v>
      </c>
    </row>
    <row r="305" ht="15.75" customHeight="1">
      <c r="A305" s="92">
        <v>12.0</v>
      </c>
      <c r="B305" s="92" t="s">
        <v>1086</v>
      </c>
      <c r="C305" s="92">
        <v>2.52610151E8</v>
      </c>
      <c r="D305" s="94" t="s">
        <v>638</v>
      </c>
      <c r="E305" s="92" t="s">
        <v>784</v>
      </c>
    </row>
    <row r="306" ht="15.75" customHeight="1">
      <c r="A306" s="92">
        <v>13.0</v>
      </c>
      <c r="B306" s="92" t="s">
        <v>1087</v>
      </c>
      <c r="C306" s="92">
        <v>2.5261016E8</v>
      </c>
      <c r="D306" s="94" t="s">
        <v>433</v>
      </c>
      <c r="E306" s="92" t="s">
        <v>784</v>
      </c>
    </row>
    <row r="307" ht="15.75" customHeight="1">
      <c r="A307" s="92">
        <v>14.0</v>
      </c>
      <c r="B307" s="92" t="s">
        <v>1088</v>
      </c>
      <c r="C307" s="92">
        <v>2.52610161E8</v>
      </c>
      <c r="D307" s="94" t="s">
        <v>639</v>
      </c>
      <c r="E307" s="92" t="s">
        <v>784</v>
      </c>
    </row>
    <row r="308" ht="15.75" customHeight="1">
      <c r="A308" s="92">
        <v>15.0</v>
      </c>
      <c r="B308" s="92" t="s">
        <v>1089</v>
      </c>
      <c r="C308" s="92">
        <v>2.5261017E8</v>
      </c>
      <c r="D308" s="94" t="s">
        <v>640</v>
      </c>
      <c r="E308" s="92" t="s">
        <v>784</v>
      </c>
    </row>
    <row r="309" ht="15.75" customHeight="1">
      <c r="A309" s="92">
        <v>16.0</v>
      </c>
      <c r="B309" s="92" t="s">
        <v>1090</v>
      </c>
      <c r="C309" s="92">
        <v>2.52610174E8</v>
      </c>
      <c r="D309" s="94" t="s">
        <v>641</v>
      </c>
      <c r="E309" s="92" t="s">
        <v>784</v>
      </c>
    </row>
    <row r="310" ht="15.75" customHeight="1">
      <c r="A310" s="92">
        <v>17.0</v>
      </c>
      <c r="B310" s="92" t="s">
        <v>1091</v>
      </c>
      <c r="C310" s="92">
        <v>2.52610199E8</v>
      </c>
      <c r="D310" s="94" t="s">
        <v>259</v>
      </c>
      <c r="E310" s="92" t="s">
        <v>782</v>
      </c>
    </row>
    <row r="311" ht="15.75" customHeight="1">
      <c r="A311" s="92">
        <v>18.0</v>
      </c>
      <c r="B311" s="92" t="s">
        <v>1092</v>
      </c>
      <c r="C311" s="92">
        <v>2.52610203E8</v>
      </c>
      <c r="D311" s="94" t="s">
        <v>434</v>
      </c>
      <c r="E311" s="92" t="s">
        <v>784</v>
      </c>
    </row>
    <row r="312" ht="15.75" customHeight="1">
      <c r="A312" s="92">
        <v>20.0</v>
      </c>
      <c r="B312" s="92" t="s">
        <v>1093</v>
      </c>
      <c r="C312" s="92">
        <v>2.52610255E8</v>
      </c>
      <c r="D312" s="94" t="s">
        <v>471</v>
      </c>
      <c r="E312" s="92" t="s">
        <v>784</v>
      </c>
    </row>
    <row r="313" ht="15.75" customHeight="1">
      <c r="A313" s="92">
        <v>21.0</v>
      </c>
      <c r="B313" s="92" t="s">
        <v>1094</v>
      </c>
      <c r="C313" s="92">
        <v>2.52610265E8</v>
      </c>
      <c r="D313" s="94" t="s">
        <v>260</v>
      </c>
      <c r="E313" s="92" t="s">
        <v>782</v>
      </c>
    </row>
    <row r="314" ht="15.75" customHeight="1">
      <c r="A314" s="92">
        <v>22.0</v>
      </c>
      <c r="B314" s="92" t="s">
        <v>1095</v>
      </c>
      <c r="C314" s="92">
        <v>2.52610293E8</v>
      </c>
      <c r="D314" s="94" t="s">
        <v>261</v>
      </c>
      <c r="E314" s="92" t="s">
        <v>782</v>
      </c>
    </row>
    <row r="315" ht="15.75" customHeight="1">
      <c r="A315" s="92">
        <v>23.0</v>
      </c>
      <c r="B315" s="92" t="s">
        <v>1096</v>
      </c>
      <c r="C315" s="92">
        <v>2.52610314E8</v>
      </c>
      <c r="D315" s="94" t="s">
        <v>262</v>
      </c>
      <c r="E315" s="92" t="s">
        <v>782</v>
      </c>
    </row>
    <row r="316" ht="15.75" customHeight="1">
      <c r="A316" s="92">
        <v>24.0</v>
      </c>
      <c r="B316" s="92" t="s">
        <v>1097</v>
      </c>
      <c r="C316" s="92">
        <v>2.52610317E8</v>
      </c>
      <c r="D316" s="94" t="s">
        <v>263</v>
      </c>
      <c r="E316" s="92" t="s">
        <v>782</v>
      </c>
    </row>
    <row r="317" ht="15.75" customHeight="1">
      <c r="A317" s="92">
        <v>25.0</v>
      </c>
      <c r="B317" s="92" t="s">
        <v>1098</v>
      </c>
      <c r="C317" s="92">
        <v>2.52610321E8</v>
      </c>
      <c r="D317" s="94" t="s">
        <v>472</v>
      </c>
      <c r="E317" s="92" t="s">
        <v>784</v>
      </c>
    </row>
    <row r="318" ht="15.75" customHeight="1">
      <c r="A318" s="92">
        <v>26.0</v>
      </c>
      <c r="B318" s="92" t="s">
        <v>1099</v>
      </c>
      <c r="C318" s="92">
        <v>2.52610324E8</v>
      </c>
      <c r="D318" s="94" t="s">
        <v>230</v>
      </c>
      <c r="E318" s="92" t="s">
        <v>782</v>
      </c>
    </row>
    <row r="319" ht="15.75" customHeight="1">
      <c r="A319" s="92">
        <v>27.0</v>
      </c>
      <c r="B319" s="92" t="s">
        <v>1100</v>
      </c>
      <c r="C319" s="92">
        <v>2.52610326E8</v>
      </c>
      <c r="D319" s="94" t="s">
        <v>264</v>
      </c>
      <c r="E319" s="92" t="s">
        <v>782</v>
      </c>
    </row>
    <row r="320" ht="15.75" customHeight="1">
      <c r="A320" s="92">
        <v>28.0</v>
      </c>
      <c r="B320" s="92" t="s">
        <v>1101</v>
      </c>
      <c r="C320" s="92">
        <v>2.52610349E8</v>
      </c>
      <c r="D320" s="94" t="s">
        <v>265</v>
      </c>
      <c r="E320" s="92" t="s">
        <v>782</v>
      </c>
    </row>
    <row r="321" ht="15.75" customHeight="1">
      <c r="A321" s="92">
        <v>29.0</v>
      </c>
      <c r="B321" s="92" t="s">
        <v>1102</v>
      </c>
      <c r="C321" s="92">
        <v>2.5261035E8</v>
      </c>
      <c r="D321" s="94" t="s">
        <v>266</v>
      </c>
      <c r="E321" s="92" t="s">
        <v>782</v>
      </c>
    </row>
    <row r="322" ht="15.75" customHeight="1">
      <c r="A322" s="92">
        <v>30.0</v>
      </c>
      <c r="B322" s="92" t="s">
        <v>1103</v>
      </c>
      <c r="C322" s="92">
        <v>2.52610353E8</v>
      </c>
      <c r="D322" s="94" t="s">
        <v>233</v>
      </c>
      <c r="E322" s="92" t="s">
        <v>782</v>
      </c>
    </row>
    <row r="323" ht="15.75" customHeight="1">
      <c r="A323" s="92">
        <v>31.0</v>
      </c>
      <c r="B323" s="92" t="s">
        <v>1104</v>
      </c>
      <c r="C323" s="92">
        <v>2.52610364E8</v>
      </c>
      <c r="D323" s="94" t="s">
        <v>267</v>
      </c>
      <c r="E323" s="92" t="s">
        <v>782</v>
      </c>
    </row>
    <row r="324" ht="15.75" customHeight="1">
      <c r="A324" s="92">
        <v>32.0</v>
      </c>
      <c r="B324" s="92" t="s">
        <v>1105</v>
      </c>
      <c r="C324" s="92">
        <v>2.52610376E8</v>
      </c>
      <c r="D324" s="94" t="s">
        <v>268</v>
      </c>
      <c r="E324" s="92" t="s">
        <v>782</v>
      </c>
    </row>
    <row r="325" ht="15.75" customHeight="1">
      <c r="A325" s="92">
        <v>33.0</v>
      </c>
      <c r="B325" s="92" t="s">
        <v>1106</v>
      </c>
      <c r="C325" s="92">
        <v>2.52610392E8</v>
      </c>
      <c r="D325" s="94" t="s">
        <v>473</v>
      </c>
      <c r="E325" s="92" t="s">
        <v>784</v>
      </c>
    </row>
    <row r="326" ht="15.75" customHeight="1">
      <c r="A326" s="92">
        <v>34.0</v>
      </c>
      <c r="B326" s="92" t="s">
        <v>1107</v>
      </c>
      <c r="C326" s="92">
        <v>2.52610395E8</v>
      </c>
      <c r="D326" s="94" t="s">
        <v>474</v>
      </c>
      <c r="E326" s="92" t="s">
        <v>784</v>
      </c>
    </row>
    <row r="327" ht="15.75" customHeight="1">
      <c r="A327" s="92">
        <v>35.0</v>
      </c>
      <c r="B327" s="92" t="s">
        <v>1108</v>
      </c>
      <c r="C327" s="92">
        <v>2.52610399E8</v>
      </c>
      <c r="D327" s="94" t="s">
        <v>475</v>
      </c>
      <c r="E327" s="92" t="s">
        <v>784</v>
      </c>
    </row>
    <row r="328" ht="15.75" customHeight="1">
      <c r="A328" s="92">
        <v>36.0</v>
      </c>
      <c r="B328" s="92" t="s">
        <v>1109</v>
      </c>
      <c r="C328" s="92">
        <v>2.52610408E8</v>
      </c>
      <c r="D328" s="94" t="s">
        <v>476</v>
      </c>
      <c r="E328" s="92" t="s">
        <v>784</v>
      </c>
    </row>
    <row r="329" ht="15.75" customHeight="1">
      <c r="A329" s="92">
        <v>37.0</v>
      </c>
      <c r="B329" s="92" t="s">
        <v>1110</v>
      </c>
      <c r="C329" s="92">
        <v>2.52610413E8</v>
      </c>
      <c r="D329" s="94" t="s">
        <v>477</v>
      </c>
      <c r="E329" s="92" t="s">
        <v>784</v>
      </c>
    </row>
    <row r="330" ht="15.75" customHeight="1">
      <c r="A330" s="92">
        <v>38.0</v>
      </c>
      <c r="B330" s="92" t="s">
        <v>1111</v>
      </c>
      <c r="C330" s="92">
        <v>2.5261042E8</v>
      </c>
      <c r="D330" s="94" t="s">
        <v>479</v>
      </c>
      <c r="E330" s="92" t="s">
        <v>784</v>
      </c>
    </row>
    <row r="331" ht="15.75" customHeight="1">
      <c r="A331" s="92">
        <v>39.0</v>
      </c>
      <c r="B331" s="92" t="s">
        <v>1112</v>
      </c>
      <c r="C331" s="92">
        <v>2.52610421E8</v>
      </c>
      <c r="D331" s="94" t="s">
        <v>478</v>
      </c>
      <c r="E331" s="92" t="s">
        <v>784</v>
      </c>
    </row>
    <row r="332" ht="15.75" customHeight="1">
      <c r="A332" s="92">
        <v>40.0</v>
      </c>
      <c r="B332" s="92" t="s">
        <v>1113</v>
      </c>
      <c r="C332" s="92">
        <v>2.52610444E8</v>
      </c>
      <c r="D332" s="94" t="s">
        <v>480</v>
      </c>
      <c r="E332" s="92" t="s">
        <v>784</v>
      </c>
    </row>
    <row r="333" ht="15.75" customHeight="1">
      <c r="A333" s="92">
        <v>41.0</v>
      </c>
      <c r="B333" s="92" t="s">
        <v>1114</v>
      </c>
      <c r="C333" s="92">
        <v>2.52610445E8</v>
      </c>
      <c r="D333" s="94" t="s">
        <v>481</v>
      </c>
      <c r="E333" s="92" t="s">
        <v>784</v>
      </c>
    </row>
    <row r="334" ht="15.75" customHeight="1">
      <c r="A334" s="92">
        <v>42.0</v>
      </c>
      <c r="B334" s="92" t="s">
        <v>1115</v>
      </c>
      <c r="C334" s="92">
        <v>2.52610463E8</v>
      </c>
      <c r="D334" s="94" t="s">
        <v>269</v>
      </c>
      <c r="E334" s="92" t="s">
        <v>782</v>
      </c>
    </row>
    <row r="335" ht="15.75" customHeight="1">
      <c r="A335" s="92">
        <v>43.0</v>
      </c>
      <c r="B335" s="92" t="s">
        <v>1116</v>
      </c>
      <c r="C335" s="92">
        <v>2.5261047E8</v>
      </c>
      <c r="D335" s="94" t="s">
        <v>238</v>
      </c>
      <c r="E335" s="92" t="s">
        <v>782</v>
      </c>
    </row>
    <row r="336" ht="15.75" customHeight="1">
      <c r="A336" s="92">
        <v>44.0</v>
      </c>
      <c r="B336" s="92" t="s">
        <v>1117</v>
      </c>
      <c r="C336" s="92">
        <v>2.526105E8</v>
      </c>
      <c r="D336" s="94" t="s">
        <v>270</v>
      </c>
      <c r="E336" s="92" t="s">
        <v>782</v>
      </c>
    </row>
    <row r="337" ht="15.75" customHeight="1">
      <c r="A337" s="92">
        <v>45.0</v>
      </c>
      <c r="B337" s="92" t="s">
        <v>1118</v>
      </c>
      <c r="C337" s="92">
        <v>2.52610522E8</v>
      </c>
      <c r="D337" s="94" t="s">
        <v>482</v>
      </c>
      <c r="E337" s="92" t="s">
        <v>784</v>
      </c>
    </row>
    <row r="338" ht="15.75" customHeight="1">
      <c r="A338" s="92">
        <v>46.0</v>
      </c>
      <c r="B338" s="92" t="s">
        <v>1119</v>
      </c>
      <c r="C338" s="92">
        <v>2.52610536E8</v>
      </c>
      <c r="D338" s="94" t="s">
        <v>483</v>
      </c>
      <c r="E338" s="92" t="s">
        <v>784</v>
      </c>
    </row>
    <row r="339" ht="15.75" customHeight="1">
      <c r="A339" s="92">
        <v>47.0</v>
      </c>
      <c r="B339" s="92" t="s">
        <v>1120</v>
      </c>
      <c r="C339" s="92">
        <v>2.52610548E8</v>
      </c>
      <c r="D339" s="94" t="s">
        <v>484</v>
      </c>
      <c r="E339" s="92" t="s">
        <v>784</v>
      </c>
    </row>
    <row r="340" ht="15.75" customHeight="1">
      <c r="A340" s="92">
        <v>48.0</v>
      </c>
      <c r="B340" s="92" t="s">
        <v>1121</v>
      </c>
      <c r="C340" s="92">
        <v>2.52610558E8</v>
      </c>
      <c r="D340" s="94" t="s">
        <v>271</v>
      </c>
      <c r="E340" s="92" t="s">
        <v>782</v>
      </c>
    </row>
    <row r="341" ht="15.75" customHeight="1">
      <c r="A341" s="71"/>
      <c r="B341" s="71"/>
      <c r="C341" s="71"/>
      <c r="D341" s="71"/>
      <c r="E341" s="71"/>
    </row>
    <row r="342" ht="15.75" customHeight="1">
      <c r="A342" s="71"/>
      <c r="B342" s="71"/>
      <c r="C342" s="71"/>
      <c r="D342" s="94" t="s">
        <v>1368</v>
      </c>
      <c r="E342" s="92">
        <f>COUNTIF(E294:E340,"P")</f>
        <v>30</v>
      </c>
    </row>
    <row r="343" ht="15.75" customHeight="1">
      <c r="A343" s="71"/>
      <c r="B343" s="71"/>
      <c r="C343" s="71"/>
      <c r="D343" s="94" t="s">
        <v>1369</v>
      </c>
      <c r="E343" s="92">
        <f>COUNTIF(E294:E340,"L")</f>
        <v>17</v>
      </c>
    </row>
    <row r="344" ht="15.75" customHeight="1">
      <c r="A344" s="71"/>
      <c r="B344" s="71"/>
      <c r="C344" s="71"/>
      <c r="D344" s="71"/>
      <c r="E344" s="71"/>
    </row>
    <row r="345" ht="15.75" customHeight="1">
      <c r="A345" s="71"/>
      <c r="B345" s="71"/>
      <c r="C345" s="71"/>
      <c r="D345" s="71"/>
      <c r="E345" s="71"/>
    </row>
    <row r="346" ht="15.75" customHeight="1">
      <c r="A346" s="71" t="s">
        <v>1377</v>
      </c>
      <c r="B346" s="71"/>
      <c r="C346" s="71"/>
      <c r="D346" s="71"/>
      <c r="E346" s="71" t="s">
        <v>63</v>
      </c>
    </row>
    <row r="347" ht="15.75" customHeight="1">
      <c r="A347" s="95" t="s">
        <v>775</v>
      </c>
      <c r="B347" s="95" t="s">
        <v>776</v>
      </c>
      <c r="C347" s="95" t="s">
        <v>777</v>
      </c>
      <c r="D347" s="95" t="s">
        <v>219</v>
      </c>
      <c r="E347" s="95" t="s">
        <v>778</v>
      </c>
    </row>
    <row r="348" ht="15.75" customHeight="1">
      <c r="A348" s="92">
        <v>1.0</v>
      </c>
      <c r="B348" s="92" t="s">
        <v>1122</v>
      </c>
      <c r="C348" s="92">
        <v>2.52610003E8</v>
      </c>
      <c r="D348" s="94" t="s">
        <v>222</v>
      </c>
      <c r="E348" s="92" t="s">
        <v>782</v>
      </c>
    </row>
    <row r="349" ht="15.75" customHeight="1">
      <c r="A349" s="92">
        <v>2.0</v>
      </c>
      <c r="B349" s="92" t="s">
        <v>1123</v>
      </c>
      <c r="C349" s="92">
        <v>2.52610019E8</v>
      </c>
      <c r="D349" s="94" t="s">
        <v>224</v>
      </c>
      <c r="E349" s="92" t="s">
        <v>782</v>
      </c>
    </row>
    <row r="350" ht="15.75" customHeight="1">
      <c r="A350" s="92">
        <v>3.0</v>
      </c>
      <c r="B350" s="92" t="s">
        <v>1124</v>
      </c>
      <c r="C350" s="92">
        <v>2.52610027E8</v>
      </c>
      <c r="D350" s="94" t="s">
        <v>614</v>
      </c>
      <c r="E350" s="92" t="s">
        <v>784</v>
      </c>
    </row>
    <row r="351" ht="15.75" customHeight="1">
      <c r="A351" s="92">
        <v>4.0</v>
      </c>
      <c r="B351" s="92" t="s">
        <v>1125</v>
      </c>
      <c r="C351" s="92">
        <v>2.52610071E8</v>
      </c>
      <c r="D351" s="94" t="s">
        <v>615</v>
      </c>
      <c r="E351" s="92" t="s">
        <v>784</v>
      </c>
    </row>
    <row r="352" ht="15.75" customHeight="1">
      <c r="A352" s="92">
        <v>5.0</v>
      </c>
      <c r="B352" s="92" t="s">
        <v>1126</v>
      </c>
      <c r="C352" s="92">
        <v>2.52610073E8</v>
      </c>
      <c r="D352" s="94" t="s">
        <v>616</v>
      </c>
      <c r="E352" s="92" t="s">
        <v>784</v>
      </c>
    </row>
    <row r="353" ht="15.75" customHeight="1">
      <c r="A353" s="92">
        <v>6.0</v>
      </c>
      <c r="B353" s="92" t="s">
        <v>1127</v>
      </c>
      <c r="C353" s="92">
        <v>2.52610078E8</v>
      </c>
      <c r="D353" s="94" t="s">
        <v>240</v>
      </c>
      <c r="E353" s="92" t="s">
        <v>782</v>
      </c>
    </row>
    <row r="354" ht="15.75" customHeight="1">
      <c r="A354" s="92">
        <v>7.0</v>
      </c>
      <c r="B354" s="92" t="s">
        <v>1128</v>
      </c>
      <c r="C354" s="92">
        <v>2.52610086E8</v>
      </c>
      <c r="D354" s="94" t="s">
        <v>617</v>
      </c>
      <c r="E354" s="92" t="s">
        <v>784</v>
      </c>
    </row>
    <row r="355" ht="15.75" customHeight="1">
      <c r="A355" s="92">
        <v>8.0</v>
      </c>
      <c r="B355" s="92" t="s">
        <v>1129</v>
      </c>
      <c r="C355" s="92">
        <v>2.52610092E8</v>
      </c>
      <c r="D355" s="94" t="s">
        <v>241</v>
      </c>
      <c r="E355" s="92" t="s">
        <v>782</v>
      </c>
    </row>
    <row r="356" ht="15.75" customHeight="1">
      <c r="A356" s="92">
        <v>9.0</v>
      </c>
      <c r="B356" s="92" t="s">
        <v>1130</v>
      </c>
      <c r="C356" s="92">
        <v>2.52610095E8</v>
      </c>
      <c r="D356" s="94" t="s">
        <v>618</v>
      </c>
      <c r="E356" s="92" t="s">
        <v>784</v>
      </c>
    </row>
    <row r="357" ht="15.75" customHeight="1">
      <c r="A357" s="92">
        <v>10.0</v>
      </c>
      <c r="B357" s="92" t="s">
        <v>1131</v>
      </c>
      <c r="C357" s="92">
        <v>2.52610117E8</v>
      </c>
      <c r="D357" s="94" t="s">
        <v>619</v>
      </c>
      <c r="E357" s="92" t="s">
        <v>784</v>
      </c>
    </row>
    <row r="358" ht="15.75" customHeight="1">
      <c r="A358" s="92">
        <v>11.0</v>
      </c>
      <c r="B358" s="92" t="s">
        <v>1132</v>
      </c>
      <c r="C358" s="92">
        <v>2.52610133E8</v>
      </c>
      <c r="D358" s="94" t="s">
        <v>620</v>
      </c>
      <c r="E358" s="92" t="s">
        <v>784</v>
      </c>
    </row>
    <row r="359" ht="15.75" customHeight="1">
      <c r="A359" s="92">
        <v>12.0</v>
      </c>
      <c r="B359" s="92" t="s">
        <v>1133</v>
      </c>
      <c r="C359" s="92">
        <v>2.52610135E8</v>
      </c>
      <c r="D359" s="94" t="s">
        <v>242</v>
      </c>
      <c r="E359" s="92" t="s">
        <v>782</v>
      </c>
    </row>
    <row r="360" ht="15.75" customHeight="1">
      <c r="A360" s="92">
        <v>13.0</v>
      </c>
      <c r="B360" s="92" t="s">
        <v>1134</v>
      </c>
      <c r="C360" s="92">
        <v>2.52610146E8</v>
      </c>
      <c r="D360" s="94" t="s">
        <v>621</v>
      </c>
      <c r="E360" s="92" t="s">
        <v>784</v>
      </c>
    </row>
    <row r="361" ht="15.75" customHeight="1">
      <c r="A361" s="92">
        <v>14.0</v>
      </c>
      <c r="B361" s="92" t="s">
        <v>1135</v>
      </c>
      <c r="C361" s="92">
        <v>2.52610178E8</v>
      </c>
      <c r="D361" s="94" t="s">
        <v>622</v>
      </c>
      <c r="E361" s="92" t="s">
        <v>784</v>
      </c>
    </row>
    <row r="362" ht="15.75" customHeight="1">
      <c r="A362" s="92">
        <v>15.0</v>
      </c>
      <c r="B362" s="92" t="s">
        <v>1136</v>
      </c>
      <c r="C362" s="92">
        <v>2.52610211E8</v>
      </c>
      <c r="D362" s="94" t="s">
        <v>227</v>
      </c>
      <c r="E362" s="92" t="s">
        <v>782</v>
      </c>
    </row>
    <row r="363" ht="15.75" customHeight="1">
      <c r="A363" s="92">
        <v>16.0</v>
      </c>
      <c r="B363" s="92" t="s">
        <v>1137</v>
      </c>
      <c r="C363" s="92">
        <v>2.52610212E8</v>
      </c>
      <c r="D363" s="94" t="s">
        <v>623</v>
      </c>
      <c r="E363" s="92" t="s">
        <v>784</v>
      </c>
    </row>
    <row r="364" ht="15.75" customHeight="1">
      <c r="A364" s="92">
        <v>17.0</v>
      </c>
      <c r="B364" s="92" t="s">
        <v>1138</v>
      </c>
      <c r="C364" s="92">
        <v>2.5261022E8</v>
      </c>
      <c r="D364" s="94" t="s">
        <v>624</v>
      </c>
      <c r="E364" s="92" t="s">
        <v>784</v>
      </c>
    </row>
    <row r="365" ht="15.75" customHeight="1">
      <c r="A365" s="92">
        <v>18.0</v>
      </c>
      <c r="B365" s="92" t="s">
        <v>1139</v>
      </c>
      <c r="C365" s="92">
        <v>2.52610231E8</v>
      </c>
      <c r="D365" s="94" t="s">
        <v>243</v>
      </c>
      <c r="E365" s="92" t="s">
        <v>782</v>
      </c>
    </row>
    <row r="366" ht="15.75" customHeight="1">
      <c r="A366" s="92">
        <v>19.0</v>
      </c>
      <c r="B366" s="92" t="s">
        <v>1140</v>
      </c>
      <c r="C366" s="92">
        <v>2.52610232E8</v>
      </c>
      <c r="D366" s="94" t="s">
        <v>244</v>
      </c>
      <c r="E366" s="92" t="s">
        <v>782</v>
      </c>
    </row>
    <row r="367" ht="15.75" customHeight="1">
      <c r="A367" s="92">
        <v>20.0</v>
      </c>
      <c r="B367" s="92" t="s">
        <v>1141</v>
      </c>
      <c r="C367" s="92">
        <v>2.52610236E8</v>
      </c>
      <c r="D367" s="94" t="s">
        <v>625</v>
      </c>
      <c r="E367" s="92" t="s">
        <v>784</v>
      </c>
    </row>
    <row r="368" ht="15.75" customHeight="1">
      <c r="A368" s="92">
        <v>21.0</v>
      </c>
      <c r="B368" s="92" t="s">
        <v>1142</v>
      </c>
      <c r="C368" s="92">
        <v>2.5261024E8</v>
      </c>
      <c r="D368" s="94" t="s">
        <v>245</v>
      </c>
      <c r="E368" s="92" t="s">
        <v>782</v>
      </c>
    </row>
    <row r="369" ht="15.75" customHeight="1">
      <c r="A369" s="92">
        <v>22.0</v>
      </c>
      <c r="B369" s="92" t="s">
        <v>1143</v>
      </c>
      <c r="C369" s="92">
        <v>2.52610248E8</v>
      </c>
      <c r="D369" s="94" t="s">
        <v>626</v>
      </c>
      <c r="E369" s="92" t="s">
        <v>784</v>
      </c>
    </row>
    <row r="370" ht="15.75" customHeight="1">
      <c r="A370" s="92">
        <v>23.0</v>
      </c>
      <c r="B370" s="92" t="s">
        <v>1144</v>
      </c>
      <c r="C370" s="92">
        <v>2.52610256E8</v>
      </c>
      <c r="D370" s="94" t="s">
        <v>458</v>
      </c>
      <c r="E370" s="92" t="s">
        <v>784</v>
      </c>
    </row>
    <row r="371" ht="15.75" customHeight="1">
      <c r="A371" s="92">
        <v>24.0</v>
      </c>
      <c r="B371" s="92" t="s">
        <v>1145</v>
      </c>
      <c r="C371" s="92">
        <v>2.52610263E8</v>
      </c>
      <c r="D371" s="94" t="s">
        <v>459</v>
      </c>
      <c r="E371" s="92" t="s">
        <v>784</v>
      </c>
    </row>
    <row r="372" ht="15.75" customHeight="1">
      <c r="A372" s="92">
        <v>25.0</v>
      </c>
      <c r="B372" s="92" t="s">
        <v>1146</v>
      </c>
      <c r="C372" s="92">
        <v>2.52610297E8</v>
      </c>
      <c r="D372" s="94" t="s">
        <v>460</v>
      </c>
      <c r="E372" s="92" t="s">
        <v>784</v>
      </c>
    </row>
    <row r="373" ht="15.75" customHeight="1">
      <c r="A373" s="92">
        <v>26.0</v>
      </c>
      <c r="B373" s="92" t="s">
        <v>1147</v>
      </c>
      <c r="C373" s="92">
        <v>2.52610325E8</v>
      </c>
      <c r="D373" s="94" t="s">
        <v>246</v>
      </c>
      <c r="E373" s="92" t="s">
        <v>782</v>
      </c>
    </row>
    <row r="374" ht="15.75" customHeight="1">
      <c r="A374" s="92">
        <v>27.0</v>
      </c>
      <c r="B374" s="92" t="s">
        <v>1148</v>
      </c>
      <c r="C374" s="92">
        <v>2.52610337E8</v>
      </c>
      <c r="D374" s="94" t="s">
        <v>247</v>
      </c>
      <c r="E374" s="92" t="s">
        <v>782</v>
      </c>
    </row>
    <row r="375" ht="15.75" customHeight="1">
      <c r="A375" s="92">
        <v>28.0</v>
      </c>
      <c r="B375" s="92" t="s">
        <v>1149</v>
      </c>
      <c r="C375" s="92">
        <v>2.52610341E8</v>
      </c>
      <c r="D375" s="94" t="s">
        <v>248</v>
      </c>
      <c r="E375" s="92" t="s">
        <v>782</v>
      </c>
    </row>
    <row r="376" ht="15.75" customHeight="1">
      <c r="A376" s="92">
        <v>29.0</v>
      </c>
      <c r="B376" s="92" t="s">
        <v>1150</v>
      </c>
      <c r="C376" s="92">
        <v>2.52610344E8</v>
      </c>
      <c r="D376" s="94" t="s">
        <v>249</v>
      </c>
      <c r="E376" s="92" t="s">
        <v>782</v>
      </c>
    </row>
    <row r="377" ht="15.75" customHeight="1">
      <c r="A377" s="92">
        <v>30.0</v>
      </c>
      <c r="B377" s="92" t="s">
        <v>1151</v>
      </c>
      <c r="C377" s="92">
        <v>2.52610347E8</v>
      </c>
      <c r="D377" s="94" t="s">
        <v>250</v>
      </c>
      <c r="E377" s="92" t="s">
        <v>782</v>
      </c>
    </row>
    <row r="378" ht="15.75" customHeight="1">
      <c r="A378" s="92">
        <v>31.0</v>
      </c>
      <c r="B378" s="92" t="s">
        <v>1152</v>
      </c>
      <c r="C378" s="92">
        <v>2.52610358E8</v>
      </c>
      <c r="D378" s="94" t="s">
        <v>251</v>
      </c>
      <c r="E378" s="92" t="s">
        <v>782</v>
      </c>
    </row>
    <row r="379" ht="15.75" customHeight="1">
      <c r="A379" s="92">
        <v>32.0</v>
      </c>
      <c r="B379" s="92" t="s">
        <v>1153</v>
      </c>
      <c r="C379" s="92">
        <v>2.52610368E8</v>
      </c>
      <c r="D379" s="94" t="s">
        <v>252</v>
      </c>
      <c r="E379" s="92" t="s">
        <v>782</v>
      </c>
    </row>
    <row r="380" ht="15.75" customHeight="1">
      <c r="A380" s="92">
        <v>33.0</v>
      </c>
      <c r="B380" s="92" t="s">
        <v>1154</v>
      </c>
      <c r="C380" s="92">
        <v>2.52610372E8</v>
      </c>
      <c r="D380" s="94" t="s">
        <v>253</v>
      </c>
      <c r="E380" s="92" t="s">
        <v>782</v>
      </c>
    </row>
    <row r="381" ht="15.75" customHeight="1">
      <c r="A381" s="92">
        <v>34.0</v>
      </c>
      <c r="B381" s="92" t="s">
        <v>1155</v>
      </c>
      <c r="C381" s="92">
        <v>2.52610397E8</v>
      </c>
      <c r="D381" s="94" t="s">
        <v>254</v>
      </c>
      <c r="E381" s="92" t="s">
        <v>782</v>
      </c>
    </row>
    <row r="382" ht="15.75" customHeight="1">
      <c r="A382" s="92">
        <v>35.0</v>
      </c>
      <c r="B382" s="92" t="s">
        <v>1156</v>
      </c>
      <c r="C382" s="92">
        <v>2.52610398E8</v>
      </c>
      <c r="D382" s="94" t="s">
        <v>461</v>
      </c>
      <c r="E382" s="92" t="s">
        <v>784</v>
      </c>
    </row>
    <row r="383" ht="15.75" customHeight="1">
      <c r="A383" s="92">
        <v>36.0</v>
      </c>
      <c r="B383" s="92" t="s">
        <v>1157</v>
      </c>
      <c r="C383" s="92">
        <v>2.52610425E8</v>
      </c>
      <c r="D383" s="94" t="s">
        <v>462</v>
      </c>
      <c r="E383" s="92" t="s">
        <v>784</v>
      </c>
    </row>
    <row r="384" ht="15.75" customHeight="1">
      <c r="A384" s="92">
        <v>37.0</v>
      </c>
      <c r="B384" s="92" t="s">
        <v>1158</v>
      </c>
      <c r="C384" s="92">
        <v>2.52610441E8</v>
      </c>
      <c r="D384" s="94" t="s">
        <v>463</v>
      </c>
      <c r="E384" s="92" t="s">
        <v>784</v>
      </c>
    </row>
    <row r="385" ht="15.75" customHeight="1">
      <c r="A385" s="92">
        <v>38.0</v>
      </c>
      <c r="B385" s="92" t="s">
        <v>1159</v>
      </c>
      <c r="C385" s="92">
        <v>2.52610457E8</v>
      </c>
      <c r="D385" s="94" t="s">
        <v>464</v>
      </c>
      <c r="E385" s="92" t="s">
        <v>784</v>
      </c>
    </row>
    <row r="386" ht="15.75" customHeight="1">
      <c r="A386" s="92">
        <v>39.0</v>
      </c>
      <c r="B386" s="92" t="s">
        <v>1160</v>
      </c>
      <c r="C386" s="92">
        <v>2.5261046E8</v>
      </c>
      <c r="D386" s="94" t="s">
        <v>255</v>
      </c>
      <c r="E386" s="92" t="s">
        <v>782</v>
      </c>
    </row>
    <row r="387" ht="15.75" customHeight="1">
      <c r="A387" s="92">
        <v>40.0</v>
      </c>
      <c r="B387" s="92" t="s">
        <v>1161</v>
      </c>
      <c r="C387" s="92">
        <v>2.52610465E8</v>
      </c>
      <c r="D387" s="94" t="s">
        <v>465</v>
      </c>
      <c r="E387" s="92" t="s">
        <v>784</v>
      </c>
    </row>
    <row r="388" ht="15.75" customHeight="1">
      <c r="A388" s="92">
        <v>41.0</v>
      </c>
      <c r="B388" s="92" t="s">
        <v>1162</v>
      </c>
      <c r="C388" s="92">
        <v>2.52610473E8</v>
      </c>
      <c r="D388" s="94" t="s">
        <v>441</v>
      </c>
      <c r="E388" s="92" t="s">
        <v>784</v>
      </c>
    </row>
    <row r="389" ht="15.75" customHeight="1">
      <c r="A389" s="92">
        <v>42.0</v>
      </c>
      <c r="B389" s="92" t="s">
        <v>1163</v>
      </c>
      <c r="C389" s="92">
        <v>2.52610487E8</v>
      </c>
      <c r="D389" s="94" t="s">
        <v>256</v>
      </c>
      <c r="E389" s="92" t="s">
        <v>782</v>
      </c>
    </row>
    <row r="390" ht="15.75" customHeight="1">
      <c r="A390" s="92">
        <v>43.0</v>
      </c>
      <c r="B390" s="92" t="s">
        <v>1164</v>
      </c>
      <c r="C390" s="92">
        <v>2.52610511E8</v>
      </c>
      <c r="D390" s="94" t="s">
        <v>466</v>
      </c>
      <c r="E390" s="92" t="s">
        <v>784</v>
      </c>
    </row>
    <row r="391" ht="15.75" customHeight="1">
      <c r="A391" s="92">
        <v>44.0</v>
      </c>
      <c r="B391" s="92" t="s">
        <v>1165</v>
      </c>
      <c r="C391" s="92">
        <v>2.5261053E8</v>
      </c>
      <c r="D391" s="94" t="s">
        <v>467</v>
      </c>
      <c r="E391" s="92" t="s">
        <v>784</v>
      </c>
    </row>
    <row r="392" ht="15.75" customHeight="1">
      <c r="A392" s="92">
        <v>45.0</v>
      </c>
      <c r="B392" s="92" t="s">
        <v>1166</v>
      </c>
      <c r="C392" s="92">
        <v>2.52610537E8</v>
      </c>
      <c r="D392" s="94" t="s">
        <v>468</v>
      </c>
      <c r="E392" s="92" t="s">
        <v>784</v>
      </c>
    </row>
    <row r="393" ht="15.75" customHeight="1">
      <c r="A393" s="92">
        <v>46.0</v>
      </c>
      <c r="B393" s="92" t="s">
        <v>1167</v>
      </c>
      <c r="C393" s="92">
        <v>2.52610542E8</v>
      </c>
      <c r="D393" s="94" t="s">
        <v>469</v>
      </c>
      <c r="E393" s="92" t="s">
        <v>784</v>
      </c>
    </row>
    <row r="394" ht="15.75" customHeight="1">
      <c r="A394" s="71"/>
      <c r="B394" s="71"/>
      <c r="C394" s="71"/>
      <c r="D394" s="71"/>
      <c r="E394" s="71"/>
    </row>
    <row r="395" ht="15.75" customHeight="1">
      <c r="A395" s="71"/>
      <c r="B395" s="71"/>
      <c r="C395" s="71"/>
      <c r="D395" s="94" t="s">
        <v>1368</v>
      </c>
      <c r="E395" s="92">
        <f>COUNTIF(E348:E393,"P")</f>
        <v>26</v>
      </c>
    </row>
    <row r="396" ht="15.75" customHeight="1">
      <c r="A396" s="71"/>
      <c r="B396" s="71"/>
      <c r="C396" s="71"/>
      <c r="D396" s="94" t="s">
        <v>1369</v>
      </c>
      <c r="E396" s="92">
        <f>COUNTIF(E347:E393,"L")</f>
        <v>20</v>
      </c>
    </row>
    <row r="397" ht="15.75" customHeight="1">
      <c r="A397" s="71"/>
      <c r="B397" s="71"/>
      <c r="C397" s="71"/>
      <c r="D397" s="71"/>
      <c r="E397" s="71"/>
    </row>
    <row r="398" ht="15.75" customHeight="1">
      <c r="A398" s="71"/>
      <c r="B398" s="71"/>
      <c r="C398" s="71"/>
      <c r="D398" s="71"/>
      <c r="E398" s="71"/>
    </row>
    <row r="399" ht="15.75" customHeight="1">
      <c r="A399" s="71" t="s">
        <v>1378</v>
      </c>
      <c r="B399" s="71"/>
      <c r="C399" s="71"/>
      <c r="D399" s="71"/>
      <c r="E399" s="71" t="s">
        <v>69</v>
      </c>
    </row>
    <row r="400" ht="15.75" customHeight="1">
      <c r="A400" s="95" t="s">
        <v>775</v>
      </c>
      <c r="B400" s="95" t="s">
        <v>776</v>
      </c>
      <c r="C400" s="95" t="s">
        <v>777</v>
      </c>
      <c r="D400" s="95" t="s">
        <v>219</v>
      </c>
      <c r="E400" s="95" t="s">
        <v>778</v>
      </c>
    </row>
    <row r="401" ht="15.75" customHeight="1">
      <c r="A401" s="92">
        <v>1.0</v>
      </c>
      <c r="B401" s="92" t="s">
        <v>1168</v>
      </c>
      <c r="C401" s="92">
        <v>2.52610001E8</v>
      </c>
      <c r="D401" s="94" t="s">
        <v>221</v>
      </c>
      <c r="E401" s="92" t="s">
        <v>782</v>
      </c>
    </row>
    <row r="402" ht="15.75" customHeight="1">
      <c r="A402" s="92">
        <v>2.0</v>
      </c>
      <c r="B402" s="92" t="s">
        <v>1169</v>
      </c>
      <c r="C402" s="92">
        <v>2.52610012E8</v>
      </c>
      <c r="D402" s="94" t="s">
        <v>396</v>
      </c>
      <c r="E402" s="92" t="s">
        <v>782</v>
      </c>
    </row>
    <row r="403" ht="15.75" customHeight="1">
      <c r="A403" s="92">
        <v>3.0</v>
      </c>
      <c r="B403" s="92" t="s">
        <v>1170</v>
      </c>
      <c r="C403" s="92">
        <v>2.52610014E8</v>
      </c>
      <c r="D403" s="94" t="s">
        <v>429</v>
      </c>
      <c r="E403" s="92" t="s">
        <v>784</v>
      </c>
    </row>
    <row r="404" ht="15.75" customHeight="1">
      <c r="A404" s="92">
        <v>4.0</v>
      </c>
      <c r="B404" s="92" t="s">
        <v>1171</v>
      </c>
      <c r="C404" s="92">
        <v>2.5261002E8</v>
      </c>
      <c r="D404" s="94" t="s">
        <v>397</v>
      </c>
      <c r="E404" s="92" t="s">
        <v>782</v>
      </c>
    </row>
    <row r="405" ht="15.75" customHeight="1">
      <c r="A405" s="92">
        <v>5.0</v>
      </c>
      <c r="B405" s="92" t="s">
        <v>1172</v>
      </c>
      <c r="C405" s="92">
        <v>2.52610032E8</v>
      </c>
      <c r="D405" s="94" t="s">
        <v>398</v>
      </c>
      <c r="E405" s="92" t="s">
        <v>782</v>
      </c>
    </row>
    <row r="406" ht="15.75" customHeight="1">
      <c r="A406" s="92">
        <v>6.0</v>
      </c>
      <c r="B406" s="92" t="s">
        <v>1173</v>
      </c>
      <c r="C406" s="92">
        <v>2.52610037E8</v>
      </c>
      <c r="D406" s="94" t="s">
        <v>750</v>
      </c>
      <c r="E406" s="92" t="s">
        <v>784</v>
      </c>
    </row>
    <row r="407" ht="15.75" customHeight="1">
      <c r="A407" s="92">
        <v>7.0</v>
      </c>
      <c r="B407" s="92" t="s">
        <v>1174</v>
      </c>
      <c r="C407" s="92">
        <v>2.52610054E8</v>
      </c>
      <c r="D407" s="94" t="s">
        <v>751</v>
      </c>
      <c r="E407" s="92" t="s">
        <v>784</v>
      </c>
    </row>
    <row r="408" ht="15.75" customHeight="1">
      <c r="A408" s="92">
        <v>8.0</v>
      </c>
      <c r="B408" s="92" t="s">
        <v>1175</v>
      </c>
      <c r="C408" s="92">
        <v>2.52610059E8</v>
      </c>
      <c r="D408" s="94" t="s">
        <v>399</v>
      </c>
      <c r="E408" s="92" t="s">
        <v>782</v>
      </c>
    </row>
    <row r="409" ht="15.75" customHeight="1">
      <c r="A409" s="92">
        <v>9.0</v>
      </c>
      <c r="B409" s="92" t="s">
        <v>1176</v>
      </c>
      <c r="C409" s="92">
        <v>2.52610089E8</v>
      </c>
      <c r="D409" s="94" t="s">
        <v>752</v>
      </c>
      <c r="E409" s="92" t="s">
        <v>784</v>
      </c>
    </row>
    <row r="410" ht="15.75" customHeight="1">
      <c r="A410" s="92">
        <v>10.0</v>
      </c>
      <c r="B410" s="92" t="s">
        <v>1177</v>
      </c>
      <c r="C410" s="92">
        <v>2.52610091E8</v>
      </c>
      <c r="D410" s="94" t="s">
        <v>753</v>
      </c>
      <c r="E410" s="92" t="s">
        <v>784</v>
      </c>
    </row>
    <row r="411" ht="15.75" customHeight="1">
      <c r="A411" s="92">
        <v>11.0</v>
      </c>
      <c r="B411" s="92" t="s">
        <v>1178</v>
      </c>
      <c r="C411" s="92">
        <v>2.52610099E8</v>
      </c>
      <c r="D411" s="94" t="s">
        <v>754</v>
      </c>
      <c r="E411" s="92" t="s">
        <v>784</v>
      </c>
    </row>
    <row r="412" ht="15.75" customHeight="1">
      <c r="A412" s="92">
        <v>12.0</v>
      </c>
      <c r="B412" s="92" t="s">
        <v>1179</v>
      </c>
      <c r="C412" s="92">
        <v>2.52610103E8</v>
      </c>
      <c r="D412" s="94" t="s">
        <v>755</v>
      </c>
      <c r="E412" s="92" t="s">
        <v>784</v>
      </c>
    </row>
    <row r="413" ht="15.75" customHeight="1">
      <c r="A413" s="92">
        <v>13.0</v>
      </c>
      <c r="B413" s="92" t="s">
        <v>1180</v>
      </c>
      <c r="C413" s="92">
        <v>2.52610119E8</v>
      </c>
      <c r="D413" s="94" t="s">
        <v>756</v>
      </c>
      <c r="E413" s="92" t="s">
        <v>784</v>
      </c>
    </row>
    <row r="414" ht="15.75" customHeight="1">
      <c r="A414" s="92">
        <v>14.0</v>
      </c>
      <c r="B414" s="92" t="s">
        <v>1181</v>
      </c>
      <c r="C414" s="92">
        <v>2.52610128E8</v>
      </c>
      <c r="D414" s="94" t="s">
        <v>400</v>
      </c>
      <c r="E414" s="92" t="s">
        <v>782</v>
      </c>
    </row>
    <row r="415" ht="15.75" customHeight="1">
      <c r="A415" s="92">
        <v>16.0</v>
      </c>
      <c r="B415" s="92" t="s">
        <v>1182</v>
      </c>
      <c r="C415" s="92">
        <v>2.52610165E8</v>
      </c>
      <c r="D415" s="94" t="s">
        <v>449</v>
      </c>
      <c r="E415" s="92" t="s">
        <v>784</v>
      </c>
    </row>
    <row r="416" ht="15.75" customHeight="1">
      <c r="A416" s="92">
        <v>17.0</v>
      </c>
      <c r="B416" s="92" t="s">
        <v>1183</v>
      </c>
      <c r="C416" s="92">
        <v>2.52610168E8</v>
      </c>
      <c r="D416" s="94" t="s">
        <v>757</v>
      </c>
      <c r="E416" s="92" t="s">
        <v>784</v>
      </c>
    </row>
    <row r="417" ht="15.75" customHeight="1">
      <c r="A417" s="92">
        <v>18.0</v>
      </c>
      <c r="B417" s="92" t="s">
        <v>1184</v>
      </c>
      <c r="C417" s="92">
        <v>2.52610169E8</v>
      </c>
      <c r="D417" s="94" t="s">
        <v>401</v>
      </c>
      <c r="E417" s="92" t="s">
        <v>782</v>
      </c>
    </row>
    <row r="418" ht="15.75" customHeight="1">
      <c r="A418" s="92">
        <v>19.0</v>
      </c>
      <c r="B418" s="92" t="s">
        <v>1185</v>
      </c>
      <c r="C418" s="92">
        <v>2.52610222E8</v>
      </c>
      <c r="D418" s="94" t="s">
        <v>758</v>
      </c>
      <c r="E418" s="92" t="s">
        <v>784</v>
      </c>
    </row>
    <row r="419" ht="15.75" customHeight="1">
      <c r="A419" s="92">
        <v>20.0</v>
      </c>
      <c r="B419" s="92" t="s">
        <v>1186</v>
      </c>
      <c r="C419" s="92">
        <v>2.52610226E8</v>
      </c>
      <c r="D419" s="94" t="s">
        <v>759</v>
      </c>
      <c r="E419" s="92" t="s">
        <v>784</v>
      </c>
    </row>
    <row r="420" ht="15.75" customHeight="1">
      <c r="A420" s="92">
        <v>21.0</v>
      </c>
      <c r="B420" s="92" t="s">
        <v>1187</v>
      </c>
      <c r="C420" s="92">
        <v>2.52610234E8</v>
      </c>
      <c r="D420" s="94" t="s">
        <v>760</v>
      </c>
      <c r="E420" s="92" t="s">
        <v>784</v>
      </c>
    </row>
    <row r="421" ht="15.75" customHeight="1">
      <c r="A421" s="92">
        <v>22.0</v>
      </c>
      <c r="B421" s="92" t="s">
        <v>1188</v>
      </c>
      <c r="C421" s="92">
        <v>2.52610235E8</v>
      </c>
      <c r="D421" s="94" t="s">
        <v>451</v>
      </c>
      <c r="E421" s="92" t="s">
        <v>784</v>
      </c>
    </row>
    <row r="422" ht="15.75" customHeight="1">
      <c r="A422" s="92">
        <v>24.0</v>
      </c>
      <c r="B422" s="92" t="s">
        <v>1189</v>
      </c>
      <c r="C422" s="92">
        <v>2.52610243E8</v>
      </c>
      <c r="D422" s="94" t="s">
        <v>402</v>
      </c>
      <c r="E422" s="92" t="s">
        <v>782</v>
      </c>
    </row>
    <row r="423" ht="15.75" customHeight="1">
      <c r="A423" s="92">
        <v>25.0</v>
      </c>
      <c r="B423" s="92" t="s">
        <v>1190</v>
      </c>
      <c r="C423" s="92">
        <v>2.52610251E8</v>
      </c>
      <c r="D423" s="94" t="s">
        <v>403</v>
      </c>
      <c r="E423" s="92" t="s">
        <v>782</v>
      </c>
    </row>
    <row r="424" ht="15.75" customHeight="1">
      <c r="A424" s="92">
        <v>26.0</v>
      </c>
      <c r="B424" s="92" t="s">
        <v>1191</v>
      </c>
      <c r="C424" s="92">
        <v>2.52610262E8</v>
      </c>
      <c r="D424" s="94" t="s">
        <v>761</v>
      </c>
      <c r="E424" s="92" t="s">
        <v>784</v>
      </c>
    </row>
    <row r="425" ht="15.75" customHeight="1">
      <c r="A425" s="92">
        <v>27.0</v>
      </c>
      <c r="B425" s="92" t="s">
        <v>1192</v>
      </c>
      <c r="C425" s="92">
        <v>2.52610272E8</v>
      </c>
      <c r="D425" s="94" t="s">
        <v>590</v>
      </c>
      <c r="E425" s="92" t="s">
        <v>784</v>
      </c>
    </row>
    <row r="426" ht="15.75" customHeight="1">
      <c r="A426" s="92">
        <v>28.0</v>
      </c>
      <c r="B426" s="92" t="s">
        <v>1193</v>
      </c>
      <c r="C426" s="92">
        <v>2.52610283E8</v>
      </c>
      <c r="D426" s="94" t="s">
        <v>591</v>
      </c>
      <c r="E426" s="92" t="s">
        <v>784</v>
      </c>
    </row>
    <row r="427" ht="15.75" customHeight="1">
      <c r="A427" s="92">
        <v>29.0</v>
      </c>
      <c r="B427" s="92" t="s">
        <v>1194</v>
      </c>
      <c r="C427" s="92">
        <v>2.52610305E8</v>
      </c>
      <c r="D427" s="94" t="s">
        <v>404</v>
      </c>
      <c r="E427" s="92" t="s">
        <v>782</v>
      </c>
    </row>
    <row r="428" ht="15.75" customHeight="1">
      <c r="A428" s="92">
        <v>30.0</v>
      </c>
      <c r="B428" s="92" t="s">
        <v>1195</v>
      </c>
      <c r="C428" s="92">
        <v>2.52610327E8</v>
      </c>
      <c r="D428" s="94" t="s">
        <v>405</v>
      </c>
      <c r="E428" s="92" t="s">
        <v>782</v>
      </c>
    </row>
    <row r="429" ht="15.75" customHeight="1">
      <c r="A429" s="92">
        <v>31.0</v>
      </c>
      <c r="B429" s="92" t="s">
        <v>1196</v>
      </c>
      <c r="C429" s="92">
        <v>2.52610335E8</v>
      </c>
      <c r="D429" s="94" t="s">
        <v>406</v>
      </c>
      <c r="E429" s="92" t="s">
        <v>782</v>
      </c>
    </row>
    <row r="430" ht="15.75" customHeight="1">
      <c r="A430" s="92">
        <v>32.0</v>
      </c>
      <c r="B430" s="92" t="s">
        <v>1197</v>
      </c>
      <c r="C430" s="92">
        <v>2.52610375E8</v>
      </c>
      <c r="D430" s="94" t="s">
        <v>235</v>
      </c>
      <c r="E430" s="92" t="s">
        <v>782</v>
      </c>
    </row>
    <row r="431" ht="15.75" customHeight="1">
      <c r="A431" s="92">
        <v>33.0</v>
      </c>
      <c r="B431" s="92" t="s">
        <v>1198</v>
      </c>
      <c r="C431" s="92">
        <v>2.52610396E8</v>
      </c>
      <c r="D431" s="94" t="s">
        <v>592</v>
      </c>
      <c r="E431" s="92" t="s">
        <v>784</v>
      </c>
    </row>
    <row r="432" ht="15.75" customHeight="1">
      <c r="A432" s="92">
        <v>34.0</v>
      </c>
      <c r="B432" s="92" t="s">
        <v>1199</v>
      </c>
      <c r="C432" s="92">
        <v>2.52610402E8</v>
      </c>
      <c r="D432" s="94" t="s">
        <v>407</v>
      </c>
      <c r="E432" s="92" t="s">
        <v>782</v>
      </c>
    </row>
    <row r="433" ht="15.75" customHeight="1">
      <c r="A433" s="92">
        <v>35.0</v>
      </c>
      <c r="B433" s="92" t="s">
        <v>1200</v>
      </c>
      <c r="C433" s="92">
        <v>2.52610403E8</v>
      </c>
      <c r="D433" s="94" t="s">
        <v>593</v>
      </c>
      <c r="E433" s="92" t="s">
        <v>784</v>
      </c>
    </row>
    <row r="434" ht="15.75" customHeight="1">
      <c r="A434" s="92">
        <v>37.0</v>
      </c>
      <c r="B434" s="92" t="s">
        <v>1201</v>
      </c>
      <c r="C434" s="92">
        <v>2.52610443E8</v>
      </c>
      <c r="D434" s="94" t="s">
        <v>594</v>
      </c>
      <c r="E434" s="92" t="s">
        <v>784</v>
      </c>
    </row>
    <row r="435" ht="15.75" customHeight="1">
      <c r="A435" s="92">
        <v>38.0</v>
      </c>
      <c r="B435" s="92" t="s">
        <v>1202</v>
      </c>
      <c r="C435" s="92">
        <v>2.52610459E8</v>
      </c>
      <c r="D435" s="94" t="s">
        <v>408</v>
      </c>
      <c r="E435" s="92" t="s">
        <v>782</v>
      </c>
    </row>
    <row r="436" ht="15.75" customHeight="1">
      <c r="A436" s="92">
        <v>39.0</v>
      </c>
      <c r="B436" s="92" t="s">
        <v>1203</v>
      </c>
      <c r="C436" s="92">
        <v>2.52610462E8</v>
      </c>
      <c r="D436" s="94" t="s">
        <v>595</v>
      </c>
      <c r="E436" s="92" t="s">
        <v>784</v>
      </c>
    </row>
    <row r="437" ht="15.75" customHeight="1">
      <c r="A437" s="92">
        <v>40.0</v>
      </c>
      <c r="B437" s="92" t="s">
        <v>1204</v>
      </c>
      <c r="C437" s="92">
        <v>2.52610469E8</v>
      </c>
      <c r="D437" s="94" t="s">
        <v>409</v>
      </c>
      <c r="E437" s="92" t="s">
        <v>782</v>
      </c>
    </row>
    <row r="438" ht="15.75" customHeight="1">
      <c r="A438" s="92">
        <v>41.0</v>
      </c>
      <c r="B438" s="92" t="s">
        <v>1205</v>
      </c>
      <c r="C438" s="92">
        <v>2.52610493E8</v>
      </c>
      <c r="D438" s="94" t="s">
        <v>596</v>
      </c>
      <c r="E438" s="92" t="s">
        <v>784</v>
      </c>
    </row>
    <row r="439" ht="15.75" customHeight="1">
      <c r="A439" s="92">
        <v>42.0</v>
      </c>
      <c r="B439" s="92" t="s">
        <v>1206</v>
      </c>
      <c r="C439" s="92">
        <v>2.52610509E8</v>
      </c>
      <c r="D439" s="94" t="s">
        <v>597</v>
      </c>
      <c r="E439" s="92" t="s">
        <v>784</v>
      </c>
    </row>
    <row r="440" ht="15.75" customHeight="1">
      <c r="A440" s="92">
        <v>43.0</v>
      </c>
      <c r="B440" s="92" t="s">
        <v>1207</v>
      </c>
      <c r="C440" s="92">
        <v>2.5261051E8</v>
      </c>
      <c r="D440" s="94" t="s">
        <v>598</v>
      </c>
      <c r="E440" s="92" t="s">
        <v>784</v>
      </c>
    </row>
    <row r="441" ht="15.75" customHeight="1">
      <c r="A441" s="92">
        <v>44.0</v>
      </c>
      <c r="B441" s="92" t="s">
        <v>1208</v>
      </c>
      <c r="C441" s="92">
        <v>2.52610521E8</v>
      </c>
      <c r="D441" s="94" t="s">
        <v>599</v>
      </c>
      <c r="E441" s="92" t="s">
        <v>784</v>
      </c>
    </row>
    <row r="442" ht="15.75" customHeight="1">
      <c r="A442" s="92">
        <v>45.0</v>
      </c>
      <c r="B442" s="92" t="s">
        <v>1209</v>
      </c>
      <c r="C442" s="92">
        <v>2.52610526E8</v>
      </c>
      <c r="D442" s="94" t="s">
        <v>600</v>
      </c>
      <c r="E442" s="92" t="s">
        <v>784</v>
      </c>
    </row>
    <row r="443" ht="15.75" customHeight="1">
      <c r="A443" s="71"/>
      <c r="B443" s="71"/>
      <c r="C443" s="71"/>
      <c r="D443" s="71"/>
      <c r="E443" s="71"/>
    </row>
    <row r="444" ht="15.75" customHeight="1">
      <c r="A444" s="71"/>
      <c r="B444" s="71"/>
      <c r="C444" s="71"/>
      <c r="D444" s="94" t="s">
        <v>1368</v>
      </c>
      <c r="E444" s="92">
        <f>COUNTIF(E401:E442,"P")</f>
        <v>26</v>
      </c>
    </row>
    <row r="445" ht="15.75" customHeight="1">
      <c r="A445" s="71"/>
      <c r="B445" s="71"/>
      <c r="C445" s="71"/>
      <c r="D445" s="94" t="s">
        <v>1369</v>
      </c>
      <c r="E445" s="92">
        <f>COUNTIF(E401:E442,"L")</f>
        <v>16</v>
      </c>
    </row>
    <row r="446" ht="15.75" customHeight="1">
      <c r="A446" s="71"/>
      <c r="B446" s="71"/>
      <c r="C446" s="71"/>
      <c r="D446" s="71"/>
      <c r="E446" s="71"/>
    </row>
    <row r="447" ht="15.75" customHeight="1">
      <c r="A447" s="71"/>
      <c r="B447" s="71"/>
      <c r="C447" s="71"/>
      <c r="D447" s="71"/>
      <c r="E447" s="71"/>
    </row>
    <row r="448" ht="15.75" customHeight="1">
      <c r="A448" s="71" t="s">
        <v>1379</v>
      </c>
      <c r="B448" s="71"/>
      <c r="C448" s="71"/>
      <c r="D448" s="71"/>
      <c r="E448" s="71" t="s">
        <v>74</v>
      </c>
    </row>
    <row r="449" ht="15.75" customHeight="1">
      <c r="A449" s="95" t="s">
        <v>775</v>
      </c>
      <c r="B449" s="95" t="s">
        <v>776</v>
      </c>
      <c r="C449" s="95" t="s">
        <v>777</v>
      </c>
      <c r="D449" s="95" t="s">
        <v>219</v>
      </c>
      <c r="E449" s="95" t="s">
        <v>778</v>
      </c>
    </row>
    <row r="450" ht="15.75" customHeight="1">
      <c r="A450" s="92">
        <v>1.0</v>
      </c>
      <c r="B450" s="92" t="s">
        <v>1210</v>
      </c>
      <c r="C450" s="92">
        <v>2.5261001E8</v>
      </c>
      <c r="D450" s="94" t="s">
        <v>737</v>
      </c>
      <c r="E450" s="92" t="s">
        <v>784</v>
      </c>
    </row>
    <row r="451" ht="15.75" customHeight="1">
      <c r="A451" s="92">
        <v>2.0</v>
      </c>
      <c r="B451" s="92" t="s">
        <v>1211</v>
      </c>
      <c r="C451" s="92">
        <v>2.52610031E8</v>
      </c>
      <c r="D451" s="94" t="s">
        <v>738</v>
      </c>
      <c r="E451" s="92" t="s">
        <v>784</v>
      </c>
    </row>
    <row r="452" ht="15.75" customHeight="1">
      <c r="A452" s="92">
        <v>3.0</v>
      </c>
      <c r="B452" s="92" t="s">
        <v>1212</v>
      </c>
      <c r="C452" s="92">
        <v>2.52610033E8</v>
      </c>
      <c r="D452" s="94" t="s">
        <v>378</v>
      </c>
      <c r="E452" s="92" t="s">
        <v>782</v>
      </c>
    </row>
    <row r="453" ht="15.75" customHeight="1">
      <c r="A453" s="92">
        <v>4.0</v>
      </c>
      <c r="B453" s="92" t="s">
        <v>1213</v>
      </c>
      <c r="C453" s="92">
        <v>2.52610047E8</v>
      </c>
      <c r="D453" s="94" t="s">
        <v>739</v>
      </c>
      <c r="E453" s="92" t="s">
        <v>784</v>
      </c>
    </row>
    <row r="454" ht="15.75" customHeight="1">
      <c r="A454" s="92">
        <v>5.0</v>
      </c>
      <c r="B454" s="92" t="s">
        <v>1214</v>
      </c>
      <c r="C454" s="92">
        <v>2.52610066E8</v>
      </c>
      <c r="D454" s="94" t="s">
        <v>740</v>
      </c>
      <c r="E454" s="92" t="s">
        <v>784</v>
      </c>
    </row>
    <row r="455" ht="15.75" customHeight="1">
      <c r="A455" s="92">
        <v>6.0</v>
      </c>
      <c r="B455" s="92" t="s">
        <v>1215</v>
      </c>
      <c r="C455" s="92">
        <v>2.52610085E8</v>
      </c>
      <c r="D455" s="94" t="s">
        <v>741</v>
      </c>
      <c r="E455" s="92" t="s">
        <v>784</v>
      </c>
    </row>
    <row r="456" ht="15.75" customHeight="1">
      <c r="A456" s="92">
        <v>7.0</v>
      </c>
      <c r="B456" s="92" t="s">
        <v>1216</v>
      </c>
      <c r="C456" s="92">
        <v>2.52610098E8</v>
      </c>
      <c r="D456" s="94" t="s">
        <v>446</v>
      </c>
      <c r="E456" s="92" t="s">
        <v>784</v>
      </c>
    </row>
    <row r="457" ht="15.75" customHeight="1">
      <c r="A457" s="92">
        <v>8.0</v>
      </c>
      <c r="B457" s="92" t="s">
        <v>1217</v>
      </c>
      <c r="C457" s="92">
        <v>2.52610105E8</v>
      </c>
      <c r="D457" s="94" t="s">
        <v>379</v>
      </c>
      <c r="E457" s="92" t="s">
        <v>782</v>
      </c>
    </row>
    <row r="458" ht="15.75" customHeight="1">
      <c r="A458" s="92">
        <v>9.0</v>
      </c>
      <c r="B458" s="92" t="s">
        <v>1218</v>
      </c>
      <c r="C458" s="92">
        <v>2.5261011E8</v>
      </c>
      <c r="D458" s="94" t="s">
        <v>380</v>
      </c>
      <c r="E458" s="92" t="s">
        <v>782</v>
      </c>
    </row>
    <row r="459" ht="15.75" customHeight="1">
      <c r="A459" s="92">
        <v>10.0</v>
      </c>
      <c r="B459" s="92" t="s">
        <v>1219</v>
      </c>
      <c r="C459" s="92">
        <v>2.52610111E8</v>
      </c>
      <c r="D459" s="94" t="s">
        <v>381</v>
      </c>
      <c r="E459" s="92" t="s">
        <v>782</v>
      </c>
    </row>
    <row r="460" ht="15.75" customHeight="1">
      <c r="A460" s="92">
        <v>11.0</v>
      </c>
      <c r="B460" s="92" t="s">
        <v>1220</v>
      </c>
      <c r="C460" s="92">
        <v>2.52610112E8</v>
      </c>
      <c r="D460" s="94" t="s">
        <v>742</v>
      </c>
      <c r="E460" s="92" t="s">
        <v>784</v>
      </c>
    </row>
    <row r="461" ht="15.75" customHeight="1">
      <c r="A461" s="92">
        <v>12.0</v>
      </c>
      <c r="B461" s="92" t="s">
        <v>1221</v>
      </c>
      <c r="C461" s="92">
        <v>2.52610114E8</v>
      </c>
      <c r="D461" s="94" t="s">
        <v>743</v>
      </c>
      <c r="E461" s="92" t="s">
        <v>784</v>
      </c>
    </row>
    <row r="462" ht="15.75" customHeight="1">
      <c r="A462" s="92">
        <v>13.0</v>
      </c>
      <c r="B462" s="92" t="s">
        <v>1222</v>
      </c>
      <c r="C462" s="92">
        <v>2.52610116E8</v>
      </c>
      <c r="D462" s="94" t="s">
        <v>744</v>
      </c>
      <c r="E462" s="92" t="s">
        <v>784</v>
      </c>
    </row>
    <row r="463" ht="15.75" customHeight="1">
      <c r="A463" s="92">
        <v>14.0</v>
      </c>
      <c r="B463" s="92" t="s">
        <v>1223</v>
      </c>
      <c r="C463" s="92">
        <v>2.52610131E8</v>
      </c>
      <c r="D463" s="94" t="s">
        <v>745</v>
      </c>
      <c r="E463" s="92" t="s">
        <v>784</v>
      </c>
    </row>
    <row r="464" ht="15.75" customHeight="1">
      <c r="A464" s="92">
        <v>16.0</v>
      </c>
      <c r="B464" s="92" t="s">
        <v>1224</v>
      </c>
      <c r="C464" s="92">
        <v>2.52610184E8</v>
      </c>
      <c r="D464" s="94" t="s">
        <v>382</v>
      </c>
      <c r="E464" s="92" t="s">
        <v>782</v>
      </c>
    </row>
    <row r="465" ht="15.75" customHeight="1">
      <c r="A465" s="92">
        <v>17.0</v>
      </c>
      <c r="B465" s="92" t="s">
        <v>1225</v>
      </c>
      <c r="C465" s="92">
        <v>2.52610196E8</v>
      </c>
      <c r="D465" s="94" t="s">
        <v>746</v>
      </c>
      <c r="E465" s="92" t="s">
        <v>784</v>
      </c>
    </row>
    <row r="466" ht="15.75" customHeight="1">
      <c r="A466" s="92">
        <v>18.0</v>
      </c>
      <c r="B466" s="92" t="s">
        <v>1226</v>
      </c>
      <c r="C466" s="92">
        <v>2.52610217E8</v>
      </c>
      <c r="D466" s="94" t="s">
        <v>747</v>
      </c>
      <c r="E466" s="92" t="s">
        <v>784</v>
      </c>
    </row>
    <row r="467" ht="15.75" customHeight="1">
      <c r="A467" s="92">
        <v>20.0</v>
      </c>
      <c r="B467" s="92" t="s">
        <v>1227</v>
      </c>
      <c r="C467" s="92">
        <v>2.52610241E8</v>
      </c>
      <c r="D467" s="94" t="s">
        <v>748</v>
      </c>
      <c r="E467" s="92" t="s">
        <v>784</v>
      </c>
    </row>
    <row r="468" ht="15.75" customHeight="1">
      <c r="A468" s="92">
        <v>21.0</v>
      </c>
      <c r="B468" s="92" t="s">
        <v>1228</v>
      </c>
      <c r="C468" s="92">
        <v>2.52610253E8</v>
      </c>
      <c r="D468" s="94" t="s">
        <v>578</v>
      </c>
      <c r="E468" s="92" t="s">
        <v>784</v>
      </c>
    </row>
    <row r="469" ht="15.75" customHeight="1">
      <c r="A469" s="92">
        <v>22.0</v>
      </c>
      <c r="B469" s="92" t="s">
        <v>1229</v>
      </c>
      <c r="C469" s="92">
        <v>2.52610289E8</v>
      </c>
      <c r="D469" s="94" t="s">
        <v>383</v>
      </c>
      <c r="E469" s="92" t="s">
        <v>782</v>
      </c>
    </row>
    <row r="470" ht="15.75" customHeight="1">
      <c r="A470" s="92">
        <v>23.0</v>
      </c>
      <c r="B470" s="92" t="s">
        <v>1230</v>
      </c>
      <c r="C470" s="92">
        <v>2.52610292E8</v>
      </c>
      <c r="D470" s="94" t="s">
        <v>579</v>
      </c>
      <c r="E470" s="92" t="s">
        <v>784</v>
      </c>
    </row>
    <row r="471" ht="15.75" customHeight="1">
      <c r="A471" s="92">
        <v>24.0</v>
      </c>
      <c r="B471" s="92" t="s">
        <v>1231</v>
      </c>
      <c r="C471" s="92">
        <v>2.52610295E8</v>
      </c>
      <c r="D471" s="94" t="s">
        <v>580</v>
      </c>
      <c r="E471" s="92" t="s">
        <v>784</v>
      </c>
    </row>
    <row r="472" ht="15.75" customHeight="1">
      <c r="A472" s="92">
        <v>25.0</v>
      </c>
      <c r="B472" s="92" t="s">
        <v>1232</v>
      </c>
      <c r="C472" s="92">
        <v>2.5261031E8</v>
      </c>
      <c r="D472" s="94" t="s">
        <v>384</v>
      </c>
      <c r="E472" s="92" t="s">
        <v>782</v>
      </c>
    </row>
    <row r="473" ht="15.75" customHeight="1">
      <c r="A473" s="92">
        <v>26.0</v>
      </c>
      <c r="B473" s="92" t="s">
        <v>1233</v>
      </c>
      <c r="C473" s="92">
        <v>2.52610315E8</v>
      </c>
      <c r="D473" s="94" t="s">
        <v>385</v>
      </c>
      <c r="E473" s="92" t="s">
        <v>782</v>
      </c>
    </row>
    <row r="474" ht="15.75" customHeight="1">
      <c r="A474" s="92">
        <v>27.0</v>
      </c>
      <c r="B474" s="92" t="s">
        <v>1234</v>
      </c>
      <c r="C474" s="92">
        <v>2.52610328E8</v>
      </c>
      <c r="D474" s="94" t="s">
        <v>386</v>
      </c>
      <c r="E474" s="92" t="s">
        <v>782</v>
      </c>
    </row>
    <row r="475" ht="15.75" customHeight="1">
      <c r="A475" s="92">
        <v>28.0</v>
      </c>
      <c r="B475" s="92" t="s">
        <v>1235</v>
      </c>
      <c r="C475" s="92">
        <v>2.52610346E8</v>
      </c>
      <c r="D475" s="94" t="s">
        <v>387</v>
      </c>
      <c r="E475" s="92" t="s">
        <v>782</v>
      </c>
    </row>
    <row r="476" ht="15.75" customHeight="1">
      <c r="A476" s="92">
        <v>29.0</v>
      </c>
      <c r="B476" s="92" t="s">
        <v>1236</v>
      </c>
      <c r="C476" s="92">
        <v>2.52610348E8</v>
      </c>
      <c r="D476" s="94" t="s">
        <v>388</v>
      </c>
      <c r="E476" s="92" t="s">
        <v>782</v>
      </c>
    </row>
    <row r="477" ht="15.75" customHeight="1">
      <c r="A477" s="92">
        <v>30.0</v>
      </c>
      <c r="B477" s="92" t="s">
        <v>1237</v>
      </c>
      <c r="C477" s="92">
        <v>2.52610356E8</v>
      </c>
      <c r="D477" s="94" t="s">
        <v>389</v>
      </c>
      <c r="E477" s="92" t="s">
        <v>782</v>
      </c>
    </row>
    <row r="478" ht="15.75" customHeight="1">
      <c r="A478" s="92">
        <v>31.0</v>
      </c>
      <c r="B478" s="92" t="s">
        <v>1238</v>
      </c>
      <c r="C478" s="92">
        <v>2.52610367E8</v>
      </c>
      <c r="D478" s="94" t="s">
        <v>390</v>
      </c>
      <c r="E478" s="92" t="s">
        <v>782</v>
      </c>
    </row>
    <row r="479" ht="15.75" customHeight="1">
      <c r="A479" s="92">
        <v>32.0</v>
      </c>
      <c r="B479" s="92" t="s">
        <v>1239</v>
      </c>
      <c r="C479" s="92">
        <v>2.5261038E8</v>
      </c>
      <c r="D479" s="94" t="s">
        <v>391</v>
      </c>
      <c r="E479" s="92" t="s">
        <v>782</v>
      </c>
    </row>
    <row r="480" ht="15.75" customHeight="1">
      <c r="A480" s="92">
        <v>33.0</v>
      </c>
      <c r="B480" s="92" t="s">
        <v>1240</v>
      </c>
      <c r="C480" s="92">
        <v>2.52610385E8</v>
      </c>
      <c r="D480" s="94" t="s">
        <v>581</v>
      </c>
      <c r="E480" s="92" t="s">
        <v>784</v>
      </c>
    </row>
    <row r="481" ht="15.75" customHeight="1">
      <c r="A481" s="92">
        <v>34.0</v>
      </c>
      <c r="B481" s="92" t="s">
        <v>1241</v>
      </c>
      <c r="C481" s="92">
        <v>2.52610388E8</v>
      </c>
      <c r="D481" s="94" t="s">
        <v>436</v>
      </c>
      <c r="E481" s="92" t="s">
        <v>784</v>
      </c>
    </row>
    <row r="482" ht="15.75" customHeight="1">
      <c r="A482" s="92">
        <v>35.0</v>
      </c>
      <c r="B482" s="92" t="s">
        <v>1242</v>
      </c>
      <c r="C482" s="92">
        <v>2.52610417E8</v>
      </c>
      <c r="D482" s="94" t="s">
        <v>438</v>
      </c>
      <c r="E482" s="92" t="s">
        <v>784</v>
      </c>
    </row>
    <row r="483" ht="15.75" customHeight="1">
      <c r="A483" s="92">
        <v>36.0</v>
      </c>
      <c r="B483" s="92" t="s">
        <v>1243</v>
      </c>
      <c r="C483" s="92">
        <v>2.52610458E8</v>
      </c>
      <c r="D483" s="94" t="s">
        <v>392</v>
      </c>
      <c r="E483" s="92" t="s">
        <v>782</v>
      </c>
    </row>
    <row r="484" ht="15.75" customHeight="1">
      <c r="A484" s="92">
        <v>37.0</v>
      </c>
      <c r="B484" s="92" t="s">
        <v>1244</v>
      </c>
      <c r="C484" s="92">
        <v>2.52610482E8</v>
      </c>
      <c r="D484" s="94" t="s">
        <v>393</v>
      </c>
      <c r="E484" s="92" t="s">
        <v>782</v>
      </c>
    </row>
    <row r="485" ht="15.75" customHeight="1">
      <c r="A485" s="92">
        <v>38.0</v>
      </c>
      <c r="B485" s="92" t="s">
        <v>1245</v>
      </c>
      <c r="C485" s="92">
        <v>2.52610499E8</v>
      </c>
      <c r="D485" s="94" t="s">
        <v>582</v>
      </c>
      <c r="E485" s="92" t="s">
        <v>784</v>
      </c>
    </row>
    <row r="486" ht="15.75" customHeight="1">
      <c r="A486" s="92">
        <v>39.0</v>
      </c>
      <c r="B486" s="92" t="s">
        <v>1246</v>
      </c>
      <c r="C486" s="92">
        <v>2.52610503E8</v>
      </c>
      <c r="D486" s="94" t="s">
        <v>583</v>
      </c>
      <c r="E486" s="92" t="s">
        <v>784</v>
      </c>
    </row>
    <row r="487" ht="15.75" customHeight="1">
      <c r="A487" s="92">
        <v>40.0</v>
      </c>
      <c r="B487" s="92" t="s">
        <v>1247</v>
      </c>
      <c r="C487" s="92">
        <v>2.52610506E8</v>
      </c>
      <c r="D487" s="94" t="s">
        <v>584</v>
      </c>
      <c r="E487" s="92" t="s">
        <v>784</v>
      </c>
    </row>
    <row r="488" ht="15.75" customHeight="1">
      <c r="A488" s="92">
        <v>41.0</v>
      </c>
      <c r="B488" s="92" t="s">
        <v>1248</v>
      </c>
      <c r="C488" s="92">
        <v>2.52610518E8</v>
      </c>
      <c r="D488" s="94" t="s">
        <v>585</v>
      </c>
      <c r="E488" s="92" t="s">
        <v>784</v>
      </c>
    </row>
    <row r="489" ht="15.75" customHeight="1">
      <c r="A489" s="92">
        <v>42.0</v>
      </c>
      <c r="B489" s="92" t="s">
        <v>1249</v>
      </c>
      <c r="C489" s="92">
        <v>2.52610524E8</v>
      </c>
      <c r="D489" s="94" t="s">
        <v>586</v>
      </c>
      <c r="E489" s="92" t="s">
        <v>784</v>
      </c>
    </row>
    <row r="490" ht="15.75" customHeight="1">
      <c r="A490" s="92">
        <v>43.0</v>
      </c>
      <c r="B490" s="92" t="s">
        <v>1250</v>
      </c>
      <c r="C490" s="92">
        <v>2.52610545E8</v>
      </c>
      <c r="D490" s="94" t="s">
        <v>442</v>
      </c>
      <c r="E490" s="92" t="s">
        <v>784</v>
      </c>
    </row>
    <row r="491" ht="15.75" customHeight="1">
      <c r="A491" s="92">
        <v>44.0</v>
      </c>
      <c r="B491" s="92" t="s">
        <v>1251</v>
      </c>
      <c r="C491" s="92">
        <v>2.52610551E8</v>
      </c>
      <c r="D491" s="94" t="s">
        <v>587</v>
      </c>
      <c r="E491" s="92" t="s">
        <v>784</v>
      </c>
    </row>
    <row r="492" ht="15.75" customHeight="1">
      <c r="A492" s="92">
        <v>47.0</v>
      </c>
      <c r="B492" s="92" t="s">
        <v>1252</v>
      </c>
      <c r="C492" s="92">
        <v>2.52610561E8</v>
      </c>
      <c r="D492" s="94" t="s">
        <v>394</v>
      </c>
      <c r="E492" s="92" t="s">
        <v>782</v>
      </c>
    </row>
    <row r="493" ht="15.75" customHeight="1">
      <c r="A493" s="92">
        <v>48.0</v>
      </c>
      <c r="B493" s="92" t="s">
        <v>1253</v>
      </c>
      <c r="C493" s="92">
        <v>2.52610565E8</v>
      </c>
      <c r="D493" s="94" t="s">
        <v>588</v>
      </c>
      <c r="E493" s="92" t="s">
        <v>784</v>
      </c>
    </row>
    <row r="494" ht="15.75" customHeight="1">
      <c r="A494" s="71"/>
      <c r="B494" s="71"/>
      <c r="C494" s="71"/>
      <c r="D494" s="71"/>
      <c r="E494" s="71"/>
    </row>
    <row r="495" ht="15.75" customHeight="1">
      <c r="A495" s="71"/>
      <c r="B495" s="71"/>
      <c r="C495" s="71"/>
      <c r="D495" s="94" t="s">
        <v>1368</v>
      </c>
      <c r="E495" s="96">
        <f>COUNTIF(E450:E493,"P")</f>
        <v>27</v>
      </c>
    </row>
    <row r="496" ht="15.75" customHeight="1">
      <c r="A496" s="71"/>
      <c r="B496" s="71"/>
      <c r="C496" s="71"/>
      <c r="D496" s="94" t="s">
        <v>1369</v>
      </c>
      <c r="E496" s="96">
        <f>COUNTIF(E450:E493,"L")</f>
        <v>17</v>
      </c>
    </row>
    <row r="497" ht="15.75" customHeight="1">
      <c r="A497" s="71"/>
      <c r="B497" s="71"/>
      <c r="C497" s="71"/>
      <c r="D497" s="71"/>
      <c r="E497" s="71"/>
    </row>
    <row r="498" ht="15.75" customHeight="1">
      <c r="A498" s="71" t="s">
        <v>1380</v>
      </c>
      <c r="B498" s="71"/>
      <c r="C498" s="71"/>
      <c r="D498" s="71"/>
      <c r="E498" s="71" t="s">
        <v>79</v>
      </c>
    </row>
    <row r="499" ht="15.75" customHeight="1">
      <c r="A499" s="95" t="s">
        <v>775</v>
      </c>
      <c r="B499" s="95" t="s">
        <v>776</v>
      </c>
      <c r="C499" s="95" t="s">
        <v>777</v>
      </c>
      <c r="D499" s="95" t="s">
        <v>219</v>
      </c>
      <c r="E499" s="95" t="s">
        <v>778</v>
      </c>
    </row>
    <row r="500" ht="15.75" customHeight="1">
      <c r="A500" s="92">
        <v>1.0</v>
      </c>
      <c r="B500" s="92" t="s">
        <v>1254</v>
      </c>
      <c r="C500" s="92">
        <v>2.52610015E8</v>
      </c>
      <c r="D500" s="94" t="s">
        <v>361</v>
      </c>
      <c r="E500" s="92" t="s">
        <v>782</v>
      </c>
    </row>
    <row r="501" ht="15.75" customHeight="1">
      <c r="A501" s="92">
        <v>2.0</v>
      </c>
      <c r="B501" s="92" t="s">
        <v>1255</v>
      </c>
      <c r="C501" s="92">
        <v>2.52610021E8</v>
      </c>
      <c r="D501" s="94" t="s">
        <v>724</v>
      </c>
      <c r="E501" s="92" t="s">
        <v>784</v>
      </c>
    </row>
    <row r="502" ht="15.75" customHeight="1">
      <c r="A502" s="92">
        <v>3.0</v>
      </c>
      <c r="B502" s="92" t="s">
        <v>1256</v>
      </c>
      <c r="C502" s="92">
        <v>2.52610029E8</v>
      </c>
      <c r="D502" s="94" t="s">
        <v>725</v>
      </c>
      <c r="E502" s="92" t="s">
        <v>784</v>
      </c>
    </row>
    <row r="503" ht="15.75" customHeight="1">
      <c r="A503" s="92">
        <v>4.0</v>
      </c>
      <c r="B503" s="92" t="s">
        <v>1257</v>
      </c>
      <c r="C503" s="92">
        <v>2.5261003E8</v>
      </c>
      <c r="D503" s="94" t="s">
        <v>726</v>
      </c>
      <c r="E503" s="92" t="s">
        <v>784</v>
      </c>
    </row>
    <row r="504" ht="15.75" customHeight="1">
      <c r="A504" s="92">
        <v>5.0</v>
      </c>
      <c r="B504" s="92" t="s">
        <v>1258</v>
      </c>
      <c r="C504" s="92">
        <v>2.52610046E8</v>
      </c>
      <c r="D504" s="94" t="s">
        <v>727</v>
      </c>
      <c r="E504" s="92" t="s">
        <v>784</v>
      </c>
    </row>
    <row r="505" ht="15.75" customHeight="1">
      <c r="A505" s="92">
        <v>6.0</v>
      </c>
      <c r="B505" s="92" t="s">
        <v>1259</v>
      </c>
      <c r="C505" s="92">
        <v>2.52610068E8</v>
      </c>
      <c r="D505" s="94" t="s">
        <v>728</v>
      </c>
      <c r="E505" s="92" t="s">
        <v>784</v>
      </c>
    </row>
    <row r="506" ht="15.75" customHeight="1">
      <c r="A506" s="92">
        <v>7.0</v>
      </c>
      <c r="B506" s="92" t="s">
        <v>1260</v>
      </c>
      <c r="C506" s="92">
        <v>2.5261008E8</v>
      </c>
      <c r="D506" s="94" t="s">
        <v>362</v>
      </c>
      <c r="E506" s="92" t="s">
        <v>782</v>
      </c>
    </row>
    <row r="507" ht="15.75" customHeight="1">
      <c r="A507" s="92">
        <v>8.0</v>
      </c>
      <c r="B507" s="92" t="s">
        <v>1261</v>
      </c>
      <c r="C507" s="92">
        <v>2.52610081E8</v>
      </c>
      <c r="D507" s="94" t="s">
        <v>729</v>
      </c>
      <c r="E507" s="92" t="s">
        <v>784</v>
      </c>
    </row>
    <row r="508" ht="15.75" customHeight="1">
      <c r="A508" s="92">
        <v>10.0</v>
      </c>
      <c r="B508" s="92" t="s">
        <v>1262</v>
      </c>
      <c r="C508" s="92">
        <v>2.52610106E8</v>
      </c>
      <c r="D508" s="94" t="s">
        <v>447</v>
      </c>
      <c r="E508" s="92" t="s">
        <v>784</v>
      </c>
    </row>
    <row r="509" ht="15.75" customHeight="1">
      <c r="A509" s="92">
        <v>11.0</v>
      </c>
      <c r="B509" s="92" t="s">
        <v>1263</v>
      </c>
      <c r="C509" s="92">
        <v>2.52610107E8</v>
      </c>
      <c r="D509" s="94" t="s">
        <v>730</v>
      </c>
      <c r="E509" s="92" t="s">
        <v>784</v>
      </c>
    </row>
    <row r="510" ht="15.75" customHeight="1">
      <c r="A510" s="92">
        <v>12.0</v>
      </c>
      <c r="B510" s="92" t="s">
        <v>1264</v>
      </c>
      <c r="C510" s="92">
        <v>2.52610127E8</v>
      </c>
      <c r="D510" s="94" t="s">
        <v>363</v>
      </c>
      <c r="E510" s="92" t="s">
        <v>782</v>
      </c>
    </row>
    <row r="511" ht="15.75" customHeight="1">
      <c r="A511" s="92">
        <v>13.0</v>
      </c>
      <c r="B511" s="92" t="s">
        <v>1265</v>
      </c>
      <c r="C511" s="92">
        <v>2.52610143E8</v>
      </c>
      <c r="D511" s="94" t="s">
        <v>364</v>
      </c>
      <c r="E511" s="92" t="s">
        <v>782</v>
      </c>
    </row>
    <row r="512" ht="15.75" customHeight="1">
      <c r="A512" s="92">
        <v>14.0</v>
      </c>
      <c r="B512" s="92" t="s">
        <v>1266</v>
      </c>
      <c r="C512" s="92">
        <v>2.52610147E8</v>
      </c>
      <c r="D512" s="94" t="s">
        <v>365</v>
      </c>
      <c r="E512" s="92" t="s">
        <v>782</v>
      </c>
    </row>
    <row r="513" ht="15.75" customHeight="1">
      <c r="A513" s="92">
        <v>15.0</v>
      </c>
      <c r="B513" s="92" t="s">
        <v>1267</v>
      </c>
      <c r="C513" s="92">
        <v>2.52610149E8</v>
      </c>
      <c r="D513" s="94" t="s">
        <v>731</v>
      </c>
      <c r="E513" s="92" t="s">
        <v>784</v>
      </c>
    </row>
    <row r="514" ht="15.75" customHeight="1">
      <c r="A514" s="92">
        <v>16.0</v>
      </c>
      <c r="B514" s="92" t="s">
        <v>1268</v>
      </c>
      <c r="C514" s="92">
        <v>2.52610152E8</v>
      </c>
      <c r="D514" s="94" t="s">
        <v>732</v>
      </c>
      <c r="E514" s="92" t="s">
        <v>784</v>
      </c>
    </row>
    <row r="515" ht="15.75" customHeight="1">
      <c r="A515" s="92">
        <v>17.0</v>
      </c>
      <c r="B515" s="92" t="s">
        <v>1269</v>
      </c>
      <c r="C515" s="92">
        <v>2.52610208E8</v>
      </c>
      <c r="D515" s="94" t="s">
        <v>733</v>
      </c>
      <c r="E515" s="92" t="s">
        <v>784</v>
      </c>
    </row>
    <row r="516" ht="15.75" customHeight="1">
      <c r="A516" s="92">
        <v>18.0</v>
      </c>
      <c r="B516" s="92" t="s">
        <v>1270</v>
      </c>
      <c r="C516" s="92">
        <v>2.52610218E8</v>
      </c>
      <c r="D516" s="94" t="s">
        <v>366</v>
      </c>
      <c r="E516" s="92" t="s">
        <v>782</v>
      </c>
    </row>
    <row r="517" ht="15.75" customHeight="1">
      <c r="A517" s="92">
        <v>19.0</v>
      </c>
      <c r="B517" s="92" t="s">
        <v>1271</v>
      </c>
      <c r="C517" s="92">
        <v>2.52610267E8</v>
      </c>
      <c r="D517" s="94" t="s">
        <v>734</v>
      </c>
      <c r="E517" s="92" t="s">
        <v>784</v>
      </c>
    </row>
    <row r="518" ht="15.75" customHeight="1">
      <c r="A518" s="92">
        <v>20.0</v>
      </c>
      <c r="B518" s="92" t="s">
        <v>1272</v>
      </c>
      <c r="C518" s="92">
        <v>2.52610269E8</v>
      </c>
      <c r="D518" s="94" t="s">
        <v>367</v>
      </c>
      <c r="E518" s="92" t="s">
        <v>782</v>
      </c>
    </row>
    <row r="519" ht="15.75" customHeight="1">
      <c r="A519" s="92">
        <v>21.0</v>
      </c>
      <c r="B519" s="92" t="s">
        <v>1273</v>
      </c>
      <c r="C519" s="92">
        <v>2.5261027E8</v>
      </c>
      <c r="D519" s="94" t="s">
        <v>735</v>
      </c>
      <c r="E519" s="92" t="s">
        <v>784</v>
      </c>
    </row>
    <row r="520" ht="15.75" customHeight="1">
      <c r="A520" s="92">
        <v>22.0</v>
      </c>
      <c r="B520" s="92" t="s">
        <v>1274</v>
      </c>
      <c r="C520" s="92">
        <v>2.52610271E8</v>
      </c>
      <c r="D520" s="94" t="s">
        <v>368</v>
      </c>
      <c r="E520" s="92" t="s">
        <v>782</v>
      </c>
    </row>
    <row r="521" ht="15.75" customHeight="1">
      <c r="A521" s="92">
        <v>23.0</v>
      </c>
      <c r="B521" s="92" t="s">
        <v>1275</v>
      </c>
      <c r="C521" s="92">
        <v>2.52610296E8</v>
      </c>
      <c r="D521" s="94" t="s">
        <v>565</v>
      </c>
      <c r="E521" s="92" t="s">
        <v>784</v>
      </c>
    </row>
    <row r="522" ht="15.75" customHeight="1">
      <c r="A522" s="92">
        <v>24.0</v>
      </c>
      <c r="B522" s="92" t="s">
        <v>1276</v>
      </c>
      <c r="C522" s="92">
        <v>2.52610298E8</v>
      </c>
      <c r="D522" s="94" t="s">
        <v>369</v>
      </c>
      <c r="E522" s="92" t="s">
        <v>782</v>
      </c>
    </row>
    <row r="523" ht="15.75" customHeight="1">
      <c r="A523" s="92">
        <v>26.0</v>
      </c>
      <c r="B523" s="92" t="s">
        <v>1277</v>
      </c>
      <c r="C523" s="92">
        <v>2.52610307E8</v>
      </c>
      <c r="D523" s="94" t="s">
        <v>566</v>
      </c>
      <c r="E523" s="92" t="s">
        <v>784</v>
      </c>
    </row>
    <row r="524" ht="15.75" customHeight="1">
      <c r="A524" s="92">
        <v>27.0</v>
      </c>
      <c r="B524" s="92" t="s">
        <v>1278</v>
      </c>
      <c r="C524" s="92">
        <v>2.52610331E8</v>
      </c>
      <c r="D524" s="94" t="s">
        <v>370</v>
      </c>
      <c r="E524" s="92" t="s">
        <v>782</v>
      </c>
    </row>
    <row r="525" ht="15.75" customHeight="1">
      <c r="A525" s="92">
        <v>28.0</v>
      </c>
      <c r="B525" s="92" t="s">
        <v>1279</v>
      </c>
      <c r="C525" s="92">
        <v>2.52610339E8</v>
      </c>
      <c r="D525" s="94" t="s">
        <v>371</v>
      </c>
      <c r="E525" s="92" t="s">
        <v>782</v>
      </c>
    </row>
    <row r="526" ht="15.75" customHeight="1">
      <c r="A526" s="92">
        <v>29.0</v>
      </c>
      <c r="B526" s="92" t="s">
        <v>1280</v>
      </c>
      <c r="C526" s="92">
        <v>2.52610359E8</v>
      </c>
      <c r="D526" s="94" t="s">
        <v>372</v>
      </c>
      <c r="E526" s="92" t="s">
        <v>782</v>
      </c>
    </row>
    <row r="527" ht="15.75" customHeight="1">
      <c r="A527" s="92">
        <v>30.0</v>
      </c>
      <c r="B527" s="92" t="s">
        <v>1281</v>
      </c>
      <c r="C527" s="92">
        <v>2.52610377E8</v>
      </c>
      <c r="D527" s="94" t="s">
        <v>373</v>
      </c>
      <c r="E527" s="92" t="s">
        <v>782</v>
      </c>
    </row>
    <row r="528" ht="15.75" customHeight="1">
      <c r="A528" s="92">
        <v>31.0</v>
      </c>
      <c r="B528" s="92" t="s">
        <v>1282</v>
      </c>
      <c r="C528" s="92">
        <v>2.52610387E8</v>
      </c>
      <c r="D528" s="94" t="s">
        <v>567</v>
      </c>
      <c r="E528" s="92" t="s">
        <v>784</v>
      </c>
    </row>
    <row r="529" ht="15.75" customHeight="1">
      <c r="A529" s="92">
        <v>32.0</v>
      </c>
      <c r="B529" s="92" t="s">
        <v>1283</v>
      </c>
      <c r="C529" s="92">
        <v>2.52610391E8</v>
      </c>
      <c r="D529" s="94" t="s">
        <v>452</v>
      </c>
      <c r="E529" s="92" t="s">
        <v>784</v>
      </c>
    </row>
    <row r="530" ht="15.75" customHeight="1">
      <c r="A530" s="92">
        <v>33.0</v>
      </c>
      <c r="B530" s="92" t="s">
        <v>1284</v>
      </c>
      <c r="C530" s="92">
        <v>2.526104E8</v>
      </c>
      <c r="D530" s="94" t="s">
        <v>237</v>
      </c>
      <c r="E530" s="92" t="s">
        <v>782</v>
      </c>
    </row>
    <row r="531" ht="15.75" customHeight="1">
      <c r="A531" s="92">
        <v>34.0</v>
      </c>
      <c r="B531" s="92" t="s">
        <v>1285</v>
      </c>
      <c r="C531" s="92">
        <v>2.52610405E8</v>
      </c>
      <c r="D531" s="94" t="s">
        <v>568</v>
      </c>
      <c r="E531" s="92" t="s">
        <v>784</v>
      </c>
    </row>
    <row r="532" ht="15.75" customHeight="1">
      <c r="A532" s="92">
        <v>35.0</v>
      </c>
      <c r="B532" s="92" t="s">
        <v>1286</v>
      </c>
      <c r="C532" s="92">
        <v>2.52610407E8</v>
      </c>
      <c r="D532" s="94" t="s">
        <v>569</v>
      </c>
      <c r="E532" s="92" t="s">
        <v>784</v>
      </c>
    </row>
    <row r="533" ht="15.75" customHeight="1">
      <c r="A533" s="92">
        <v>36.0</v>
      </c>
      <c r="B533" s="92" t="s">
        <v>1287</v>
      </c>
      <c r="C533" s="92">
        <v>2.52610411E8</v>
      </c>
      <c r="D533" s="94" t="s">
        <v>570</v>
      </c>
      <c r="E533" s="92" t="s">
        <v>784</v>
      </c>
    </row>
    <row r="534" ht="15.75" customHeight="1">
      <c r="A534" s="92">
        <v>39.0</v>
      </c>
      <c r="B534" s="92" t="s">
        <v>1288</v>
      </c>
      <c r="C534" s="92">
        <v>2.52610448E8</v>
      </c>
      <c r="D534" s="94" t="s">
        <v>374</v>
      </c>
      <c r="E534" s="92" t="s">
        <v>782</v>
      </c>
    </row>
    <row r="535" ht="15.75" customHeight="1">
      <c r="A535" s="92">
        <v>40.0</v>
      </c>
      <c r="B535" s="92" t="s">
        <v>1289</v>
      </c>
      <c r="C535" s="92">
        <v>2.52610455E8</v>
      </c>
      <c r="D535" s="94" t="s">
        <v>375</v>
      </c>
      <c r="E535" s="92" t="s">
        <v>782</v>
      </c>
    </row>
    <row r="536" ht="15.75" customHeight="1">
      <c r="A536" s="92">
        <v>41.0</v>
      </c>
      <c r="B536" s="92" t="s">
        <v>1290</v>
      </c>
      <c r="C536" s="92">
        <v>2.5261049E8</v>
      </c>
      <c r="D536" s="94" t="s">
        <v>455</v>
      </c>
      <c r="E536" s="92" t="s">
        <v>784</v>
      </c>
    </row>
    <row r="537" ht="15.75" customHeight="1">
      <c r="A537" s="92">
        <v>42.0</v>
      </c>
      <c r="B537" s="92" t="s">
        <v>1291</v>
      </c>
      <c r="C537" s="92">
        <v>2.52610494E8</v>
      </c>
      <c r="D537" s="94" t="s">
        <v>376</v>
      </c>
      <c r="E537" s="92" t="s">
        <v>782</v>
      </c>
    </row>
    <row r="538" ht="15.75" customHeight="1">
      <c r="A538" s="92">
        <v>43.0</v>
      </c>
      <c r="B538" s="92" t="s">
        <v>1292</v>
      </c>
      <c r="C538" s="92">
        <v>2.52610496E8</v>
      </c>
      <c r="D538" s="94" t="s">
        <v>571</v>
      </c>
      <c r="E538" s="92" t="s">
        <v>784</v>
      </c>
    </row>
    <row r="539" ht="15.75" customHeight="1">
      <c r="A539" s="92">
        <v>44.0</v>
      </c>
      <c r="B539" s="92" t="s">
        <v>1293</v>
      </c>
      <c r="C539" s="92">
        <v>2.52610502E8</v>
      </c>
      <c r="D539" s="94" t="s">
        <v>572</v>
      </c>
      <c r="E539" s="92" t="s">
        <v>784</v>
      </c>
    </row>
    <row r="540" ht="15.75" customHeight="1">
      <c r="A540" s="92">
        <v>45.0</v>
      </c>
      <c r="B540" s="92" t="s">
        <v>1294</v>
      </c>
      <c r="C540" s="92">
        <v>2.52610516E8</v>
      </c>
      <c r="D540" s="94" t="s">
        <v>573</v>
      </c>
      <c r="E540" s="92" t="s">
        <v>784</v>
      </c>
    </row>
    <row r="541" ht="15.75" customHeight="1">
      <c r="A541" s="92">
        <v>46.0</v>
      </c>
      <c r="B541" s="92" t="s">
        <v>1295</v>
      </c>
      <c r="C541" s="92">
        <v>2.52610531E8</v>
      </c>
      <c r="D541" s="94" t="s">
        <v>574</v>
      </c>
      <c r="E541" s="92" t="s">
        <v>784</v>
      </c>
    </row>
    <row r="542" ht="15.75" customHeight="1">
      <c r="A542" s="92">
        <v>47.0</v>
      </c>
      <c r="B542" s="92" t="s">
        <v>1296</v>
      </c>
      <c r="C542" s="92">
        <v>2.5261055E8</v>
      </c>
      <c r="D542" s="94" t="s">
        <v>575</v>
      </c>
      <c r="E542" s="92" t="s">
        <v>784</v>
      </c>
    </row>
    <row r="543" ht="15.75" customHeight="1">
      <c r="A543" s="92">
        <v>48.0</v>
      </c>
      <c r="B543" s="92" t="s">
        <v>1297</v>
      </c>
      <c r="C543" s="92">
        <v>2.52610562E8</v>
      </c>
      <c r="D543" s="94" t="s">
        <v>576</v>
      </c>
      <c r="E543" s="92" t="s">
        <v>784</v>
      </c>
    </row>
    <row r="544" ht="15.75" customHeight="1">
      <c r="A544" s="71"/>
      <c r="B544" s="71"/>
      <c r="C544" s="71"/>
      <c r="D544" s="71"/>
      <c r="E544" s="71"/>
    </row>
    <row r="545" ht="15.75" customHeight="1">
      <c r="A545" s="71"/>
      <c r="B545" s="71"/>
      <c r="C545" s="71"/>
      <c r="D545" s="94" t="s">
        <v>1368</v>
      </c>
      <c r="E545" s="96">
        <f>COUNTIF(E500:E543,"P")</f>
        <v>27</v>
      </c>
    </row>
    <row r="546" ht="15.75" customHeight="1">
      <c r="A546" s="71"/>
      <c r="B546" s="71"/>
      <c r="C546" s="71"/>
      <c r="D546" s="94" t="s">
        <v>1369</v>
      </c>
      <c r="E546" s="96">
        <f>COUNTIF(E500:E543,"L")</f>
        <v>17</v>
      </c>
    </row>
    <row r="547" ht="15.75" customHeight="1">
      <c r="A547" s="71"/>
      <c r="B547" s="71"/>
      <c r="C547" s="71"/>
      <c r="D547" s="71"/>
      <c r="E547" s="71"/>
    </row>
    <row r="548" ht="15.75" customHeight="1">
      <c r="A548" s="71"/>
      <c r="B548" s="71"/>
      <c r="C548" s="71"/>
      <c r="D548" s="71"/>
      <c r="E548" s="71"/>
    </row>
    <row r="549" ht="15.75" customHeight="1">
      <c r="A549" s="71"/>
      <c r="B549" s="71"/>
      <c r="C549" s="71"/>
      <c r="D549" s="71"/>
      <c r="E549" s="71"/>
    </row>
    <row r="550" ht="15.75" customHeight="1">
      <c r="A550" s="71"/>
      <c r="B550" s="71"/>
      <c r="C550" s="71"/>
      <c r="D550" s="71"/>
      <c r="E550" s="71"/>
    </row>
    <row r="551" ht="15.75" customHeight="1">
      <c r="A551" s="71"/>
      <c r="B551" s="71"/>
      <c r="C551" s="71"/>
      <c r="D551" s="71"/>
      <c r="E551" s="71"/>
    </row>
    <row r="552" ht="15.75" customHeight="1">
      <c r="A552" s="71"/>
      <c r="B552" s="71"/>
      <c r="C552" s="71"/>
      <c r="D552" s="71"/>
      <c r="E552" s="71"/>
    </row>
    <row r="553" ht="15.75" customHeight="1">
      <c r="A553" s="71"/>
      <c r="B553" s="71"/>
      <c r="C553" s="71"/>
      <c r="D553" s="71"/>
      <c r="E553" s="71"/>
    </row>
    <row r="554" ht="15.75" customHeight="1">
      <c r="A554" s="71"/>
      <c r="B554" s="71"/>
      <c r="C554" s="71"/>
      <c r="D554" s="71"/>
      <c r="E554" s="71"/>
    </row>
    <row r="555" ht="15.75" customHeight="1">
      <c r="A555" s="71"/>
      <c r="B555" s="71"/>
      <c r="C555" s="71"/>
      <c r="D555" s="71"/>
      <c r="E555" s="71"/>
    </row>
    <row r="556" ht="15.75" customHeight="1">
      <c r="A556" s="71"/>
      <c r="B556" s="71"/>
      <c r="C556" s="71"/>
      <c r="D556" s="71"/>
      <c r="E556" s="71"/>
    </row>
    <row r="557" ht="15.75" customHeight="1">
      <c r="A557" s="71"/>
      <c r="B557" s="71"/>
      <c r="C557" s="71"/>
      <c r="D557" s="71"/>
      <c r="E557" s="71"/>
    </row>
    <row r="558" ht="15.75" customHeight="1">
      <c r="A558" s="71"/>
      <c r="B558" s="71"/>
      <c r="C558" s="71"/>
      <c r="D558" s="71"/>
      <c r="E558" s="71"/>
    </row>
    <row r="559" ht="15.75" customHeight="1">
      <c r="A559" s="71"/>
      <c r="B559" s="71"/>
      <c r="C559" s="71"/>
      <c r="D559" s="71"/>
      <c r="E559" s="71"/>
    </row>
    <row r="560" ht="15.75" customHeight="1">
      <c r="A560" s="71"/>
      <c r="B560" s="71"/>
      <c r="C560" s="71"/>
      <c r="D560" s="71"/>
      <c r="E560" s="71"/>
    </row>
    <row r="561" ht="15.75" customHeight="1">
      <c r="A561" s="71"/>
      <c r="B561" s="71"/>
      <c r="C561" s="71"/>
      <c r="D561" s="71"/>
      <c r="E561" s="71"/>
    </row>
    <row r="562" ht="15.75" customHeight="1">
      <c r="A562" s="71"/>
      <c r="B562" s="71"/>
      <c r="C562" s="71"/>
      <c r="D562" s="71"/>
      <c r="E562" s="71"/>
    </row>
    <row r="563" ht="15.75" customHeight="1">
      <c r="A563" s="71"/>
      <c r="B563" s="71"/>
      <c r="C563" s="71"/>
      <c r="D563" s="71"/>
      <c r="E563" s="71"/>
    </row>
    <row r="564" ht="15.75" customHeight="1">
      <c r="A564" s="71"/>
      <c r="B564" s="71"/>
      <c r="C564" s="71"/>
      <c r="D564" s="71"/>
      <c r="E564" s="71"/>
    </row>
    <row r="565" ht="15.75" customHeight="1">
      <c r="A565" s="71"/>
      <c r="B565" s="71"/>
      <c r="C565" s="71"/>
      <c r="D565" s="71"/>
      <c r="E565" s="71"/>
    </row>
    <row r="566" ht="15.75" customHeight="1">
      <c r="A566" s="71"/>
      <c r="B566" s="71"/>
      <c r="C566" s="71"/>
      <c r="D566" s="71"/>
      <c r="E566" s="71"/>
    </row>
    <row r="567" ht="15.75" customHeight="1">
      <c r="A567" s="71"/>
      <c r="B567" s="71"/>
      <c r="C567" s="71"/>
      <c r="D567" s="71"/>
      <c r="E567" s="71"/>
    </row>
    <row r="568" ht="15.75" customHeight="1">
      <c r="A568" s="71"/>
      <c r="B568" s="71"/>
      <c r="C568" s="71"/>
      <c r="D568" s="71"/>
      <c r="E568" s="71"/>
    </row>
    <row r="569" ht="15.75" customHeight="1">
      <c r="A569" s="71"/>
      <c r="B569" s="71"/>
      <c r="C569" s="71"/>
      <c r="D569" s="71"/>
      <c r="E569" s="71"/>
    </row>
    <row r="570" ht="15.75" customHeight="1">
      <c r="A570" s="71"/>
      <c r="B570" s="71"/>
      <c r="C570" s="71"/>
      <c r="D570" s="71"/>
      <c r="E570" s="71"/>
    </row>
    <row r="571" ht="15.75" customHeight="1">
      <c r="A571" s="71"/>
      <c r="B571" s="71"/>
      <c r="C571" s="71"/>
      <c r="D571" s="71"/>
      <c r="E571" s="71"/>
    </row>
    <row r="572" ht="15.75" customHeight="1">
      <c r="A572" s="71"/>
      <c r="B572" s="71"/>
      <c r="C572" s="71"/>
      <c r="D572" s="71"/>
      <c r="E572" s="71"/>
    </row>
    <row r="573" ht="15.75" customHeight="1">
      <c r="A573" s="71"/>
      <c r="B573" s="71"/>
      <c r="C573" s="71"/>
      <c r="D573" s="71"/>
      <c r="E573" s="71"/>
    </row>
    <row r="574" ht="15.75" customHeight="1">
      <c r="A574" s="71"/>
      <c r="B574" s="71"/>
      <c r="C574" s="71"/>
      <c r="D574" s="71"/>
      <c r="E574" s="71"/>
    </row>
    <row r="575" ht="15.75" customHeight="1">
      <c r="A575" s="71"/>
      <c r="B575" s="71"/>
      <c r="C575" s="71"/>
      <c r="D575" s="71"/>
      <c r="E575" s="71"/>
    </row>
    <row r="576" ht="15.75" customHeight="1">
      <c r="A576" s="71"/>
      <c r="B576" s="71"/>
      <c r="C576" s="71"/>
      <c r="D576" s="71"/>
      <c r="E576" s="71"/>
    </row>
    <row r="577" ht="15.75" customHeight="1">
      <c r="A577" s="71"/>
      <c r="B577" s="71"/>
      <c r="C577" s="71"/>
      <c r="D577" s="71"/>
      <c r="E577" s="71"/>
    </row>
    <row r="578" ht="15.75" customHeight="1">
      <c r="A578" s="71"/>
      <c r="B578" s="71"/>
      <c r="C578" s="71"/>
      <c r="D578" s="71"/>
      <c r="E578" s="71"/>
    </row>
    <row r="579" ht="15.75" customHeight="1">
      <c r="A579" s="71"/>
      <c r="B579" s="71"/>
      <c r="C579" s="71"/>
      <c r="D579" s="71"/>
      <c r="E579" s="71"/>
    </row>
    <row r="580" ht="15.75" customHeight="1">
      <c r="A580" s="71"/>
      <c r="B580" s="71"/>
      <c r="C580" s="71"/>
      <c r="D580" s="71"/>
      <c r="E580" s="71"/>
    </row>
    <row r="581" ht="15.75" customHeight="1">
      <c r="A581" s="71"/>
      <c r="B581" s="71"/>
      <c r="C581" s="71"/>
      <c r="D581" s="71"/>
      <c r="E581" s="71"/>
    </row>
    <row r="582" ht="15.75" customHeight="1">
      <c r="A582" s="71"/>
      <c r="B582" s="71"/>
      <c r="C582" s="71"/>
      <c r="D582" s="71"/>
      <c r="E582" s="71"/>
    </row>
    <row r="583" ht="15.75" customHeight="1">
      <c r="A583" s="71"/>
      <c r="B583" s="71"/>
      <c r="C583" s="71"/>
      <c r="D583" s="71"/>
      <c r="E583" s="71"/>
    </row>
    <row r="584" ht="15.75" customHeight="1">
      <c r="A584" s="71"/>
      <c r="B584" s="71"/>
      <c r="C584" s="71"/>
      <c r="D584" s="71"/>
      <c r="E584" s="71"/>
    </row>
    <row r="585" ht="15.75" customHeight="1">
      <c r="A585" s="71"/>
      <c r="B585" s="71"/>
      <c r="C585" s="71"/>
      <c r="D585" s="71"/>
      <c r="E585" s="71"/>
    </row>
    <row r="586" ht="15.75" customHeight="1">
      <c r="A586" s="71"/>
      <c r="B586" s="71"/>
      <c r="C586" s="71"/>
      <c r="D586" s="71"/>
      <c r="E586" s="71"/>
    </row>
    <row r="587" ht="15.75" customHeight="1">
      <c r="A587" s="71"/>
      <c r="B587" s="71"/>
      <c r="C587" s="71"/>
      <c r="D587" s="71"/>
      <c r="E587" s="71"/>
    </row>
    <row r="588" ht="15.75" customHeight="1">
      <c r="A588" s="71"/>
      <c r="B588" s="71"/>
      <c r="C588" s="71"/>
      <c r="D588" s="71"/>
      <c r="E588" s="71"/>
    </row>
    <row r="589" ht="15.75" customHeight="1">
      <c r="A589" s="71"/>
      <c r="B589" s="71"/>
      <c r="C589" s="71"/>
      <c r="D589" s="71"/>
      <c r="E589" s="71"/>
    </row>
    <row r="590" ht="15.75" customHeight="1">
      <c r="A590" s="71"/>
      <c r="B590" s="71"/>
      <c r="C590" s="71"/>
      <c r="D590" s="71"/>
      <c r="E590" s="71"/>
    </row>
    <row r="591" ht="15.75" customHeight="1">
      <c r="A591" s="71"/>
      <c r="B591" s="71"/>
      <c r="C591" s="71"/>
      <c r="D591" s="71"/>
      <c r="E591" s="71"/>
    </row>
    <row r="592" ht="15.75" customHeight="1">
      <c r="A592" s="71"/>
      <c r="B592" s="71"/>
      <c r="C592" s="71"/>
      <c r="D592" s="71"/>
      <c r="E592" s="71"/>
    </row>
    <row r="593" ht="15.75" customHeight="1">
      <c r="A593" s="71"/>
      <c r="B593" s="71"/>
      <c r="C593" s="71"/>
      <c r="D593" s="71"/>
      <c r="E593" s="71"/>
    </row>
    <row r="594" ht="15.75" customHeight="1">
      <c r="A594" s="71"/>
      <c r="B594" s="71"/>
      <c r="C594" s="71"/>
      <c r="D594" s="71"/>
      <c r="E594" s="71"/>
    </row>
    <row r="595" ht="15.75" customHeight="1">
      <c r="A595" s="71"/>
      <c r="B595" s="71"/>
      <c r="C595" s="71"/>
      <c r="D595" s="71"/>
      <c r="E595" s="71"/>
    </row>
    <row r="596" ht="15.75" customHeight="1">
      <c r="A596" s="71"/>
      <c r="B596" s="71"/>
      <c r="C596" s="71"/>
      <c r="D596" s="71"/>
      <c r="E596" s="71"/>
    </row>
    <row r="597" ht="15.75" customHeight="1">
      <c r="A597" s="71"/>
      <c r="B597" s="71"/>
      <c r="C597" s="71"/>
      <c r="D597" s="71"/>
      <c r="E597" s="71"/>
    </row>
    <row r="598" ht="15.75" customHeight="1">
      <c r="A598" s="71"/>
      <c r="B598" s="71"/>
      <c r="C598" s="71"/>
      <c r="D598" s="71"/>
      <c r="E598" s="71"/>
    </row>
    <row r="599" ht="15.75" customHeight="1">
      <c r="A599" s="71"/>
      <c r="B599" s="71"/>
      <c r="C599" s="71"/>
      <c r="D599" s="71"/>
      <c r="E599" s="71"/>
    </row>
    <row r="600" ht="15.75" customHeight="1">
      <c r="A600" s="71"/>
      <c r="B600" s="71"/>
      <c r="C600" s="71"/>
      <c r="D600" s="71"/>
      <c r="E600" s="71"/>
    </row>
    <row r="601" ht="15.75" customHeight="1">
      <c r="A601" s="71"/>
      <c r="B601" s="71"/>
      <c r="C601" s="71"/>
      <c r="D601" s="71"/>
      <c r="E601" s="71"/>
    </row>
    <row r="602" ht="15.75" customHeight="1">
      <c r="A602" s="71"/>
      <c r="B602" s="71"/>
      <c r="C602" s="71"/>
      <c r="D602" s="71"/>
      <c r="E602" s="71"/>
    </row>
    <row r="603" ht="15.75" customHeight="1">
      <c r="A603" s="71"/>
      <c r="B603" s="71"/>
      <c r="C603" s="71"/>
      <c r="D603" s="71"/>
      <c r="E603" s="71"/>
    </row>
    <row r="604" ht="15.75" customHeight="1">
      <c r="A604" s="71"/>
      <c r="B604" s="71"/>
      <c r="C604" s="71"/>
      <c r="D604" s="71"/>
      <c r="E604" s="71"/>
    </row>
    <row r="605" ht="15.75" customHeight="1">
      <c r="A605" s="71"/>
      <c r="B605" s="71"/>
      <c r="C605" s="71"/>
      <c r="D605" s="71"/>
      <c r="E605" s="71"/>
    </row>
    <row r="606" ht="15.75" customHeight="1">
      <c r="A606" s="71"/>
      <c r="B606" s="71"/>
      <c r="C606" s="71"/>
      <c r="D606" s="71"/>
      <c r="E606" s="71"/>
    </row>
    <row r="607" ht="15.75" customHeight="1">
      <c r="A607" s="71"/>
      <c r="B607" s="71"/>
      <c r="C607" s="71"/>
      <c r="D607" s="71"/>
      <c r="E607" s="71"/>
    </row>
    <row r="608" ht="15.75" customHeight="1">
      <c r="A608" s="71"/>
      <c r="B608" s="71"/>
      <c r="C608" s="71"/>
      <c r="D608" s="71"/>
      <c r="E608" s="71"/>
    </row>
    <row r="609" ht="15.75" customHeight="1">
      <c r="A609" s="71"/>
      <c r="B609" s="71"/>
      <c r="C609" s="71"/>
      <c r="D609" s="71"/>
      <c r="E609" s="71"/>
    </row>
    <row r="610" ht="15.75" customHeight="1">
      <c r="A610" s="71"/>
      <c r="B610" s="71"/>
      <c r="C610" s="71"/>
      <c r="D610" s="71"/>
      <c r="E610" s="71"/>
    </row>
    <row r="611" ht="15.75" customHeight="1">
      <c r="A611" s="71"/>
      <c r="B611" s="71"/>
      <c r="C611" s="71"/>
      <c r="D611" s="71"/>
      <c r="E611" s="71"/>
    </row>
    <row r="612" ht="15.75" customHeight="1">
      <c r="A612" s="71"/>
      <c r="B612" s="71"/>
      <c r="C612" s="71"/>
      <c r="D612" s="71"/>
      <c r="E612" s="71"/>
    </row>
    <row r="613" ht="15.75" customHeight="1">
      <c r="A613" s="71"/>
      <c r="B613" s="71"/>
      <c r="C613" s="71"/>
      <c r="D613" s="71"/>
      <c r="E613" s="71"/>
    </row>
    <row r="614" ht="15.75" customHeight="1">
      <c r="A614" s="71"/>
      <c r="B614" s="71"/>
      <c r="C614" s="71"/>
      <c r="D614" s="71"/>
      <c r="E614" s="71"/>
    </row>
    <row r="615" ht="15.75" customHeight="1">
      <c r="A615" s="71"/>
      <c r="B615" s="71"/>
      <c r="C615" s="71"/>
      <c r="D615" s="71"/>
      <c r="E615" s="71"/>
    </row>
    <row r="616" ht="15.75" customHeight="1">
      <c r="A616" s="71"/>
      <c r="B616" s="71"/>
      <c r="C616" s="71"/>
      <c r="D616" s="71"/>
      <c r="E616" s="71"/>
    </row>
    <row r="617" ht="15.75" customHeight="1">
      <c r="A617" s="71"/>
      <c r="B617" s="71"/>
      <c r="C617" s="71"/>
      <c r="D617" s="71"/>
      <c r="E617" s="71"/>
    </row>
    <row r="618" ht="15.75" customHeight="1">
      <c r="A618" s="71"/>
      <c r="B618" s="71"/>
      <c r="C618" s="71"/>
      <c r="D618" s="71"/>
      <c r="E618" s="71"/>
    </row>
    <row r="619" ht="15.75" customHeight="1">
      <c r="A619" s="71"/>
      <c r="B619" s="71"/>
      <c r="C619" s="71"/>
      <c r="D619" s="71"/>
      <c r="E619" s="71"/>
    </row>
    <row r="620" ht="15.75" customHeight="1">
      <c r="A620" s="71"/>
      <c r="B620" s="71"/>
      <c r="C620" s="71"/>
      <c r="D620" s="71"/>
      <c r="E620" s="71"/>
    </row>
    <row r="621" ht="15.75" customHeight="1">
      <c r="A621" s="71"/>
      <c r="B621" s="71"/>
      <c r="C621" s="71"/>
      <c r="D621" s="71"/>
      <c r="E621" s="71"/>
    </row>
    <row r="622" ht="15.75" customHeight="1">
      <c r="A622" s="71"/>
      <c r="B622" s="71"/>
      <c r="C622" s="71"/>
      <c r="D622" s="71"/>
      <c r="E622" s="71"/>
    </row>
    <row r="623" ht="15.75" customHeight="1">
      <c r="A623" s="71"/>
      <c r="B623" s="71"/>
      <c r="C623" s="71"/>
      <c r="D623" s="71"/>
      <c r="E623" s="71"/>
    </row>
    <row r="624" ht="15.75" customHeight="1">
      <c r="A624" s="71"/>
      <c r="B624" s="71"/>
      <c r="C624" s="71"/>
      <c r="D624" s="71"/>
      <c r="E624" s="71"/>
    </row>
    <row r="625" ht="15.75" customHeight="1">
      <c r="A625" s="71"/>
      <c r="B625" s="71"/>
      <c r="C625" s="71"/>
      <c r="D625" s="71"/>
      <c r="E625" s="71"/>
    </row>
    <row r="626" ht="15.75" customHeight="1">
      <c r="A626" s="71"/>
      <c r="B626" s="71"/>
      <c r="C626" s="71"/>
      <c r="D626" s="71"/>
      <c r="E626" s="71"/>
    </row>
    <row r="627" ht="15.75" customHeight="1">
      <c r="A627" s="71"/>
      <c r="B627" s="71"/>
      <c r="C627" s="71"/>
      <c r="D627" s="71"/>
      <c r="E627" s="71"/>
    </row>
    <row r="628" ht="15.75" customHeight="1">
      <c r="A628" s="71"/>
      <c r="B628" s="71"/>
      <c r="C628" s="71"/>
      <c r="D628" s="71"/>
      <c r="E628" s="71"/>
    </row>
    <row r="629" ht="15.75" customHeight="1">
      <c r="A629" s="71"/>
      <c r="B629" s="71"/>
      <c r="C629" s="71"/>
      <c r="D629" s="71"/>
      <c r="E629" s="71"/>
    </row>
    <row r="630" ht="15.75" customHeight="1">
      <c r="A630" s="71"/>
      <c r="B630" s="71"/>
      <c r="C630" s="71"/>
      <c r="D630" s="71"/>
      <c r="E630" s="71"/>
    </row>
    <row r="631" ht="15.75" customHeight="1">
      <c r="A631" s="71"/>
      <c r="B631" s="71"/>
      <c r="C631" s="71"/>
      <c r="D631" s="71"/>
      <c r="E631" s="71"/>
    </row>
    <row r="632" ht="15.75" customHeight="1">
      <c r="A632" s="71"/>
      <c r="B632" s="71"/>
      <c r="C632" s="71"/>
      <c r="D632" s="71"/>
      <c r="E632" s="71"/>
    </row>
    <row r="633" ht="15.75" customHeight="1">
      <c r="A633" s="71"/>
      <c r="B633" s="71"/>
      <c r="C633" s="71"/>
      <c r="D633" s="71"/>
      <c r="E633" s="71"/>
    </row>
    <row r="634" ht="15.75" customHeight="1">
      <c r="A634" s="71"/>
      <c r="B634" s="71"/>
      <c r="C634" s="71"/>
      <c r="D634" s="71"/>
      <c r="E634" s="71"/>
    </row>
    <row r="635" ht="15.75" customHeight="1">
      <c r="A635" s="71"/>
      <c r="B635" s="71"/>
      <c r="C635" s="71"/>
      <c r="D635" s="71"/>
      <c r="E635" s="71"/>
    </row>
    <row r="636" ht="15.75" customHeight="1">
      <c r="A636" s="71"/>
      <c r="B636" s="71"/>
      <c r="C636" s="71"/>
      <c r="D636" s="71"/>
      <c r="E636" s="71"/>
    </row>
    <row r="637" ht="15.75" customHeight="1">
      <c r="A637" s="71"/>
      <c r="B637" s="71"/>
      <c r="C637" s="71"/>
      <c r="D637" s="71"/>
      <c r="E637" s="71"/>
    </row>
    <row r="638" ht="15.75" customHeight="1">
      <c r="A638" s="71"/>
      <c r="B638" s="71"/>
      <c r="C638" s="71"/>
      <c r="D638" s="71"/>
      <c r="E638" s="71"/>
    </row>
    <row r="639" ht="15.75" customHeight="1">
      <c r="A639" s="71"/>
      <c r="B639" s="71"/>
      <c r="C639" s="71"/>
      <c r="D639" s="71"/>
      <c r="E639" s="71"/>
    </row>
    <row r="640" ht="15.75" customHeight="1">
      <c r="A640" s="71"/>
      <c r="B640" s="71"/>
      <c r="C640" s="71"/>
      <c r="D640" s="71"/>
      <c r="E640" s="71"/>
    </row>
    <row r="641" ht="15.75" customHeight="1">
      <c r="A641" s="71"/>
      <c r="B641" s="71"/>
      <c r="C641" s="71"/>
      <c r="D641" s="71"/>
      <c r="E641" s="71"/>
    </row>
    <row r="642" ht="15.75" customHeight="1">
      <c r="A642" s="71"/>
      <c r="B642" s="71"/>
      <c r="C642" s="71"/>
      <c r="D642" s="71"/>
      <c r="E642" s="71"/>
    </row>
    <row r="643" ht="15.75" customHeight="1">
      <c r="A643" s="71"/>
      <c r="B643" s="71"/>
      <c r="C643" s="71"/>
      <c r="D643" s="71"/>
      <c r="E643" s="71"/>
    </row>
    <row r="644" ht="15.75" customHeight="1">
      <c r="A644" s="71"/>
      <c r="B644" s="71"/>
      <c r="C644" s="71"/>
      <c r="D644" s="71"/>
      <c r="E644" s="71"/>
    </row>
    <row r="645" ht="15.75" customHeight="1">
      <c r="A645" s="71"/>
      <c r="B645" s="71"/>
      <c r="C645" s="71"/>
      <c r="D645" s="71"/>
      <c r="E645" s="71"/>
    </row>
    <row r="646" ht="15.75" customHeight="1">
      <c r="A646" s="71"/>
      <c r="B646" s="71"/>
      <c r="C646" s="71"/>
      <c r="D646" s="71"/>
      <c r="E646" s="71"/>
    </row>
    <row r="647" ht="15.75" customHeight="1">
      <c r="A647" s="71"/>
      <c r="B647" s="71"/>
      <c r="C647" s="71"/>
      <c r="D647" s="71"/>
      <c r="E647" s="71"/>
    </row>
    <row r="648" ht="15.75" customHeight="1">
      <c r="A648" s="71"/>
      <c r="B648" s="71"/>
      <c r="C648" s="71"/>
      <c r="D648" s="71"/>
      <c r="E648" s="71"/>
    </row>
    <row r="649" ht="15.75" customHeight="1">
      <c r="A649" s="71"/>
      <c r="B649" s="71"/>
      <c r="C649" s="71"/>
      <c r="D649" s="71"/>
      <c r="E649" s="71"/>
    </row>
    <row r="650" ht="15.75" customHeight="1">
      <c r="A650" s="71"/>
      <c r="B650" s="71"/>
      <c r="C650" s="71"/>
      <c r="D650" s="71"/>
      <c r="E650" s="71"/>
    </row>
    <row r="651" ht="15.75" customHeight="1">
      <c r="A651" s="71"/>
      <c r="B651" s="71"/>
      <c r="C651" s="71"/>
      <c r="D651" s="71"/>
      <c r="E651" s="71"/>
    </row>
    <row r="652" ht="15.75" customHeight="1">
      <c r="A652" s="71"/>
      <c r="B652" s="71"/>
      <c r="C652" s="71"/>
      <c r="D652" s="71"/>
      <c r="E652" s="71"/>
    </row>
    <row r="653" ht="15.75" customHeight="1">
      <c r="A653" s="71"/>
      <c r="B653" s="71"/>
      <c r="C653" s="71"/>
      <c r="D653" s="71"/>
      <c r="E653" s="71"/>
    </row>
    <row r="654" ht="15.75" customHeight="1">
      <c r="A654" s="71"/>
      <c r="B654" s="71"/>
      <c r="C654" s="71"/>
      <c r="D654" s="71"/>
      <c r="E654" s="71"/>
    </row>
    <row r="655" ht="15.75" customHeight="1">
      <c r="A655" s="71"/>
      <c r="B655" s="71"/>
      <c r="C655" s="71"/>
      <c r="D655" s="71"/>
      <c r="E655" s="71"/>
    </row>
    <row r="656" ht="15.75" customHeight="1">
      <c r="A656" s="71"/>
      <c r="B656" s="71"/>
      <c r="C656" s="71"/>
      <c r="D656" s="71"/>
      <c r="E656" s="71"/>
    </row>
    <row r="657" ht="15.75" customHeight="1">
      <c r="A657" s="71"/>
      <c r="B657" s="71"/>
      <c r="C657" s="71"/>
      <c r="D657" s="71"/>
      <c r="E657" s="71"/>
    </row>
    <row r="658" ht="15.75" customHeight="1">
      <c r="A658" s="71"/>
      <c r="B658" s="71"/>
      <c r="C658" s="71"/>
      <c r="D658" s="71"/>
      <c r="E658" s="71"/>
    </row>
    <row r="659" ht="15.75" customHeight="1">
      <c r="A659" s="71"/>
      <c r="B659" s="71"/>
      <c r="C659" s="71"/>
      <c r="D659" s="71"/>
      <c r="E659" s="71"/>
    </row>
    <row r="660" ht="15.75" customHeight="1">
      <c r="A660" s="71"/>
      <c r="B660" s="71"/>
      <c r="C660" s="71"/>
      <c r="D660" s="71"/>
      <c r="E660" s="71"/>
    </row>
    <row r="661" ht="15.75" customHeight="1">
      <c r="A661" s="71"/>
      <c r="B661" s="71"/>
      <c r="C661" s="71"/>
      <c r="D661" s="71"/>
      <c r="E661" s="71"/>
    </row>
    <row r="662" ht="15.75" customHeight="1">
      <c r="A662" s="71"/>
      <c r="B662" s="71"/>
      <c r="C662" s="71"/>
      <c r="D662" s="71"/>
      <c r="E662" s="71"/>
    </row>
    <row r="663" ht="15.75" customHeight="1">
      <c r="A663" s="71"/>
      <c r="B663" s="71"/>
      <c r="C663" s="71"/>
      <c r="D663" s="71"/>
      <c r="E663" s="71"/>
    </row>
    <row r="664" ht="15.75" customHeight="1">
      <c r="A664" s="71"/>
      <c r="B664" s="71"/>
      <c r="C664" s="71"/>
      <c r="D664" s="71"/>
      <c r="E664" s="71"/>
    </row>
    <row r="665" ht="15.75" customHeight="1">
      <c r="A665" s="71"/>
      <c r="B665" s="71"/>
      <c r="C665" s="71"/>
      <c r="D665" s="71"/>
      <c r="E665" s="71"/>
    </row>
    <row r="666" ht="15.75" customHeight="1">
      <c r="A666" s="71"/>
      <c r="B666" s="71"/>
      <c r="C666" s="71"/>
      <c r="D666" s="71"/>
      <c r="E666" s="71"/>
    </row>
    <row r="667" ht="15.75" customHeight="1">
      <c r="A667" s="71"/>
      <c r="B667" s="71"/>
      <c r="C667" s="71"/>
      <c r="D667" s="71"/>
      <c r="E667" s="71"/>
    </row>
    <row r="668" ht="15.75" customHeight="1">
      <c r="A668" s="71"/>
      <c r="B668" s="71"/>
      <c r="C668" s="71"/>
      <c r="D668" s="71"/>
      <c r="E668" s="71"/>
    </row>
    <row r="669" ht="15.75" customHeight="1">
      <c r="A669" s="71"/>
      <c r="B669" s="71"/>
      <c r="C669" s="71"/>
      <c r="D669" s="71"/>
      <c r="E669" s="71"/>
    </row>
    <row r="670" ht="15.75" customHeight="1">
      <c r="A670" s="71"/>
      <c r="B670" s="71"/>
      <c r="C670" s="71"/>
      <c r="D670" s="71"/>
      <c r="E670" s="71"/>
    </row>
    <row r="671" ht="15.75" customHeight="1">
      <c r="A671" s="71"/>
      <c r="B671" s="71"/>
      <c r="C671" s="71"/>
      <c r="D671" s="71"/>
      <c r="E671" s="71"/>
    </row>
    <row r="672" ht="15.75" customHeight="1">
      <c r="A672" s="71"/>
      <c r="B672" s="71"/>
      <c r="C672" s="71"/>
      <c r="D672" s="71"/>
      <c r="E672" s="71"/>
    </row>
    <row r="673" ht="15.75" customHeight="1">
      <c r="A673" s="71"/>
      <c r="B673" s="71"/>
      <c r="C673" s="71"/>
      <c r="D673" s="71"/>
      <c r="E673" s="71"/>
    </row>
    <row r="674" ht="15.75" customHeight="1">
      <c r="A674" s="71"/>
      <c r="B674" s="71"/>
      <c r="C674" s="71"/>
      <c r="D674" s="71"/>
      <c r="E674" s="71"/>
    </row>
    <row r="675" ht="15.75" customHeight="1">
      <c r="A675" s="71"/>
      <c r="B675" s="71"/>
      <c r="C675" s="71"/>
      <c r="D675" s="71"/>
      <c r="E675" s="71"/>
    </row>
    <row r="676" ht="15.75" customHeight="1">
      <c r="A676" s="71"/>
      <c r="B676" s="71"/>
      <c r="C676" s="71"/>
      <c r="D676" s="71"/>
      <c r="E676" s="71"/>
    </row>
    <row r="677" ht="15.75" customHeight="1">
      <c r="A677" s="71"/>
      <c r="B677" s="71"/>
      <c r="C677" s="71"/>
      <c r="D677" s="71"/>
      <c r="E677" s="71"/>
    </row>
    <row r="678" ht="15.75" customHeight="1">
      <c r="A678" s="71"/>
      <c r="B678" s="71"/>
      <c r="C678" s="71"/>
      <c r="D678" s="71"/>
      <c r="E678" s="71"/>
    </row>
    <row r="679" ht="15.75" customHeight="1">
      <c r="A679" s="71"/>
      <c r="B679" s="71"/>
      <c r="C679" s="71"/>
      <c r="D679" s="71"/>
      <c r="E679" s="71"/>
    </row>
    <row r="680" ht="15.75" customHeight="1">
      <c r="A680" s="71"/>
      <c r="B680" s="71"/>
      <c r="C680" s="71"/>
      <c r="D680" s="71"/>
      <c r="E680" s="71"/>
    </row>
    <row r="681" ht="15.75" customHeight="1">
      <c r="A681" s="71"/>
      <c r="B681" s="71"/>
      <c r="C681" s="71"/>
      <c r="D681" s="71"/>
      <c r="E681" s="71"/>
    </row>
    <row r="682" ht="15.75" customHeight="1">
      <c r="A682" s="71"/>
      <c r="B682" s="71"/>
      <c r="C682" s="71"/>
      <c r="D682" s="71"/>
      <c r="E682" s="71"/>
    </row>
    <row r="683" ht="15.75" customHeight="1">
      <c r="A683" s="71"/>
      <c r="B683" s="71"/>
      <c r="C683" s="71"/>
      <c r="D683" s="71"/>
      <c r="E683" s="71"/>
    </row>
    <row r="684" ht="15.75" customHeight="1">
      <c r="A684" s="71"/>
      <c r="B684" s="71"/>
      <c r="C684" s="71"/>
      <c r="D684" s="71"/>
      <c r="E684" s="71"/>
    </row>
    <row r="685" ht="15.75" customHeight="1">
      <c r="A685" s="71"/>
      <c r="B685" s="71"/>
      <c r="C685" s="71"/>
      <c r="D685" s="71"/>
      <c r="E685" s="71"/>
    </row>
    <row r="686" ht="15.75" customHeight="1">
      <c r="A686" s="71"/>
      <c r="B686" s="71"/>
      <c r="C686" s="71"/>
      <c r="D686" s="71"/>
      <c r="E686" s="71"/>
    </row>
    <row r="687" ht="15.75" customHeight="1">
      <c r="A687" s="71"/>
      <c r="B687" s="71"/>
      <c r="C687" s="71"/>
      <c r="D687" s="71"/>
      <c r="E687" s="71"/>
    </row>
    <row r="688" ht="15.75" customHeight="1">
      <c r="A688" s="71"/>
      <c r="B688" s="71"/>
      <c r="C688" s="71"/>
      <c r="D688" s="71"/>
      <c r="E688" s="71"/>
    </row>
    <row r="689" ht="15.75" customHeight="1">
      <c r="A689" s="71"/>
      <c r="B689" s="71"/>
      <c r="C689" s="71"/>
      <c r="D689" s="71"/>
      <c r="E689" s="71"/>
    </row>
    <row r="690" ht="15.75" customHeight="1">
      <c r="A690" s="71"/>
      <c r="B690" s="71"/>
      <c r="C690" s="71"/>
      <c r="D690" s="71"/>
      <c r="E690" s="71"/>
    </row>
    <row r="691" ht="15.75" customHeight="1">
      <c r="A691" s="71"/>
      <c r="B691" s="71"/>
      <c r="C691" s="71"/>
      <c r="D691" s="71"/>
      <c r="E691" s="71"/>
    </row>
    <row r="692" ht="15.75" customHeight="1">
      <c r="A692" s="71"/>
      <c r="B692" s="71"/>
      <c r="C692" s="71"/>
      <c r="D692" s="71"/>
      <c r="E692" s="71"/>
    </row>
    <row r="693" ht="15.75" customHeight="1">
      <c r="A693" s="71"/>
      <c r="B693" s="71"/>
      <c r="C693" s="71"/>
      <c r="D693" s="71"/>
      <c r="E693" s="71"/>
    </row>
    <row r="694" ht="15.75" customHeight="1">
      <c r="A694" s="71"/>
      <c r="B694" s="71"/>
      <c r="C694" s="71"/>
      <c r="D694" s="71"/>
      <c r="E694" s="71"/>
    </row>
    <row r="695" ht="15.75" customHeight="1">
      <c r="A695" s="71"/>
      <c r="B695" s="71"/>
      <c r="C695" s="71"/>
      <c r="D695" s="71"/>
      <c r="E695" s="71"/>
    </row>
    <row r="696" ht="15.75" customHeight="1">
      <c r="A696" s="71"/>
      <c r="B696" s="71"/>
      <c r="C696" s="71"/>
      <c r="D696" s="71"/>
      <c r="E696" s="71"/>
    </row>
    <row r="697" ht="15.75" customHeight="1">
      <c r="A697" s="71"/>
      <c r="B697" s="71"/>
      <c r="C697" s="71"/>
      <c r="D697" s="71"/>
      <c r="E697" s="71"/>
    </row>
    <row r="698" ht="15.75" customHeight="1">
      <c r="A698" s="71"/>
      <c r="B698" s="71"/>
      <c r="C698" s="71"/>
      <c r="D698" s="71"/>
      <c r="E698" s="71"/>
    </row>
    <row r="699" ht="15.75" customHeight="1">
      <c r="A699" s="71"/>
      <c r="B699" s="71"/>
      <c r="C699" s="71"/>
      <c r="D699" s="71"/>
      <c r="E699" s="71"/>
    </row>
    <row r="700" ht="15.75" customHeight="1">
      <c r="A700" s="71"/>
      <c r="B700" s="71"/>
      <c r="C700" s="71"/>
      <c r="D700" s="71"/>
      <c r="E700" s="71"/>
    </row>
    <row r="701" ht="15.75" customHeight="1">
      <c r="A701" s="71"/>
      <c r="B701" s="71"/>
      <c r="C701" s="71"/>
      <c r="D701" s="71"/>
      <c r="E701" s="71"/>
    </row>
    <row r="702" ht="15.75" customHeight="1">
      <c r="A702" s="71"/>
      <c r="B702" s="71"/>
      <c r="C702" s="71"/>
      <c r="D702" s="71"/>
      <c r="E702" s="71"/>
    </row>
    <row r="703" ht="15.75" customHeight="1">
      <c r="A703" s="71"/>
      <c r="B703" s="71"/>
      <c r="C703" s="71"/>
      <c r="D703" s="71"/>
      <c r="E703" s="71"/>
    </row>
    <row r="704" ht="15.75" customHeight="1">
      <c r="A704" s="71"/>
      <c r="B704" s="71"/>
      <c r="C704" s="71"/>
      <c r="D704" s="71"/>
      <c r="E704" s="71"/>
    </row>
    <row r="705" ht="15.75" customHeight="1">
      <c r="A705" s="71"/>
      <c r="B705" s="71"/>
      <c r="C705" s="71"/>
      <c r="D705" s="71"/>
      <c r="E705" s="71"/>
    </row>
    <row r="706" ht="15.75" customHeight="1">
      <c r="A706" s="71"/>
      <c r="B706" s="71"/>
      <c r="C706" s="71"/>
      <c r="D706" s="71"/>
      <c r="E706" s="71"/>
    </row>
    <row r="707" ht="15.75" customHeight="1">
      <c r="A707" s="71"/>
      <c r="B707" s="71"/>
      <c r="C707" s="71"/>
      <c r="D707" s="71"/>
      <c r="E707" s="71"/>
    </row>
    <row r="708" ht="15.75" customHeight="1">
      <c r="A708" s="71"/>
      <c r="B708" s="71"/>
      <c r="C708" s="71"/>
      <c r="D708" s="71"/>
      <c r="E708" s="71"/>
    </row>
    <row r="709" ht="15.75" customHeight="1">
      <c r="A709" s="71"/>
      <c r="B709" s="71"/>
      <c r="C709" s="71"/>
      <c r="D709" s="71"/>
      <c r="E709" s="71"/>
    </row>
    <row r="710" ht="15.75" customHeight="1">
      <c r="A710" s="71"/>
      <c r="B710" s="71"/>
      <c r="C710" s="71"/>
      <c r="D710" s="71"/>
      <c r="E710" s="71"/>
    </row>
    <row r="711" ht="15.75" customHeight="1">
      <c r="A711" s="71"/>
      <c r="B711" s="71"/>
      <c r="C711" s="71"/>
      <c r="D711" s="71"/>
      <c r="E711" s="71"/>
    </row>
    <row r="712" ht="15.75" customHeight="1">
      <c r="A712" s="71"/>
      <c r="B712" s="71"/>
      <c r="C712" s="71"/>
      <c r="D712" s="71"/>
      <c r="E712" s="71"/>
    </row>
    <row r="713" ht="15.75" customHeight="1">
      <c r="A713" s="71"/>
      <c r="B713" s="71"/>
      <c r="C713" s="71"/>
      <c r="D713" s="71"/>
      <c r="E713" s="71"/>
    </row>
    <row r="714" ht="15.75" customHeight="1">
      <c r="A714" s="71"/>
      <c r="B714" s="71"/>
      <c r="C714" s="71"/>
      <c r="D714" s="71"/>
      <c r="E714" s="71"/>
    </row>
    <row r="715" ht="15.75" customHeight="1">
      <c r="A715" s="71"/>
      <c r="B715" s="71"/>
      <c r="C715" s="71"/>
      <c r="D715" s="71"/>
      <c r="E715" s="71"/>
    </row>
    <row r="716" ht="15.75" customHeight="1">
      <c r="A716" s="71"/>
      <c r="B716" s="71"/>
      <c r="C716" s="71"/>
      <c r="D716" s="71"/>
      <c r="E716" s="71"/>
    </row>
    <row r="717" ht="15.75" customHeight="1">
      <c r="A717" s="71"/>
      <c r="B717" s="71"/>
      <c r="C717" s="71"/>
      <c r="D717" s="71"/>
      <c r="E717" s="71"/>
    </row>
    <row r="718" ht="15.75" customHeight="1">
      <c r="A718" s="71"/>
      <c r="B718" s="71"/>
      <c r="C718" s="71"/>
      <c r="D718" s="71"/>
      <c r="E718" s="71"/>
    </row>
    <row r="719" ht="15.75" customHeight="1">
      <c r="A719" s="71"/>
      <c r="B719" s="71"/>
      <c r="C719" s="71"/>
      <c r="D719" s="71"/>
      <c r="E719" s="71"/>
    </row>
    <row r="720" ht="15.75" customHeight="1">
      <c r="A720" s="71"/>
      <c r="B720" s="71"/>
      <c r="C720" s="71"/>
      <c r="D720" s="71"/>
      <c r="E720" s="71"/>
    </row>
    <row r="721" ht="15.75" customHeight="1">
      <c r="A721" s="71"/>
      <c r="B721" s="71"/>
      <c r="C721" s="71"/>
      <c r="D721" s="71"/>
      <c r="E721" s="71"/>
    </row>
    <row r="722" ht="15.75" customHeight="1">
      <c r="A722" s="71"/>
      <c r="B722" s="71"/>
      <c r="C722" s="71"/>
      <c r="D722" s="71"/>
      <c r="E722" s="71"/>
    </row>
    <row r="723" ht="15.75" customHeight="1">
      <c r="A723" s="71"/>
      <c r="B723" s="71"/>
      <c r="C723" s="71"/>
      <c r="D723" s="71"/>
      <c r="E723" s="71"/>
    </row>
    <row r="724" ht="15.75" customHeight="1">
      <c r="A724" s="71"/>
      <c r="B724" s="71"/>
      <c r="C724" s="71"/>
      <c r="D724" s="71"/>
      <c r="E724" s="71"/>
    </row>
    <row r="725" ht="15.75" customHeight="1">
      <c r="A725" s="71"/>
      <c r="B725" s="71"/>
      <c r="C725" s="71"/>
      <c r="D725" s="71"/>
      <c r="E725" s="71"/>
    </row>
    <row r="726" ht="15.75" customHeight="1">
      <c r="A726" s="71"/>
      <c r="B726" s="71"/>
      <c r="C726" s="71"/>
      <c r="D726" s="71"/>
      <c r="E726" s="71"/>
    </row>
    <row r="727" ht="15.75" customHeight="1">
      <c r="A727" s="71"/>
      <c r="B727" s="71"/>
      <c r="C727" s="71"/>
      <c r="D727" s="71"/>
      <c r="E727" s="71"/>
    </row>
    <row r="728" ht="15.75" customHeight="1">
      <c r="A728" s="71"/>
      <c r="B728" s="71"/>
      <c r="C728" s="71"/>
      <c r="D728" s="71"/>
      <c r="E728" s="71"/>
    </row>
    <row r="729" ht="15.75" customHeight="1">
      <c r="A729" s="71"/>
      <c r="B729" s="71"/>
      <c r="C729" s="71"/>
      <c r="D729" s="71"/>
      <c r="E729" s="71"/>
    </row>
    <row r="730" ht="15.75" customHeight="1">
      <c r="A730" s="71"/>
      <c r="B730" s="71"/>
      <c r="C730" s="71"/>
      <c r="D730" s="71"/>
      <c r="E730" s="71"/>
    </row>
    <row r="731" ht="15.75" customHeight="1">
      <c r="A731" s="71"/>
      <c r="B731" s="71"/>
      <c r="C731" s="71"/>
      <c r="D731" s="71"/>
      <c r="E731" s="71"/>
    </row>
    <row r="732" ht="15.75" customHeight="1">
      <c r="A732" s="71"/>
      <c r="B732" s="71"/>
      <c r="C732" s="71"/>
      <c r="D732" s="71"/>
      <c r="E732" s="71"/>
    </row>
    <row r="733" ht="15.75" customHeight="1">
      <c r="A733" s="71"/>
      <c r="B733" s="71"/>
      <c r="C733" s="71"/>
      <c r="D733" s="71"/>
      <c r="E733" s="71"/>
    </row>
    <row r="734" ht="15.75" customHeight="1">
      <c r="A734" s="71"/>
      <c r="B734" s="71"/>
      <c r="C734" s="71"/>
      <c r="D734" s="71"/>
      <c r="E734" s="71"/>
    </row>
    <row r="735" ht="15.75" customHeight="1">
      <c r="A735" s="71"/>
      <c r="B735" s="71"/>
      <c r="C735" s="71"/>
      <c r="D735" s="71"/>
      <c r="E735" s="71"/>
    </row>
    <row r="736" ht="15.75" customHeight="1">
      <c r="A736" s="71"/>
      <c r="B736" s="71"/>
      <c r="C736" s="71"/>
      <c r="D736" s="71"/>
      <c r="E736" s="71"/>
    </row>
    <row r="737" ht="15.75" customHeight="1">
      <c r="A737" s="71"/>
      <c r="B737" s="71"/>
      <c r="C737" s="71"/>
      <c r="D737" s="71"/>
      <c r="E737" s="71"/>
    </row>
    <row r="738" ht="15.75" customHeight="1">
      <c r="A738" s="71"/>
      <c r="B738" s="71"/>
      <c r="C738" s="71"/>
      <c r="D738" s="71"/>
      <c r="E738" s="71"/>
    </row>
    <row r="739" ht="15.75" customHeight="1">
      <c r="A739" s="71"/>
      <c r="B739" s="71"/>
      <c r="C739" s="71"/>
      <c r="D739" s="71"/>
      <c r="E739" s="71"/>
    </row>
    <row r="740" ht="15.75" customHeight="1">
      <c r="A740" s="71"/>
      <c r="B740" s="71"/>
      <c r="C740" s="71"/>
      <c r="D740" s="71"/>
      <c r="E740" s="71"/>
    </row>
    <row r="741" ht="15.75" customHeight="1">
      <c r="A741" s="71"/>
      <c r="B741" s="71"/>
      <c r="C741" s="71"/>
      <c r="D741" s="71"/>
      <c r="E741" s="71"/>
    </row>
    <row r="742" ht="15.75" customHeight="1">
      <c r="A742" s="71"/>
      <c r="B742" s="71"/>
      <c r="C742" s="71"/>
      <c r="D742" s="71"/>
      <c r="E742" s="71"/>
    </row>
    <row r="743" ht="15.75" customHeight="1">
      <c r="A743" s="71"/>
      <c r="B743" s="71"/>
      <c r="C743" s="71"/>
      <c r="D743" s="71"/>
      <c r="E743" s="71"/>
    </row>
    <row r="744" ht="15.75" customHeight="1">
      <c r="A744" s="71"/>
      <c r="B744" s="71"/>
      <c r="C744" s="71"/>
      <c r="D744" s="71"/>
      <c r="E744" s="71"/>
    </row>
    <row r="745" ht="15.75" customHeight="1">
      <c r="A745" s="71"/>
      <c r="B745" s="71"/>
      <c r="C745" s="71"/>
      <c r="D745" s="71"/>
      <c r="E745" s="71"/>
    </row>
    <row r="746" ht="15.75" customHeight="1">
      <c r="A746" s="71"/>
      <c r="B746" s="71"/>
      <c r="C746" s="71"/>
      <c r="D746" s="71"/>
      <c r="E746" s="71"/>
    </row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