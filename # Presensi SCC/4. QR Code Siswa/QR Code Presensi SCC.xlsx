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X - 33" sheetId="1" r:id="rId5"/>
  </sheets>
  <definedNames>
    <definedName hidden="1" localSheetId="0" name="_xlnm._FilterDatabase">'KELAS X - 33'!$A$1:$F$556</definedName>
  </definedNames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49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0" fontId="2" numFmtId="1" xfId="0" applyAlignment="1" applyBorder="1" applyFont="1" applyNumberForma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gT3AeSc0ECkO2_n_pLT2UwUUWiXxRMVs/view?usp=drivesdk" TargetMode="External"/><Relationship Id="rId194" Type="http://schemas.openxmlformats.org/officeDocument/2006/relationships/hyperlink" Target="https://drive.google.com/file/d/1QQMBSSp0hjH26n5PJhZktYcVAmUH3fFR/view?usp=drivesdk" TargetMode="External"/><Relationship Id="rId193" Type="http://schemas.openxmlformats.org/officeDocument/2006/relationships/hyperlink" Target="https://drive.google.com/file/d/10UbH2FS8D9Dc0z7becyNeTsiiZzDkDuA/view?usp=drivesdk" TargetMode="External"/><Relationship Id="rId192" Type="http://schemas.openxmlformats.org/officeDocument/2006/relationships/hyperlink" Target="https://drive.google.com/file/d/1kg-VuXMgfAsLENAS6FW3F_B3juYm7Sdx/view?usp=drivesdk" TargetMode="External"/><Relationship Id="rId191" Type="http://schemas.openxmlformats.org/officeDocument/2006/relationships/hyperlink" Target="https://drive.google.com/file/d/1IVbGAZfbHbpS3QcBVlzM4jaQNIFSS0cv/view?usp=drivesdk" TargetMode="External"/><Relationship Id="rId187" Type="http://schemas.openxmlformats.org/officeDocument/2006/relationships/hyperlink" Target="https://drive.google.com/file/d/1_b_FwnzYorCDRBowxuasQGiqZV99FGcV/view?usp=drivesdk" TargetMode="External"/><Relationship Id="rId186" Type="http://schemas.openxmlformats.org/officeDocument/2006/relationships/hyperlink" Target="https://drive.google.com/file/d/1R8J3i5ODxAk_Mi-KqnIck1iD3zkhySRL/view?usp=drivesdk" TargetMode="External"/><Relationship Id="rId185" Type="http://schemas.openxmlformats.org/officeDocument/2006/relationships/hyperlink" Target="https://drive.google.com/file/d/1wvF9SSseZ0grM1yk1WxH6nyF-yIv-URz/view?usp=drivesdk" TargetMode="External"/><Relationship Id="rId184" Type="http://schemas.openxmlformats.org/officeDocument/2006/relationships/hyperlink" Target="https://drive.google.com/file/d/1ax1s8LlhkRE8pqEbLCrj7Ujul3np3WwX/view?usp=drivesdk" TargetMode="External"/><Relationship Id="rId189" Type="http://schemas.openxmlformats.org/officeDocument/2006/relationships/hyperlink" Target="https://drive.google.com/file/d/1ZrrNrOkfkuKtlXEBMl0EQBydPNY9ZjEF/view?usp=drivesdk" TargetMode="External"/><Relationship Id="rId188" Type="http://schemas.openxmlformats.org/officeDocument/2006/relationships/hyperlink" Target="https://drive.google.com/file/d/1dOzvpo-GSj80MxMzC-wEXuc6KfWmO4dI/view?usp=drivesdk" TargetMode="External"/><Relationship Id="rId183" Type="http://schemas.openxmlformats.org/officeDocument/2006/relationships/hyperlink" Target="https://drive.google.com/file/d/1r8WJK5JiZS53iA96-DRHXq5RvwIPfLTQ/view?usp=drivesdk" TargetMode="External"/><Relationship Id="rId182" Type="http://schemas.openxmlformats.org/officeDocument/2006/relationships/hyperlink" Target="https://drive.google.com/file/d/1D-Ocxiy33rIwYhuw2Dr8d1SvEeXr8Dsd/view?usp=drivesdk" TargetMode="External"/><Relationship Id="rId181" Type="http://schemas.openxmlformats.org/officeDocument/2006/relationships/hyperlink" Target="https://drive.google.com/file/d/1Yn_AyU087jAs3POAZf8dwCMPrZPZ-4AY/view?usp=drivesdk" TargetMode="External"/><Relationship Id="rId180" Type="http://schemas.openxmlformats.org/officeDocument/2006/relationships/hyperlink" Target="https://drive.google.com/file/d/1LxjQl3_y5FbZXabwdvYgLnH8yR11ZXxU/view?usp=drivesdk" TargetMode="External"/><Relationship Id="rId176" Type="http://schemas.openxmlformats.org/officeDocument/2006/relationships/hyperlink" Target="https://drive.google.com/file/d/1H_9hDuvs1uDGlqhns5LgesxFmtOvk204/view?usp=drivesdk" TargetMode="External"/><Relationship Id="rId175" Type="http://schemas.openxmlformats.org/officeDocument/2006/relationships/hyperlink" Target="https://drive.google.com/file/d/1nDdLIIUXNOy5cAEKQ0ubnzvdovbicSDW/view?usp=drivesdk" TargetMode="External"/><Relationship Id="rId174" Type="http://schemas.openxmlformats.org/officeDocument/2006/relationships/hyperlink" Target="https://drive.google.com/file/d/1x3EBgAY0b0LsatGYUd83-AvIaRgie9oR/view?usp=drivesdk" TargetMode="External"/><Relationship Id="rId173" Type="http://schemas.openxmlformats.org/officeDocument/2006/relationships/hyperlink" Target="https://drive.google.com/file/d/1ra3WjJfYY4y7yug2XeBb-juJ5s3eHPjo/view?usp=drivesdk" TargetMode="External"/><Relationship Id="rId179" Type="http://schemas.openxmlformats.org/officeDocument/2006/relationships/hyperlink" Target="https://drive.google.com/file/d/1DB4K3TlOZCD9YZI9-4QwJQS0RtMlHyyD/view?usp=drivesdk" TargetMode="External"/><Relationship Id="rId178" Type="http://schemas.openxmlformats.org/officeDocument/2006/relationships/hyperlink" Target="https://drive.google.com/file/d/1JyGoIRkDpMoX15AEMsG2CAaPx8u4xJ99/view?usp=drivesdk" TargetMode="External"/><Relationship Id="rId177" Type="http://schemas.openxmlformats.org/officeDocument/2006/relationships/hyperlink" Target="https://drive.google.com/file/d/1_cH6Fd-Dezdj4lVJP8QrLfagHuYeJPSs/view?usp=drivesdk" TargetMode="External"/><Relationship Id="rId198" Type="http://schemas.openxmlformats.org/officeDocument/2006/relationships/hyperlink" Target="https://drive.google.com/file/d/17lBggHUrNb83oet9Ciw55aOwXvXVmQr8/view?usp=drivesdk" TargetMode="External"/><Relationship Id="rId197" Type="http://schemas.openxmlformats.org/officeDocument/2006/relationships/hyperlink" Target="https://drive.google.com/file/d/1-fDT1hwZqjRxco2mVgk1yOFQ5FZswAgh/view?usp=drivesdk" TargetMode="External"/><Relationship Id="rId196" Type="http://schemas.openxmlformats.org/officeDocument/2006/relationships/hyperlink" Target="https://drive.google.com/file/d/1tCRH-XrECEuTZLc7ZMfwMKwmMeEhSEhM/view?usp=drivesdk" TargetMode="External"/><Relationship Id="rId195" Type="http://schemas.openxmlformats.org/officeDocument/2006/relationships/hyperlink" Target="https://drive.google.com/file/d/1xaQ_pDWRLn74uycy_Dwc7YosCFa2bT7S/view?usp=drivesdk" TargetMode="External"/><Relationship Id="rId199" Type="http://schemas.openxmlformats.org/officeDocument/2006/relationships/hyperlink" Target="https://drive.google.com/file/d/1cgTXdX16JTvr6wb7d1HXoYT42ppvfOp8/view?usp=drivesdk" TargetMode="External"/><Relationship Id="rId150" Type="http://schemas.openxmlformats.org/officeDocument/2006/relationships/hyperlink" Target="https://drive.google.com/file/d/152mWa79wIZj4rp_m2R7yLbrwgpm-sDx0/view?usp=drivesdk" TargetMode="External"/><Relationship Id="rId392" Type="http://schemas.openxmlformats.org/officeDocument/2006/relationships/hyperlink" Target="https://drive.google.com/file/d/1mT800thkCc4dnBeQx9tfOPK4hS8k1lhp/view?usp=drivesdk" TargetMode="External"/><Relationship Id="rId391" Type="http://schemas.openxmlformats.org/officeDocument/2006/relationships/hyperlink" Target="https://drive.google.com/file/d/1QgrCJZ1zfSSAdKuBRspDXYreWMODunm9/view?usp=drivesdk" TargetMode="External"/><Relationship Id="rId390" Type="http://schemas.openxmlformats.org/officeDocument/2006/relationships/hyperlink" Target="https://drive.google.com/file/d/1646bajL3jWHkC85b7ZhwjCfKxuDxP424/view?usp=drivesdk" TargetMode="External"/><Relationship Id="rId1" Type="http://schemas.openxmlformats.org/officeDocument/2006/relationships/hyperlink" Target="https://drive.google.com/file/d/1vT3CS4iZFqZLg_tEljBkkpZG9JMocT_A/view?usp=drivesdk" TargetMode="External"/><Relationship Id="rId2" Type="http://schemas.openxmlformats.org/officeDocument/2006/relationships/hyperlink" Target="https://drive.google.com/file/d/1mKmnVoLnZHVkK0DIF_UMnaayEkobf0l1/view?usp=drivesdk" TargetMode="External"/><Relationship Id="rId3" Type="http://schemas.openxmlformats.org/officeDocument/2006/relationships/hyperlink" Target="https://drive.google.com/file/d/1d7U49CQ9RJNH2-hBQjzC_hHvscAAXvsr/view?usp=drivesdk" TargetMode="External"/><Relationship Id="rId149" Type="http://schemas.openxmlformats.org/officeDocument/2006/relationships/hyperlink" Target="https://drive.google.com/file/d/1xlHHwbU11-CDIqy3AalkOelWABwWkNCJ/view?usp=drivesdk" TargetMode="External"/><Relationship Id="rId4" Type="http://schemas.openxmlformats.org/officeDocument/2006/relationships/hyperlink" Target="https://drive.google.com/file/d/1LNiRTYHv6w9YVnhAR2HLyIcVFJQpcjze/view?usp=drivesdk" TargetMode="External"/><Relationship Id="rId148" Type="http://schemas.openxmlformats.org/officeDocument/2006/relationships/hyperlink" Target="https://drive.google.com/file/d/1vR-AjQ5_wJik9gY8wY1eGSTerjYZsSPq/view?usp=drivesdk" TargetMode="External"/><Relationship Id="rId9" Type="http://schemas.openxmlformats.org/officeDocument/2006/relationships/hyperlink" Target="https://drive.google.com/file/d/1b-GDSmMzqildFBtX8OSafkbnN90HrSEe/view?usp=drivesdk" TargetMode="External"/><Relationship Id="rId143" Type="http://schemas.openxmlformats.org/officeDocument/2006/relationships/hyperlink" Target="https://drive.google.com/file/d/16yQ7PW60L170_OXHw9nZTlvax-XF2TG6/view?usp=drivesdk" TargetMode="External"/><Relationship Id="rId385" Type="http://schemas.openxmlformats.org/officeDocument/2006/relationships/hyperlink" Target="https://drive.google.com/file/d/1srWhqPtQwnZRFo0c4SA0x_klS-1rKk7a/view?usp=drivesdk" TargetMode="External"/><Relationship Id="rId142" Type="http://schemas.openxmlformats.org/officeDocument/2006/relationships/hyperlink" Target="https://drive.google.com/file/d/1zJ1DxUQDyTfOUZqOrL4jffzaIUsflQ1K/view?usp=drivesdk" TargetMode="External"/><Relationship Id="rId384" Type="http://schemas.openxmlformats.org/officeDocument/2006/relationships/hyperlink" Target="https://drive.google.com/file/d/1W5Wk145cGHRbGE9ZOR_NsqOK2PjYlL5L/view?usp=drivesdk" TargetMode="External"/><Relationship Id="rId141" Type="http://schemas.openxmlformats.org/officeDocument/2006/relationships/hyperlink" Target="https://drive.google.com/file/d/17mRG_vEgxBzC85vaAds7DTSBlRwIo6h1/view?usp=drivesdk" TargetMode="External"/><Relationship Id="rId383" Type="http://schemas.openxmlformats.org/officeDocument/2006/relationships/hyperlink" Target="https://drive.google.com/file/d/1PwDmhAx1dBR9tZk2sVJsj9NwJSnl6mY_/view?usp=drivesdk" TargetMode="External"/><Relationship Id="rId140" Type="http://schemas.openxmlformats.org/officeDocument/2006/relationships/hyperlink" Target="https://drive.google.com/file/d/1g0hisef2-i9GSdHJ6Ss4ViotRO0ZrBot/view?usp=drivesdk" TargetMode="External"/><Relationship Id="rId382" Type="http://schemas.openxmlformats.org/officeDocument/2006/relationships/hyperlink" Target="https://drive.google.com/file/d/1M--UR7nMOBDn3QNZY27CpLLl9LR5HkPl/view?usp=drivesdk" TargetMode="External"/><Relationship Id="rId5" Type="http://schemas.openxmlformats.org/officeDocument/2006/relationships/hyperlink" Target="https://drive.google.com/file/d/1IvfC4ixA8_XmXd4iM5ff5AmblC3pElr0/view?usp=drivesdk" TargetMode="External"/><Relationship Id="rId147" Type="http://schemas.openxmlformats.org/officeDocument/2006/relationships/hyperlink" Target="https://drive.google.com/file/d/13_KeVAZ137cVbKsK2NVY8vKA7csBh-S9/view?usp=drivesdk" TargetMode="External"/><Relationship Id="rId389" Type="http://schemas.openxmlformats.org/officeDocument/2006/relationships/hyperlink" Target="https://drive.google.com/file/d/1ccFFOuMzKZCQoqOzJ31mPZNq-OzZ0b86/view?usp=drivesdk" TargetMode="External"/><Relationship Id="rId6" Type="http://schemas.openxmlformats.org/officeDocument/2006/relationships/hyperlink" Target="https://drive.google.com/file/d/10upqMCystGLOOuj8IXeBYoCPDfZ9BeId/view?usp=drivesdk" TargetMode="External"/><Relationship Id="rId146" Type="http://schemas.openxmlformats.org/officeDocument/2006/relationships/hyperlink" Target="https://drive.google.com/file/d/1hp-HHNIU2nkGIYpK664Dl0NeRqlMNClp/view?usp=drivesdk" TargetMode="External"/><Relationship Id="rId388" Type="http://schemas.openxmlformats.org/officeDocument/2006/relationships/hyperlink" Target="https://drive.google.com/file/d/1ZH_hl7sg2oWnjYxRlN7R3NyYGx_QRbeY/view?usp=drivesdk" TargetMode="External"/><Relationship Id="rId7" Type="http://schemas.openxmlformats.org/officeDocument/2006/relationships/hyperlink" Target="https://drive.google.com/file/d/1ZImG2x2uc38nnR6zZWUTE7w5Gq5qaqVc/view?usp=drivesdk" TargetMode="External"/><Relationship Id="rId145" Type="http://schemas.openxmlformats.org/officeDocument/2006/relationships/hyperlink" Target="https://drive.google.com/file/d/1Dk31ObqyyVg-58FSEugMaiAfTbvytuDB/view?usp=drivesdk" TargetMode="External"/><Relationship Id="rId387" Type="http://schemas.openxmlformats.org/officeDocument/2006/relationships/hyperlink" Target="https://drive.google.com/file/d/1wji7YvC71m4v2sjFHj_SoVHs6ShtANWM/view?usp=drivesdk" TargetMode="External"/><Relationship Id="rId8" Type="http://schemas.openxmlformats.org/officeDocument/2006/relationships/hyperlink" Target="https://drive.google.com/file/d/1rvQo4Ey68VFrcETscC7InUaTRI1kIUWw/view?usp=drivesdk" TargetMode="External"/><Relationship Id="rId144" Type="http://schemas.openxmlformats.org/officeDocument/2006/relationships/hyperlink" Target="https://drive.google.com/file/d/1l6jHrnskVeUKm8aVTSrzqZFoe4NhvYYH/view?usp=drivesdk" TargetMode="External"/><Relationship Id="rId386" Type="http://schemas.openxmlformats.org/officeDocument/2006/relationships/hyperlink" Target="https://drive.google.com/file/d/1WQiFti8Z2Z3wL2dsxW97_s1Q0wdw2d5j/view?usp=drivesdk" TargetMode="External"/><Relationship Id="rId381" Type="http://schemas.openxmlformats.org/officeDocument/2006/relationships/hyperlink" Target="https://drive.google.com/file/d/10_IKFjUjMchCzwTlNDI4M0yjcDo6okEh/view?usp=drivesdk" TargetMode="External"/><Relationship Id="rId380" Type="http://schemas.openxmlformats.org/officeDocument/2006/relationships/hyperlink" Target="https://drive.google.com/file/d/1Ce3gEQxuGFYrNiLHhwFXOj0IbbwaDBm8/view?usp=drivesdk" TargetMode="External"/><Relationship Id="rId139" Type="http://schemas.openxmlformats.org/officeDocument/2006/relationships/hyperlink" Target="https://drive.google.com/file/d/1zrJQS28hlypUhj_Lyuqigpe7zZ4-7hJD/view?usp=drivesdk" TargetMode="External"/><Relationship Id="rId138" Type="http://schemas.openxmlformats.org/officeDocument/2006/relationships/hyperlink" Target="https://drive.google.com/file/d/1dwDwhNJa-i5Px1BIldGBAl8S2ieSSunK/view?usp=drivesdk" TargetMode="External"/><Relationship Id="rId137" Type="http://schemas.openxmlformats.org/officeDocument/2006/relationships/hyperlink" Target="https://drive.google.com/file/d/1xg3r4lBJ5Au-57a5WnPltT74NUnXohOI/view?usp=drivesdk" TargetMode="External"/><Relationship Id="rId379" Type="http://schemas.openxmlformats.org/officeDocument/2006/relationships/hyperlink" Target="https://drive.google.com/file/d/1n9T1k_I0OxO7JRtGgrvkVXBNwf4nSclS/view?usp=drivesdk" TargetMode="External"/><Relationship Id="rId132" Type="http://schemas.openxmlformats.org/officeDocument/2006/relationships/hyperlink" Target="https://drive.google.com/file/d/18d6JxfeiJgZUmtNFUKhpgww-WXi5AHUv/view?usp=drivesdk" TargetMode="External"/><Relationship Id="rId374" Type="http://schemas.openxmlformats.org/officeDocument/2006/relationships/hyperlink" Target="https://drive.google.com/file/d/1-ii8k60hcKBrcI_SaCntR1HN58UBQrbC/view?usp=drivesdk" TargetMode="External"/><Relationship Id="rId131" Type="http://schemas.openxmlformats.org/officeDocument/2006/relationships/hyperlink" Target="https://drive.google.com/file/d/1cfIF2AbQsCw3ZlhVfDYAzjJBNLp3k7i-/view?usp=drivesdk" TargetMode="External"/><Relationship Id="rId373" Type="http://schemas.openxmlformats.org/officeDocument/2006/relationships/hyperlink" Target="https://drive.google.com/file/d/1qaRQfRwnDD-aNQ5nq_E-OtM7qewROZMO/view?usp=drivesdk" TargetMode="External"/><Relationship Id="rId130" Type="http://schemas.openxmlformats.org/officeDocument/2006/relationships/hyperlink" Target="https://drive.google.com/file/d/1jBrMbnYIbs-TviSXCnTRku-6o4hz9Lw9/view?usp=drivesdk" TargetMode="External"/><Relationship Id="rId372" Type="http://schemas.openxmlformats.org/officeDocument/2006/relationships/hyperlink" Target="https://drive.google.com/file/d/1sRI7clE8Ov-jESP9D5wjmO63sB4hghRn/view?usp=drivesdk" TargetMode="External"/><Relationship Id="rId371" Type="http://schemas.openxmlformats.org/officeDocument/2006/relationships/hyperlink" Target="https://drive.google.com/file/d/1taw6m-k3cF-q68BiOqDwq6DpGqUG_ACs/view?usp=drivesdk" TargetMode="External"/><Relationship Id="rId136" Type="http://schemas.openxmlformats.org/officeDocument/2006/relationships/hyperlink" Target="https://drive.google.com/file/d/1kpEok9o5gxcKyHN9jX0BNmKeMNVx4FBY/view?usp=drivesdk" TargetMode="External"/><Relationship Id="rId378" Type="http://schemas.openxmlformats.org/officeDocument/2006/relationships/hyperlink" Target="https://drive.google.com/file/d/1H1Pyf_FgOrqUJk1Lc9ZMH0kwkCuKWLxm/view?usp=drivesdk" TargetMode="External"/><Relationship Id="rId135" Type="http://schemas.openxmlformats.org/officeDocument/2006/relationships/hyperlink" Target="https://drive.google.com/file/d/1F0cFf0fxV-C9T_H14o7O9WcYw7ny_ZF5/view?usp=drivesdk" TargetMode="External"/><Relationship Id="rId377" Type="http://schemas.openxmlformats.org/officeDocument/2006/relationships/hyperlink" Target="https://drive.google.com/file/d/1BPHZmO4oXoh2t6ooeG5Yrcj2mVls6rL5/view?usp=drivesdk" TargetMode="External"/><Relationship Id="rId134" Type="http://schemas.openxmlformats.org/officeDocument/2006/relationships/hyperlink" Target="https://drive.google.com/file/d/1me_btmQJlzw-rys_vI4-YNyJt1l8qQuR/view?usp=drivesdk" TargetMode="External"/><Relationship Id="rId376" Type="http://schemas.openxmlformats.org/officeDocument/2006/relationships/hyperlink" Target="https://drive.google.com/file/d/1v6rT5CvNhcnK-f3d6yTDQ6OAoWhRmayl/view?usp=drivesdk" TargetMode="External"/><Relationship Id="rId133" Type="http://schemas.openxmlformats.org/officeDocument/2006/relationships/hyperlink" Target="https://drive.google.com/file/d/1dOafJSn46wYbPpq9hmRzhHoSTs76azW4/view?usp=drivesdk" TargetMode="External"/><Relationship Id="rId375" Type="http://schemas.openxmlformats.org/officeDocument/2006/relationships/hyperlink" Target="https://drive.google.com/file/d/1NJBzI7pihsm7DAdteAsM3pO72QnpeDKz/view?usp=drivesdk" TargetMode="External"/><Relationship Id="rId172" Type="http://schemas.openxmlformats.org/officeDocument/2006/relationships/hyperlink" Target="https://drive.google.com/file/d/1KQukR-tklUjVqW8EVedBDg98Ujt0njK6/view?usp=drivesdk" TargetMode="External"/><Relationship Id="rId171" Type="http://schemas.openxmlformats.org/officeDocument/2006/relationships/hyperlink" Target="https://drive.google.com/file/d/1kKRi8jHuS02UV8ZvhTCpUWPE8uG9Dcj3/view?usp=drivesdk" TargetMode="External"/><Relationship Id="rId170" Type="http://schemas.openxmlformats.org/officeDocument/2006/relationships/hyperlink" Target="https://drive.google.com/file/d/1NmIggidpV6JkajkBeYY1-Cch36BT0Od9/view?usp=drivesdk" TargetMode="External"/><Relationship Id="rId165" Type="http://schemas.openxmlformats.org/officeDocument/2006/relationships/hyperlink" Target="https://drive.google.com/file/d/16ONLvmyN3XWzF4SAnuZVWgK-yYsa8sRE/view?usp=drivesdk" TargetMode="External"/><Relationship Id="rId164" Type="http://schemas.openxmlformats.org/officeDocument/2006/relationships/hyperlink" Target="https://drive.google.com/file/d/13FpcITMmlCF-nALz0P2VEjsFGTgRIB85/view?usp=drivesdk" TargetMode="External"/><Relationship Id="rId163" Type="http://schemas.openxmlformats.org/officeDocument/2006/relationships/hyperlink" Target="https://drive.google.com/file/d/1pifJIYMcrr1DEj9Qb-BIgazz9udIdsxX/view?usp=drivesdk" TargetMode="External"/><Relationship Id="rId162" Type="http://schemas.openxmlformats.org/officeDocument/2006/relationships/hyperlink" Target="https://drive.google.com/file/d/1kZEOmByY_X4TyCo8dhzXCT0yn-mcnhfm/view?usp=drivesdk" TargetMode="External"/><Relationship Id="rId169" Type="http://schemas.openxmlformats.org/officeDocument/2006/relationships/hyperlink" Target="https://drive.google.com/file/d/1lzWgNrOGgUcTiDOzl9J2mtj_qLuyFYtQ/view?usp=drivesdk" TargetMode="External"/><Relationship Id="rId168" Type="http://schemas.openxmlformats.org/officeDocument/2006/relationships/hyperlink" Target="https://drive.google.com/file/d/1U5c4z0u5cmwP7-85kqm-BH_yEGcXtZrn/view?usp=drivesdk" TargetMode="External"/><Relationship Id="rId167" Type="http://schemas.openxmlformats.org/officeDocument/2006/relationships/hyperlink" Target="https://drive.google.com/file/d/1S4WIDvGQljG62p5n4KT4drgbHCYrYkxZ/view?usp=drivesdk" TargetMode="External"/><Relationship Id="rId166" Type="http://schemas.openxmlformats.org/officeDocument/2006/relationships/hyperlink" Target="https://drive.google.com/file/d/1WpUwS6OzDXyTQW0soa2yuuiC4F4SLkfb/view?usp=drivesdk" TargetMode="External"/><Relationship Id="rId161" Type="http://schemas.openxmlformats.org/officeDocument/2006/relationships/hyperlink" Target="https://drive.google.com/file/d/14k_LbGq-nRD5iTNaOcvDJgPBoMmNc8LK/view?usp=drivesdk" TargetMode="External"/><Relationship Id="rId160" Type="http://schemas.openxmlformats.org/officeDocument/2006/relationships/hyperlink" Target="https://drive.google.com/file/d/11TwBzSTV5-MRHYy0noiTdodHIT1KEfva/view?usp=drivesdk" TargetMode="External"/><Relationship Id="rId159" Type="http://schemas.openxmlformats.org/officeDocument/2006/relationships/hyperlink" Target="https://drive.google.com/file/d/1Kr9ttkF108kcultThPFvi_24Q527esxA/view?usp=drivesdk" TargetMode="External"/><Relationship Id="rId154" Type="http://schemas.openxmlformats.org/officeDocument/2006/relationships/hyperlink" Target="https://drive.google.com/file/d/1aOU5zy3vVAn0iSw8CWZuEeqUDKFWtCca/view?usp=drivesdk" TargetMode="External"/><Relationship Id="rId396" Type="http://schemas.openxmlformats.org/officeDocument/2006/relationships/hyperlink" Target="https://drive.google.com/file/d/1fJKtK7iFTe5XhnSyddqz0AmPyFCdPVLd/view?usp=drivesdk" TargetMode="External"/><Relationship Id="rId153" Type="http://schemas.openxmlformats.org/officeDocument/2006/relationships/hyperlink" Target="https://drive.google.com/file/d/1WuQtDKX0bs4AkZ6u6Ycz5FfzNh2fC9hg/view?usp=drivesdk" TargetMode="External"/><Relationship Id="rId395" Type="http://schemas.openxmlformats.org/officeDocument/2006/relationships/hyperlink" Target="https://drive.google.com/file/d/1Q0dr7XX_BT63odide2pPUjAObYbPHgDP/view?usp=drivesdk" TargetMode="External"/><Relationship Id="rId152" Type="http://schemas.openxmlformats.org/officeDocument/2006/relationships/hyperlink" Target="https://drive.google.com/file/d/1-5mPLRj9fGvz4zyeeLmyXZJ3IlUz_SDP/view?usp=drivesdk" TargetMode="External"/><Relationship Id="rId394" Type="http://schemas.openxmlformats.org/officeDocument/2006/relationships/hyperlink" Target="https://drive.google.com/file/d/1ASb8XVjDf3qyAfZRQyrNr1BTOMZc5EOR/view?usp=drivesdk" TargetMode="External"/><Relationship Id="rId151" Type="http://schemas.openxmlformats.org/officeDocument/2006/relationships/hyperlink" Target="https://drive.google.com/file/d/11FrGucojG0wQYnhkK3Wzsh6UbjyxHe74/view?usp=drivesdk" TargetMode="External"/><Relationship Id="rId393" Type="http://schemas.openxmlformats.org/officeDocument/2006/relationships/hyperlink" Target="https://drive.google.com/file/d/1-LFlmmphRhlrCgDt44ld8Q2OmaCk0Acy/view?usp=drivesdk" TargetMode="External"/><Relationship Id="rId158" Type="http://schemas.openxmlformats.org/officeDocument/2006/relationships/hyperlink" Target="https://drive.google.com/file/d/1V9lshM4t4dm-GdMzxlHpN7-RRqeAkT-F/view?usp=drivesdk" TargetMode="External"/><Relationship Id="rId157" Type="http://schemas.openxmlformats.org/officeDocument/2006/relationships/hyperlink" Target="https://drive.google.com/file/d/1dAxQgT7HYu3s3mYS7N71bEfn2GfpZJJY/view?usp=drivesdk" TargetMode="External"/><Relationship Id="rId399" Type="http://schemas.openxmlformats.org/officeDocument/2006/relationships/hyperlink" Target="https://drive.google.com/file/d/1SZanjG_TDY3MQ--2SuLL2_i1LsyngS9R/view?usp=drivesdk" TargetMode="External"/><Relationship Id="rId156" Type="http://schemas.openxmlformats.org/officeDocument/2006/relationships/hyperlink" Target="https://drive.google.com/file/d/1zz825j7I4T7X4AnyEYLC3b-2ATo48ImX/view?usp=drivesdk" TargetMode="External"/><Relationship Id="rId398" Type="http://schemas.openxmlformats.org/officeDocument/2006/relationships/hyperlink" Target="https://drive.google.com/file/d/1_H_aDS3OGuW9Wr729dq8dgjM2uNVuZ3E/view?usp=drivesdk" TargetMode="External"/><Relationship Id="rId155" Type="http://schemas.openxmlformats.org/officeDocument/2006/relationships/hyperlink" Target="https://drive.google.com/file/d/1SmOyMnT6s9aZ4Cfxe9efn65GKU9TqGi6/view?usp=drivesdk" TargetMode="External"/><Relationship Id="rId397" Type="http://schemas.openxmlformats.org/officeDocument/2006/relationships/hyperlink" Target="https://drive.google.com/file/d/1fzVffhaCpBwlCBCDcm2onK1vWpIZ3xeR/view?usp=drivesdk" TargetMode="External"/><Relationship Id="rId808" Type="http://schemas.openxmlformats.org/officeDocument/2006/relationships/hyperlink" Target="https://drive.google.com/file/d/1LJLVpe8mDX4a4twGZXm2PM7mYU-fgTgS/view?usp=drivesdk" TargetMode="External"/><Relationship Id="rId807" Type="http://schemas.openxmlformats.org/officeDocument/2006/relationships/hyperlink" Target="https://drive.google.com/file/d/1WXCKFSpLUOa-i9DjKxhGTxdnKN4P0Tve/view?usp=drivesdk" TargetMode="External"/><Relationship Id="rId806" Type="http://schemas.openxmlformats.org/officeDocument/2006/relationships/hyperlink" Target="https://drive.google.com/file/d/1aP7n2FBFFhACUkQzSaReQDFyENC7R0nW/view?usp=drivesdk" TargetMode="External"/><Relationship Id="rId805" Type="http://schemas.openxmlformats.org/officeDocument/2006/relationships/hyperlink" Target="https://drive.google.com/file/d/1esrpLj-nF92JsWPpmIFLY1DaIU388cKB/view?usp=drivesdk" TargetMode="External"/><Relationship Id="rId809" Type="http://schemas.openxmlformats.org/officeDocument/2006/relationships/hyperlink" Target="https://drive.google.com/file/d/1ENDbO1XIRsHprRLjCBZhWebf6QA_BXJ_/view?usp=drivesdk" TargetMode="External"/><Relationship Id="rId800" Type="http://schemas.openxmlformats.org/officeDocument/2006/relationships/hyperlink" Target="https://drive.google.com/file/d/1qBdkwbgjYm4Jh_clGsmGAIgxfQ_OLpVm/view?usp=drivesdk" TargetMode="External"/><Relationship Id="rId804" Type="http://schemas.openxmlformats.org/officeDocument/2006/relationships/hyperlink" Target="https://drive.google.com/file/d/1-hXK5wj8QMgcetzwlwYmEfkOCnhiJjGT/view?usp=drivesdk" TargetMode="External"/><Relationship Id="rId803" Type="http://schemas.openxmlformats.org/officeDocument/2006/relationships/hyperlink" Target="https://drive.google.com/file/d/1Ji_90wlV5e5UkO1ZzfXBdtAYpxOcAs5q/view?usp=drivesdk" TargetMode="External"/><Relationship Id="rId802" Type="http://schemas.openxmlformats.org/officeDocument/2006/relationships/hyperlink" Target="https://drive.google.com/file/d/1NaIXW-filH-JGCu5GVTwRgD1o4UP8l2U/view?usp=drivesdk" TargetMode="External"/><Relationship Id="rId801" Type="http://schemas.openxmlformats.org/officeDocument/2006/relationships/hyperlink" Target="https://drive.google.com/file/d/17mjNG1Ie1DIJcc5OlXfXeGvqUhmi-LuW/view?usp=drivesdk" TargetMode="External"/><Relationship Id="rId40" Type="http://schemas.openxmlformats.org/officeDocument/2006/relationships/hyperlink" Target="https://drive.google.com/file/d/1UPHxh1IW7HIZJar99iSVkFIQLUsWyPzV/view?usp=drivesdk" TargetMode="External"/><Relationship Id="rId42" Type="http://schemas.openxmlformats.org/officeDocument/2006/relationships/hyperlink" Target="https://drive.google.com/file/d/1JbcPYQ0l0vEtkx5ek4Kx6DAJuSIxAaGO/view?usp=drivesdk" TargetMode="External"/><Relationship Id="rId41" Type="http://schemas.openxmlformats.org/officeDocument/2006/relationships/hyperlink" Target="https://drive.google.com/file/d/1r3GD1QzO045NUEebd-1uJ_YrkUVOjDM2/view?usp=drivesdk" TargetMode="External"/><Relationship Id="rId44" Type="http://schemas.openxmlformats.org/officeDocument/2006/relationships/hyperlink" Target="https://drive.google.com/file/d/1jvfMZ9DFM2ChktrYbXoRfRskNFsqfx7r/view?usp=drivesdk" TargetMode="External"/><Relationship Id="rId43" Type="http://schemas.openxmlformats.org/officeDocument/2006/relationships/hyperlink" Target="https://drive.google.com/file/d/1P_ZTXFd8PwAfiaGJvdH2bqIephNdGRUM/view?usp=drivesdk" TargetMode="External"/><Relationship Id="rId46" Type="http://schemas.openxmlformats.org/officeDocument/2006/relationships/hyperlink" Target="https://drive.google.com/file/d/1ddNVDpOFYbZ89yxUN2xd7tFu7kQZtx16/view?usp=drivesdk" TargetMode="External"/><Relationship Id="rId45" Type="http://schemas.openxmlformats.org/officeDocument/2006/relationships/hyperlink" Target="https://drive.google.com/file/d/18eppwSX6bUHvs7XyHW02LIyqngUPAuhZ/view?usp=drivesdk" TargetMode="External"/><Relationship Id="rId509" Type="http://schemas.openxmlformats.org/officeDocument/2006/relationships/hyperlink" Target="https://drive.google.com/file/d/1s9DTsUYTw921PaSa7oriTISn3GlIcIfv/view?usp=drivesdk" TargetMode="External"/><Relationship Id="rId508" Type="http://schemas.openxmlformats.org/officeDocument/2006/relationships/hyperlink" Target="https://drive.google.com/file/d/14k1cQci74blP72MJD3pm5rGKVb9vi3Ba/view?usp=drivesdk" TargetMode="External"/><Relationship Id="rId503" Type="http://schemas.openxmlformats.org/officeDocument/2006/relationships/hyperlink" Target="https://drive.google.com/file/d/1di9iVDoHxXazxCfBSpqiS2pt2Jjpc7t9/view?usp=drivesdk" TargetMode="External"/><Relationship Id="rId745" Type="http://schemas.openxmlformats.org/officeDocument/2006/relationships/hyperlink" Target="https://drive.google.com/file/d/1dWC7-SS7tit1z3CvhxeDcSw6XGr8DN60/view?usp=drivesdk" TargetMode="External"/><Relationship Id="rId987" Type="http://schemas.openxmlformats.org/officeDocument/2006/relationships/hyperlink" Target="https://drive.google.com/file/d/1XutWAJV2EODR2OeXMHgARHH-IxMxQkD6/view?usp=drivesdk" TargetMode="External"/><Relationship Id="rId502" Type="http://schemas.openxmlformats.org/officeDocument/2006/relationships/hyperlink" Target="https://drive.google.com/file/d/1Ju6R3W8kWAuP8gLqqGoZxvN-0vKuu66w/view?usp=drivesdk" TargetMode="External"/><Relationship Id="rId744" Type="http://schemas.openxmlformats.org/officeDocument/2006/relationships/hyperlink" Target="https://drive.google.com/file/d/1VMmhXD_yFzLy_PnfZES4CWLLtxM6eFig/view?usp=drivesdk" TargetMode="External"/><Relationship Id="rId986" Type="http://schemas.openxmlformats.org/officeDocument/2006/relationships/hyperlink" Target="https://drive.google.com/file/d/1miPAL_yPRK6BbLnc2MLrLAddMTUHu8Ss/view?usp=drivesdk" TargetMode="External"/><Relationship Id="rId501" Type="http://schemas.openxmlformats.org/officeDocument/2006/relationships/hyperlink" Target="https://drive.google.com/file/d/1kAiUjKFKox5q_HZFu8j3TTAyCl-yHYsr/view?usp=drivesdk" TargetMode="External"/><Relationship Id="rId743" Type="http://schemas.openxmlformats.org/officeDocument/2006/relationships/hyperlink" Target="https://drive.google.com/file/d/116fKF8itwqcwoMpq5wOwV0QkDNS6xEX2/view?usp=drivesdk" TargetMode="External"/><Relationship Id="rId985" Type="http://schemas.openxmlformats.org/officeDocument/2006/relationships/hyperlink" Target="https://drive.google.com/file/d/1Nma27W39-7O2HkNUR0TxmreAT0MoDd5-/view?usp=drivesdk" TargetMode="External"/><Relationship Id="rId500" Type="http://schemas.openxmlformats.org/officeDocument/2006/relationships/hyperlink" Target="https://drive.google.com/file/d/1QqwCPiNF_wGqPxu2rHmxfhnWNMUAeG7s/view?usp=drivesdk" TargetMode="External"/><Relationship Id="rId742" Type="http://schemas.openxmlformats.org/officeDocument/2006/relationships/hyperlink" Target="https://drive.google.com/file/d/1rM8TaC-7TF2zFgPsxczsleUlXPpALwQB/view?usp=drivesdk" TargetMode="External"/><Relationship Id="rId984" Type="http://schemas.openxmlformats.org/officeDocument/2006/relationships/hyperlink" Target="https://drive.google.com/file/d/1Cax-EwnM33g8DFrB5nBN7jyANTbgK3Ul/view?usp=drivesdk" TargetMode="External"/><Relationship Id="rId507" Type="http://schemas.openxmlformats.org/officeDocument/2006/relationships/hyperlink" Target="https://drive.google.com/file/d/1CqAlnQ50yUN8zKreE0qoaFr2JI67Rfsy/view?usp=drivesdk" TargetMode="External"/><Relationship Id="rId749" Type="http://schemas.openxmlformats.org/officeDocument/2006/relationships/hyperlink" Target="https://drive.google.com/file/d/1v8w2o4viqVhtZBTrbe7Wvq1MakdzWB77/view?usp=drivesdk" TargetMode="External"/><Relationship Id="rId506" Type="http://schemas.openxmlformats.org/officeDocument/2006/relationships/hyperlink" Target="https://drive.google.com/file/d/1L6cFcu8GJZOaL5WBX6jKmYU6vGpHowOz/view?usp=drivesdk" TargetMode="External"/><Relationship Id="rId748" Type="http://schemas.openxmlformats.org/officeDocument/2006/relationships/hyperlink" Target="https://drive.google.com/file/d/13iIIVvy96o-2MwBxnbjEOyvnaKnitxk4/view?usp=drivesdk" TargetMode="External"/><Relationship Id="rId505" Type="http://schemas.openxmlformats.org/officeDocument/2006/relationships/hyperlink" Target="https://drive.google.com/file/d/140tBODCKlDKrBICq72HM2SBbucYCfHjj/view?usp=drivesdk" TargetMode="External"/><Relationship Id="rId747" Type="http://schemas.openxmlformats.org/officeDocument/2006/relationships/hyperlink" Target="https://drive.google.com/file/d/1OGgIfjg4R9vjcGMBBhc99H4tohG3p21Q/view?usp=drivesdk" TargetMode="External"/><Relationship Id="rId504" Type="http://schemas.openxmlformats.org/officeDocument/2006/relationships/hyperlink" Target="https://drive.google.com/file/d/1bFLypIyvzJe1mFBVcUKR_hrMqvXOKAm9/view?usp=drivesdk" TargetMode="External"/><Relationship Id="rId746" Type="http://schemas.openxmlformats.org/officeDocument/2006/relationships/hyperlink" Target="https://drive.google.com/file/d/1FD5BRiRoP1wIAHMC__OYdmH3-KfuW6bX/view?usp=drivesdk" TargetMode="External"/><Relationship Id="rId988" Type="http://schemas.openxmlformats.org/officeDocument/2006/relationships/drawing" Target="../drawings/drawing1.xml"/><Relationship Id="rId48" Type="http://schemas.openxmlformats.org/officeDocument/2006/relationships/hyperlink" Target="https://drive.google.com/file/d/1V3OSllgck0kjPQQvDJW61DGdtMqwoffT/view?usp=drivesdk" TargetMode="External"/><Relationship Id="rId47" Type="http://schemas.openxmlformats.org/officeDocument/2006/relationships/hyperlink" Target="https://drive.google.com/file/d/1_68U5tIsXqQIs3o-Tyb3Jl3CqL3Skxpb/view?usp=drivesdk" TargetMode="External"/><Relationship Id="rId49" Type="http://schemas.openxmlformats.org/officeDocument/2006/relationships/hyperlink" Target="https://drive.google.com/file/d/1YjUv2pJ7KOeDnrfvFss9TfLP6PklCkR7/view?usp=drivesdk" TargetMode="External"/><Relationship Id="rId741" Type="http://schemas.openxmlformats.org/officeDocument/2006/relationships/hyperlink" Target="https://drive.google.com/file/d/1ZYsiB7KisfsiBfbGe2g4-dA1Iq_hczmT/view?usp=drivesdk" TargetMode="External"/><Relationship Id="rId983" Type="http://schemas.openxmlformats.org/officeDocument/2006/relationships/hyperlink" Target="https://drive.google.com/file/d/1_t-Yk_ZzGk_avRLv1o2bVEUj_dnkRwwO/view?usp=drivesdk" TargetMode="External"/><Relationship Id="rId740" Type="http://schemas.openxmlformats.org/officeDocument/2006/relationships/hyperlink" Target="https://drive.google.com/file/d/1BYETF36y-uO2XmTihRxo7XKu03rnLCJh/view?usp=drivesdk" TargetMode="External"/><Relationship Id="rId982" Type="http://schemas.openxmlformats.org/officeDocument/2006/relationships/hyperlink" Target="https://drive.google.com/file/d/1ycMGb6LaVrGmir_K7veL7ibaQrzG6PY-/view?usp=drivesdk" TargetMode="External"/><Relationship Id="rId981" Type="http://schemas.openxmlformats.org/officeDocument/2006/relationships/hyperlink" Target="https://drive.google.com/file/d/18_A2hAwzqx2eGVR8HGIKAahNutfA394b/view?usp=drivesdk" TargetMode="External"/><Relationship Id="rId980" Type="http://schemas.openxmlformats.org/officeDocument/2006/relationships/hyperlink" Target="https://drive.google.com/file/d/17mjLhrEmeoQu__pI0HfLkQPvX7wWnGWB/view?usp=drivesdk" TargetMode="External"/><Relationship Id="rId31" Type="http://schemas.openxmlformats.org/officeDocument/2006/relationships/hyperlink" Target="https://drive.google.com/file/d/1FK6nuT5kuh1PkAwodKSoBvRM2HMA8KS7/view?usp=drivesdk" TargetMode="External"/><Relationship Id="rId30" Type="http://schemas.openxmlformats.org/officeDocument/2006/relationships/hyperlink" Target="https://drive.google.com/file/d/1X8wfYY0OH5CW_UBHbmpxRFg3_EjS9P9F/view?usp=drivesdk" TargetMode="External"/><Relationship Id="rId33" Type="http://schemas.openxmlformats.org/officeDocument/2006/relationships/hyperlink" Target="https://drive.google.com/file/d/1B4JozJy9yq_amhwZfnrDmsiUaUaw9pS2/view?usp=drivesdk" TargetMode="External"/><Relationship Id="rId32" Type="http://schemas.openxmlformats.org/officeDocument/2006/relationships/hyperlink" Target="https://drive.google.com/file/d/1fHQJCzZK5CIHCmoVs_TFJCU_qKWVm8gt/view?usp=drivesdk" TargetMode="External"/><Relationship Id="rId35" Type="http://schemas.openxmlformats.org/officeDocument/2006/relationships/hyperlink" Target="https://drive.google.com/file/d/1BAAuTlBsqQ-JFYTZzc_oBG3dSG-nl41G/view?usp=drivesdk" TargetMode="External"/><Relationship Id="rId34" Type="http://schemas.openxmlformats.org/officeDocument/2006/relationships/hyperlink" Target="https://drive.google.com/file/d/1Fa_RZpZUSOiZLYYLI4c1YBUgjAxlPtVL/view?usp=drivesdk" TargetMode="External"/><Relationship Id="rId739" Type="http://schemas.openxmlformats.org/officeDocument/2006/relationships/hyperlink" Target="https://drive.google.com/file/d/1G1S3rqHYQyrPRdwldg8iN9C9032L8tEo/view?usp=drivesdk" TargetMode="External"/><Relationship Id="rId734" Type="http://schemas.openxmlformats.org/officeDocument/2006/relationships/hyperlink" Target="https://drive.google.com/file/d/1hw5QuEViQfThScYrUxpJWlxMeWi7_919/view?usp=drivesdk" TargetMode="External"/><Relationship Id="rId976" Type="http://schemas.openxmlformats.org/officeDocument/2006/relationships/hyperlink" Target="https://drive.google.com/file/d/12lH-KTphbWkYlEjwh6UeCoZtsscl_IdP/view?usp=drivesdk" TargetMode="External"/><Relationship Id="rId733" Type="http://schemas.openxmlformats.org/officeDocument/2006/relationships/hyperlink" Target="https://drive.google.com/file/d/1y_Qp1_pl_x0GvoBodL7DUC0MXW75lHS9/view?usp=drivesdk" TargetMode="External"/><Relationship Id="rId975" Type="http://schemas.openxmlformats.org/officeDocument/2006/relationships/hyperlink" Target="https://drive.google.com/file/d/1xRJ2B1UNYgq95L_VpL_X_PJh9RP-ZL37/view?usp=drivesdk" TargetMode="External"/><Relationship Id="rId732" Type="http://schemas.openxmlformats.org/officeDocument/2006/relationships/hyperlink" Target="https://drive.google.com/file/d/1d2L1wZMi11Y_XWvmWn4pRqbwX7-sNb1s/view?usp=drivesdk" TargetMode="External"/><Relationship Id="rId974" Type="http://schemas.openxmlformats.org/officeDocument/2006/relationships/hyperlink" Target="https://drive.google.com/file/d/1GsL1HoAf_J8xjcHIBFSXntQ2N5qLYhEA/view?usp=drivesdk" TargetMode="External"/><Relationship Id="rId731" Type="http://schemas.openxmlformats.org/officeDocument/2006/relationships/hyperlink" Target="https://drive.google.com/file/d/13kEWNoFSGqmLg6crNHt_i5DTT1mPOoJD/view?usp=drivesdk" TargetMode="External"/><Relationship Id="rId973" Type="http://schemas.openxmlformats.org/officeDocument/2006/relationships/hyperlink" Target="https://drive.google.com/file/d/14ihsXSYq0Q5gqzrAVPAsKbeI2uHo4SlY/view?usp=drivesdk" TargetMode="External"/><Relationship Id="rId738" Type="http://schemas.openxmlformats.org/officeDocument/2006/relationships/hyperlink" Target="https://drive.google.com/file/d/1qchcYQgOPn2aDy63YNxpFhILjqf5d1kA/view?usp=drivesdk" TargetMode="External"/><Relationship Id="rId737" Type="http://schemas.openxmlformats.org/officeDocument/2006/relationships/hyperlink" Target="https://drive.google.com/file/d/16N9ioTcVWiVY67W0GNXWoXlY-zRGpfCg/view?usp=drivesdk" TargetMode="External"/><Relationship Id="rId979" Type="http://schemas.openxmlformats.org/officeDocument/2006/relationships/hyperlink" Target="https://drive.google.com/file/d/1QbhvdLb9tXkHcCzJ8eCSG8vY7e3yZbPT/view?usp=drivesdk" TargetMode="External"/><Relationship Id="rId736" Type="http://schemas.openxmlformats.org/officeDocument/2006/relationships/hyperlink" Target="https://drive.google.com/file/d/1eA22Og4NZMS_TD2ZugYclA0R3i7GYvon/view?usp=drivesdk" TargetMode="External"/><Relationship Id="rId978" Type="http://schemas.openxmlformats.org/officeDocument/2006/relationships/hyperlink" Target="https://drive.google.com/file/d/1-zvc8oz8sN8m1qhF11UAMwzR95l7Mj5N/view?usp=drivesdk" TargetMode="External"/><Relationship Id="rId735" Type="http://schemas.openxmlformats.org/officeDocument/2006/relationships/hyperlink" Target="https://drive.google.com/file/d/1IhZh6VlpMH756XG538DksOeCmrzeUaVx/view?usp=drivesdk" TargetMode="External"/><Relationship Id="rId977" Type="http://schemas.openxmlformats.org/officeDocument/2006/relationships/hyperlink" Target="https://drive.google.com/file/d/196bX9sZASKWlIGi7dOz1uKn9omditKfB/view?usp=drivesdk" TargetMode="External"/><Relationship Id="rId37" Type="http://schemas.openxmlformats.org/officeDocument/2006/relationships/hyperlink" Target="https://drive.google.com/file/d/1NkYk1mzO36BrpmFMNmWG0E23Kt180dcP/view?usp=drivesdk" TargetMode="External"/><Relationship Id="rId36" Type="http://schemas.openxmlformats.org/officeDocument/2006/relationships/hyperlink" Target="https://drive.google.com/file/d/122ujRpdl36x6kaMiqL-5rkF40v2zMA3b/view?usp=drivesdk" TargetMode="External"/><Relationship Id="rId39" Type="http://schemas.openxmlformats.org/officeDocument/2006/relationships/hyperlink" Target="https://drive.google.com/file/d/1vyybGg2I_y0EeSocpKMdZZvnZmLckHie/view?usp=drivesdk" TargetMode="External"/><Relationship Id="rId38" Type="http://schemas.openxmlformats.org/officeDocument/2006/relationships/hyperlink" Target="https://drive.google.com/file/d/1n8G_y0n2UNS1r9qU99EPhaluwpebdXU2/view?usp=drivesdk" TargetMode="External"/><Relationship Id="rId730" Type="http://schemas.openxmlformats.org/officeDocument/2006/relationships/hyperlink" Target="https://drive.google.com/file/d/1joEyy3WUul-tUP2vMNhpseKSGF800DDg/view?usp=drivesdk" TargetMode="External"/><Relationship Id="rId972" Type="http://schemas.openxmlformats.org/officeDocument/2006/relationships/hyperlink" Target="https://drive.google.com/file/d/1KWDa0H-QvIm9ECrIuqOOmoSVJs0CPY7C/view?usp=drivesdk" TargetMode="External"/><Relationship Id="rId971" Type="http://schemas.openxmlformats.org/officeDocument/2006/relationships/hyperlink" Target="https://drive.google.com/file/d/1pOmbTLDejd4qyswmHWJ_4Anmre-FPtTE/view?usp=drivesdk" TargetMode="External"/><Relationship Id="rId970" Type="http://schemas.openxmlformats.org/officeDocument/2006/relationships/hyperlink" Target="https://drive.google.com/file/d/1JdL55ZEh6gyO13o_UqRzeOgwDiAZk7QC/view?usp=drivesdk" TargetMode="External"/><Relationship Id="rId20" Type="http://schemas.openxmlformats.org/officeDocument/2006/relationships/hyperlink" Target="https://drive.google.com/file/d/1EGzdBFstUsXDWTMpSUXHrpW133xlD9yz/view?usp=drivesdk" TargetMode="External"/><Relationship Id="rId22" Type="http://schemas.openxmlformats.org/officeDocument/2006/relationships/hyperlink" Target="https://drive.google.com/file/d/1HOHvM3vFSGTw7CrqlBE9JjKk3PveT9N4/view?usp=drivesdk" TargetMode="External"/><Relationship Id="rId21" Type="http://schemas.openxmlformats.org/officeDocument/2006/relationships/hyperlink" Target="https://drive.google.com/file/d/12uQAsBzgjDVCNB2aXCt2Qqlq8_hb85oB/view?usp=drivesdk" TargetMode="External"/><Relationship Id="rId24" Type="http://schemas.openxmlformats.org/officeDocument/2006/relationships/hyperlink" Target="https://drive.google.com/file/d/136MyB6rX3s1kqMNIIeqtTu6JwDGBkWlO/view?usp=drivesdk" TargetMode="External"/><Relationship Id="rId23" Type="http://schemas.openxmlformats.org/officeDocument/2006/relationships/hyperlink" Target="https://drive.google.com/file/d/12UktbM36EnKr45A3BRaTHCnYcQKipFoh/view?usp=drivesdk" TargetMode="External"/><Relationship Id="rId525" Type="http://schemas.openxmlformats.org/officeDocument/2006/relationships/hyperlink" Target="https://drive.google.com/file/d/1V2F9-2mvx0AzbyRLkRZAIDTeBHeP_xS_/view?usp=drivesdk" TargetMode="External"/><Relationship Id="rId767" Type="http://schemas.openxmlformats.org/officeDocument/2006/relationships/hyperlink" Target="https://drive.google.com/file/d/1IXQOpwfZ37RVWYT-HOALxzquZZUtaTcH/view?usp=drivesdk" TargetMode="External"/><Relationship Id="rId524" Type="http://schemas.openxmlformats.org/officeDocument/2006/relationships/hyperlink" Target="https://drive.google.com/file/d/1fwKzHMSrgwYVoJbC7eYh77qWYVho8OVb/view?usp=drivesdk" TargetMode="External"/><Relationship Id="rId766" Type="http://schemas.openxmlformats.org/officeDocument/2006/relationships/hyperlink" Target="https://drive.google.com/file/d/1trrzA6kDNZPIds7XPT2iwbWYZFCRNOCb/view?usp=drivesdk" TargetMode="External"/><Relationship Id="rId523" Type="http://schemas.openxmlformats.org/officeDocument/2006/relationships/hyperlink" Target="https://drive.google.com/file/d/16zNgdWtB9JhjDBf47oSRqSxm7u4GojzD/view?usp=drivesdk" TargetMode="External"/><Relationship Id="rId765" Type="http://schemas.openxmlformats.org/officeDocument/2006/relationships/hyperlink" Target="https://drive.google.com/file/d/1eEalvso6_bS1ugIoaf73CPtjF_FTf0s4/view?usp=drivesdk" TargetMode="External"/><Relationship Id="rId522" Type="http://schemas.openxmlformats.org/officeDocument/2006/relationships/hyperlink" Target="https://drive.google.com/file/d/1wKqPVD9lOcXeCMDXmGos-aVOoo2hnHDm/view?usp=drivesdk" TargetMode="External"/><Relationship Id="rId764" Type="http://schemas.openxmlformats.org/officeDocument/2006/relationships/hyperlink" Target="https://drive.google.com/file/d/1r--HAY53j6-aeZ8W47W6cOQIhOpr1pyz/view?usp=drivesdk" TargetMode="External"/><Relationship Id="rId529" Type="http://schemas.openxmlformats.org/officeDocument/2006/relationships/hyperlink" Target="https://drive.google.com/file/d/1eSfFDVhXaqeejcUUS-lc8yDjPqTmDHfQ/view?usp=drivesdk" TargetMode="External"/><Relationship Id="rId528" Type="http://schemas.openxmlformats.org/officeDocument/2006/relationships/hyperlink" Target="https://drive.google.com/file/d/1ZMvNBBZW49JhHKeeffYeRiBjl4SXsxO4/view?usp=drivesdk" TargetMode="External"/><Relationship Id="rId527" Type="http://schemas.openxmlformats.org/officeDocument/2006/relationships/hyperlink" Target="https://drive.google.com/file/d/1PySRl55fAWCDT4GhUVVePVg0eda-PsCs/view?usp=drivesdk" TargetMode="External"/><Relationship Id="rId769" Type="http://schemas.openxmlformats.org/officeDocument/2006/relationships/hyperlink" Target="https://drive.google.com/file/d/1dlkLpSDt7MudD8u9Hou-7mIp1rMkdGpF/view?usp=drivesdk" TargetMode="External"/><Relationship Id="rId526" Type="http://schemas.openxmlformats.org/officeDocument/2006/relationships/hyperlink" Target="https://drive.google.com/file/d/1_-8sc9TgPHiFK7pFRfXVpDSKKTu1NWWR/view?usp=drivesdk" TargetMode="External"/><Relationship Id="rId768" Type="http://schemas.openxmlformats.org/officeDocument/2006/relationships/hyperlink" Target="https://drive.google.com/file/d/1c9IESP9n-wjWjew1eMGWAQPDeTVv7_41/view?usp=drivesdk" TargetMode="External"/><Relationship Id="rId26" Type="http://schemas.openxmlformats.org/officeDocument/2006/relationships/hyperlink" Target="https://drive.google.com/file/d/1nehMZH1FhrVr5ttGwQVfgvqeJrIzLhyT/view?usp=drivesdk" TargetMode="External"/><Relationship Id="rId25" Type="http://schemas.openxmlformats.org/officeDocument/2006/relationships/hyperlink" Target="https://drive.google.com/file/d/1SGFJCN2vvOney4NApARqhB73iCOgk7PP/view?usp=drivesdk" TargetMode="External"/><Relationship Id="rId28" Type="http://schemas.openxmlformats.org/officeDocument/2006/relationships/hyperlink" Target="https://drive.google.com/file/d/1HdjxzTJ5BmtVS3ZKEvlKKC3LEql2q-BA/view?usp=drivesdk" TargetMode="External"/><Relationship Id="rId27" Type="http://schemas.openxmlformats.org/officeDocument/2006/relationships/hyperlink" Target="https://drive.google.com/file/d/1AxwkbKLziu4iXcBBFIxplfneQH4t6uJO/view?usp=drivesdk" TargetMode="External"/><Relationship Id="rId521" Type="http://schemas.openxmlformats.org/officeDocument/2006/relationships/hyperlink" Target="https://drive.google.com/file/d/1by60MZ8Rn2DcDgKyoNoBohio-uDe2SxF/view?usp=drivesdk" TargetMode="External"/><Relationship Id="rId763" Type="http://schemas.openxmlformats.org/officeDocument/2006/relationships/hyperlink" Target="https://drive.google.com/file/d/1H37gH5oBcFKQrlt16r8xLY6Jy1BXGJqZ/view?usp=drivesdk" TargetMode="External"/><Relationship Id="rId29" Type="http://schemas.openxmlformats.org/officeDocument/2006/relationships/hyperlink" Target="https://drive.google.com/file/d/1njzPNLi7sKr8WVYPxIbyQkQOSVUilGWD/view?usp=drivesdk" TargetMode="External"/><Relationship Id="rId520" Type="http://schemas.openxmlformats.org/officeDocument/2006/relationships/hyperlink" Target="https://drive.google.com/file/d/1E-gw5w6Ulw4KXdV3K1qtPzk-tK_7I5Oy/view?usp=drivesdk" TargetMode="External"/><Relationship Id="rId762" Type="http://schemas.openxmlformats.org/officeDocument/2006/relationships/hyperlink" Target="https://drive.google.com/file/d/1k9g5l6HQ4Qu_wMiP6bTcmqSL54xEdmrb/view?usp=drivesdk" TargetMode="External"/><Relationship Id="rId761" Type="http://schemas.openxmlformats.org/officeDocument/2006/relationships/hyperlink" Target="https://drive.google.com/file/d/1zk9EOeEL2errs_Duel3Glyo66o5Onxj5/view?usp=drivesdk" TargetMode="External"/><Relationship Id="rId760" Type="http://schemas.openxmlformats.org/officeDocument/2006/relationships/hyperlink" Target="https://drive.google.com/file/d/1LvkyHqDHfSK14ZEWLt7hlhxDIdyZDr7M/view?usp=drivesdk" TargetMode="External"/><Relationship Id="rId11" Type="http://schemas.openxmlformats.org/officeDocument/2006/relationships/hyperlink" Target="https://drive.google.com/file/d/1tS8oCGyjXE_iUjrmtYwoF0c6IxPj5bwe/view?usp=drivesdk" TargetMode="External"/><Relationship Id="rId10" Type="http://schemas.openxmlformats.org/officeDocument/2006/relationships/hyperlink" Target="https://drive.google.com/file/d/1yx3LelcXw_e83FhlIETtKt3gLFBbBxee/view?usp=drivesdk" TargetMode="External"/><Relationship Id="rId13" Type="http://schemas.openxmlformats.org/officeDocument/2006/relationships/hyperlink" Target="https://drive.google.com/file/d/1V36ZPnUswM9ug8uwlwbe7s6iXPAB3HIh/view?usp=drivesdk" TargetMode="External"/><Relationship Id="rId12" Type="http://schemas.openxmlformats.org/officeDocument/2006/relationships/hyperlink" Target="https://drive.google.com/file/d/1EmJkPoxdTJ-gQWZdii-D138hhWBcspG4/view?usp=drivesdk" TargetMode="External"/><Relationship Id="rId519" Type="http://schemas.openxmlformats.org/officeDocument/2006/relationships/hyperlink" Target="https://drive.google.com/file/d/1etsRa7pU2ivrCzlWcrlbfCK2jTJit8DA/view?usp=drivesdk" TargetMode="External"/><Relationship Id="rId514" Type="http://schemas.openxmlformats.org/officeDocument/2006/relationships/hyperlink" Target="https://drive.google.com/file/d/1Ra8Gu9k8ZysgymIEe4eNZD0q1T0ur6OF/view?usp=drivesdk" TargetMode="External"/><Relationship Id="rId756" Type="http://schemas.openxmlformats.org/officeDocument/2006/relationships/hyperlink" Target="https://drive.google.com/file/d/1e0VZTDaahe7jOz6soJUxxKZ3PeG0Lrfz/view?usp=drivesdk" TargetMode="External"/><Relationship Id="rId513" Type="http://schemas.openxmlformats.org/officeDocument/2006/relationships/hyperlink" Target="https://drive.google.com/file/d/1-unveFZ6Dcz3IGmZqKoIT5GwaWajP1UW/view?usp=drivesdk" TargetMode="External"/><Relationship Id="rId755" Type="http://schemas.openxmlformats.org/officeDocument/2006/relationships/hyperlink" Target="https://drive.google.com/file/d/1eLyhakQqy9uttyjxTASHuJSa6OSljpKa/view?usp=drivesdk" TargetMode="External"/><Relationship Id="rId512" Type="http://schemas.openxmlformats.org/officeDocument/2006/relationships/hyperlink" Target="https://drive.google.com/file/d/1OhR1mzNeToZJ4z60SWZSFjtU2PlkKCqK/view?usp=drivesdk" TargetMode="External"/><Relationship Id="rId754" Type="http://schemas.openxmlformats.org/officeDocument/2006/relationships/hyperlink" Target="https://drive.google.com/file/d/1-nq3iCF65KkpO8WEGnOhHxXQcki3FB5l/view?usp=drivesdk" TargetMode="External"/><Relationship Id="rId511" Type="http://schemas.openxmlformats.org/officeDocument/2006/relationships/hyperlink" Target="https://drive.google.com/file/d/1vG1u-HGh2M349ShU1HW13uaNC5KPsTpk/view?usp=drivesdk" TargetMode="External"/><Relationship Id="rId753" Type="http://schemas.openxmlformats.org/officeDocument/2006/relationships/hyperlink" Target="https://drive.google.com/file/d/17AGtEOhwFNZHAyEeIaBCtECQQQ0z0p0t/view?usp=drivesdk" TargetMode="External"/><Relationship Id="rId518" Type="http://schemas.openxmlformats.org/officeDocument/2006/relationships/hyperlink" Target="https://drive.google.com/file/d/15clUYie0zDYsyIDkZPoyNKt3lVWZixDG/view?usp=drivesdk" TargetMode="External"/><Relationship Id="rId517" Type="http://schemas.openxmlformats.org/officeDocument/2006/relationships/hyperlink" Target="https://drive.google.com/file/d/1MogFFNapTCYXWGMRZ4AfnG9pOj1Ih2lg/view?usp=drivesdk" TargetMode="External"/><Relationship Id="rId759" Type="http://schemas.openxmlformats.org/officeDocument/2006/relationships/hyperlink" Target="https://drive.google.com/file/d/1EUhWk8o9QgkvteSccDnGbyCBz404hXKO/view?usp=drivesdk" TargetMode="External"/><Relationship Id="rId516" Type="http://schemas.openxmlformats.org/officeDocument/2006/relationships/hyperlink" Target="https://drive.google.com/file/d/14xnwK_L1k2RdL_ujuqw3RowRRdY4Tj69/view?usp=drivesdk" TargetMode="External"/><Relationship Id="rId758" Type="http://schemas.openxmlformats.org/officeDocument/2006/relationships/hyperlink" Target="https://drive.google.com/file/d/1M6PpG1qOz8P3TslC7PP7PE98ozY7cqaV/view?usp=drivesdk" TargetMode="External"/><Relationship Id="rId515" Type="http://schemas.openxmlformats.org/officeDocument/2006/relationships/hyperlink" Target="https://drive.google.com/file/d/1eS_GpBLxcFH15P56p2xgZw_quGCb_nkj/view?usp=drivesdk" TargetMode="External"/><Relationship Id="rId757" Type="http://schemas.openxmlformats.org/officeDocument/2006/relationships/hyperlink" Target="https://drive.google.com/file/d/1DwfepLGyqDbVCMz2vu4sHx4th5_0Qclj/view?usp=drivesdk" TargetMode="External"/><Relationship Id="rId15" Type="http://schemas.openxmlformats.org/officeDocument/2006/relationships/hyperlink" Target="https://drive.google.com/file/d/1gdHQkc3oC094D12II38YKtMKEBJWo6Sv/view?usp=drivesdk" TargetMode="External"/><Relationship Id="rId14" Type="http://schemas.openxmlformats.org/officeDocument/2006/relationships/hyperlink" Target="https://drive.google.com/file/d/1Y17P9BaSObYaTN9WA1Z9-poUfGpD2LLP/view?usp=drivesdk" TargetMode="External"/><Relationship Id="rId17" Type="http://schemas.openxmlformats.org/officeDocument/2006/relationships/hyperlink" Target="https://drive.google.com/file/d/1Qoz2BWw-WzedC8leFgPiQ4Ljuz6FTB4b/view?usp=drivesdk" TargetMode="External"/><Relationship Id="rId16" Type="http://schemas.openxmlformats.org/officeDocument/2006/relationships/hyperlink" Target="https://drive.google.com/file/d/1DkiMBRJidCu4rpARd_sGeCMxkHoE_dEf/view?usp=drivesdk" TargetMode="External"/><Relationship Id="rId19" Type="http://schemas.openxmlformats.org/officeDocument/2006/relationships/hyperlink" Target="https://drive.google.com/file/d/15IXPQVUuOt8H540EqjLVe6zzkm15WpLl/view?usp=drivesdk" TargetMode="External"/><Relationship Id="rId510" Type="http://schemas.openxmlformats.org/officeDocument/2006/relationships/hyperlink" Target="https://drive.google.com/file/d/11yki3PHCNvlA_CPVDjHA9OiNdTAyCQ80/view?usp=drivesdk" TargetMode="External"/><Relationship Id="rId752" Type="http://schemas.openxmlformats.org/officeDocument/2006/relationships/hyperlink" Target="https://drive.google.com/file/d/1eV2JvQ4DA9i5QB8CCYBOw5vPSRmY0Emo/view?usp=drivesdk" TargetMode="External"/><Relationship Id="rId18" Type="http://schemas.openxmlformats.org/officeDocument/2006/relationships/hyperlink" Target="https://drive.google.com/file/d/1SXGJ8Fa5qpDhxnKbC01wKIyMtkQ0FLnG/view?usp=drivesdk" TargetMode="External"/><Relationship Id="rId751" Type="http://schemas.openxmlformats.org/officeDocument/2006/relationships/hyperlink" Target="https://drive.google.com/file/d/1tZ7xx8rZcJZyLNUjuSPwZYVIlawycsLC/view?usp=drivesdk" TargetMode="External"/><Relationship Id="rId750" Type="http://schemas.openxmlformats.org/officeDocument/2006/relationships/hyperlink" Target="https://drive.google.com/file/d/1Xqwd202ZznUPRzfNIgF3rXyoaOxpMnhQ/view?usp=drivesdk" TargetMode="External"/><Relationship Id="rId84" Type="http://schemas.openxmlformats.org/officeDocument/2006/relationships/hyperlink" Target="https://drive.google.com/file/d/13T5Wlo8DikrQcBToEAP8YevgCXqH_lJ-/view?usp=drivesdk" TargetMode="External"/><Relationship Id="rId83" Type="http://schemas.openxmlformats.org/officeDocument/2006/relationships/hyperlink" Target="https://drive.google.com/file/d/1hGDsuPkXeFwjEgbghl5DJn-wz8jmeykz/view?usp=drivesdk" TargetMode="External"/><Relationship Id="rId86" Type="http://schemas.openxmlformats.org/officeDocument/2006/relationships/hyperlink" Target="https://drive.google.com/file/d/1EIjNN2hb4d42LNZP1n04LbMDi-sFOLQQ/view?usp=drivesdk" TargetMode="External"/><Relationship Id="rId85" Type="http://schemas.openxmlformats.org/officeDocument/2006/relationships/hyperlink" Target="https://drive.google.com/file/d/1aqJvZMx08Hhs5OpfMzd7KuRiI2tPgY9f/view?usp=drivesdk" TargetMode="External"/><Relationship Id="rId88" Type="http://schemas.openxmlformats.org/officeDocument/2006/relationships/hyperlink" Target="https://drive.google.com/file/d/1an54ZtND4ELlVVkjP5w_nYLw9h40qeDe/view?usp=drivesdk" TargetMode="External"/><Relationship Id="rId87" Type="http://schemas.openxmlformats.org/officeDocument/2006/relationships/hyperlink" Target="https://drive.google.com/file/d/1YqbE72Rba8kiOCHx-L-s7ZKnxt7sLYil/view?usp=drivesdk" TargetMode="External"/><Relationship Id="rId89" Type="http://schemas.openxmlformats.org/officeDocument/2006/relationships/hyperlink" Target="https://drive.google.com/file/d/1WT8LXOoms4rrcGrDM_wsFY7ojbx_Ijo5/view?usp=drivesdk" TargetMode="External"/><Relationship Id="rId709" Type="http://schemas.openxmlformats.org/officeDocument/2006/relationships/hyperlink" Target="https://drive.google.com/file/d/1fdknbril4WmsUhNlR6O8caCDK7Q5N4iQ/view?usp=drivesdk" TargetMode="External"/><Relationship Id="rId708" Type="http://schemas.openxmlformats.org/officeDocument/2006/relationships/hyperlink" Target="https://drive.google.com/file/d/1sxeQHIjjwStiSqNur5hFkT-LxeTwxdui/view?usp=drivesdk" TargetMode="External"/><Relationship Id="rId707" Type="http://schemas.openxmlformats.org/officeDocument/2006/relationships/hyperlink" Target="https://drive.google.com/file/d/1BJRzcIgyROBd_gZynzda_sAA0hKCFV0n/view?usp=drivesdk" TargetMode="External"/><Relationship Id="rId949" Type="http://schemas.openxmlformats.org/officeDocument/2006/relationships/hyperlink" Target="https://drive.google.com/file/d/1KqH-9mlaydoYQJlbfMhb_14rrlc_Nl5U/view?usp=drivesdk" TargetMode="External"/><Relationship Id="rId706" Type="http://schemas.openxmlformats.org/officeDocument/2006/relationships/hyperlink" Target="https://drive.google.com/file/d/1QdRxwISmmMtWBUWUkJdP-3bXmV8rLFUH/view?usp=drivesdk" TargetMode="External"/><Relationship Id="rId948" Type="http://schemas.openxmlformats.org/officeDocument/2006/relationships/hyperlink" Target="https://drive.google.com/file/d/1yoB72kb29oIbyZeYDK4Aa9jbl01jNeI7/view?usp=drivesdk" TargetMode="External"/><Relationship Id="rId80" Type="http://schemas.openxmlformats.org/officeDocument/2006/relationships/hyperlink" Target="https://drive.google.com/file/d/1a8w_mMq0j719TO-dOQXvCzFmUsxKFfIa/view?usp=drivesdk" TargetMode="External"/><Relationship Id="rId82" Type="http://schemas.openxmlformats.org/officeDocument/2006/relationships/hyperlink" Target="https://drive.google.com/file/d/1_2htkTdjA54d_tiYlz2OttpNezsuoFau/view?usp=drivesdk" TargetMode="External"/><Relationship Id="rId81" Type="http://schemas.openxmlformats.org/officeDocument/2006/relationships/hyperlink" Target="https://drive.google.com/file/d/1ve7XxNjVjcZOKZeCYKw3Ly6jVPiSpPdg/view?usp=drivesdk" TargetMode="External"/><Relationship Id="rId701" Type="http://schemas.openxmlformats.org/officeDocument/2006/relationships/hyperlink" Target="https://drive.google.com/file/d/1m19Dhw1Ww__IFN70Yd63wTB1IqMWVKrg/view?usp=drivesdk" TargetMode="External"/><Relationship Id="rId943" Type="http://schemas.openxmlformats.org/officeDocument/2006/relationships/hyperlink" Target="https://drive.google.com/file/d/1WUmW5UqmCN_ZSuSib46St3Yrd-Qoq8VG/view?usp=drivesdk" TargetMode="External"/><Relationship Id="rId700" Type="http://schemas.openxmlformats.org/officeDocument/2006/relationships/hyperlink" Target="https://drive.google.com/file/d/18ZfbsXZKev6IvmDMvidwZficRkU0mmlz/view?usp=drivesdk" TargetMode="External"/><Relationship Id="rId942" Type="http://schemas.openxmlformats.org/officeDocument/2006/relationships/hyperlink" Target="https://drive.google.com/file/d/1uobxd8SgyHMBP2VXy3Q_vC-IuSXsVbF8/view?usp=drivesdk" TargetMode="External"/><Relationship Id="rId941" Type="http://schemas.openxmlformats.org/officeDocument/2006/relationships/hyperlink" Target="https://drive.google.com/file/d/1zivLEbTifc6YSoy6HHBuEp5H106HmqH-/view?usp=drivesdk" TargetMode="External"/><Relationship Id="rId940" Type="http://schemas.openxmlformats.org/officeDocument/2006/relationships/hyperlink" Target="https://drive.google.com/file/d/1jyaLgM8e35xD9Wko63h6vpSE70s0NED9/view?usp=drivesdk" TargetMode="External"/><Relationship Id="rId705" Type="http://schemas.openxmlformats.org/officeDocument/2006/relationships/hyperlink" Target="https://drive.google.com/file/d/1FKqu0IwFBATQBywD6xCLyBKwH4sl8_E0/view?usp=drivesdk" TargetMode="External"/><Relationship Id="rId947" Type="http://schemas.openxmlformats.org/officeDocument/2006/relationships/hyperlink" Target="https://drive.google.com/file/d/1SEZYBhl2P8BECJapQtEmNHGJ2o3vESo_/view?usp=drivesdk" TargetMode="External"/><Relationship Id="rId704" Type="http://schemas.openxmlformats.org/officeDocument/2006/relationships/hyperlink" Target="https://drive.google.com/file/d/1WxeXD-60KcQK2zKpylhFpyYws8CXYMDx/view?usp=drivesdk" TargetMode="External"/><Relationship Id="rId946" Type="http://schemas.openxmlformats.org/officeDocument/2006/relationships/hyperlink" Target="https://drive.google.com/file/d/1y-rKA6Xw1exP-2hKQWcSlMHiqkiSXKx1/view?usp=drivesdk" TargetMode="External"/><Relationship Id="rId703" Type="http://schemas.openxmlformats.org/officeDocument/2006/relationships/hyperlink" Target="https://drive.google.com/file/d/1BKd3DMu9VT55lPDPzSDUE233Ag23weMU/view?usp=drivesdk" TargetMode="External"/><Relationship Id="rId945" Type="http://schemas.openxmlformats.org/officeDocument/2006/relationships/hyperlink" Target="https://drive.google.com/file/d/1C5pV2TvvUQWKRCgFFEnm1DO3UeVBqZEX/view?usp=drivesdk" TargetMode="External"/><Relationship Id="rId702" Type="http://schemas.openxmlformats.org/officeDocument/2006/relationships/hyperlink" Target="https://drive.google.com/file/d/13gsiO4uoVzbMuJoPreZQ14r8fBxXYAuJ/view?usp=drivesdk" TargetMode="External"/><Relationship Id="rId944" Type="http://schemas.openxmlformats.org/officeDocument/2006/relationships/hyperlink" Target="https://drive.google.com/file/d/1PV7p4doGQxYO6YTbjfBMTYb_-WBANwpv/view?usp=drivesdk" TargetMode="External"/><Relationship Id="rId73" Type="http://schemas.openxmlformats.org/officeDocument/2006/relationships/hyperlink" Target="https://drive.google.com/file/d/1S0DIpk1zAe7Fjqb1ZBi4UMB34MVxxEG7/view?usp=drivesdk" TargetMode="External"/><Relationship Id="rId72" Type="http://schemas.openxmlformats.org/officeDocument/2006/relationships/hyperlink" Target="https://drive.google.com/file/d/1lj-0qEARLf03Uk2YJvolOl8cRZCvAUUM/view?usp=drivesdk" TargetMode="External"/><Relationship Id="rId75" Type="http://schemas.openxmlformats.org/officeDocument/2006/relationships/hyperlink" Target="https://drive.google.com/file/d/1FBCcFFzew30fnKWESTG8pwP5UaeUOYzI/view?usp=drivesdk" TargetMode="External"/><Relationship Id="rId74" Type="http://schemas.openxmlformats.org/officeDocument/2006/relationships/hyperlink" Target="https://drive.google.com/file/d/1QFVfyKQvRrMeZhti0dM6odyFh5acCmk1/view?usp=drivesdk" TargetMode="External"/><Relationship Id="rId77" Type="http://schemas.openxmlformats.org/officeDocument/2006/relationships/hyperlink" Target="https://drive.google.com/file/d/1FWZnG5ZJn-6tfik7MX824aPxBgHrzdC2/view?usp=drivesdk" TargetMode="External"/><Relationship Id="rId76" Type="http://schemas.openxmlformats.org/officeDocument/2006/relationships/hyperlink" Target="https://drive.google.com/file/d/1VgpFNvSnqkG0JdF2i9DT5MidKi8sDBio/view?usp=drivesdk" TargetMode="External"/><Relationship Id="rId79" Type="http://schemas.openxmlformats.org/officeDocument/2006/relationships/hyperlink" Target="https://drive.google.com/file/d/1Mv4FSvwX8_YPBvVtZIZgr6j-EXeMg3kx/view?usp=drivesdk" TargetMode="External"/><Relationship Id="rId78" Type="http://schemas.openxmlformats.org/officeDocument/2006/relationships/hyperlink" Target="https://drive.google.com/file/d/1jPGSdHHSUCxrT7ggYS3amvbPqIAsOs4f/view?usp=drivesdk" TargetMode="External"/><Relationship Id="rId939" Type="http://schemas.openxmlformats.org/officeDocument/2006/relationships/hyperlink" Target="https://drive.google.com/file/d/1zybf2F34n9AlCeAjQmnPmbYAiHbZiSJP/view?usp=drivesdk" TargetMode="External"/><Relationship Id="rId938" Type="http://schemas.openxmlformats.org/officeDocument/2006/relationships/hyperlink" Target="https://drive.google.com/file/d/1q_91fMGcBoxLVjJyvZWmyzIf2GhG7WBL/view?usp=drivesdk" TargetMode="External"/><Relationship Id="rId937" Type="http://schemas.openxmlformats.org/officeDocument/2006/relationships/hyperlink" Target="https://drive.google.com/file/d/13SaxBMoBbN8DBwWPGj-3Ixj-fMVIXdLR/view?usp=drivesdk" TargetMode="External"/><Relationship Id="rId71" Type="http://schemas.openxmlformats.org/officeDocument/2006/relationships/hyperlink" Target="https://drive.google.com/file/d/19llijfO1x_OiR6TCXHYoUcxcvUX1RD2B/view?usp=drivesdk" TargetMode="External"/><Relationship Id="rId70" Type="http://schemas.openxmlformats.org/officeDocument/2006/relationships/hyperlink" Target="https://drive.google.com/file/d/1122cdxXYNmiwkRWsKNX3qQeJZRIzNxyQ/view?usp=drivesdk" TargetMode="External"/><Relationship Id="rId932" Type="http://schemas.openxmlformats.org/officeDocument/2006/relationships/hyperlink" Target="https://drive.google.com/file/d/11RrstCQLmZkSagkHWX6t7H1qMz8Wa3FR/view?usp=drivesdk" TargetMode="External"/><Relationship Id="rId931" Type="http://schemas.openxmlformats.org/officeDocument/2006/relationships/hyperlink" Target="https://drive.google.com/file/d/1y1y9wD_yjhImZI5NzHfPpBtw8endz4r3/view?usp=drivesdk" TargetMode="External"/><Relationship Id="rId930" Type="http://schemas.openxmlformats.org/officeDocument/2006/relationships/hyperlink" Target="https://drive.google.com/file/d/1Yx3ohQoMgQ262WurtE7im7OrdbUFV3Qy/view?usp=drivesdk" TargetMode="External"/><Relationship Id="rId936" Type="http://schemas.openxmlformats.org/officeDocument/2006/relationships/hyperlink" Target="https://drive.google.com/file/d/1Yo_JEV7lrshHlrhfZA4RLMsl4Ey6BWLe/view?usp=drivesdk" TargetMode="External"/><Relationship Id="rId935" Type="http://schemas.openxmlformats.org/officeDocument/2006/relationships/hyperlink" Target="https://drive.google.com/file/d/1yjg170F6rpCVpPnpVh6IylXSqYUAkWBT/view?usp=drivesdk" TargetMode="External"/><Relationship Id="rId934" Type="http://schemas.openxmlformats.org/officeDocument/2006/relationships/hyperlink" Target="https://drive.google.com/file/d/1bAoVbggrIotkkGHkMBDbBtOEdz8sUUL6/view?usp=drivesdk" TargetMode="External"/><Relationship Id="rId933" Type="http://schemas.openxmlformats.org/officeDocument/2006/relationships/hyperlink" Target="https://drive.google.com/file/d/1kIv8T4jSJ6KNrXC5Pe2aH81nGecaruI_/view?usp=drivesdk" TargetMode="External"/><Relationship Id="rId62" Type="http://schemas.openxmlformats.org/officeDocument/2006/relationships/hyperlink" Target="https://drive.google.com/file/d/1xtFbmUx3DpIkVo8HmV8a8ij_v5h0c5H4/view?usp=drivesdk" TargetMode="External"/><Relationship Id="rId61" Type="http://schemas.openxmlformats.org/officeDocument/2006/relationships/hyperlink" Target="https://drive.google.com/file/d/1YOs4LBHSXwwreL_T8Tbh6G3pgiJ2yTpc/view?usp=drivesdk" TargetMode="External"/><Relationship Id="rId64" Type="http://schemas.openxmlformats.org/officeDocument/2006/relationships/hyperlink" Target="https://drive.google.com/file/d/1XSTtBC7yMjTHBgtpGpPpDoj-cPr5OVl-/view?usp=drivesdk" TargetMode="External"/><Relationship Id="rId63" Type="http://schemas.openxmlformats.org/officeDocument/2006/relationships/hyperlink" Target="https://drive.google.com/file/d/1Aa9oBtmISDIuHdQbVZCyfOLlYEq1Zl1W/view?usp=drivesdk" TargetMode="External"/><Relationship Id="rId66" Type="http://schemas.openxmlformats.org/officeDocument/2006/relationships/hyperlink" Target="https://drive.google.com/file/d/1tl2zyEISP7Dq3RLetB3PGrISTGkXd_MA/view?usp=drivesdk" TargetMode="External"/><Relationship Id="rId65" Type="http://schemas.openxmlformats.org/officeDocument/2006/relationships/hyperlink" Target="https://drive.google.com/file/d/1eiVnEYJDS-u1qKnxLAayn_TUeFJOzTFd/view?usp=drivesdk" TargetMode="External"/><Relationship Id="rId68" Type="http://schemas.openxmlformats.org/officeDocument/2006/relationships/hyperlink" Target="https://drive.google.com/file/d/1HGsLAhXQiLtRkeaWyWRfG_2bF-Bla9QE/view?usp=drivesdk" TargetMode="External"/><Relationship Id="rId67" Type="http://schemas.openxmlformats.org/officeDocument/2006/relationships/hyperlink" Target="https://drive.google.com/file/d/10ssq1wm8KUnqliKzed2wq1UlH-tV83v0/view?usp=drivesdk" TargetMode="External"/><Relationship Id="rId729" Type="http://schemas.openxmlformats.org/officeDocument/2006/relationships/hyperlink" Target="https://drive.google.com/file/d/16a8tl7IsC9ow4dsXyk9a_OULUrZjE8gt/view?usp=drivesdk" TargetMode="External"/><Relationship Id="rId728" Type="http://schemas.openxmlformats.org/officeDocument/2006/relationships/hyperlink" Target="https://drive.google.com/file/d/1bwDa5URBl6j7Ubw_OB9jZt5X9GyeTnkc/view?usp=drivesdk" TargetMode="External"/><Relationship Id="rId60" Type="http://schemas.openxmlformats.org/officeDocument/2006/relationships/hyperlink" Target="https://drive.google.com/file/d/1nkWWYZxxxqEYNl-74LFssFZcXX-uDpl_/view?usp=drivesdk" TargetMode="External"/><Relationship Id="rId723" Type="http://schemas.openxmlformats.org/officeDocument/2006/relationships/hyperlink" Target="https://drive.google.com/file/d/1VFQvEyfIT8L_-v3ZmYPPXgFuRWAUcat7/view?usp=drivesdk" TargetMode="External"/><Relationship Id="rId965" Type="http://schemas.openxmlformats.org/officeDocument/2006/relationships/hyperlink" Target="https://drive.google.com/file/d/1SFlmtBY0wTLkvSwSshsSM-bmv1Eoeeos/view?usp=drivesdk" TargetMode="External"/><Relationship Id="rId722" Type="http://schemas.openxmlformats.org/officeDocument/2006/relationships/hyperlink" Target="https://drive.google.com/file/d/1vW8cBFqldfh2fwDUSieSm_g_-Ju6whnL/view?usp=drivesdk" TargetMode="External"/><Relationship Id="rId964" Type="http://schemas.openxmlformats.org/officeDocument/2006/relationships/hyperlink" Target="https://drive.google.com/file/d/1x_UyXWiqgzpj3xKyo43sQruyXMr_Hvxr/view?usp=drivesdk" TargetMode="External"/><Relationship Id="rId721" Type="http://schemas.openxmlformats.org/officeDocument/2006/relationships/hyperlink" Target="https://drive.google.com/file/d/1jeQYTFIjBT9uw1PR1y24TK6bv9WQMvDa/view?usp=drivesdk" TargetMode="External"/><Relationship Id="rId963" Type="http://schemas.openxmlformats.org/officeDocument/2006/relationships/hyperlink" Target="https://drive.google.com/file/d/11xwY4f1vozZuLsy15c1-NhrryMzScPNR/view?usp=drivesdk" TargetMode="External"/><Relationship Id="rId720" Type="http://schemas.openxmlformats.org/officeDocument/2006/relationships/hyperlink" Target="https://drive.google.com/file/d/1iyokPqYkPmqbNzrtz6I5lHDNgM2P3wAa/view?usp=drivesdk" TargetMode="External"/><Relationship Id="rId962" Type="http://schemas.openxmlformats.org/officeDocument/2006/relationships/hyperlink" Target="https://drive.google.com/file/d/1ZGPxaZdywJjuaLDHbq7ojU3ZQncYRW2l/view?usp=drivesdk" TargetMode="External"/><Relationship Id="rId727" Type="http://schemas.openxmlformats.org/officeDocument/2006/relationships/hyperlink" Target="https://drive.google.com/file/d/1NYaV2ByQFyONNDZAK3JhyXc_dAMwuqq0/view?usp=drivesdk" TargetMode="External"/><Relationship Id="rId969" Type="http://schemas.openxmlformats.org/officeDocument/2006/relationships/hyperlink" Target="https://drive.google.com/file/d/1ynw9xhhNmMPt-kSloI-lrNvNAKyYsp_a/view?usp=drivesdk" TargetMode="External"/><Relationship Id="rId726" Type="http://schemas.openxmlformats.org/officeDocument/2006/relationships/hyperlink" Target="https://drive.google.com/file/d/1IVs1mgv3MVpBlaFf1_DFP0A9574RJ9Lo/view?usp=drivesdk" TargetMode="External"/><Relationship Id="rId968" Type="http://schemas.openxmlformats.org/officeDocument/2006/relationships/hyperlink" Target="https://drive.google.com/file/d/1ERSWW78wegy_ZFXCbUGxb1LhZHadoysw/view?usp=drivesdk" TargetMode="External"/><Relationship Id="rId725" Type="http://schemas.openxmlformats.org/officeDocument/2006/relationships/hyperlink" Target="https://drive.google.com/file/d/1uMX1WBNSgjs7TYeUyu1f49TZuESfxdUK/view?usp=drivesdk" TargetMode="External"/><Relationship Id="rId967" Type="http://schemas.openxmlformats.org/officeDocument/2006/relationships/hyperlink" Target="https://drive.google.com/file/d/1PRkkpOq7dWlmRmFlpUK0OSJdN56xW_qn/view?usp=drivesdk" TargetMode="External"/><Relationship Id="rId724" Type="http://schemas.openxmlformats.org/officeDocument/2006/relationships/hyperlink" Target="https://drive.google.com/file/d/17NWvAlrYabycfAn4pSD8ME1V2IJNPLV2/view?usp=drivesdk" TargetMode="External"/><Relationship Id="rId966" Type="http://schemas.openxmlformats.org/officeDocument/2006/relationships/hyperlink" Target="https://drive.google.com/file/d/1eM9PIHqE7EOB3LYr7_LAaNbE4jWvwor1/view?usp=drivesdk" TargetMode="External"/><Relationship Id="rId69" Type="http://schemas.openxmlformats.org/officeDocument/2006/relationships/hyperlink" Target="https://drive.google.com/file/d/1Mt7hr5HATywHoOrEiSMOPviObVfd6qEX/view?usp=drivesdk" TargetMode="External"/><Relationship Id="rId961" Type="http://schemas.openxmlformats.org/officeDocument/2006/relationships/hyperlink" Target="https://drive.google.com/file/d/1q-Bsjux7oE1xeMzCdXlTz11Jq8XzyJnE/view?usp=drivesdk" TargetMode="External"/><Relationship Id="rId960" Type="http://schemas.openxmlformats.org/officeDocument/2006/relationships/hyperlink" Target="https://drive.google.com/file/d/1vkGgoJrhn_fvN20K9qUtLwc8qFgyAiW7/view?usp=drivesdk" TargetMode="External"/><Relationship Id="rId51" Type="http://schemas.openxmlformats.org/officeDocument/2006/relationships/hyperlink" Target="https://drive.google.com/file/d/1nEPueYwyqo-f8dDwrk4qy3wFNq8GVL3O/view?usp=drivesdk" TargetMode="External"/><Relationship Id="rId50" Type="http://schemas.openxmlformats.org/officeDocument/2006/relationships/hyperlink" Target="https://drive.google.com/file/d/19oQC7k1F1Sjaf2Pr6LD5lI-Yf2rs0zAY/view?usp=drivesdk" TargetMode="External"/><Relationship Id="rId53" Type="http://schemas.openxmlformats.org/officeDocument/2006/relationships/hyperlink" Target="https://drive.google.com/file/d/1v7wvk3O0DJKty1fROoP0eASVLgj0R8qk/view?usp=drivesdk" TargetMode="External"/><Relationship Id="rId52" Type="http://schemas.openxmlformats.org/officeDocument/2006/relationships/hyperlink" Target="https://drive.google.com/file/d/1_YSPZldf8E3yzBabNxKC3cTzD2e6-CbI/view?usp=drivesdk" TargetMode="External"/><Relationship Id="rId55" Type="http://schemas.openxmlformats.org/officeDocument/2006/relationships/hyperlink" Target="https://drive.google.com/file/d/1T8aWCbjMdk74BXIB8TCMBqnV86daV1up/view?usp=drivesdk" TargetMode="External"/><Relationship Id="rId54" Type="http://schemas.openxmlformats.org/officeDocument/2006/relationships/hyperlink" Target="https://drive.google.com/file/d/1d6QA5zp1Vi-nS8UnSa5r-4KbJfyjVHuT/view?usp=drivesdk" TargetMode="External"/><Relationship Id="rId57" Type="http://schemas.openxmlformats.org/officeDocument/2006/relationships/hyperlink" Target="https://drive.google.com/file/d/1IbqYvnCOf4uirVZuOV4dwHfnsRXQ21sf/view?usp=drivesdk" TargetMode="External"/><Relationship Id="rId56" Type="http://schemas.openxmlformats.org/officeDocument/2006/relationships/hyperlink" Target="https://drive.google.com/file/d/1bgI--588l7W0F6MH1pH5MFbys4-cObhL/view?usp=drivesdk" TargetMode="External"/><Relationship Id="rId719" Type="http://schemas.openxmlformats.org/officeDocument/2006/relationships/hyperlink" Target="https://drive.google.com/file/d/1KAhcg8Ghm6AIkf6Zj28i8e46nacM3DP5/view?usp=drivesdk" TargetMode="External"/><Relationship Id="rId718" Type="http://schemas.openxmlformats.org/officeDocument/2006/relationships/hyperlink" Target="https://drive.google.com/file/d/1g6-QICt_Zny8VTeRSA66FIyOtcJdzEHm/view?usp=drivesdk" TargetMode="External"/><Relationship Id="rId717" Type="http://schemas.openxmlformats.org/officeDocument/2006/relationships/hyperlink" Target="https://drive.google.com/file/d/1ODXKp0ZK5Qf4mFW57j-GXI70D2HmxORO/view?usp=drivesdk" TargetMode="External"/><Relationship Id="rId959" Type="http://schemas.openxmlformats.org/officeDocument/2006/relationships/hyperlink" Target="https://drive.google.com/file/d/1HFSxXS06YxsfuS_eQU_nzbHc-pmFpUGs/view?usp=drivesdk" TargetMode="External"/><Relationship Id="rId712" Type="http://schemas.openxmlformats.org/officeDocument/2006/relationships/hyperlink" Target="https://drive.google.com/file/d/1B3C_1-y36AfCxLmW1qtU963Uh6qh-6lp/view?usp=drivesdk" TargetMode="External"/><Relationship Id="rId954" Type="http://schemas.openxmlformats.org/officeDocument/2006/relationships/hyperlink" Target="https://drive.google.com/file/d/1cuoRmibrQBLplWtY4Z9MD1TrDsqbCHpR/view?usp=drivesdk" TargetMode="External"/><Relationship Id="rId711" Type="http://schemas.openxmlformats.org/officeDocument/2006/relationships/hyperlink" Target="https://drive.google.com/file/d/1kTAPoyE6kdxUfEDQgZLhBwxZ9_MBHTT4/view?usp=drivesdk" TargetMode="External"/><Relationship Id="rId953" Type="http://schemas.openxmlformats.org/officeDocument/2006/relationships/hyperlink" Target="https://drive.google.com/file/d/1vOP4aqgN2byLYvg7oJEOOQrx4itjfhbL/view?usp=drivesdk" TargetMode="External"/><Relationship Id="rId710" Type="http://schemas.openxmlformats.org/officeDocument/2006/relationships/hyperlink" Target="https://drive.google.com/file/d/16qvEw0CYgN-_idq6_UCiBxUdb58l7Gtj/view?usp=drivesdk" TargetMode="External"/><Relationship Id="rId952" Type="http://schemas.openxmlformats.org/officeDocument/2006/relationships/hyperlink" Target="https://drive.google.com/file/d/1BpzIVTgtlWPVeqSJgY_6_IwbgR74mjUk/view?usp=drivesdk" TargetMode="External"/><Relationship Id="rId951" Type="http://schemas.openxmlformats.org/officeDocument/2006/relationships/hyperlink" Target="https://drive.google.com/file/d/12FaQOb635nJWHM1NM7FnFCgAfIDMn-9h/view?usp=drivesdk" TargetMode="External"/><Relationship Id="rId716" Type="http://schemas.openxmlformats.org/officeDocument/2006/relationships/hyperlink" Target="https://drive.google.com/file/d/1DKicOs_jjEpX0NTlmHqpOeB9scIvTBR3/view?usp=drivesdk" TargetMode="External"/><Relationship Id="rId958" Type="http://schemas.openxmlformats.org/officeDocument/2006/relationships/hyperlink" Target="https://drive.google.com/file/d/1fxwM1SZg2LdNNk91UMpQKuckqLzPfGd8/view?usp=drivesdk" TargetMode="External"/><Relationship Id="rId715" Type="http://schemas.openxmlformats.org/officeDocument/2006/relationships/hyperlink" Target="https://drive.google.com/file/d/18tAxM4teDLTbdgBVO-AyvHo8trG0v7xF/view?usp=drivesdk" TargetMode="External"/><Relationship Id="rId957" Type="http://schemas.openxmlformats.org/officeDocument/2006/relationships/hyperlink" Target="https://drive.google.com/file/d/1SySXcNnBSI5c6azARl88-QUClOgpbKlG/view?usp=drivesdk" TargetMode="External"/><Relationship Id="rId714" Type="http://schemas.openxmlformats.org/officeDocument/2006/relationships/hyperlink" Target="https://drive.google.com/file/d/1PQVjTfRDBDhc9hd9dAF_vbakhxchMtae/view?usp=drivesdk" TargetMode="External"/><Relationship Id="rId956" Type="http://schemas.openxmlformats.org/officeDocument/2006/relationships/hyperlink" Target="https://drive.google.com/file/d/1c43TTQ_HsZyYDSmxKJLBh5-9pzckXRHN/view?usp=drivesdk" TargetMode="External"/><Relationship Id="rId713" Type="http://schemas.openxmlformats.org/officeDocument/2006/relationships/hyperlink" Target="https://drive.google.com/file/d/1ie25e9jXMIdGl3bWmA5UbBS7kQ2PCVam/view?usp=drivesdk" TargetMode="External"/><Relationship Id="rId955" Type="http://schemas.openxmlformats.org/officeDocument/2006/relationships/hyperlink" Target="https://drive.google.com/file/d/1Iqi9aZkX_PhfcZ8OvVeo0uUmhCMYaZ30/view?usp=drivesdk" TargetMode="External"/><Relationship Id="rId59" Type="http://schemas.openxmlformats.org/officeDocument/2006/relationships/hyperlink" Target="https://drive.google.com/file/d/1ubg9Wzmya8Nhedu7v_56BBXlaGmVy9gb/view?usp=drivesdk" TargetMode="External"/><Relationship Id="rId58" Type="http://schemas.openxmlformats.org/officeDocument/2006/relationships/hyperlink" Target="https://drive.google.com/file/d/1rjgwiGoXrvzhzLXFC2-MjxPDWMU-J86k/view?usp=drivesdk" TargetMode="External"/><Relationship Id="rId950" Type="http://schemas.openxmlformats.org/officeDocument/2006/relationships/hyperlink" Target="https://drive.google.com/file/d/1Yh31o3NSd0ReVvul-1yanBNJOXrzg7qp/view?usp=drivesdk" TargetMode="External"/><Relationship Id="rId590" Type="http://schemas.openxmlformats.org/officeDocument/2006/relationships/hyperlink" Target="https://drive.google.com/file/d/10QMwOFMrKmIarNBo47YoB4dk-gWcpYut/view?usp=drivesdk" TargetMode="External"/><Relationship Id="rId107" Type="http://schemas.openxmlformats.org/officeDocument/2006/relationships/hyperlink" Target="https://drive.google.com/file/d/1qrd5_WGUwXWD4PMqkuNPbVzvVaA68LQo/view?usp=drivesdk" TargetMode="External"/><Relationship Id="rId349" Type="http://schemas.openxmlformats.org/officeDocument/2006/relationships/hyperlink" Target="https://drive.google.com/file/d/1a9hj72A11WnR8qdLLj3syAyBCflC9OqU/view?usp=drivesdk" TargetMode="External"/><Relationship Id="rId106" Type="http://schemas.openxmlformats.org/officeDocument/2006/relationships/hyperlink" Target="https://drive.google.com/file/d/1Zt57D9LMn1xTp3K07__2g6yG9hNKv3ii/view?usp=drivesdk" TargetMode="External"/><Relationship Id="rId348" Type="http://schemas.openxmlformats.org/officeDocument/2006/relationships/hyperlink" Target="https://drive.google.com/file/d/1p4BepxkMk1yisQXnBvMPh6vFEm2V_71M/view?usp=drivesdk" TargetMode="External"/><Relationship Id="rId105" Type="http://schemas.openxmlformats.org/officeDocument/2006/relationships/hyperlink" Target="https://drive.google.com/file/d/1ACF6kWCHLYXaFlvDz3uuqJPjLBydwC2A/view?usp=drivesdk" TargetMode="External"/><Relationship Id="rId347" Type="http://schemas.openxmlformats.org/officeDocument/2006/relationships/hyperlink" Target="https://drive.google.com/file/d/1_0UtRXvgAgQftL4v4X0Qqr_WpAaPOI_p/view?usp=drivesdk" TargetMode="External"/><Relationship Id="rId589" Type="http://schemas.openxmlformats.org/officeDocument/2006/relationships/hyperlink" Target="https://drive.google.com/file/d/1XBqrmOuMx6_1FjcIaSnYnUlzE9KQnUe4/view?usp=drivesdk" TargetMode="External"/><Relationship Id="rId104" Type="http://schemas.openxmlformats.org/officeDocument/2006/relationships/hyperlink" Target="https://drive.google.com/file/d/1294S0gxf2Oj8-ekfhevuVEuExxL1rcMi/view?usp=drivesdk" TargetMode="External"/><Relationship Id="rId346" Type="http://schemas.openxmlformats.org/officeDocument/2006/relationships/hyperlink" Target="https://drive.google.com/file/d/1cQm8ba6Z6I8sAr2uhRSDScd8E9yOxp2m/view?usp=drivesdk" TargetMode="External"/><Relationship Id="rId588" Type="http://schemas.openxmlformats.org/officeDocument/2006/relationships/hyperlink" Target="https://drive.google.com/file/d/1tiIfn0QKKG4r0vgCVyNXO0Gl6e64XvwI/view?usp=drivesdk" TargetMode="External"/><Relationship Id="rId109" Type="http://schemas.openxmlformats.org/officeDocument/2006/relationships/hyperlink" Target="https://drive.google.com/file/d/1Sqrbw-dmuTx3Fak4CXvAVm6GSkgcKFU0/view?usp=drivesdk" TargetMode="External"/><Relationship Id="rId108" Type="http://schemas.openxmlformats.org/officeDocument/2006/relationships/hyperlink" Target="https://drive.google.com/file/d/1HdVzWrJ2iZasb8fh6ypRMOSTnAXQseFa/view?usp=drivesdk" TargetMode="External"/><Relationship Id="rId341" Type="http://schemas.openxmlformats.org/officeDocument/2006/relationships/hyperlink" Target="https://drive.google.com/file/d/1boX__7aSpP7lWOh16Ac6qU4davKWKr4x/view?usp=drivesdk" TargetMode="External"/><Relationship Id="rId583" Type="http://schemas.openxmlformats.org/officeDocument/2006/relationships/hyperlink" Target="https://drive.google.com/file/d/1eBdpx3G599Uem8Sjcw3q2k_9g-9WVAua/view?usp=drivesdk" TargetMode="External"/><Relationship Id="rId340" Type="http://schemas.openxmlformats.org/officeDocument/2006/relationships/hyperlink" Target="https://drive.google.com/file/d/1-lugdhTK_aPYuXkd2awTSeYUG11X3RiR/view?usp=drivesdk" TargetMode="External"/><Relationship Id="rId582" Type="http://schemas.openxmlformats.org/officeDocument/2006/relationships/hyperlink" Target="https://drive.google.com/file/d/1PCZbJ58VHjBxzozad9lTVc_4WHcJ24hj/view?usp=drivesdk" TargetMode="External"/><Relationship Id="rId581" Type="http://schemas.openxmlformats.org/officeDocument/2006/relationships/hyperlink" Target="https://drive.google.com/file/d/1IyLP75ltSORbdTEZ9QnX-lLa_mw4u0xX/view?usp=drivesdk" TargetMode="External"/><Relationship Id="rId580" Type="http://schemas.openxmlformats.org/officeDocument/2006/relationships/hyperlink" Target="https://drive.google.com/file/d/1VaefiX2DSvkg8hvqetmcklePoxh3SLcC/view?usp=drivesdk" TargetMode="External"/><Relationship Id="rId103" Type="http://schemas.openxmlformats.org/officeDocument/2006/relationships/hyperlink" Target="https://drive.google.com/file/d/1l-0dGvUWz0LwgygQ3QNqSc1606XhMyUz/view?usp=drivesdk" TargetMode="External"/><Relationship Id="rId345" Type="http://schemas.openxmlformats.org/officeDocument/2006/relationships/hyperlink" Target="https://drive.google.com/file/d/1wOtr4HvBtyyLEPxBthvB5AjTBUOTFeAv/view?usp=drivesdk" TargetMode="External"/><Relationship Id="rId587" Type="http://schemas.openxmlformats.org/officeDocument/2006/relationships/hyperlink" Target="https://drive.google.com/file/d/1x4SiNdzK0Ur4EQ7Z2DU165vzoAFamSSo/view?usp=drivesdk" TargetMode="External"/><Relationship Id="rId102" Type="http://schemas.openxmlformats.org/officeDocument/2006/relationships/hyperlink" Target="https://drive.google.com/file/d/1c2q4Rg0XtSQJqJRRwmjDTEUXuj5ql6Tu/view?usp=drivesdk" TargetMode="External"/><Relationship Id="rId344" Type="http://schemas.openxmlformats.org/officeDocument/2006/relationships/hyperlink" Target="https://drive.google.com/file/d/1CGgJB6t8MW3birUXGPttjL2udJponf2g/view?usp=drivesdk" TargetMode="External"/><Relationship Id="rId586" Type="http://schemas.openxmlformats.org/officeDocument/2006/relationships/hyperlink" Target="https://drive.google.com/file/d/1eVT5xn_yrzFTZjxpO6ueuUpC_yssbLEo/view?usp=drivesdk" TargetMode="External"/><Relationship Id="rId101" Type="http://schemas.openxmlformats.org/officeDocument/2006/relationships/hyperlink" Target="https://drive.google.com/file/d/1jYOoPqxLrCXpkyxKcYF5F8g3lCS8JHbG/view?usp=drivesdk" TargetMode="External"/><Relationship Id="rId343" Type="http://schemas.openxmlformats.org/officeDocument/2006/relationships/hyperlink" Target="https://drive.google.com/file/d/1AXQr7lTwXTnA5voDtkNE_br7mcWcMEyz/view?usp=drivesdk" TargetMode="External"/><Relationship Id="rId585" Type="http://schemas.openxmlformats.org/officeDocument/2006/relationships/hyperlink" Target="https://drive.google.com/file/d/195MjgS9-9AHAPJr5Wxk_NmxmD91jmrrf/view?usp=drivesdk" TargetMode="External"/><Relationship Id="rId100" Type="http://schemas.openxmlformats.org/officeDocument/2006/relationships/hyperlink" Target="https://drive.google.com/file/d/1NKyTNTRd-fVxoqWTe49TEt1oyo1QjsfU/view?usp=drivesdk" TargetMode="External"/><Relationship Id="rId342" Type="http://schemas.openxmlformats.org/officeDocument/2006/relationships/hyperlink" Target="https://drive.google.com/file/d/1fvPxb9jayW8472g1UYvdKNcMi5jUnf14/view?usp=drivesdk" TargetMode="External"/><Relationship Id="rId584" Type="http://schemas.openxmlformats.org/officeDocument/2006/relationships/hyperlink" Target="https://drive.google.com/file/d/14FsdATa0nFs9XtrUksgGJrRxn6UHBJa3/view?usp=drivesdk" TargetMode="External"/><Relationship Id="rId338" Type="http://schemas.openxmlformats.org/officeDocument/2006/relationships/hyperlink" Target="https://drive.google.com/file/d/1VHvOOI5NL4zQX8sHbcBu17f4y7G2c3LT/view?usp=drivesdk" TargetMode="External"/><Relationship Id="rId337" Type="http://schemas.openxmlformats.org/officeDocument/2006/relationships/hyperlink" Target="https://drive.google.com/file/d/1ulNB2IDV_5QDJ8DHekQWC-jW70BWdGTA/view?usp=drivesdk" TargetMode="External"/><Relationship Id="rId579" Type="http://schemas.openxmlformats.org/officeDocument/2006/relationships/hyperlink" Target="https://drive.google.com/file/d/10GJw-MIVsGu-zYPCNU9uwNKcNtuJCse0/view?usp=drivesdk" TargetMode="External"/><Relationship Id="rId336" Type="http://schemas.openxmlformats.org/officeDocument/2006/relationships/hyperlink" Target="https://drive.google.com/file/d/1tJG01XXCT8STANnlTCkdvQzA7wtHzLry/view?usp=drivesdk" TargetMode="External"/><Relationship Id="rId578" Type="http://schemas.openxmlformats.org/officeDocument/2006/relationships/hyperlink" Target="https://drive.google.com/file/d/1yXmT90P0oAl1_QwTeiBGDbYYplSlIdIC/view?usp=drivesdk" TargetMode="External"/><Relationship Id="rId335" Type="http://schemas.openxmlformats.org/officeDocument/2006/relationships/hyperlink" Target="https://drive.google.com/file/d/16exbhPU0N7cT--SNs9xcMQi5Rv-7Oj32/view?usp=drivesdk" TargetMode="External"/><Relationship Id="rId577" Type="http://schemas.openxmlformats.org/officeDocument/2006/relationships/hyperlink" Target="https://drive.google.com/file/d/18gskCPqR1zp8D9luJTsNF8sx5sJt3qAt/view?usp=drivesdk" TargetMode="External"/><Relationship Id="rId339" Type="http://schemas.openxmlformats.org/officeDocument/2006/relationships/hyperlink" Target="https://drive.google.com/file/d/1dzb7_XVTDsb3qcH7ApqAjH0xW9kmPKAH/view?usp=drivesdk" TargetMode="External"/><Relationship Id="rId330" Type="http://schemas.openxmlformats.org/officeDocument/2006/relationships/hyperlink" Target="https://drive.google.com/file/d/1iDWeLrwZEg2B8fyHCXssKZOYEZkMGQr2/view?usp=drivesdk" TargetMode="External"/><Relationship Id="rId572" Type="http://schemas.openxmlformats.org/officeDocument/2006/relationships/hyperlink" Target="https://drive.google.com/file/d/11pIDvbk018V-IT-s2Cb_fB3KdbpLirDK/view?usp=drivesdk" TargetMode="External"/><Relationship Id="rId571" Type="http://schemas.openxmlformats.org/officeDocument/2006/relationships/hyperlink" Target="https://drive.google.com/file/d/1LLlS06ztEcYL11nGbEd-pvZG5r48rv-r/view?usp=drivesdk" TargetMode="External"/><Relationship Id="rId570" Type="http://schemas.openxmlformats.org/officeDocument/2006/relationships/hyperlink" Target="https://drive.google.com/file/d/10M8vDb-GhuUZEiCpVn0gXcFmbmCTzdJa/view?usp=drivesdk" TargetMode="External"/><Relationship Id="rId334" Type="http://schemas.openxmlformats.org/officeDocument/2006/relationships/hyperlink" Target="https://drive.google.com/file/d/1LoYuL9o7tC1DdH8wvstzSCbzbywnp7h9/view?usp=drivesdk" TargetMode="External"/><Relationship Id="rId576" Type="http://schemas.openxmlformats.org/officeDocument/2006/relationships/hyperlink" Target="https://drive.google.com/file/d/1CPXBYGQf4oTMJru_bb-03fYUcKY71ZE1/view?usp=drivesdk" TargetMode="External"/><Relationship Id="rId333" Type="http://schemas.openxmlformats.org/officeDocument/2006/relationships/hyperlink" Target="https://drive.google.com/file/d/1Cc5ePLefoBmBg9zDtDgiTNvbmMTw2_nX/view?usp=drivesdk" TargetMode="External"/><Relationship Id="rId575" Type="http://schemas.openxmlformats.org/officeDocument/2006/relationships/hyperlink" Target="https://drive.google.com/file/d/1WV16xPazxvaqcsV16C5LGv7K668q3E2l/view?usp=drivesdk" TargetMode="External"/><Relationship Id="rId332" Type="http://schemas.openxmlformats.org/officeDocument/2006/relationships/hyperlink" Target="https://drive.google.com/file/d/1EVx5iQgji81YUkPPJcW8vAzP0aOjkAFD/view?usp=drivesdk" TargetMode="External"/><Relationship Id="rId574" Type="http://schemas.openxmlformats.org/officeDocument/2006/relationships/hyperlink" Target="https://drive.google.com/file/d/1shschA7jT274I_tKX6vd64SztpJXznMc/view?usp=drivesdk" TargetMode="External"/><Relationship Id="rId331" Type="http://schemas.openxmlformats.org/officeDocument/2006/relationships/hyperlink" Target="https://drive.google.com/file/d/16PsUa2GapK5GBDTZe7Wpw6NZS5bA6Ui5/view?usp=drivesdk" TargetMode="External"/><Relationship Id="rId573" Type="http://schemas.openxmlformats.org/officeDocument/2006/relationships/hyperlink" Target="https://drive.google.com/file/d/1_Yl2BKeW6vcCXi_IXZ5S84UTRLpAxty7/view?usp=drivesdk" TargetMode="External"/><Relationship Id="rId370" Type="http://schemas.openxmlformats.org/officeDocument/2006/relationships/hyperlink" Target="https://drive.google.com/file/d/1Y8iiO9EePoMj_IrHjG70vAHyi8T3trnx/view?usp=drivesdk" TargetMode="External"/><Relationship Id="rId129" Type="http://schemas.openxmlformats.org/officeDocument/2006/relationships/hyperlink" Target="https://drive.google.com/file/d/1nd0Q7A2j_t2ayOAmnsDSikzgr8v2FJdU/view?usp=drivesdk" TargetMode="External"/><Relationship Id="rId128" Type="http://schemas.openxmlformats.org/officeDocument/2006/relationships/hyperlink" Target="https://drive.google.com/file/d/13GQxS5TLDdo8J3Q-8B_BHJfQUN4gU8i7/view?usp=drivesdk" TargetMode="External"/><Relationship Id="rId127" Type="http://schemas.openxmlformats.org/officeDocument/2006/relationships/hyperlink" Target="https://drive.google.com/file/d/1J4Cd_oxtWSMda_78BHUreHrUXMEqSHMM/view?usp=drivesdk" TargetMode="External"/><Relationship Id="rId369" Type="http://schemas.openxmlformats.org/officeDocument/2006/relationships/hyperlink" Target="https://drive.google.com/file/d/1oAZVOO7paNfWLOOgWDYZbyKS86clKSmL/view?usp=drivesdk" TargetMode="External"/><Relationship Id="rId126" Type="http://schemas.openxmlformats.org/officeDocument/2006/relationships/hyperlink" Target="https://drive.google.com/file/d/1YdngOiCRp-Y_jaTfEcb9RzWaF1Y4nEbR/view?usp=drivesdk" TargetMode="External"/><Relationship Id="rId368" Type="http://schemas.openxmlformats.org/officeDocument/2006/relationships/hyperlink" Target="https://drive.google.com/file/d/1btAHPECatGgvh-CKWDVVOQVVLsYv1jGi/view?usp=drivesdk" TargetMode="External"/><Relationship Id="rId121" Type="http://schemas.openxmlformats.org/officeDocument/2006/relationships/hyperlink" Target="https://drive.google.com/file/d/1gsUqWxaJWaUPYw2ehAzkiCTUY_6L6m7y/view?usp=drivesdk" TargetMode="External"/><Relationship Id="rId363" Type="http://schemas.openxmlformats.org/officeDocument/2006/relationships/hyperlink" Target="https://drive.google.com/file/d/1avXJj_8naw2JSewx7AtP8TOqNb9P8K__/view?usp=drivesdk" TargetMode="External"/><Relationship Id="rId120" Type="http://schemas.openxmlformats.org/officeDocument/2006/relationships/hyperlink" Target="https://drive.google.com/file/d/1-C9uZT9mTLU13zAa4E_IyhsDDrmBY587/view?usp=drivesdk" TargetMode="External"/><Relationship Id="rId362" Type="http://schemas.openxmlformats.org/officeDocument/2006/relationships/hyperlink" Target="https://drive.google.com/file/d/16wCZP1nOnfBymXchbUkKREYFjzjAbhPD/view?usp=drivesdk" TargetMode="External"/><Relationship Id="rId361" Type="http://schemas.openxmlformats.org/officeDocument/2006/relationships/hyperlink" Target="https://drive.google.com/file/d/1GeFuSDghN-VYipUTH8I7Bim-IEZOCJ5S/view?usp=drivesdk" TargetMode="External"/><Relationship Id="rId360" Type="http://schemas.openxmlformats.org/officeDocument/2006/relationships/hyperlink" Target="https://drive.google.com/file/d/1SnMbLyN8iEZiPwdQN8ayRPLOaqn0UYP8/view?usp=drivesdk" TargetMode="External"/><Relationship Id="rId125" Type="http://schemas.openxmlformats.org/officeDocument/2006/relationships/hyperlink" Target="https://drive.google.com/file/d/10kT8dDkB_CQNM2aiYOj6PkgEzjstjG1R/view?usp=drivesdk" TargetMode="External"/><Relationship Id="rId367" Type="http://schemas.openxmlformats.org/officeDocument/2006/relationships/hyperlink" Target="https://drive.google.com/file/d/1NzaWcxaQy_N8_CdwIVE1urjpXjgwAckE/view?usp=drivesdk" TargetMode="External"/><Relationship Id="rId124" Type="http://schemas.openxmlformats.org/officeDocument/2006/relationships/hyperlink" Target="https://drive.google.com/file/d/1nRU2IIrnlFGFubhwbMdllbaXQf9LmEGn/view?usp=drivesdk" TargetMode="External"/><Relationship Id="rId366" Type="http://schemas.openxmlformats.org/officeDocument/2006/relationships/hyperlink" Target="https://drive.google.com/file/d/1pQB9M6v0-jO29FdyEoWWC5qXFo-0ytGa/view?usp=drivesdk" TargetMode="External"/><Relationship Id="rId123" Type="http://schemas.openxmlformats.org/officeDocument/2006/relationships/hyperlink" Target="https://drive.google.com/file/d/11k8iLQ58IsLYSyddiPJhHeJjHivR4xrv/view?usp=drivesdk" TargetMode="External"/><Relationship Id="rId365" Type="http://schemas.openxmlformats.org/officeDocument/2006/relationships/hyperlink" Target="https://drive.google.com/file/d/1UqtgMAjKDcdedizEM0wVIG_qLs6e9ufV/view?usp=drivesdk" TargetMode="External"/><Relationship Id="rId122" Type="http://schemas.openxmlformats.org/officeDocument/2006/relationships/hyperlink" Target="https://drive.google.com/file/d/1lL4n_PNZEvREACfVCeXjH8scit3nuZR8/view?usp=drivesdk" TargetMode="External"/><Relationship Id="rId364" Type="http://schemas.openxmlformats.org/officeDocument/2006/relationships/hyperlink" Target="https://drive.google.com/file/d/1SoqWy3FOYMBhih2lVV-h6VPIf7sWjsX3/view?usp=drivesdk" TargetMode="External"/><Relationship Id="rId95" Type="http://schemas.openxmlformats.org/officeDocument/2006/relationships/hyperlink" Target="https://drive.google.com/file/d/1Hf4gfenS4bZm4kS41cTWGCIuurz11NAy/view?usp=drivesdk" TargetMode="External"/><Relationship Id="rId94" Type="http://schemas.openxmlformats.org/officeDocument/2006/relationships/hyperlink" Target="https://drive.google.com/file/d/1eDci1GGdCMVtl7FLexOWHR_nFxXWPsD-/view?usp=drivesdk" TargetMode="External"/><Relationship Id="rId97" Type="http://schemas.openxmlformats.org/officeDocument/2006/relationships/hyperlink" Target="https://drive.google.com/file/d/16IDNIjOuT97e_BIf9mhtsiaUCO_do3_w/view?usp=drivesdk" TargetMode="External"/><Relationship Id="rId96" Type="http://schemas.openxmlformats.org/officeDocument/2006/relationships/hyperlink" Target="https://drive.google.com/file/d/1r0Uot3PQK_VtpkxN4wMuNRBDxsHaIqyh/view?usp=drivesdk" TargetMode="External"/><Relationship Id="rId99" Type="http://schemas.openxmlformats.org/officeDocument/2006/relationships/hyperlink" Target="https://drive.google.com/file/d/174hoiIJg_jYMqpxnZt7Z4_QpRmJoUNzl/view?usp=drivesdk" TargetMode="External"/><Relationship Id="rId98" Type="http://schemas.openxmlformats.org/officeDocument/2006/relationships/hyperlink" Target="https://drive.google.com/file/d/1xUTdnNysAyiY3Q6iXISSj5CnQ5WqI5qi/view?usp=drivesdk" TargetMode="External"/><Relationship Id="rId91" Type="http://schemas.openxmlformats.org/officeDocument/2006/relationships/hyperlink" Target="https://drive.google.com/file/d/1fj5EI8LOiP7Jss6avNQhFTK4HKM35NAj/view?usp=drivesdk" TargetMode="External"/><Relationship Id="rId90" Type="http://schemas.openxmlformats.org/officeDocument/2006/relationships/hyperlink" Target="https://drive.google.com/file/d/1xRtPGj3IpGoaUcFmh_ulGNsxkidqiGNc/view?usp=drivesdk" TargetMode="External"/><Relationship Id="rId93" Type="http://schemas.openxmlformats.org/officeDocument/2006/relationships/hyperlink" Target="https://drive.google.com/file/d/1eF31ddgIY7YKx2J102q7dDDXvg31shOJ/view?usp=drivesdk" TargetMode="External"/><Relationship Id="rId92" Type="http://schemas.openxmlformats.org/officeDocument/2006/relationships/hyperlink" Target="https://drive.google.com/file/d/1j_Fm7APbYWVcaZJAbYtE877IF9_6mFmS/view?usp=drivesdk" TargetMode="External"/><Relationship Id="rId118" Type="http://schemas.openxmlformats.org/officeDocument/2006/relationships/hyperlink" Target="https://drive.google.com/file/d/1v8YqhT3ZPECychxQbzFOM1eY6Jrz9Rv2/view?usp=drivesdk" TargetMode="External"/><Relationship Id="rId117" Type="http://schemas.openxmlformats.org/officeDocument/2006/relationships/hyperlink" Target="https://drive.google.com/file/d/1rgeB7w7557_EfD__jxYdz08HA5yc_1MD/view?usp=drivesdk" TargetMode="External"/><Relationship Id="rId359" Type="http://schemas.openxmlformats.org/officeDocument/2006/relationships/hyperlink" Target="https://drive.google.com/file/d/1YPtRJefNo6OO6EHI1PFxOprpECrtxt6u/view?usp=drivesdk" TargetMode="External"/><Relationship Id="rId116" Type="http://schemas.openxmlformats.org/officeDocument/2006/relationships/hyperlink" Target="https://drive.google.com/file/d/1YliYiKXF0jcn5lcpr1dXgwjW-8UdKGUU/view?usp=drivesdk" TargetMode="External"/><Relationship Id="rId358" Type="http://schemas.openxmlformats.org/officeDocument/2006/relationships/hyperlink" Target="https://drive.google.com/file/d/1GP19s3JDtBIHSEFKp4NWHhoTzeSpaLia/view?usp=drivesdk" TargetMode="External"/><Relationship Id="rId115" Type="http://schemas.openxmlformats.org/officeDocument/2006/relationships/hyperlink" Target="https://drive.google.com/file/d/16l0FVnzEcEk2VzONUmRUDSHO4shXqyVH/view?usp=drivesdk" TargetMode="External"/><Relationship Id="rId357" Type="http://schemas.openxmlformats.org/officeDocument/2006/relationships/hyperlink" Target="https://drive.google.com/file/d/1tkLsQp-jYHbbnA1Dn9yqZkyGSpzmn67Q/view?usp=drivesdk" TargetMode="External"/><Relationship Id="rId599" Type="http://schemas.openxmlformats.org/officeDocument/2006/relationships/hyperlink" Target="https://drive.google.com/file/d/1YjMx01n2gamnlkO5uzcvGQef8FuMVCqI/view?usp=drivesdk" TargetMode="External"/><Relationship Id="rId119" Type="http://schemas.openxmlformats.org/officeDocument/2006/relationships/hyperlink" Target="https://drive.google.com/file/d/1JboVopWlqN9X-tHscUx8jj9_9a9VklV3/view?usp=drivesdk" TargetMode="External"/><Relationship Id="rId110" Type="http://schemas.openxmlformats.org/officeDocument/2006/relationships/hyperlink" Target="https://drive.google.com/file/d/1j-d5uOh8ERvd1glbakY9K9pC2WnUV258/view?usp=drivesdk" TargetMode="External"/><Relationship Id="rId352" Type="http://schemas.openxmlformats.org/officeDocument/2006/relationships/hyperlink" Target="https://drive.google.com/file/d/15DOjJAAI_WTVaUSbDeSpWyP4x8Pc_07Q/view?usp=drivesdk" TargetMode="External"/><Relationship Id="rId594" Type="http://schemas.openxmlformats.org/officeDocument/2006/relationships/hyperlink" Target="https://drive.google.com/file/d/1pij1QdOOs09IJMi_TgHl7ThE3giSeg17/view?usp=drivesdk" TargetMode="External"/><Relationship Id="rId351" Type="http://schemas.openxmlformats.org/officeDocument/2006/relationships/hyperlink" Target="https://drive.google.com/file/d/1YGojwgli3PbdcwzRUHY1KAPqWj4opfpI/view?usp=drivesdk" TargetMode="External"/><Relationship Id="rId593" Type="http://schemas.openxmlformats.org/officeDocument/2006/relationships/hyperlink" Target="https://drive.google.com/file/d/1gKmDsL5rGL9MtZzGwxO2OHADsXcRy4Kk/view?usp=drivesdk" TargetMode="External"/><Relationship Id="rId350" Type="http://schemas.openxmlformats.org/officeDocument/2006/relationships/hyperlink" Target="https://drive.google.com/file/d/1tYUCsjBxN9h-e4oFEv3SGCdfCmHbKnCU/view?usp=drivesdk" TargetMode="External"/><Relationship Id="rId592" Type="http://schemas.openxmlformats.org/officeDocument/2006/relationships/hyperlink" Target="https://drive.google.com/file/d/1Nt0iHdTeWO1qD3-i5fA7YVvLU7BVXlHA/view?usp=drivesdk" TargetMode="External"/><Relationship Id="rId591" Type="http://schemas.openxmlformats.org/officeDocument/2006/relationships/hyperlink" Target="https://drive.google.com/file/d/1eAjj8D5KtsQpqAwsssPxziuIXXpdlqpT/view?usp=drivesdk" TargetMode="External"/><Relationship Id="rId114" Type="http://schemas.openxmlformats.org/officeDocument/2006/relationships/hyperlink" Target="https://drive.google.com/file/d/1KKocwOWRV4wF8oPG5PeaIk-mC3-ABQ1Z/view?usp=drivesdk" TargetMode="External"/><Relationship Id="rId356" Type="http://schemas.openxmlformats.org/officeDocument/2006/relationships/hyperlink" Target="https://drive.google.com/file/d/1kAXs0fABYDv3D3Y_ZkQ1zOeJcy75uwCW/view?usp=drivesdk" TargetMode="External"/><Relationship Id="rId598" Type="http://schemas.openxmlformats.org/officeDocument/2006/relationships/hyperlink" Target="https://drive.google.com/file/d/1Ub8UJF9FsxxWVRloNSZOohZgIT7yIHGA/view?usp=drivesdk" TargetMode="External"/><Relationship Id="rId113" Type="http://schemas.openxmlformats.org/officeDocument/2006/relationships/hyperlink" Target="https://drive.google.com/file/d/11vvEH8CP885FiZ0SQh8U9GXY_dV9QgyN/view?usp=drivesdk" TargetMode="External"/><Relationship Id="rId355" Type="http://schemas.openxmlformats.org/officeDocument/2006/relationships/hyperlink" Target="https://drive.google.com/file/d/1fqbxmKjqlPlA8kK_tH7RUkmWAUqJ7fpL/view?usp=drivesdk" TargetMode="External"/><Relationship Id="rId597" Type="http://schemas.openxmlformats.org/officeDocument/2006/relationships/hyperlink" Target="https://drive.google.com/file/d/1WgkGa99gXIE8Fq2kPZrZC2d9JBKEiC_C/view?usp=drivesdk" TargetMode="External"/><Relationship Id="rId112" Type="http://schemas.openxmlformats.org/officeDocument/2006/relationships/hyperlink" Target="https://drive.google.com/file/d/1P5ow4Ahp03hJfJwaU67BG50NfzviydZu/view?usp=drivesdk" TargetMode="External"/><Relationship Id="rId354" Type="http://schemas.openxmlformats.org/officeDocument/2006/relationships/hyperlink" Target="https://drive.google.com/file/d/1bdfxmOIeQEMgdKnVmgRoOFPfTlu3JJPm/view?usp=drivesdk" TargetMode="External"/><Relationship Id="rId596" Type="http://schemas.openxmlformats.org/officeDocument/2006/relationships/hyperlink" Target="https://drive.google.com/file/d/1K1ssMRCW24TlTgeLre2rESCSqzQH2KSI/view?usp=drivesdk" TargetMode="External"/><Relationship Id="rId111" Type="http://schemas.openxmlformats.org/officeDocument/2006/relationships/hyperlink" Target="https://drive.google.com/file/d/1eZN8J36qw0ON_A17Pe3ljSytw3gZtsPc/view?usp=drivesdk" TargetMode="External"/><Relationship Id="rId353" Type="http://schemas.openxmlformats.org/officeDocument/2006/relationships/hyperlink" Target="https://drive.google.com/file/d/1M4mjV0HRr116PMe1kVwrKa0iNu76Usny/view?usp=drivesdk" TargetMode="External"/><Relationship Id="rId595" Type="http://schemas.openxmlformats.org/officeDocument/2006/relationships/hyperlink" Target="https://drive.google.com/file/d/1FKsRKbmZ4eKe0yHl2ouiHpY4qTtRWiIf/view?usp=drivesdk" TargetMode="External"/><Relationship Id="rId305" Type="http://schemas.openxmlformats.org/officeDocument/2006/relationships/hyperlink" Target="https://drive.google.com/file/d/1fe0qSa9lSWiB62ANVWW1FKOun0Gtuc1O/view?usp=drivesdk" TargetMode="External"/><Relationship Id="rId547" Type="http://schemas.openxmlformats.org/officeDocument/2006/relationships/hyperlink" Target="https://drive.google.com/file/d/1AG-k3UHGDwjhBVVjAWdsRY_CR4XnfKNt/view?usp=drivesdk" TargetMode="External"/><Relationship Id="rId789" Type="http://schemas.openxmlformats.org/officeDocument/2006/relationships/hyperlink" Target="https://drive.google.com/file/d/1ZOuH1t-hnv-hLlJjPjJO5HrnfQKKykDK/view?usp=drivesdk" TargetMode="External"/><Relationship Id="rId304" Type="http://schemas.openxmlformats.org/officeDocument/2006/relationships/hyperlink" Target="https://drive.google.com/file/d/1hiszoa4RnsQmxSixQXbpqp2I-NDkSrwA/view?usp=drivesdk" TargetMode="External"/><Relationship Id="rId546" Type="http://schemas.openxmlformats.org/officeDocument/2006/relationships/hyperlink" Target="https://drive.google.com/file/d/15uJFTphJoW5SAhwXa-tEg3QJ8Q8DVnEt/view?usp=drivesdk" TargetMode="External"/><Relationship Id="rId788" Type="http://schemas.openxmlformats.org/officeDocument/2006/relationships/hyperlink" Target="https://drive.google.com/file/d/1LKU0xtGC6EEHCb4a_bgJmEFBNB11NRS2/view?usp=drivesdk" TargetMode="External"/><Relationship Id="rId303" Type="http://schemas.openxmlformats.org/officeDocument/2006/relationships/hyperlink" Target="https://drive.google.com/file/d/1IhgJfaUNEkSOAMQcDscX_VIM83mkW1gE/view?usp=drivesdk" TargetMode="External"/><Relationship Id="rId545" Type="http://schemas.openxmlformats.org/officeDocument/2006/relationships/hyperlink" Target="https://drive.google.com/file/d/1mfh6ZZzfxHpkB4j_4nuk4d9dVPzcXny5/view?usp=drivesdk" TargetMode="External"/><Relationship Id="rId787" Type="http://schemas.openxmlformats.org/officeDocument/2006/relationships/hyperlink" Target="https://drive.google.com/file/d/1ImmkI7-Jxu0YC_gPuF_JpthcSI1JQAPo/view?usp=drivesdk" TargetMode="External"/><Relationship Id="rId302" Type="http://schemas.openxmlformats.org/officeDocument/2006/relationships/hyperlink" Target="https://drive.google.com/file/d/1j1WG4K78RYJ8C7MxC7_iIsIAzzZ59CES/view?usp=drivesdk" TargetMode="External"/><Relationship Id="rId544" Type="http://schemas.openxmlformats.org/officeDocument/2006/relationships/hyperlink" Target="https://drive.google.com/file/d/15WPEayzYdYpCMecS3j-y6n35i5MsokWx/view?usp=drivesdk" TargetMode="External"/><Relationship Id="rId786" Type="http://schemas.openxmlformats.org/officeDocument/2006/relationships/hyperlink" Target="https://drive.google.com/file/d/1iJBWJxdQG5loNXAv5fBY-lZLR_3hDukp/view?usp=drivesdk" TargetMode="External"/><Relationship Id="rId309" Type="http://schemas.openxmlformats.org/officeDocument/2006/relationships/hyperlink" Target="https://drive.google.com/file/d/1KKgPhB3c-kn-0KGMqSHo4WAyVw_-Whfz/view?usp=drivesdk" TargetMode="External"/><Relationship Id="rId308" Type="http://schemas.openxmlformats.org/officeDocument/2006/relationships/hyperlink" Target="https://drive.google.com/file/d/1ggLjnRNRfT4WjyXehz1Rem5Ua_IJS181/view?usp=drivesdk" TargetMode="External"/><Relationship Id="rId307" Type="http://schemas.openxmlformats.org/officeDocument/2006/relationships/hyperlink" Target="https://drive.google.com/file/d/1yXMQnhy4y9TkCgMdga-yrjoy6HpeRRdd/view?usp=drivesdk" TargetMode="External"/><Relationship Id="rId549" Type="http://schemas.openxmlformats.org/officeDocument/2006/relationships/hyperlink" Target="https://drive.google.com/file/d/1BAlSWBBLTECV4GrtVsTadj2AODifJdHJ/view?usp=drivesdk" TargetMode="External"/><Relationship Id="rId306" Type="http://schemas.openxmlformats.org/officeDocument/2006/relationships/hyperlink" Target="https://drive.google.com/file/d/1XG5JFbAyLiDfCSMHHyjBf2U89uHI-oD0/view?usp=drivesdk" TargetMode="External"/><Relationship Id="rId548" Type="http://schemas.openxmlformats.org/officeDocument/2006/relationships/hyperlink" Target="https://drive.google.com/file/d/1dz4WCwXSJd_lnzsGFxONcWemN3yCNH64/view?usp=drivesdk" TargetMode="External"/><Relationship Id="rId781" Type="http://schemas.openxmlformats.org/officeDocument/2006/relationships/hyperlink" Target="https://drive.google.com/file/d/1W6hcvFFGE13b-w7PCuXpY2kzA8g662Be/view?usp=drivesdk" TargetMode="External"/><Relationship Id="rId780" Type="http://schemas.openxmlformats.org/officeDocument/2006/relationships/hyperlink" Target="https://drive.google.com/file/d/1S0LK1fjSIdkiJSITRmNEu6YxFq9zkMYb/view?usp=drivesdk" TargetMode="External"/><Relationship Id="rId301" Type="http://schemas.openxmlformats.org/officeDocument/2006/relationships/hyperlink" Target="https://drive.google.com/file/d/1SoTy2pMCzpK44_tDmNORl0VI1mcdAdLI/view?usp=drivesdk" TargetMode="External"/><Relationship Id="rId543" Type="http://schemas.openxmlformats.org/officeDocument/2006/relationships/hyperlink" Target="https://drive.google.com/file/d/1xYx7NEzhKNEJ5bEkaYY4vbfFx3zIpab1/view?usp=drivesdk" TargetMode="External"/><Relationship Id="rId785" Type="http://schemas.openxmlformats.org/officeDocument/2006/relationships/hyperlink" Target="https://drive.google.com/file/d/1kIFXBTVuaCSdzQETmEJxlZQlmQhJHxjT/view?usp=drivesdk" TargetMode="External"/><Relationship Id="rId300" Type="http://schemas.openxmlformats.org/officeDocument/2006/relationships/hyperlink" Target="https://drive.google.com/file/d/1KyIgbmdsU82RWgoWxZBEUIrVnryuVKJg/view?usp=drivesdk" TargetMode="External"/><Relationship Id="rId542" Type="http://schemas.openxmlformats.org/officeDocument/2006/relationships/hyperlink" Target="https://drive.google.com/file/d/1-p3NIewrjAYqdqAbxnRCj6clRfnfFspp/view?usp=drivesdk" TargetMode="External"/><Relationship Id="rId784" Type="http://schemas.openxmlformats.org/officeDocument/2006/relationships/hyperlink" Target="https://drive.google.com/file/d/1ckh6ZIChxPqmEM1LNxeu6TQ3BgFwqIAt/view?usp=drivesdk" TargetMode="External"/><Relationship Id="rId541" Type="http://schemas.openxmlformats.org/officeDocument/2006/relationships/hyperlink" Target="https://drive.google.com/file/d/159dZankp5k551jZwPKQ7vIqQZCrooGiP/view?usp=drivesdk" TargetMode="External"/><Relationship Id="rId783" Type="http://schemas.openxmlformats.org/officeDocument/2006/relationships/hyperlink" Target="https://drive.google.com/file/d/1HwbNAk7Q_X7r4sPe3HONv6chF-gPHEYM/view?usp=drivesdk" TargetMode="External"/><Relationship Id="rId540" Type="http://schemas.openxmlformats.org/officeDocument/2006/relationships/hyperlink" Target="https://drive.google.com/file/d/1dk89f1O152X6qm8W_CGhctmHIqaNNXWO/view?usp=drivesdk" TargetMode="External"/><Relationship Id="rId782" Type="http://schemas.openxmlformats.org/officeDocument/2006/relationships/hyperlink" Target="https://drive.google.com/file/d/1u0_ykYHQt21nBuEiinzHrUQ-l4eePorP/view?usp=drivesdk" TargetMode="External"/><Relationship Id="rId536" Type="http://schemas.openxmlformats.org/officeDocument/2006/relationships/hyperlink" Target="https://drive.google.com/file/d/18-GbF5a3ilcpyU15_UmdOqCCT-LQiE3r/view?usp=drivesdk" TargetMode="External"/><Relationship Id="rId778" Type="http://schemas.openxmlformats.org/officeDocument/2006/relationships/hyperlink" Target="https://drive.google.com/file/d/1mXbEa1H1b6TQ7xgNnLr5xpt4G4n4FHpM/view?usp=drivesdk" TargetMode="External"/><Relationship Id="rId535" Type="http://schemas.openxmlformats.org/officeDocument/2006/relationships/hyperlink" Target="https://drive.google.com/file/d/16nab7q33I43V1ReRgRq6YEO_RRIkj4ch/view?usp=drivesdk" TargetMode="External"/><Relationship Id="rId777" Type="http://schemas.openxmlformats.org/officeDocument/2006/relationships/hyperlink" Target="https://drive.google.com/file/d/1-u99eVwp8Y5ZiHIGu1wQ5tKnQyKrdEB9/view?usp=drivesdk" TargetMode="External"/><Relationship Id="rId534" Type="http://schemas.openxmlformats.org/officeDocument/2006/relationships/hyperlink" Target="https://drive.google.com/file/d/1Zljw0HANknxSYbWvo-DojJLJBJWiH2zS/view?usp=drivesdk" TargetMode="External"/><Relationship Id="rId776" Type="http://schemas.openxmlformats.org/officeDocument/2006/relationships/hyperlink" Target="https://drive.google.com/file/d/1cG25y_LFUUXeZDJCaSqJfYnKY-_WwkZC/view?usp=drivesdk" TargetMode="External"/><Relationship Id="rId533" Type="http://schemas.openxmlformats.org/officeDocument/2006/relationships/hyperlink" Target="https://drive.google.com/file/d/1aqiuml4INz_yfHpTFAvmqIvCqCDZar63/view?usp=drivesdk" TargetMode="External"/><Relationship Id="rId775" Type="http://schemas.openxmlformats.org/officeDocument/2006/relationships/hyperlink" Target="https://drive.google.com/file/d/1Bs9T5mhIipg1hYp0FoJbjB47uh-OavUB/view?usp=drivesdk" TargetMode="External"/><Relationship Id="rId539" Type="http://schemas.openxmlformats.org/officeDocument/2006/relationships/hyperlink" Target="https://drive.google.com/file/d/1PZoDVRsBMwEocsSIWdtVjSLqfFRccygd/view?usp=drivesdk" TargetMode="External"/><Relationship Id="rId538" Type="http://schemas.openxmlformats.org/officeDocument/2006/relationships/hyperlink" Target="https://drive.google.com/file/d/1R0RkVmH0Vc0Q4Da3-Z_eZoFptZC4WXeE/view?usp=drivesdk" TargetMode="External"/><Relationship Id="rId537" Type="http://schemas.openxmlformats.org/officeDocument/2006/relationships/hyperlink" Target="https://drive.google.com/file/d/1nU9Zfcb32Bbo5jWw2SDm8rzsg39w0k-Y/view?usp=drivesdk" TargetMode="External"/><Relationship Id="rId779" Type="http://schemas.openxmlformats.org/officeDocument/2006/relationships/hyperlink" Target="https://drive.google.com/file/d/1E1vmPN80WEJrJfjd95wWxB9oa2AUdDWf/view?usp=drivesdk" TargetMode="External"/><Relationship Id="rId770" Type="http://schemas.openxmlformats.org/officeDocument/2006/relationships/hyperlink" Target="https://drive.google.com/file/d/1Cy_sVEtSB8Fr6Ng5QGuAw5T0dLESu7qZ/view?usp=drivesdk" TargetMode="External"/><Relationship Id="rId532" Type="http://schemas.openxmlformats.org/officeDocument/2006/relationships/hyperlink" Target="https://drive.google.com/file/d/1JYzW9a1TqM-mPqbmUUN7msGAPWesQF0t/view?usp=drivesdk" TargetMode="External"/><Relationship Id="rId774" Type="http://schemas.openxmlformats.org/officeDocument/2006/relationships/hyperlink" Target="https://drive.google.com/file/d/15r4Dd6Bj48qCr-ONa6yw1B-ZR4CYO5nA/view?usp=drivesdk" TargetMode="External"/><Relationship Id="rId531" Type="http://schemas.openxmlformats.org/officeDocument/2006/relationships/hyperlink" Target="https://drive.google.com/file/d/1k_L_l5H0CDgDjVSUv-1wURTOl9mV8f5-/view?usp=drivesdk" TargetMode="External"/><Relationship Id="rId773" Type="http://schemas.openxmlformats.org/officeDocument/2006/relationships/hyperlink" Target="https://drive.google.com/file/d/1qI0NKDzxWFnqnMP-CTyd8QXEcui2uTpc/view?usp=drivesdk" TargetMode="External"/><Relationship Id="rId530" Type="http://schemas.openxmlformats.org/officeDocument/2006/relationships/hyperlink" Target="https://drive.google.com/file/d/1xX6hSt6s0pfLH0AKNPdutcaMbxsrsO_m/view?usp=drivesdk" TargetMode="External"/><Relationship Id="rId772" Type="http://schemas.openxmlformats.org/officeDocument/2006/relationships/hyperlink" Target="https://drive.google.com/file/d/1SxWtQsuewY_2jeQlIm_qESN7_PmAoTW_/view?usp=drivesdk" TargetMode="External"/><Relationship Id="rId771" Type="http://schemas.openxmlformats.org/officeDocument/2006/relationships/hyperlink" Target="https://drive.google.com/file/d/1ICfecS9XO5WJoH8nmpNgSlqFwsf9QEw8/view?usp=drivesdk" TargetMode="External"/><Relationship Id="rId327" Type="http://schemas.openxmlformats.org/officeDocument/2006/relationships/hyperlink" Target="https://drive.google.com/file/d/1xv-LoEl3sHdx3HuYbBT18bkSxn_mcz7R/view?usp=drivesdk" TargetMode="External"/><Relationship Id="rId569" Type="http://schemas.openxmlformats.org/officeDocument/2006/relationships/hyperlink" Target="https://drive.google.com/file/d/1NP0iHGTwAaqebNteu88DGS4bp5fwSpQ-/view?usp=drivesdk" TargetMode="External"/><Relationship Id="rId326" Type="http://schemas.openxmlformats.org/officeDocument/2006/relationships/hyperlink" Target="https://drive.google.com/file/d/1rOpBcto7npbLSOm41qMQdLdJlnEJu797/view?usp=drivesdk" TargetMode="External"/><Relationship Id="rId568" Type="http://schemas.openxmlformats.org/officeDocument/2006/relationships/hyperlink" Target="https://drive.google.com/file/d/1Irw-wYSXV5ROPrEaqNlhfuWqpx1mbNIf/view?usp=drivesdk" TargetMode="External"/><Relationship Id="rId325" Type="http://schemas.openxmlformats.org/officeDocument/2006/relationships/hyperlink" Target="https://drive.google.com/file/d/1QNub72plsmWNf8OWRx0hPiorBIy7lDyU/view?usp=drivesdk" TargetMode="External"/><Relationship Id="rId567" Type="http://schemas.openxmlformats.org/officeDocument/2006/relationships/hyperlink" Target="https://drive.google.com/file/d/1IdYvakE_NomhNHisQtJ0nLVNMdHcOGhe/view?usp=drivesdk" TargetMode="External"/><Relationship Id="rId324" Type="http://schemas.openxmlformats.org/officeDocument/2006/relationships/hyperlink" Target="https://drive.google.com/file/d/1pqaEdN8FvNzvP17l9ZLAqXT42S5rpYks/view?usp=drivesdk" TargetMode="External"/><Relationship Id="rId566" Type="http://schemas.openxmlformats.org/officeDocument/2006/relationships/hyperlink" Target="https://drive.google.com/file/d/1AFMn94HCEUiKyQ_6sDD-LGnoWOileGU4/view?usp=drivesdk" TargetMode="External"/><Relationship Id="rId329" Type="http://schemas.openxmlformats.org/officeDocument/2006/relationships/hyperlink" Target="https://drive.google.com/file/d/1wPRE9bGD9zzkC4SIsu6-Dv8PPlUdgDmU/view?usp=drivesdk" TargetMode="External"/><Relationship Id="rId328" Type="http://schemas.openxmlformats.org/officeDocument/2006/relationships/hyperlink" Target="https://drive.google.com/file/d/1mJZNxbYnEN8lnyPt_y_RzExXEJU47iTf/view?usp=drivesdk" TargetMode="External"/><Relationship Id="rId561" Type="http://schemas.openxmlformats.org/officeDocument/2006/relationships/hyperlink" Target="https://drive.google.com/file/d/1u0qY4PRYeuahVEqoGsCyrHCph_rbdPSi/view?usp=drivesdk" TargetMode="External"/><Relationship Id="rId560" Type="http://schemas.openxmlformats.org/officeDocument/2006/relationships/hyperlink" Target="https://drive.google.com/file/d/1zv464SlLZcu4K9oheuRYwz9t__ZzFwo5/view?usp=drivesdk" TargetMode="External"/><Relationship Id="rId323" Type="http://schemas.openxmlformats.org/officeDocument/2006/relationships/hyperlink" Target="https://drive.google.com/file/d/1xepw31JpQb7oB9wtf9417oq4spDKm5J5/view?usp=drivesdk" TargetMode="External"/><Relationship Id="rId565" Type="http://schemas.openxmlformats.org/officeDocument/2006/relationships/hyperlink" Target="https://drive.google.com/file/d/1j_vfeBsP8e4tlAE59Y76BLyGR9xeIIdX/view?usp=drivesdk" TargetMode="External"/><Relationship Id="rId322" Type="http://schemas.openxmlformats.org/officeDocument/2006/relationships/hyperlink" Target="https://drive.google.com/file/d/1qZ1kLHrnAdCVvI-pBDVubEPs3g77goAf/view?usp=drivesdk" TargetMode="External"/><Relationship Id="rId564" Type="http://schemas.openxmlformats.org/officeDocument/2006/relationships/hyperlink" Target="https://drive.google.com/file/d/1sLLSm4kMaFDT1aUZ1cHshv5ccxd9YZZq/view?usp=drivesdk" TargetMode="External"/><Relationship Id="rId321" Type="http://schemas.openxmlformats.org/officeDocument/2006/relationships/hyperlink" Target="https://drive.google.com/file/d/1sTNfv3bFxfEBUl7yQxZ_apRJI-_VXYHG/view?usp=drivesdk" TargetMode="External"/><Relationship Id="rId563" Type="http://schemas.openxmlformats.org/officeDocument/2006/relationships/hyperlink" Target="https://drive.google.com/file/d/1dL7s66EUt8HR_u7PWBdYQoM4NmyHZoen/view?usp=drivesdk" TargetMode="External"/><Relationship Id="rId320" Type="http://schemas.openxmlformats.org/officeDocument/2006/relationships/hyperlink" Target="https://drive.google.com/file/d/11DxLmQ2-9NcVgvAHP7nGkXQGxdpkb2bD/view?usp=drivesdk" TargetMode="External"/><Relationship Id="rId562" Type="http://schemas.openxmlformats.org/officeDocument/2006/relationships/hyperlink" Target="https://drive.google.com/file/d/1wREv-A67yt-5vuC7B8bOHm0SjynvFSDP/view?usp=drivesdk" TargetMode="External"/><Relationship Id="rId316" Type="http://schemas.openxmlformats.org/officeDocument/2006/relationships/hyperlink" Target="https://drive.google.com/file/d/1qbErimgv20dfqaXEGj9ro17sZC8EXY06/view?usp=drivesdk" TargetMode="External"/><Relationship Id="rId558" Type="http://schemas.openxmlformats.org/officeDocument/2006/relationships/hyperlink" Target="https://drive.google.com/file/d/1Y3HqmGgSp5J4bu6J5ZprYRF7Bx6oZIWM/view?usp=drivesdk" TargetMode="External"/><Relationship Id="rId315" Type="http://schemas.openxmlformats.org/officeDocument/2006/relationships/hyperlink" Target="https://drive.google.com/file/d/1zraI27SR9TF7qDueX8zMTRTTufAMFdJc/view?usp=drivesdk" TargetMode="External"/><Relationship Id="rId557" Type="http://schemas.openxmlformats.org/officeDocument/2006/relationships/hyperlink" Target="https://drive.google.com/file/d/1_OB4d8De0ac3CTkZX17Z2CMbNljm7KH3/view?usp=drivesdk" TargetMode="External"/><Relationship Id="rId799" Type="http://schemas.openxmlformats.org/officeDocument/2006/relationships/hyperlink" Target="https://drive.google.com/file/d/1cTN4piHnhvHPGl4NxVVnsxOvJFK-GaLa/view?usp=drivesdk" TargetMode="External"/><Relationship Id="rId314" Type="http://schemas.openxmlformats.org/officeDocument/2006/relationships/hyperlink" Target="https://drive.google.com/file/d/1k_yrRkQBmJETffMLByJ4GyryPd9ergwI/view?usp=drivesdk" TargetMode="External"/><Relationship Id="rId556" Type="http://schemas.openxmlformats.org/officeDocument/2006/relationships/hyperlink" Target="https://drive.google.com/file/d/1wF89oOPoUtlE42ZMaeponNMDaNeZYfbF/view?usp=drivesdk" TargetMode="External"/><Relationship Id="rId798" Type="http://schemas.openxmlformats.org/officeDocument/2006/relationships/hyperlink" Target="https://drive.google.com/file/d/11wGde8qXGKRy3ip7YdMmxtuiYlYav_gS/view?usp=drivesdk" TargetMode="External"/><Relationship Id="rId313" Type="http://schemas.openxmlformats.org/officeDocument/2006/relationships/hyperlink" Target="https://drive.google.com/file/d/1KY2sT4sz-HPsRP9vwx1yovXkcrK3VIJZ/view?usp=drivesdk" TargetMode="External"/><Relationship Id="rId555" Type="http://schemas.openxmlformats.org/officeDocument/2006/relationships/hyperlink" Target="https://drive.google.com/file/d/1LmsSrZ6izeLs-KrKvvWe8qp7VSl_Aqjy/view?usp=drivesdk" TargetMode="External"/><Relationship Id="rId797" Type="http://schemas.openxmlformats.org/officeDocument/2006/relationships/hyperlink" Target="https://drive.google.com/file/d/1tNInCKFA28EyLXwJ1TJX__jeCNb6dy30/view?usp=drivesdk" TargetMode="External"/><Relationship Id="rId319" Type="http://schemas.openxmlformats.org/officeDocument/2006/relationships/hyperlink" Target="https://drive.google.com/file/d/1u6ib-4PTjt81Y6hFAiCaWGJAJlnHKFtT/view?usp=drivesdk" TargetMode="External"/><Relationship Id="rId318" Type="http://schemas.openxmlformats.org/officeDocument/2006/relationships/hyperlink" Target="https://drive.google.com/file/d/1Sxp7n3dNpDekBxhmR0j9d6ciEnQlEXpF/view?usp=drivesdk" TargetMode="External"/><Relationship Id="rId317" Type="http://schemas.openxmlformats.org/officeDocument/2006/relationships/hyperlink" Target="https://drive.google.com/file/d/1bANOwAbRVsOLWwyU32jAP3LdRyLTAExS/view?usp=drivesdk" TargetMode="External"/><Relationship Id="rId559" Type="http://schemas.openxmlformats.org/officeDocument/2006/relationships/hyperlink" Target="https://drive.google.com/file/d/1Hs9hPtrl1hJaR1SSq6JBLSq7Gb_G6KuZ/view?usp=drivesdk" TargetMode="External"/><Relationship Id="rId550" Type="http://schemas.openxmlformats.org/officeDocument/2006/relationships/hyperlink" Target="https://drive.google.com/file/d/1Q_pLH6Y9Dl-VwmWnxa8301yQLp7DIIJA/view?usp=drivesdk" TargetMode="External"/><Relationship Id="rId792" Type="http://schemas.openxmlformats.org/officeDocument/2006/relationships/hyperlink" Target="https://drive.google.com/file/d/1V-039OENs3Z-dcYDYyrY7kiIw3bBwUNB/view?usp=drivesdk" TargetMode="External"/><Relationship Id="rId791" Type="http://schemas.openxmlformats.org/officeDocument/2006/relationships/hyperlink" Target="https://drive.google.com/file/d/1-lIQTd5Ic6QhWUFhzqRCRhRGcOhTIxQa/view?usp=drivesdk" TargetMode="External"/><Relationship Id="rId790" Type="http://schemas.openxmlformats.org/officeDocument/2006/relationships/hyperlink" Target="https://drive.google.com/file/d/1Oq9-7ATig2Gkh9dA4VhKQ40Ucjj3Bzea/view?usp=drivesdk" TargetMode="External"/><Relationship Id="rId312" Type="http://schemas.openxmlformats.org/officeDocument/2006/relationships/hyperlink" Target="https://drive.google.com/file/d/1LR8tS-FHRR20TBqKEfAkjlfeg0N3BiC6/view?usp=drivesdk" TargetMode="External"/><Relationship Id="rId554" Type="http://schemas.openxmlformats.org/officeDocument/2006/relationships/hyperlink" Target="https://drive.google.com/file/d/1kII2XQokFJUfIg-uzasqH7pmkOSY-dGq/view?usp=drivesdk" TargetMode="External"/><Relationship Id="rId796" Type="http://schemas.openxmlformats.org/officeDocument/2006/relationships/hyperlink" Target="https://drive.google.com/file/d/1DoJiqPSgJyLjrl-7IvIljN_iNCghZwYi/view?usp=drivesdk" TargetMode="External"/><Relationship Id="rId311" Type="http://schemas.openxmlformats.org/officeDocument/2006/relationships/hyperlink" Target="https://drive.google.com/file/d/1f7IDhZ7kOIFEAMSoY_fiwFFlCN3-GWpg/view?usp=drivesdk" TargetMode="External"/><Relationship Id="rId553" Type="http://schemas.openxmlformats.org/officeDocument/2006/relationships/hyperlink" Target="https://drive.google.com/file/d/1bfHbuU-FeYUM0sXmpGDf2W0DOonuuzls/view?usp=drivesdk" TargetMode="External"/><Relationship Id="rId795" Type="http://schemas.openxmlformats.org/officeDocument/2006/relationships/hyperlink" Target="https://drive.google.com/file/d/1ftG4ozsGQMjXHeA2Ne_L_NyVPKHTXJ8H/view?usp=drivesdk" TargetMode="External"/><Relationship Id="rId310" Type="http://schemas.openxmlformats.org/officeDocument/2006/relationships/hyperlink" Target="https://drive.google.com/file/d/1qL2v5YZcOkn8tb7OszCIr--Z-6jFSv1-/view?usp=drivesdk" TargetMode="External"/><Relationship Id="rId552" Type="http://schemas.openxmlformats.org/officeDocument/2006/relationships/hyperlink" Target="https://drive.google.com/file/d/1bw0s6aL0WDYv3Tju7aAfo0auayztpSRe/view?usp=drivesdk" TargetMode="External"/><Relationship Id="rId794" Type="http://schemas.openxmlformats.org/officeDocument/2006/relationships/hyperlink" Target="https://drive.google.com/file/d/1rGaQDrPcE2P948lHsWG7VZAFlm3hMGhq/view?usp=drivesdk" TargetMode="External"/><Relationship Id="rId551" Type="http://schemas.openxmlformats.org/officeDocument/2006/relationships/hyperlink" Target="https://drive.google.com/file/d/1KcgMqd7qQzS-xjuABJLUSd31KL622CRc/view?usp=drivesdk" TargetMode="External"/><Relationship Id="rId793" Type="http://schemas.openxmlformats.org/officeDocument/2006/relationships/hyperlink" Target="https://drive.google.com/file/d/1QS7tqQbc8BjM4zK-tWXq1KYMHdU_4sdu/view?usp=drivesdk" TargetMode="External"/><Relationship Id="rId297" Type="http://schemas.openxmlformats.org/officeDocument/2006/relationships/hyperlink" Target="https://drive.google.com/file/d/1SIYILAU0e2-dUE47Cl6ITSe5m_haindr/view?usp=drivesdk" TargetMode="External"/><Relationship Id="rId296" Type="http://schemas.openxmlformats.org/officeDocument/2006/relationships/hyperlink" Target="https://drive.google.com/file/d/1LhhtRuRhZQyUnLyE4-IEvZ-RggSRXnwK/view?usp=drivesdk" TargetMode="External"/><Relationship Id="rId295" Type="http://schemas.openxmlformats.org/officeDocument/2006/relationships/hyperlink" Target="https://drive.google.com/file/d/1kHPRkitEcG8H0W-d76ANCPVHPOGN0F7k/view?usp=drivesdk" TargetMode="External"/><Relationship Id="rId294" Type="http://schemas.openxmlformats.org/officeDocument/2006/relationships/hyperlink" Target="https://drive.google.com/file/d/1EMyhj1TzY9KHsOrpCVSVE60DXNBKjwgm/view?usp=drivesdk" TargetMode="External"/><Relationship Id="rId299" Type="http://schemas.openxmlformats.org/officeDocument/2006/relationships/hyperlink" Target="https://drive.google.com/file/d/1spUSsBb4s2y7VAJhyPtYf6PQ4bvAxW4X/view?usp=drivesdk" TargetMode="External"/><Relationship Id="rId298" Type="http://schemas.openxmlformats.org/officeDocument/2006/relationships/hyperlink" Target="https://drive.google.com/file/d/1O2WqY97qUmK31RjTKBZWhMSOqX6XSPD5/view?usp=drivesdk" TargetMode="External"/><Relationship Id="rId271" Type="http://schemas.openxmlformats.org/officeDocument/2006/relationships/hyperlink" Target="https://drive.google.com/file/d/1E-sxpa6-EewmMh3sb_tYZlelAkGNwfha/view?usp=drivesdk" TargetMode="External"/><Relationship Id="rId270" Type="http://schemas.openxmlformats.org/officeDocument/2006/relationships/hyperlink" Target="https://drive.google.com/file/d/1opE__sRAKCoYyAn9crLHfabvI_BFWzm2/view?usp=drivesdk" TargetMode="External"/><Relationship Id="rId269" Type="http://schemas.openxmlformats.org/officeDocument/2006/relationships/hyperlink" Target="https://drive.google.com/file/d/1UdxmdVhxMV76N6Nv-Nk-7tddUB_1SP_D/view?usp=drivesdk" TargetMode="External"/><Relationship Id="rId264" Type="http://schemas.openxmlformats.org/officeDocument/2006/relationships/hyperlink" Target="https://drive.google.com/file/d/1wH6m1Hp_VdHA1BZWds47XspS_Tr2e-6W/view?usp=drivesdk" TargetMode="External"/><Relationship Id="rId263" Type="http://schemas.openxmlformats.org/officeDocument/2006/relationships/hyperlink" Target="https://drive.google.com/file/d/1OsJNT8-hdUiQEJd-PnhFfMxwSmjo6Zab/view?usp=drivesdk" TargetMode="External"/><Relationship Id="rId262" Type="http://schemas.openxmlformats.org/officeDocument/2006/relationships/hyperlink" Target="https://drive.google.com/file/d/1YdYuLcKGzXCO9vu7zTJKO21jX25O6vTO/view?usp=drivesdk" TargetMode="External"/><Relationship Id="rId261" Type="http://schemas.openxmlformats.org/officeDocument/2006/relationships/hyperlink" Target="https://drive.google.com/file/d/10fv9Wpkn16WmqnYZolE6UAdqpxmpyVc-/view?usp=drivesdk" TargetMode="External"/><Relationship Id="rId268" Type="http://schemas.openxmlformats.org/officeDocument/2006/relationships/hyperlink" Target="https://drive.google.com/file/d/1um8ZeyTvrNYaAdokbZrgc5jowoarqdOX/view?usp=drivesdk" TargetMode="External"/><Relationship Id="rId267" Type="http://schemas.openxmlformats.org/officeDocument/2006/relationships/hyperlink" Target="https://drive.google.com/file/d/1tlrINIeMSTClo7v3LHvlEB2GuQsbwVQ2/view?usp=drivesdk" TargetMode="External"/><Relationship Id="rId266" Type="http://schemas.openxmlformats.org/officeDocument/2006/relationships/hyperlink" Target="https://drive.google.com/file/d/1MZq_u6VF6CGfbGnIYbmdiWtK9QqAtRbr/view?usp=drivesdk" TargetMode="External"/><Relationship Id="rId265" Type="http://schemas.openxmlformats.org/officeDocument/2006/relationships/hyperlink" Target="https://drive.google.com/file/d/1InSYWy0ZFfj4W8oC-I5T7bDayGcHCYq8/view?usp=drivesdk" TargetMode="External"/><Relationship Id="rId260" Type="http://schemas.openxmlformats.org/officeDocument/2006/relationships/hyperlink" Target="https://drive.google.com/file/d/1Krltp8_86ZczGUXgnhOGvcEi8FJNwc2c/view?usp=drivesdk" TargetMode="External"/><Relationship Id="rId259" Type="http://schemas.openxmlformats.org/officeDocument/2006/relationships/hyperlink" Target="https://drive.google.com/file/d/1X9nSRmosj5jMZbpmXFF0_rVMbOvV4Mf8/view?usp=drivesdk" TargetMode="External"/><Relationship Id="rId258" Type="http://schemas.openxmlformats.org/officeDocument/2006/relationships/hyperlink" Target="https://drive.google.com/file/d/1jps3_fjiKA74ZoB75IoJ3MwHV18FP5Dx/view?usp=drivesdk" TargetMode="External"/><Relationship Id="rId253" Type="http://schemas.openxmlformats.org/officeDocument/2006/relationships/hyperlink" Target="https://drive.google.com/file/d/1bCB3w6-AVaEnhb_AK8G45LUsnCneN72T/view?usp=drivesdk" TargetMode="External"/><Relationship Id="rId495" Type="http://schemas.openxmlformats.org/officeDocument/2006/relationships/hyperlink" Target="https://drive.google.com/file/d/1dOLlkQn3GiWSoWP1jDeK-CaUVHw-MErs/view?usp=drivesdk" TargetMode="External"/><Relationship Id="rId252" Type="http://schemas.openxmlformats.org/officeDocument/2006/relationships/hyperlink" Target="https://drive.google.com/file/d/1QatggcSHlTkDw0e49gTeXXmp7cWQ3w07/view?usp=drivesdk" TargetMode="External"/><Relationship Id="rId494" Type="http://schemas.openxmlformats.org/officeDocument/2006/relationships/hyperlink" Target="https://drive.google.com/file/d/1MAKq6SCCKJG3KILEOTQDESo_Sr0lbKE2/view?usp=drivesdk" TargetMode="External"/><Relationship Id="rId251" Type="http://schemas.openxmlformats.org/officeDocument/2006/relationships/hyperlink" Target="https://drive.google.com/file/d/16O9PU_R5KQdmATeaIRDgLOqdXqUGl4mI/view?usp=drivesdk" TargetMode="External"/><Relationship Id="rId493" Type="http://schemas.openxmlformats.org/officeDocument/2006/relationships/hyperlink" Target="https://drive.google.com/file/d/1gl05f2TQ9bgEEzZBmRGq0cY5pCpAwTGe/view?usp=drivesdk" TargetMode="External"/><Relationship Id="rId250" Type="http://schemas.openxmlformats.org/officeDocument/2006/relationships/hyperlink" Target="https://drive.google.com/file/d/116IBW44q-nUF4EOOt5y_wWqty9N8fWYy/view?usp=drivesdk" TargetMode="External"/><Relationship Id="rId492" Type="http://schemas.openxmlformats.org/officeDocument/2006/relationships/hyperlink" Target="https://drive.google.com/file/d/1bPfjdLZMEVNocYnuvTVImQ9i6fpNPVr-/view?usp=drivesdk" TargetMode="External"/><Relationship Id="rId257" Type="http://schemas.openxmlformats.org/officeDocument/2006/relationships/hyperlink" Target="https://drive.google.com/file/d/1dhaskgn5b9-_DI6pTxqzKvRYcJl7sXY3/view?usp=drivesdk" TargetMode="External"/><Relationship Id="rId499" Type="http://schemas.openxmlformats.org/officeDocument/2006/relationships/hyperlink" Target="https://drive.google.com/file/d/1AFb8ppJyO5ykSGXyrxxGLGMCK0CtRwIP/view?usp=drivesdk" TargetMode="External"/><Relationship Id="rId256" Type="http://schemas.openxmlformats.org/officeDocument/2006/relationships/hyperlink" Target="https://drive.google.com/file/d/1XDW3ZS4J8ruw2ISfwvgTooihq-HzHIDc/view?usp=drivesdk" TargetMode="External"/><Relationship Id="rId498" Type="http://schemas.openxmlformats.org/officeDocument/2006/relationships/hyperlink" Target="https://drive.google.com/file/d/15COAz3RWKBPxvdatkj3s7-_qSbnIVTnM/view?usp=drivesdk" TargetMode="External"/><Relationship Id="rId255" Type="http://schemas.openxmlformats.org/officeDocument/2006/relationships/hyperlink" Target="https://drive.google.com/file/d/1lZ7DITJKDBMR_TUYBi1ACNRDaZz1V6K9/view?usp=drivesdk" TargetMode="External"/><Relationship Id="rId497" Type="http://schemas.openxmlformats.org/officeDocument/2006/relationships/hyperlink" Target="https://drive.google.com/file/d/1RUVzC4q-0IKurxyP0KDtMnvVgQEZx790/view?usp=drivesdk" TargetMode="External"/><Relationship Id="rId254" Type="http://schemas.openxmlformats.org/officeDocument/2006/relationships/hyperlink" Target="https://drive.google.com/file/d/1MGF-yN5VLxYqaPFvZOP5-7PRbCk21Jqp/view?usp=drivesdk" TargetMode="External"/><Relationship Id="rId496" Type="http://schemas.openxmlformats.org/officeDocument/2006/relationships/hyperlink" Target="https://drive.google.com/file/d/1ZN9WcHZ-xpkLRRIxX-FQhewsJp_W_biX/view?usp=drivesdk" TargetMode="External"/><Relationship Id="rId293" Type="http://schemas.openxmlformats.org/officeDocument/2006/relationships/hyperlink" Target="https://drive.google.com/file/d/1ugNh5yH0ffDrsIzXKyPNgXh9przMk1Br/view?usp=drivesdk" TargetMode="External"/><Relationship Id="rId292" Type="http://schemas.openxmlformats.org/officeDocument/2006/relationships/hyperlink" Target="https://drive.google.com/file/d/13DvewKRpqiQFbG2yQhjp_FSN1ugaQ1yl/view?usp=drivesdk" TargetMode="External"/><Relationship Id="rId291" Type="http://schemas.openxmlformats.org/officeDocument/2006/relationships/hyperlink" Target="https://drive.google.com/file/d/10ok6w91GLXBs0uVyQ2eKltTz5fjeFMJh/view?usp=drivesdk" TargetMode="External"/><Relationship Id="rId290" Type="http://schemas.openxmlformats.org/officeDocument/2006/relationships/hyperlink" Target="https://drive.google.com/file/d/1IzM4Mzfw4WSBZgv_949z-CWhkwBJXUZ3/view?usp=drivesdk" TargetMode="External"/><Relationship Id="rId286" Type="http://schemas.openxmlformats.org/officeDocument/2006/relationships/hyperlink" Target="https://drive.google.com/file/d/1AceUVFIX4YCoqFouiOC55_DHOQg8FuFu/view?usp=drivesdk" TargetMode="External"/><Relationship Id="rId285" Type="http://schemas.openxmlformats.org/officeDocument/2006/relationships/hyperlink" Target="https://drive.google.com/file/d/1BmDXEgwljdWNjU6wCrsYmM6yOVsA4vZP/view?usp=drivesdk" TargetMode="External"/><Relationship Id="rId284" Type="http://schemas.openxmlformats.org/officeDocument/2006/relationships/hyperlink" Target="https://drive.google.com/file/d/1LXFiIppbtalcbpiDrnRgHNeEHovRD6N4/view?usp=drivesdk" TargetMode="External"/><Relationship Id="rId283" Type="http://schemas.openxmlformats.org/officeDocument/2006/relationships/hyperlink" Target="https://drive.google.com/file/d/1u9DR_1DJaxjTPtNCvrU_tJm47CuCIE-Q/view?usp=drivesdk" TargetMode="External"/><Relationship Id="rId289" Type="http://schemas.openxmlformats.org/officeDocument/2006/relationships/hyperlink" Target="https://drive.google.com/file/d/1MBoWMyVFTczExKalmTZ2u03zOKDbGNOC/view?usp=drivesdk" TargetMode="External"/><Relationship Id="rId288" Type="http://schemas.openxmlformats.org/officeDocument/2006/relationships/hyperlink" Target="https://drive.google.com/file/d/1lmlc61idtwi-hq7hhjEfAl9FxfqW-xMW/view?usp=drivesdk" TargetMode="External"/><Relationship Id="rId287" Type="http://schemas.openxmlformats.org/officeDocument/2006/relationships/hyperlink" Target="https://drive.google.com/file/d/1eu-ALrI43IlGR5flc6eaeorPlKgmqobL/view?usp=drivesdk" TargetMode="External"/><Relationship Id="rId282" Type="http://schemas.openxmlformats.org/officeDocument/2006/relationships/hyperlink" Target="https://drive.google.com/file/d/1n0Rqkx62oCPX8Hi5co4UWZk1y_y1dskD/view?usp=drivesdk" TargetMode="External"/><Relationship Id="rId281" Type="http://schemas.openxmlformats.org/officeDocument/2006/relationships/hyperlink" Target="https://drive.google.com/file/d/19I6GUzKtyFn9Y0LHB_rHcKAVV-7OBj7C/view?usp=drivesdk" TargetMode="External"/><Relationship Id="rId280" Type="http://schemas.openxmlformats.org/officeDocument/2006/relationships/hyperlink" Target="https://drive.google.com/file/d/1eMikJPs34UY0mvreaw_8BUAH9YPjMiO8/view?usp=drivesdk" TargetMode="External"/><Relationship Id="rId275" Type="http://schemas.openxmlformats.org/officeDocument/2006/relationships/hyperlink" Target="https://drive.google.com/file/d/1Vnp7qGQ42f_J1eRShzKRXXvjwqWqQN88/view?usp=drivesdk" TargetMode="External"/><Relationship Id="rId274" Type="http://schemas.openxmlformats.org/officeDocument/2006/relationships/hyperlink" Target="https://drive.google.com/file/d/1ouJ5Q6DSbL7V4O7VVF4PK94JpHuSgAKc/view?usp=drivesdk" TargetMode="External"/><Relationship Id="rId273" Type="http://schemas.openxmlformats.org/officeDocument/2006/relationships/hyperlink" Target="https://drive.google.com/file/d/1mJsCd2MaCZHgXkeZnlDQznGIkaAbAnzr/view?usp=drivesdk" TargetMode="External"/><Relationship Id="rId272" Type="http://schemas.openxmlformats.org/officeDocument/2006/relationships/hyperlink" Target="https://drive.google.com/file/d/1rykEWF3929Ix4i95Vr3YX6oAaTggJYhw/view?usp=drivesdk" TargetMode="External"/><Relationship Id="rId279" Type="http://schemas.openxmlformats.org/officeDocument/2006/relationships/hyperlink" Target="https://drive.google.com/file/d/1ukNP_BnqVTmqbnpLJBPQWWm5zvGZu-oW/view?usp=drivesdk" TargetMode="External"/><Relationship Id="rId278" Type="http://schemas.openxmlformats.org/officeDocument/2006/relationships/hyperlink" Target="https://drive.google.com/file/d/1Sqz7pITl8A-BX94GJpa0mG2BZv-uoYgZ/view?usp=drivesdk" TargetMode="External"/><Relationship Id="rId277" Type="http://schemas.openxmlformats.org/officeDocument/2006/relationships/hyperlink" Target="https://drive.google.com/file/d/1k_SCLZ9fSTmtjaBQYqpC9xXeoEgxItEk/view?usp=drivesdk" TargetMode="External"/><Relationship Id="rId276" Type="http://schemas.openxmlformats.org/officeDocument/2006/relationships/hyperlink" Target="https://drive.google.com/file/d/1prGU8SJ-IJPBTudgrA8n86oCpLDpP6LA/view?usp=drivesdk" TargetMode="External"/><Relationship Id="rId907" Type="http://schemas.openxmlformats.org/officeDocument/2006/relationships/hyperlink" Target="https://drive.google.com/file/d/1_ceCSLbSU8ZOprbi9XAUfkzru4GQ-18-/view?usp=drivesdk" TargetMode="External"/><Relationship Id="rId906" Type="http://schemas.openxmlformats.org/officeDocument/2006/relationships/hyperlink" Target="https://drive.google.com/file/d/1npozqZkas4twhQfNIa2C6NR5mRZnUnKF/view?usp=drivesdk" TargetMode="External"/><Relationship Id="rId905" Type="http://schemas.openxmlformats.org/officeDocument/2006/relationships/hyperlink" Target="https://drive.google.com/file/d/1LuaaoKW34wuhyt4TJI7r9vM8znUlpzRD/view?usp=drivesdk" TargetMode="External"/><Relationship Id="rId904" Type="http://schemas.openxmlformats.org/officeDocument/2006/relationships/hyperlink" Target="https://drive.google.com/file/d/1gP0tDzvIJiYDb19RUwAs8W7rZZv3qZGm/view?usp=drivesdk" TargetMode="External"/><Relationship Id="rId909" Type="http://schemas.openxmlformats.org/officeDocument/2006/relationships/hyperlink" Target="https://drive.google.com/file/d/1mmIyJ9hVHxnv6kgcafA6neBiN9mMMSDe/view?usp=drivesdk" TargetMode="External"/><Relationship Id="rId908" Type="http://schemas.openxmlformats.org/officeDocument/2006/relationships/hyperlink" Target="https://drive.google.com/file/d/1XwdfFRso5Fy3Rk1FZthGCZt9PT8IM8r3/view?usp=drivesdk" TargetMode="External"/><Relationship Id="rId903" Type="http://schemas.openxmlformats.org/officeDocument/2006/relationships/hyperlink" Target="https://drive.google.com/file/d/1kWRebkIfa_XLd2X_WElvLSfO3bWoggfn/view?usp=drivesdk" TargetMode="External"/><Relationship Id="rId902" Type="http://schemas.openxmlformats.org/officeDocument/2006/relationships/hyperlink" Target="https://drive.google.com/file/d/1PB4EhM7e3lhepxJaA1qBNiNctXbp_tcO/view?usp=drivesdk" TargetMode="External"/><Relationship Id="rId901" Type="http://schemas.openxmlformats.org/officeDocument/2006/relationships/hyperlink" Target="https://drive.google.com/file/d/1fH8pWsusPtnnr6KZU6QlKYLox3zPZab3/view?usp=drivesdk" TargetMode="External"/><Relationship Id="rId900" Type="http://schemas.openxmlformats.org/officeDocument/2006/relationships/hyperlink" Target="https://drive.google.com/file/d/1J8ElwmR0sSGhIs2MI1Sc3zu7aDK40Glw/view?usp=drivesdk" TargetMode="External"/><Relationship Id="rId929" Type="http://schemas.openxmlformats.org/officeDocument/2006/relationships/hyperlink" Target="https://drive.google.com/file/d/1Igca4fHv4A-hUmH7qQryTTZn906MUYkp/view?usp=drivesdk" TargetMode="External"/><Relationship Id="rId928" Type="http://schemas.openxmlformats.org/officeDocument/2006/relationships/hyperlink" Target="https://drive.google.com/file/d/1LQeaF3isc4ctz26A9GhmyDnFmwgNRENr/view?usp=drivesdk" TargetMode="External"/><Relationship Id="rId927" Type="http://schemas.openxmlformats.org/officeDocument/2006/relationships/hyperlink" Target="https://drive.google.com/file/d/1c4eMZaOvETAjm8HkOCu2MB-B8zBuJ7mR/view?usp=drivesdk" TargetMode="External"/><Relationship Id="rId926" Type="http://schemas.openxmlformats.org/officeDocument/2006/relationships/hyperlink" Target="https://drive.google.com/file/d/1Bc9JXbImC-ruNCzsEnu4GZ5NWWlkLS9g/view?usp=drivesdk" TargetMode="External"/><Relationship Id="rId921" Type="http://schemas.openxmlformats.org/officeDocument/2006/relationships/hyperlink" Target="https://drive.google.com/file/d/1_1mI_RAKWed27wY008oyqlhXFVUqlGaN/view?usp=drivesdk" TargetMode="External"/><Relationship Id="rId920" Type="http://schemas.openxmlformats.org/officeDocument/2006/relationships/hyperlink" Target="https://drive.google.com/file/d/1vvcoZ6kqmNqEO5_K7oe0QBg0SBxz5TAI/view?usp=drivesdk" TargetMode="External"/><Relationship Id="rId925" Type="http://schemas.openxmlformats.org/officeDocument/2006/relationships/hyperlink" Target="https://drive.google.com/file/d/1_8scni_Wrvao_HTdOJaFTyTTqokr-2Ty/view?usp=drivesdk" TargetMode="External"/><Relationship Id="rId924" Type="http://schemas.openxmlformats.org/officeDocument/2006/relationships/hyperlink" Target="https://drive.google.com/file/d/1BmvNqYhZXOkO0LRIYN_gnYUVhw4ACC1v/view?usp=drivesdk" TargetMode="External"/><Relationship Id="rId923" Type="http://schemas.openxmlformats.org/officeDocument/2006/relationships/hyperlink" Target="https://drive.google.com/file/d/1Rw9VqDaaLMpJbb-jBtKwtOmK_3UzFpjn/view?usp=drivesdk" TargetMode="External"/><Relationship Id="rId922" Type="http://schemas.openxmlformats.org/officeDocument/2006/relationships/hyperlink" Target="https://drive.google.com/file/d/1QXiG45vR5FJ2817lQ4GNlifb7cTG7yof/view?usp=drivesdk" TargetMode="External"/><Relationship Id="rId918" Type="http://schemas.openxmlformats.org/officeDocument/2006/relationships/hyperlink" Target="https://drive.google.com/file/d/1jLOvXkvOYCrnd5d9pa803NW9D0ffoaxR/view?usp=drivesdk" TargetMode="External"/><Relationship Id="rId917" Type="http://schemas.openxmlformats.org/officeDocument/2006/relationships/hyperlink" Target="https://drive.google.com/file/d/11ARIZilfHrpcHe2efPojTD92-cins_fq/view?usp=drivesdk" TargetMode="External"/><Relationship Id="rId916" Type="http://schemas.openxmlformats.org/officeDocument/2006/relationships/hyperlink" Target="https://drive.google.com/file/d/1agzcuFCnNvSano4V6Qrt2LurBPyxCz36/view?usp=drivesdk" TargetMode="External"/><Relationship Id="rId915" Type="http://schemas.openxmlformats.org/officeDocument/2006/relationships/hyperlink" Target="https://drive.google.com/file/d/1AzY6deimO49fOpQ30FLInDq_H624TJ0k/view?usp=drivesdk" TargetMode="External"/><Relationship Id="rId919" Type="http://schemas.openxmlformats.org/officeDocument/2006/relationships/hyperlink" Target="https://drive.google.com/file/d/1c-YPr45pVmjMK-wP-hYzfd2NswXTSXmD/view?usp=drivesdk" TargetMode="External"/><Relationship Id="rId910" Type="http://schemas.openxmlformats.org/officeDocument/2006/relationships/hyperlink" Target="https://drive.google.com/file/d/1O8XZch5De-dcFUu4hblGqQc98VTWtpjC/view?usp=drivesdk" TargetMode="External"/><Relationship Id="rId914" Type="http://schemas.openxmlformats.org/officeDocument/2006/relationships/hyperlink" Target="https://drive.google.com/file/d/1dAoDEqzaZfExYaDOV7V5ymsZIcFnJhP0/view?usp=drivesdk" TargetMode="External"/><Relationship Id="rId913" Type="http://schemas.openxmlformats.org/officeDocument/2006/relationships/hyperlink" Target="https://drive.google.com/file/d/1L9nq1UOV7Zt-g-00eE9oxFpOWvD0pV7u/view?usp=drivesdk" TargetMode="External"/><Relationship Id="rId912" Type="http://schemas.openxmlformats.org/officeDocument/2006/relationships/hyperlink" Target="https://drive.google.com/file/d/1o7QVKAbXVp6shq89ucCgnqNgJk6MP2FK/view?usp=drivesdk" TargetMode="External"/><Relationship Id="rId911" Type="http://schemas.openxmlformats.org/officeDocument/2006/relationships/hyperlink" Target="https://drive.google.com/file/d/11wHT5va58wnVSIZ2dR8EpVacfC_i-NhV/view?usp=drivesdk" TargetMode="External"/><Relationship Id="rId629" Type="http://schemas.openxmlformats.org/officeDocument/2006/relationships/hyperlink" Target="https://drive.google.com/file/d/1bbQwHPjLR2Fbl4etB8m3V996AdWwQshk/view?usp=drivesdk" TargetMode="External"/><Relationship Id="rId624" Type="http://schemas.openxmlformats.org/officeDocument/2006/relationships/hyperlink" Target="https://drive.google.com/file/d/10g-E-h0-1yWWBpSs8MjBmBeZDyLw4SNN/view?usp=drivesdk" TargetMode="External"/><Relationship Id="rId866" Type="http://schemas.openxmlformats.org/officeDocument/2006/relationships/hyperlink" Target="https://drive.google.com/file/d/15fOrAyfRHazxzzd1q7SelrX5y8jU6vlc/view?usp=drivesdk" TargetMode="External"/><Relationship Id="rId623" Type="http://schemas.openxmlformats.org/officeDocument/2006/relationships/hyperlink" Target="https://drive.google.com/file/d/1o208HHg0gz0nVLVJsSVy230XOeFgZ_kd/view?usp=drivesdk" TargetMode="External"/><Relationship Id="rId865" Type="http://schemas.openxmlformats.org/officeDocument/2006/relationships/hyperlink" Target="https://drive.google.com/file/d/1NYNbiCP3uoVCCBV3Q3agIxh8Ni6Sf-9x/view?usp=drivesdk" TargetMode="External"/><Relationship Id="rId622" Type="http://schemas.openxmlformats.org/officeDocument/2006/relationships/hyperlink" Target="https://drive.google.com/file/d/1cZwBkOPVd6iq4TowmWcDZYmZtknLUsj9/view?usp=drivesdk" TargetMode="External"/><Relationship Id="rId864" Type="http://schemas.openxmlformats.org/officeDocument/2006/relationships/hyperlink" Target="https://drive.google.com/file/d/1n1w759UJ0EChcarGPaIR9W6voyU1mNrp/view?usp=drivesdk" TargetMode="External"/><Relationship Id="rId621" Type="http://schemas.openxmlformats.org/officeDocument/2006/relationships/hyperlink" Target="https://drive.google.com/file/d/1IRu23d56JhG2cRCdAd81Nw3kMcARygLg/view?usp=drivesdk" TargetMode="External"/><Relationship Id="rId863" Type="http://schemas.openxmlformats.org/officeDocument/2006/relationships/hyperlink" Target="https://drive.google.com/file/d/1IZAQ5X8aCSoGn79XR1lz9aohoX_6r_PE/view?usp=drivesdk" TargetMode="External"/><Relationship Id="rId628" Type="http://schemas.openxmlformats.org/officeDocument/2006/relationships/hyperlink" Target="https://drive.google.com/file/d/1ZxGAz-3CZseYg3BkvfKFG9dvErrLhlqt/view?usp=drivesdk" TargetMode="External"/><Relationship Id="rId627" Type="http://schemas.openxmlformats.org/officeDocument/2006/relationships/hyperlink" Target="https://drive.google.com/file/d/1rTh_YCrFN7s6xeVA390L5xtI5iiVhT_g/view?usp=drivesdk" TargetMode="External"/><Relationship Id="rId869" Type="http://schemas.openxmlformats.org/officeDocument/2006/relationships/hyperlink" Target="https://drive.google.com/file/d/16FpK_Dd2qEcjipLWG0nfznbAhWYxYxMf/view?usp=drivesdk" TargetMode="External"/><Relationship Id="rId626" Type="http://schemas.openxmlformats.org/officeDocument/2006/relationships/hyperlink" Target="https://drive.google.com/file/d/16Rv_r5y55P-EGBUMCzG3Sw_6zLM0MGoG/view?usp=drivesdk" TargetMode="External"/><Relationship Id="rId868" Type="http://schemas.openxmlformats.org/officeDocument/2006/relationships/hyperlink" Target="https://drive.google.com/file/d/1gm9-diKlL_z7Lct9EcEtKRn6pblVRHsB/view?usp=drivesdk" TargetMode="External"/><Relationship Id="rId625" Type="http://schemas.openxmlformats.org/officeDocument/2006/relationships/hyperlink" Target="https://drive.google.com/file/d/12-3-zmMVPsQNinQmCUILOXrQy5jyqB8E/view?usp=drivesdk" TargetMode="External"/><Relationship Id="rId867" Type="http://schemas.openxmlformats.org/officeDocument/2006/relationships/hyperlink" Target="https://drive.google.com/file/d/10surubyoUJhZ2jqBjceqBydsHQ7tf45n/view?usp=drivesdk" TargetMode="External"/><Relationship Id="rId620" Type="http://schemas.openxmlformats.org/officeDocument/2006/relationships/hyperlink" Target="https://drive.google.com/file/d/1HAc2q2ohDh7ya_3DqiXR-v3XfOUaPUVw/view?usp=drivesdk" TargetMode="External"/><Relationship Id="rId862" Type="http://schemas.openxmlformats.org/officeDocument/2006/relationships/hyperlink" Target="https://drive.google.com/file/d/1lVckxmJpLwHeYbT51I2471ZMvX7-8fk_/view?usp=drivesdk" TargetMode="External"/><Relationship Id="rId861" Type="http://schemas.openxmlformats.org/officeDocument/2006/relationships/hyperlink" Target="https://drive.google.com/file/d/1-IdIF3Q0cXW2iuaDQTP9ZIQGBWoXDeic/view?usp=drivesdk" TargetMode="External"/><Relationship Id="rId860" Type="http://schemas.openxmlformats.org/officeDocument/2006/relationships/hyperlink" Target="https://drive.google.com/file/d/1G-dkgXMpvLOxy5PJtmsYc1iY89IiASDQ/view?usp=drivesdk" TargetMode="External"/><Relationship Id="rId619" Type="http://schemas.openxmlformats.org/officeDocument/2006/relationships/hyperlink" Target="https://drive.google.com/file/d/1Hcq0AkIXdzxce2LJzifkOYnk8ckc-uMm/view?usp=drivesdk" TargetMode="External"/><Relationship Id="rId618" Type="http://schemas.openxmlformats.org/officeDocument/2006/relationships/hyperlink" Target="https://drive.google.com/file/d/1y87EPduhgNWu87jC08B82cQ5GaJQo5C5/view?usp=drivesdk" TargetMode="External"/><Relationship Id="rId613" Type="http://schemas.openxmlformats.org/officeDocument/2006/relationships/hyperlink" Target="https://drive.google.com/file/d/1UL0PftDQj4NLemyTdQOTBPqZIzF3wMDW/view?usp=drivesdk" TargetMode="External"/><Relationship Id="rId855" Type="http://schemas.openxmlformats.org/officeDocument/2006/relationships/hyperlink" Target="https://drive.google.com/file/d/1eJJuBlBC6iK8oSeyAzz_w1rbpr-zOc1m/view?usp=drivesdk" TargetMode="External"/><Relationship Id="rId612" Type="http://schemas.openxmlformats.org/officeDocument/2006/relationships/hyperlink" Target="https://drive.google.com/file/d/1fFivvI7Qj1k48x4-A312pDlEY-uQVNDh/view?usp=drivesdk" TargetMode="External"/><Relationship Id="rId854" Type="http://schemas.openxmlformats.org/officeDocument/2006/relationships/hyperlink" Target="https://drive.google.com/file/d/1nptwo0mEA84_TKU60uv4hnnGDczeS1Zk/view?usp=drivesdk" TargetMode="External"/><Relationship Id="rId611" Type="http://schemas.openxmlformats.org/officeDocument/2006/relationships/hyperlink" Target="https://drive.google.com/file/d/1z4X73HtSA1nrDk8ntIkR3An9qb2abw5E/view?usp=drivesdk" TargetMode="External"/><Relationship Id="rId853" Type="http://schemas.openxmlformats.org/officeDocument/2006/relationships/hyperlink" Target="https://drive.google.com/file/d/1QHdQOaSUn8t2Oc42KKb_TAHYO0RumHeI/view?usp=drivesdk" TargetMode="External"/><Relationship Id="rId610" Type="http://schemas.openxmlformats.org/officeDocument/2006/relationships/hyperlink" Target="https://drive.google.com/file/d/1YjM2AyayUCM4yrowEafWde7v5QDEcLkO/view?usp=drivesdk" TargetMode="External"/><Relationship Id="rId852" Type="http://schemas.openxmlformats.org/officeDocument/2006/relationships/hyperlink" Target="https://drive.google.com/file/d/1YC6XYt7FNhpwEhcsvjsKQWGFVb5nxT3b/view?usp=drivesdk" TargetMode="External"/><Relationship Id="rId617" Type="http://schemas.openxmlformats.org/officeDocument/2006/relationships/hyperlink" Target="https://drive.google.com/file/d/1blDCiYzrRlolluLMMoA046c7qhE47oEO/view?usp=drivesdk" TargetMode="External"/><Relationship Id="rId859" Type="http://schemas.openxmlformats.org/officeDocument/2006/relationships/hyperlink" Target="https://drive.google.com/file/d/1Jxh-iJbpoGgAsQMsnR19jwww6-BpMLmv/view?usp=drivesdk" TargetMode="External"/><Relationship Id="rId616" Type="http://schemas.openxmlformats.org/officeDocument/2006/relationships/hyperlink" Target="https://drive.google.com/file/d/1ASp6actKQW6mR71itf0O3sEJLpt28IFE/view?usp=drivesdk" TargetMode="External"/><Relationship Id="rId858" Type="http://schemas.openxmlformats.org/officeDocument/2006/relationships/hyperlink" Target="https://drive.google.com/file/d/1Uiu5n0FoIcXAb3dRg00_2KU2cO3zYE1Y/view?usp=drivesdk" TargetMode="External"/><Relationship Id="rId615" Type="http://schemas.openxmlformats.org/officeDocument/2006/relationships/hyperlink" Target="https://drive.google.com/file/d/11oWzJ_iYizKGsd1ds5ITHNvm6a26BZZm/view?usp=drivesdk" TargetMode="External"/><Relationship Id="rId857" Type="http://schemas.openxmlformats.org/officeDocument/2006/relationships/hyperlink" Target="https://drive.google.com/file/d/1HgXpNlAxobakjSsB9EJdFa21vRRrBh12/view?usp=drivesdk" TargetMode="External"/><Relationship Id="rId614" Type="http://schemas.openxmlformats.org/officeDocument/2006/relationships/hyperlink" Target="https://drive.google.com/file/d/1LD2TP9YmRR5l_gW03SsJhQYNhNBRb9yn/view?usp=drivesdk" TargetMode="External"/><Relationship Id="rId856" Type="http://schemas.openxmlformats.org/officeDocument/2006/relationships/hyperlink" Target="https://drive.google.com/file/d/1oW43k7HS20eBIEU83NUpd-zEmYW54ss3/view?usp=drivesdk" TargetMode="External"/><Relationship Id="rId851" Type="http://schemas.openxmlformats.org/officeDocument/2006/relationships/hyperlink" Target="https://drive.google.com/file/d/1GgLGkTgIb4bV_r0CR4tuXVOsyGrDdO1n/view?usp=drivesdk" TargetMode="External"/><Relationship Id="rId850" Type="http://schemas.openxmlformats.org/officeDocument/2006/relationships/hyperlink" Target="https://drive.google.com/file/d/1JPG1jmoWfTdWcJwweF_ahsEpgcD0V8mA/view?usp=drivesdk" TargetMode="External"/><Relationship Id="rId409" Type="http://schemas.openxmlformats.org/officeDocument/2006/relationships/hyperlink" Target="https://drive.google.com/file/d/1A54QyLTQmQfyaHIHY_JqO_Li_SZs0yww/view?usp=drivesdk" TargetMode="External"/><Relationship Id="rId404" Type="http://schemas.openxmlformats.org/officeDocument/2006/relationships/hyperlink" Target="https://drive.google.com/file/d/1smeZuWDuoSwzTsT-xwWPLiF-Vm3jqtf-/view?usp=drivesdk" TargetMode="External"/><Relationship Id="rId646" Type="http://schemas.openxmlformats.org/officeDocument/2006/relationships/hyperlink" Target="https://drive.google.com/file/d/1JFR8OVLVZ-FaJ00yApDpzKLzHLgd9Vs5/view?usp=drivesdk" TargetMode="External"/><Relationship Id="rId888" Type="http://schemas.openxmlformats.org/officeDocument/2006/relationships/hyperlink" Target="https://drive.google.com/file/d/1NFQBlu1hsjHvHqDKeeHNLI_oZ8L0zBJd/view?usp=drivesdk" TargetMode="External"/><Relationship Id="rId403" Type="http://schemas.openxmlformats.org/officeDocument/2006/relationships/hyperlink" Target="https://drive.google.com/file/d/1FjHY3KyiP0GPComHVmbW72AX871bfXmF/view?usp=drivesdk" TargetMode="External"/><Relationship Id="rId645" Type="http://schemas.openxmlformats.org/officeDocument/2006/relationships/hyperlink" Target="https://drive.google.com/file/d/1A2eV6Sz08ScSbqzEFyohtS0bEz-fovM7/view?usp=drivesdk" TargetMode="External"/><Relationship Id="rId887" Type="http://schemas.openxmlformats.org/officeDocument/2006/relationships/hyperlink" Target="https://drive.google.com/file/d/19Dr09uD3xETFgc14JAHReeX2x6F1hmsv/view?usp=drivesdk" TargetMode="External"/><Relationship Id="rId402" Type="http://schemas.openxmlformats.org/officeDocument/2006/relationships/hyperlink" Target="https://drive.google.com/file/d/1OGVICJsQP16V-rzwdRnW9UKpMn4YGv39/view?usp=drivesdk" TargetMode="External"/><Relationship Id="rId644" Type="http://schemas.openxmlformats.org/officeDocument/2006/relationships/hyperlink" Target="https://drive.google.com/file/d/1DTrvxRr2myWDtCZntXS3bK4cI2hAydQe/view?usp=drivesdk" TargetMode="External"/><Relationship Id="rId886" Type="http://schemas.openxmlformats.org/officeDocument/2006/relationships/hyperlink" Target="https://drive.google.com/file/d/1iFxPF4N0XlMvOeGj9t9uDE-yBhSjAENQ/view?usp=drivesdk" TargetMode="External"/><Relationship Id="rId401" Type="http://schemas.openxmlformats.org/officeDocument/2006/relationships/hyperlink" Target="https://drive.google.com/file/d/1x31mvtUKznWytCHe7btCQ_q4hZuHtFM2/view?usp=drivesdk" TargetMode="External"/><Relationship Id="rId643" Type="http://schemas.openxmlformats.org/officeDocument/2006/relationships/hyperlink" Target="https://drive.google.com/file/d/1RpBOb7YJjkXZAKLhEB7Lgm7QNgR1FG2m/view?usp=drivesdk" TargetMode="External"/><Relationship Id="rId885" Type="http://schemas.openxmlformats.org/officeDocument/2006/relationships/hyperlink" Target="https://drive.google.com/file/d/1xb50nhCspslf9akIQb2lrsQ3hTh74N-6/view?usp=drivesdk" TargetMode="External"/><Relationship Id="rId408" Type="http://schemas.openxmlformats.org/officeDocument/2006/relationships/hyperlink" Target="https://drive.google.com/file/d/1gF1p6TjGMY2qISJxK6UQZ5nS3RDxxwAl/view?usp=drivesdk" TargetMode="External"/><Relationship Id="rId407" Type="http://schemas.openxmlformats.org/officeDocument/2006/relationships/hyperlink" Target="https://drive.google.com/file/d/1LHZl9J2LoRDJfgS2iW7IxS1AwPiRo-ej/view?usp=drivesdk" TargetMode="External"/><Relationship Id="rId649" Type="http://schemas.openxmlformats.org/officeDocument/2006/relationships/hyperlink" Target="https://drive.google.com/file/d/1WyQmoA9QYakIKrk124hWkV4KO5T3Ul1z/view?usp=drivesdk" TargetMode="External"/><Relationship Id="rId406" Type="http://schemas.openxmlformats.org/officeDocument/2006/relationships/hyperlink" Target="https://drive.google.com/file/d/1JR6j_3fS6a1EQNPCEhGrj-Sx0llmN6kD/view?usp=drivesdk" TargetMode="External"/><Relationship Id="rId648" Type="http://schemas.openxmlformats.org/officeDocument/2006/relationships/hyperlink" Target="https://drive.google.com/file/d/1mo-eAYd8Bq4t_3L4Xe2B_LkHEDRs-QON/view?usp=drivesdk" TargetMode="External"/><Relationship Id="rId405" Type="http://schemas.openxmlformats.org/officeDocument/2006/relationships/hyperlink" Target="https://drive.google.com/file/d/1KtSwTqzFrCRW4OJXDjQM_8ogpipWCd3C/view?usp=drivesdk" TargetMode="External"/><Relationship Id="rId647" Type="http://schemas.openxmlformats.org/officeDocument/2006/relationships/hyperlink" Target="https://drive.google.com/file/d/1vNDDSSnQ3EloipaIqCDiCCKSutm7577D/view?usp=drivesdk" TargetMode="External"/><Relationship Id="rId889" Type="http://schemas.openxmlformats.org/officeDocument/2006/relationships/hyperlink" Target="https://drive.google.com/file/d/1slsHehc1AtOGnPip_MOUVki-zDbuk9hm/view?usp=drivesdk" TargetMode="External"/><Relationship Id="rId880" Type="http://schemas.openxmlformats.org/officeDocument/2006/relationships/hyperlink" Target="https://drive.google.com/file/d/1Xt_rW_n81kCMfMmc_Gs7Xilslp4vxer-/view?usp=drivesdk" TargetMode="External"/><Relationship Id="rId400" Type="http://schemas.openxmlformats.org/officeDocument/2006/relationships/hyperlink" Target="https://drive.google.com/file/d/1bG-bQX3qiJ3lZ9qiaX9iRZzBwbTniBc1/view?usp=drivesdk" TargetMode="External"/><Relationship Id="rId642" Type="http://schemas.openxmlformats.org/officeDocument/2006/relationships/hyperlink" Target="https://drive.google.com/file/d/1Pd23SVesechBi49aeqmCP1ti6iPNoeTH/view?usp=drivesdk" TargetMode="External"/><Relationship Id="rId884" Type="http://schemas.openxmlformats.org/officeDocument/2006/relationships/hyperlink" Target="https://drive.google.com/file/d/1httiINK5dzCL9mNbKnHRuDM5VlGaB5xD/view?usp=drivesdk" TargetMode="External"/><Relationship Id="rId641" Type="http://schemas.openxmlformats.org/officeDocument/2006/relationships/hyperlink" Target="https://drive.google.com/file/d/1gKATXB57Z9Xfl0rbHvJy5ASorqji6eic/view?usp=drivesdk" TargetMode="External"/><Relationship Id="rId883" Type="http://schemas.openxmlformats.org/officeDocument/2006/relationships/hyperlink" Target="https://drive.google.com/file/d/1fQFAIhvobiZZ4oPQ6RVhVBjAb26M_Hm1/view?usp=drivesdk" TargetMode="External"/><Relationship Id="rId640" Type="http://schemas.openxmlformats.org/officeDocument/2006/relationships/hyperlink" Target="https://drive.google.com/file/d/178X05-naYzjJb7ZAw6Sil7EdNSxlc1KM/view?usp=drivesdk" TargetMode="External"/><Relationship Id="rId882" Type="http://schemas.openxmlformats.org/officeDocument/2006/relationships/hyperlink" Target="https://drive.google.com/file/d/1DO2pdbAWWgshqwnwG9Dws5wjlY6SzvtR/view?usp=drivesdk" TargetMode="External"/><Relationship Id="rId881" Type="http://schemas.openxmlformats.org/officeDocument/2006/relationships/hyperlink" Target="https://drive.google.com/file/d/1EbaA-kSfz5VI7Qc2LVkufID815mSKMBD/view?usp=drivesdk" TargetMode="External"/><Relationship Id="rId635" Type="http://schemas.openxmlformats.org/officeDocument/2006/relationships/hyperlink" Target="https://drive.google.com/file/d/1jhTaoo4VI4R_TfqphyO4MZXwvAh1rZkX/view?usp=drivesdk" TargetMode="External"/><Relationship Id="rId877" Type="http://schemas.openxmlformats.org/officeDocument/2006/relationships/hyperlink" Target="https://drive.google.com/file/d/1aVhX0IgTPRQnddFGS5jvYEZoxiZJRkod/view?usp=drivesdk" TargetMode="External"/><Relationship Id="rId634" Type="http://schemas.openxmlformats.org/officeDocument/2006/relationships/hyperlink" Target="https://drive.google.com/file/d/10KVTqJOkj4cC-xkm1cks0lLJ23C6zfzl/view?usp=drivesdk" TargetMode="External"/><Relationship Id="rId876" Type="http://schemas.openxmlformats.org/officeDocument/2006/relationships/hyperlink" Target="https://drive.google.com/file/d/1O76srXVMJSdqsw7C_QNEob8FIiTSj0cU/view?usp=drivesdk" TargetMode="External"/><Relationship Id="rId633" Type="http://schemas.openxmlformats.org/officeDocument/2006/relationships/hyperlink" Target="https://drive.google.com/file/d/1aiARtgiGSmWn9WluRhoPdHuesdvFjIYi/view?usp=drivesdk" TargetMode="External"/><Relationship Id="rId875" Type="http://schemas.openxmlformats.org/officeDocument/2006/relationships/hyperlink" Target="https://drive.google.com/file/d/1cZHYkvOARKkdAjNzleWpB2At6mawGY5A/view?usp=drivesdk" TargetMode="External"/><Relationship Id="rId632" Type="http://schemas.openxmlformats.org/officeDocument/2006/relationships/hyperlink" Target="https://drive.google.com/file/d/1vNEpKnZArgOk_i4oC0SP_C9BTKP0Zt_P/view?usp=drivesdk" TargetMode="External"/><Relationship Id="rId874" Type="http://schemas.openxmlformats.org/officeDocument/2006/relationships/hyperlink" Target="https://drive.google.com/file/d/1ovZtpX5nXcH0fiST6_vsZIVtGIHW5VGA/view?usp=drivesdk" TargetMode="External"/><Relationship Id="rId639" Type="http://schemas.openxmlformats.org/officeDocument/2006/relationships/hyperlink" Target="https://drive.google.com/file/d/1yqJG-BeFNpbuyFNWFOPKyogESvDjyeEZ/view?usp=drivesdk" TargetMode="External"/><Relationship Id="rId638" Type="http://schemas.openxmlformats.org/officeDocument/2006/relationships/hyperlink" Target="https://drive.google.com/file/d/1s1s1U02tSCetgb8gv83rqH-e5DmnygWR/view?usp=drivesdk" TargetMode="External"/><Relationship Id="rId637" Type="http://schemas.openxmlformats.org/officeDocument/2006/relationships/hyperlink" Target="https://drive.google.com/file/d/1XBiUQHfb3lnaODsl24Rr3RmPza5fdwpr/view?usp=drivesdk" TargetMode="External"/><Relationship Id="rId879" Type="http://schemas.openxmlformats.org/officeDocument/2006/relationships/hyperlink" Target="https://drive.google.com/file/d/13BycR4r7YOfLAH0RG3K0x6kQOMoQ0kXG/view?usp=drivesdk" TargetMode="External"/><Relationship Id="rId636" Type="http://schemas.openxmlformats.org/officeDocument/2006/relationships/hyperlink" Target="https://drive.google.com/file/d/1O61AQGQmCwxVAJI2em_HT8MJqMT6Op0j/view?usp=drivesdk" TargetMode="External"/><Relationship Id="rId878" Type="http://schemas.openxmlformats.org/officeDocument/2006/relationships/hyperlink" Target="https://drive.google.com/file/d/12iRdDLuey0AT8hGCbmjbGwismRy1YS7H/view?usp=drivesdk" TargetMode="External"/><Relationship Id="rId631" Type="http://schemas.openxmlformats.org/officeDocument/2006/relationships/hyperlink" Target="https://drive.google.com/file/d/1c1iqIMkG7fBxLprUvUiYFUm_I_Pusjqh/view?usp=drivesdk" TargetMode="External"/><Relationship Id="rId873" Type="http://schemas.openxmlformats.org/officeDocument/2006/relationships/hyperlink" Target="https://drive.google.com/file/d/1Mtajdy3Caw8fqFZH893bc-zKtbH-EQGC/view?usp=drivesdk" TargetMode="External"/><Relationship Id="rId630" Type="http://schemas.openxmlformats.org/officeDocument/2006/relationships/hyperlink" Target="https://drive.google.com/file/d/1F2YFyZW8VyeUaDsGTxbMyZm1uFU0x2MH/view?usp=drivesdk" TargetMode="External"/><Relationship Id="rId872" Type="http://schemas.openxmlformats.org/officeDocument/2006/relationships/hyperlink" Target="https://drive.google.com/file/d/1ggkzVz76iCtK1L8WDULUe03vDOY_CS-i/view?usp=drivesdk" TargetMode="External"/><Relationship Id="rId871" Type="http://schemas.openxmlformats.org/officeDocument/2006/relationships/hyperlink" Target="https://drive.google.com/file/d/1WH8SsUrYNdm9tTHnh28EYYLmsZ5iLO5v/view?usp=drivesdk" TargetMode="External"/><Relationship Id="rId870" Type="http://schemas.openxmlformats.org/officeDocument/2006/relationships/hyperlink" Target="https://drive.google.com/file/d/1kh9__IMtcUNME4QI6lRKnZgL7M_UYLQY/view?usp=drivesdk" TargetMode="External"/><Relationship Id="rId829" Type="http://schemas.openxmlformats.org/officeDocument/2006/relationships/hyperlink" Target="https://drive.google.com/file/d/1FI7FR_jrumwFu2opnG5azwQyDNVi069a/view?usp=drivesdk" TargetMode="External"/><Relationship Id="rId828" Type="http://schemas.openxmlformats.org/officeDocument/2006/relationships/hyperlink" Target="https://drive.google.com/file/d/1zRGq6WggIwDm8iRDQ8Oc98JwMrvi4W27/view?usp=drivesdk" TargetMode="External"/><Relationship Id="rId827" Type="http://schemas.openxmlformats.org/officeDocument/2006/relationships/hyperlink" Target="https://drive.google.com/file/d/1sRD3hyY29YxMge2o50X5kP2XEoF-H9MI/view?usp=drivesdk" TargetMode="External"/><Relationship Id="rId822" Type="http://schemas.openxmlformats.org/officeDocument/2006/relationships/hyperlink" Target="https://drive.google.com/file/d/1SMLNPS3uDwaPXutRdVxGengASnDU36TZ/view?usp=drivesdk" TargetMode="External"/><Relationship Id="rId821" Type="http://schemas.openxmlformats.org/officeDocument/2006/relationships/hyperlink" Target="https://drive.google.com/file/d/1CNv9tDrZ8JZuKV3ybjnIDLUKTIxmMQhA/view?usp=drivesdk" TargetMode="External"/><Relationship Id="rId820" Type="http://schemas.openxmlformats.org/officeDocument/2006/relationships/hyperlink" Target="https://drive.google.com/file/d/1HNKb1ErK0ZNix29QShGW_SeiYSsWFidY/view?usp=drivesdk" TargetMode="External"/><Relationship Id="rId826" Type="http://schemas.openxmlformats.org/officeDocument/2006/relationships/hyperlink" Target="https://drive.google.com/file/d/1t8bQ04lHAsPZQ16Qfn_g3JA1aklOGc5f/view?usp=drivesdk" TargetMode="External"/><Relationship Id="rId825" Type="http://schemas.openxmlformats.org/officeDocument/2006/relationships/hyperlink" Target="https://drive.google.com/file/d/1Z5rl4OR4dlIn7-SD8zdTqMkxfeV91qAF/view?usp=drivesdk" TargetMode="External"/><Relationship Id="rId824" Type="http://schemas.openxmlformats.org/officeDocument/2006/relationships/hyperlink" Target="https://drive.google.com/file/d/1epyEqbVQ3SC61nKh8L0vT7I4jRI5vQMH/view?usp=drivesdk" TargetMode="External"/><Relationship Id="rId823" Type="http://schemas.openxmlformats.org/officeDocument/2006/relationships/hyperlink" Target="https://drive.google.com/file/d/1vBKquWgFkWRzRSdJF_nmdVop4nAj0Eym/view?usp=drivesdk" TargetMode="External"/><Relationship Id="rId819" Type="http://schemas.openxmlformats.org/officeDocument/2006/relationships/hyperlink" Target="https://drive.google.com/file/d/1ahHF5mjs64IkRnF-8Eyp7JyInEhuCoBK/view?usp=drivesdk" TargetMode="External"/><Relationship Id="rId818" Type="http://schemas.openxmlformats.org/officeDocument/2006/relationships/hyperlink" Target="https://drive.google.com/file/d/1I_viMcs0yAqLGpsyLhQGbkcDyfg4cYJd/view?usp=drivesdk" TargetMode="External"/><Relationship Id="rId817" Type="http://schemas.openxmlformats.org/officeDocument/2006/relationships/hyperlink" Target="https://drive.google.com/file/d/1g7rTIp_QPxV9DydnNdVdYtNAnuP57pwC/view?usp=drivesdk" TargetMode="External"/><Relationship Id="rId816" Type="http://schemas.openxmlformats.org/officeDocument/2006/relationships/hyperlink" Target="https://drive.google.com/file/d/1ITCOzySFZoedbd7S4YJ8YD8XAfUdGZS3/view?usp=drivesdk" TargetMode="External"/><Relationship Id="rId811" Type="http://schemas.openxmlformats.org/officeDocument/2006/relationships/hyperlink" Target="https://drive.google.com/file/d/1Qm9gUxj2luHXzMBRpmIa-GwG5S7SCXrH/view?usp=drivesdk" TargetMode="External"/><Relationship Id="rId810" Type="http://schemas.openxmlformats.org/officeDocument/2006/relationships/hyperlink" Target="https://drive.google.com/file/d/1MN1D0D_n9nV4BM7ob_3pPapxIyPzOTAB/view?usp=drivesdk" TargetMode="External"/><Relationship Id="rId815" Type="http://schemas.openxmlformats.org/officeDocument/2006/relationships/hyperlink" Target="https://drive.google.com/file/d/1Yp9sieX-2Rbb7YW33SNiNi3OZZJbPUUj/view?usp=drivesdk" TargetMode="External"/><Relationship Id="rId814" Type="http://schemas.openxmlformats.org/officeDocument/2006/relationships/hyperlink" Target="https://drive.google.com/file/d/16kGegplkVtzyFfbia0TjLx9T-Nd77L_D/view?usp=drivesdk" TargetMode="External"/><Relationship Id="rId813" Type="http://schemas.openxmlformats.org/officeDocument/2006/relationships/hyperlink" Target="https://drive.google.com/file/d/1_s-keKQW1Gpe2tJ9pdkeGA_ZczZYstXx/view?usp=drivesdk" TargetMode="External"/><Relationship Id="rId812" Type="http://schemas.openxmlformats.org/officeDocument/2006/relationships/hyperlink" Target="https://drive.google.com/file/d/1iP-YI6mjKsVF4jqT2CO_GYMzG2GDzHLB/view?usp=drivesdk" TargetMode="External"/><Relationship Id="rId609" Type="http://schemas.openxmlformats.org/officeDocument/2006/relationships/hyperlink" Target="https://drive.google.com/file/d/1cnM-Pr9VytVZm4S1dN6nj8BeMwDyyapw/view?usp=drivesdk" TargetMode="External"/><Relationship Id="rId608" Type="http://schemas.openxmlformats.org/officeDocument/2006/relationships/hyperlink" Target="https://drive.google.com/file/d/15mccHxrrQHJZ2FTi9DxicqMHAWSISoiy/view?usp=drivesdk" TargetMode="External"/><Relationship Id="rId607" Type="http://schemas.openxmlformats.org/officeDocument/2006/relationships/hyperlink" Target="https://drive.google.com/file/d/1qixOTObge-HjRaxnjiqhD9GB-uT-DBMW/view?usp=drivesdk" TargetMode="External"/><Relationship Id="rId849" Type="http://schemas.openxmlformats.org/officeDocument/2006/relationships/hyperlink" Target="https://drive.google.com/file/d/117ap1oiLjN3P27aUufArkLNtb08kgMYU/view?usp=drivesdk" TargetMode="External"/><Relationship Id="rId602" Type="http://schemas.openxmlformats.org/officeDocument/2006/relationships/hyperlink" Target="https://drive.google.com/file/d/1xmExiAcBq3UYwIIJKk4nIizCrMHanjGA/view?usp=drivesdk" TargetMode="External"/><Relationship Id="rId844" Type="http://schemas.openxmlformats.org/officeDocument/2006/relationships/hyperlink" Target="https://drive.google.com/file/d/1zlqu4C5uqa6M3crypLVPYMnhQo4uW4Na/view?usp=drivesdk" TargetMode="External"/><Relationship Id="rId601" Type="http://schemas.openxmlformats.org/officeDocument/2006/relationships/hyperlink" Target="https://drive.google.com/file/d/16_YoOi70WGM4s9H5fc-4LcWZweCXYvzK/view?usp=drivesdk" TargetMode="External"/><Relationship Id="rId843" Type="http://schemas.openxmlformats.org/officeDocument/2006/relationships/hyperlink" Target="https://drive.google.com/file/d/1IQnif8xRb2yq_cKzVIR2TGMnJ_b2-_KK/view?usp=drivesdk" TargetMode="External"/><Relationship Id="rId600" Type="http://schemas.openxmlformats.org/officeDocument/2006/relationships/hyperlink" Target="https://drive.google.com/file/d/1FyXgj0IY9AsBtzkVuWSzb6HRbFuBZ725/view?usp=drivesdk" TargetMode="External"/><Relationship Id="rId842" Type="http://schemas.openxmlformats.org/officeDocument/2006/relationships/hyperlink" Target="https://drive.google.com/file/d/145EPwHP7BFRH4oe7Bdd8lYVHEo0agQm_/view?usp=drivesdk" TargetMode="External"/><Relationship Id="rId841" Type="http://schemas.openxmlformats.org/officeDocument/2006/relationships/hyperlink" Target="https://drive.google.com/file/d/1j-In6ItO29isKGN2xsctXJ7rjxQRe7-M/view?usp=drivesdk" TargetMode="External"/><Relationship Id="rId606" Type="http://schemas.openxmlformats.org/officeDocument/2006/relationships/hyperlink" Target="https://drive.google.com/file/d/13vginTAvj34LQWKkL2MCGz8fuFL_umXm/view?usp=drivesdk" TargetMode="External"/><Relationship Id="rId848" Type="http://schemas.openxmlformats.org/officeDocument/2006/relationships/hyperlink" Target="https://drive.google.com/file/d/1_8ii_NFhtnI1nfhIgCSU9WR2_49KsiwD/view?usp=drivesdk" TargetMode="External"/><Relationship Id="rId605" Type="http://schemas.openxmlformats.org/officeDocument/2006/relationships/hyperlink" Target="https://drive.google.com/file/d/1rKXOavkLcDfQ6anpqpYQ0hnfoXqPtVfB/view?usp=drivesdk" TargetMode="External"/><Relationship Id="rId847" Type="http://schemas.openxmlformats.org/officeDocument/2006/relationships/hyperlink" Target="https://drive.google.com/file/d/1k-NHegkAEC1Hq81R6gE4j9j9n9bKFYFi/view?usp=drivesdk" TargetMode="External"/><Relationship Id="rId604" Type="http://schemas.openxmlformats.org/officeDocument/2006/relationships/hyperlink" Target="https://drive.google.com/file/d/1cuAUKkFIiqVO0HFL_UxjouXAobedEbr3/view?usp=drivesdk" TargetMode="External"/><Relationship Id="rId846" Type="http://schemas.openxmlformats.org/officeDocument/2006/relationships/hyperlink" Target="https://drive.google.com/file/d/1CK5cgwW1EtS7k7PsteYRubNGaCI3YYB8/view?usp=drivesdk" TargetMode="External"/><Relationship Id="rId603" Type="http://schemas.openxmlformats.org/officeDocument/2006/relationships/hyperlink" Target="https://drive.google.com/file/d/1fQuUx_YrRp3g8QaPJ7KTeSjtyONEKkjp/view?usp=drivesdk" TargetMode="External"/><Relationship Id="rId845" Type="http://schemas.openxmlformats.org/officeDocument/2006/relationships/hyperlink" Target="https://drive.google.com/file/d/1KaS08j72BJ3-DQOmrrxRTMrFeztzNhwA/view?usp=drivesdk" TargetMode="External"/><Relationship Id="rId840" Type="http://schemas.openxmlformats.org/officeDocument/2006/relationships/hyperlink" Target="https://drive.google.com/file/d/1GWGAdvoGdhMCEYLs3dki4zc1EDsDDCL3/view?usp=drivesdk" TargetMode="External"/><Relationship Id="rId839" Type="http://schemas.openxmlformats.org/officeDocument/2006/relationships/hyperlink" Target="https://drive.google.com/file/d/1aIz0EXB7qwWVlSC-AOzdfKQY8SmE3Opy/view?usp=drivesdk" TargetMode="External"/><Relationship Id="rId838" Type="http://schemas.openxmlformats.org/officeDocument/2006/relationships/hyperlink" Target="https://drive.google.com/file/d/1LFlsqvixm1u9wl2ALvJLCw9xHoFehlJz/view?usp=drivesdk" TargetMode="External"/><Relationship Id="rId833" Type="http://schemas.openxmlformats.org/officeDocument/2006/relationships/hyperlink" Target="https://drive.google.com/file/d/1-dFVH8a_wcLxbZxnAEXEzSsXMzxp-WoC/view?usp=drivesdk" TargetMode="External"/><Relationship Id="rId832" Type="http://schemas.openxmlformats.org/officeDocument/2006/relationships/hyperlink" Target="https://drive.google.com/file/d/1WxUS_bs0tkeeLIvPR0fL1R0uJSN4jZiq/view?usp=drivesdk" TargetMode="External"/><Relationship Id="rId831" Type="http://schemas.openxmlformats.org/officeDocument/2006/relationships/hyperlink" Target="https://drive.google.com/file/d/1HExyKuarnuPNUDbWibDl1iGiY_pWtG2b/view?usp=drivesdk" TargetMode="External"/><Relationship Id="rId830" Type="http://schemas.openxmlformats.org/officeDocument/2006/relationships/hyperlink" Target="https://drive.google.com/file/d/1DkFmOsD9Lxl-t558gXODVEetcMCMh7Cm/view?usp=drivesdk" TargetMode="External"/><Relationship Id="rId837" Type="http://schemas.openxmlformats.org/officeDocument/2006/relationships/hyperlink" Target="https://drive.google.com/file/d/1UR-nI4a40ZwIDafBL9wIBmpdxLurdYQa/view?usp=drivesdk" TargetMode="External"/><Relationship Id="rId836" Type="http://schemas.openxmlformats.org/officeDocument/2006/relationships/hyperlink" Target="https://drive.google.com/file/d/1l5mgOkwZJ2qZC-nI7Lmgn6AK6IBG1BIM/view?usp=drivesdk" TargetMode="External"/><Relationship Id="rId835" Type="http://schemas.openxmlformats.org/officeDocument/2006/relationships/hyperlink" Target="https://drive.google.com/file/d/1d4ocLBpS9KnYHsKyVD-xKYK_DRBugj7B/view?usp=drivesdk" TargetMode="External"/><Relationship Id="rId834" Type="http://schemas.openxmlformats.org/officeDocument/2006/relationships/hyperlink" Target="https://drive.google.com/file/d/1crtXZvWP0eUswdnbfjAWlGXNq8seBqO1/view?usp=drivesdk" TargetMode="External"/><Relationship Id="rId228" Type="http://schemas.openxmlformats.org/officeDocument/2006/relationships/hyperlink" Target="https://drive.google.com/file/d/1gcpNqH-YL8upEXV81W2ULHBthogKd8PE/view?usp=drivesdk" TargetMode="External"/><Relationship Id="rId227" Type="http://schemas.openxmlformats.org/officeDocument/2006/relationships/hyperlink" Target="https://drive.google.com/file/d/1HK5k4DfXpMYjTWRLebkwz5p4EOxxRT4C/view?usp=drivesdk" TargetMode="External"/><Relationship Id="rId469" Type="http://schemas.openxmlformats.org/officeDocument/2006/relationships/hyperlink" Target="https://drive.google.com/file/d/1PnyAbWszJZrCCbCFueZ5OMAgP_oTUNs_/view?usp=drivesdk" TargetMode="External"/><Relationship Id="rId226" Type="http://schemas.openxmlformats.org/officeDocument/2006/relationships/hyperlink" Target="https://drive.google.com/file/d/1INlMb4XXl29c1EYZv6ZrdLa-TYt1cyAc/view?usp=drivesdk" TargetMode="External"/><Relationship Id="rId468" Type="http://schemas.openxmlformats.org/officeDocument/2006/relationships/hyperlink" Target="https://drive.google.com/file/d/1HijtrivCs_GPwiwoItIiGwOBkLLNsMtD/view?usp=drivesdk" TargetMode="External"/><Relationship Id="rId225" Type="http://schemas.openxmlformats.org/officeDocument/2006/relationships/hyperlink" Target="https://drive.google.com/file/d/1gzpEXuJCg4DayCTe1Sy860DjNBIhO9XV/view?usp=drivesdk" TargetMode="External"/><Relationship Id="rId467" Type="http://schemas.openxmlformats.org/officeDocument/2006/relationships/hyperlink" Target="https://drive.google.com/file/d/1O4sAtwJvNBW7VIMvy5JYoh0WC-Uj2KjY/view?usp=drivesdk" TargetMode="External"/><Relationship Id="rId229" Type="http://schemas.openxmlformats.org/officeDocument/2006/relationships/hyperlink" Target="https://drive.google.com/file/d/15S7UOzfkcDKS1daQ1MlFVdfT2kBWvDGT/view?usp=drivesdk" TargetMode="External"/><Relationship Id="rId220" Type="http://schemas.openxmlformats.org/officeDocument/2006/relationships/hyperlink" Target="https://drive.google.com/file/d/1fGLw33Bf4d_JsTyDNaJUqkU6VXNKLvzL/view?usp=drivesdk" TargetMode="External"/><Relationship Id="rId462" Type="http://schemas.openxmlformats.org/officeDocument/2006/relationships/hyperlink" Target="https://drive.google.com/file/d/1IThwa0r4XifyXLHFIn_hI3xL7sVUdUpl/view?usp=drivesdk" TargetMode="External"/><Relationship Id="rId461" Type="http://schemas.openxmlformats.org/officeDocument/2006/relationships/hyperlink" Target="https://drive.google.com/file/d/1U3XZwsnFv8XoBmG6aRSABTm6U2JuiTmZ/view?usp=drivesdk" TargetMode="External"/><Relationship Id="rId460" Type="http://schemas.openxmlformats.org/officeDocument/2006/relationships/hyperlink" Target="https://drive.google.com/file/d/1OUeBJDpzFxI6rify9hP9yeDLsd68BCU7/view?usp=drivesdk" TargetMode="External"/><Relationship Id="rId224" Type="http://schemas.openxmlformats.org/officeDocument/2006/relationships/hyperlink" Target="https://drive.google.com/file/d/1waNX8oetZlwDLP41UclCYydF-qrgJ55i/view?usp=drivesdk" TargetMode="External"/><Relationship Id="rId466" Type="http://schemas.openxmlformats.org/officeDocument/2006/relationships/hyperlink" Target="https://drive.google.com/file/d/1hSGaUO0qdoBUdidTGNBR4seD7NXCPlaF/view?usp=drivesdk" TargetMode="External"/><Relationship Id="rId223" Type="http://schemas.openxmlformats.org/officeDocument/2006/relationships/hyperlink" Target="https://drive.google.com/file/d/1i_wSlIWP924guS0Qn-2D7kekHS12nzam/view?usp=drivesdk" TargetMode="External"/><Relationship Id="rId465" Type="http://schemas.openxmlformats.org/officeDocument/2006/relationships/hyperlink" Target="https://drive.google.com/file/d/1pRYUnewjumQBGFz6EbXneSMaFJw8G2-m/view?usp=drivesdk" TargetMode="External"/><Relationship Id="rId222" Type="http://schemas.openxmlformats.org/officeDocument/2006/relationships/hyperlink" Target="https://drive.google.com/file/d/18a1R5Rh1ccebDedXlmMI_hEGZddgN0Io/view?usp=drivesdk" TargetMode="External"/><Relationship Id="rId464" Type="http://schemas.openxmlformats.org/officeDocument/2006/relationships/hyperlink" Target="https://drive.google.com/file/d/11-Ws1wn0wYxOLYXUnWZT6KXRliIwXaRF/view?usp=drivesdk" TargetMode="External"/><Relationship Id="rId221" Type="http://schemas.openxmlformats.org/officeDocument/2006/relationships/hyperlink" Target="https://drive.google.com/file/d/1UaRKbLWKzAXl9vDTe9j6Umew3drGqJ1o/view?usp=drivesdk" TargetMode="External"/><Relationship Id="rId463" Type="http://schemas.openxmlformats.org/officeDocument/2006/relationships/hyperlink" Target="https://drive.google.com/file/d/1CJlxMG35FF0C3a3GgKL31GQFYiu5Ijps/view?usp=drivesdk" TargetMode="External"/><Relationship Id="rId217" Type="http://schemas.openxmlformats.org/officeDocument/2006/relationships/hyperlink" Target="https://drive.google.com/file/d/1vpvFQ6LUQY4Sdf_45ISIKeagXHzn8M7p/view?usp=drivesdk" TargetMode="External"/><Relationship Id="rId459" Type="http://schemas.openxmlformats.org/officeDocument/2006/relationships/hyperlink" Target="https://drive.google.com/file/d/1ic91xT4-eeK0c614R5c2CLY6l4VzZU73/view?usp=drivesdk" TargetMode="External"/><Relationship Id="rId216" Type="http://schemas.openxmlformats.org/officeDocument/2006/relationships/hyperlink" Target="https://drive.google.com/file/d/1iFJFaEYZR4Udfp9N80CKpWMaYjd0aJ47/view?usp=drivesdk" TargetMode="External"/><Relationship Id="rId458" Type="http://schemas.openxmlformats.org/officeDocument/2006/relationships/hyperlink" Target="https://drive.google.com/file/d/1WaKgiesXz4DUPDO-XDgIDCfws6EgivMg/view?usp=drivesdk" TargetMode="External"/><Relationship Id="rId215" Type="http://schemas.openxmlformats.org/officeDocument/2006/relationships/hyperlink" Target="https://drive.google.com/file/d/1Hd3xRsD3gmU02RZEufIqpI9dvV_KBPhr/view?usp=drivesdk" TargetMode="External"/><Relationship Id="rId457" Type="http://schemas.openxmlformats.org/officeDocument/2006/relationships/hyperlink" Target="https://drive.google.com/file/d/12Q-Q8U1DAItwpTMHpE5HoLOXmgXGkYxj/view?usp=drivesdk" TargetMode="External"/><Relationship Id="rId699" Type="http://schemas.openxmlformats.org/officeDocument/2006/relationships/hyperlink" Target="https://drive.google.com/file/d/1AaFZy3z_Rti1yV5UFDlmYWl9ltS6QFf_/view?usp=drivesdk" TargetMode="External"/><Relationship Id="rId214" Type="http://schemas.openxmlformats.org/officeDocument/2006/relationships/hyperlink" Target="https://drive.google.com/file/d/1wE0aAxciOBhfWlYsxDeJs6q1gWOzT57p/view?usp=drivesdk" TargetMode="External"/><Relationship Id="rId456" Type="http://schemas.openxmlformats.org/officeDocument/2006/relationships/hyperlink" Target="https://drive.google.com/file/d/1Ez676MMkLBryeXDLzg_l1uTUnbF6aBNt/view?usp=drivesdk" TargetMode="External"/><Relationship Id="rId698" Type="http://schemas.openxmlformats.org/officeDocument/2006/relationships/hyperlink" Target="https://drive.google.com/file/d/16QJJ1QPFNO0bxfwv-cwss1mEfooHEK6_/view?usp=drivesdk" TargetMode="External"/><Relationship Id="rId219" Type="http://schemas.openxmlformats.org/officeDocument/2006/relationships/hyperlink" Target="https://drive.google.com/file/d/1OIEloVYdQITaeXBYDTkFlsV0pnMe4Hmz/view?usp=drivesdk" TargetMode="External"/><Relationship Id="rId218" Type="http://schemas.openxmlformats.org/officeDocument/2006/relationships/hyperlink" Target="https://drive.google.com/file/d/15V8PAoNDpwfwpCMdE2I8PNuB3f3KQI5r/view?usp=drivesdk" TargetMode="External"/><Relationship Id="rId451" Type="http://schemas.openxmlformats.org/officeDocument/2006/relationships/hyperlink" Target="https://drive.google.com/file/d/1T1qm4lOEDigb218We-HfsTXITFwbi-ja/view?usp=drivesdk" TargetMode="External"/><Relationship Id="rId693" Type="http://schemas.openxmlformats.org/officeDocument/2006/relationships/hyperlink" Target="https://drive.google.com/file/d/1EVmHHnF9ZKXipg6xz-2MeAI0oVRg3qzp/view?usp=drivesdk" TargetMode="External"/><Relationship Id="rId450" Type="http://schemas.openxmlformats.org/officeDocument/2006/relationships/hyperlink" Target="https://drive.google.com/file/d/1fWX-wb8viQEQPtLzvbeCNkfp_5tjlFDh/view?usp=drivesdk" TargetMode="External"/><Relationship Id="rId692" Type="http://schemas.openxmlformats.org/officeDocument/2006/relationships/hyperlink" Target="https://drive.google.com/file/d/19bIA9UysghCPL5ZqmtrwNzWnXqxbB19L/view?usp=drivesdk" TargetMode="External"/><Relationship Id="rId691" Type="http://schemas.openxmlformats.org/officeDocument/2006/relationships/hyperlink" Target="https://drive.google.com/file/d/1xbKFUImGPQgoj7GgpsZOz7UZcOPDrjPj/view?usp=drivesdk" TargetMode="External"/><Relationship Id="rId690" Type="http://schemas.openxmlformats.org/officeDocument/2006/relationships/hyperlink" Target="https://drive.google.com/file/d/1G7ErbS43XkVkCsYT4hyIVwVDbii8jVO_/view?usp=drivesdk" TargetMode="External"/><Relationship Id="rId213" Type="http://schemas.openxmlformats.org/officeDocument/2006/relationships/hyperlink" Target="https://drive.google.com/file/d/1vTCYnIRbTvWEUW3lZkIaK9ZP1PJItCcg/view?usp=drivesdk" TargetMode="External"/><Relationship Id="rId455" Type="http://schemas.openxmlformats.org/officeDocument/2006/relationships/hyperlink" Target="https://drive.google.com/file/d/1645RAD9QtpT62AZ_oEWwOgAZ9n4cqyU5/view?usp=drivesdk" TargetMode="External"/><Relationship Id="rId697" Type="http://schemas.openxmlformats.org/officeDocument/2006/relationships/hyperlink" Target="https://drive.google.com/file/d/1RHvD-Gy8h9sWY2Jj6a2bh-pplME9MnuK/view?usp=drivesdk" TargetMode="External"/><Relationship Id="rId212" Type="http://schemas.openxmlformats.org/officeDocument/2006/relationships/hyperlink" Target="https://drive.google.com/file/d/1my4DBIVwIVjLXuPgCf1xWV997UuZ2EA0/view?usp=drivesdk" TargetMode="External"/><Relationship Id="rId454" Type="http://schemas.openxmlformats.org/officeDocument/2006/relationships/hyperlink" Target="https://drive.google.com/file/d/1GXD8x7YmmxKRbzK2CyPa8nq6RjHaEY1Y/view?usp=drivesdk" TargetMode="External"/><Relationship Id="rId696" Type="http://schemas.openxmlformats.org/officeDocument/2006/relationships/hyperlink" Target="https://drive.google.com/file/d/15UjSrPR-BAE-foui5sV6pQf4OAMUh3Hc/view?usp=drivesdk" TargetMode="External"/><Relationship Id="rId211" Type="http://schemas.openxmlformats.org/officeDocument/2006/relationships/hyperlink" Target="https://drive.google.com/file/d/1t4cEOt5h5FmpUR6Y5yaUCQq38JL2mgDq/view?usp=drivesdk" TargetMode="External"/><Relationship Id="rId453" Type="http://schemas.openxmlformats.org/officeDocument/2006/relationships/hyperlink" Target="https://drive.google.com/file/d/1XIIUpfeoDUFs9u7QKIzPlT7H1Wotg0Dh/view?usp=drivesdk" TargetMode="External"/><Relationship Id="rId695" Type="http://schemas.openxmlformats.org/officeDocument/2006/relationships/hyperlink" Target="https://drive.google.com/file/d/1yfevUELZb7cPic_90nSfs4wgroi7mzqD/view?usp=drivesdk" TargetMode="External"/><Relationship Id="rId210" Type="http://schemas.openxmlformats.org/officeDocument/2006/relationships/hyperlink" Target="https://drive.google.com/file/d/13nlDOik1kyynO2nGMtB4OMkm2jv_qyyk/view?usp=drivesdk" TargetMode="External"/><Relationship Id="rId452" Type="http://schemas.openxmlformats.org/officeDocument/2006/relationships/hyperlink" Target="https://drive.google.com/file/d/1j27Em_H3BbHK3WJn3-y0s48m8jNBUOGf/view?usp=drivesdk" TargetMode="External"/><Relationship Id="rId694" Type="http://schemas.openxmlformats.org/officeDocument/2006/relationships/hyperlink" Target="https://drive.google.com/file/d/1togJtEIn3xTiQ86PY5r964-R5ls4KO9r/view?usp=drivesdk" TargetMode="External"/><Relationship Id="rId491" Type="http://schemas.openxmlformats.org/officeDocument/2006/relationships/hyperlink" Target="https://drive.google.com/file/d/1urXWGNyNUIav87DF7xoa8hGWYrcYgyu6/view?usp=drivesdk" TargetMode="External"/><Relationship Id="rId490" Type="http://schemas.openxmlformats.org/officeDocument/2006/relationships/hyperlink" Target="https://drive.google.com/file/d/1mK7GI2hzFuUEjxepoBPwX0uWlSfPyS3G/view?usp=drivesdk" TargetMode="External"/><Relationship Id="rId249" Type="http://schemas.openxmlformats.org/officeDocument/2006/relationships/hyperlink" Target="https://drive.google.com/file/d/1Sjxwh-HYChLeyo2Yv-whlTQb-Vg9n5S1/view?usp=drivesdk" TargetMode="External"/><Relationship Id="rId248" Type="http://schemas.openxmlformats.org/officeDocument/2006/relationships/hyperlink" Target="https://drive.google.com/file/d/1CEi9hQpmaN5WslL52RymTjnQM9jypmmo/view?usp=drivesdk" TargetMode="External"/><Relationship Id="rId247" Type="http://schemas.openxmlformats.org/officeDocument/2006/relationships/hyperlink" Target="https://drive.google.com/file/d/1AxBreP4Us4-Cdevyq5IcdNkh02yaUlJO/view?usp=drivesdk" TargetMode="External"/><Relationship Id="rId489" Type="http://schemas.openxmlformats.org/officeDocument/2006/relationships/hyperlink" Target="https://drive.google.com/file/d/1x4YI8dcLsx4N_KWW9UdWK6-6kz4p4WcN/view?usp=drivesdk" TargetMode="External"/><Relationship Id="rId242" Type="http://schemas.openxmlformats.org/officeDocument/2006/relationships/hyperlink" Target="https://drive.google.com/file/d/17d2yn5K1mCkIGEHrDhAUkT0dfZW1f65J/view?usp=drivesdk" TargetMode="External"/><Relationship Id="rId484" Type="http://schemas.openxmlformats.org/officeDocument/2006/relationships/hyperlink" Target="https://drive.google.com/file/d/1ifDQIQwGGfJ7PMSvoPbIb-_Ef6o4qSSA/view?usp=drivesdk" TargetMode="External"/><Relationship Id="rId241" Type="http://schemas.openxmlformats.org/officeDocument/2006/relationships/hyperlink" Target="https://drive.google.com/file/d/1HULAlrD_vMvhXONRCIgJDj9oxEA6-_no/view?usp=drivesdk" TargetMode="External"/><Relationship Id="rId483" Type="http://schemas.openxmlformats.org/officeDocument/2006/relationships/hyperlink" Target="https://drive.google.com/file/d/1nwHUEVCi1u5VyupTN7Tl8FF1V1aPUZY_/view?usp=drivesdk" TargetMode="External"/><Relationship Id="rId240" Type="http://schemas.openxmlformats.org/officeDocument/2006/relationships/hyperlink" Target="https://drive.google.com/file/d/1L8JiYxqOsjpzv31flJUfXdiXVn7YQTk4/view?usp=drivesdk" TargetMode="External"/><Relationship Id="rId482" Type="http://schemas.openxmlformats.org/officeDocument/2006/relationships/hyperlink" Target="https://drive.google.com/file/d/1OFhxW6z-fX29xC1P31d-mWzJyLvw6eIM/view?usp=drivesdk" TargetMode="External"/><Relationship Id="rId481" Type="http://schemas.openxmlformats.org/officeDocument/2006/relationships/hyperlink" Target="https://drive.google.com/file/d/1H3I4ZYgbiUnXut7GxgQsNfSd7Mc2FHSx/view?usp=drivesdk" TargetMode="External"/><Relationship Id="rId246" Type="http://schemas.openxmlformats.org/officeDocument/2006/relationships/hyperlink" Target="https://drive.google.com/file/d/19MIIaIj9mSta3bjqv4dYx4_BXIYxkRO9/view?usp=drivesdk" TargetMode="External"/><Relationship Id="rId488" Type="http://schemas.openxmlformats.org/officeDocument/2006/relationships/hyperlink" Target="https://drive.google.com/file/d/1Q8ekKO4ZKgfKkZQXQnH7ozgo-l6_GTeN/view?usp=drivesdk" TargetMode="External"/><Relationship Id="rId245" Type="http://schemas.openxmlformats.org/officeDocument/2006/relationships/hyperlink" Target="https://drive.google.com/file/d/1t2mvjWinLOccTgPRRVD-rpYoGRIEaFbS/view?usp=drivesdk" TargetMode="External"/><Relationship Id="rId487" Type="http://schemas.openxmlformats.org/officeDocument/2006/relationships/hyperlink" Target="https://drive.google.com/file/d/1-9ORi1y6zrhbBJ3or1QBgVYxYqgID6fM/view?usp=drivesdk" TargetMode="External"/><Relationship Id="rId244" Type="http://schemas.openxmlformats.org/officeDocument/2006/relationships/hyperlink" Target="https://drive.google.com/file/d/1LaOPvRE23-EGEZMKY68pbwFl6Tu9E0ko/view?usp=drivesdk" TargetMode="External"/><Relationship Id="rId486" Type="http://schemas.openxmlformats.org/officeDocument/2006/relationships/hyperlink" Target="https://drive.google.com/file/d/1O0AoSQUMSA48Pzz9UGExQT05rwUhBqB7/view?usp=drivesdk" TargetMode="External"/><Relationship Id="rId243" Type="http://schemas.openxmlformats.org/officeDocument/2006/relationships/hyperlink" Target="https://drive.google.com/file/d/1GcITi9Z6f7WS4oYGGS2D2tU5Pwghd_TC/view?usp=drivesdk" TargetMode="External"/><Relationship Id="rId485" Type="http://schemas.openxmlformats.org/officeDocument/2006/relationships/hyperlink" Target="https://drive.google.com/file/d/1OJxylzVoiO8GMtO4qWQTSZ47DDIr0ubr/view?usp=drivesdk" TargetMode="External"/><Relationship Id="rId480" Type="http://schemas.openxmlformats.org/officeDocument/2006/relationships/hyperlink" Target="https://drive.google.com/file/d/1aCpQswczSUS0jjeySfAfgt3eD0wSqfCw/view?usp=drivesdk" TargetMode="External"/><Relationship Id="rId239" Type="http://schemas.openxmlformats.org/officeDocument/2006/relationships/hyperlink" Target="https://drive.google.com/file/d/1R_AD_g3bdmjOr0gftsxpQHjUF69UnrM6/view?usp=drivesdk" TargetMode="External"/><Relationship Id="rId238" Type="http://schemas.openxmlformats.org/officeDocument/2006/relationships/hyperlink" Target="https://drive.google.com/file/d/1UMsXMsgjM77aGNsWvz4HxWf6egi5pHX2/view?usp=drivesdk" TargetMode="External"/><Relationship Id="rId237" Type="http://schemas.openxmlformats.org/officeDocument/2006/relationships/hyperlink" Target="https://drive.google.com/file/d/1CJNbCwFZzDF0hh2uR6eBgqWidJlSlKDl/view?usp=drivesdk" TargetMode="External"/><Relationship Id="rId479" Type="http://schemas.openxmlformats.org/officeDocument/2006/relationships/hyperlink" Target="https://drive.google.com/file/d/1Dj8K18cEFOaA2IRWoXW1a5AiF5g8zttu/view?usp=drivesdk" TargetMode="External"/><Relationship Id="rId236" Type="http://schemas.openxmlformats.org/officeDocument/2006/relationships/hyperlink" Target="https://drive.google.com/file/d/1CtxI6QsPaPFwQjW0hZMmrP6zPKKpN0R5/view?usp=drivesdk" TargetMode="External"/><Relationship Id="rId478" Type="http://schemas.openxmlformats.org/officeDocument/2006/relationships/hyperlink" Target="https://drive.google.com/file/d/1b9TsEH9WUevO5WD-a_58xw4BDClik4yf/view?usp=drivesdk" TargetMode="External"/><Relationship Id="rId231" Type="http://schemas.openxmlformats.org/officeDocument/2006/relationships/hyperlink" Target="https://drive.google.com/file/d/1I0NRcb_l88_W1gccrG4LAkOzficE5sdI/view?usp=drivesdk" TargetMode="External"/><Relationship Id="rId473" Type="http://schemas.openxmlformats.org/officeDocument/2006/relationships/hyperlink" Target="https://drive.google.com/file/d/108LKwLn2T4NidthuZlbLlN8JWR0NnxiT/view?usp=drivesdk" TargetMode="External"/><Relationship Id="rId230" Type="http://schemas.openxmlformats.org/officeDocument/2006/relationships/hyperlink" Target="https://drive.google.com/file/d/17XltOqPsvfGgvneKk44bFRkExhUorUd0/view?usp=drivesdk" TargetMode="External"/><Relationship Id="rId472" Type="http://schemas.openxmlformats.org/officeDocument/2006/relationships/hyperlink" Target="https://drive.google.com/file/d/1rUgfxLQ1-dHkcarKi3bEd2n-mW2mj8r3/view?usp=drivesdk" TargetMode="External"/><Relationship Id="rId471" Type="http://schemas.openxmlformats.org/officeDocument/2006/relationships/hyperlink" Target="https://drive.google.com/file/d/1oalAcL0xivMtndn37OqOOpKs4YyseuBp/view?usp=drivesdk" TargetMode="External"/><Relationship Id="rId470" Type="http://schemas.openxmlformats.org/officeDocument/2006/relationships/hyperlink" Target="https://drive.google.com/file/d/1hqU42rTaEbJR9fG_34kBd4OUfQKRuCii/view?usp=drivesdk" TargetMode="External"/><Relationship Id="rId235" Type="http://schemas.openxmlformats.org/officeDocument/2006/relationships/hyperlink" Target="https://drive.google.com/file/d/1QJBh0NFgDhD1-3izu7NIFETXYf4HYedi/view?usp=drivesdk" TargetMode="External"/><Relationship Id="rId477" Type="http://schemas.openxmlformats.org/officeDocument/2006/relationships/hyperlink" Target="https://drive.google.com/file/d/1wgPdQ4-einY4QlECgQ1SIB2fs-8Ns_Bl/view?usp=drivesdk" TargetMode="External"/><Relationship Id="rId234" Type="http://schemas.openxmlformats.org/officeDocument/2006/relationships/hyperlink" Target="https://drive.google.com/file/d/1HF-0BU14t34QAT-GnVQGN0ygUbXjRMZg/view?usp=drivesdk" TargetMode="External"/><Relationship Id="rId476" Type="http://schemas.openxmlformats.org/officeDocument/2006/relationships/hyperlink" Target="https://drive.google.com/file/d/1d3qIKa8zIJw4g_ZuyoqGoCUl8M_voMRg/view?usp=drivesdk" TargetMode="External"/><Relationship Id="rId233" Type="http://schemas.openxmlformats.org/officeDocument/2006/relationships/hyperlink" Target="https://drive.google.com/file/d/1TpnyvYXaZDZpOOXs_lE4mwo-FBBteq6S/view?usp=drivesdk" TargetMode="External"/><Relationship Id="rId475" Type="http://schemas.openxmlformats.org/officeDocument/2006/relationships/hyperlink" Target="https://drive.google.com/file/d/17u_QzWJwD_3RV_734lve4vNJmwNfMoR-/view?usp=drivesdk" TargetMode="External"/><Relationship Id="rId232" Type="http://schemas.openxmlformats.org/officeDocument/2006/relationships/hyperlink" Target="https://drive.google.com/file/d/1PWefSw__xYOs6KIo-U-Dj0fDPaPPSPwT/view?usp=drivesdk" TargetMode="External"/><Relationship Id="rId474" Type="http://schemas.openxmlformats.org/officeDocument/2006/relationships/hyperlink" Target="https://drive.google.com/file/d/18ml4jdpb0Fd6HPGfrZNtAsaJF9iXPSmx/view?usp=drivesdk" TargetMode="External"/><Relationship Id="rId426" Type="http://schemas.openxmlformats.org/officeDocument/2006/relationships/hyperlink" Target="https://drive.google.com/file/d/1jZEXvIxTbtBA-9FgGjOoC5E2YEF_fhGq/view?usp=drivesdk" TargetMode="External"/><Relationship Id="rId668" Type="http://schemas.openxmlformats.org/officeDocument/2006/relationships/hyperlink" Target="https://drive.google.com/file/d/1w40iXLtxzCjedo2118_c0LbtEEvIxEaU/view?usp=drivesdk" TargetMode="External"/><Relationship Id="rId425" Type="http://schemas.openxmlformats.org/officeDocument/2006/relationships/hyperlink" Target="https://drive.google.com/file/d/1qH8d0SKifWVqC-pmO2WbRoiWVfOmFZXG/view?usp=drivesdk" TargetMode="External"/><Relationship Id="rId667" Type="http://schemas.openxmlformats.org/officeDocument/2006/relationships/hyperlink" Target="https://drive.google.com/file/d/1bB2Z9rd9VksmlYzY8k3VdzIo0a7xrIuB/view?usp=drivesdk" TargetMode="External"/><Relationship Id="rId424" Type="http://schemas.openxmlformats.org/officeDocument/2006/relationships/hyperlink" Target="https://drive.google.com/file/d/10KFoxBEtRV__suDiWCvI9dbMOnmGbsrI/view?usp=drivesdk" TargetMode="External"/><Relationship Id="rId666" Type="http://schemas.openxmlformats.org/officeDocument/2006/relationships/hyperlink" Target="https://drive.google.com/file/d/1YotAU3gE8y5p-3-WXuGdIYWZEnT-MNck/view?usp=drivesdk" TargetMode="External"/><Relationship Id="rId423" Type="http://schemas.openxmlformats.org/officeDocument/2006/relationships/hyperlink" Target="https://drive.google.com/file/d/1sIM86_jXFN0MemXnsfyi_itswaOvLt5k/view?usp=drivesdk" TargetMode="External"/><Relationship Id="rId665" Type="http://schemas.openxmlformats.org/officeDocument/2006/relationships/hyperlink" Target="https://drive.google.com/file/d/1zy_Tb5tueQGMh-MiHUQxYo8wJY1o3WxA/view?usp=drivesdk" TargetMode="External"/><Relationship Id="rId429" Type="http://schemas.openxmlformats.org/officeDocument/2006/relationships/hyperlink" Target="https://drive.google.com/file/d/13xhLGMxggeIVStz4AxQR6y8S5WnCjRZo/view?usp=drivesdk" TargetMode="External"/><Relationship Id="rId428" Type="http://schemas.openxmlformats.org/officeDocument/2006/relationships/hyperlink" Target="https://drive.google.com/file/d/1dud0cPY7je1-1SQK8drQxojhM4vP1Zq8/view?usp=drivesdk" TargetMode="External"/><Relationship Id="rId427" Type="http://schemas.openxmlformats.org/officeDocument/2006/relationships/hyperlink" Target="https://drive.google.com/file/d/1ohcOeJRDt0K164RFLDrIA8kLRRyqfLFo/view?usp=drivesdk" TargetMode="External"/><Relationship Id="rId669" Type="http://schemas.openxmlformats.org/officeDocument/2006/relationships/hyperlink" Target="https://drive.google.com/file/d/1ckgG57xEMjICzyFt1t6jxBwjobRF-hcH/view?usp=drivesdk" TargetMode="External"/><Relationship Id="rId660" Type="http://schemas.openxmlformats.org/officeDocument/2006/relationships/hyperlink" Target="https://drive.google.com/file/d/1s0pzwTMfBRfQrsR94T_TuT42mo8Jp8pR/view?usp=drivesdk" TargetMode="External"/><Relationship Id="rId422" Type="http://schemas.openxmlformats.org/officeDocument/2006/relationships/hyperlink" Target="https://drive.google.com/file/d/1xwWTmUvDRhtLoZM9IQU_KcP0Xg_MuKRQ/view?usp=drivesdk" TargetMode="External"/><Relationship Id="rId664" Type="http://schemas.openxmlformats.org/officeDocument/2006/relationships/hyperlink" Target="https://drive.google.com/file/d/1KRxFYh37aantIyJ-DrSDoORYEEaBvyVp/view?usp=drivesdk" TargetMode="External"/><Relationship Id="rId421" Type="http://schemas.openxmlformats.org/officeDocument/2006/relationships/hyperlink" Target="https://drive.google.com/file/d/1H2XHA7whVQdCMigAfZ445zluSCl5G9PM/view?usp=drivesdk" TargetMode="External"/><Relationship Id="rId663" Type="http://schemas.openxmlformats.org/officeDocument/2006/relationships/hyperlink" Target="https://drive.google.com/file/d/1iljQwOk8LwT13xguKu8RHuo-SdPEIVWF/view?usp=drivesdk" TargetMode="External"/><Relationship Id="rId420" Type="http://schemas.openxmlformats.org/officeDocument/2006/relationships/hyperlink" Target="https://drive.google.com/file/d/1TdZqpL1B49vdAbNfzmwQa4e53f_CjSXn/view?usp=drivesdk" TargetMode="External"/><Relationship Id="rId662" Type="http://schemas.openxmlformats.org/officeDocument/2006/relationships/hyperlink" Target="https://drive.google.com/file/d/12sB6QVPqJsQqbiz_meDJeY1gpEFarZ0E/view?usp=drivesdk" TargetMode="External"/><Relationship Id="rId661" Type="http://schemas.openxmlformats.org/officeDocument/2006/relationships/hyperlink" Target="https://drive.google.com/file/d/1gvE0j3LwDE-vS4xSJISMJIlM8FCJ61sZ/view?usp=drivesdk" TargetMode="External"/><Relationship Id="rId415" Type="http://schemas.openxmlformats.org/officeDocument/2006/relationships/hyperlink" Target="https://drive.google.com/file/d/1kSBm6IyIqzfd4b3VBfGw71zeAeieDgeF/view?usp=drivesdk" TargetMode="External"/><Relationship Id="rId657" Type="http://schemas.openxmlformats.org/officeDocument/2006/relationships/hyperlink" Target="https://drive.google.com/file/d/1mH9xob9REmOK3AbxCSFCfqHoWzzqaUpH/view?usp=drivesdk" TargetMode="External"/><Relationship Id="rId899" Type="http://schemas.openxmlformats.org/officeDocument/2006/relationships/hyperlink" Target="https://drive.google.com/file/d/1UWGy8XtR7Gtxu1vF2C9jPJU-6u4q_K3z/view?usp=drivesdk" TargetMode="External"/><Relationship Id="rId414" Type="http://schemas.openxmlformats.org/officeDocument/2006/relationships/hyperlink" Target="https://drive.google.com/file/d/1uENI4xfrK1ExKVLJUjiRv1ZpmZCnr6w9/view?usp=drivesdk" TargetMode="External"/><Relationship Id="rId656" Type="http://schemas.openxmlformats.org/officeDocument/2006/relationships/hyperlink" Target="https://drive.google.com/file/d/1123VoSw-rQXOZ9CYnjzZ805bULdzWWim/view?usp=drivesdk" TargetMode="External"/><Relationship Id="rId898" Type="http://schemas.openxmlformats.org/officeDocument/2006/relationships/hyperlink" Target="https://drive.google.com/file/d/11fJaCyKoT92bLn8Hsw4HU6_ATDywfHfB/view?usp=drivesdk" TargetMode="External"/><Relationship Id="rId413" Type="http://schemas.openxmlformats.org/officeDocument/2006/relationships/hyperlink" Target="https://drive.google.com/file/d/1Q3XJt-z3JbZDBzqvSjEuZqCQsw2U8Y6G/view?usp=drivesdk" TargetMode="External"/><Relationship Id="rId655" Type="http://schemas.openxmlformats.org/officeDocument/2006/relationships/hyperlink" Target="https://drive.google.com/file/d/11zPiQR-Fp9vCasAduHisrx6F0qjDILEt/view?usp=drivesdk" TargetMode="External"/><Relationship Id="rId897" Type="http://schemas.openxmlformats.org/officeDocument/2006/relationships/hyperlink" Target="https://drive.google.com/file/d/1dcMYDVU35FZUYC5QqWa84DE3YlZQdWeq/view?usp=drivesdk" TargetMode="External"/><Relationship Id="rId412" Type="http://schemas.openxmlformats.org/officeDocument/2006/relationships/hyperlink" Target="https://drive.google.com/file/d/1T3pcPnYfbSEJUkbX8K2Ug5rl2aePxpRN/view?usp=drivesdk" TargetMode="External"/><Relationship Id="rId654" Type="http://schemas.openxmlformats.org/officeDocument/2006/relationships/hyperlink" Target="https://drive.google.com/file/d/15128YcnEfRojny3hA8b19m0zxzJQC3HG/view?usp=drivesdk" TargetMode="External"/><Relationship Id="rId896" Type="http://schemas.openxmlformats.org/officeDocument/2006/relationships/hyperlink" Target="https://drive.google.com/file/d/1_RjmwM49b1I8Wgd0p-gAYHYXfVOsbhPr/view?usp=drivesdk" TargetMode="External"/><Relationship Id="rId419" Type="http://schemas.openxmlformats.org/officeDocument/2006/relationships/hyperlink" Target="https://drive.google.com/file/d/1MyeTXKFxsF093--UrF5stTZuF5LlBgp9/view?usp=drivesdk" TargetMode="External"/><Relationship Id="rId418" Type="http://schemas.openxmlformats.org/officeDocument/2006/relationships/hyperlink" Target="https://drive.google.com/file/d/1oMSeiX52SMriRYPe7C63UcjyeER0aWkM/view?usp=drivesdk" TargetMode="External"/><Relationship Id="rId417" Type="http://schemas.openxmlformats.org/officeDocument/2006/relationships/hyperlink" Target="https://drive.google.com/file/d/1pEwBdU-KniYGWZsHFB3AER3ez3q1TyPe/view?usp=drivesdk" TargetMode="External"/><Relationship Id="rId659" Type="http://schemas.openxmlformats.org/officeDocument/2006/relationships/hyperlink" Target="https://drive.google.com/file/d/1UwhZVMsftPoPs-aPtIxkLh5Pc7-WhEg9/view?usp=drivesdk" TargetMode="External"/><Relationship Id="rId416" Type="http://schemas.openxmlformats.org/officeDocument/2006/relationships/hyperlink" Target="https://drive.google.com/file/d/12SAYlR-y51OOJWjua-s1-_V-N3JytqmG/view?usp=drivesdk" TargetMode="External"/><Relationship Id="rId658" Type="http://schemas.openxmlformats.org/officeDocument/2006/relationships/hyperlink" Target="https://drive.google.com/file/d/17l_rEXz44S7Ir7rUWKu_2Gd4w0fq5S-H/view?usp=drivesdk" TargetMode="External"/><Relationship Id="rId891" Type="http://schemas.openxmlformats.org/officeDocument/2006/relationships/hyperlink" Target="https://drive.google.com/file/d/19JHA6QX7qffNkn8MV9A16UtxQmQL4Zit/view?usp=drivesdk" TargetMode="External"/><Relationship Id="rId890" Type="http://schemas.openxmlformats.org/officeDocument/2006/relationships/hyperlink" Target="https://drive.google.com/file/d/1suNvSmntCf1cn2mwNPDxHih3jLk3WwO1/view?usp=drivesdk" TargetMode="External"/><Relationship Id="rId411" Type="http://schemas.openxmlformats.org/officeDocument/2006/relationships/hyperlink" Target="https://drive.google.com/file/d/1uzXYV45RXbLevz0fKWoRTghKQnTpGLC2/view?usp=drivesdk" TargetMode="External"/><Relationship Id="rId653" Type="http://schemas.openxmlformats.org/officeDocument/2006/relationships/hyperlink" Target="https://drive.google.com/file/d/1Ss63wjm1SP_Hz5qq1skyGab4I1kjit2o/view?usp=drivesdk" TargetMode="External"/><Relationship Id="rId895" Type="http://schemas.openxmlformats.org/officeDocument/2006/relationships/hyperlink" Target="https://drive.google.com/file/d/1v52BknQIUMfd-C1IXKdorUGl1gtEfjxx/view?usp=drivesdk" TargetMode="External"/><Relationship Id="rId410" Type="http://schemas.openxmlformats.org/officeDocument/2006/relationships/hyperlink" Target="https://drive.google.com/file/d/1906f_v0pP5AH4xJsJsNL4EwFf8l3niNR/view?usp=drivesdk" TargetMode="External"/><Relationship Id="rId652" Type="http://schemas.openxmlformats.org/officeDocument/2006/relationships/hyperlink" Target="https://drive.google.com/file/d/1Ki5OkK-xEPJ8ozG7VCV1jHRnas6xbQvC/view?usp=drivesdk" TargetMode="External"/><Relationship Id="rId894" Type="http://schemas.openxmlformats.org/officeDocument/2006/relationships/hyperlink" Target="https://drive.google.com/file/d/1YXE0sBoiCHsAruKoiaVcQW758kg14-IO/view?usp=drivesdk" TargetMode="External"/><Relationship Id="rId651" Type="http://schemas.openxmlformats.org/officeDocument/2006/relationships/hyperlink" Target="https://drive.google.com/file/d/1W3zVDSF6RWI5mXOLIlslG5sjlh6TMXSi/view?usp=drivesdk" TargetMode="External"/><Relationship Id="rId893" Type="http://schemas.openxmlformats.org/officeDocument/2006/relationships/hyperlink" Target="https://drive.google.com/file/d/1_G0NVeX-81LyLSeJeDGWzmBNrWnkZW6_/view?usp=drivesdk" TargetMode="External"/><Relationship Id="rId650" Type="http://schemas.openxmlformats.org/officeDocument/2006/relationships/hyperlink" Target="https://drive.google.com/file/d/1A9ftqcJUto8yXWSGbo6FLHFuw2UwWcUO/view?usp=drivesdk" TargetMode="External"/><Relationship Id="rId892" Type="http://schemas.openxmlformats.org/officeDocument/2006/relationships/hyperlink" Target="https://drive.google.com/file/d/1gj5Ou5rmG9u2AnOb9SreD_Z4mDzTkcqi/view?usp=drivesdk" TargetMode="External"/><Relationship Id="rId206" Type="http://schemas.openxmlformats.org/officeDocument/2006/relationships/hyperlink" Target="https://drive.google.com/file/d/1uBL72l8iBn2XBFApYk76iAOuIVdoolot/view?usp=drivesdk" TargetMode="External"/><Relationship Id="rId448" Type="http://schemas.openxmlformats.org/officeDocument/2006/relationships/hyperlink" Target="https://drive.google.com/file/d/1nLPi4DQZAHD6gPlS-JsYBBS7Wjv8d3wV/view?usp=drivesdk" TargetMode="External"/><Relationship Id="rId205" Type="http://schemas.openxmlformats.org/officeDocument/2006/relationships/hyperlink" Target="https://drive.google.com/file/d/1YNRaHwRbf2KYzQhUJWJEkD0aSIobCBi2/view?usp=drivesdk" TargetMode="External"/><Relationship Id="rId447" Type="http://schemas.openxmlformats.org/officeDocument/2006/relationships/hyperlink" Target="https://drive.google.com/file/d/1I6M4sCvYHr03sOKZ-PGPr8ez3DsjPguj/view?usp=drivesdk" TargetMode="External"/><Relationship Id="rId689" Type="http://schemas.openxmlformats.org/officeDocument/2006/relationships/hyperlink" Target="https://drive.google.com/file/d/1d3TNpEpZpFAk5jbBoY_sbgNH5Cab8r3z/view?usp=drivesdk" TargetMode="External"/><Relationship Id="rId204" Type="http://schemas.openxmlformats.org/officeDocument/2006/relationships/hyperlink" Target="https://drive.google.com/file/d/1-93ZF7OlCf6hvohwfIS_QwRoTuwm62Yr/view?usp=drivesdk" TargetMode="External"/><Relationship Id="rId446" Type="http://schemas.openxmlformats.org/officeDocument/2006/relationships/hyperlink" Target="https://drive.google.com/file/d/13zk0vigIw0GINxuEFuMyXLkKRpQVdnnV/view?usp=drivesdk" TargetMode="External"/><Relationship Id="rId688" Type="http://schemas.openxmlformats.org/officeDocument/2006/relationships/hyperlink" Target="https://drive.google.com/file/d/1mM5GAjF7lBodDi7oHZL9k0GyPwWW05KA/view?usp=drivesdk" TargetMode="External"/><Relationship Id="rId203" Type="http://schemas.openxmlformats.org/officeDocument/2006/relationships/hyperlink" Target="https://drive.google.com/file/d/1W5WaNjXuVp5OyKV1q_03qI8PpLQsF_kd/view?usp=drivesdk" TargetMode="External"/><Relationship Id="rId445" Type="http://schemas.openxmlformats.org/officeDocument/2006/relationships/hyperlink" Target="https://drive.google.com/file/d/1DMK6v77vjxjRB9rcWv1JKrsjtXLFndbL/view?usp=drivesdk" TargetMode="External"/><Relationship Id="rId687" Type="http://schemas.openxmlformats.org/officeDocument/2006/relationships/hyperlink" Target="https://drive.google.com/file/d/1O0TTuHp63plAAJZ1LdKRzZ2eLZdkvTSa/view?usp=drivesdk" TargetMode="External"/><Relationship Id="rId209" Type="http://schemas.openxmlformats.org/officeDocument/2006/relationships/hyperlink" Target="https://drive.google.com/file/d/1cTm7VEDQOIMiL8ze5t9Z-7VA7nOLJ27V/view?usp=drivesdk" TargetMode="External"/><Relationship Id="rId208" Type="http://schemas.openxmlformats.org/officeDocument/2006/relationships/hyperlink" Target="https://drive.google.com/file/d/1SRxbR8fQU3GhSnDZ7v7AHvijYEAWGUVT/view?usp=drivesdk" TargetMode="External"/><Relationship Id="rId207" Type="http://schemas.openxmlformats.org/officeDocument/2006/relationships/hyperlink" Target="https://drive.google.com/file/d/1erECNq_PSvEp93bh0dO6EhpariPJqBdh/view?usp=drivesdk" TargetMode="External"/><Relationship Id="rId449" Type="http://schemas.openxmlformats.org/officeDocument/2006/relationships/hyperlink" Target="https://drive.google.com/file/d/1b5dOtpMPa4mKW18gLD-_xtf3ovRrbLaY/view?usp=drivesdk" TargetMode="External"/><Relationship Id="rId440" Type="http://schemas.openxmlformats.org/officeDocument/2006/relationships/hyperlink" Target="https://drive.google.com/file/d/1aOTdleOROwPHyEjm_QjmjXy2YIr6HeBm/view?usp=drivesdk" TargetMode="External"/><Relationship Id="rId682" Type="http://schemas.openxmlformats.org/officeDocument/2006/relationships/hyperlink" Target="https://drive.google.com/file/d/1HNvns4JgPDIZ948bacPQAYfj6O_6l0Ie/view?usp=drivesdk" TargetMode="External"/><Relationship Id="rId681" Type="http://schemas.openxmlformats.org/officeDocument/2006/relationships/hyperlink" Target="https://drive.google.com/file/d/1uTdSTawpWfUp1o2cF4-QxLCTPfZN5vOF/view?usp=drivesdk" TargetMode="External"/><Relationship Id="rId680" Type="http://schemas.openxmlformats.org/officeDocument/2006/relationships/hyperlink" Target="https://drive.google.com/file/d/1EVJsreOe9DVM6zd949JxbuUdFpY1h1op/view?usp=drivesdk" TargetMode="External"/><Relationship Id="rId202" Type="http://schemas.openxmlformats.org/officeDocument/2006/relationships/hyperlink" Target="https://drive.google.com/file/d/1T6nJZw1zfLt2D_uumAyeJ7JczCMyt5D4/view?usp=drivesdk" TargetMode="External"/><Relationship Id="rId444" Type="http://schemas.openxmlformats.org/officeDocument/2006/relationships/hyperlink" Target="https://drive.google.com/file/d/1L5UWjdGxJUT_EzglhdDbLxhmv1R24L1v/view?usp=drivesdk" TargetMode="External"/><Relationship Id="rId686" Type="http://schemas.openxmlformats.org/officeDocument/2006/relationships/hyperlink" Target="https://drive.google.com/file/d/1tktnHDyCJ-ndOyBMOGsOpe4ZoGWF8C52/view?usp=drivesdk" TargetMode="External"/><Relationship Id="rId201" Type="http://schemas.openxmlformats.org/officeDocument/2006/relationships/hyperlink" Target="https://drive.google.com/file/d/100lkjWBFWpX4CkUHPQ8T3PiKWST6hzBM/view?usp=drivesdk" TargetMode="External"/><Relationship Id="rId443" Type="http://schemas.openxmlformats.org/officeDocument/2006/relationships/hyperlink" Target="https://drive.google.com/file/d/1YntJv2prfCihAJlsOLBhVoBZ8oyi5R95/view?usp=drivesdk" TargetMode="External"/><Relationship Id="rId685" Type="http://schemas.openxmlformats.org/officeDocument/2006/relationships/hyperlink" Target="https://drive.google.com/file/d/1y4MMn7HOMCqW7f1Ifiiyj71tmIyfcQnr/view?usp=drivesdk" TargetMode="External"/><Relationship Id="rId200" Type="http://schemas.openxmlformats.org/officeDocument/2006/relationships/hyperlink" Target="https://drive.google.com/file/d/1o76-C1TfkCDDe8duicbX7xlhTWlNtWwP/view?usp=drivesdk" TargetMode="External"/><Relationship Id="rId442" Type="http://schemas.openxmlformats.org/officeDocument/2006/relationships/hyperlink" Target="https://drive.google.com/file/d/15BBLd_ZJYJUmS316YYtUQ_tFZ-huGGkO/view?usp=drivesdk" TargetMode="External"/><Relationship Id="rId684" Type="http://schemas.openxmlformats.org/officeDocument/2006/relationships/hyperlink" Target="https://drive.google.com/file/d/1ly_3-LKz-x-WMVlkgGxUuKlz-xsKyl_k/view?usp=drivesdk" TargetMode="External"/><Relationship Id="rId441" Type="http://schemas.openxmlformats.org/officeDocument/2006/relationships/hyperlink" Target="https://drive.google.com/file/d/19tc4fQBTADYYTN2J4bRv_xLiXCzAE-ep/view?usp=drivesdk" TargetMode="External"/><Relationship Id="rId683" Type="http://schemas.openxmlformats.org/officeDocument/2006/relationships/hyperlink" Target="https://drive.google.com/file/d/1lE8Uys9nMDOoooyXpAdypTZcW53uY7eQ/view?usp=drivesdk" TargetMode="External"/><Relationship Id="rId437" Type="http://schemas.openxmlformats.org/officeDocument/2006/relationships/hyperlink" Target="https://drive.google.com/file/d/1pm-nrhBv75yxwgE_4ugeu4zIilbtc-6b/view?usp=drivesdk" TargetMode="External"/><Relationship Id="rId679" Type="http://schemas.openxmlformats.org/officeDocument/2006/relationships/hyperlink" Target="https://drive.google.com/file/d/1S8QMS6IKFpKqnFU4AvZKplS9Fg1WyHRZ/view?usp=drivesdk" TargetMode="External"/><Relationship Id="rId436" Type="http://schemas.openxmlformats.org/officeDocument/2006/relationships/hyperlink" Target="https://drive.google.com/file/d/1V3sriQRM_lOQ-olxyvziZ55lp8KKOsQG/view?usp=drivesdk" TargetMode="External"/><Relationship Id="rId678" Type="http://schemas.openxmlformats.org/officeDocument/2006/relationships/hyperlink" Target="https://drive.google.com/file/d/1Ea1OMREMpvK-0hsE7U1NhhuhFZaWPULD/view?usp=drivesdk" TargetMode="External"/><Relationship Id="rId435" Type="http://schemas.openxmlformats.org/officeDocument/2006/relationships/hyperlink" Target="https://drive.google.com/file/d/1GhASE87FUGfWDOXNhzq4VuAOI3VxbAAf/view?usp=drivesdk" TargetMode="External"/><Relationship Id="rId677" Type="http://schemas.openxmlformats.org/officeDocument/2006/relationships/hyperlink" Target="https://drive.google.com/file/d/1mXjaVC0LQ-aWsKaMA-6s6CBkHFtq216l/view?usp=drivesdk" TargetMode="External"/><Relationship Id="rId434" Type="http://schemas.openxmlformats.org/officeDocument/2006/relationships/hyperlink" Target="https://drive.google.com/file/d/1NDChGA_tvaIAx5EsZjbXfwCkkCbffj1W/view?usp=drivesdk" TargetMode="External"/><Relationship Id="rId676" Type="http://schemas.openxmlformats.org/officeDocument/2006/relationships/hyperlink" Target="https://drive.google.com/file/d/1Fae-AWhk0pJ2OZt2XxNkypQ7xGAcAjpn/view?usp=drivesdk" TargetMode="External"/><Relationship Id="rId439" Type="http://schemas.openxmlformats.org/officeDocument/2006/relationships/hyperlink" Target="https://drive.google.com/file/d/1Zhwz_JubKt-EJ2T0fpTB554qnuL3PMAX/view?usp=drivesdk" TargetMode="External"/><Relationship Id="rId438" Type="http://schemas.openxmlformats.org/officeDocument/2006/relationships/hyperlink" Target="https://drive.google.com/file/d/1l0-rhsljH159-vJmLADhcsLwujlIxguA/view?usp=drivesdk" TargetMode="External"/><Relationship Id="rId671" Type="http://schemas.openxmlformats.org/officeDocument/2006/relationships/hyperlink" Target="https://drive.google.com/file/d/17LSPCBMufN0Oa7HwYsCr7vnP0i_drNVL/view?usp=drivesdk" TargetMode="External"/><Relationship Id="rId670" Type="http://schemas.openxmlformats.org/officeDocument/2006/relationships/hyperlink" Target="https://drive.google.com/file/d/1kNm2FJHkDsCg3iiG9Ra3i_CBd7vufmtW/view?usp=drivesdk" TargetMode="External"/><Relationship Id="rId433" Type="http://schemas.openxmlformats.org/officeDocument/2006/relationships/hyperlink" Target="https://drive.google.com/file/d/1ePfFGENiYelrCFVJNcnGFf8OyhVWdAe8/view?usp=drivesdk" TargetMode="External"/><Relationship Id="rId675" Type="http://schemas.openxmlformats.org/officeDocument/2006/relationships/hyperlink" Target="https://drive.google.com/file/d/1GOm9TpJobyTg4EqmU8bdud1FtCadNR9p/view?usp=drivesdk" TargetMode="External"/><Relationship Id="rId432" Type="http://schemas.openxmlformats.org/officeDocument/2006/relationships/hyperlink" Target="https://drive.google.com/file/d/1Y1yMv0Ekfz4iXfF4t0mG0g1ntWTmTcYk/view?usp=drivesdk" TargetMode="External"/><Relationship Id="rId674" Type="http://schemas.openxmlformats.org/officeDocument/2006/relationships/hyperlink" Target="https://drive.google.com/file/d/18117Gft4rArKzynyIHaZ6FgeV0RfGIu2/view?usp=drivesdk" TargetMode="External"/><Relationship Id="rId431" Type="http://schemas.openxmlformats.org/officeDocument/2006/relationships/hyperlink" Target="https://drive.google.com/file/d/1LefcLcLIjcSmLwvO_0S9l8CSLcaNvRrW/view?usp=drivesdk" TargetMode="External"/><Relationship Id="rId673" Type="http://schemas.openxmlformats.org/officeDocument/2006/relationships/hyperlink" Target="https://drive.google.com/file/d/1PpOR9x4Q_mWKQ273alsPUFhJ0bV5PHIP/view?usp=drivesdk" TargetMode="External"/><Relationship Id="rId430" Type="http://schemas.openxmlformats.org/officeDocument/2006/relationships/hyperlink" Target="https://drive.google.com/file/d/1TgWyJ76cIOdVabWhz1RGO8h4TpZLqpsT/view?usp=drivesdk" TargetMode="External"/><Relationship Id="rId672" Type="http://schemas.openxmlformats.org/officeDocument/2006/relationships/hyperlink" Target="https://drive.google.com/file/d/1OqLNnrMTVJDNqGU87BL6DRtZ3KoUZu9E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4.25"/>
    <col customWidth="1" min="3" max="3" width="7.38"/>
    <col customWidth="1" min="4" max="4" width="11.13"/>
    <col customWidth="1" min="5" max="5" width="11.75"/>
    <col customWidth="1" min="6" max="6" width="38.38"/>
  </cols>
  <sheetData>
    <row r="1">
      <c r="A1" s="1" t="str">
        <f>IFERROR(__xludf.DUMMYFUNCTION("IMPORTRANGE(""https://docs.google.com/spreadsheets/d/1BPaipT-Q3TeZ7VFpHFCiXa98rv_cqYMvAuk4LG-IXYo/edit"", ""Database Presensi SCC!C:G"")
"),"NISN / NIS")</f>
        <v>NISN / NIS</v>
      </c>
      <c r="B1" s="1" t="str">
        <f>IFERROR(__xludf.DUMMYFUNCTION("""COMPUTED_VALUE"""),"NAMA")</f>
        <v>NAMA</v>
      </c>
      <c r="C1" s="1" t="str">
        <f>IFERROR(__xludf.DUMMYFUNCTION("""COMPUTED_VALUE"""),"L/P")</f>
        <v>L/P</v>
      </c>
      <c r="D1" s="1" t="str">
        <f>IFERROR(__xludf.DUMMYFUNCTION("""COMPUTED_VALUE"""),"ANGKATAN")</f>
        <v>ANGKATAN</v>
      </c>
      <c r="E1" s="2" t="str">
        <f>IFERROR(__xludf.DUMMYFUNCTION("""COMPUTED_VALUE"""),"KELAS TA")</f>
        <v>KELAS TA</v>
      </c>
      <c r="F1" s="1" t="str">
        <f>IFERROR(__xludf.DUMMYFUNCTION("IMPORTRANGE(""https://docs.google.com/spreadsheets/d/1BPaipT-Q3TeZ7VFpHFCiXa98rv_cqYMvAuk4LG-IXYo/edit"", ""Database Presensi SCC!T:T"")"),"Link to merged Doc - Kartu QR Code")</f>
        <v>Link to merged Doc - Kartu QR Code</v>
      </c>
      <c r="G1" s="3"/>
      <c r="H1" s="3"/>
      <c r="I1" s="3"/>
      <c r="J1" s="3"/>
      <c r="K1" s="3"/>
      <c r="L1" s="3"/>
      <c r="M1" s="3"/>
    </row>
    <row r="2">
      <c r="A2" s="4" t="str">
        <f>IFERROR(__xludf.DUMMYFUNCTION("""COMPUTED_VALUE"""),"0092626116 / 252610008")</f>
        <v>0092626116 / 252610008</v>
      </c>
      <c r="B2" s="4" t="str">
        <f>IFERROR(__xludf.DUMMYFUNCTION("""COMPUTED_VALUE"""),"Adhie Bramantyo Faqih - L")</f>
        <v>Adhie Bramantyo Faqih - L</v>
      </c>
      <c r="C2" s="4" t="str">
        <f>IFERROR(__xludf.DUMMYFUNCTION("""COMPUTED_VALUE"""),"L")</f>
        <v>L</v>
      </c>
      <c r="D2" s="4">
        <f>IFERROR(__xludf.DUMMYFUNCTION("""COMPUTED_VALUE"""),33.0)</f>
        <v>33</v>
      </c>
      <c r="E2" s="4" t="str">
        <f>IFERROR(__xludf.DUMMYFUNCTION("""COMPUTED_VALUE"""),"X1")</f>
        <v>X1</v>
      </c>
      <c r="F2" s="5" t="str">
        <f>IFERROR(__xludf.DUMMYFUNCTION("""COMPUTED_VALUE"""),"33 - X1 - Adhie Bramantyo Faqih - L")</f>
        <v>33 - X1 - Adhie Bramantyo Faqih - L</v>
      </c>
      <c r="G2" s="6"/>
      <c r="H2" s="6"/>
      <c r="I2" s="6"/>
      <c r="J2" s="6"/>
      <c r="K2" s="6"/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tr">
        <f>IFERROR(__xludf.DUMMYFUNCTION("""COMPUTED_VALUE"""),"3103201253 / 252610048")</f>
        <v>3103201253 / 252610048</v>
      </c>
      <c r="B3" s="4" t="str">
        <f>IFERROR(__xludf.DUMMYFUNCTION("""COMPUTED_VALUE"""),"Almira Dwi Safira - P")</f>
        <v>Almira Dwi Safira - P</v>
      </c>
      <c r="C3" s="4" t="str">
        <f>IFERROR(__xludf.DUMMYFUNCTION("""COMPUTED_VALUE"""),"P")</f>
        <v>P</v>
      </c>
      <c r="D3" s="4">
        <f>IFERROR(__xludf.DUMMYFUNCTION("""COMPUTED_VALUE"""),33.0)</f>
        <v>33</v>
      </c>
      <c r="E3" s="4" t="str">
        <f>IFERROR(__xludf.DUMMYFUNCTION("""COMPUTED_VALUE"""),"X1")</f>
        <v>X1</v>
      </c>
      <c r="F3" s="5" t="str">
        <f>IFERROR(__xludf.DUMMYFUNCTION("""COMPUTED_VALUE"""),"33 - X1 - Almira Dwi Safira - P")</f>
        <v>33 - X1 - Almira Dwi Safira - P</v>
      </c>
      <c r="G3" s="3"/>
      <c r="H3" s="3"/>
      <c r="I3" s="3"/>
      <c r="J3" s="3"/>
      <c r="K3" s="3"/>
      <c r="L3" s="3"/>
      <c r="M3" s="3"/>
    </row>
    <row r="4">
      <c r="A4" s="4" t="str">
        <f>IFERROR(__xludf.DUMMYFUNCTION("""COMPUTED_VALUE"""),"0102149444 / 252610053")</f>
        <v>0102149444 / 252610053</v>
      </c>
      <c r="B4" s="4" t="str">
        <f>IFERROR(__xludf.DUMMYFUNCTION("""COMPUTED_VALUE"""),"Alzena Juneeta Talisha Theo - P")</f>
        <v>Alzena Juneeta Talisha Theo - P</v>
      </c>
      <c r="C4" s="4" t="str">
        <f>IFERROR(__xludf.DUMMYFUNCTION("""COMPUTED_VALUE"""),"P")</f>
        <v>P</v>
      </c>
      <c r="D4" s="4">
        <f>IFERROR(__xludf.DUMMYFUNCTION("""COMPUTED_VALUE"""),33.0)</f>
        <v>33</v>
      </c>
      <c r="E4" s="4" t="str">
        <f>IFERROR(__xludf.DUMMYFUNCTION("""COMPUTED_VALUE"""),"X1")</f>
        <v>X1</v>
      </c>
      <c r="F4" s="5" t="str">
        <f>IFERROR(__xludf.DUMMYFUNCTION("""COMPUTED_VALUE"""),"33 - X1 - Alzena Juneeta Talisha Theo - P")</f>
        <v>33 - X1 - Alzena Juneeta Talisha Theo - P</v>
      </c>
      <c r="G4" s="3"/>
      <c r="H4" s="3"/>
      <c r="I4" s="3"/>
      <c r="J4" s="3"/>
      <c r="K4" s="3"/>
      <c r="L4" s="3"/>
      <c r="M4" s="3"/>
    </row>
    <row r="5">
      <c r="A5" s="4" t="str">
        <f>IFERROR(__xludf.DUMMYFUNCTION("""COMPUTED_VALUE"""),"0095992391 / 252610082")</f>
        <v>0095992391 / 252610082</v>
      </c>
      <c r="B5" s="4" t="str">
        <f>IFERROR(__xludf.DUMMYFUNCTION("""COMPUTED_VALUE"""),"Arya Aditya Gunawan - L")</f>
        <v>Arya Aditya Gunawan - L</v>
      </c>
      <c r="C5" s="4" t="str">
        <f>IFERROR(__xludf.DUMMYFUNCTION("""COMPUTED_VALUE"""),"L")</f>
        <v>L</v>
      </c>
      <c r="D5" s="4">
        <f>IFERROR(__xludf.DUMMYFUNCTION("""COMPUTED_VALUE"""),33.0)</f>
        <v>33</v>
      </c>
      <c r="E5" s="4" t="str">
        <f>IFERROR(__xludf.DUMMYFUNCTION("""COMPUTED_VALUE"""),"X1")</f>
        <v>X1</v>
      </c>
      <c r="F5" s="5" t="str">
        <f>IFERROR(__xludf.DUMMYFUNCTION("""COMPUTED_VALUE"""),"33 - X1 - Arya Aditya Gunawan - L")</f>
        <v>33 - X1 - Arya Aditya Gunawan - L</v>
      </c>
      <c r="G5" s="3"/>
      <c r="H5" s="3"/>
      <c r="I5" s="3"/>
      <c r="J5" s="3"/>
      <c r="K5" s="3"/>
      <c r="L5" s="3"/>
      <c r="M5" s="3"/>
    </row>
    <row r="6">
      <c r="A6" s="4" t="str">
        <f>IFERROR(__xludf.DUMMYFUNCTION("""COMPUTED_VALUE"""),"0106142601 / 252610083")</f>
        <v>0106142601 / 252610083</v>
      </c>
      <c r="B6" s="4" t="str">
        <f>IFERROR(__xludf.DUMMYFUNCTION("""COMPUTED_VALUE"""),"Aryasatia Pradipta - P")</f>
        <v>Aryasatia Pradipta - P</v>
      </c>
      <c r="C6" s="4" t="str">
        <f>IFERROR(__xludf.DUMMYFUNCTION("""COMPUTED_VALUE"""),"P")</f>
        <v>P</v>
      </c>
      <c r="D6" s="4">
        <f>IFERROR(__xludf.DUMMYFUNCTION("""COMPUTED_VALUE"""),33.0)</f>
        <v>33</v>
      </c>
      <c r="E6" s="4" t="str">
        <f>IFERROR(__xludf.DUMMYFUNCTION("""COMPUTED_VALUE"""),"X1")</f>
        <v>X1</v>
      </c>
      <c r="F6" s="5" t="str">
        <f>IFERROR(__xludf.DUMMYFUNCTION("""COMPUTED_VALUE"""),"33 - X1 - Aryasatia Pradipta - P")</f>
        <v>33 - X1 - Aryasatia Pradipta - P</v>
      </c>
      <c r="G6" s="3"/>
      <c r="H6" s="3"/>
      <c r="I6" s="3"/>
      <c r="J6" s="3"/>
      <c r="K6" s="3"/>
      <c r="L6" s="3"/>
      <c r="M6" s="3"/>
    </row>
    <row r="7">
      <c r="A7" s="4" t="str">
        <f>IFERROR(__xludf.DUMMYFUNCTION("""COMPUTED_VALUE"""),"0108104548 / 252610087")</f>
        <v>0108104548 / 252610087</v>
      </c>
      <c r="B7" s="4" t="str">
        <f>IFERROR(__xludf.DUMMYFUNCTION("""COMPUTED_VALUE"""),"Asyifa Diandra Bayu - P")</f>
        <v>Asyifa Diandra Bayu - P</v>
      </c>
      <c r="C7" s="4" t="str">
        <f>IFERROR(__xludf.DUMMYFUNCTION("""COMPUTED_VALUE"""),"P")</f>
        <v>P</v>
      </c>
      <c r="D7" s="4">
        <f>IFERROR(__xludf.DUMMYFUNCTION("""COMPUTED_VALUE"""),33.0)</f>
        <v>33</v>
      </c>
      <c r="E7" s="4" t="str">
        <f>IFERROR(__xludf.DUMMYFUNCTION("""COMPUTED_VALUE"""),"X1")</f>
        <v>X1</v>
      </c>
      <c r="F7" s="5" t="str">
        <f>IFERROR(__xludf.DUMMYFUNCTION("""COMPUTED_VALUE"""),"33 - X1 - Asyifa Diandra Bayu - P")</f>
        <v>33 - X1 - Asyifa Diandra Bayu - P</v>
      </c>
      <c r="G7" s="3"/>
      <c r="H7" s="3"/>
      <c r="I7" s="3"/>
      <c r="J7" s="3"/>
      <c r="K7" s="3"/>
      <c r="L7" s="3"/>
      <c r="M7" s="3"/>
    </row>
    <row r="8">
      <c r="A8" s="4" t="str">
        <f>IFERROR(__xludf.DUMMYFUNCTION("""COMPUTED_VALUE"""),"0103045473 / 252610088")</f>
        <v>0103045473 / 252610088</v>
      </c>
      <c r="B8" s="4" t="str">
        <f>IFERROR(__xludf.DUMMYFUNCTION("""COMPUTED_VALUE"""),"Asyifa Maulidia Salsabila - P")</f>
        <v>Asyifa Maulidia Salsabila - P</v>
      </c>
      <c r="C8" s="4" t="str">
        <f>IFERROR(__xludf.DUMMYFUNCTION("""COMPUTED_VALUE"""),"P")</f>
        <v>P</v>
      </c>
      <c r="D8" s="4">
        <f>IFERROR(__xludf.DUMMYFUNCTION("""COMPUTED_VALUE"""),33.0)</f>
        <v>33</v>
      </c>
      <c r="E8" s="4" t="str">
        <f>IFERROR(__xludf.DUMMYFUNCTION("""COMPUTED_VALUE"""),"X1")</f>
        <v>X1</v>
      </c>
      <c r="F8" s="5" t="str">
        <f>IFERROR(__xludf.DUMMYFUNCTION("""COMPUTED_VALUE"""),"33 - X1 - Asyifa Maulidia Salsabila - P")</f>
        <v>33 - X1 - Asyifa Maulidia Salsabila - P</v>
      </c>
      <c r="G8" s="3"/>
      <c r="H8" s="3"/>
      <c r="I8" s="3"/>
      <c r="J8" s="3"/>
      <c r="K8" s="3"/>
      <c r="L8" s="3"/>
      <c r="M8" s="3"/>
    </row>
    <row r="9">
      <c r="A9" s="4" t="str">
        <f>IFERROR(__xludf.DUMMYFUNCTION("""COMPUTED_VALUE"""),"0109105725 / 252610100")</f>
        <v>0109105725 / 252610100</v>
      </c>
      <c r="B9" s="4" t="str">
        <f>IFERROR(__xludf.DUMMYFUNCTION("""COMPUTED_VALUE"""),"Aurelia Langit Callysta - P")</f>
        <v>Aurelia Langit Callysta - P</v>
      </c>
      <c r="C9" s="4" t="str">
        <f>IFERROR(__xludf.DUMMYFUNCTION("""COMPUTED_VALUE"""),"P")</f>
        <v>P</v>
      </c>
      <c r="D9" s="4">
        <f>IFERROR(__xludf.DUMMYFUNCTION("""COMPUTED_VALUE"""),33.0)</f>
        <v>33</v>
      </c>
      <c r="E9" s="4" t="str">
        <f>IFERROR(__xludf.DUMMYFUNCTION("""COMPUTED_VALUE"""),"X1")</f>
        <v>X1</v>
      </c>
      <c r="F9" s="5" t="str">
        <f>IFERROR(__xludf.DUMMYFUNCTION("""COMPUTED_VALUE"""),"33 - X1 - Aurelia Langit Callysta - P")</f>
        <v>33 - X1 - Aurelia Langit Callysta - P</v>
      </c>
      <c r="G9" s="3"/>
      <c r="H9" s="3"/>
      <c r="I9" s="3"/>
      <c r="J9" s="3"/>
      <c r="K9" s="3"/>
      <c r="L9" s="3"/>
      <c r="M9" s="3"/>
    </row>
    <row r="10">
      <c r="A10" s="4" t="str">
        <f>IFERROR(__xludf.DUMMYFUNCTION("""COMPUTED_VALUE"""),"0096394871 / 252610101")</f>
        <v>0096394871 / 252610101</v>
      </c>
      <c r="B10" s="4" t="str">
        <f>IFERROR(__xludf.DUMMYFUNCTION("""COMPUTED_VALUE"""),"Aurelia Septiani Putri - P")</f>
        <v>Aurelia Septiani Putri - P</v>
      </c>
      <c r="C10" s="4" t="str">
        <f>IFERROR(__xludf.DUMMYFUNCTION("""COMPUTED_VALUE"""),"P")</f>
        <v>P</v>
      </c>
      <c r="D10" s="4">
        <f>IFERROR(__xludf.DUMMYFUNCTION("""COMPUTED_VALUE"""),33.0)</f>
        <v>33</v>
      </c>
      <c r="E10" s="4" t="str">
        <f>IFERROR(__xludf.DUMMYFUNCTION("""COMPUTED_VALUE"""),"X1")</f>
        <v>X1</v>
      </c>
      <c r="F10" s="5" t="str">
        <f>IFERROR(__xludf.DUMMYFUNCTION("""COMPUTED_VALUE"""),"33 - X1 - Aurelia Septiani Putri - P")</f>
        <v>33 - X1 - Aurelia Septiani Putri - P</v>
      </c>
      <c r="G10" s="3"/>
      <c r="H10" s="3"/>
      <c r="I10" s="3"/>
      <c r="J10" s="3"/>
      <c r="K10" s="3"/>
      <c r="L10" s="3"/>
      <c r="M10" s="3"/>
    </row>
    <row r="11">
      <c r="A11" s="4" t="str">
        <f>IFERROR(__xludf.DUMMYFUNCTION("""COMPUTED_VALUE"""),"0099038184 / 252610109")</f>
        <v>0099038184 / 252610109</v>
      </c>
      <c r="B11" s="4" t="str">
        <f>IFERROR(__xludf.DUMMYFUNCTION("""COMPUTED_VALUE"""),"Azalia Maheswari Christabel - P")</f>
        <v>Azalia Maheswari Christabel - P</v>
      </c>
      <c r="C11" s="4" t="str">
        <f>IFERROR(__xludf.DUMMYFUNCTION("""COMPUTED_VALUE"""),"P")</f>
        <v>P</v>
      </c>
      <c r="D11" s="4">
        <f>IFERROR(__xludf.DUMMYFUNCTION("""COMPUTED_VALUE"""),33.0)</f>
        <v>33</v>
      </c>
      <c r="E11" s="4" t="str">
        <f>IFERROR(__xludf.DUMMYFUNCTION("""COMPUTED_VALUE"""),"X1")</f>
        <v>X1</v>
      </c>
      <c r="F11" s="5" t="str">
        <f>IFERROR(__xludf.DUMMYFUNCTION("""COMPUTED_VALUE"""),"33 - X1 - Azalia Maheswari Christabel - P")</f>
        <v>33 - X1 - Azalia Maheswari Christabel - P</v>
      </c>
      <c r="G11" s="3"/>
      <c r="H11" s="3"/>
      <c r="I11" s="3"/>
      <c r="J11" s="3"/>
      <c r="K11" s="3"/>
      <c r="L11" s="3"/>
      <c r="M11" s="3"/>
    </row>
    <row r="12">
      <c r="A12" s="4" t="str">
        <f>IFERROR(__xludf.DUMMYFUNCTION("""COMPUTED_VALUE"""),"0096477713 / 252610122")</f>
        <v>0096477713 / 252610122</v>
      </c>
      <c r="B12" s="4" t="str">
        <f>IFERROR(__xludf.DUMMYFUNCTION("""COMPUTED_VALUE"""),"Bilqis Anwar Thebe - P")</f>
        <v>Bilqis Anwar Thebe - P</v>
      </c>
      <c r="C12" s="4" t="str">
        <f>IFERROR(__xludf.DUMMYFUNCTION("""COMPUTED_VALUE"""),"P")</f>
        <v>P</v>
      </c>
      <c r="D12" s="4">
        <f>IFERROR(__xludf.DUMMYFUNCTION("""COMPUTED_VALUE"""),33.0)</f>
        <v>33</v>
      </c>
      <c r="E12" s="4" t="str">
        <f>IFERROR(__xludf.DUMMYFUNCTION("""COMPUTED_VALUE"""),"X1")</f>
        <v>X1</v>
      </c>
      <c r="F12" s="5" t="str">
        <f>IFERROR(__xludf.DUMMYFUNCTION("""COMPUTED_VALUE"""),"33 - X1 - Bilqis Anwar Thebe - P")</f>
        <v>33 - X1 - Bilqis Anwar Thebe - P</v>
      </c>
      <c r="G12" s="3"/>
      <c r="H12" s="3"/>
      <c r="I12" s="3"/>
      <c r="J12" s="3"/>
      <c r="K12" s="3"/>
      <c r="L12" s="3"/>
      <c r="M12" s="3"/>
    </row>
    <row r="13">
      <c r="A13" s="4" t="str">
        <f>IFERROR(__xludf.DUMMYFUNCTION("""COMPUTED_VALUE"""),"0106995291 / 252610126")</f>
        <v>0106995291 / 252610126</v>
      </c>
      <c r="B13" s="4" t="str">
        <f>IFERROR(__xludf.DUMMYFUNCTION("""COMPUTED_VALUE"""),"Bimo Armani Aulia Putra - L")</f>
        <v>Bimo Armani Aulia Putra - L</v>
      </c>
      <c r="C13" s="4" t="str">
        <f>IFERROR(__xludf.DUMMYFUNCTION("""COMPUTED_VALUE"""),"L")</f>
        <v>L</v>
      </c>
      <c r="D13" s="4">
        <f>IFERROR(__xludf.DUMMYFUNCTION("""COMPUTED_VALUE"""),33.0)</f>
        <v>33</v>
      </c>
      <c r="E13" s="4" t="str">
        <f>IFERROR(__xludf.DUMMYFUNCTION("""COMPUTED_VALUE"""),"X1")</f>
        <v>X1</v>
      </c>
      <c r="F13" s="5" t="str">
        <f>IFERROR(__xludf.DUMMYFUNCTION("""COMPUTED_VALUE"""),"33 - X1 - Bimo Armani Aulia Putra - L")</f>
        <v>33 - X1 - Bimo Armani Aulia Putra - L</v>
      </c>
      <c r="G13" s="3"/>
      <c r="H13" s="3"/>
      <c r="I13" s="3"/>
      <c r="J13" s="3"/>
      <c r="K13" s="3"/>
      <c r="L13" s="3"/>
      <c r="M13" s="3"/>
    </row>
    <row r="14">
      <c r="A14" s="4" t="str">
        <f>IFERROR(__xludf.DUMMYFUNCTION("""COMPUTED_VALUE"""),"0094126705 / 252610130")</f>
        <v>0094126705 / 252610130</v>
      </c>
      <c r="B14" s="4" t="str">
        <f>IFERROR(__xludf.DUMMYFUNCTION("""COMPUTED_VALUE"""),"Callysta Tuchi Solin - P")</f>
        <v>Callysta Tuchi Solin - P</v>
      </c>
      <c r="C14" s="4" t="str">
        <f>IFERROR(__xludf.DUMMYFUNCTION("""COMPUTED_VALUE"""),"P")</f>
        <v>P</v>
      </c>
      <c r="D14" s="4">
        <f>IFERROR(__xludf.DUMMYFUNCTION("""COMPUTED_VALUE"""),33.0)</f>
        <v>33</v>
      </c>
      <c r="E14" s="4" t="str">
        <f>IFERROR(__xludf.DUMMYFUNCTION("""COMPUTED_VALUE"""),"X1")</f>
        <v>X1</v>
      </c>
      <c r="F14" s="5" t="str">
        <f>IFERROR(__xludf.DUMMYFUNCTION("""COMPUTED_VALUE"""),"33 - X1 - Callysta Tuchi Solin - P")</f>
        <v>33 - X1 - Callysta Tuchi Solin - P</v>
      </c>
      <c r="G14" s="3"/>
      <c r="H14" s="3"/>
      <c r="I14" s="3"/>
      <c r="J14" s="3"/>
      <c r="K14" s="3"/>
      <c r="L14" s="3"/>
      <c r="M14" s="3"/>
    </row>
    <row r="15">
      <c r="A15" s="4" t="str">
        <f>IFERROR(__xludf.DUMMYFUNCTION("""COMPUTED_VALUE"""),"0105914504 / 252610171")</f>
        <v>0105914504 / 252610171</v>
      </c>
      <c r="B15" s="4" t="str">
        <f>IFERROR(__xludf.DUMMYFUNCTION("""COMPUTED_VALUE"""),"Diwangkara Rizki Rabbani - L")</f>
        <v>Diwangkara Rizki Rabbani - L</v>
      </c>
      <c r="C15" s="4" t="str">
        <f>IFERROR(__xludf.DUMMYFUNCTION("""COMPUTED_VALUE"""),"L")</f>
        <v>L</v>
      </c>
      <c r="D15" s="4">
        <f>IFERROR(__xludf.DUMMYFUNCTION("""COMPUTED_VALUE"""),33.0)</f>
        <v>33</v>
      </c>
      <c r="E15" s="4" t="str">
        <f>IFERROR(__xludf.DUMMYFUNCTION("""COMPUTED_VALUE"""),"X1")</f>
        <v>X1</v>
      </c>
      <c r="F15" s="5" t="str">
        <f>IFERROR(__xludf.DUMMYFUNCTION("""COMPUTED_VALUE"""),"33 - X1 - Diwangkara Rizki Rabbani - L")</f>
        <v>33 - X1 - Diwangkara Rizki Rabbani - L</v>
      </c>
      <c r="G15" s="3"/>
      <c r="H15" s="3"/>
      <c r="I15" s="3"/>
      <c r="J15" s="3"/>
      <c r="K15" s="3"/>
      <c r="L15" s="3"/>
      <c r="M15" s="3"/>
    </row>
    <row r="16">
      <c r="A16" s="4" t="str">
        <f>IFERROR(__xludf.DUMMYFUNCTION("""COMPUTED_VALUE"""),"0092097491 / 252610175")</f>
        <v>0092097491 / 252610175</v>
      </c>
      <c r="B16" s="4" t="str">
        <f>IFERROR(__xludf.DUMMYFUNCTION("""COMPUTED_VALUE"""),"Dzahra Miftahuljanah - P")</f>
        <v>Dzahra Miftahuljanah - P</v>
      </c>
      <c r="C16" s="4" t="str">
        <f>IFERROR(__xludf.DUMMYFUNCTION("""COMPUTED_VALUE"""),"P")</f>
        <v>P</v>
      </c>
      <c r="D16" s="4">
        <f>IFERROR(__xludf.DUMMYFUNCTION("""COMPUTED_VALUE"""),33.0)</f>
        <v>33</v>
      </c>
      <c r="E16" s="4" t="str">
        <f>IFERROR(__xludf.DUMMYFUNCTION("""COMPUTED_VALUE"""),"X1")</f>
        <v>X1</v>
      </c>
      <c r="F16" s="5" t="str">
        <f>IFERROR(__xludf.DUMMYFUNCTION("""COMPUTED_VALUE"""),"33 - X1 - Dzahra Miftahuljanah - P")</f>
        <v>33 - X1 - Dzahra Miftahuljanah - P</v>
      </c>
      <c r="G16" s="3"/>
      <c r="H16" s="3"/>
      <c r="I16" s="3"/>
      <c r="J16" s="3"/>
      <c r="K16" s="3"/>
      <c r="L16" s="3"/>
      <c r="M16" s="3"/>
    </row>
    <row r="17">
      <c r="A17" s="4" t="str">
        <f>IFERROR(__xludf.DUMMYFUNCTION("""COMPUTED_VALUE"""),"0102644442 / 252610193")</f>
        <v>0102644442 / 252610193</v>
      </c>
      <c r="B17" s="4" t="str">
        <f>IFERROR(__xludf.DUMMYFUNCTION("""COMPUTED_VALUE"""),"Fakhri Haikal Alvito Rachmat - L")</f>
        <v>Fakhri Haikal Alvito Rachmat - L</v>
      </c>
      <c r="C17" s="4" t="str">
        <f>IFERROR(__xludf.DUMMYFUNCTION("""COMPUTED_VALUE"""),"L")</f>
        <v>L</v>
      </c>
      <c r="D17" s="4">
        <f>IFERROR(__xludf.DUMMYFUNCTION("""COMPUTED_VALUE"""),33.0)</f>
        <v>33</v>
      </c>
      <c r="E17" s="4" t="str">
        <f>IFERROR(__xludf.DUMMYFUNCTION("""COMPUTED_VALUE"""),"X1")</f>
        <v>X1</v>
      </c>
      <c r="F17" s="5" t="str">
        <f>IFERROR(__xludf.DUMMYFUNCTION("""COMPUTED_VALUE"""),"33 - X1 - Fakhri Haikal Alvito Rachmat - L")</f>
        <v>33 - X1 - Fakhri Haikal Alvito Rachmat - L</v>
      </c>
      <c r="G17" s="3"/>
      <c r="H17" s="3"/>
      <c r="I17" s="3"/>
      <c r="J17" s="3"/>
      <c r="K17" s="3"/>
      <c r="L17" s="3"/>
      <c r="M17" s="3"/>
    </row>
    <row r="18">
      <c r="A18" s="4" t="str">
        <f>IFERROR(__xludf.DUMMYFUNCTION("""COMPUTED_VALUE"""),"0107657965 / 252610202")</f>
        <v>0107657965 / 252610202</v>
      </c>
      <c r="B18" s="4" t="str">
        <f>IFERROR(__xludf.DUMMYFUNCTION("""COMPUTED_VALUE"""),"Fathi Azzam Hawwari - L")</f>
        <v>Fathi Azzam Hawwari - L</v>
      </c>
      <c r="C18" s="4" t="str">
        <f>IFERROR(__xludf.DUMMYFUNCTION("""COMPUTED_VALUE"""),"L")</f>
        <v>L</v>
      </c>
      <c r="D18" s="4">
        <f>IFERROR(__xludf.DUMMYFUNCTION("""COMPUTED_VALUE"""),33.0)</f>
        <v>33</v>
      </c>
      <c r="E18" s="4" t="str">
        <f>IFERROR(__xludf.DUMMYFUNCTION("""COMPUTED_VALUE"""),"X1")</f>
        <v>X1</v>
      </c>
      <c r="F18" s="5" t="str">
        <f>IFERROR(__xludf.DUMMYFUNCTION("""COMPUTED_VALUE"""),"33 - X1 - Fathi Azzam Hawwari - L")</f>
        <v>33 - X1 - Fathi Azzam Hawwari - L</v>
      </c>
      <c r="G18" s="3"/>
      <c r="H18" s="3"/>
      <c r="I18" s="3"/>
      <c r="J18" s="3"/>
      <c r="K18" s="3"/>
      <c r="L18" s="3"/>
      <c r="M18" s="3"/>
    </row>
    <row r="19">
      <c r="A19" s="4" t="str">
        <f>IFERROR(__xludf.DUMMYFUNCTION("""COMPUTED_VALUE"""),"0095023834 / 252610206")</f>
        <v>0095023834 / 252610206</v>
      </c>
      <c r="B19" s="4" t="str">
        <f>IFERROR(__xludf.DUMMYFUNCTION("""COMPUTED_VALUE"""),"Fatimah Aszahra - P")</f>
        <v>Fatimah Aszahra - P</v>
      </c>
      <c r="C19" s="4" t="str">
        <f>IFERROR(__xludf.DUMMYFUNCTION("""COMPUTED_VALUE"""),"P")</f>
        <v>P</v>
      </c>
      <c r="D19" s="4">
        <f>IFERROR(__xludf.DUMMYFUNCTION("""COMPUTED_VALUE"""),33.0)</f>
        <v>33</v>
      </c>
      <c r="E19" s="4" t="str">
        <f>IFERROR(__xludf.DUMMYFUNCTION("""COMPUTED_VALUE"""),"X1")</f>
        <v>X1</v>
      </c>
      <c r="F19" s="5" t="str">
        <f>IFERROR(__xludf.DUMMYFUNCTION("""COMPUTED_VALUE"""),"33 - X1 - Fatimah Aszahra - P")</f>
        <v>33 - X1 - Fatimah Aszahra - P</v>
      </c>
      <c r="G19" s="3"/>
      <c r="H19" s="3"/>
      <c r="I19" s="3"/>
      <c r="J19" s="3"/>
      <c r="K19" s="3"/>
      <c r="L19" s="3"/>
      <c r="M19" s="3"/>
    </row>
    <row r="20">
      <c r="A20" s="4" t="str">
        <f>IFERROR(__xludf.DUMMYFUNCTION("""COMPUTED_VALUE"""),"0094631117 / 252610224")</f>
        <v>0094631117 / 252610224</v>
      </c>
      <c r="B20" s="4" t="str">
        <f>IFERROR(__xludf.DUMMYFUNCTION("""COMPUTED_VALUE"""),"Gwenna Irene Winata - P")</f>
        <v>Gwenna Irene Winata - P</v>
      </c>
      <c r="C20" s="4" t="str">
        <f>IFERROR(__xludf.DUMMYFUNCTION("""COMPUTED_VALUE"""),"P")</f>
        <v>P</v>
      </c>
      <c r="D20" s="4">
        <f>IFERROR(__xludf.DUMMYFUNCTION("""COMPUTED_VALUE"""),33.0)</f>
        <v>33</v>
      </c>
      <c r="E20" s="4" t="str">
        <f>IFERROR(__xludf.DUMMYFUNCTION("""COMPUTED_VALUE"""),"X1")</f>
        <v>X1</v>
      </c>
      <c r="F20" s="5" t="str">
        <f>IFERROR(__xludf.DUMMYFUNCTION("""COMPUTED_VALUE"""),"33 - X1 - Gwenna Irene Winata - P")</f>
        <v>33 - X1 - Gwenna Irene Winata - P</v>
      </c>
      <c r="G20" s="3"/>
      <c r="H20" s="3"/>
      <c r="I20" s="3"/>
      <c r="J20" s="3"/>
      <c r="K20" s="3"/>
      <c r="L20" s="3"/>
      <c r="M20" s="3"/>
    </row>
    <row r="21">
      <c r="A21" s="4" t="str">
        <f>IFERROR(__xludf.DUMMYFUNCTION("""COMPUTED_VALUE"""),"0092679798 / 252610239")</f>
        <v>0092679798 / 252610239</v>
      </c>
      <c r="B21" s="4" t="str">
        <f>IFERROR(__xludf.DUMMYFUNCTION("""COMPUTED_VALUE"""),"Jasmine Zahira Ramadhani - P")</f>
        <v>Jasmine Zahira Ramadhani - P</v>
      </c>
      <c r="C21" s="4" t="str">
        <f>IFERROR(__xludf.DUMMYFUNCTION("""COMPUTED_VALUE"""),"P")</f>
        <v>P</v>
      </c>
      <c r="D21" s="4">
        <f>IFERROR(__xludf.DUMMYFUNCTION("""COMPUTED_VALUE"""),33.0)</f>
        <v>33</v>
      </c>
      <c r="E21" s="4" t="str">
        <f>IFERROR(__xludf.DUMMYFUNCTION("""COMPUTED_VALUE"""),"X1")</f>
        <v>X1</v>
      </c>
      <c r="F21" s="5" t="str">
        <f>IFERROR(__xludf.DUMMYFUNCTION("""COMPUTED_VALUE"""),"33 - X1 - Jasmine Zahira Ramadhani - P")</f>
        <v>33 - X1 - Jasmine Zahira Ramadhani - P</v>
      </c>
      <c r="G21" s="3"/>
      <c r="H21" s="3"/>
      <c r="I21" s="3"/>
      <c r="J21" s="3"/>
      <c r="K21" s="3"/>
      <c r="L21" s="3"/>
      <c r="M21" s="3"/>
    </row>
    <row r="22">
      <c r="A22" s="4" t="str">
        <f>IFERROR(__xludf.DUMMYFUNCTION("""COMPUTED_VALUE"""),"0109256207 / 252610244")</f>
        <v>0109256207 / 252610244</v>
      </c>
      <c r="B22" s="4" t="str">
        <f>IFERROR(__xludf.DUMMYFUNCTION("""COMPUTED_VALUE"""),"Jesslyn Quinn Gabrielle Sitorus - P")</f>
        <v>Jesslyn Quinn Gabrielle Sitorus - P</v>
      </c>
      <c r="C22" s="4" t="str">
        <f>IFERROR(__xludf.DUMMYFUNCTION("""COMPUTED_VALUE"""),"P")</f>
        <v>P</v>
      </c>
      <c r="D22" s="4">
        <f>IFERROR(__xludf.DUMMYFUNCTION("""COMPUTED_VALUE"""),33.0)</f>
        <v>33</v>
      </c>
      <c r="E22" s="4" t="str">
        <f>IFERROR(__xludf.DUMMYFUNCTION("""COMPUTED_VALUE"""),"X1")</f>
        <v>X1</v>
      </c>
      <c r="F22" s="5" t="str">
        <f>IFERROR(__xludf.DUMMYFUNCTION("""COMPUTED_VALUE"""),"33 - X1 - Jesslyn Quinn Gabrielle Sitorus - P")</f>
        <v>33 - X1 - Jesslyn Quinn Gabrielle Sitorus - P</v>
      </c>
      <c r="G22" s="3"/>
      <c r="H22" s="3"/>
      <c r="I22" s="3"/>
      <c r="J22" s="3"/>
      <c r="K22" s="3"/>
      <c r="L22" s="3"/>
      <c r="M22" s="3"/>
    </row>
    <row r="23">
      <c r="A23" s="4" t="str">
        <f>IFERROR(__xludf.DUMMYFUNCTION("""COMPUTED_VALUE"""),"0103648473 / 252610246")</f>
        <v>0103648473 / 252610246</v>
      </c>
      <c r="B23" s="4" t="str">
        <f>IFERROR(__xludf.DUMMYFUNCTION("""COMPUTED_VALUE"""),"Jihan Al Hasya - P")</f>
        <v>Jihan Al Hasya - P</v>
      </c>
      <c r="C23" s="4" t="str">
        <f>IFERROR(__xludf.DUMMYFUNCTION("""COMPUTED_VALUE"""),"P")</f>
        <v>P</v>
      </c>
      <c r="D23" s="4">
        <f>IFERROR(__xludf.DUMMYFUNCTION("""COMPUTED_VALUE"""),33.0)</f>
        <v>33</v>
      </c>
      <c r="E23" s="4" t="str">
        <f>IFERROR(__xludf.DUMMYFUNCTION("""COMPUTED_VALUE"""),"X1")</f>
        <v>X1</v>
      </c>
      <c r="F23" s="5" t="str">
        <f>IFERROR(__xludf.DUMMYFUNCTION("""COMPUTED_VALUE"""),"33 - X1 - Jihan Al Hasya - P")</f>
        <v>33 - X1 - Jihan Al Hasya - P</v>
      </c>
      <c r="G23" s="3"/>
      <c r="H23" s="3"/>
      <c r="I23" s="3"/>
      <c r="J23" s="3"/>
      <c r="K23" s="3"/>
      <c r="L23" s="3"/>
      <c r="M23" s="3"/>
    </row>
    <row r="24">
      <c r="A24" s="4" t="str">
        <f>IFERROR(__xludf.DUMMYFUNCTION("""COMPUTED_VALUE"""),"0108537666 / 252610250")</f>
        <v>0108537666 / 252610250</v>
      </c>
      <c r="B24" s="4" t="str">
        <f>IFERROR(__xludf.DUMMYFUNCTION("""COMPUTED_VALUE"""),"Johanes Satria Yudha - L")</f>
        <v>Johanes Satria Yudha - L</v>
      </c>
      <c r="C24" s="4" t="str">
        <f>IFERROR(__xludf.DUMMYFUNCTION("""COMPUTED_VALUE"""),"L")</f>
        <v>L</v>
      </c>
      <c r="D24" s="4">
        <f>IFERROR(__xludf.DUMMYFUNCTION("""COMPUTED_VALUE"""),33.0)</f>
        <v>33</v>
      </c>
      <c r="E24" s="4" t="str">
        <f>IFERROR(__xludf.DUMMYFUNCTION("""COMPUTED_VALUE"""),"X1")</f>
        <v>X1</v>
      </c>
      <c r="F24" s="5" t="str">
        <f>IFERROR(__xludf.DUMMYFUNCTION("""COMPUTED_VALUE"""),"33 - X1 - Johanes Satria Yudha - L")</f>
        <v>33 - X1 - Johanes Satria Yudha - L</v>
      </c>
      <c r="G24" s="3"/>
      <c r="H24" s="3"/>
      <c r="I24" s="3"/>
      <c r="J24" s="3"/>
      <c r="K24" s="3"/>
      <c r="L24" s="3"/>
      <c r="M24" s="3"/>
    </row>
    <row r="25">
      <c r="A25" s="4" t="str">
        <f>IFERROR(__xludf.DUMMYFUNCTION("""COMPUTED_VALUE"""),"0098409943 / 252610304")</f>
        <v>0098409943 / 252610304</v>
      </c>
      <c r="B25" s="4" t="str">
        <f>IFERROR(__xludf.DUMMYFUNCTION("""COMPUTED_VALUE"""),"Kariswan Wahyudi - L")</f>
        <v>Kariswan Wahyudi - L</v>
      </c>
      <c r="C25" s="4" t="str">
        <f>IFERROR(__xludf.DUMMYFUNCTION("""COMPUTED_VALUE"""),"L")</f>
        <v>L</v>
      </c>
      <c r="D25" s="4">
        <f>IFERROR(__xludf.DUMMYFUNCTION("""COMPUTED_VALUE"""),33.0)</f>
        <v>33</v>
      </c>
      <c r="E25" s="4" t="str">
        <f>IFERROR(__xludf.DUMMYFUNCTION("""COMPUTED_VALUE"""),"X1")</f>
        <v>X1</v>
      </c>
      <c r="F25" s="5" t="str">
        <f>IFERROR(__xludf.DUMMYFUNCTION("""COMPUTED_VALUE"""),"33 - X1 - Kariswan Wahyudi - L")</f>
        <v>33 - X1 - Kariswan Wahyudi - L</v>
      </c>
      <c r="G25" s="3"/>
      <c r="H25" s="3"/>
      <c r="I25" s="3"/>
      <c r="J25" s="3"/>
      <c r="K25" s="3"/>
      <c r="L25" s="3"/>
      <c r="M25" s="3"/>
    </row>
    <row r="26">
      <c r="A26" s="4" t="str">
        <f>IFERROR(__xludf.DUMMYFUNCTION("""COMPUTED_VALUE"""),"0092985486 / 252610311")</f>
        <v>0092985486 / 252610311</v>
      </c>
      <c r="B26" s="4" t="str">
        <f>IFERROR(__xludf.DUMMYFUNCTION("""COMPUTED_VALUE"""),"Maria Rica Stefany Demu - P")</f>
        <v>Maria Rica Stefany Demu - P</v>
      </c>
      <c r="C26" s="4" t="str">
        <f>IFERROR(__xludf.DUMMYFUNCTION("""COMPUTED_VALUE"""),"P")</f>
        <v>P</v>
      </c>
      <c r="D26" s="4">
        <f>IFERROR(__xludf.DUMMYFUNCTION("""COMPUTED_VALUE"""),33.0)</f>
        <v>33</v>
      </c>
      <c r="E26" s="4" t="str">
        <f>IFERROR(__xludf.DUMMYFUNCTION("""COMPUTED_VALUE"""),"X1")</f>
        <v>X1</v>
      </c>
      <c r="F26" s="5" t="str">
        <f>IFERROR(__xludf.DUMMYFUNCTION("""COMPUTED_VALUE"""),"33 - X1 - Maria Rica Stefany Demu - P")</f>
        <v>33 - X1 - Maria Rica Stefany Demu - P</v>
      </c>
      <c r="G26" s="3"/>
      <c r="H26" s="3"/>
      <c r="I26" s="3"/>
      <c r="J26" s="3"/>
      <c r="K26" s="3"/>
      <c r="L26" s="3"/>
      <c r="M26" s="3"/>
    </row>
    <row r="27">
      <c r="A27" s="4" t="str">
        <f>IFERROR(__xludf.DUMMYFUNCTION("""COMPUTED_VALUE"""),"0094677765 / 252610313")</f>
        <v>0094677765 / 252610313</v>
      </c>
      <c r="B27" s="4" t="str">
        <f>IFERROR(__xludf.DUMMYFUNCTION("""COMPUTED_VALUE"""),"Melani Putri Triana - P")</f>
        <v>Melani Putri Triana - P</v>
      </c>
      <c r="C27" s="4" t="str">
        <f>IFERROR(__xludf.DUMMYFUNCTION("""COMPUTED_VALUE"""),"P")</f>
        <v>P</v>
      </c>
      <c r="D27" s="4">
        <f>IFERROR(__xludf.DUMMYFUNCTION("""COMPUTED_VALUE"""),33.0)</f>
        <v>33</v>
      </c>
      <c r="E27" s="4" t="str">
        <f>IFERROR(__xludf.DUMMYFUNCTION("""COMPUTED_VALUE"""),"X1")</f>
        <v>X1</v>
      </c>
      <c r="F27" s="5" t="str">
        <f>IFERROR(__xludf.DUMMYFUNCTION("""COMPUTED_VALUE"""),"33 - X1 - Melani Putri Triana - P")</f>
        <v>33 - X1 - Melani Putri Triana - P</v>
      </c>
      <c r="G27" s="3"/>
      <c r="H27" s="3"/>
      <c r="I27" s="3"/>
      <c r="J27" s="3"/>
      <c r="K27" s="3"/>
      <c r="L27" s="3"/>
      <c r="M27" s="3"/>
    </row>
    <row r="28">
      <c r="A28" s="4" t="str">
        <f>IFERROR(__xludf.DUMMYFUNCTION("""COMPUTED_VALUE"""),"0107959828 / 252610316")</f>
        <v>0107959828 / 252610316</v>
      </c>
      <c r="B28" s="4" t="str">
        <f>IFERROR(__xludf.DUMMYFUNCTION("""COMPUTED_VALUE"""),"Michael Mazmur Hatorangan Hutabarat - L")</f>
        <v>Michael Mazmur Hatorangan Hutabarat - L</v>
      </c>
      <c r="C28" s="4" t="str">
        <f>IFERROR(__xludf.DUMMYFUNCTION("""COMPUTED_VALUE"""),"L")</f>
        <v>L</v>
      </c>
      <c r="D28" s="4">
        <f>IFERROR(__xludf.DUMMYFUNCTION("""COMPUTED_VALUE"""),33.0)</f>
        <v>33</v>
      </c>
      <c r="E28" s="4" t="str">
        <f>IFERROR(__xludf.DUMMYFUNCTION("""COMPUTED_VALUE"""),"X1")</f>
        <v>X1</v>
      </c>
      <c r="F28" s="5" t="str">
        <f>IFERROR(__xludf.DUMMYFUNCTION("""COMPUTED_VALUE"""),"33 - X1 - Michael Mazmur Hatorangan Hutabarat - L")</f>
        <v>33 - X1 - Michael Mazmur Hatorangan Hutabarat - L</v>
      </c>
      <c r="G28" s="3"/>
      <c r="H28" s="3"/>
      <c r="I28" s="3"/>
      <c r="J28" s="3"/>
      <c r="K28" s="3"/>
      <c r="L28" s="3"/>
      <c r="M28" s="3"/>
    </row>
    <row r="29">
      <c r="A29" s="4" t="str">
        <f>IFERROR(__xludf.DUMMYFUNCTION("""COMPUTED_VALUE"""),"0092600602 / 252610330")</f>
        <v>0092600602 / 252610330</v>
      </c>
      <c r="B29" s="4" t="str">
        <f>IFERROR(__xludf.DUMMYFUNCTION("""COMPUTED_VALUE"""),"Mochamad Nayaka Tuharea - L")</f>
        <v>Mochamad Nayaka Tuharea - L</v>
      </c>
      <c r="C29" s="4" t="str">
        <f>IFERROR(__xludf.DUMMYFUNCTION("""COMPUTED_VALUE"""),"L")</f>
        <v>L</v>
      </c>
      <c r="D29" s="4">
        <f>IFERROR(__xludf.DUMMYFUNCTION("""COMPUTED_VALUE"""),33.0)</f>
        <v>33</v>
      </c>
      <c r="E29" s="4" t="str">
        <f>IFERROR(__xludf.DUMMYFUNCTION("""COMPUTED_VALUE"""),"X1")</f>
        <v>X1</v>
      </c>
      <c r="F29" s="5" t="str">
        <f>IFERROR(__xludf.DUMMYFUNCTION("""COMPUTED_VALUE"""),"33 - X1 - Mochamad Nayaka Tuharea - L")</f>
        <v>33 - X1 - Mochamad Nayaka Tuharea - L</v>
      </c>
      <c r="G29" s="3"/>
      <c r="H29" s="3"/>
      <c r="I29" s="3"/>
      <c r="J29" s="3"/>
      <c r="K29" s="3"/>
      <c r="L29" s="3"/>
      <c r="M29" s="3"/>
    </row>
    <row r="30">
      <c r="A30" s="4" t="str">
        <f>IFERROR(__xludf.DUMMYFUNCTION("""COMPUTED_VALUE"""),"0108695912 / 252610334")</f>
        <v>0108695912 / 252610334</v>
      </c>
      <c r="B30" s="4" t="str">
        <f>IFERROR(__xludf.DUMMYFUNCTION("""COMPUTED_VALUE"""),"Muhamad Septian Romadhon - L")</f>
        <v>Muhamad Septian Romadhon - L</v>
      </c>
      <c r="C30" s="4" t="str">
        <f>IFERROR(__xludf.DUMMYFUNCTION("""COMPUTED_VALUE"""),"L")</f>
        <v>L</v>
      </c>
      <c r="D30" s="4">
        <f>IFERROR(__xludf.DUMMYFUNCTION("""COMPUTED_VALUE"""),33.0)</f>
        <v>33</v>
      </c>
      <c r="E30" s="4" t="str">
        <f>IFERROR(__xludf.DUMMYFUNCTION("""COMPUTED_VALUE"""),"X1")</f>
        <v>X1</v>
      </c>
      <c r="F30" s="5" t="str">
        <f>IFERROR(__xludf.DUMMYFUNCTION("""COMPUTED_VALUE"""),"33 - X1 - Muhamad Septian Romadhon - L")</f>
        <v>33 - X1 - Muhamad Septian Romadhon - L</v>
      </c>
      <c r="G30" s="3"/>
      <c r="H30" s="3"/>
      <c r="I30" s="3"/>
      <c r="J30" s="3"/>
      <c r="K30" s="3"/>
      <c r="L30" s="3"/>
      <c r="M30" s="3"/>
    </row>
    <row r="31">
      <c r="A31" s="4" t="str">
        <f>IFERROR(__xludf.DUMMYFUNCTION("""COMPUTED_VALUE"""),"0093126257 / 252610343")</f>
        <v>0093126257 / 252610343</v>
      </c>
      <c r="B31" s="4" t="str">
        <f>IFERROR(__xludf.DUMMYFUNCTION("""COMPUTED_VALUE"""),"Muhammad Adrian Gianni Adam - L")</f>
        <v>Muhammad Adrian Gianni Adam - L</v>
      </c>
      <c r="C31" s="4" t="str">
        <f>IFERROR(__xludf.DUMMYFUNCTION("""COMPUTED_VALUE"""),"L")</f>
        <v>L</v>
      </c>
      <c r="D31" s="4">
        <f>IFERROR(__xludf.DUMMYFUNCTION("""COMPUTED_VALUE"""),33.0)</f>
        <v>33</v>
      </c>
      <c r="E31" s="4" t="str">
        <f>IFERROR(__xludf.DUMMYFUNCTION("""COMPUTED_VALUE"""),"X1")</f>
        <v>X1</v>
      </c>
      <c r="F31" s="5" t="str">
        <f>IFERROR(__xludf.DUMMYFUNCTION("""COMPUTED_VALUE"""),"33 - X1 - Muhammad Adrian Gianni Adam - L")</f>
        <v>33 - X1 - Muhammad Adrian Gianni Adam - L</v>
      </c>
      <c r="G31" s="3"/>
      <c r="H31" s="3"/>
      <c r="I31" s="3"/>
      <c r="J31" s="3"/>
      <c r="K31" s="3"/>
      <c r="L31" s="3"/>
      <c r="M31" s="3"/>
    </row>
    <row r="32">
      <c r="A32" s="4" t="str">
        <f>IFERROR(__xludf.DUMMYFUNCTION("""COMPUTED_VALUE"""),"3104497802 / 252610351")</f>
        <v>3104497802 / 252610351</v>
      </c>
      <c r="B32" s="4" t="str">
        <f>IFERROR(__xludf.DUMMYFUNCTION("""COMPUTED_VALUE"""),"Muhammad Chaerudin Ramdhani - L")</f>
        <v>Muhammad Chaerudin Ramdhani - L</v>
      </c>
      <c r="C32" s="4" t="str">
        <f>IFERROR(__xludf.DUMMYFUNCTION("""COMPUTED_VALUE"""),"L")</f>
        <v>L</v>
      </c>
      <c r="D32" s="4">
        <f>IFERROR(__xludf.DUMMYFUNCTION("""COMPUTED_VALUE"""),33.0)</f>
        <v>33</v>
      </c>
      <c r="E32" s="4" t="str">
        <f>IFERROR(__xludf.DUMMYFUNCTION("""COMPUTED_VALUE"""),"X1")</f>
        <v>X1</v>
      </c>
      <c r="F32" s="5" t="str">
        <f>IFERROR(__xludf.DUMMYFUNCTION("""COMPUTED_VALUE"""),"33 - X1 - Muhammad Chaerudin Ramdhani - L")</f>
        <v>33 - X1 - Muhammad Chaerudin Ramdhani - L</v>
      </c>
      <c r="G32" s="3"/>
      <c r="H32" s="3"/>
      <c r="I32" s="3"/>
      <c r="J32" s="3"/>
      <c r="K32" s="3"/>
      <c r="L32" s="3"/>
      <c r="M32" s="3"/>
    </row>
    <row r="33">
      <c r="A33" s="4" t="str">
        <f>IFERROR(__xludf.DUMMYFUNCTION("""COMPUTED_VALUE"""),"0108107461 / 252610369")</f>
        <v>0108107461 / 252610369</v>
      </c>
      <c r="B33" s="4" t="str">
        <f>IFERROR(__xludf.DUMMYFUNCTION("""COMPUTED_VALUE"""),"Muhammad Fathan Assidiq - L")</f>
        <v>Muhammad Fathan Assidiq - L</v>
      </c>
      <c r="C33" s="4" t="str">
        <f>IFERROR(__xludf.DUMMYFUNCTION("""COMPUTED_VALUE"""),"L")</f>
        <v>L</v>
      </c>
      <c r="D33" s="4">
        <f>IFERROR(__xludf.DUMMYFUNCTION("""COMPUTED_VALUE"""),33.0)</f>
        <v>33</v>
      </c>
      <c r="E33" s="4" t="str">
        <f>IFERROR(__xludf.DUMMYFUNCTION("""COMPUTED_VALUE"""),"X1")</f>
        <v>X1</v>
      </c>
      <c r="F33" s="5" t="str">
        <f>IFERROR(__xludf.DUMMYFUNCTION("""COMPUTED_VALUE"""),"33 - X1 - Muhammad Fathan Assidiq - L")</f>
        <v>33 - X1 - Muhammad Fathan Assidiq - L</v>
      </c>
      <c r="G33" s="3"/>
      <c r="H33" s="3"/>
      <c r="I33" s="3"/>
      <c r="J33" s="3"/>
      <c r="K33" s="3"/>
      <c r="L33" s="3"/>
      <c r="M33" s="3"/>
    </row>
    <row r="34">
      <c r="A34" s="4" t="str">
        <f>IFERROR(__xludf.DUMMYFUNCTION("""COMPUTED_VALUE"""),"0092807405 / 252610371")</f>
        <v>0092807405 / 252610371</v>
      </c>
      <c r="B34" s="4" t="str">
        <f>IFERROR(__xludf.DUMMYFUNCTION("""COMPUTED_VALUE"""),"Muhammad Rodzul Amrullah - L")</f>
        <v>Muhammad Rodzul Amrullah - L</v>
      </c>
      <c r="C34" s="4" t="str">
        <f>IFERROR(__xludf.DUMMYFUNCTION("""COMPUTED_VALUE"""),"L")</f>
        <v>L</v>
      </c>
      <c r="D34" s="4">
        <f>IFERROR(__xludf.DUMMYFUNCTION("""COMPUTED_VALUE"""),33.0)</f>
        <v>33</v>
      </c>
      <c r="E34" s="4" t="str">
        <f>IFERROR(__xludf.DUMMYFUNCTION("""COMPUTED_VALUE"""),"X1")</f>
        <v>X1</v>
      </c>
      <c r="F34" s="5" t="str">
        <f>IFERROR(__xludf.DUMMYFUNCTION("""COMPUTED_VALUE"""),"33 - X1 - Muhammad Rodzul Amrullah - L")</f>
        <v>33 - X1 - Muhammad Rodzul Amrullah - L</v>
      </c>
      <c r="G34" s="3"/>
      <c r="H34" s="3"/>
      <c r="I34" s="3"/>
      <c r="J34" s="3"/>
      <c r="K34" s="3"/>
      <c r="L34" s="3"/>
      <c r="M34" s="3"/>
    </row>
    <row r="35">
      <c r="A35" s="4" t="str">
        <f>IFERROR(__xludf.DUMMYFUNCTION("""COMPUTED_VALUE"""),"0102300207 / 252610390")</f>
        <v>0102300207 / 252610390</v>
      </c>
      <c r="B35" s="4" t="str">
        <f>IFERROR(__xludf.DUMMYFUNCTION("""COMPUTED_VALUE"""),"Nadya Salwa Altiara - P")</f>
        <v>Nadya Salwa Altiara - P</v>
      </c>
      <c r="C35" s="4" t="str">
        <f>IFERROR(__xludf.DUMMYFUNCTION("""COMPUTED_VALUE"""),"P")</f>
        <v>P</v>
      </c>
      <c r="D35" s="4">
        <f>IFERROR(__xludf.DUMMYFUNCTION("""COMPUTED_VALUE"""),33.0)</f>
        <v>33</v>
      </c>
      <c r="E35" s="4" t="str">
        <f>IFERROR(__xludf.DUMMYFUNCTION("""COMPUTED_VALUE"""),"X1")</f>
        <v>X1</v>
      </c>
      <c r="F35" s="5" t="str">
        <f>IFERROR(__xludf.DUMMYFUNCTION("""COMPUTED_VALUE"""),"33 - X1 - Nadya Salwa Altiara - P")</f>
        <v>33 - X1 - Nadya Salwa Altiara - P</v>
      </c>
      <c r="G35" s="3"/>
      <c r="H35" s="3"/>
      <c r="I35" s="3"/>
      <c r="J35" s="3"/>
      <c r="K35" s="3"/>
      <c r="L35" s="3"/>
      <c r="M35" s="3"/>
    </row>
    <row r="36">
      <c r="A36" s="4" t="str">
        <f>IFERROR(__xludf.DUMMYFUNCTION("""COMPUTED_VALUE"""),"0097892166 / 252610393")</f>
        <v>0097892166 / 252610393</v>
      </c>
      <c r="B36" s="4" t="str">
        <f>IFERROR(__xludf.DUMMYFUNCTION("""COMPUTED_VALUE"""),"Nailah Khoirunisa Arsanti - P")</f>
        <v>Nailah Khoirunisa Arsanti - P</v>
      </c>
      <c r="C36" s="4" t="str">
        <f>IFERROR(__xludf.DUMMYFUNCTION("""COMPUTED_VALUE"""),"P")</f>
        <v>P</v>
      </c>
      <c r="D36" s="4">
        <f>IFERROR(__xludf.DUMMYFUNCTION("""COMPUTED_VALUE"""),33.0)</f>
        <v>33</v>
      </c>
      <c r="E36" s="4" t="str">
        <f>IFERROR(__xludf.DUMMYFUNCTION("""COMPUTED_VALUE"""),"X1")</f>
        <v>X1</v>
      </c>
      <c r="F36" s="5" t="str">
        <f>IFERROR(__xludf.DUMMYFUNCTION("""COMPUTED_VALUE"""),"33 - X1 - Nailah Khoirunisa Arsanti - P")</f>
        <v>33 - X1 - Nailah Khoirunisa Arsanti - P</v>
      </c>
      <c r="G36" s="3"/>
      <c r="H36" s="3"/>
      <c r="I36" s="3"/>
      <c r="J36" s="3"/>
      <c r="K36" s="3"/>
      <c r="L36" s="3"/>
      <c r="M36" s="3"/>
    </row>
    <row r="37">
      <c r="A37" s="4" t="str">
        <f>IFERROR(__xludf.DUMMYFUNCTION("""COMPUTED_VALUE"""),"0097858274 / 252610423")</f>
        <v>0097858274 / 252610423</v>
      </c>
      <c r="B37" s="4" t="str">
        <f>IFERROR(__xludf.DUMMYFUNCTION("""COMPUTED_VALUE"""),"Novyola Safitri - P")</f>
        <v>Novyola Safitri - P</v>
      </c>
      <c r="C37" s="4" t="str">
        <f>IFERROR(__xludf.DUMMYFUNCTION("""COMPUTED_VALUE"""),"P")</f>
        <v>P</v>
      </c>
      <c r="D37" s="4">
        <f>IFERROR(__xludf.DUMMYFUNCTION("""COMPUTED_VALUE"""),33.0)</f>
        <v>33</v>
      </c>
      <c r="E37" s="4" t="str">
        <f>IFERROR(__xludf.DUMMYFUNCTION("""COMPUTED_VALUE"""),"X1")</f>
        <v>X1</v>
      </c>
      <c r="F37" s="5" t="str">
        <f>IFERROR(__xludf.DUMMYFUNCTION("""COMPUTED_VALUE"""),"33 - X1 - Novyola Safitri - P")</f>
        <v>33 - X1 - Novyola Safitri - P</v>
      </c>
      <c r="G37" s="3"/>
      <c r="H37" s="3"/>
      <c r="I37" s="3"/>
      <c r="J37" s="3"/>
      <c r="K37" s="3"/>
      <c r="L37" s="3"/>
      <c r="M37" s="3"/>
    </row>
    <row r="38">
      <c r="A38" s="4" t="str">
        <f>IFERROR(__xludf.DUMMYFUNCTION("""COMPUTED_VALUE"""),"0093105045 / 252610424")</f>
        <v>0093105045 / 252610424</v>
      </c>
      <c r="B38" s="4" t="str">
        <f>IFERROR(__xludf.DUMMYFUNCTION("""COMPUTED_VALUE"""),"Nur Alifah Silvia - P")</f>
        <v>Nur Alifah Silvia - P</v>
      </c>
      <c r="C38" s="4" t="str">
        <f>IFERROR(__xludf.DUMMYFUNCTION("""COMPUTED_VALUE"""),"P")</f>
        <v>P</v>
      </c>
      <c r="D38" s="4">
        <f>IFERROR(__xludf.DUMMYFUNCTION("""COMPUTED_VALUE"""),33.0)</f>
        <v>33</v>
      </c>
      <c r="E38" s="4" t="str">
        <f>IFERROR(__xludf.DUMMYFUNCTION("""COMPUTED_VALUE"""),"X1")</f>
        <v>X1</v>
      </c>
      <c r="F38" s="5" t="str">
        <f>IFERROR(__xludf.DUMMYFUNCTION("""COMPUTED_VALUE"""),"33 - X1 - Nur Alifah Silvia - P")</f>
        <v>33 - X1 - Nur Alifah Silvia - P</v>
      </c>
      <c r="G38" s="3"/>
      <c r="H38" s="3"/>
      <c r="I38" s="3"/>
      <c r="J38" s="3"/>
      <c r="K38" s="3"/>
      <c r="L38" s="3"/>
      <c r="M38" s="3"/>
    </row>
    <row r="39">
      <c r="A39" s="4" t="str">
        <f>IFERROR(__xludf.DUMMYFUNCTION("""COMPUTED_VALUE"""),"0095438030 / 252610436")</f>
        <v>0095438030 / 252610436</v>
      </c>
      <c r="B39" s="4" t="str">
        <f>IFERROR(__xludf.DUMMYFUNCTION("""COMPUTED_VALUE"""),"Pungki Yustisia Pertiwi - L")</f>
        <v>Pungki Yustisia Pertiwi - L</v>
      </c>
      <c r="C39" s="4" t="str">
        <f>IFERROR(__xludf.DUMMYFUNCTION("""COMPUTED_VALUE"""),"L")</f>
        <v>L</v>
      </c>
      <c r="D39" s="4">
        <f>IFERROR(__xludf.DUMMYFUNCTION("""COMPUTED_VALUE"""),33.0)</f>
        <v>33</v>
      </c>
      <c r="E39" s="4" t="str">
        <f>IFERROR(__xludf.DUMMYFUNCTION("""COMPUTED_VALUE"""),"X1")</f>
        <v>X1</v>
      </c>
      <c r="F39" s="5" t="str">
        <f>IFERROR(__xludf.DUMMYFUNCTION("""COMPUTED_VALUE"""),"33 - X1 - Pungki Yustisia Pertiwi - L")</f>
        <v>33 - X1 - Pungki Yustisia Pertiwi - L</v>
      </c>
      <c r="G39" s="3"/>
      <c r="H39" s="3"/>
      <c r="I39" s="3"/>
      <c r="J39" s="3"/>
      <c r="K39" s="3"/>
      <c r="L39" s="3"/>
      <c r="M39" s="3"/>
    </row>
    <row r="40">
      <c r="A40" s="4" t="str">
        <f>IFERROR(__xludf.DUMMYFUNCTION("""COMPUTED_VALUE"""),"0107914534 / 252610452")</f>
        <v>0107914534 / 252610452</v>
      </c>
      <c r="B40" s="4" t="str">
        <f>IFERROR(__xludf.DUMMYFUNCTION("""COMPUTED_VALUE"""),"Raden Gathan Azaki Soesilo - L")</f>
        <v>Raden Gathan Azaki Soesilo - L</v>
      </c>
      <c r="C40" s="4" t="str">
        <f>IFERROR(__xludf.DUMMYFUNCTION("""COMPUTED_VALUE"""),"L")</f>
        <v>L</v>
      </c>
      <c r="D40" s="4">
        <f>IFERROR(__xludf.DUMMYFUNCTION("""COMPUTED_VALUE"""),33.0)</f>
        <v>33</v>
      </c>
      <c r="E40" s="4" t="str">
        <f>IFERROR(__xludf.DUMMYFUNCTION("""COMPUTED_VALUE"""),"X1")</f>
        <v>X1</v>
      </c>
      <c r="F40" s="5" t="str">
        <f>IFERROR(__xludf.DUMMYFUNCTION("""COMPUTED_VALUE"""),"33 - X1 - Raden Gathan Azaki Soesilo - L")</f>
        <v>33 - X1 - Raden Gathan Azaki Soesilo - L</v>
      </c>
      <c r="G40" s="3"/>
      <c r="H40" s="3"/>
      <c r="I40" s="3"/>
      <c r="J40" s="3"/>
      <c r="K40" s="3"/>
      <c r="L40" s="3"/>
      <c r="M40" s="3"/>
    </row>
    <row r="41">
      <c r="A41" s="4" t="str">
        <f>IFERROR(__xludf.DUMMYFUNCTION("""COMPUTED_VALUE"""),"0097963483 / 252610454")</f>
        <v>0097963483 / 252610454</v>
      </c>
      <c r="B41" s="4" t="str">
        <f>IFERROR(__xludf.DUMMYFUNCTION("""COMPUTED_VALUE"""),"Raden Muhammad Rafi Wiranata - L")</f>
        <v>Raden Muhammad Rafi Wiranata - L</v>
      </c>
      <c r="C41" s="4" t="str">
        <f>IFERROR(__xludf.DUMMYFUNCTION("""COMPUTED_VALUE"""),"L")</f>
        <v>L</v>
      </c>
      <c r="D41" s="4">
        <f>IFERROR(__xludf.DUMMYFUNCTION("""COMPUTED_VALUE"""),33.0)</f>
        <v>33</v>
      </c>
      <c r="E41" s="4" t="str">
        <f>IFERROR(__xludf.DUMMYFUNCTION("""COMPUTED_VALUE"""),"X1")</f>
        <v>X1</v>
      </c>
      <c r="F41" s="5" t="str">
        <f>IFERROR(__xludf.DUMMYFUNCTION("""COMPUTED_VALUE"""),"33 - X1 - Raden Muhammad Rafi Wiranata - L")</f>
        <v>33 - X1 - Raden Muhammad Rafi Wiranata - L</v>
      </c>
      <c r="G41" s="3"/>
      <c r="H41" s="3"/>
      <c r="I41" s="3"/>
      <c r="J41" s="3"/>
      <c r="K41" s="3"/>
      <c r="L41" s="3"/>
      <c r="M41" s="3"/>
    </row>
    <row r="42">
      <c r="A42" s="4" t="str">
        <f>IFERROR(__xludf.DUMMYFUNCTION("""COMPUTED_VALUE"""),"0092135851 / 252610476")</f>
        <v>0092135851 / 252610476</v>
      </c>
      <c r="B42" s="4" t="str">
        <f>IFERROR(__xludf.DUMMYFUNCTION("""COMPUTED_VALUE"""),"Rayhan Ashabi - L")</f>
        <v>Rayhan Ashabi - L</v>
      </c>
      <c r="C42" s="4" t="str">
        <f>IFERROR(__xludf.DUMMYFUNCTION("""COMPUTED_VALUE"""),"L")</f>
        <v>L</v>
      </c>
      <c r="D42" s="4">
        <f>IFERROR(__xludf.DUMMYFUNCTION("""COMPUTED_VALUE"""),33.0)</f>
        <v>33</v>
      </c>
      <c r="E42" s="4" t="str">
        <f>IFERROR(__xludf.DUMMYFUNCTION("""COMPUTED_VALUE"""),"X1")</f>
        <v>X1</v>
      </c>
      <c r="F42" s="5" t="str">
        <f>IFERROR(__xludf.DUMMYFUNCTION("""COMPUTED_VALUE"""),"33 - X1 - Rayhan Ashabi - L")</f>
        <v>33 - X1 - Rayhan Ashabi - L</v>
      </c>
      <c r="G42" s="3"/>
      <c r="H42" s="3"/>
      <c r="I42" s="3"/>
      <c r="J42" s="3"/>
      <c r="K42" s="3"/>
      <c r="L42" s="3"/>
      <c r="M42" s="3"/>
    </row>
    <row r="43">
      <c r="A43" s="4" t="str">
        <f>IFERROR(__xludf.DUMMYFUNCTION("""COMPUTED_VALUE"""),"0092605198 / 252610477")</f>
        <v>0092605198 / 252610477</v>
      </c>
      <c r="B43" s="4" t="str">
        <f>IFERROR(__xludf.DUMMYFUNCTION("""COMPUTED_VALUE"""),"Rayhana Rizkya Al-Multazam - P")</f>
        <v>Rayhana Rizkya Al-Multazam - P</v>
      </c>
      <c r="C43" s="4" t="str">
        <f>IFERROR(__xludf.DUMMYFUNCTION("""COMPUTED_VALUE"""),"P")</f>
        <v>P</v>
      </c>
      <c r="D43" s="4">
        <f>IFERROR(__xludf.DUMMYFUNCTION("""COMPUTED_VALUE"""),33.0)</f>
        <v>33</v>
      </c>
      <c r="E43" s="4" t="str">
        <f>IFERROR(__xludf.DUMMYFUNCTION("""COMPUTED_VALUE"""),"X1")</f>
        <v>X1</v>
      </c>
      <c r="F43" s="5" t="str">
        <f>IFERROR(__xludf.DUMMYFUNCTION("""COMPUTED_VALUE"""),"33 - X1 - Rayhana Rizkya Al-Multazam - P")</f>
        <v>33 - X1 - Rayhana Rizkya Al-Multazam - P</v>
      </c>
      <c r="G43" s="3"/>
      <c r="H43" s="3"/>
      <c r="I43" s="3"/>
      <c r="J43" s="3"/>
      <c r="K43" s="3"/>
      <c r="L43" s="3"/>
      <c r="M43" s="3"/>
    </row>
    <row r="44">
      <c r="A44" s="4" t="str">
        <f>IFERROR(__xludf.DUMMYFUNCTION("""COMPUTED_VALUE"""),"0103151970 / 252610489")</f>
        <v>0103151970 / 252610489</v>
      </c>
      <c r="B44" s="4" t="str">
        <f>IFERROR(__xludf.DUMMYFUNCTION("""COMPUTED_VALUE"""),"Riffa Nugraha - P")</f>
        <v>Riffa Nugraha - P</v>
      </c>
      <c r="C44" s="4" t="str">
        <f>IFERROR(__xludf.DUMMYFUNCTION("""COMPUTED_VALUE"""),"P")</f>
        <v>P</v>
      </c>
      <c r="D44" s="4">
        <f>IFERROR(__xludf.DUMMYFUNCTION("""COMPUTED_VALUE"""),33.0)</f>
        <v>33</v>
      </c>
      <c r="E44" s="4" t="str">
        <f>IFERROR(__xludf.DUMMYFUNCTION("""COMPUTED_VALUE"""),"X1")</f>
        <v>X1</v>
      </c>
      <c r="F44" s="5" t="str">
        <f>IFERROR(__xludf.DUMMYFUNCTION("""COMPUTED_VALUE"""),"33 - X1 - Riffa Nugraha - P")</f>
        <v>33 - X1 - Riffa Nugraha - P</v>
      </c>
      <c r="G44" s="3"/>
      <c r="H44" s="3"/>
      <c r="I44" s="3"/>
      <c r="J44" s="3"/>
      <c r="K44" s="3"/>
      <c r="L44" s="3"/>
      <c r="M44" s="3"/>
    </row>
    <row r="45">
      <c r="A45" s="4" t="str">
        <f>IFERROR(__xludf.DUMMYFUNCTION("""COMPUTED_VALUE"""),"0097644165 / 252610508")</f>
        <v>0097644165 / 252610508</v>
      </c>
      <c r="B45" s="4" t="str">
        <f>IFERROR(__xludf.DUMMYFUNCTION("""COMPUTED_VALUE"""),"Salsabila Zahwa Mulana - P")</f>
        <v>Salsabila Zahwa Mulana - P</v>
      </c>
      <c r="C45" s="4" t="str">
        <f>IFERROR(__xludf.DUMMYFUNCTION("""COMPUTED_VALUE"""),"P")</f>
        <v>P</v>
      </c>
      <c r="D45" s="4">
        <f>IFERROR(__xludf.DUMMYFUNCTION("""COMPUTED_VALUE"""),33.0)</f>
        <v>33</v>
      </c>
      <c r="E45" s="4" t="str">
        <f>IFERROR(__xludf.DUMMYFUNCTION("""COMPUTED_VALUE"""),"X1")</f>
        <v>X1</v>
      </c>
      <c r="F45" s="5" t="str">
        <f>IFERROR(__xludf.DUMMYFUNCTION("""COMPUTED_VALUE"""),"33 - X1 - Salsabila Zahwa Mulana - P")</f>
        <v>33 - X1 - Salsabila Zahwa Mulana - P</v>
      </c>
      <c r="G45" s="3"/>
      <c r="H45" s="3"/>
      <c r="I45" s="3"/>
      <c r="J45" s="3"/>
      <c r="K45" s="3"/>
      <c r="L45" s="3"/>
      <c r="M45" s="3"/>
    </row>
    <row r="46">
      <c r="A46" s="4" t="str">
        <f>IFERROR(__xludf.DUMMYFUNCTION("""COMPUTED_VALUE"""),"0102657659 / 252610513")</f>
        <v>0102657659 / 252610513</v>
      </c>
      <c r="B46" s="4" t="str">
        <f>IFERROR(__xludf.DUMMYFUNCTION("""COMPUTED_VALUE"""),"Shabira Ayatul Husna - P")</f>
        <v>Shabira Ayatul Husna - P</v>
      </c>
      <c r="C46" s="4" t="str">
        <f>IFERROR(__xludf.DUMMYFUNCTION("""COMPUTED_VALUE"""),"P")</f>
        <v>P</v>
      </c>
      <c r="D46" s="4">
        <f>IFERROR(__xludf.DUMMYFUNCTION("""COMPUTED_VALUE"""),33.0)</f>
        <v>33</v>
      </c>
      <c r="E46" s="4" t="str">
        <f>IFERROR(__xludf.DUMMYFUNCTION("""COMPUTED_VALUE"""),"X1")</f>
        <v>X1</v>
      </c>
      <c r="F46" s="5" t="str">
        <f>IFERROR(__xludf.DUMMYFUNCTION("""COMPUTED_VALUE"""),"33 - X1 - Shabira Ayatul Husna - P")</f>
        <v>33 - X1 - Shabira Ayatul Husna - P</v>
      </c>
      <c r="G46" s="3"/>
      <c r="H46" s="3"/>
      <c r="I46" s="3"/>
      <c r="J46" s="3"/>
      <c r="K46" s="3"/>
      <c r="L46" s="3"/>
      <c r="M46" s="3"/>
    </row>
    <row r="47">
      <c r="A47" s="4" t="str">
        <f>IFERROR(__xludf.DUMMYFUNCTION("""COMPUTED_VALUE"""),"0111428850 / 252610564")</f>
        <v>0111428850 / 252610564</v>
      </c>
      <c r="B47" s="4" t="str">
        <f>IFERROR(__xludf.DUMMYFUNCTION("""COMPUTED_VALUE"""),"Zavier Lamya Arkanominatha - L")</f>
        <v>Zavier Lamya Arkanominatha - L</v>
      </c>
      <c r="C47" s="4" t="str">
        <f>IFERROR(__xludf.DUMMYFUNCTION("""COMPUTED_VALUE"""),"L")</f>
        <v>L</v>
      </c>
      <c r="D47" s="4">
        <f>IFERROR(__xludf.DUMMYFUNCTION("""COMPUTED_VALUE"""),33.0)</f>
        <v>33</v>
      </c>
      <c r="E47" s="4" t="str">
        <f>IFERROR(__xludf.DUMMYFUNCTION("""COMPUTED_VALUE"""),"X1")</f>
        <v>X1</v>
      </c>
      <c r="F47" s="5" t="str">
        <f>IFERROR(__xludf.DUMMYFUNCTION("""COMPUTED_VALUE"""),"33 - X1 - Zavier Lamya Arkanominatha - L")</f>
        <v>33 - X1 - Zavier Lamya Arkanominatha - L</v>
      </c>
      <c r="G47" s="3"/>
      <c r="H47" s="3"/>
      <c r="I47" s="3"/>
      <c r="J47" s="3"/>
      <c r="K47" s="3"/>
      <c r="L47" s="3"/>
      <c r="M47" s="3"/>
    </row>
    <row r="48">
      <c r="A48" s="4" t="str">
        <f>IFERROR(__xludf.DUMMYFUNCTION("""COMPUTED_VALUE"""),"0108505453 / 252610566")</f>
        <v>0108505453 / 252610566</v>
      </c>
      <c r="B48" s="4" t="str">
        <f>IFERROR(__xludf.DUMMYFUNCTION("""COMPUTED_VALUE"""),"Zhafirah Dwi Fauziah - P")</f>
        <v>Zhafirah Dwi Fauziah - P</v>
      </c>
      <c r="C48" s="4" t="str">
        <f>IFERROR(__xludf.DUMMYFUNCTION("""COMPUTED_VALUE"""),"P")</f>
        <v>P</v>
      </c>
      <c r="D48" s="4">
        <f>IFERROR(__xludf.DUMMYFUNCTION("""COMPUTED_VALUE"""),33.0)</f>
        <v>33</v>
      </c>
      <c r="E48" s="4" t="str">
        <f>IFERROR(__xludf.DUMMYFUNCTION("""COMPUTED_VALUE"""),"X1")</f>
        <v>X1</v>
      </c>
      <c r="F48" s="5" t="str">
        <f>IFERROR(__xludf.DUMMYFUNCTION("""COMPUTED_VALUE"""),"33 - X1 - Zhafirah Dwi Fauziah - P")</f>
        <v>33 - X1 - Zhafirah Dwi Fauziah - P</v>
      </c>
      <c r="G48" s="3"/>
      <c r="H48" s="3"/>
      <c r="I48" s="3"/>
      <c r="J48" s="3"/>
      <c r="K48" s="3"/>
      <c r="L48" s="3"/>
      <c r="M48" s="3"/>
    </row>
    <row r="49">
      <c r="A49" s="4" t="str">
        <f>IFERROR(__xludf.DUMMYFUNCTION("""COMPUTED_VALUE"""),"0094216870 / 252610011")</f>
        <v>0094216870 / 252610011</v>
      </c>
      <c r="B49" s="4" t="str">
        <f>IFERROR(__xludf.DUMMYFUNCTION("""COMPUTED_VALUE"""),"Adinda Syahira Hariyadi - P")</f>
        <v>Adinda Syahira Hariyadi - P</v>
      </c>
      <c r="C49" s="4" t="str">
        <f>IFERROR(__xludf.DUMMYFUNCTION("""COMPUTED_VALUE"""),"P")</f>
        <v>P</v>
      </c>
      <c r="D49" s="4">
        <f>IFERROR(__xludf.DUMMYFUNCTION("""COMPUTED_VALUE"""),33.0)</f>
        <v>33</v>
      </c>
      <c r="E49" s="4" t="str">
        <f>IFERROR(__xludf.DUMMYFUNCTION("""COMPUTED_VALUE"""),"X2")</f>
        <v>X2</v>
      </c>
      <c r="F49" s="5" t="str">
        <f>IFERROR(__xludf.DUMMYFUNCTION("""COMPUTED_VALUE"""),"33 - X2 - Adinda Syahira Hariyadi - P")</f>
        <v>33 - X2 - Adinda Syahira Hariyadi - P</v>
      </c>
      <c r="G49" s="3"/>
      <c r="H49" s="3"/>
      <c r="I49" s="3"/>
      <c r="J49" s="3"/>
      <c r="K49" s="3"/>
      <c r="L49" s="3"/>
      <c r="M49" s="3"/>
    </row>
    <row r="50">
      <c r="A50" s="4" t="str">
        <f>IFERROR(__xludf.DUMMYFUNCTION("""COMPUTED_VALUE"""),"0107760733 / 252610023")</f>
        <v>0107760733 / 252610023</v>
      </c>
      <c r="B50" s="4" t="str">
        <f>IFERROR(__xludf.DUMMYFUNCTION("""COMPUTED_VALUE"""),"Aira Aulia Putri - P")</f>
        <v>Aira Aulia Putri - P</v>
      </c>
      <c r="C50" s="4" t="str">
        <f>IFERROR(__xludf.DUMMYFUNCTION("""COMPUTED_VALUE"""),"P")</f>
        <v>P</v>
      </c>
      <c r="D50" s="4">
        <f>IFERROR(__xludf.DUMMYFUNCTION("""COMPUTED_VALUE"""),33.0)</f>
        <v>33</v>
      </c>
      <c r="E50" s="4" t="str">
        <f>IFERROR(__xludf.DUMMYFUNCTION("""COMPUTED_VALUE"""),"X2")</f>
        <v>X2</v>
      </c>
      <c r="F50" s="5" t="str">
        <f>IFERROR(__xludf.DUMMYFUNCTION("""COMPUTED_VALUE"""),"33 - X2 - Aira Aulia Putri - P")</f>
        <v>33 - X2 - Aira Aulia Putri - P</v>
      </c>
      <c r="G50" s="3"/>
      <c r="H50" s="3"/>
      <c r="I50" s="3"/>
      <c r="J50" s="3"/>
      <c r="K50" s="3"/>
      <c r="L50" s="3"/>
      <c r="M50" s="3"/>
    </row>
    <row r="51">
      <c r="A51" s="4" t="str">
        <f>IFERROR(__xludf.DUMMYFUNCTION("""COMPUTED_VALUE"""),"0105130233 / 252610026")</f>
        <v>0105130233 / 252610026</v>
      </c>
      <c r="B51" s="4" t="str">
        <f>IFERROR(__xludf.DUMMYFUNCTION("""COMPUTED_VALUE"""),"Aisha Faiha Dzakiyah - P")</f>
        <v>Aisha Faiha Dzakiyah - P</v>
      </c>
      <c r="C51" s="4" t="str">
        <f>IFERROR(__xludf.DUMMYFUNCTION("""COMPUTED_VALUE"""),"P")</f>
        <v>P</v>
      </c>
      <c r="D51" s="4">
        <f>IFERROR(__xludf.DUMMYFUNCTION("""COMPUTED_VALUE"""),33.0)</f>
        <v>33</v>
      </c>
      <c r="E51" s="4" t="str">
        <f>IFERROR(__xludf.DUMMYFUNCTION("""COMPUTED_VALUE"""),"X2")</f>
        <v>X2</v>
      </c>
      <c r="F51" s="5" t="str">
        <f>IFERROR(__xludf.DUMMYFUNCTION("""COMPUTED_VALUE"""),"33 - X2 - Aisha Faiha Dzakiyah - P")</f>
        <v>33 - X2 - Aisha Faiha Dzakiyah - P</v>
      </c>
      <c r="G51" s="3"/>
      <c r="H51" s="3"/>
      <c r="I51" s="3"/>
      <c r="J51" s="3"/>
      <c r="K51" s="3"/>
      <c r="L51" s="3"/>
      <c r="M51" s="3"/>
    </row>
    <row r="52">
      <c r="A52" s="4" t="str">
        <f>IFERROR(__xludf.DUMMYFUNCTION("""COMPUTED_VALUE"""),"0104550133 / 252610039")</f>
        <v>0104550133 / 252610039</v>
      </c>
      <c r="B52" s="4" t="str">
        <f>IFERROR(__xludf.DUMMYFUNCTION("""COMPUTED_VALUE"""),"Alifa Safa Salsabila - P")</f>
        <v>Alifa Safa Salsabila - P</v>
      </c>
      <c r="C52" s="4" t="str">
        <f>IFERROR(__xludf.DUMMYFUNCTION("""COMPUTED_VALUE"""),"P")</f>
        <v>P</v>
      </c>
      <c r="D52" s="4">
        <f>IFERROR(__xludf.DUMMYFUNCTION("""COMPUTED_VALUE"""),33.0)</f>
        <v>33</v>
      </c>
      <c r="E52" s="4" t="str">
        <f>IFERROR(__xludf.DUMMYFUNCTION("""COMPUTED_VALUE"""),"X2")</f>
        <v>X2</v>
      </c>
      <c r="F52" s="5" t="str">
        <f>IFERROR(__xludf.DUMMYFUNCTION("""COMPUTED_VALUE"""),"33 - X2 - Alifa Safa Salsabila - P")</f>
        <v>33 - X2 - Alifa Safa Salsabila - P</v>
      </c>
      <c r="G52" s="3"/>
      <c r="H52" s="3"/>
      <c r="I52" s="3"/>
      <c r="J52" s="3"/>
      <c r="K52" s="3"/>
      <c r="L52" s="3"/>
      <c r="M52" s="3"/>
    </row>
    <row r="53">
      <c r="A53" s="4" t="str">
        <f>IFERROR(__xludf.DUMMYFUNCTION("""COMPUTED_VALUE"""),"0095372504 / 252610050")</f>
        <v>0095372504 / 252610050</v>
      </c>
      <c r="B53" s="4" t="str">
        <f>IFERROR(__xludf.DUMMYFUNCTION("""COMPUTED_VALUE"""),"Alviana Dwie Putery - P")</f>
        <v>Alviana Dwie Putery - P</v>
      </c>
      <c r="C53" s="4" t="str">
        <f>IFERROR(__xludf.DUMMYFUNCTION("""COMPUTED_VALUE"""),"P")</f>
        <v>P</v>
      </c>
      <c r="D53" s="4">
        <f>IFERROR(__xludf.DUMMYFUNCTION("""COMPUTED_VALUE"""),33.0)</f>
        <v>33</v>
      </c>
      <c r="E53" s="4" t="str">
        <f>IFERROR(__xludf.DUMMYFUNCTION("""COMPUTED_VALUE"""),"X2")</f>
        <v>X2</v>
      </c>
      <c r="F53" s="5" t="str">
        <f>IFERROR(__xludf.DUMMYFUNCTION("""COMPUTED_VALUE"""),"33 - X2 - Alviana Dwie Putery - P")</f>
        <v>33 - X2 - Alviana Dwie Putery - P</v>
      </c>
      <c r="G53" s="3"/>
      <c r="H53" s="3"/>
      <c r="I53" s="3"/>
      <c r="J53" s="3"/>
      <c r="K53" s="3"/>
      <c r="L53" s="3"/>
      <c r="M53" s="3"/>
    </row>
    <row r="54">
      <c r="A54" s="4" t="str">
        <f>IFERROR(__xludf.DUMMYFUNCTION("""COMPUTED_VALUE"""),"0105813396 / 252610052")</f>
        <v>0105813396 / 252610052</v>
      </c>
      <c r="B54" s="4" t="str">
        <f>IFERROR(__xludf.DUMMYFUNCTION("""COMPUTED_VALUE"""),"Alyya Zahra Kusumadewi - P")</f>
        <v>Alyya Zahra Kusumadewi - P</v>
      </c>
      <c r="C54" s="4" t="str">
        <f>IFERROR(__xludf.DUMMYFUNCTION("""COMPUTED_VALUE"""),"P")</f>
        <v>P</v>
      </c>
      <c r="D54" s="4">
        <f>IFERROR(__xludf.DUMMYFUNCTION("""COMPUTED_VALUE"""),33.0)</f>
        <v>33</v>
      </c>
      <c r="E54" s="4" t="str">
        <f>IFERROR(__xludf.DUMMYFUNCTION("""COMPUTED_VALUE"""),"X2")</f>
        <v>X2</v>
      </c>
      <c r="F54" s="5" t="str">
        <f>IFERROR(__xludf.DUMMYFUNCTION("""COMPUTED_VALUE"""),"33 - X2 - Alyya Zahra Kusumadewi - P")</f>
        <v>33 - X2 - Alyya Zahra Kusumadewi - P</v>
      </c>
      <c r="G54" s="3"/>
      <c r="H54" s="3"/>
      <c r="I54" s="3"/>
      <c r="J54" s="3"/>
      <c r="K54" s="3"/>
      <c r="L54" s="3"/>
      <c r="M54" s="3"/>
    </row>
    <row r="55">
      <c r="A55" s="4" t="str">
        <f>IFERROR(__xludf.DUMMYFUNCTION("""COMPUTED_VALUE"""),"0109006152 / 252610058")</f>
        <v>0109006152 / 252610058</v>
      </c>
      <c r="B55" s="4" t="str">
        <f>IFERROR(__xludf.DUMMYFUNCTION("""COMPUTED_VALUE"""),"Ammar Raziq Mahdiya - L")</f>
        <v>Ammar Raziq Mahdiya - L</v>
      </c>
      <c r="C55" s="4" t="str">
        <f>IFERROR(__xludf.DUMMYFUNCTION("""COMPUTED_VALUE"""),"L")</f>
        <v>L</v>
      </c>
      <c r="D55" s="4">
        <f>IFERROR(__xludf.DUMMYFUNCTION("""COMPUTED_VALUE"""),33.0)</f>
        <v>33</v>
      </c>
      <c r="E55" s="4" t="str">
        <f>IFERROR(__xludf.DUMMYFUNCTION("""COMPUTED_VALUE"""),"X2")</f>
        <v>X2</v>
      </c>
      <c r="F55" s="5" t="str">
        <f>IFERROR(__xludf.DUMMYFUNCTION("""COMPUTED_VALUE"""),"33 - X2 - Ammar Raziq Mahdiya - L")</f>
        <v>33 - X2 - Ammar Raziq Mahdiya - L</v>
      </c>
      <c r="G55" s="3"/>
      <c r="H55" s="3"/>
      <c r="I55" s="3"/>
      <c r="J55" s="3"/>
      <c r="K55" s="3"/>
      <c r="L55" s="3"/>
      <c r="M55" s="3"/>
    </row>
    <row r="56">
      <c r="A56" s="4" t="str">
        <f>IFERROR(__xludf.DUMMYFUNCTION("""COMPUTED_VALUE"""),"0097211030 / 252610062")</f>
        <v>0097211030 / 252610062</v>
      </c>
      <c r="B56" s="4" t="str">
        <f>IFERROR(__xludf.DUMMYFUNCTION("""COMPUTED_VALUE"""),"Andini Qoriyati Khaerani - P")</f>
        <v>Andini Qoriyati Khaerani - P</v>
      </c>
      <c r="C56" s="4" t="str">
        <f>IFERROR(__xludf.DUMMYFUNCTION("""COMPUTED_VALUE"""),"P")</f>
        <v>P</v>
      </c>
      <c r="D56" s="4">
        <f>IFERROR(__xludf.DUMMYFUNCTION("""COMPUTED_VALUE"""),33.0)</f>
        <v>33</v>
      </c>
      <c r="E56" s="4" t="str">
        <f>IFERROR(__xludf.DUMMYFUNCTION("""COMPUTED_VALUE"""),"X2")</f>
        <v>X2</v>
      </c>
      <c r="F56" s="5" t="str">
        <f>IFERROR(__xludf.DUMMYFUNCTION("""COMPUTED_VALUE"""),"33 - X2 - Andini Qoriyati Khaerani - P")</f>
        <v>33 - X2 - Andini Qoriyati Khaerani - P</v>
      </c>
      <c r="G56" s="3"/>
      <c r="H56" s="3"/>
      <c r="I56" s="3"/>
      <c r="J56" s="3"/>
      <c r="K56" s="3"/>
      <c r="L56" s="3"/>
      <c r="M56" s="3"/>
    </row>
    <row r="57">
      <c r="A57" s="4" t="str">
        <f>IFERROR(__xludf.DUMMYFUNCTION("""COMPUTED_VALUE"""),"3108667209 / 252610070")</f>
        <v>3108667209 / 252610070</v>
      </c>
      <c r="B57" s="4" t="str">
        <f>IFERROR(__xludf.DUMMYFUNCTION("""COMPUTED_VALUE"""),"Aqeela Az Zahra - P")</f>
        <v>Aqeela Az Zahra - P</v>
      </c>
      <c r="C57" s="4" t="str">
        <f>IFERROR(__xludf.DUMMYFUNCTION("""COMPUTED_VALUE"""),"P")</f>
        <v>P</v>
      </c>
      <c r="D57" s="4">
        <f>IFERROR(__xludf.DUMMYFUNCTION("""COMPUTED_VALUE"""),33.0)</f>
        <v>33</v>
      </c>
      <c r="E57" s="4" t="str">
        <f>IFERROR(__xludf.DUMMYFUNCTION("""COMPUTED_VALUE"""),"X2")</f>
        <v>X2</v>
      </c>
      <c r="F57" s="5" t="str">
        <f>IFERROR(__xludf.DUMMYFUNCTION("""COMPUTED_VALUE"""),"33 - X2 - Aqeela Az Zahra - P")</f>
        <v>33 - X2 - Aqeela Az Zahra - P</v>
      </c>
      <c r="G57" s="3"/>
      <c r="H57" s="3"/>
      <c r="I57" s="3"/>
      <c r="J57" s="3"/>
      <c r="K57" s="3"/>
      <c r="L57" s="3"/>
      <c r="M57" s="3"/>
    </row>
    <row r="58">
      <c r="A58" s="4" t="str">
        <f>IFERROR(__xludf.DUMMYFUNCTION("""COMPUTED_VALUE"""),"0109904498 / 252610075")</f>
        <v>0109904498 / 252610075</v>
      </c>
      <c r="B58" s="4" t="str">
        <f>IFERROR(__xludf.DUMMYFUNCTION("""COMPUTED_VALUE"""),"Arfan Kristian Perlindungan Harefa - L")</f>
        <v>Arfan Kristian Perlindungan Harefa - L</v>
      </c>
      <c r="C58" s="4" t="str">
        <f>IFERROR(__xludf.DUMMYFUNCTION("""COMPUTED_VALUE"""),"L")</f>
        <v>L</v>
      </c>
      <c r="D58" s="4">
        <f>IFERROR(__xludf.DUMMYFUNCTION("""COMPUTED_VALUE"""),33.0)</f>
        <v>33</v>
      </c>
      <c r="E58" s="4" t="str">
        <f>IFERROR(__xludf.DUMMYFUNCTION("""COMPUTED_VALUE"""),"X2")</f>
        <v>X2</v>
      </c>
      <c r="F58" s="5" t="str">
        <f>IFERROR(__xludf.DUMMYFUNCTION("""COMPUTED_VALUE"""),"33 - X2 - Arfan Kristian Perlindungan Harefa - L")</f>
        <v>33 - X2 - Arfan Kristian Perlindungan Harefa - L</v>
      </c>
      <c r="G58" s="3"/>
      <c r="H58" s="3"/>
      <c r="I58" s="3"/>
      <c r="J58" s="3"/>
      <c r="K58" s="3"/>
      <c r="L58" s="3"/>
      <c r="M58" s="3"/>
    </row>
    <row r="59">
      <c r="A59" s="4" t="str">
        <f>IFERROR(__xludf.DUMMYFUNCTION("""COMPUTED_VALUE"""),"0098513542 / 252610084")</f>
        <v>0098513542 / 252610084</v>
      </c>
      <c r="B59" s="4" t="str">
        <f>IFERROR(__xludf.DUMMYFUNCTION("""COMPUTED_VALUE"""),"Ashiila Rindu Dwi Laufli - P")</f>
        <v>Ashiila Rindu Dwi Laufli - P</v>
      </c>
      <c r="C59" s="4" t="str">
        <f>IFERROR(__xludf.DUMMYFUNCTION("""COMPUTED_VALUE"""),"P")</f>
        <v>P</v>
      </c>
      <c r="D59" s="4">
        <f>IFERROR(__xludf.DUMMYFUNCTION("""COMPUTED_VALUE"""),33.0)</f>
        <v>33</v>
      </c>
      <c r="E59" s="4" t="str">
        <f>IFERROR(__xludf.DUMMYFUNCTION("""COMPUTED_VALUE"""),"X2")</f>
        <v>X2</v>
      </c>
      <c r="F59" s="5" t="str">
        <f>IFERROR(__xludf.DUMMYFUNCTION("""COMPUTED_VALUE"""),"33 - X2 - Ashiila Rindu Dwi Laufli - P")</f>
        <v>33 - X2 - Ashiila Rindu Dwi Laufli - P</v>
      </c>
      <c r="G59" s="3"/>
      <c r="H59" s="3"/>
      <c r="I59" s="3"/>
      <c r="J59" s="3"/>
      <c r="K59" s="3"/>
      <c r="L59" s="3"/>
      <c r="M59" s="3"/>
    </row>
    <row r="60">
      <c r="A60" s="4" t="str">
        <f>IFERROR(__xludf.DUMMYFUNCTION("""COMPUTED_VALUE"""),"0106376916 / 252610090")</f>
        <v>0106376916 / 252610090</v>
      </c>
      <c r="B60" s="4" t="str">
        <f>IFERROR(__xludf.DUMMYFUNCTION("""COMPUTED_VALUE"""),"Atharrayhan Abimanyu Pratama - P")</f>
        <v>Atharrayhan Abimanyu Pratama - P</v>
      </c>
      <c r="C60" s="4" t="str">
        <f>IFERROR(__xludf.DUMMYFUNCTION("""COMPUTED_VALUE"""),"P")</f>
        <v>P</v>
      </c>
      <c r="D60" s="4">
        <f>IFERROR(__xludf.DUMMYFUNCTION("""COMPUTED_VALUE"""),33.0)</f>
        <v>33</v>
      </c>
      <c r="E60" s="4" t="str">
        <f>IFERROR(__xludf.DUMMYFUNCTION("""COMPUTED_VALUE"""),"X2")</f>
        <v>X2</v>
      </c>
      <c r="F60" s="5" t="str">
        <f>IFERROR(__xludf.DUMMYFUNCTION("""COMPUTED_VALUE"""),"33 - X2 - Atharrayhan Abimanyu Pratama - P")</f>
        <v>33 - X2 - Atharrayhan Abimanyu Pratama - P</v>
      </c>
      <c r="G60" s="3"/>
      <c r="H60" s="3"/>
      <c r="I60" s="3"/>
      <c r="J60" s="3"/>
      <c r="K60" s="3"/>
      <c r="L60" s="3"/>
      <c r="M60" s="3"/>
    </row>
    <row r="61">
      <c r="A61" s="4" t="str">
        <f>IFERROR(__xludf.DUMMYFUNCTION("""COMPUTED_VALUE"""),"0105797314 / 252610102")</f>
        <v>0105797314 / 252610102</v>
      </c>
      <c r="B61" s="4" t="str">
        <f>IFERROR(__xludf.DUMMYFUNCTION("""COMPUTED_VALUE"""),"Aurelly Diana Zulkarnaen - P")</f>
        <v>Aurelly Diana Zulkarnaen - P</v>
      </c>
      <c r="C61" s="4" t="str">
        <f>IFERROR(__xludf.DUMMYFUNCTION("""COMPUTED_VALUE"""),"P")</f>
        <v>P</v>
      </c>
      <c r="D61" s="4">
        <f>IFERROR(__xludf.DUMMYFUNCTION("""COMPUTED_VALUE"""),33.0)</f>
        <v>33</v>
      </c>
      <c r="E61" s="4" t="str">
        <f>IFERROR(__xludf.DUMMYFUNCTION("""COMPUTED_VALUE"""),"X2")</f>
        <v>X2</v>
      </c>
      <c r="F61" s="5" t="str">
        <f>IFERROR(__xludf.DUMMYFUNCTION("""COMPUTED_VALUE"""),"33 - X2 - Aurelly Diana Zulkarnaen - P")</f>
        <v>33 - X2 - Aurelly Diana Zulkarnaen - P</v>
      </c>
      <c r="G61" s="3"/>
      <c r="H61" s="3"/>
      <c r="I61" s="3"/>
      <c r="J61" s="3"/>
      <c r="K61" s="3"/>
      <c r="L61" s="3"/>
      <c r="M61" s="3"/>
    </row>
    <row r="62">
      <c r="A62" s="4" t="str">
        <f>IFERROR(__xludf.DUMMYFUNCTION("""COMPUTED_VALUE"""),"0102731314 / 252610124")</f>
        <v>0102731314 / 252610124</v>
      </c>
      <c r="B62" s="4" t="str">
        <f>IFERROR(__xludf.DUMMYFUNCTION("""COMPUTED_VALUE"""),"Bima Adyatma Ilmiawan - L")</f>
        <v>Bima Adyatma Ilmiawan - L</v>
      </c>
      <c r="C62" s="4" t="str">
        <f>IFERROR(__xludf.DUMMYFUNCTION("""COMPUTED_VALUE"""),"L")</f>
        <v>L</v>
      </c>
      <c r="D62" s="4">
        <f>IFERROR(__xludf.DUMMYFUNCTION("""COMPUTED_VALUE"""),33.0)</f>
        <v>33</v>
      </c>
      <c r="E62" s="4" t="str">
        <f>IFERROR(__xludf.DUMMYFUNCTION("""COMPUTED_VALUE"""),"X2")</f>
        <v>X2</v>
      </c>
      <c r="F62" s="5" t="str">
        <f>IFERROR(__xludf.DUMMYFUNCTION("""COMPUTED_VALUE"""),"33 - X2 - Bima Adyatma Ilmiawan - L")</f>
        <v>33 - X2 - Bima Adyatma Ilmiawan - L</v>
      </c>
      <c r="G62" s="3"/>
      <c r="H62" s="3"/>
      <c r="I62" s="3"/>
      <c r="J62" s="3"/>
      <c r="K62" s="3"/>
      <c r="L62" s="3"/>
      <c r="M62" s="3"/>
    </row>
    <row r="63">
      <c r="A63" s="4" t="str">
        <f>IFERROR(__xludf.DUMMYFUNCTION("""COMPUTED_VALUE"""),"0092794157 / 252610139")</f>
        <v>0092794157 / 252610139</v>
      </c>
      <c r="B63" s="4" t="str">
        <f>IFERROR(__xludf.DUMMYFUNCTION("""COMPUTED_VALUE"""),"Cinta Cludia Putri - P")</f>
        <v>Cinta Cludia Putri - P</v>
      </c>
      <c r="C63" s="4" t="str">
        <f>IFERROR(__xludf.DUMMYFUNCTION("""COMPUTED_VALUE"""),"P")</f>
        <v>P</v>
      </c>
      <c r="D63" s="4">
        <f>IFERROR(__xludf.DUMMYFUNCTION("""COMPUTED_VALUE"""),33.0)</f>
        <v>33</v>
      </c>
      <c r="E63" s="4" t="str">
        <f>IFERROR(__xludf.DUMMYFUNCTION("""COMPUTED_VALUE"""),"X2")</f>
        <v>X2</v>
      </c>
      <c r="F63" s="5" t="str">
        <f>IFERROR(__xludf.DUMMYFUNCTION("""COMPUTED_VALUE"""),"33 - X2 - Cinta Cludia Putri - P")</f>
        <v>33 - X2 - Cinta Cludia Putri - P</v>
      </c>
      <c r="G63" s="3"/>
      <c r="H63" s="3"/>
      <c r="I63" s="3"/>
      <c r="J63" s="3"/>
      <c r="K63" s="3"/>
      <c r="L63" s="3"/>
      <c r="M63" s="3"/>
    </row>
    <row r="64">
      <c r="A64" s="4" t="str">
        <f>IFERROR(__xludf.DUMMYFUNCTION("""COMPUTED_VALUE"""),"0106384221 / 252610145")</f>
        <v>0106384221 / 252610145</v>
      </c>
      <c r="B64" s="4" t="str">
        <f>IFERROR(__xludf.DUMMYFUNCTION("""COMPUTED_VALUE"""),"Dafsyah Arifa Putra - L")</f>
        <v>Dafsyah Arifa Putra - L</v>
      </c>
      <c r="C64" s="4" t="str">
        <f>IFERROR(__xludf.DUMMYFUNCTION("""COMPUTED_VALUE"""),"L")</f>
        <v>L</v>
      </c>
      <c r="D64" s="4">
        <f>IFERROR(__xludf.DUMMYFUNCTION("""COMPUTED_VALUE"""),33.0)</f>
        <v>33</v>
      </c>
      <c r="E64" s="4" t="str">
        <f>IFERROR(__xludf.DUMMYFUNCTION("""COMPUTED_VALUE"""),"X2")</f>
        <v>X2</v>
      </c>
      <c r="F64" s="5" t="str">
        <f>IFERROR(__xludf.DUMMYFUNCTION("""COMPUTED_VALUE"""),"33 - X2 - Dafsyah Arifa Putra - L")</f>
        <v>33 - X2 - Dafsyah Arifa Putra - L</v>
      </c>
      <c r="G64" s="3"/>
      <c r="H64" s="3"/>
      <c r="I64" s="3"/>
      <c r="J64" s="3"/>
      <c r="K64" s="3"/>
      <c r="L64" s="3"/>
      <c r="M64" s="3"/>
    </row>
    <row r="65">
      <c r="A65" s="4" t="str">
        <f>IFERROR(__xludf.DUMMYFUNCTION("""COMPUTED_VALUE"""),"3104617391 / 252610153")</f>
        <v>3104617391 / 252610153</v>
      </c>
      <c r="B65" s="4" t="str">
        <f>IFERROR(__xludf.DUMMYFUNCTION("""COMPUTED_VALUE"""),"Denisa Azka Putri - P")</f>
        <v>Denisa Azka Putri - P</v>
      </c>
      <c r="C65" s="4" t="str">
        <f>IFERROR(__xludf.DUMMYFUNCTION("""COMPUTED_VALUE"""),"P")</f>
        <v>P</v>
      </c>
      <c r="D65" s="4">
        <f>IFERROR(__xludf.DUMMYFUNCTION("""COMPUTED_VALUE"""),33.0)</f>
        <v>33</v>
      </c>
      <c r="E65" s="4" t="str">
        <f>IFERROR(__xludf.DUMMYFUNCTION("""COMPUTED_VALUE"""),"X2")</f>
        <v>X2</v>
      </c>
      <c r="F65" s="5" t="str">
        <f>IFERROR(__xludf.DUMMYFUNCTION("""COMPUTED_VALUE"""),"33 - X2 - Denisa Azka Putri - P")</f>
        <v>33 - X2 - Denisa Azka Putri - P</v>
      </c>
      <c r="G65" s="3"/>
      <c r="H65" s="3"/>
      <c r="I65" s="3"/>
      <c r="J65" s="3"/>
      <c r="K65" s="3"/>
      <c r="L65" s="3"/>
      <c r="M65" s="3"/>
    </row>
    <row r="66">
      <c r="A66" s="4" t="str">
        <f>IFERROR(__xludf.DUMMYFUNCTION("""COMPUTED_VALUE"""),"0098157268 / 252610154")</f>
        <v>0098157268 / 252610154</v>
      </c>
      <c r="B66" s="4" t="str">
        <f>IFERROR(__xludf.DUMMYFUNCTION("""COMPUTED_VALUE"""),"Devani Keyla Noris - P")</f>
        <v>Devani Keyla Noris - P</v>
      </c>
      <c r="C66" s="4" t="str">
        <f>IFERROR(__xludf.DUMMYFUNCTION("""COMPUTED_VALUE"""),"P")</f>
        <v>P</v>
      </c>
      <c r="D66" s="4">
        <f>IFERROR(__xludf.DUMMYFUNCTION("""COMPUTED_VALUE"""),33.0)</f>
        <v>33</v>
      </c>
      <c r="E66" s="4" t="str">
        <f>IFERROR(__xludf.DUMMYFUNCTION("""COMPUTED_VALUE"""),"X2")</f>
        <v>X2</v>
      </c>
      <c r="F66" s="5" t="str">
        <f>IFERROR(__xludf.DUMMYFUNCTION("""COMPUTED_VALUE"""),"33 - X2 - Devani Keyla Noris - P")</f>
        <v>33 - X2 - Devani Keyla Noris - P</v>
      </c>
      <c r="G66" s="3"/>
      <c r="H66" s="3"/>
      <c r="I66" s="3"/>
      <c r="J66" s="3"/>
      <c r="K66" s="3"/>
      <c r="L66" s="3"/>
      <c r="M66" s="3"/>
    </row>
    <row r="67">
      <c r="A67" s="4" t="str">
        <f>IFERROR(__xludf.DUMMYFUNCTION("""COMPUTED_VALUE"""),"0099675945 / 252610164")</f>
        <v>0099675945 / 252610164</v>
      </c>
      <c r="B67" s="4" t="str">
        <f>IFERROR(__xludf.DUMMYFUNCTION("""COMPUTED_VALUE"""),"Dimas Putra Pribadi - L")</f>
        <v>Dimas Putra Pribadi - L</v>
      </c>
      <c r="C67" s="4" t="str">
        <f>IFERROR(__xludf.DUMMYFUNCTION("""COMPUTED_VALUE"""),"L")</f>
        <v>L</v>
      </c>
      <c r="D67" s="4">
        <f>IFERROR(__xludf.DUMMYFUNCTION("""COMPUTED_VALUE"""),33.0)</f>
        <v>33</v>
      </c>
      <c r="E67" s="4" t="str">
        <f>IFERROR(__xludf.DUMMYFUNCTION("""COMPUTED_VALUE"""),"X2")</f>
        <v>X2</v>
      </c>
      <c r="F67" s="5" t="str">
        <f>IFERROR(__xludf.DUMMYFUNCTION("""COMPUTED_VALUE"""),"33 - X2 - Dimas Putra Pribadi - L")</f>
        <v>33 - X2 - Dimas Putra Pribadi - L</v>
      </c>
      <c r="G67" s="3"/>
      <c r="H67" s="3"/>
      <c r="I67" s="3"/>
      <c r="J67" s="3"/>
      <c r="K67" s="3"/>
      <c r="L67" s="3"/>
      <c r="M67" s="3"/>
    </row>
    <row r="68">
      <c r="A68" s="4" t="str">
        <f>IFERROR(__xludf.DUMMYFUNCTION("""COMPUTED_VALUE"""),"0104532267 / 252610180")</f>
        <v>0104532267 / 252610180</v>
      </c>
      <c r="B68" s="4" t="str">
        <f>IFERROR(__xludf.DUMMYFUNCTION("""COMPUTED_VALUE"""),"Elvio Dyahyu Yusanto - L")</f>
        <v>Elvio Dyahyu Yusanto - L</v>
      </c>
      <c r="C68" s="4" t="str">
        <f>IFERROR(__xludf.DUMMYFUNCTION("""COMPUTED_VALUE"""),"L")</f>
        <v>L</v>
      </c>
      <c r="D68" s="4">
        <f>IFERROR(__xludf.DUMMYFUNCTION("""COMPUTED_VALUE"""),33.0)</f>
        <v>33</v>
      </c>
      <c r="E68" s="4" t="str">
        <f>IFERROR(__xludf.DUMMYFUNCTION("""COMPUTED_VALUE"""),"X2")</f>
        <v>X2</v>
      </c>
      <c r="F68" s="5" t="str">
        <f>IFERROR(__xludf.DUMMYFUNCTION("""COMPUTED_VALUE"""),"33 - X2 - Elvio Dyahyu Yusanto - L")</f>
        <v>33 - X2 - Elvio Dyahyu Yusanto - L</v>
      </c>
      <c r="G68" s="3"/>
      <c r="H68" s="3"/>
      <c r="I68" s="3"/>
      <c r="J68" s="3"/>
      <c r="K68" s="3"/>
      <c r="L68" s="3"/>
      <c r="M68" s="3"/>
    </row>
    <row r="69">
      <c r="A69" s="4" t="str">
        <f>IFERROR(__xludf.DUMMYFUNCTION("""COMPUTED_VALUE"""),"0097593921 / 252610181")</f>
        <v>0097593921 / 252610181</v>
      </c>
      <c r="B69" s="4" t="str">
        <f>IFERROR(__xludf.DUMMYFUNCTION("""COMPUTED_VALUE"""),"Enisye Putri Zeliawati Limpong - P")</f>
        <v>Enisye Putri Zeliawati Limpong - P</v>
      </c>
      <c r="C69" s="4" t="str">
        <f>IFERROR(__xludf.DUMMYFUNCTION("""COMPUTED_VALUE"""),"P")</f>
        <v>P</v>
      </c>
      <c r="D69" s="4">
        <f>IFERROR(__xludf.DUMMYFUNCTION("""COMPUTED_VALUE"""),33.0)</f>
        <v>33</v>
      </c>
      <c r="E69" s="4" t="str">
        <f>IFERROR(__xludf.DUMMYFUNCTION("""COMPUTED_VALUE"""),"X2")</f>
        <v>X2</v>
      </c>
      <c r="F69" s="5" t="str">
        <f>IFERROR(__xludf.DUMMYFUNCTION("""COMPUTED_VALUE"""),"33 - X2 - Enisye Putri Zeliawati Limpong - P")</f>
        <v>33 - X2 - Enisye Putri Zeliawati Limpong - P</v>
      </c>
      <c r="G69" s="3"/>
      <c r="H69" s="3"/>
      <c r="I69" s="3"/>
      <c r="J69" s="3"/>
      <c r="K69" s="3"/>
      <c r="L69" s="3"/>
      <c r="M69" s="3"/>
    </row>
    <row r="70">
      <c r="A70" s="4" t="str">
        <f>IFERROR(__xludf.DUMMYFUNCTION("""COMPUTED_VALUE"""),"0106157075 / 252610185")</f>
        <v>0106157075 / 252610185</v>
      </c>
      <c r="B70" s="4" t="str">
        <f>IFERROR(__xludf.DUMMYFUNCTION("""COMPUTED_VALUE"""),"Fabian Ahza Hidayat - L")</f>
        <v>Fabian Ahza Hidayat - L</v>
      </c>
      <c r="C70" s="4" t="str">
        <f>IFERROR(__xludf.DUMMYFUNCTION("""COMPUTED_VALUE"""),"L")</f>
        <v>L</v>
      </c>
      <c r="D70" s="4">
        <f>IFERROR(__xludf.DUMMYFUNCTION("""COMPUTED_VALUE"""),33.0)</f>
        <v>33</v>
      </c>
      <c r="E70" s="4" t="str">
        <f>IFERROR(__xludf.DUMMYFUNCTION("""COMPUTED_VALUE"""),"X2")</f>
        <v>X2</v>
      </c>
      <c r="F70" s="5" t="str">
        <f>IFERROR(__xludf.DUMMYFUNCTION("""COMPUTED_VALUE"""),"33 - X2 - Fabian Ahza Hidayat - L")</f>
        <v>33 - X2 - Fabian Ahza Hidayat - L</v>
      </c>
      <c r="G70" s="3"/>
      <c r="H70" s="3"/>
      <c r="I70" s="3"/>
      <c r="J70" s="3"/>
      <c r="K70" s="3"/>
      <c r="L70" s="3"/>
      <c r="M70" s="3"/>
    </row>
    <row r="71">
      <c r="A71" s="4" t="str">
        <f>IFERROR(__xludf.DUMMYFUNCTION("""COMPUTED_VALUE"""),"0104141415 / 252610186")</f>
        <v>0104141415 / 252610186</v>
      </c>
      <c r="B71" s="4" t="str">
        <f>IFERROR(__xludf.DUMMYFUNCTION("""COMPUTED_VALUE"""),"Fadhilah Raisa Kamilati - P")</f>
        <v>Fadhilah Raisa Kamilati - P</v>
      </c>
      <c r="C71" s="4" t="str">
        <f>IFERROR(__xludf.DUMMYFUNCTION("""COMPUTED_VALUE"""),"P")</f>
        <v>P</v>
      </c>
      <c r="D71" s="4">
        <f>IFERROR(__xludf.DUMMYFUNCTION("""COMPUTED_VALUE"""),33.0)</f>
        <v>33</v>
      </c>
      <c r="E71" s="4" t="str">
        <f>IFERROR(__xludf.DUMMYFUNCTION("""COMPUTED_VALUE"""),"X2")</f>
        <v>X2</v>
      </c>
      <c r="F71" s="5" t="str">
        <f>IFERROR(__xludf.DUMMYFUNCTION("""COMPUTED_VALUE"""),"33 - X2 - Fadhilah Raisa Kamilati - P")</f>
        <v>33 - X2 - Fadhilah Raisa Kamilati - P</v>
      </c>
      <c r="G71" s="3"/>
      <c r="H71" s="3"/>
      <c r="I71" s="3"/>
      <c r="J71" s="3"/>
      <c r="K71" s="3"/>
      <c r="L71" s="3"/>
      <c r="M71" s="3"/>
    </row>
    <row r="72">
      <c r="A72" s="4" t="str">
        <f>IFERROR(__xludf.DUMMYFUNCTION("""COMPUTED_VALUE"""),"0105606050 / 252610238")</f>
        <v>0105606050 / 252610238</v>
      </c>
      <c r="B72" s="4" t="str">
        <f>IFERROR(__xludf.DUMMYFUNCTION("""COMPUTED_VALUE"""),"Jasmine Makayla Putri Arvani - P")</f>
        <v>Jasmine Makayla Putri Arvani - P</v>
      </c>
      <c r="C72" s="4" t="str">
        <f>IFERROR(__xludf.DUMMYFUNCTION("""COMPUTED_VALUE"""),"P")</f>
        <v>P</v>
      </c>
      <c r="D72" s="4">
        <f>IFERROR(__xludf.DUMMYFUNCTION("""COMPUTED_VALUE"""),33.0)</f>
        <v>33</v>
      </c>
      <c r="E72" s="4" t="str">
        <f>IFERROR(__xludf.DUMMYFUNCTION("""COMPUTED_VALUE"""),"X2")</f>
        <v>X2</v>
      </c>
      <c r="F72" s="5" t="str">
        <f>IFERROR(__xludf.DUMMYFUNCTION("""COMPUTED_VALUE"""),"33 - X2 - Jasmine Makayla Putri Arvani - P")</f>
        <v>33 - X2 - Jasmine Makayla Putri Arvani - P</v>
      </c>
      <c r="G72" s="3"/>
      <c r="H72" s="3"/>
      <c r="I72" s="3"/>
      <c r="J72" s="3"/>
      <c r="K72" s="3"/>
      <c r="L72" s="3"/>
      <c r="M72" s="3"/>
    </row>
    <row r="73">
      <c r="A73" s="4" t="str">
        <f>IFERROR(__xludf.DUMMYFUNCTION("""COMPUTED_VALUE"""),"0094564578 / 252610277")</f>
        <v>0094564578 / 252610277</v>
      </c>
      <c r="B73" s="4" t="str">
        <f>IFERROR(__xludf.DUMMYFUNCTION("""COMPUTED_VALUE"""),"Khalid Ahmad Ghazali - L")</f>
        <v>Khalid Ahmad Ghazali - L</v>
      </c>
      <c r="C73" s="4" t="str">
        <f>IFERROR(__xludf.DUMMYFUNCTION("""COMPUTED_VALUE"""),"L")</f>
        <v>L</v>
      </c>
      <c r="D73" s="4">
        <f>IFERROR(__xludf.DUMMYFUNCTION("""COMPUTED_VALUE"""),33.0)</f>
        <v>33</v>
      </c>
      <c r="E73" s="4" t="str">
        <f>IFERROR(__xludf.DUMMYFUNCTION("""COMPUTED_VALUE"""),"X2")</f>
        <v>X2</v>
      </c>
      <c r="F73" s="5" t="str">
        <f>IFERROR(__xludf.DUMMYFUNCTION("""COMPUTED_VALUE"""),"33 - X2 - Khalid Ahmad Ghazali - L")</f>
        <v>33 - X2 - Khalid Ahmad Ghazali - L</v>
      </c>
      <c r="G73" s="3"/>
      <c r="H73" s="3"/>
      <c r="I73" s="3"/>
      <c r="J73" s="3"/>
      <c r="K73" s="3"/>
      <c r="L73" s="3"/>
      <c r="M73" s="3"/>
    </row>
    <row r="74">
      <c r="A74" s="4" t="str">
        <f>IFERROR(__xludf.DUMMYFUNCTION("""COMPUTED_VALUE"""),"0103261879 / 252610280")</f>
        <v>0103261879 / 252610280</v>
      </c>
      <c r="B74" s="4" t="str">
        <f>IFERROR(__xludf.DUMMYFUNCTION("""COMPUTED_VALUE"""),"Khansa Aulia Damtsa Hylmi - P")</f>
        <v>Khansa Aulia Damtsa Hylmi - P</v>
      </c>
      <c r="C74" s="4" t="str">
        <f>IFERROR(__xludf.DUMMYFUNCTION("""COMPUTED_VALUE"""),"P")</f>
        <v>P</v>
      </c>
      <c r="D74" s="4">
        <f>IFERROR(__xludf.DUMMYFUNCTION("""COMPUTED_VALUE"""),33.0)</f>
        <v>33</v>
      </c>
      <c r="E74" s="4" t="str">
        <f>IFERROR(__xludf.DUMMYFUNCTION("""COMPUTED_VALUE"""),"X2")</f>
        <v>X2</v>
      </c>
      <c r="F74" s="5" t="str">
        <f>IFERROR(__xludf.DUMMYFUNCTION("""COMPUTED_VALUE"""),"33 - X2 - Khansa Aulia Damtsa Hylmi - P")</f>
        <v>33 - X2 - Khansa Aulia Damtsa Hylmi - P</v>
      </c>
      <c r="G74" s="3"/>
      <c r="H74" s="3"/>
      <c r="I74" s="3"/>
      <c r="J74" s="3"/>
      <c r="K74" s="3"/>
      <c r="L74" s="3"/>
      <c r="M74" s="3"/>
    </row>
    <row r="75">
      <c r="A75" s="4" t="str">
        <f>IFERROR(__xludf.DUMMYFUNCTION("""COMPUTED_VALUE"""),"0109361118 / 252610290")</f>
        <v>0109361118 / 252610290</v>
      </c>
      <c r="B75" s="4" t="str">
        <f>IFERROR(__xludf.DUMMYFUNCTION("""COMPUTED_VALUE"""),"Lionel Boanerges Raffles Simangunsong - L")</f>
        <v>Lionel Boanerges Raffles Simangunsong - L</v>
      </c>
      <c r="C75" s="4" t="str">
        <f>IFERROR(__xludf.DUMMYFUNCTION("""COMPUTED_VALUE"""),"L")</f>
        <v>L</v>
      </c>
      <c r="D75" s="4">
        <f>IFERROR(__xludf.DUMMYFUNCTION("""COMPUTED_VALUE"""),33.0)</f>
        <v>33</v>
      </c>
      <c r="E75" s="4" t="str">
        <f>IFERROR(__xludf.DUMMYFUNCTION("""COMPUTED_VALUE"""),"X2")</f>
        <v>X2</v>
      </c>
      <c r="F75" s="5" t="str">
        <f>IFERROR(__xludf.DUMMYFUNCTION("""COMPUTED_VALUE"""),"33 - X2 - Lionel Boanerges Raffles Simangunsong - L")</f>
        <v>33 - X2 - Lionel Boanerges Raffles Simangunsong - L</v>
      </c>
      <c r="G75" s="3"/>
      <c r="H75" s="3"/>
      <c r="I75" s="3"/>
      <c r="J75" s="3"/>
      <c r="K75" s="3"/>
      <c r="L75" s="3"/>
      <c r="M75" s="3"/>
    </row>
    <row r="76">
      <c r="A76" s="4" t="str">
        <f>IFERROR(__xludf.DUMMYFUNCTION("""COMPUTED_VALUE"""),"0092576905 / 252610302")</f>
        <v>0092576905 / 252610302</v>
      </c>
      <c r="B76" s="4" t="str">
        <f>IFERROR(__xludf.DUMMYFUNCTION("""COMPUTED_VALUE"""),"Mardiansyah Isman - L")</f>
        <v>Mardiansyah Isman - L</v>
      </c>
      <c r="C76" s="4" t="str">
        <f>IFERROR(__xludf.DUMMYFUNCTION("""COMPUTED_VALUE"""),"L")</f>
        <v>L</v>
      </c>
      <c r="D76" s="4">
        <f>IFERROR(__xludf.DUMMYFUNCTION("""COMPUTED_VALUE"""),33.0)</f>
        <v>33</v>
      </c>
      <c r="E76" s="4" t="str">
        <f>IFERROR(__xludf.DUMMYFUNCTION("""COMPUTED_VALUE"""),"X2")</f>
        <v>X2</v>
      </c>
      <c r="F76" s="5" t="str">
        <f>IFERROR(__xludf.DUMMYFUNCTION("""COMPUTED_VALUE"""),"33 - X2 - Mardiansyah Isman - L")</f>
        <v>33 - X2 - Mardiansyah Isman - L</v>
      </c>
      <c r="G76" s="3"/>
      <c r="H76" s="3"/>
      <c r="I76" s="3"/>
      <c r="J76" s="3"/>
      <c r="K76" s="3"/>
      <c r="L76" s="3"/>
      <c r="M76" s="3"/>
    </row>
    <row r="77">
      <c r="A77" s="4" t="str">
        <f>IFERROR(__xludf.DUMMYFUNCTION("""COMPUTED_VALUE"""),"0099605205 / 252610319")</f>
        <v>0099605205 / 252610319</v>
      </c>
      <c r="B77" s="4" t="str">
        <f>IFERROR(__xludf.DUMMYFUNCTION("""COMPUTED_VALUE"""),"Mohammad Haikal - L")</f>
        <v>Mohammad Haikal - L</v>
      </c>
      <c r="C77" s="4" t="str">
        <f>IFERROR(__xludf.DUMMYFUNCTION("""COMPUTED_VALUE"""),"L")</f>
        <v>L</v>
      </c>
      <c r="D77" s="4">
        <f>IFERROR(__xludf.DUMMYFUNCTION("""COMPUTED_VALUE"""),33.0)</f>
        <v>33</v>
      </c>
      <c r="E77" s="4" t="str">
        <f>IFERROR(__xludf.DUMMYFUNCTION("""COMPUTED_VALUE"""),"X2")</f>
        <v>X2</v>
      </c>
      <c r="F77" s="5" t="str">
        <f>IFERROR(__xludf.DUMMYFUNCTION("""COMPUTED_VALUE"""),"33 - X2 - Mohammad Haikal - L")</f>
        <v>33 - X2 - Mohammad Haikal - L</v>
      </c>
      <c r="G77" s="3"/>
      <c r="H77" s="3"/>
      <c r="I77" s="3"/>
      <c r="J77" s="3"/>
      <c r="K77" s="3"/>
      <c r="L77" s="3"/>
      <c r="M77" s="3"/>
    </row>
    <row r="78">
      <c r="A78" s="4" t="str">
        <f>IFERROR(__xludf.DUMMYFUNCTION("""COMPUTED_VALUE"""),"0108384400 / 252610320")</f>
        <v>0108384400 / 252610320</v>
      </c>
      <c r="B78" s="4" t="str">
        <f>IFERROR(__xludf.DUMMYFUNCTION("""COMPUTED_VALUE"""),"Mohammad Irshad Faizanshah - L")</f>
        <v>Mohammad Irshad Faizanshah - L</v>
      </c>
      <c r="C78" s="4" t="str">
        <f>IFERROR(__xludf.DUMMYFUNCTION("""COMPUTED_VALUE"""),"L")</f>
        <v>L</v>
      </c>
      <c r="D78" s="4">
        <f>IFERROR(__xludf.DUMMYFUNCTION("""COMPUTED_VALUE"""),33.0)</f>
        <v>33</v>
      </c>
      <c r="E78" s="4" t="str">
        <f>IFERROR(__xludf.DUMMYFUNCTION("""COMPUTED_VALUE"""),"X2")</f>
        <v>X2</v>
      </c>
      <c r="F78" s="5" t="str">
        <f>IFERROR(__xludf.DUMMYFUNCTION("""COMPUTED_VALUE"""),"33 - X2 - Mohammad Irshad Faizanshah - L")</f>
        <v>33 - X2 - Mohammad Irshad Faizanshah - L</v>
      </c>
      <c r="G78" s="3"/>
      <c r="H78" s="3"/>
      <c r="I78" s="3"/>
      <c r="J78" s="3"/>
      <c r="K78" s="3"/>
      <c r="L78" s="3"/>
      <c r="M78" s="3"/>
    </row>
    <row r="79">
      <c r="A79" s="4" t="str">
        <f>IFERROR(__xludf.DUMMYFUNCTION("""COMPUTED_VALUE"""),"0098087445 / 252610332")</f>
        <v>0098087445 / 252610332</v>
      </c>
      <c r="B79" s="4" t="str">
        <f>IFERROR(__xludf.DUMMYFUNCTION("""COMPUTED_VALUE"""),"Muhamad Thoriq Al Rasyad - L")</f>
        <v>Muhamad Thoriq Al Rasyad - L</v>
      </c>
      <c r="C79" s="4" t="str">
        <f>IFERROR(__xludf.DUMMYFUNCTION("""COMPUTED_VALUE"""),"L")</f>
        <v>L</v>
      </c>
      <c r="D79" s="4">
        <f>IFERROR(__xludf.DUMMYFUNCTION("""COMPUTED_VALUE"""),33.0)</f>
        <v>33</v>
      </c>
      <c r="E79" s="4" t="str">
        <f>IFERROR(__xludf.DUMMYFUNCTION("""COMPUTED_VALUE"""),"X2")</f>
        <v>X2</v>
      </c>
      <c r="F79" s="5" t="str">
        <f>IFERROR(__xludf.DUMMYFUNCTION("""COMPUTED_VALUE"""),"33 - X2 - Muhamad Thoriq Al Rasyad - L")</f>
        <v>33 - X2 - Muhamad Thoriq Al Rasyad - L</v>
      </c>
      <c r="G79" s="3"/>
      <c r="H79" s="3"/>
      <c r="I79" s="3"/>
      <c r="J79" s="3"/>
      <c r="K79" s="3"/>
      <c r="L79" s="3"/>
      <c r="M79" s="3"/>
    </row>
    <row r="80">
      <c r="A80" s="4" t="str">
        <f>IFERROR(__xludf.DUMMYFUNCTION("""COMPUTED_VALUE"""),"0108518402 / 252610336")</f>
        <v>0108518402 / 252610336</v>
      </c>
      <c r="B80" s="4" t="str">
        <f>IFERROR(__xludf.DUMMYFUNCTION("""COMPUTED_VALUE"""),"Muhammad Akmaluddin - L")</f>
        <v>Muhammad Akmaluddin - L</v>
      </c>
      <c r="C80" s="4" t="str">
        <f>IFERROR(__xludf.DUMMYFUNCTION("""COMPUTED_VALUE"""),"L")</f>
        <v>L</v>
      </c>
      <c r="D80" s="4">
        <f>IFERROR(__xludf.DUMMYFUNCTION("""COMPUTED_VALUE"""),33.0)</f>
        <v>33</v>
      </c>
      <c r="E80" s="4" t="str">
        <f>IFERROR(__xludf.DUMMYFUNCTION("""COMPUTED_VALUE"""),"X2")</f>
        <v>X2</v>
      </c>
      <c r="F80" s="5" t="str">
        <f>IFERROR(__xludf.DUMMYFUNCTION("""COMPUTED_VALUE"""),"33 - X2 - Muhammad Akmaluddin - L")</f>
        <v>33 - X2 - Muhammad Akmaluddin - L</v>
      </c>
      <c r="G80" s="3"/>
      <c r="H80" s="3"/>
      <c r="I80" s="3"/>
      <c r="J80" s="3"/>
      <c r="K80" s="3"/>
      <c r="L80" s="3"/>
      <c r="M80" s="3"/>
    </row>
    <row r="81">
      <c r="A81" s="4" t="str">
        <f>IFERROR(__xludf.DUMMYFUNCTION("""COMPUTED_VALUE"""),"0098345742 / 252610338")</f>
        <v>0098345742 / 252610338</v>
      </c>
      <c r="B81" s="4" t="str">
        <f>IFERROR(__xludf.DUMMYFUNCTION("""COMPUTED_VALUE"""),"Muhammad Ariza Rizkya Irvan - L")</f>
        <v>Muhammad Ariza Rizkya Irvan - L</v>
      </c>
      <c r="C81" s="4" t="str">
        <f>IFERROR(__xludf.DUMMYFUNCTION("""COMPUTED_VALUE"""),"L")</f>
        <v>L</v>
      </c>
      <c r="D81" s="4">
        <f>IFERROR(__xludf.DUMMYFUNCTION("""COMPUTED_VALUE"""),33.0)</f>
        <v>33</v>
      </c>
      <c r="E81" s="4" t="str">
        <f>IFERROR(__xludf.DUMMYFUNCTION("""COMPUTED_VALUE"""),"X2")</f>
        <v>X2</v>
      </c>
      <c r="F81" s="5" t="str">
        <f>IFERROR(__xludf.DUMMYFUNCTION("""COMPUTED_VALUE"""),"33 - X2 - Muhammad Ariza Rizkya Irvan - L")</f>
        <v>33 - X2 - Muhammad Ariza Rizkya Irvan - L</v>
      </c>
      <c r="G81" s="3"/>
      <c r="H81" s="3"/>
      <c r="I81" s="3"/>
      <c r="J81" s="3"/>
      <c r="K81" s="3"/>
      <c r="L81" s="3"/>
      <c r="M81" s="3"/>
    </row>
    <row r="82">
      <c r="A82" s="4" t="str">
        <f>IFERROR(__xludf.DUMMYFUNCTION("""COMPUTED_VALUE"""),"0104535464 / 252610362")</f>
        <v>0104535464 / 252610362</v>
      </c>
      <c r="B82" s="4" t="str">
        <f>IFERROR(__xludf.DUMMYFUNCTION("""COMPUTED_VALUE"""),"Muhammad Nazam Rizal - L")</f>
        <v>Muhammad Nazam Rizal - L</v>
      </c>
      <c r="C82" s="4" t="str">
        <f>IFERROR(__xludf.DUMMYFUNCTION("""COMPUTED_VALUE"""),"L")</f>
        <v>L</v>
      </c>
      <c r="D82" s="4">
        <f>IFERROR(__xludf.DUMMYFUNCTION("""COMPUTED_VALUE"""),33.0)</f>
        <v>33</v>
      </c>
      <c r="E82" s="4" t="str">
        <f>IFERROR(__xludf.DUMMYFUNCTION("""COMPUTED_VALUE"""),"X2")</f>
        <v>X2</v>
      </c>
      <c r="F82" s="5" t="str">
        <f>IFERROR(__xludf.DUMMYFUNCTION("""COMPUTED_VALUE"""),"33 - X2 - Muhammad Nazam Rizal - L")</f>
        <v>33 - X2 - Muhammad Nazam Rizal - L</v>
      </c>
      <c r="G82" s="3"/>
      <c r="H82" s="3"/>
      <c r="I82" s="3"/>
      <c r="J82" s="3"/>
      <c r="K82" s="3"/>
      <c r="L82" s="3"/>
      <c r="M82" s="3"/>
    </row>
    <row r="83">
      <c r="A83" s="4" t="str">
        <f>IFERROR(__xludf.DUMMYFUNCTION("""COMPUTED_VALUE"""),"3107410887 / 252610365")</f>
        <v>3107410887 / 252610365</v>
      </c>
      <c r="B83" s="4" t="str">
        <f>IFERROR(__xludf.DUMMYFUNCTION("""COMPUTED_VALUE"""),"Muhammad Rasyad Mahdawi - L")</f>
        <v>Muhammad Rasyad Mahdawi - L</v>
      </c>
      <c r="C83" s="4" t="str">
        <f>IFERROR(__xludf.DUMMYFUNCTION("""COMPUTED_VALUE"""),"L")</f>
        <v>L</v>
      </c>
      <c r="D83" s="4">
        <f>IFERROR(__xludf.DUMMYFUNCTION("""COMPUTED_VALUE"""),33.0)</f>
        <v>33</v>
      </c>
      <c r="E83" s="4" t="str">
        <f>IFERROR(__xludf.DUMMYFUNCTION("""COMPUTED_VALUE"""),"X2")</f>
        <v>X2</v>
      </c>
      <c r="F83" s="5" t="str">
        <f>IFERROR(__xludf.DUMMYFUNCTION("""COMPUTED_VALUE"""),"33 - X2 - Muhammad Rasyad Mahdawi - L")</f>
        <v>33 - X2 - Muhammad Rasyad Mahdawi - L</v>
      </c>
      <c r="G83" s="3"/>
      <c r="H83" s="3"/>
      <c r="I83" s="3"/>
      <c r="J83" s="3"/>
      <c r="K83" s="3"/>
      <c r="L83" s="3"/>
      <c r="M83" s="3"/>
    </row>
    <row r="84">
      <c r="A84" s="4" t="str">
        <f>IFERROR(__xludf.DUMMYFUNCTION("""COMPUTED_VALUE"""),"0093768427 / 252610416")</f>
        <v>0093768427 / 252610416</v>
      </c>
      <c r="B84" s="4" t="str">
        <f>IFERROR(__xludf.DUMMYFUNCTION("""COMPUTED_VALUE"""),"Neng Rahmi Novianti - P")</f>
        <v>Neng Rahmi Novianti - P</v>
      </c>
      <c r="C84" s="4" t="str">
        <f>IFERROR(__xludf.DUMMYFUNCTION("""COMPUTED_VALUE"""),"P")</f>
        <v>P</v>
      </c>
      <c r="D84" s="4">
        <f>IFERROR(__xludf.DUMMYFUNCTION("""COMPUTED_VALUE"""),33.0)</f>
        <v>33</v>
      </c>
      <c r="E84" s="4" t="str">
        <f>IFERROR(__xludf.DUMMYFUNCTION("""COMPUTED_VALUE"""),"X2")</f>
        <v>X2</v>
      </c>
      <c r="F84" s="5" t="str">
        <f>IFERROR(__xludf.DUMMYFUNCTION("""COMPUTED_VALUE"""),"33 - X2 - Neng Rahmi Novianti - P")</f>
        <v>33 - X2 - Neng Rahmi Novianti - P</v>
      </c>
      <c r="G84" s="3"/>
      <c r="H84" s="3"/>
      <c r="I84" s="3"/>
      <c r="J84" s="3"/>
      <c r="K84" s="3"/>
      <c r="L84" s="3"/>
      <c r="M84" s="3"/>
    </row>
    <row r="85">
      <c r="A85" s="4" t="str">
        <f>IFERROR(__xludf.DUMMYFUNCTION("""COMPUTED_VALUE"""),"0103404970 / 252610419")</f>
        <v>0103404970 / 252610419</v>
      </c>
      <c r="B85" s="4" t="str">
        <f>IFERROR(__xludf.DUMMYFUNCTION("""COMPUTED_VALUE"""),"Niesha Anindya Firstsaly - P")</f>
        <v>Niesha Anindya Firstsaly - P</v>
      </c>
      <c r="C85" s="4" t="str">
        <f>IFERROR(__xludf.DUMMYFUNCTION("""COMPUTED_VALUE"""),"P")</f>
        <v>P</v>
      </c>
      <c r="D85" s="4">
        <f>IFERROR(__xludf.DUMMYFUNCTION("""COMPUTED_VALUE"""),33.0)</f>
        <v>33</v>
      </c>
      <c r="E85" s="4" t="str">
        <f>IFERROR(__xludf.DUMMYFUNCTION("""COMPUTED_VALUE"""),"X2")</f>
        <v>X2</v>
      </c>
      <c r="F85" s="5" t="str">
        <f>IFERROR(__xludf.DUMMYFUNCTION("""COMPUTED_VALUE"""),"33 - X2 - Niesha Anindya Firstsaly - P")</f>
        <v>33 - X2 - Niesha Anindya Firstsaly - P</v>
      </c>
      <c r="G85" s="3"/>
      <c r="H85" s="3"/>
      <c r="I85" s="3"/>
      <c r="J85" s="3"/>
      <c r="K85" s="3"/>
      <c r="L85" s="3"/>
      <c r="M85" s="3"/>
    </row>
    <row r="86">
      <c r="A86" s="4" t="str">
        <f>IFERROR(__xludf.DUMMYFUNCTION("""COMPUTED_VALUE"""),"0102495325 / 252610431")</f>
        <v>0102495325 / 252610431</v>
      </c>
      <c r="B86" s="4" t="str">
        <f>IFERROR(__xludf.DUMMYFUNCTION("""COMPUTED_VALUE"""),"Oryza Angelina Sitohang - P")</f>
        <v>Oryza Angelina Sitohang - P</v>
      </c>
      <c r="C86" s="4" t="str">
        <f>IFERROR(__xludf.DUMMYFUNCTION("""COMPUTED_VALUE"""),"P")</f>
        <v>P</v>
      </c>
      <c r="D86" s="4">
        <f>IFERROR(__xludf.DUMMYFUNCTION("""COMPUTED_VALUE"""),33.0)</f>
        <v>33</v>
      </c>
      <c r="E86" s="4" t="str">
        <f>IFERROR(__xludf.DUMMYFUNCTION("""COMPUTED_VALUE"""),"X2")</f>
        <v>X2</v>
      </c>
      <c r="F86" s="5" t="str">
        <f>IFERROR(__xludf.DUMMYFUNCTION("""COMPUTED_VALUE"""),"33 - X2 - Oryza Angelina Sitohang - P")</f>
        <v>33 - X2 - Oryza Angelina Sitohang - P</v>
      </c>
      <c r="G86" s="3"/>
      <c r="H86" s="3"/>
      <c r="I86" s="3"/>
      <c r="J86" s="3"/>
      <c r="K86" s="3"/>
      <c r="L86" s="3"/>
      <c r="M86" s="3"/>
    </row>
    <row r="87">
      <c r="A87" s="4" t="str">
        <f>IFERROR(__xludf.DUMMYFUNCTION("""COMPUTED_VALUE"""),"0106276801 / 252610434")</f>
        <v>0106276801 / 252610434</v>
      </c>
      <c r="B87" s="4" t="str">
        <f>IFERROR(__xludf.DUMMYFUNCTION("""COMPUTED_VALUE"""),"Priscillia Putri Viona - P")</f>
        <v>Priscillia Putri Viona - P</v>
      </c>
      <c r="C87" s="4" t="str">
        <f>IFERROR(__xludf.DUMMYFUNCTION("""COMPUTED_VALUE"""),"P")</f>
        <v>P</v>
      </c>
      <c r="D87" s="4">
        <f>IFERROR(__xludf.DUMMYFUNCTION("""COMPUTED_VALUE"""),33.0)</f>
        <v>33</v>
      </c>
      <c r="E87" s="4" t="str">
        <f>IFERROR(__xludf.DUMMYFUNCTION("""COMPUTED_VALUE"""),"X2")</f>
        <v>X2</v>
      </c>
      <c r="F87" s="5" t="str">
        <f>IFERROR(__xludf.DUMMYFUNCTION("""COMPUTED_VALUE"""),"33 - X2 - Priscillia Putri Viona - P")</f>
        <v>33 - X2 - Priscillia Putri Viona - P</v>
      </c>
      <c r="G87" s="3"/>
      <c r="H87" s="3"/>
      <c r="I87" s="3"/>
      <c r="J87" s="3"/>
      <c r="K87" s="3"/>
      <c r="L87" s="3"/>
      <c r="M87" s="3"/>
    </row>
    <row r="88">
      <c r="A88" s="4" t="str">
        <f>IFERROR(__xludf.DUMMYFUNCTION("""COMPUTED_VALUE"""),"0098833541 / 252610440")</f>
        <v>0098833541 / 252610440</v>
      </c>
      <c r="B88" s="4" t="str">
        <f>IFERROR(__xludf.DUMMYFUNCTION("""COMPUTED_VALUE"""),"Qaniah Mardiyah Salsabila - P")</f>
        <v>Qaniah Mardiyah Salsabila - P</v>
      </c>
      <c r="C88" s="4" t="str">
        <f>IFERROR(__xludf.DUMMYFUNCTION("""COMPUTED_VALUE"""),"P")</f>
        <v>P</v>
      </c>
      <c r="D88" s="4">
        <f>IFERROR(__xludf.DUMMYFUNCTION("""COMPUTED_VALUE"""),33.0)</f>
        <v>33</v>
      </c>
      <c r="E88" s="4" t="str">
        <f>IFERROR(__xludf.DUMMYFUNCTION("""COMPUTED_VALUE"""),"X2")</f>
        <v>X2</v>
      </c>
      <c r="F88" s="5" t="str">
        <f>IFERROR(__xludf.DUMMYFUNCTION("""COMPUTED_VALUE"""),"33 - X2 - Qaniah Mardiyah Salsabila - P")</f>
        <v>33 - X2 - Qaniah Mardiyah Salsabila - P</v>
      </c>
      <c r="G88" s="3"/>
      <c r="H88" s="3"/>
      <c r="I88" s="3"/>
      <c r="J88" s="3"/>
      <c r="K88" s="3"/>
      <c r="L88" s="3"/>
      <c r="M88" s="3"/>
    </row>
    <row r="89">
      <c r="A89" s="4" t="str">
        <f>IFERROR(__xludf.DUMMYFUNCTION("""COMPUTED_VALUE"""),"0095492963 / 252610467")</f>
        <v>0095492963 / 252610467</v>
      </c>
      <c r="B89" s="4" t="str">
        <f>IFERROR(__xludf.DUMMYFUNCTION("""COMPUTED_VALUE"""),"Raisha Puri Lianti - P")</f>
        <v>Raisha Puri Lianti - P</v>
      </c>
      <c r="C89" s="4" t="str">
        <f>IFERROR(__xludf.DUMMYFUNCTION("""COMPUTED_VALUE"""),"P")</f>
        <v>P</v>
      </c>
      <c r="D89" s="4">
        <f>IFERROR(__xludf.DUMMYFUNCTION("""COMPUTED_VALUE"""),33.0)</f>
        <v>33</v>
      </c>
      <c r="E89" s="4" t="str">
        <f>IFERROR(__xludf.DUMMYFUNCTION("""COMPUTED_VALUE"""),"X2")</f>
        <v>X2</v>
      </c>
      <c r="F89" s="5" t="str">
        <f>IFERROR(__xludf.DUMMYFUNCTION("""COMPUTED_VALUE"""),"33 - X2 - Raisha Puri Lianti - P")</f>
        <v>33 - X2 - Raisha Puri Lianti - P</v>
      </c>
      <c r="G89" s="3"/>
      <c r="H89" s="3"/>
      <c r="I89" s="3"/>
      <c r="J89" s="3"/>
      <c r="K89" s="3"/>
      <c r="L89" s="3"/>
      <c r="M89" s="3"/>
    </row>
    <row r="90">
      <c r="A90" s="4" t="str">
        <f>IFERROR(__xludf.DUMMYFUNCTION("""COMPUTED_VALUE"""),"0091964566 / 252610474")</f>
        <v>0091964566 / 252610474</v>
      </c>
      <c r="B90" s="4" t="str">
        <f>IFERROR(__xludf.DUMMYFUNCTION("""COMPUTED_VALUE"""),"Rasya Arkananta Mulya - P")</f>
        <v>Rasya Arkananta Mulya - P</v>
      </c>
      <c r="C90" s="4" t="str">
        <f>IFERROR(__xludf.DUMMYFUNCTION("""COMPUTED_VALUE"""),"P")</f>
        <v>P</v>
      </c>
      <c r="D90" s="4">
        <f>IFERROR(__xludf.DUMMYFUNCTION("""COMPUTED_VALUE"""),33.0)</f>
        <v>33</v>
      </c>
      <c r="E90" s="4" t="str">
        <f>IFERROR(__xludf.DUMMYFUNCTION("""COMPUTED_VALUE"""),"X2")</f>
        <v>X2</v>
      </c>
      <c r="F90" s="5" t="str">
        <f>IFERROR(__xludf.DUMMYFUNCTION("""COMPUTED_VALUE"""),"33 - X2 - Rasya Arkananta Mulya - P")</f>
        <v>33 - X2 - Rasya Arkananta Mulya - P</v>
      </c>
      <c r="G90" s="3"/>
      <c r="H90" s="3"/>
      <c r="I90" s="3"/>
      <c r="J90" s="3"/>
      <c r="K90" s="3"/>
      <c r="L90" s="3"/>
      <c r="M90" s="3"/>
    </row>
    <row r="91">
      <c r="A91" s="4" t="str">
        <f>IFERROR(__xludf.DUMMYFUNCTION("""COMPUTED_VALUE"""),"0092731928 / 252610497")</f>
        <v>0092731928 / 252610497</v>
      </c>
      <c r="B91" s="4" t="str">
        <f>IFERROR(__xludf.DUMMYFUNCTION("""COMPUTED_VALUE"""),"Rusvi Putri Ingguan - P")</f>
        <v>Rusvi Putri Ingguan - P</v>
      </c>
      <c r="C91" s="4" t="str">
        <f>IFERROR(__xludf.DUMMYFUNCTION("""COMPUTED_VALUE"""),"P")</f>
        <v>P</v>
      </c>
      <c r="D91" s="4">
        <f>IFERROR(__xludf.DUMMYFUNCTION("""COMPUTED_VALUE"""),33.0)</f>
        <v>33</v>
      </c>
      <c r="E91" s="4" t="str">
        <f>IFERROR(__xludf.DUMMYFUNCTION("""COMPUTED_VALUE"""),"X2")</f>
        <v>X2</v>
      </c>
      <c r="F91" s="5" t="str">
        <f>IFERROR(__xludf.DUMMYFUNCTION("""COMPUTED_VALUE"""),"33 - X2 - Rusvi Putri Ingguan - P")</f>
        <v>33 - X2 - Rusvi Putri Ingguan - P</v>
      </c>
      <c r="G91" s="3"/>
      <c r="H91" s="3"/>
      <c r="I91" s="3"/>
      <c r="J91" s="3"/>
      <c r="K91" s="3"/>
      <c r="L91" s="3"/>
      <c r="M91" s="3"/>
    </row>
    <row r="92">
      <c r="A92" s="4" t="str">
        <f>IFERROR(__xludf.DUMMYFUNCTION("""COMPUTED_VALUE"""),"0105816582 / 252610498")</f>
        <v>0105816582 / 252610498</v>
      </c>
      <c r="B92" s="4" t="str">
        <f>IFERROR(__xludf.DUMMYFUNCTION("""COMPUTED_VALUE"""),"Ruth Rafanela Syeby Siregar - P")</f>
        <v>Ruth Rafanela Syeby Siregar - P</v>
      </c>
      <c r="C92" s="4" t="str">
        <f>IFERROR(__xludf.DUMMYFUNCTION("""COMPUTED_VALUE"""),"P")</f>
        <v>P</v>
      </c>
      <c r="D92" s="4">
        <f>IFERROR(__xludf.DUMMYFUNCTION("""COMPUTED_VALUE"""),33.0)</f>
        <v>33</v>
      </c>
      <c r="E92" s="4" t="str">
        <f>IFERROR(__xludf.DUMMYFUNCTION("""COMPUTED_VALUE"""),"X2")</f>
        <v>X2</v>
      </c>
      <c r="F92" s="5" t="str">
        <f>IFERROR(__xludf.DUMMYFUNCTION("""COMPUTED_VALUE"""),"33 - X2 - Ruth Rafanela Syeby Siregar - P")</f>
        <v>33 - X2 - Ruth Rafanela Syeby Siregar - P</v>
      </c>
      <c r="G92" s="3"/>
      <c r="H92" s="3"/>
      <c r="I92" s="3"/>
      <c r="J92" s="3"/>
      <c r="K92" s="3"/>
      <c r="L92" s="3"/>
      <c r="M92" s="3"/>
    </row>
    <row r="93">
      <c r="A93" s="4" t="str">
        <f>IFERROR(__xludf.DUMMYFUNCTION("""COMPUTED_VALUE"""),"0102751293 / 252610546")</f>
        <v>0102751293 / 252610546</v>
      </c>
      <c r="B93" s="4" t="str">
        <f>IFERROR(__xludf.DUMMYFUNCTION("""COMPUTED_VALUE"""),"Titania Dwizita Shahla - P")</f>
        <v>Titania Dwizita Shahla - P</v>
      </c>
      <c r="C93" s="4" t="str">
        <f>IFERROR(__xludf.DUMMYFUNCTION("""COMPUTED_VALUE"""),"P")</f>
        <v>P</v>
      </c>
      <c r="D93" s="4">
        <f>IFERROR(__xludf.DUMMYFUNCTION("""COMPUTED_VALUE"""),33.0)</f>
        <v>33</v>
      </c>
      <c r="E93" s="4" t="str">
        <f>IFERROR(__xludf.DUMMYFUNCTION("""COMPUTED_VALUE"""),"X2")</f>
        <v>X2</v>
      </c>
      <c r="F93" s="5" t="str">
        <f>IFERROR(__xludf.DUMMYFUNCTION("""COMPUTED_VALUE"""),"33 - X2 - Titania Dwizita Shahla - P")</f>
        <v>33 - X2 - Titania Dwizita Shahla - P</v>
      </c>
      <c r="G93" s="3"/>
      <c r="H93" s="3"/>
      <c r="I93" s="3"/>
      <c r="J93" s="3"/>
      <c r="K93" s="3"/>
      <c r="L93" s="3"/>
      <c r="M93" s="3"/>
    </row>
    <row r="94">
      <c r="A94" s="4" t="str">
        <f>IFERROR(__xludf.DUMMYFUNCTION("""COMPUTED_VALUE"""),"0104292767 / 252610560")</f>
        <v>0104292767 / 252610560</v>
      </c>
      <c r="B94" s="4" t="str">
        <f>IFERROR(__xludf.DUMMYFUNCTION("""COMPUTED_VALUE"""),"Zaidan Riziq Sakha - L")</f>
        <v>Zaidan Riziq Sakha - L</v>
      </c>
      <c r="C94" s="4" t="str">
        <f>IFERROR(__xludf.DUMMYFUNCTION("""COMPUTED_VALUE"""),"L")</f>
        <v>L</v>
      </c>
      <c r="D94" s="4">
        <f>IFERROR(__xludf.DUMMYFUNCTION("""COMPUTED_VALUE"""),33.0)</f>
        <v>33</v>
      </c>
      <c r="E94" s="4" t="str">
        <f>IFERROR(__xludf.DUMMYFUNCTION("""COMPUTED_VALUE"""),"X2")</f>
        <v>X2</v>
      </c>
      <c r="F94" s="5" t="str">
        <f>IFERROR(__xludf.DUMMYFUNCTION("""COMPUTED_VALUE"""),"33 - X2 - Zaidan Riziq Sakha - L")</f>
        <v>33 - X2 - Zaidan Riziq Sakha - L</v>
      </c>
      <c r="G94" s="3"/>
      <c r="H94" s="3"/>
      <c r="I94" s="3"/>
      <c r="J94" s="3"/>
      <c r="K94" s="3"/>
      <c r="L94" s="3"/>
      <c r="M94" s="3"/>
    </row>
    <row r="95">
      <c r="A95" s="4" t="str">
        <f>IFERROR(__xludf.DUMMYFUNCTION("""COMPUTED_VALUE"""),"0096087965 / 252610563")</f>
        <v>0096087965 / 252610563</v>
      </c>
      <c r="B95" s="4" t="str">
        <f>IFERROR(__xludf.DUMMYFUNCTION("""COMPUTED_VALUE"""),"Zalikhah Rasikhah Putri - P")</f>
        <v>Zalikhah Rasikhah Putri - P</v>
      </c>
      <c r="C95" s="4" t="str">
        <f>IFERROR(__xludf.DUMMYFUNCTION("""COMPUTED_VALUE"""),"P")</f>
        <v>P</v>
      </c>
      <c r="D95" s="4">
        <f>IFERROR(__xludf.DUMMYFUNCTION("""COMPUTED_VALUE"""),33.0)</f>
        <v>33</v>
      </c>
      <c r="E95" s="4" t="str">
        <f>IFERROR(__xludf.DUMMYFUNCTION("""COMPUTED_VALUE"""),"X2")</f>
        <v>X2</v>
      </c>
      <c r="F95" s="5" t="str">
        <f>IFERROR(__xludf.DUMMYFUNCTION("""COMPUTED_VALUE"""),"33 - X2 - Zalikhah Rasikhah Putri - P")</f>
        <v>33 - X2 - Zalikhah Rasikhah Putri - P</v>
      </c>
      <c r="G95" s="3"/>
      <c r="H95" s="3"/>
      <c r="I95" s="3"/>
      <c r="J95" s="3"/>
      <c r="K95" s="3"/>
      <c r="L95" s="3"/>
      <c r="M95" s="3"/>
    </row>
    <row r="96">
      <c r="A96" s="4" t="str">
        <f>IFERROR(__xludf.DUMMYFUNCTION("""COMPUTED_VALUE"""),"0094703204 / 252610002")</f>
        <v>0094703204 / 252610002</v>
      </c>
      <c r="B96" s="4" t="str">
        <f>IFERROR(__xludf.DUMMYFUNCTION("""COMPUTED_VALUE"""),"Abhinaya Zaidan Akbar - L")</f>
        <v>Abhinaya Zaidan Akbar - L</v>
      </c>
      <c r="C96" s="4" t="str">
        <f>IFERROR(__xludf.DUMMYFUNCTION("""COMPUTED_VALUE"""),"L")</f>
        <v>L</v>
      </c>
      <c r="D96" s="4">
        <f>IFERROR(__xludf.DUMMYFUNCTION("""COMPUTED_VALUE"""),33.0)</f>
        <v>33</v>
      </c>
      <c r="E96" s="4" t="str">
        <f>IFERROR(__xludf.DUMMYFUNCTION("""COMPUTED_VALUE"""),"X3")</f>
        <v>X3</v>
      </c>
      <c r="F96" s="5" t="str">
        <f>IFERROR(__xludf.DUMMYFUNCTION("""COMPUTED_VALUE"""),"33 - X3 - Abhinaya Zaidan Akbar - L")</f>
        <v>33 - X3 - Abhinaya Zaidan Akbar - L</v>
      </c>
      <c r="G96" s="3"/>
      <c r="H96" s="3"/>
      <c r="I96" s="3"/>
      <c r="J96" s="3"/>
      <c r="K96" s="3"/>
      <c r="L96" s="3"/>
      <c r="M96" s="3"/>
    </row>
    <row r="97">
      <c r="A97" s="4" t="str">
        <f>IFERROR(__xludf.DUMMYFUNCTION("""COMPUTED_VALUE"""),"0106941990 / 252610063")</f>
        <v>0106941990 / 252610063</v>
      </c>
      <c r="B97" s="4" t="str">
        <f>IFERROR(__xludf.DUMMYFUNCTION("""COMPUTED_VALUE"""),"Andra Rakadityono - L")</f>
        <v>Andra Rakadityono - L</v>
      </c>
      <c r="C97" s="4" t="str">
        <f>IFERROR(__xludf.DUMMYFUNCTION("""COMPUTED_VALUE"""),"L")</f>
        <v>L</v>
      </c>
      <c r="D97" s="4">
        <f>IFERROR(__xludf.DUMMYFUNCTION("""COMPUTED_VALUE"""),33.0)</f>
        <v>33</v>
      </c>
      <c r="E97" s="4" t="str">
        <f>IFERROR(__xludf.DUMMYFUNCTION("""COMPUTED_VALUE"""),"X3")</f>
        <v>X3</v>
      </c>
      <c r="F97" s="5" t="str">
        <f>IFERROR(__xludf.DUMMYFUNCTION("""COMPUTED_VALUE"""),"33 - X3 - Andra Rakadityono - L")</f>
        <v>33 - X3 - Andra Rakadityono - L</v>
      </c>
      <c r="G97" s="3"/>
      <c r="H97" s="3"/>
      <c r="I97" s="3"/>
      <c r="J97" s="3"/>
      <c r="K97" s="3"/>
      <c r="L97" s="3"/>
      <c r="M97" s="3"/>
    </row>
    <row r="98">
      <c r="A98" s="4" t="str">
        <f>IFERROR(__xludf.DUMMYFUNCTION("""COMPUTED_VALUE"""),"0109964803 / 252610065")</f>
        <v>0109964803 / 252610065</v>
      </c>
      <c r="B98" s="4" t="str">
        <f>IFERROR(__xludf.DUMMYFUNCTION("""COMPUTED_VALUE"""),"Anjani Safira Salma - P")</f>
        <v>Anjani Safira Salma - P</v>
      </c>
      <c r="C98" s="4" t="str">
        <f>IFERROR(__xludf.DUMMYFUNCTION("""COMPUTED_VALUE"""),"P")</f>
        <v>P</v>
      </c>
      <c r="D98" s="4">
        <f>IFERROR(__xludf.DUMMYFUNCTION("""COMPUTED_VALUE"""),33.0)</f>
        <v>33</v>
      </c>
      <c r="E98" s="4" t="str">
        <f>IFERROR(__xludf.DUMMYFUNCTION("""COMPUTED_VALUE"""),"X3")</f>
        <v>X3</v>
      </c>
      <c r="F98" s="5" t="str">
        <f>IFERROR(__xludf.DUMMYFUNCTION("""COMPUTED_VALUE"""),"33 - X3 - Anjani Safira Salma - P")</f>
        <v>33 - X3 - Anjani Safira Salma - P</v>
      </c>
      <c r="G98" s="3"/>
      <c r="H98" s="3"/>
      <c r="I98" s="3"/>
      <c r="J98" s="3"/>
      <c r="K98" s="3"/>
      <c r="L98" s="3"/>
      <c r="M98" s="3"/>
    </row>
    <row r="99">
      <c r="A99" s="4" t="str">
        <f>IFERROR(__xludf.DUMMYFUNCTION("""COMPUTED_VALUE"""),"0104084075 / 252610076")</f>
        <v>0104084075 / 252610076</v>
      </c>
      <c r="B99" s="4" t="str">
        <f>IFERROR(__xludf.DUMMYFUNCTION("""COMPUTED_VALUE"""),"Ario Bimo Wicaksono - L")</f>
        <v>Ario Bimo Wicaksono - L</v>
      </c>
      <c r="C99" s="4" t="str">
        <f>IFERROR(__xludf.DUMMYFUNCTION("""COMPUTED_VALUE"""),"L")</f>
        <v>L</v>
      </c>
      <c r="D99" s="4">
        <f>IFERROR(__xludf.DUMMYFUNCTION("""COMPUTED_VALUE"""),33.0)</f>
        <v>33</v>
      </c>
      <c r="E99" s="4" t="str">
        <f>IFERROR(__xludf.DUMMYFUNCTION("""COMPUTED_VALUE"""),"X3")</f>
        <v>X3</v>
      </c>
      <c r="F99" s="5" t="str">
        <f>IFERROR(__xludf.DUMMYFUNCTION("""COMPUTED_VALUE"""),"33 - X3 - Ario Bimo Wicaksono - L")</f>
        <v>33 - X3 - Ario Bimo Wicaksono - L</v>
      </c>
      <c r="G99" s="3"/>
      <c r="H99" s="3"/>
      <c r="I99" s="3"/>
      <c r="J99" s="3"/>
      <c r="K99" s="3"/>
      <c r="L99" s="3"/>
      <c r="M99" s="3"/>
    </row>
    <row r="100">
      <c r="A100" s="4" t="str">
        <f>IFERROR(__xludf.DUMMYFUNCTION("""COMPUTED_VALUE"""),"0098221239 / 252610079")</f>
        <v>0098221239 / 252610079</v>
      </c>
      <c r="B100" s="4" t="str">
        <f>IFERROR(__xludf.DUMMYFUNCTION("""COMPUTED_VALUE"""),"Arman Firmansyah - L")</f>
        <v>Arman Firmansyah - L</v>
      </c>
      <c r="C100" s="4" t="str">
        <f>IFERROR(__xludf.DUMMYFUNCTION("""COMPUTED_VALUE"""),"L")</f>
        <v>L</v>
      </c>
      <c r="D100" s="4">
        <f>IFERROR(__xludf.DUMMYFUNCTION("""COMPUTED_VALUE"""),33.0)</f>
        <v>33</v>
      </c>
      <c r="E100" s="4" t="str">
        <f>IFERROR(__xludf.DUMMYFUNCTION("""COMPUTED_VALUE"""),"X3")</f>
        <v>X3</v>
      </c>
      <c r="F100" s="5" t="str">
        <f>IFERROR(__xludf.DUMMYFUNCTION("""COMPUTED_VALUE"""),"33 - X3 - Arman Firmansyah - L")</f>
        <v>33 - X3 - Arman Firmansyah - L</v>
      </c>
      <c r="G100" s="3"/>
      <c r="H100" s="3"/>
      <c r="I100" s="3"/>
      <c r="J100" s="3"/>
      <c r="K100" s="3"/>
      <c r="L100" s="3"/>
      <c r="M100" s="3"/>
    </row>
    <row r="101">
      <c r="A101" s="4" t="str">
        <f>IFERROR(__xludf.DUMMYFUNCTION("""COMPUTED_VALUE"""),"0104751597 / 252610093")</f>
        <v>0104751597 / 252610093</v>
      </c>
      <c r="B101" s="4" t="str">
        <f>IFERROR(__xludf.DUMMYFUNCTION("""COMPUTED_VALUE"""),"Attaya Putri Faslahi - P")</f>
        <v>Attaya Putri Faslahi - P</v>
      </c>
      <c r="C101" s="4" t="str">
        <f>IFERROR(__xludf.DUMMYFUNCTION("""COMPUTED_VALUE"""),"P")</f>
        <v>P</v>
      </c>
      <c r="D101" s="4">
        <f>IFERROR(__xludf.DUMMYFUNCTION("""COMPUTED_VALUE"""),33.0)</f>
        <v>33</v>
      </c>
      <c r="E101" s="4" t="str">
        <f>IFERROR(__xludf.DUMMYFUNCTION("""COMPUTED_VALUE"""),"X3")</f>
        <v>X3</v>
      </c>
      <c r="F101" s="5" t="str">
        <f>IFERROR(__xludf.DUMMYFUNCTION("""COMPUTED_VALUE"""),"33 - X3 - Attaya Putri Faslahi - P")</f>
        <v>33 - X3 - Attaya Putri Faslahi - P</v>
      </c>
      <c r="G101" s="3"/>
      <c r="H101" s="3"/>
      <c r="I101" s="3"/>
      <c r="J101" s="3"/>
      <c r="K101" s="3"/>
      <c r="L101" s="3"/>
      <c r="M101" s="3"/>
    </row>
    <row r="102">
      <c r="A102" s="4" t="str">
        <f>IFERROR(__xludf.DUMMYFUNCTION("""COMPUTED_VALUE"""),"0104406841 / 252610094")</f>
        <v>0104406841 / 252610094</v>
      </c>
      <c r="B102" s="4" t="str">
        <f>IFERROR(__xludf.DUMMYFUNCTION("""COMPUTED_VALUE"""),"Attiyah Naila Adza Alifah - P")</f>
        <v>Attiyah Naila Adza Alifah - P</v>
      </c>
      <c r="C102" s="4" t="str">
        <f>IFERROR(__xludf.DUMMYFUNCTION("""COMPUTED_VALUE"""),"P")</f>
        <v>P</v>
      </c>
      <c r="D102" s="4">
        <f>IFERROR(__xludf.DUMMYFUNCTION("""COMPUTED_VALUE"""),33.0)</f>
        <v>33</v>
      </c>
      <c r="E102" s="4" t="str">
        <f>IFERROR(__xludf.DUMMYFUNCTION("""COMPUTED_VALUE"""),"X3")</f>
        <v>X3</v>
      </c>
      <c r="F102" s="5" t="str">
        <f>IFERROR(__xludf.DUMMYFUNCTION("""COMPUTED_VALUE"""),"33 - X3 - Attiyah Naila Adza Alifah - P")</f>
        <v>33 - X3 - Attiyah Naila Adza Alifah - P</v>
      </c>
      <c r="G102" s="3"/>
      <c r="H102" s="3"/>
      <c r="I102" s="3"/>
      <c r="J102" s="3"/>
      <c r="K102" s="3"/>
      <c r="L102" s="3"/>
      <c r="M102" s="3"/>
    </row>
    <row r="103">
      <c r="A103" s="4" t="str">
        <f>IFERROR(__xludf.DUMMYFUNCTION("""COMPUTED_VALUE"""),"0102122161 / 252610096")</f>
        <v>0102122161 / 252610096</v>
      </c>
      <c r="B103" s="4" t="str">
        <f>IFERROR(__xludf.DUMMYFUNCTION("""COMPUTED_VALUE"""),"Aulia Azahra - P")</f>
        <v>Aulia Azahra - P</v>
      </c>
      <c r="C103" s="4" t="str">
        <f>IFERROR(__xludf.DUMMYFUNCTION("""COMPUTED_VALUE"""),"P")</f>
        <v>P</v>
      </c>
      <c r="D103" s="4">
        <f>IFERROR(__xludf.DUMMYFUNCTION("""COMPUTED_VALUE"""),33.0)</f>
        <v>33</v>
      </c>
      <c r="E103" s="4" t="str">
        <f>IFERROR(__xludf.DUMMYFUNCTION("""COMPUTED_VALUE"""),"X3")</f>
        <v>X3</v>
      </c>
      <c r="F103" s="5" t="str">
        <f>IFERROR(__xludf.DUMMYFUNCTION("""COMPUTED_VALUE"""),"33 - X3 - Aulia Azahra - P")</f>
        <v>33 - X3 - Aulia Azahra - P</v>
      </c>
      <c r="G103" s="3"/>
      <c r="H103" s="3"/>
      <c r="I103" s="3"/>
      <c r="J103" s="3"/>
      <c r="K103" s="3"/>
      <c r="L103" s="3"/>
      <c r="M103" s="3"/>
    </row>
    <row r="104">
      <c r="A104" s="4" t="str">
        <f>IFERROR(__xludf.DUMMYFUNCTION("""COMPUTED_VALUE"""),"0108329102 / 252610121")</f>
        <v>0108329102 / 252610121</v>
      </c>
      <c r="B104" s="4" t="str">
        <f>IFERROR(__xludf.DUMMYFUNCTION("""COMPUTED_VALUE"""),"Bianca Aurelia Putri Asari - P")</f>
        <v>Bianca Aurelia Putri Asari - P</v>
      </c>
      <c r="C104" s="4" t="str">
        <f>IFERROR(__xludf.DUMMYFUNCTION("""COMPUTED_VALUE"""),"P")</f>
        <v>P</v>
      </c>
      <c r="D104" s="4">
        <f>IFERROR(__xludf.DUMMYFUNCTION("""COMPUTED_VALUE"""),33.0)</f>
        <v>33</v>
      </c>
      <c r="E104" s="4" t="str">
        <f>IFERROR(__xludf.DUMMYFUNCTION("""COMPUTED_VALUE"""),"X3")</f>
        <v>X3</v>
      </c>
      <c r="F104" s="5" t="str">
        <f>IFERROR(__xludf.DUMMYFUNCTION("""COMPUTED_VALUE"""),"33 - X3 - Bianca Aurelia Putri Asari - P")</f>
        <v>33 - X3 - Bianca Aurelia Putri Asari - P</v>
      </c>
      <c r="G104" s="3"/>
      <c r="H104" s="3"/>
      <c r="I104" s="3"/>
      <c r="J104" s="3"/>
      <c r="K104" s="3"/>
      <c r="L104" s="3"/>
      <c r="M104" s="3"/>
    </row>
    <row r="105">
      <c r="A105" s="4" t="str">
        <f>IFERROR(__xludf.DUMMYFUNCTION("""COMPUTED_VALUE"""),"0103047499 / 252610129")</f>
        <v>0103047499 / 252610129</v>
      </c>
      <c r="B105" s="4" t="str">
        <f>IFERROR(__xludf.DUMMYFUNCTION("""COMPUTED_VALUE"""),"Bumi Byakta Alfian - L")</f>
        <v>Bumi Byakta Alfian - L</v>
      </c>
      <c r="C105" s="4" t="str">
        <f>IFERROR(__xludf.DUMMYFUNCTION("""COMPUTED_VALUE"""),"L")</f>
        <v>L</v>
      </c>
      <c r="D105" s="4">
        <f>IFERROR(__xludf.DUMMYFUNCTION("""COMPUTED_VALUE"""),33.0)</f>
        <v>33</v>
      </c>
      <c r="E105" s="4" t="str">
        <f>IFERROR(__xludf.DUMMYFUNCTION("""COMPUTED_VALUE"""),"X3")</f>
        <v>X3</v>
      </c>
      <c r="F105" s="5" t="str">
        <f>IFERROR(__xludf.DUMMYFUNCTION("""COMPUTED_VALUE"""),"33 - X3 - Bumi Byakta Alfian - L")</f>
        <v>33 - X3 - Bumi Byakta Alfian - L</v>
      </c>
      <c r="G105" s="3"/>
      <c r="H105" s="3"/>
      <c r="I105" s="3"/>
      <c r="J105" s="3"/>
      <c r="K105" s="3"/>
      <c r="L105" s="3"/>
      <c r="M105" s="3"/>
    </row>
    <row r="106">
      <c r="A106" s="4" t="str">
        <f>IFERROR(__xludf.DUMMYFUNCTION("""COMPUTED_VALUE"""),"0102794623 / 252610136")</f>
        <v>0102794623 / 252610136</v>
      </c>
      <c r="B106" s="4" t="str">
        <f>IFERROR(__xludf.DUMMYFUNCTION("""COMPUTED_VALUE"""),"Cheryl Faiha Al-Tair - P")</f>
        <v>Cheryl Faiha Al-Tair - P</v>
      </c>
      <c r="C106" s="4" t="str">
        <f>IFERROR(__xludf.DUMMYFUNCTION("""COMPUTED_VALUE"""),"P")</f>
        <v>P</v>
      </c>
      <c r="D106" s="4">
        <f>IFERROR(__xludf.DUMMYFUNCTION("""COMPUTED_VALUE"""),33.0)</f>
        <v>33</v>
      </c>
      <c r="E106" s="4" t="str">
        <f>IFERROR(__xludf.DUMMYFUNCTION("""COMPUTED_VALUE"""),"X3")</f>
        <v>X3</v>
      </c>
      <c r="F106" s="5" t="str">
        <f>IFERROR(__xludf.DUMMYFUNCTION("""COMPUTED_VALUE"""),"33 - X3 - Cheryl Faiha Al-Tair - P")</f>
        <v>33 - X3 - Cheryl Faiha Al-Tair - P</v>
      </c>
      <c r="G106" s="3"/>
      <c r="H106" s="3"/>
      <c r="I106" s="3"/>
      <c r="J106" s="3"/>
      <c r="K106" s="3"/>
      <c r="L106" s="3"/>
      <c r="M106" s="3"/>
    </row>
    <row r="107">
      <c r="A107" s="4" t="str">
        <f>IFERROR(__xludf.DUMMYFUNCTION("""COMPUTED_VALUE"""),"0096103714 / 252610138")</f>
        <v>0096103714 / 252610138</v>
      </c>
      <c r="B107" s="4" t="str">
        <f>IFERROR(__xludf.DUMMYFUNCTION("""COMPUTED_VALUE"""),"Cindy Ramadhani Sinulingga - P")</f>
        <v>Cindy Ramadhani Sinulingga - P</v>
      </c>
      <c r="C107" s="4" t="str">
        <f>IFERROR(__xludf.DUMMYFUNCTION("""COMPUTED_VALUE"""),"P")</f>
        <v>P</v>
      </c>
      <c r="D107" s="4">
        <f>IFERROR(__xludf.DUMMYFUNCTION("""COMPUTED_VALUE"""),33.0)</f>
        <v>33</v>
      </c>
      <c r="E107" s="4" t="str">
        <f>IFERROR(__xludf.DUMMYFUNCTION("""COMPUTED_VALUE"""),"X3")</f>
        <v>X3</v>
      </c>
      <c r="F107" s="5" t="str">
        <f>IFERROR(__xludf.DUMMYFUNCTION("""COMPUTED_VALUE"""),"33 - X3 - Cindy Ramadhani Sinulingga - P")</f>
        <v>33 - X3 - Cindy Ramadhani Sinulingga - P</v>
      </c>
      <c r="G107" s="3"/>
      <c r="H107" s="3"/>
      <c r="I107" s="3"/>
      <c r="J107" s="3"/>
      <c r="K107" s="3"/>
      <c r="L107" s="3"/>
      <c r="M107" s="3"/>
    </row>
    <row r="108">
      <c r="A108" s="4" t="str">
        <f>IFERROR(__xludf.DUMMYFUNCTION("""COMPUTED_VALUE"""),"0103966590 / 252610148")</f>
        <v>0103966590 / 252610148</v>
      </c>
      <c r="B108" s="4" t="str">
        <f>IFERROR(__xludf.DUMMYFUNCTION("""COMPUTED_VALUE"""),"Danesh Arrayan Syahreen - P")</f>
        <v>Danesh Arrayan Syahreen - P</v>
      </c>
      <c r="C108" s="4" t="str">
        <f>IFERROR(__xludf.DUMMYFUNCTION("""COMPUTED_VALUE"""),"P")</f>
        <v>P</v>
      </c>
      <c r="D108" s="4">
        <f>IFERROR(__xludf.DUMMYFUNCTION("""COMPUTED_VALUE"""),33.0)</f>
        <v>33</v>
      </c>
      <c r="E108" s="4" t="str">
        <f>IFERROR(__xludf.DUMMYFUNCTION("""COMPUTED_VALUE"""),"X3")</f>
        <v>X3</v>
      </c>
      <c r="F108" s="5" t="str">
        <f>IFERROR(__xludf.DUMMYFUNCTION("""COMPUTED_VALUE"""),"33 - X3 - Danesh Arrayan Syahreen - P")</f>
        <v>33 - X3 - Danesh Arrayan Syahreen - P</v>
      </c>
      <c r="G108" s="3"/>
      <c r="H108" s="3"/>
      <c r="I108" s="3"/>
      <c r="J108" s="3"/>
      <c r="K108" s="3"/>
      <c r="L108" s="3"/>
      <c r="M108" s="3"/>
    </row>
    <row r="109">
      <c r="A109" s="4" t="str">
        <f>IFERROR(__xludf.DUMMYFUNCTION("""COMPUTED_VALUE"""),"0097493642 / 252610158")</f>
        <v>0097493642 / 252610158</v>
      </c>
      <c r="B109" s="4" t="str">
        <f>IFERROR(__xludf.DUMMYFUNCTION("""COMPUTED_VALUE"""),"Dhyra Putra Pratama - P")</f>
        <v>Dhyra Putra Pratama - P</v>
      </c>
      <c r="C109" s="4" t="str">
        <f>IFERROR(__xludf.DUMMYFUNCTION("""COMPUTED_VALUE"""),"P")</f>
        <v>P</v>
      </c>
      <c r="D109" s="4">
        <f>IFERROR(__xludf.DUMMYFUNCTION("""COMPUTED_VALUE"""),33.0)</f>
        <v>33</v>
      </c>
      <c r="E109" s="4" t="str">
        <f>IFERROR(__xludf.DUMMYFUNCTION("""COMPUTED_VALUE"""),"X3")</f>
        <v>X3</v>
      </c>
      <c r="F109" s="5" t="str">
        <f>IFERROR(__xludf.DUMMYFUNCTION("""COMPUTED_VALUE"""),"33 - X3 - Dhyra Putra Pratama - P")</f>
        <v>33 - X3 - Dhyra Putra Pratama - P</v>
      </c>
      <c r="G109" s="3"/>
      <c r="H109" s="3"/>
      <c r="I109" s="3"/>
      <c r="J109" s="3"/>
      <c r="K109" s="3"/>
      <c r="L109" s="3"/>
      <c r="M109" s="3"/>
    </row>
    <row r="110">
      <c r="A110" s="4" t="str">
        <f>IFERROR(__xludf.DUMMYFUNCTION("""COMPUTED_VALUE"""),"0096662016 / 252610187")</f>
        <v>0096662016 / 252610187</v>
      </c>
      <c r="B110" s="4" t="str">
        <f>IFERROR(__xludf.DUMMYFUNCTION("""COMPUTED_VALUE"""),"Fadya Malikha - P")</f>
        <v>Fadya Malikha - P</v>
      </c>
      <c r="C110" s="4" t="str">
        <f>IFERROR(__xludf.DUMMYFUNCTION("""COMPUTED_VALUE"""),"P")</f>
        <v>P</v>
      </c>
      <c r="D110" s="4">
        <f>IFERROR(__xludf.DUMMYFUNCTION("""COMPUTED_VALUE"""),33.0)</f>
        <v>33</v>
      </c>
      <c r="E110" s="4" t="str">
        <f>IFERROR(__xludf.DUMMYFUNCTION("""COMPUTED_VALUE"""),"X3")</f>
        <v>X3</v>
      </c>
      <c r="F110" s="5" t="str">
        <f>IFERROR(__xludf.DUMMYFUNCTION("""COMPUTED_VALUE"""),"33 - X3 - Fadya Malikha - P")</f>
        <v>33 - X3 - Fadya Malikha - P</v>
      </c>
      <c r="G110" s="3"/>
      <c r="H110" s="3"/>
      <c r="I110" s="3"/>
      <c r="J110" s="3"/>
      <c r="K110" s="3"/>
      <c r="L110" s="3"/>
      <c r="M110" s="3"/>
    </row>
    <row r="111">
      <c r="A111" s="4" t="str">
        <f>IFERROR(__xludf.DUMMYFUNCTION("""COMPUTED_VALUE"""),"0096892367 / 252610190")</f>
        <v>0096892367 / 252610190</v>
      </c>
      <c r="B111" s="4" t="str">
        <f>IFERROR(__xludf.DUMMYFUNCTION("""COMPUTED_VALUE"""),"Fajri Pardomuan Pohan - L")</f>
        <v>Fajri Pardomuan Pohan - L</v>
      </c>
      <c r="C111" s="4" t="str">
        <f>IFERROR(__xludf.DUMMYFUNCTION("""COMPUTED_VALUE"""),"L")</f>
        <v>L</v>
      </c>
      <c r="D111" s="4">
        <f>IFERROR(__xludf.DUMMYFUNCTION("""COMPUTED_VALUE"""),33.0)</f>
        <v>33</v>
      </c>
      <c r="E111" s="4" t="str">
        <f>IFERROR(__xludf.DUMMYFUNCTION("""COMPUTED_VALUE"""),"X3")</f>
        <v>X3</v>
      </c>
      <c r="F111" s="5" t="str">
        <f>IFERROR(__xludf.DUMMYFUNCTION("""COMPUTED_VALUE"""),"33 - X3 - Fajri Pardomuan Pohan - L")</f>
        <v>33 - X3 - Fajri Pardomuan Pohan - L</v>
      </c>
      <c r="G111" s="3"/>
      <c r="H111" s="3"/>
      <c r="I111" s="3"/>
      <c r="J111" s="3"/>
      <c r="K111" s="3"/>
      <c r="L111" s="3"/>
      <c r="M111" s="3"/>
    </row>
    <row r="112">
      <c r="A112" s="4" t="str">
        <f>IFERROR(__xludf.DUMMYFUNCTION("""COMPUTED_VALUE"""),"0094686377 / 252610201")</f>
        <v>0094686377 / 252610201</v>
      </c>
      <c r="B112" s="4" t="str">
        <f>IFERROR(__xludf.DUMMYFUNCTION("""COMPUTED_VALUE"""),"Farras Putra Zema - L")</f>
        <v>Farras Putra Zema - L</v>
      </c>
      <c r="C112" s="4" t="str">
        <f>IFERROR(__xludf.DUMMYFUNCTION("""COMPUTED_VALUE"""),"L")</f>
        <v>L</v>
      </c>
      <c r="D112" s="4">
        <f>IFERROR(__xludf.DUMMYFUNCTION("""COMPUTED_VALUE"""),33.0)</f>
        <v>33</v>
      </c>
      <c r="E112" s="4" t="str">
        <f>IFERROR(__xludf.DUMMYFUNCTION("""COMPUTED_VALUE"""),"X3")</f>
        <v>X3</v>
      </c>
      <c r="F112" s="5" t="str">
        <f>IFERROR(__xludf.DUMMYFUNCTION("""COMPUTED_VALUE"""),"33 - X3 - Farras Putra Zema - L")</f>
        <v>33 - X3 - Farras Putra Zema - L</v>
      </c>
      <c r="G112" s="3"/>
      <c r="H112" s="3"/>
      <c r="I112" s="3"/>
      <c r="J112" s="3"/>
      <c r="K112" s="3"/>
      <c r="L112" s="3"/>
      <c r="M112" s="3"/>
    </row>
    <row r="113">
      <c r="A113" s="4" t="str">
        <f>IFERROR(__xludf.DUMMYFUNCTION("""COMPUTED_VALUE"""),"0109768822 / 252610204")</f>
        <v>0109768822 / 252610204</v>
      </c>
      <c r="B113" s="4" t="str">
        <f>IFERROR(__xludf.DUMMYFUNCTION("""COMPUTED_VALUE"""),"Fathia Amia Rizqi - P")</f>
        <v>Fathia Amia Rizqi - P</v>
      </c>
      <c r="C113" s="4" t="str">
        <f>IFERROR(__xludf.DUMMYFUNCTION("""COMPUTED_VALUE"""),"P")</f>
        <v>P</v>
      </c>
      <c r="D113" s="4">
        <f>IFERROR(__xludf.DUMMYFUNCTION("""COMPUTED_VALUE"""),33.0)</f>
        <v>33</v>
      </c>
      <c r="E113" s="4" t="str">
        <f>IFERROR(__xludf.DUMMYFUNCTION("""COMPUTED_VALUE"""),"X3")</f>
        <v>X3</v>
      </c>
      <c r="F113" s="5" t="str">
        <f>IFERROR(__xludf.DUMMYFUNCTION("""COMPUTED_VALUE"""),"33 - X3 - Fathia Amia Rizqi - P")</f>
        <v>33 - X3 - Fathia Amia Rizqi - P</v>
      </c>
      <c r="G113" s="3"/>
      <c r="H113" s="3"/>
      <c r="I113" s="3"/>
      <c r="J113" s="3"/>
      <c r="K113" s="3"/>
      <c r="L113" s="3"/>
      <c r="M113" s="3"/>
    </row>
    <row r="114">
      <c r="A114" s="4" t="str">
        <f>IFERROR(__xludf.DUMMYFUNCTION("""COMPUTED_VALUE"""),"0109156472 / 252610213")</f>
        <v>0109156472 / 252610213</v>
      </c>
      <c r="B114" s="4" t="str">
        <f>IFERROR(__xludf.DUMMYFUNCTION("""COMPUTED_VALUE"""),"Florencia Ivana - P")</f>
        <v>Florencia Ivana - P</v>
      </c>
      <c r="C114" s="4" t="str">
        <f>IFERROR(__xludf.DUMMYFUNCTION("""COMPUTED_VALUE"""),"P")</f>
        <v>P</v>
      </c>
      <c r="D114" s="4">
        <f>IFERROR(__xludf.DUMMYFUNCTION("""COMPUTED_VALUE"""),33.0)</f>
        <v>33</v>
      </c>
      <c r="E114" s="4" t="str">
        <f>IFERROR(__xludf.DUMMYFUNCTION("""COMPUTED_VALUE"""),"X3")</f>
        <v>X3</v>
      </c>
      <c r="F114" s="5" t="str">
        <f>IFERROR(__xludf.DUMMYFUNCTION("""COMPUTED_VALUE"""),"33 - X3 - Florencia Ivana - P")</f>
        <v>33 - X3 - Florencia Ivana - P</v>
      </c>
      <c r="G114" s="3"/>
      <c r="H114" s="3"/>
      <c r="I114" s="3"/>
      <c r="J114" s="3"/>
      <c r="K114" s="3"/>
      <c r="L114" s="3"/>
      <c r="M114" s="3"/>
    </row>
    <row r="115">
      <c r="A115" s="4" t="str">
        <f>IFERROR(__xludf.DUMMYFUNCTION("""COMPUTED_VALUE"""),"0098064041 / 252610215")</f>
        <v>0098064041 / 252610215</v>
      </c>
      <c r="B115" s="4" t="str">
        <f>IFERROR(__xludf.DUMMYFUNCTION("""COMPUTED_VALUE"""),"Fricilia Aprilyani Cardoso - P")</f>
        <v>Fricilia Aprilyani Cardoso - P</v>
      </c>
      <c r="C115" s="4" t="str">
        <f>IFERROR(__xludf.DUMMYFUNCTION("""COMPUTED_VALUE"""),"P")</f>
        <v>P</v>
      </c>
      <c r="D115" s="4">
        <f>IFERROR(__xludf.DUMMYFUNCTION("""COMPUTED_VALUE"""),33.0)</f>
        <v>33</v>
      </c>
      <c r="E115" s="4" t="str">
        <f>IFERROR(__xludf.DUMMYFUNCTION("""COMPUTED_VALUE"""),"X3")</f>
        <v>X3</v>
      </c>
      <c r="F115" s="5" t="str">
        <f>IFERROR(__xludf.DUMMYFUNCTION("""COMPUTED_VALUE"""),"33 - X3 - Fricilia Aprilyani Cardoso - P")</f>
        <v>33 - X3 - Fricilia Aprilyani Cardoso - P</v>
      </c>
      <c r="G115" s="3"/>
      <c r="H115" s="3"/>
      <c r="I115" s="3"/>
      <c r="J115" s="3"/>
      <c r="K115" s="3"/>
      <c r="L115" s="3"/>
      <c r="M115" s="3"/>
    </row>
    <row r="116">
      <c r="A116" s="4" t="str">
        <f>IFERROR(__xludf.DUMMYFUNCTION("""COMPUTED_VALUE"""),"0113691116 / 252610219")</f>
        <v>0113691116 / 252610219</v>
      </c>
      <c r="B116" s="4" t="str">
        <f>IFERROR(__xludf.DUMMYFUNCTION("""COMPUTED_VALUE"""),"Gerald Samuel Sitanggang - L")</f>
        <v>Gerald Samuel Sitanggang - L</v>
      </c>
      <c r="C116" s="4" t="str">
        <f>IFERROR(__xludf.DUMMYFUNCTION("""COMPUTED_VALUE"""),"L")</f>
        <v>L</v>
      </c>
      <c r="D116" s="4">
        <f>IFERROR(__xludf.DUMMYFUNCTION("""COMPUTED_VALUE"""),33.0)</f>
        <v>33</v>
      </c>
      <c r="E116" s="4" t="str">
        <f>IFERROR(__xludf.DUMMYFUNCTION("""COMPUTED_VALUE"""),"X3")</f>
        <v>X3</v>
      </c>
      <c r="F116" s="5" t="str">
        <f>IFERROR(__xludf.DUMMYFUNCTION("""COMPUTED_VALUE"""),"33 - X3 - Gerald Samuel Sitanggang - L")</f>
        <v>33 - X3 - Gerald Samuel Sitanggang - L</v>
      </c>
      <c r="G116" s="3"/>
      <c r="H116" s="3"/>
      <c r="I116" s="3"/>
      <c r="J116" s="3"/>
      <c r="K116" s="3"/>
      <c r="L116" s="3"/>
      <c r="M116" s="3"/>
    </row>
    <row r="117">
      <c r="A117" s="4" t="str">
        <f>IFERROR(__xludf.DUMMYFUNCTION("""COMPUTED_VALUE"""),"0104767807 / 252610237")</f>
        <v>0104767807 / 252610237</v>
      </c>
      <c r="B117" s="4" t="str">
        <f>IFERROR(__xludf.DUMMYFUNCTION("""COMPUTED_VALUE"""),"Jaenal Ikhwan - L")</f>
        <v>Jaenal Ikhwan - L</v>
      </c>
      <c r="C117" s="4" t="str">
        <f>IFERROR(__xludf.DUMMYFUNCTION("""COMPUTED_VALUE"""),"L")</f>
        <v>L</v>
      </c>
      <c r="D117" s="4">
        <f>IFERROR(__xludf.DUMMYFUNCTION("""COMPUTED_VALUE"""),33.0)</f>
        <v>33</v>
      </c>
      <c r="E117" s="4" t="str">
        <f>IFERROR(__xludf.DUMMYFUNCTION("""COMPUTED_VALUE"""),"X3")</f>
        <v>X3</v>
      </c>
      <c r="F117" s="5" t="str">
        <f>IFERROR(__xludf.DUMMYFUNCTION("""COMPUTED_VALUE"""),"33 - X3 - Jaenal Ikhwan - L")</f>
        <v>33 - X3 - Jaenal Ikhwan - L</v>
      </c>
      <c r="G117" s="3"/>
      <c r="H117" s="3"/>
      <c r="I117" s="3"/>
      <c r="J117" s="3"/>
      <c r="K117" s="3"/>
      <c r="L117" s="3"/>
      <c r="M117" s="3"/>
    </row>
    <row r="118">
      <c r="A118" s="4" t="str">
        <f>IFERROR(__xludf.DUMMYFUNCTION("""COMPUTED_VALUE"""),"0106443881 / 252610247")</f>
        <v>0106443881 / 252610247</v>
      </c>
      <c r="B118" s="4" t="str">
        <f>IFERROR(__xludf.DUMMYFUNCTION("""COMPUTED_VALUE"""),"Jihan Fauziyyah Latifah - P")</f>
        <v>Jihan Fauziyyah Latifah - P</v>
      </c>
      <c r="C118" s="4" t="str">
        <f>IFERROR(__xludf.DUMMYFUNCTION("""COMPUTED_VALUE"""),"P")</f>
        <v>P</v>
      </c>
      <c r="D118" s="4">
        <f>IFERROR(__xludf.DUMMYFUNCTION("""COMPUTED_VALUE"""),33.0)</f>
        <v>33</v>
      </c>
      <c r="E118" s="4" t="str">
        <f>IFERROR(__xludf.DUMMYFUNCTION("""COMPUTED_VALUE"""),"X3")</f>
        <v>X3</v>
      </c>
      <c r="F118" s="5" t="str">
        <f>IFERROR(__xludf.DUMMYFUNCTION("""COMPUTED_VALUE"""),"33 - X3 - Jihan Fauziyyah Latifah - P")</f>
        <v>33 - X3 - Jihan Fauziyyah Latifah - P</v>
      </c>
      <c r="G118" s="3"/>
      <c r="H118" s="3"/>
      <c r="I118" s="3"/>
      <c r="J118" s="3"/>
      <c r="K118" s="3"/>
      <c r="L118" s="3"/>
      <c r="M118" s="3"/>
    </row>
    <row r="119">
      <c r="A119" s="4" t="str">
        <f>IFERROR(__xludf.DUMMYFUNCTION("""COMPUTED_VALUE"""),"0104211640 / 252610259")</f>
        <v>0104211640 / 252610259</v>
      </c>
      <c r="B119" s="4" t="str">
        <f>IFERROR(__xludf.DUMMYFUNCTION("""COMPUTED_VALUE"""),"Kartika Larasati - P")</f>
        <v>Kartika Larasati - P</v>
      </c>
      <c r="C119" s="4" t="str">
        <f>IFERROR(__xludf.DUMMYFUNCTION("""COMPUTED_VALUE"""),"P")</f>
        <v>P</v>
      </c>
      <c r="D119" s="4">
        <f>IFERROR(__xludf.DUMMYFUNCTION("""COMPUTED_VALUE"""),33.0)</f>
        <v>33</v>
      </c>
      <c r="E119" s="4" t="str">
        <f>IFERROR(__xludf.DUMMYFUNCTION("""COMPUTED_VALUE"""),"X3")</f>
        <v>X3</v>
      </c>
      <c r="F119" s="5" t="str">
        <f>IFERROR(__xludf.DUMMYFUNCTION("""COMPUTED_VALUE"""),"33 - X3 - Kartika Larasati - P")</f>
        <v>33 - X3 - Kartika Larasati - P</v>
      </c>
      <c r="G119" s="3"/>
      <c r="H119" s="3"/>
      <c r="I119" s="3"/>
      <c r="J119" s="3"/>
      <c r="K119" s="3"/>
      <c r="L119" s="3"/>
      <c r="M119" s="3"/>
    </row>
    <row r="120">
      <c r="A120" s="4" t="str">
        <f>IFERROR(__xludf.DUMMYFUNCTION("""COMPUTED_VALUE"""),"0098772505 / 252610274")</f>
        <v>0098772505 / 252610274</v>
      </c>
      <c r="B120" s="4" t="str">
        <f>IFERROR(__xludf.DUMMYFUNCTION("""COMPUTED_VALUE"""),"Keynia Louis Cristin Harianja - P")</f>
        <v>Keynia Louis Cristin Harianja - P</v>
      </c>
      <c r="C120" s="4" t="str">
        <f>IFERROR(__xludf.DUMMYFUNCTION("""COMPUTED_VALUE"""),"P")</f>
        <v>P</v>
      </c>
      <c r="D120" s="4">
        <f>IFERROR(__xludf.DUMMYFUNCTION("""COMPUTED_VALUE"""),33.0)</f>
        <v>33</v>
      </c>
      <c r="E120" s="4" t="str">
        <f>IFERROR(__xludf.DUMMYFUNCTION("""COMPUTED_VALUE"""),"X3")</f>
        <v>X3</v>
      </c>
      <c r="F120" s="5" t="str">
        <f>IFERROR(__xludf.DUMMYFUNCTION("""COMPUTED_VALUE"""),"33 - X3 - Keynia Louis Cristin Harianja - P")</f>
        <v>33 - X3 - Keynia Louis Cristin Harianja - P</v>
      </c>
      <c r="G120" s="3"/>
      <c r="H120" s="3"/>
      <c r="I120" s="3"/>
      <c r="J120" s="3"/>
      <c r="K120" s="3"/>
      <c r="L120" s="3"/>
      <c r="M120" s="3"/>
    </row>
    <row r="121">
      <c r="A121" s="4" t="str">
        <f>IFERROR(__xludf.DUMMYFUNCTION("""COMPUTED_VALUE"""),"0107095977 / 252610276")</f>
        <v>0107095977 / 252610276</v>
      </c>
      <c r="B121" s="4" t="str">
        <f>IFERROR(__xludf.DUMMYFUNCTION("""COMPUTED_VALUE"""),"Khairani Asri Utami - P")</f>
        <v>Khairani Asri Utami - P</v>
      </c>
      <c r="C121" s="4" t="str">
        <f>IFERROR(__xludf.DUMMYFUNCTION("""COMPUTED_VALUE"""),"P")</f>
        <v>P</v>
      </c>
      <c r="D121" s="4">
        <f>IFERROR(__xludf.DUMMYFUNCTION("""COMPUTED_VALUE"""),33.0)</f>
        <v>33</v>
      </c>
      <c r="E121" s="4" t="str">
        <f>IFERROR(__xludf.DUMMYFUNCTION("""COMPUTED_VALUE"""),"X3")</f>
        <v>X3</v>
      </c>
      <c r="F121" s="5" t="str">
        <f>IFERROR(__xludf.DUMMYFUNCTION("""COMPUTED_VALUE"""),"33 - X3 - Khairani Asri Utami - P")</f>
        <v>33 - X3 - Khairani Asri Utami - P</v>
      </c>
      <c r="G121" s="3"/>
      <c r="H121" s="3"/>
      <c r="I121" s="3"/>
      <c r="J121" s="3"/>
      <c r="K121" s="3"/>
      <c r="L121" s="3"/>
      <c r="M121" s="3"/>
    </row>
    <row r="122">
      <c r="A122" s="4" t="str">
        <f>IFERROR(__xludf.DUMMYFUNCTION("""COMPUTED_VALUE"""),"0092150853 / 252610278")</f>
        <v>0092150853 / 252610278</v>
      </c>
      <c r="B122" s="4" t="str">
        <f>IFERROR(__xludf.DUMMYFUNCTION("""COMPUTED_VALUE"""),"Khalifi Ramadhan Darmawan Anda - L")</f>
        <v>Khalifi Ramadhan Darmawan Anda - L</v>
      </c>
      <c r="C122" s="4" t="str">
        <f>IFERROR(__xludf.DUMMYFUNCTION("""COMPUTED_VALUE"""),"L")</f>
        <v>L</v>
      </c>
      <c r="D122" s="4">
        <f>IFERROR(__xludf.DUMMYFUNCTION("""COMPUTED_VALUE"""),33.0)</f>
        <v>33</v>
      </c>
      <c r="E122" s="4" t="str">
        <f>IFERROR(__xludf.DUMMYFUNCTION("""COMPUTED_VALUE"""),"X3")</f>
        <v>X3</v>
      </c>
      <c r="F122" s="5" t="str">
        <f>IFERROR(__xludf.DUMMYFUNCTION("""COMPUTED_VALUE"""),"33 - X3 - Khalifi Ramadhan Darmawan Anda - L")</f>
        <v>33 - X3 - Khalifi Ramadhan Darmawan Anda - L</v>
      </c>
      <c r="G122" s="3"/>
      <c r="H122" s="3"/>
      <c r="I122" s="3"/>
      <c r="J122" s="3"/>
      <c r="K122" s="3"/>
      <c r="L122" s="3"/>
      <c r="M122" s="3"/>
    </row>
    <row r="123">
      <c r="A123" s="4" t="str">
        <f>IFERROR(__xludf.DUMMYFUNCTION("""COMPUTED_VALUE"""),"0091769169 / 252610287")</f>
        <v>0091769169 / 252610287</v>
      </c>
      <c r="B123" s="4" t="str">
        <f>IFERROR(__xludf.DUMMYFUNCTION("""COMPUTED_VALUE"""),"Lathika Aulia Althafunnisa - P")</f>
        <v>Lathika Aulia Althafunnisa - P</v>
      </c>
      <c r="C123" s="4" t="str">
        <f>IFERROR(__xludf.DUMMYFUNCTION("""COMPUTED_VALUE"""),"P")</f>
        <v>P</v>
      </c>
      <c r="D123" s="4">
        <f>IFERROR(__xludf.DUMMYFUNCTION("""COMPUTED_VALUE"""),33.0)</f>
        <v>33</v>
      </c>
      <c r="E123" s="4" t="str">
        <f>IFERROR(__xludf.DUMMYFUNCTION("""COMPUTED_VALUE"""),"X3")</f>
        <v>X3</v>
      </c>
      <c r="F123" s="5" t="str">
        <f>IFERROR(__xludf.DUMMYFUNCTION("""COMPUTED_VALUE"""),"33 - X3 - Lathika Aulia Althafunnisa - P")</f>
        <v>33 - X3 - Lathika Aulia Althafunnisa - P</v>
      </c>
      <c r="G123" s="3"/>
      <c r="H123" s="3"/>
      <c r="I123" s="3"/>
      <c r="J123" s="3"/>
      <c r="K123" s="3"/>
      <c r="L123" s="3"/>
      <c r="M123" s="3"/>
    </row>
    <row r="124">
      <c r="A124" s="4" t="str">
        <f>IFERROR(__xludf.DUMMYFUNCTION("""COMPUTED_VALUE"""),"0103272603 / 252610288")</f>
        <v>0103272603 / 252610288</v>
      </c>
      <c r="B124" s="4" t="str">
        <f>IFERROR(__xludf.DUMMYFUNCTION("""COMPUTED_VALUE"""),"Laura Aubrey Gracia Lubis - P")</f>
        <v>Laura Aubrey Gracia Lubis - P</v>
      </c>
      <c r="C124" s="4" t="str">
        <f>IFERROR(__xludf.DUMMYFUNCTION("""COMPUTED_VALUE"""),"P")</f>
        <v>P</v>
      </c>
      <c r="D124" s="4">
        <f>IFERROR(__xludf.DUMMYFUNCTION("""COMPUTED_VALUE"""),33.0)</f>
        <v>33</v>
      </c>
      <c r="E124" s="4" t="str">
        <f>IFERROR(__xludf.DUMMYFUNCTION("""COMPUTED_VALUE"""),"X3")</f>
        <v>X3</v>
      </c>
      <c r="F124" s="5" t="str">
        <f>IFERROR(__xludf.DUMMYFUNCTION("""COMPUTED_VALUE"""),"33 - X3 - Laura Aubrey Gracia Lubis - P")</f>
        <v>33 - X3 - Laura Aubrey Gracia Lubis - P</v>
      </c>
      <c r="G124" s="3"/>
      <c r="H124" s="3"/>
      <c r="I124" s="3"/>
      <c r="J124" s="3"/>
      <c r="K124" s="3"/>
      <c r="L124" s="3"/>
      <c r="M124" s="3"/>
    </row>
    <row r="125">
      <c r="A125" s="4" t="str">
        <f>IFERROR(__xludf.DUMMYFUNCTION("""COMPUTED_VALUE"""),"0103190164 / 252610301")</f>
        <v>0103190164 / 252610301</v>
      </c>
      <c r="B125" s="4" t="str">
        <f>IFERROR(__xludf.DUMMYFUNCTION("""COMPUTED_VALUE"""),"Mandariza Arya Pranata Wijaya - P")</f>
        <v>Mandariza Arya Pranata Wijaya - P</v>
      </c>
      <c r="C125" s="4" t="str">
        <f>IFERROR(__xludf.DUMMYFUNCTION("""COMPUTED_VALUE"""),"P")</f>
        <v>P</v>
      </c>
      <c r="D125" s="4">
        <f>IFERROR(__xludf.DUMMYFUNCTION("""COMPUTED_VALUE"""),33.0)</f>
        <v>33</v>
      </c>
      <c r="E125" s="4" t="str">
        <f>IFERROR(__xludf.DUMMYFUNCTION("""COMPUTED_VALUE"""),"X3")</f>
        <v>X3</v>
      </c>
      <c r="F125" s="5" t="str">
        <f>IFERROR(__xludf.DUMMYFUNCTION("""COMPUTED_VALUE"""),"33 - X3 - Mandariza Arya Pranata Wijaya - P")</f>
        <v>33 - X3 - Mandariza Arya Pranata Wijaya - P</v>
      </c>
      <c r="G125" s="3"/>
      <c r="H125" s="3"/>
      <c r="I125" s="3"/>
      <c r="J125" s="3"/>
      <c r="K125" s="3"/>
      <c r="L125" s="3"/>
      <c r="M125" s="3"/>
    </row>
    <row r="126">
      <c r="A126" s="4" t="str">
        <f>IFERROR(__xludf.DUMMYFUNCTION("""COMPUTED_VALUE"""),"0092154795 / 252610370")</f>
        <v>0092154795 / 252610370</v>
      </c>
      <c r="B126" s="4" t="str">
        <f>IFERROR(__xludf.DUMMYFUNCTION("""COMPUTED_VALUE"""),"Muhammad Rizzieq Yusuf Natakusumah - L")</f>
        <v>Muhammad Rizzieq Yusuf Natakusumah - L</v>
      </c>
      <c r="C126" s="4" t="str">
        <f>IFERROR(__xludf.DUMMYFUNCTION("""COMPUTED_VALUE"""),"L")</f>
        <v>L</v>
      </c>
      <c r="D126" s="4">
        <f>IFERROR(__xludf.DUMMYFUNCTION("""COMPUTED_VALUE"""),33.0)</f>
        <v>33</v>
      </c>
      <c r="E126" s="4" t="str">
        <f>IFERROR(__xludf.DUMMYFUNCTION("""COMPUTED_VALUE"""),"X3")</f>
        <v>X3</v>
      </c>
      <c r="F126" s="5" t="str">
        <f>IFERROR(__xludf.DUMMYFUNCTION("""COMPUTED_VALUE"""),"33 - X3 - Muhammad Rizzieq Yusuf Natakusumah - L")</f>
        <v>33 - X3 - Muhammad Rizzieq Yusuf Natakusumah - L</v>
      </c>
      <c r="G126" s="3"/>
      <c r="H126" s="3"/>
      <c r="I126" s="3"/>
      <c r="J126" s="3"/>
      <c r="K126" s="3"/>
      <c r="L126" s="3"/>
      <c r="M126" s="3"/>
    </row>
    <row r="127">
      <c r="A127" s="4" t="str">
        <f>IFERROR(__xludf.DUMMYFUNCTION("""COMPUTED_VALUE"""),"3096846304 / 252610381")</f>
        <v>3096846304 / 252610381</v>
      </c>
      <c r="B127" s="4" t="str">
        <f>IFERROR(__xludf.DUMMYFUNCTION("""COMPUTED_VALUE"""),"Muhammad Zuhear Alfan - L")</f>
        <v>Muhammad Zuhear Alfan - L</v>
      </c>
      <c r="C127" s="4" t="str">
        <f>IFERROR(__xludf.DUMMYFUNCTION("""COMPUTED_VALUE"""),"L")</f>
        <v>L</v>
      </c>
      <c r="D127" s="4">
        <f>IFERROR(__xludf.DUMMYFUNCTION("""COMPUTED_VALUE"""),33.0)</f>
        <v>33</v>
      </c>
      <c r="E127" s="4" t="str">
        <f>IFERROR(__xludf.DUMMYFUNCTION("""COMPUTED_VALUE"""),"X3")</f>
        <v>X3</v>
      </c>
      <c r="F127" s="5" t="str">
        <f>IFERROR(__xludf.DUMMYFUNCTION("""COMPUTED_VALUE"""),"33 - X3 - Muhammad Zuhear Alfan - L")</f>
        <v>33 - X3 - Muhammad Zuhear Alfan - L</v>
      </c>
      <c r="G127" s="3"/>
      <c r="H127" s="3"/>
      <c r="I127" s="3"/>
      <c r="J127" s="3"/>
      <c r="K127" s="3"/>
      <c r="L127" s="3"/>
      <c r="M127" s="3"/>
    </row>
    <row r="128">
      <c r="A128" s="4" t="str">
        <f>IFERROR(__xludf.DUMMYFUNCTION("""COMPUTED_VALUE"""),"0104716348 / 252610386")</f>
        <v>0104716348 / 252610386</v>
      </c>
      <c r="B128" s="4" t="str">
        <f>IFERROR(__xludf.DUMMYFUNCTION("""COMPUTED_VALUE"""),"Nadhifa Farah Falihah - P")</f>
        <v>Nadhifa Farah Falihah - P</v>
      </c>
      <c r="C128" s="4" t="str">
        <f>IFERROR(__xludf.DUMMYFUNCTION("""COMPUTED_VALUE"""),"P")</f>
        <v>P</v>
      </c>
      <c r="D128" s="4">
        <f>IFERROR(__xludf.DUMMYFUNCTION("""COMPUTED_VALUE"""),33.0)</f>
        <v>33</v>
      </c>
      <c r="E128" s="4" t="str">
        <f>IFERROR(__xludf.DUMMYFUNCTION("""COMPUTED_VALUE"""),"X3")</f>
        <v>X3</v>
      </c>
      <c r="F128" s="5" t="str">
        <f>IFERROR(__xludf.DUMMYFUNCTION("""COMPUTED_VALUE"""),"33 - X3 - Nadhifa Farah Falihah - P")</f>
        <v>33 - X3 - Nadhifa Farah Falihah - P</v>
      </c>
      <c r="G128" s="3"/>
      <c r="H128" s="3"/>
      <c r="I128" s="3"/>
      <c r="J128" s="3"/>
      <c r="K128" s="3"/>
      <c r="L128" s="3"/>
      <c r="M128" s="3"/>
    </row>
    <row r="129">
      <c r="A129" s="4" t="str">
        <f>IFERROR(__xludf.DUMMYFUNCTION("""COMPUTED_VALUE"""),"0102174126 / 252610415")</f>
        <v>0102174126 / 252610415</v>
      </c>
      <c r="B129" s="4" t="str">
        <f>IFERROR(__xludf.DUMMYFUNCTION("""COMPUTED_VALUE"""),"Nazwa Savira - P")</f>
        <v>Nazwa Savira - P</v>
      </c>
      <c r="C129" s="4" t="str">
        <f>IFERROR(__xludf.DUMMYFUNCTION("""COMPUTED_VALUE"""),"P")</f>
        <v>P</v>
      </c>
      <c r="D129" s="4">
        <f>IFERROR(__xludf.DUMMYFUNCTION("""COMPUTED_VALUE"""),33.0)</f>
        <v>33</v>
      </c>
      <c r="E129" s="4" t="str">
        <f>IFERROR(__xludf.DUMMYFUNCTION("""COMPUTED_VALUE"""),"X3")</f>
        <v>X3</v>
      </c>
      <c r="F129" s="5" t="str">
        <f>IFERROR(__xludf.DUMMYFUNCTION("""COMPUTED_VALUE"""),"33 - X3 - Nazwa Savira - P")</f>
        <v>33 - X3 - Nazwa Savira - P</v>
      </c>
      <c r="G129" s="3"/>
      <c r="H129" s="3"/>
      <c r="I129" s="3"/>
      <c r="J129" s="3"/>
      <c r="K129" s="3"/>
      <c r="L129" s="3"/>
      <c r="M129" s="3"/>
    </row>
    <row r="130">
      <c r="A130" s="4" t="str">
        <f>IFERROR(__xludf.DUMMYFUNCTION("""COMPUTED_VALUE"""),"0097540821 / 252610422")</f>
        <v>0097540821 / 252610422</v>
      </c>
      <c r="B130" s="4" t="str">
        <f>IFERROR(__xludf.DUMMYFUNCTION("""COMPUTED_VALUE"""),"Nourman Raditia Putra - L")</f>
        <v>Nourman Raditia Putra - L</v>
      </c>
      <c r="C130" s="4" t="str">
        <f>IFERROR(__xludf.DUMMYFUNCTION("""COMPUTED_VALUE"""),"L")</f>
        <v>L</v>
      </c>
      <c r="D130" s="4">
        <f>IFERROR(__xludf.DUMMYFUNCTION("""COMPUTED_VALUE"""),33.0)</f>
        <v>33</v>
      </c>
      <c r="E130" s="4" t="str">
        <f>IFERROR(__xludf.DUMMYFUNCTION("""COMPUTED_VALUE"""),"X3")</f>
        <v>X3</v>
      </c>
      <c r="F130" s="5" t="str">
        <f>IFERROR(__xludf.DUMMYFUNCTION("""COMPUTED_VALUE"""),"33 - X3 - Nourman Raditia Putra - L")</f>
        <v>33 - X3 - Nourman Raditia Putra - L</v>
      </c>
      <c r="G130" s="3"/>
      <c r="H130" s="3"/>
      <c r="I130" s="3"/>
      <c r="J130" s="3"/>
      <c r="K130" s="3"/>
      <c r="L130" s="3"/>
      <c r="M130" s="3"/>
    </row>
    <row r="131">
      <c r="A131" s="4" t="str">
        <f>IFERROR(__xludf.DUMMYFUNCTION("""COMPUTED_VALUE"""),"0102114748 / 252610426")</f>
        <v>0102114748 / 252610426</v>
      </c>
      <c r="B131" s="4" t="str">
        <f>IFERROR(__xludf.DUMMYFUNCTION("""COMPUTED_VALUE"""),"Nursifa Maulidah - P")</f>
        <v>Nursifa Maulidah - P</v>
      </c>
      <c r="C131" s="4" t="str">
        <f>IFERROR(__xludf.DUMMYFUNCTION("""COMPUTED_VALUE"""),"P")</f>
        <v>P</v>
      </c>
      <c r="D131" s="4">
        <f>IFERROR(__xludf.DUMMYFUNCTION("""COMPUTED_VALUE"""),33.0)</f>
        <v>33</v>
      </c>
      <c r="E131" s="4" t="str">
        <f>IFERROR(__xludf.DUMMYFUNCTION("""COMPUTED_VALUE"""),"X3")</f>
        <v>X3</v>
      </c>
      <c r="F131" s="5" t="str">
        <f>IFERROR(__xludf.DUMMYFUNCTION("""COMPUTED_VALUE"""),"33 - X3 - Nursifa Maulidah - P")</f>
        <v>33 - X3 - Nursifa Maulidah - P</v>
      </c>
      <c r="G131" s="3"/>
      <c r="H131" s="3"/>
      <c r="I131" s="3"/>
      <c r="J131" s="3"/>
      <c r="K131" s="3"/>
      <c r="L131" s="3"/>
      <c r="M131" s="3"/>
    </row>
    <row r="132">
      <c r="A132" s="4" t="str">
        <f>IFERROR(__xludf.DUMMYFUNCTION("""COMPUTED_VALUE"""),"0097603092 / 252610432")</f>
        <v>0097603092 / 252610432</v>
      </c>
      <c r="B132" s="4" t="str">
        <f>IFERROR(__xludf.DUMMYFUNCTION("""COMPUTED_VALUE"""),"Pramudhio Sawerigading Ihsan - L")</f>
        <v>Pramudhio Sawerigading Ihsan - L</v>
      </c>
      <c r="C132" s="4" t="str">
        <f>IFERROR(__xludf.DUMMYFUNCTION("""COMPUTED_VALUE"""),"L")</f>
        <v>L</v>
      </c>
      <c r="D132" s="4">
        <f>IFERROR(__xludf.DUMMYFUNCTION("""COMPUTED_VALUE"""),33.0)</f>
        <v>33</v>
      </c>
      <c r="E132" s="4" t="str">
        <f>IFERROR(__xludf.DUMMYFUNCTION("""COMPUTED_VALUE"""),"X3")</f>
        <v>X3</v>
      </c>
      <c r="F132" s="5" t="str">
        <f>IFERROR(__xludf.DUMMYFUNCTION("""COMPUTED_VALUE"""),"33 - X3 - Pramudhio Sawerigading Ihsan - L")</f>
        <v>33 - X3 - Pramudhio Sawerigading Ihsan - L</v>
      </c>
      <c r="G132" s="3"/>
      <c r="H132" s="3"/>
      <c r="I132" s="3"/>
      <c r="J132" s="3"/>
      <c r="K132" s="3"/>
      <c r="L132" s="3"/>
      <c r="M132" s="3"/>
    </row>
    <row r="133">
      <c r="A133" s="4" t="str">
        <f>IFERROR(__xludf.DUMMYFUNCTION("""COMPUTED_VALUE"""),"0106292164 / 252610438")</f>
        <v>0106292164 / 252610438</v>
      </c>
      <c r="B133" s="4" t="str">
        <f>IFERROR(__xludf.DUMMYFUNCTION("""COMPUTED_VALUE"""),"Putri Eisya - P")</f>
        <v>Putri Eisya - P</v>
      </c>
      <c r="C133" s="4" t="str">
        <f>IFERROR(__xludf.DUMMYFUNCTION("""COMPUTED_VALUE"""),"P")</f>
        <v>P</v>
      </c>
      <c r="D133" s="4">
        <f>IFERROR(__xludf.DUMMYFUNCTION("""COMPUTED_VALUE"""),33.0)</f>
        <v>33</v>
      </c>
      <c r="E133" s="4" t="str">
        <f>IFERROR(__xludf.DUMMYFUNCTION("""COMPUTED_VALUE"""),"X3")</f>
        <v>X3</v>
      </c>
      <c r="F133" s="5" t="str">
        <f>IFERROR(__xludf.DUMMYFUNCTION("""COMPUTED_VALUE"""),"33 - X3 - Putri Eisya - P")</f>
        <v>33 - X3 - Putri Eisya - P</v>
      </c>
      <c r="G133" s="3"/>
      <c r="H133" s="3"/>
      <c r="I133" s="3"/>
      <c r="J133" s="3"/>
      <c r="K133" s="3"/>
      <c r="L133" s="3"/>
      <c r="M133" s="3"/>
    </row>
    <row r="134">
      <c r="A134" s="4" t="str">
        <f>IFERROR(__xludf.DUMMYFUNCTION("""COMPUTED_VALUE"""),"3104085681 / 252610439")</f>
        <v>3104085681 / 252610439</v>
      </c>
      <c r="B134" s="4" t="str">
        <f>IFERROR(__xludf.DUMMYFUNCTION("""COMPUTED_VALUE"""),"Putri Zaqiyah - P")</f>
        <v>Putri Zaqiyah - P</v>
      </c>
      <c r="C134" s="4" t="str">
        <f>IFERROR(__xludf.DUMMYFUNCTION("""COMPUTED_VALUE"""),"P")</f>
        <v>P</v>
      </c>
      <c r="D134" s="4">
        <f>IFERROR(__xludf.DUMMYFUNCTION("""COMPUTED_VALUE"""),33.0)</f>
        <v>33</v>
      </c>
      <c r="E134" s="4" t="str">
        <f>IFERROR(__xludf.DUMMYFUNCTION("""COMPUTED_VALUE"""),"X3")</f>
        <v>X3</v>
      </c>
      <c r="F134" s="5" t="str">
        <f>IFERROR(__xludf.DUMMYFUNCTION("""COMPUTED_VALUE"""),"33 - X3 - Putri Zaqiyah - P")</f>
        <v>33 - X3 - Putri Zaqiyah - P</v>
      </c>
      <c r="G134" s="3"/>
      <c r="H134" s="3"/>
      <c r="I134" s="3"/>
      <c r="J134" s="3"/>
      <c r="K134" s="3"/>
      <c r="L134" s="3"/>
      <c r="M134" s="3"/>
    </row>
    <row r="135">
      <c r="A135" s="4" t="str">
        <f>IFERROR(__xludf.DUMMYFUNCTION("""COMPUTED_VALUE"""),"0105055522 / 252610461")</f>
        <v>0105055522 / 252610461</v>
      </c>
      <c r="B135" s="4" t="str">
        <f>IFERROR(__xludf.DUMMYFUNCTION("""COMPUTED_VALUE"""),"Rahma Marissa - P")</f>
        <v>Rahma Marissa - P</v>
      </c>
      <c r="C135" s="4" t="str">
        <f>IFERROR(__xludf.DUMMYFUNCTION("""COMPUTED_VALUE"""),"P")</f>
        <v>P</v>
      </c>
      <c r="D135" s="4">
        <f>IFERROR(__xludf.DUMMYFUNCTION("""COMPUTED_VALUE"""),33.0)</f>
        <v>33</v>
      </c>
      <c r="E135" s="4" t="str">
        <f>IFERROR(__xludf.DUMMYFUNCTION("""COMPUTED_VALUE"""),"X3")</f>
        <v>X3</v>
      </c>
      <c r="F135" s="5" t="str">
        <f>IFERROR(__xludf.DUMMYFUNCTION("""COMPUTED_VALUE"""),"33 - X3 - Rahma Marissa - P")</f>
        <v>33 - X3 - Rahma Marissa - P</v>
      </c>
      <c r="G135" s="3"/>
      <c r="H135" s="3"/>
      <c r="I135" s="3"/>
      <c r="J135" s="3"/>
      <c r="K135" s="3"/>
      <c r="L135" s="3"/>
      <c r="M135" s="3"/>
    </row>
    <row r="136">
      <c r="A136" s="4" t="str">
        <f>IFERROR(__xludf.DUMMYFUNCTION("""COMPUTED_VALUE"""),"0092263541 / 252610485")</f>
        <v>0092263541 / 252610485</v>
      </c>
      <c r="B136" s="4" t="str">
        <f>IFERROR(__xludf.DUMMYFUNCTION("""COMPUTED_VALUE"""),"Revan - L")</f>
        <v>Revan - L</v>
      </c>
      <c r="C136" s="4" t="str">
        <f>IFERROR(__xludf.DUMMYFUNCTION("""COMPUTED_VALUE"""),"L")</f>
        <v>L</v>
      </c>
      <c r="D136" s="4">
        <f>IFERROR(__xludf.DUMMYFUNCTION("""COMPUTED_VALUE"""),33.0)</f>
        <v>33</v>
      </c>
      <c r="E136" s="4" t="str">
        <f>IFERROR(__xludf.DUMMYFUNCTION("""COMPUTED_VALUE"""),"X3")</f>
        <v>X3</v>
      </c>
      <c r="F136" s="5" t="str">
        <f>IFERROR(__xludf.DUMMYFUNCTION("""COMPUTED_VALUE"""),"33 - X3 - Revan - L")</f>
        <v>33 - X3 - Revan - L</v>
      </c>
      <c r="G136" s="3"/>
      <c r="H136" s="3"/>
      <c r="I136" s="3"/>
      <c r="J136" s="3"/>
      <c r="K136" s="3"/>
      <c r="L136" s="3"/>
      <c r="M136" s="3"/>
    </row>
    <row r="137">
      <c r="A137" s="4" t="str">
        <f>IFERROR(__xludf.DUMMYFUNCTION("""COMPUTED_VALUE"""),"0091178036 / 252610501")</f>
        <v>0091178036 / 252610501</v>
      </c>
      <c r="B137" s="4" t="str">
        <f>IFERROR(__xludf.DUMMYFUNCTION("""COMPUTED_VALUE"""),"Safa Naya Adristi - P")</f>
        <v>Safa Naya Adristi - P</v>
      </c>
      <c r="C137" s="4" t="str">
        <f>IFERROR(__xludf.DUMMYFUNCTION("""COMPUTED_VALUE"""),"P")</f>
        <v>P</v>
      </c>
      <c r="D137" s="4">
        <f>IFERROR(__xludf.DUMMYFUNCTION("""COMPUTED_VALUE"""),33.0)</f>
        <v>33</v>
      </c>
      <c r="E137" s="4" t="str">
        <f>IFERROR(__xludf.DUMMYFUNCTION("""COMPUTED_VALUE"""),"X3")</f>
        <v>X3</v>
      </c>
      <c r="F137" s="5" t="str">
        <f>IFERROR(__xludf.DUMMYFUNCTION("""COMPUTED_VALUE"""),"33 - X3 - Safa Naya Adristi - P")</f>
        <v>33 - X3 - Safa Naya Adristi - P</v>
      </c>
      <c r="G137" s="3"/>
      <c r="H137" s="3"/>
      <c r="I137" s="3"/>
      <c r="J137" s="3"/>
      <c r="K137" s="3"/>
      <c r="L137" s="3"/>
      <c r="M137" s="3"/>
    </row>
    <row r="138">
      <c r="A138" s="4" t="str">
        <f>IFERROR(__xludf.DUMMYFUNCTION("""COMPUTED_VALUE"""),"0106930882 / 252610520")</f>
        <v>0106930882 / 252610520</v>
      </c>
      <c r="B138" s="4" t="str">
        <f>IFERROR(__xludf.DUMMYFUNCTION("""COMPUTED_VALUE"""),"Shirane Ghaniyya Ramadhani - P")</f>
        <v>Shirane Ghaniyya Ramadhani - P</v>
      </c>
      <c r="C138" s="4" t="str">
        <f>IFERROR(__xludf.DUMMYFUNCTION("""COMPUTED_VALUE"""),"P")</f>
        <v>P</v>
      </c>
      <c r="D138" s="4">
        <f>IFERROR(__xludf.DUMMYFUNCTION("""COMPUTED_VALUE"""),33.0)</f>
        <v>33</v>
      </c>
      <c r="E138" s="4" t="str">
        <f>IFERROR(__xludf.DUMMYFUNCTION("""COMPUTED_VALUE"""),"X3")</f>
        <v>X3</v>
      </c>
      <c r="F138" s="5" t="str">
        <f>IFERROR(__xludf.DUMMYFUNCTION("""COMPUTED_VALUE"""),"33 - X3 - Shirane Ghaniyya Ramadhani - P")</f>
        <v>33 - X3 - Shirane Ghaniyya Ramadhani - P</v>
      </c>
      <c r="G138" s="3"/>
      <c r="H138" s="3"/>
      <c r="I138" s="3"/>
      <c r="J138" s="3"/>
      <c r="K138" s="3"/>
      <c r="L138" s="3"/>
      <c r="M138" s="3"/>
    </row>
    <row r="139">
      <c r="A139" s="4" t="str">
        <f>IFERROR(__xludf.DUMMYFUNCTION("""COMPUTED_VALUE"""),"0109721617 / 252610555")</f>
        <v>0109721617 / 252610555</v>
      </c>
      <c r="B139" s="4" t="str">
        <f>IFERROR(__xludf.DUMMYFUNCTION("""COMPUTED_VALUE"""),"Yasmin Kirani Affifah - P")</f>
        <v>Yasmin Kirani Affifah - P</v>
      </c>
      <c r="C139" s="4" t="str">
        <f>IFERROR(__xludf.DUMMYFUNCTION("""COMPUTED_VALUE"""),"P")</f>
        <v>P</v>
      </c>
      <c r="D139" s="4">
        <f>IFERROR(__xludf.DUMMYFUNCTION("""COMPUTED_VALUE"""),33.0)</f>
        <v>33</v>
      </c>
      <c r="E139" s="4" t="str">
        <f>IFERROR(__xludf.DUMMYFUNCTION("""COMPUTED_VALUE"""),"X3")</f>
        <v>X3</v>
      </c>
      <c r="F139" s="5" t="str">
        <f>IFERROR(__xludf.DUMMYFUNCTION("""COMPUTED_VALUE"""),"33 - X3 - Yasmin Kirani Affifah - P")</f>
        <v>33 - X3 - Yasmin Kirani Affifah - P</v>
      </c>
      <c r="G139" s="3"/>
      <c r="H139" s="3"/>
      <c r="I139" s="3"/>
      <c r="J139" s="3"/>
      <c r="K139" s="3"/>
      <c r="L139" s="3"/>
      <c r="M139" s="3"/>
    </row>
    <row r="140">
      <c r="A140" s="4" t="str">
        <f>IFERROR(__xludf.DUMMYFUNCTION("""COMPUTED_VALUE"""),"0101188685 / 252610556")</f>
        <v>0101188685 / 252610556</v>
      </c>
      <c r="B140" s="4" t="str">
        <f>IFERROR(__xludf.DUMMYFUNCTION("""COMPUTED_VALUE"""),"Yasmine Almira Queen - P")</f>
        <v>Yasmine Almira Queen - P</v>
      </c>
      <c r="C140" s="4" t="str">
        <f>IFERROR(__xludf.DUMMYFUNCTION("""COMPUTED_VALUE"""),"P")</f>
        <v>P</v>
      </c>
      <c r="D140" s="4">
        <f>IFERROR(__xludf.DUMMYFUNCTION("""COMPUTED_VALUE"""),33.0)</f>
        <v>33</v>
      </c>
      <c r="E140" s="4" t="str">
        <f>IFERROR(__xludf.DUMMYFUNCTION("""COMPUTED_VALUE"""),"X3")</f>
        <v>X3</v>
      </c>
      <c r="F140" s="5" t="str">
        <f>IFERROR(__xludf.DUMMYFUNCTION("""COMPUTED_VALUE"""),"33 - X3 - Yasmine Almira Queen - P")</f>
        <v>33 - X3 - Yasmine Almira Queen - P</v>
      </c>
      <c r="G140" s="3"/>
      <c r="H140" s="3"/>
      <c r="I140" s="3"/>
      <c r="J140" s="3"/>
      <c r="K140" s="3"/>
      <c r="L140" s="3"/>
      <c r="M140" s="3"/>
    </row>
    <row r="141">
      <c r="A141" s="4" t="str">
        <f>IFERROR(__xludf.DUMMYFUNCTION("""COMPUTED_VALUE"""),"0106136353 / 252610016")</f>
        <v>0106136353 / 252610016</v>
      </c>
      <c r="B141" s="4" t="str">
        <f>IFERROR(__xludf.DUMMYFUNCTION("""COMPUTED_VALUE"""),"Ahmad Azmi Mutaarrofi - L")</f>
        <v>Ahmad Azmi Mutaarrofi - L</v>
      </c>
      <c r="C141" s="4" t="str">
        <f>IFERROR(__xludf.DUMMYFUNCTION("""COMPUTED_VALUE"""),"L")</f>
        <v>L</v>
      </c>
      <c r="D141" s="4">
        <f>IFERROR(__xludf.DUMMYFUNCTION("""COMPUTED_VALUE"""),33.0)</f>
        <v>33</v>
      </c>
      <c r="E141" s="4" t="str">
        <f>IFERROR(__xludf.DUMMYFUNCTION("""COMPUTED_VALUE"""),"X4")</f>
        <v>X4</v>
      </c>
      <c r="F141" s="5" t="str">
        <f>IFERROR(__xludf.DUMMYFUNCTION("""COMPUTED_VALUE"""),"33 - X4 - Ahmad Azmi Mutaarrofi - L")</f>
        <v>33 - X4 - Ahmad Azmi Mutaarrofi - L</v>
      </c>
      <c r="G141" s="3"/>
      <c r="H141" s="3"/>
      <c r="I141" s="3"/>
      <c r="J141" s="3"/>
      <c r="K141" s="3"/>
      <c r="L141" s="3"/>
      <c r="M141" s="3"/>
    </row>
    <row r="142">
      <c r="A142" s="4" t="str">
        <f>IFERROR(__xludf.DUMMYFUNCTION("""COMPUTED_VALUE"""),"0095491750 / 252610018")</f>
        <v>0095491750 / 252610018</v>
      </c>
      <c r="B142" s="4" t="str">
        <f>IFERROR(__xludf.DUMMYFUNCTION("""COMPUTED_VALUE"""),"Ahmad Farely Azriel - L")</f>
        <v>Ahmad Farely Azriel - L</v>
      </c>
      <c r="C142" s="4" t="str">
        <f>IFERROR(__xludf.DUMMYFUNCTION("""COMPUTED_VALUE"""),"L")</f>
        <v>L</v>
      </c>
      <c r="D142" s="4">
        <f>IFERROR(__xludf.DUMMYFUNCTION("""COMPUTED_VALUE"""),33.0)</f>
        <v>33</v>
      </c>
      <c r="E142" s="4" t="str">
        <f>IFERROR(__xludf.DUMMYFUNCTION("""COMPUTED_VALUE"""),"X4")</f>
        <v>X4</v>
      </c>
      <c r="F142" s="5" t="str">
        <f>IFERROR(__xludf.DUMMYFUNCTION("""COMPUTED_VALUE"""),"33 - X4 - Ahmad Farely Azriel - L")</f>
        <v>33 - X4 - Ahmad Farely Azriel - L</v>
      </c>
      <c r="G142" s="3"/>
      <c r="H142" s="3"/>
      <c r="I142" s="3"/>
      <c r="J142" s="3"/>
      <c r="K142" s="3"/>
      <c r="L142" s="3"/>
      <c r="M142" s="3"/>
    </row>
    <row r="143">
      <c r="A143" s="4" t="str">
        <f>IFERROR(__xludf.DUMMYFUNCTION("""COMPUTED_VALUE"""),"0087811342 / 252610038")</f>
        <v>0087811342 / 252610038</v>
      </c>
      <c r="B143" s="4" t="str">
        <f>IFERROR(__xludf.DUMMYFUNCTION("""COMPUTED_VALUE"""),"Alfian Chaniago - L")</f>
        <v>Alfian Chaniago - L</v>
      </c>
      <c r="C143" s="4" t="str">
        <f>IFERROR(__xludf.DUMMYFUNCTION("""COMPUTED_VALUE"""),"L")</f>
        <v>L</v>
      </c>
      <c r="D143" s="4">
        <f>IFERROR(__xludf.DUMMYFUNCTION("""COMPUTED_VALUE"""),33.0)</f>
        <v>33</v>
      </c>
      <c r="E143" s="4" t="str">
        <f>IFERROR(__xludf.DUMMYFUNCTION("""COMPUTED_VALUE"""),"X4")</f>
        <v>X4</v>
      </c>
      <c r="F143" s="5" t="str">
        <f>IFERROR(__xludf.DUMMYFUNCTION("""COMPUTED_VALUE"""),"33 - X4 - Alfian Chaniago - L")</f>
        <v>33 - X4 - Alfian Chaniago - L</v>
      </c>
      <c r="G143" s="3"/>
      <c r="H143" s="3"/>
      <c r="I143" s="3"/>
      <c r="J143" s="3"/>
      <c r="K143" s="3"/>
      <c r="L143" s="3"/>
      <c r="M143" s="3"/>
    </row>
    <row r="144">
      <c r="A144" s="4" t="str">
        <f>IFERROR(__xludf.DUMMYFUNCTION("""COMPUTED_VALUE"""),"0094160993 / 252610045")</f>
        <v>0094160993 / 252610045</v>
      </c>
      <c r="B144" s="4" t="str">
        <f>IFERROR(__xludf.DUMMYFUNCTION("""COMPUTED_VALUE"""),"Alleandra Kaif Finandita - P")</f>
        <v>Alleandra Kaif Finandita - P</v>
      </c>
      <c r="C144" s="4" t="str">
        <f>IFERROR(__xludf.DUMMYFUNCTION("""COMPUTED_VALUE"""),"P")</f>
        <v>P</v>
      </c>
      <c r="D144" s="4">
        <f>IFERROR(__xludf.DUMMYFUNCTION("""COMPUTED_VALUE"""),33.0)</f>
        <v>33</v>
      </c>
      <c r="E144" s="4" t="str">
        <f>IFERROR(__xludf.DUMMYFUNCTION("""COMPUTED_VALUE"""),"X4")</f>
        <v>X4</v>
      </c>
      <c r="F144" s="5" t="str">
        <f>IFERROR(__xludf.DUMMYFUNCTION("""COMPUTED_VALUE"""),"33 - X4 - Alleandra Kaif Finandita - P")</f>
        <v>33 - X4 - Alleandra Kaif Finandita - P</v>
      </c>
      <c r="G144" s="3"/>
      <c r="H144" s="3"/>
      <c r="I144" s="3"/>
      <c r="J144" s="3"/>
      <c r="K144" s="3"/>
      <c r="L144" s="3"/>
      <c r="M144" s="3"/>
    </row>
    <row r="145">
      <c r="A145" s="4" t="str">
        <f>IFERROR(__xludf.DUMMYFUNCTION("""COMPUTED_VALUE"""),"0103659705 / 252610049")</f>
        <v>0103659705 / 252610049</v>
      </c>
      <c r="B145" s="4" t="str">
        <f>IFERROR(__xludf.DUMMYFUNCTION("""COMPUTED_VALUE"""),"Altaira Aqila Myesha Ario - P")</f>
        <v>Altaira Aqila Myesha Ario - P</v>
      </c>
      <c r="C145" s="4" t="str">
        <f>IFERROR(__xludf.DUMMYFUNCTION("""COMPUTED_VALUE"""),"P")</f>
        <v>P</v>
      </c>
      <c r="D145" s="4">
        <f>IFERROR(__xludf.DUMMYFUNCTION("""COMPUTED_VALUE"""),33.0)</f>
        <v>33</v>
      </c>
      <c r="E145" s="4" t="str">
        <f>IFERROR(__xludf.DUMMYFUNCTION("""COMPUTED_VALUE"""),"X4")</f>
        <v>X4</v>
      </c>
      <c r="F145" s="5" t="str">
        <f>IFERROR(__xludf.DUMMYFUNCTION("""COMPUTED_VALUE"""),"33 - X4 - Altaira Aqila Myesha Ario - P")</f>
        <v>33 - X4 - Altaira Aqila Myesha Ario - P</v>
      </c>
      <c r="G145" s="3"/>
      <c r="H145" s="3"/>
      <c r="I145" s="3"/>
      <c r="J145" s="3"/>
      <c r="K145" s="3"/>
      <c r="L145" s="3"/>
      <c r="M145" s="3"/>
    </row>
    <row r="146">
      <c r="A146" s="4" t="str">
        <f>IFERROR(__xludf.DUMMYFUNCTION("""COMPUTED_VALUE"""),"0107838813 / 252610056")</f>
        <v>0107838813 / 252610056</v>
      </c>
      <c r="B146" s="4" t="str">
        <f>IFERROR(__xludf.DUMMYFUNCTION("""COMPUTED_VALUE"""),"Amira Najwa Fauziyah - P")</f>
        <v>Amira Najwa Fauziyah - P</v>
      </c>
      <c r="C146" s="4" t="str">
        <f>IFERROR(__xludf.DUMMYFUNCTION("""COMPUTED_VALUE"""),"P")</f>
        <v>P</v>
      </c>
      <c r="D146" s="4">
        <f>IFERROR(__xludf.DUMMYFUNCTION("""COMPUTED_VALUE"""),33.0)</f>
        <v>33</v>
      </c>
      <c r="E146" s="4" t="str">
        <f>IFERROR(__xludf.DUMMYFUNCTION("""COMPUTED_VALUE"""),"X4")</f>
        <v>X4</v>
      </c>
      <c r="F146" s="5" t="str">
        <f>IFERROR(__xludf.DUMMYFUNCTION("""COMPUTED_VALUE"""),"33 - X4 - Amira Najwa Fauziyah - P")</f>
        <v>33 - X4 - Amira Najwa Fauziyah - P</v>
      </c>
      <c r="G146" s="3"/>
      <c r="H146" s="3"/>
      <c r="I146" s="3"/>
      <c r="J146" s="3"/>
      <c r="K146" s="3"/>
      <c r="L146" s="3"/>
      <c r="M146" s="3"/>
    </row>
    <row r="147">
      <c r="A147" s="4" t="str">
        <f>IFERROR(__xludf.DUMMYFUNCTION("""COMPUTED_VALUE"""),"0108144208 / 252610069")</f>
        <v>0108144208 / 252610069</v>
      </c>
      <c r="B147" s="4" t="str">
        <f>IFERROR(__xludf.DUMMYFUNCTION("""COMPUTED_VALUE"""),"Aphrodyta Aurelia Avrilla - P")</f>
        <v>Aphrodyta Aurelia Avrilla - P</v>
      </c>
      <c r="C147" s="4" t="str">
        <f>IFERROR(__xludf.DUMMYFUNCTION("""COMPUTED_VALUE"""),"P")</f>
        <v>P</v>
      </c>
      <c r="D147" s="4">
        <f>IFERROR(__xludf.DUMMYFUNCTION("""COMPUTED_VALUE"""),33.0)</f>
        <v>33</v>
      </c>
      <c r="E147" s="4" t="str">
        <f>IFERROR(__xludf.DUMMYFUNCTION("""COMPUTED_VALUE"""),"X4")</f>
        <v>X4</v>
      </c>
      <c r="F147" s="5" t="str">
        <f>IFERROR(__xludf.DUMMYFUNCTION("""COMPUTED_VALUE"""),"33 - X4 - Aphrodyta Aurelia Avrilla - P")</f>
        <v>33 - X4 - Aphrodyta Aurelia Avrilla - P</v>
      </c>
      <c r="G147" s="3"/>
      <c r="H147" s="3"/>
      <c r="I147" s="3"/>
      <c r="J147" s="3"/>
      <c r="K147" s="3"/>
      <c r="L147" s="3"/>
      <c r="M147" s="3"/>
    </row>
    <row r="148">
      <c r="A148" s="4" t="str">
        <f>IFERROR(__xludf.DUMMYFUNCTION("""COMPUTED_VALUE"""),"0096853688 / 252610074")</f>
        <v>0096853688 / 252610074</v>
      </c>
      <c r="B148" s="4" t="str">
        <f>IFERROR(__xludf.DUMMYFUNCTION("""COMPUTED_VALUE"""),"Aqueena Putri Salimah - P")</f>
        <v>Aqueena Putri Salimah - P</v>
      </c>
      <c r="C148" s="4" t="str">
        <f>IFERROR(__xludf.DUMMYFUNCTION("""COMPUTED_VALUE"""),"P")</f>
        <v>P</v>
      </c>
      <c r="D148" s="4">
        <f>IFERROR(__xludf.DUMMYFUNCTION("""COMPUTED_VALUE"""),33.0)</f>
        <v>33</v>
      </c>
      <c r="E148" s="4" t="str">
        <f>IFERROR(__xludf.DUMMYFUNCTION("""COMPUTED_VALUE"""),"X4")</f>
        <v>X4</v>
      </c>
      <c r="F148" s="5" t="str">
        <f>IFERROR(__xludf.DUMMYFUNCTION("""COMPUTED_VALUE"""),"33 - X4 - Aqueena Putri Salimah - P")</f>
        <v>33 - X4 - Aqueena Putri Salimah - P</v>
      </c>
      <c r="G148" s="3"/>
      <c r="H148" s="3"/>
      <c r="I148" s="3"/>
      <c r="J148" s="3"/>
      <c r="K148" s="3"/>
      <c r="L148" s="3"/>
      <c r="M148" s="3"/>
    </row>
    <row r="149">
      <c r="A149" s="4" t="str">
        <f>IFERROR(__xludf.DUMMYFUNCTION("""COMPUTED_VALUE"""),"0092637367 / 252610132")</f>
        <v>0092637367 / 252610132</v>
      </c>
      <c r="B149" s="4" t="str">
        <f>IFERROR(__xludf.DUMMYFUNCTION("""COMPUTED_VALUE"""),"Chairani Kanza Wulandaputri - P")</f>
        <v>Chairani Kanza Wulandaputri - P</v>
      </c>
      <c r="C149" s="4" t="str">
        <f>IFERROR(__xludf.DUMMYFUNCTION("""COMPUTED_VALUE"""),"P")</f>
        <v>P</v>
      </c>
      <c r="D149" s="4">
        <f>IFERROR(__xludf.DUMMYFUNCTION("""COMPUTED_VALUE"""),33.0)</f>
        <v>33</v>
      </c>
      <c r="E149" s="4" t="str">
        <f>IFERROR(__xludf.DUMMYFUNCTION("""COMPUTED_VALUE"""),"X4")</f>
        <v>X4</v>
      </c>
      <c r="F149" s="5" t="str">
        <f>IFERROR(__xludf.DUMMYFUNCTION("""COMPUTED_VALUE"""),"33 - X4 - Chairani Kanza Wulandaputri - P")</f>
        <v>33 - X4 - Chairani Kanza Wulandaputri - P</v>
      </c>
      <c r="G149" s="3"/>
      <c r="H149" s="3"/>
      <c r="I149" s="3"/>
      <c r="J149" s="3"/>
      <c r="K149" s="3"/>
      <c r="L149" s="3"/>
      <c r="M149" s="3"/>
    </row>
    <row r="150">
      <c r="A150" s="4" t="str">
        <f>IFERROR(__xludf.DUMMYFUNCTION("""COMPUTED_VALUE"""),"0095522157 / 252610155")</f>
        <v>0095522157 / 252610155</v>
      </c>
      <c r="B150" s="4" t="str">
        <f>IFERROR(__xludf.DUMMYFUNCTION("""COMPUTED_VALUE"""),"Dhefa Raditya Putra - P")</f>
        <v>Dhefa Raditya Putra - P</v>
      </c>
      <c r="C150" s="4" t="str">
        <f>IFERROR(__xludf.DUMMYFUNCTION("""COMPUTED_VALUE"""),"P")</f>
        <v>P</v>
      </c>
      <c r="D150" s="4">
        <f>IFERROR(__xludf.DUMMYFUNCTION("""COMPUTED_VALUE"""),33.0)</f>
        <v>33</v>
      </c>
      <c r="E150" s="4" t="str">
        <f>IFERROR(__xludf.DUMMYFUNCTION("""COMPUTED_VALUE"""),"X4")</f>
        <v>X4</v>
      </c>
      <c r="F150" s="5" t="str">
        <f>IFERROR(__xludf.DUMMYFUNCTION("""COMPUTED_VALUE"""),"33 - X4 - Dhefa Raditya Putra - P")</f>
        <v>33 - X4 - Dhefa Raditya Putra - P</v>
      </c>
      <c r="G150" s="3"/>
      <c r="H150" s="3"/>
      <c r="I150" s="3"/>
      <c r="J150" s="3"/>
      <c r="K150" s="3"/>
      <c r="L150" s="3"/>
      <c r="M150" s="3"/>
    </row>
    <row r="151">
      <c r="A151" s="4" t="str">
        <f>IFERROR(__xludf.DUMMYFUNCTION("""COMPUTED_VALUE"""),"0098223677 / 252610162")</f>
        <v>0098223677 / 252610162</v>
      </c>
      <c r="B151" s="4" t="str">
        <f>IFERROR(__xludf.DUMMYFUNCTION("""COMPUTED_VALUE"""),"Diaz Syeza Zivanna - L")</f>
        <v>Diaz Syeza Zivanna - L</v>
      </c>
      <c r="C151" s="4" t="str">
        <f>IFERROR(__xludf.DUMMYFUNCTION("""COMPUTED_VALUE"""),"L")</f>
        <v>L</v>
      </c>
      <c r="D151" s="4">
        <f>IFERROR(__xludf.DUMMYFUNCTION("""COMPUTED_VALUE"""),33.0)</f>
        <v>33</v>
      </c>
      <c r="E151" s="4" t="str">
        <f>IFERROR(__xludf.DUMMYFUNCTION("""COMPUTED_VALUE"""),"X4")</f>
        <v>X4</v>
      </c>
      <c r="F151" s="5" t="str">
        <f>IFERROR(__xludf.DUMMYFUNCTION("""COMPUTED_VALUE"""),"33 - X4 - Diaz Syeza Zivanna - L")</f>
        <v>33 - X4 - Diaz Syeza Zivanna - L</v>
      </c>
      <c r="G151" s="3"/>
      <c r="H151" s="3"/>
      <c r="I151" s="3"/>
      <c r="J151" s="3"/>
      <c r="K151" s="3"/>
      <c r="L151" s="3"/>
      <c r="M151" s="3"/>
    </row>
    <row r="152">
      <c r="A152" s="4" t="str">
        <f>IFERROR(__xludf.DUMMYFUNCTION("""COMPUTED_VALUE"""),"0106545857 / 252610173")</f>
        <v>0106545857 / 252610173</v>
      </c>
      <c r="B152" s="4" t="str">
        <f>IFERROR(__xludf.DUMMYFUNCTION("""COMPUTED_VALUE"""),"Dwi Nailah Azhara - P")</f>
        <v>Dwi Nailah Azhara - P</v>
      </c>
      <c r="C152" s="4" t="str">
        <f>IFERROR(__xludf.DUMMYFUNCTION("""COMPUTED_VALUE"""),"P")</f>
        <v>P</v>
      </c>
      <c r="D152" s="4">
        <f>IFERROR(__xludf.DUMMYFUNCTION("""COMPUTED_VALUE"""),33.0)</f>
        <v>33</v>
      </c>
      <c r="E152" s="4" t="str">
        <f>IFERROR(__xludf.DUMMYFUNCTION("""COMPUTED_VALUE"""),"X4")</f>
        <v>X4</v>
      </c>
      <c r="F152" s="5" t="str">
        <f>IFERROR(__xludf.DUMMYFUNCTION("""COMPUTED_VALUE"""),"33 - X4 - Dwi Nailah Azhara - P")</f>
        <v>33 - X4 - Dwi Nailah Azhara - P</v>
      </c>
      <c r="G152" s="3"/>
      <c r="H152" s="3"/>
      <c r="I152" s="3"/>
      <c r="J152" s="3"/>
      <c r="K152" s="3"/>
      <c r="L152" s="3"/>
      <c r="M152" s="3"/>
    </row>
    <row r="153">
      <c r="A153" s="4" t="str">
        <f>IFERROR(__xludf.DUMMYFUNCTION("""COMPUTED_VALUE"""),"0108696681 / 252610183")</f>
        <v>0108696681 / 252610183</v>
      </c>
      <c r="B153" s="4" t="str">
        <f>IFERROR(__xludf.DUMMYFUNCTION("""COMPUTED_VALUE"""),"Erlangga Ardiyanto - L")</f>
        <v>Erlangga Ardiyanto - L</v>
      </c>
      <c r="C153" s="4" t="str">
        <f>IFERROR(__xludf.DUMMYFUNCTION("""COMPUTED_VALUE"""),"L")</f>
        <v>L</v>
      </c>
      <c r="D153" s="4">
        <f>IFERROR(__xludf.DUMMYFUNCTION("""COMPUTED_VALUE"""),33.0)</f>
        <v>33</v>
      </c>
      <c r="E153" s="4" t="str">
        <f>IFERROR(__xludf.DUMMYFUNCTION("""COMPUTED_VALUE"""),"X4")</f>
        <v>X4</v>
      </c>
      <c r="F153" s="5" t="str">
        <f>IFERROR(__xludf.DUMMYFUNCTION("""COMPUTED_VALUE"""),"33 - X4 - Erlangga Ardiyanto - L")</f>
        <v>33 - X4 - Erlangga Ardiyanto - L</v>
      </c>
      <c r="G153" s="3"/>
      <c r="H153" s="3"/>
      <c r="I153" s="3"/>
      <c r="J153" s="3"/>
      <c r="K153" s="3"/>
      <c r="L153" s="3"/>
      <c r="M153" s="3"/>
    </row>
    <row r="154">
      <c r="A154" s="4" t="str">
        <f>IFERROR(__xludf.DUMMYFUNCTION("""COMPUTED_VALUE"""),"0102866245 / 252610188")</f>
        <v>0102866245 / 252610188</v>
      </c>
      <c r="B154" s="4" t="str">
        <f>IFERROR(__xludf.DUMMYFUNCTION("""COMPUTED_VALUE"""),"Fahmi Adilla Pasha - L")</f>
        <v>Fahmi Adilla Pasha - L</v>
      </c>
      <c r="C154" s="4" t="str">
        <f>IFERROR(__xludf.DUMMYFUNCTION("""COMPUTED_VALUE"""),"L")</f>
        <v>L</v>
      </c>
      <c r="D154" s="4">
        <f>IFERROR(__xludf.DUMMYFUNCTION("""COMPUTED_VALUE"""),33.0)</f>
        <v>33</v>
      </c>
      <c r="E154" s="4" t="str">
        <f>IFERROR(__xludf.DUMMYFUNCTION("""COMPUTED_VALUE"""),"X4")</f>
        <v>X4</v>
      </c>
      <c r="F154" s="5" t="str">
        <f>IFERROR(__xludf.DUMMYFUNCTION("""COMPUTED_VALUE"""),"33 - X4 - Fahmi Adilla Pasha - L")</f>
        <v>33 - X4 - Fahmi Adilla Pasha - L</v>
      </c>
      <c r="G154" s="3"/>
      <c r="H154" s="3"/>
      <c r="I154" s="3"/>
      <c r="J154" s="3"/>
      <c r="K154" s="3"/>
      <c r="L154" s="3"/>
      <c r="M154" s="3"/>
    </row>
    <row r="155">
      <c r="A155" s="4" t="str">
        <f>IFERROR(__xludf.DUMMYFUNCTION("""COMPUTED_VALUE"""),"0107425879 / 252610191")</f>
        <v>0107425879 / 252610191</v>
      </c>
      <c r="B155" s="4" t="str">
        <f>IFERROR(__xludf.DUMMYFUNCTION("""COMPUTED_VALUE"""),"Fakhi Zulfia Bilqis Nasyifa - L")</f>
        <v>Fakhi Zulfia Bilqis Nasyifa - L</v>
      </c>
      <c r="C155" s="4" t="str">
        <f>IFERROR(__xludf.DUMMYFUNCTION("""COMPUTED_VALUE"""),"L")</f>
        <v>L</v>
      </c>
      <c r="D155" s="4">
        <f>IFERROR(__xludf.DUMMYFUNCTION("""COMPUTED_VALUE"""),33.0)</f>
        <v>33</v>
      </c>
      <c r="E155" s="4" t="str">
        <f>IFERROR(__xludf.DUMMYFUNCTION("""COMPUTED_VALUE"""),"X4")</f>
        <v>X4</v>
      </c>
      <c r="F155" s="5" t="str">
        <f>IFERROR(__xludf.DUMMYFUNCTION("""COMPUTED_VALUE"""),"33 - X4 - Fakhi Zulfia Bilqis Nasyifa - L")</f>
        <v>33 - X4 - Fakhi Zulfia Bilqis Nasyifa - L</v>
      </c>
      <c r="G155" s="3"/>
      <c r="H155" s="3"/>
      <c r="I155" s="3"/>
      <c r="J155" s="3"/>
      <c r="K155" s="3"/>
      <c r="L155" s="3"/>
      <c r="M155" s="3"/>
    </row>
    <row r="156">
      <c r="A156" s="4" t="str">
        <f>IFERROR(__xludf.DUMMYFUNCTION("""COMPUTED_VALUE"""),"0104987304 / 252610216")</f>
        <v>0104987304 / 252610216</v>
      </c>
      <c r="B156" s="4" t="str">
        <f>IFERROR(__xludf.DUMMYFUNCTION("""COMPUTED_VALUE"""),"Friska Feby Aulia - P")</f>
        <v>Friska Feby Aulia - P</v>
      </c>
      <c r="C156" s="4" t="str">
        <f>IFERROR(__xludf.DUMMYFUNCTION("""COMPUTED_VALUE"""),"P")</f>
        <v>P</v>
      </c>
      <c r="D156" s="4">
        <f>IFERROR(__xludf.DUMMYFUNCTION("""COMPUTED_VALUE"""),33.0)</f>
        <v>33</v>
      </c>
      <c r="E156" s="4" t="str">
        <f>IFERROR(__xludf.DUMMYFUNCTION("""COMPUTED_VALUE"""),"X4")</f>
        <v>X4</v>
      </c>
      <c r="F156" s="5" t="str">
        <f>IFERROR(__xludf.DUMMYFUNCTION("""COMPUTED_VALUE"""),"33 - X4 - Friska Feby Aulia - P")</f>
        <v>33 - X4 - Friska Feby Aulia - P</v>
      </c>
      <c r="G156" s="3"/>
      <c r="H156" s="3"/>
      <c r="I156" s="3"/>
      <c r="J156" s="3"/>
      <c r="K156" s="3"/>
      <c r="L156" s="3"/>
      <c r="M156" s="3"/>
    </row>
    <row r="157">
      <c r="A157" s="4" t="str">
        <f>IFERROR(__xludf.DUMMYFUNCTION("""COMPUTED_VALUE"""),"0104595564 / 252610233")</f>
        <v>0104595564 / 252610233</v>
      </c>
      <c r="B157" s="4" t="str">
        <f>IFERROR(__xludf.DUMMYFUNCTION("""COMPUTED_VALUE"""),"Inaya Janeeta - P")</f>
        <v>Inaya Janeeta - P</v>
      </c>
      <c r="C157" s="4" t="str">
        <f>IFERROR(__xludf.DUMMYFUNCTION("""COMPUTED_VALUE"""),"P")</f>
        <v>P</v>
      </c>
      <c r="D157" s="4">
        <f>IFERROR(__xludf.DUMMYFUNCTION("""COMPUTED_VALUE"""),33.0)</f>
        <v>33</v>
      </c>
      <c r="E157" s="4" t="str">
        <f>IFERROR(__xludf.DUMMYFUNCTION("""COMPUTED_VALUE"""),"X4")</f>
        <v>X4</v>
      </c>
      <c r="F157" s="5" t="str">
        <f>IFERROR(__xludf.DUMMYFUNCTION("""COMPUTED_VALUE"""),"33 - X4 - Inaya Janeeta - P")</f>
        <v>33 - X4 - Inaya Janeeta - P</v>
      </c>
      <c r="G157" s="3"/>
      <c r="H157" s="3"/>
      <c r="I157" s="3"/>
      <c r="J157" s="3"/>
      <c r="K157" s="3"/>
      <c r="L157" s="3"/>
      <c r="M157" s="3"/>
    </row>
    <row r="158">
      <c r="A158" s="4" t="str">
        <f>IFERROR(__xludf.DUMMYFUNCTION("""COMPUTED_VALUE"""),"0107286739 / 252610258")</f>
        <v>0107286739 / 252610258</v>
      </c>
      <c r="B158" s="4" t="str">
        <f>IFERROR(__xludf.DUMMYFUNCTION("""COMPUTED_VALUE"""),"Karnizara Ringga Rabbani - P")</f>
        <v>Karnizara Ringga Rabbani - P</v>
      </c>
      <c r="C158" s="4" t="str">
        <f>IFERROR(__xludf.DUMMYFUNCTION("""COMPUTED_VALUE"""),"P")</f>
        <v>P</v>
      </c>
      <c r="D158" s="4">
        <f>IFERROR(__xludf.DUMMYFUNCTION("""COMPUTED_VALUE"""),33.0)</f>
        <v>33</v>
      </c>
      <c r="E158" s="4" t="str">
        <f>IFERROR(__xludf.DUMMYFUNCTION("""COMPUTED_VALUE"""),"X4")</f>
        <v>X4</v>
      </c>
      <c r="F158" s="5" t="str">
        <f>IFERROR(__xludf.DUMMYFUNCTION("""COMPUTED_VALUE"""),"33 - X4 - Karnizara Ringga Rabbani - P")</f>
        <v>33 - X4 - Karnizara Ringga Rabbani - P</v>
      </c>
      <c r="G158" s="3"/>
      <c r="H158" s="3"/>
      <c r="I158" s="3"/>
      <c r="J158" s="3"/>
      <c r="K158" s="3"/>
      <c r="L158" s="3"/>
      <c r="M158" s="3"/>
    </row>
    <row r="159">
      <c r="A159" s="4" t="str">
        <f>IFERROR(__xludf.DUMMYFUNCTION("""COMPUTED_VALUE"""),"0109267722 / 252610260")</f>
        <v>0109267722 / 252610260</v>
      </c>
      <c r="B159" s="4" t="str">
        <f>IFERROR(__xludf.DUMMYFUNCTION("""COMPUTED_VALUE"""),"Karunia Dwi Rahmawati - P")</f>
        <v>Karunia Dwi Rahmawati - P</v>
      </c>
      <c r="C159" s="4" t="str">
        <f>IFERROR(__xludf.DUMMYFUNCTION("""COMPUTED_VALUE"""),"P")</f>
        <v>P</v>
      </c>
      <c r="D159" s="4">
        <f>IFERROR(__xludf.DUMMYFUNCTION("""COMPUTED_VALUE"""),33.0)</f>
        <v>33</v>
      </c>
      <c r="E159" s="4" t="str">
        <f>IFERROR(__xludf.DUMMYFUNCTION("""COMPUTED_VALUE"""),"X4")</f>
        <v>X4</v>
      </c>
      <c r="F159" s="5" t="str">
        <f>IFERROR(__xludf.DUMMYFUNCTION("""COMPUTED_VALUE"""),"33 - X4 - Karunia Dwi Rahmawati - P")</f>
        <v>33 - X4 - Karunia Dwi Rahmawati - P</v>
      </c>
      <c r="G159" s="3"/>
      <c r="H159" s="3"/>
      <c r="I159" s="3"/>
      <c r="J159" s="3"/>
      <c r="K159" s="3"/>
      <c r="L159" s="3"/>
      <c r="M159" s="3"/>
    </row>
    <row r="160">
      <c r="A160" s="4" t="str">
        <f>IFERROR(__xludf.DUMMYFUNCTION("""COMPUTED_VALUE"""),"0093634061 / 252610266")</f>
        <v>0093634061 / 252610266</v>
      </c>
      <c r="B160" s="4" t="str">
        <f>IFERROR(__xludf.DUMMYFUNCTION("""COMPUTED_VALUE"""),"Keisa Wanda Setiawan - P")</f>
        <v>Keisa Wanda Setiawan - P</v>
      </c>
      <c r="C160" s="4" t="str">
        <f>IFERROR(__xludf.DUMMYFUNCTION("""COMPUTED_VALUE"""),"P")</f>
        <v>P</v>
      </c>
      <c r="D160" s="4">
        <f>IFERROR(__xludf.DUMMYFUNCTION("""COMPUTED_VALUE"""),33.0)</f>
        <v>33</v>
      </c>
      <c r="E160" s="4" t="str">
        <f>IFERROR(__xludf.DUMMYFUNCTION("""COMPUTED_VALUE"""),"X4")</f>
        <v>X4</v>
      </c>
      <c r="F160" s="5" t="str">
        <f>IFERROR(__xludf.DUMMYFUNCTION("""COMPUTED_VALUE"""),"33 - X4 - Keisa Wanda Setiawan - P")</f>
        <v>33 - X4 - Keisa Wanda Setiawan - P</v>
      </c>
      <c r="G160" s="3"/>
      <c r="H160" s="3"/>
      <c r="I160" s="3"/>
      <c r="J160" s="3"/>
      <c r="K160" s="3"/>
      <c r="L160" s="3"/>
      <c r="M160" s="3"/>
    </row>
    <row r="161">
      <c r="A161" s="4" t="str">
        <f>IFERROR(__xludf.DUMMYFUNCTION("""COMPUTED_VALUE"""),"3091547533 / 252610275")</f>
        <v>3091547533 / 252610275</v>
      </c>
      <c r="B161" s="4" t="str">
        <f>IFERROR(__xludf.DUMMYFUNCTION("""COMPUTED_VALUE"""),"Keyno Nazmi Afham - L")</f>
        <v>Keyno Nazmi Afham - L</v>
      </c>
      <c r="C161" s="4" t="str">
        <f>IFERROR(__xludf.DUMMYFUNCTION("""COMPUTED_VALUE"""),"L")</f>
        <v>L</v>
      </c>
      <c r="D161" s="4">
        <f>IFERROR(__xludf.DUMMYFUNCTION("""COMPUTED_VALUE"""),33.0)</f>
        <v>33</v>
      </c>
      <c r="E161" s="4" t="str">
        <f>IFERROR(__xludf.DUMMYFUNCTION("""COMPUTED_VALUE"""),"X4")</f>
        <v>X4</v>
      </c>
      <c r="F161" s="5" t="str">
        <f>IFERROR(__xludf.DUMMYFUNCTION("""COMPUTED_VALUE"""),"33 - X4 - Keyno Nazmi Afham - L")</f>
        <v>33 - X4 - Keyno Nazmi Afham - L</v>
      </c>
      <c r="G161" s="3"/>
      <c r="H161" s="3"/>
      <c r="I161" s="3"/>
      <c r="J161" s="3"/>
      <c r="K161" s="3"/>
      <c r="L161" s="3"/>
      <c r="M161" s="3"/>
    </row>
    <row r="162">
      <c r="A162" s="4" t="str">
        <f>IFERROR(__xludf.DUMMYFUNCTION("""COMPUTED_VALUE"""),"0097951249 / 252610282")</f>
        <v>0097951249 / 252610282</v>
      </c>
      <c r="B162" s="4" t="str">
        <f>IFERROR(__xludf.DUMMYFUNCTION("""COMPUTED_VALUE"""),"Khansa Vanya Laudya Putri - P")</f>
        <v>Khansa Vanya Laudya Putri - P</v>
      </c>
      <c r="C162" s="4" t="str">
        <f>IFERROR(__xludf.DUMMYFUNCTION("""COMPUTED_VALUE"""),"P")</f>
        <v>P</v>
      </c>
      <c r="D162" s="4">
        <f>IFERROR(__xludf.DUMMYFUNCTION("""COMPUTED_VALUE"""),33.0)</f>
        <v>33</v>
      </c>
      <c r="E162" s="4" t="str">
        <f>IFERROR(__xludf.DUMMYFUNCTION("""COMPUTED_VALUE"""),"X4")</f>
        <v>X4</v>
      </c>
      <c r="F162" s="5" t="str">
        <f>IFERROR(__xludf.DUMMYFUNCTION("""COMPUTED_VALUE"""),"33 - X4 - Khansa Vanya Laudya Putri - P")</f>
        <v>33 - X4 - Khansa Vanya Laudya Putri - P</v>
      </c>
      <c r="G162" s="3"/>
      <c r="H162" s="3"/>
      <c r="I162" s="3"/>
      <c r="J162" s="3"/>
      <c r="K162" s="3"/>
      <c r="L162" s="3"/>
      <c r="M162" s="3"/>
    </row>
    <row r="163">
      <c r="A163" s="4" t="str">
        <f>IFERROR(__xludf.DUMMYFUNCTION("""COMPUTED_VALUE"""),"0102015407 / 252610294")</f>
        <v>0102015407 / 252610294</v>
      </c>
      <c r="B163" s="4" t="str">
        <f>IFERROR(__xludf.DUMMYFUNCTION("""COMPUTED_VALUE"""),"Lutfi Dwi Melati - P")</f>
        <v>Lutfi Dwi Melati - P</v>
      </c>
      <c r="C163" s="4" t="str">
        <f>IFERROR(__xludf.DUMMYFUNCTION("""COMPUTED_VALUE"""),"P")</f>
        <v>P</v>
      </c>
      <c r="D163" s="4">
        <f>IFERROR(__xludf.DUMMYFUNCTION("""COMPUTED_VALUE"""),33.0)</f>
        <v>33</v>
      </c>
      <c r="E163" s="4" t="str">
        <f>IFERROR(__xludf.DUMMYFUNCTION("""COMPUTED_VALUE"""),"X4")</f>
        <v>X4</v>
      </c>
      <c r="F163" s="5" t="str">
        <f>IFERROR(__xludf.DUMMYFUNCTION("""COMPUTED_VALUE"""),"33 - X4 - Lutfi Dwi Melati - P")</f>
        <v>33 - X4 - Lutfi Dwi Melati - P</v>
      </c>
      <c r="G163" s="3"/>
      <c r="H163" s="3"/>
      <c r="I163" s="3"/>
      <c r="J163" s="3"/>
      <c r="K163" s="3"/>
      <c r="L163" s="3"/>
      <c r="M163" s="3"/>
    </row>
    <row r="164">
      <c r="A164" s="4" t="str">
        <f>IFERROR(__xludf.DUMMYFUNCTION("""COMPUTED_VALUE"""),"0106908655 / 252610306")</f>
        <v>0106908655 / 252610306</v>
      </c>
      <c r="B164" s="4" t="str">
        <f>IFERROR(__xludf.DUMMYFUNCTION("""COMPUTED_VALUE"""),"Masayu Ganisha Pembayun Putri - P")</f>
        <v>Masayu Ganisha Pembayun Putri - P</v>
      </c>
      <c r="C164" s="4" t="str">
        <f>IFERROR(__xludf.DUMMYFUNCTION("""COMPUTED_VALUE"""),"P")</f>
        <v>P</v>
      </c>
      <c r="D164" s="4">
        <f>IFERROR(__xludf.DUMMYFUNCTION("""COMPUTED_VALUE"""),33.0)</f>
        <v>33</v>
      </c>
      <c r="E164" s="4" t="str">
        <f>IFERROR(__xludf.DUMMYFUNCTION("""COMPUTED_VALUE"""),"X4")</f>
        <v>X4</v>
      </c>
      <c r="F164" s="5" t="str">
        <f>IFERROR(__xludf.DUMMYFUNCTION("""COMPUTED_VALUE"""),"33 - X4 - Masayu Ganisha Pembayun Putri - P")</f>
        <v>33 - X4 - Masayu Ganisha Pembayun Putri - P</v>
      </c>
      <c r="G164" s="3"/>
      <c r="H164" s="3"/>
      <c r="I164" s="3"/>
      <c r="J164" s="3"/>
      <c r="K164" s="3"/>
      <c r="L164" s="3"/>
      <c r="M164" s="3"/>
    </row>
    <row r="165">
      <c r="A165" s="4" t="str">
        <f>IFERROR(__xludf.DUMMYFUNCTION("""COMPUTED_VALUE"""),"0092608342 / 252610309")</f>
        <v>0092608342 / 252610309</v>
      </c>
      <c r="B165" s="4" t="str">
        <f>IFERROR(__xludf.DUMMYFUNCTION("""COMPUTED_VALUE"""),"Mazaya Aqila Betha Diladena - P")</f>
        <v>Mazaya Aqila Betha Diladena - P</v>
      </c>
      <c r="C165" s="4" t="str">
        <f>IFERROR(__xludf.DUMMYFUNCTION("""COMPUTED_VALUE"""),"P")</f>
        <v>P</v>
      </c>
      <c r="D165" s="4">
        <f>IFERROR(__xludf.DUMMYFUNCTION("""COMPUTED_VALUE"""),33.0)</f>
        <v>33</v>
      </c>
      <c r="E165" s="4" t="str">
        <f>IFERROR(__xludf.DUMMYFUNCTION("""COMPUTED_VALUE"""),"X4")</f>
        <v>X4</v>
      </c>
      <c r="F165" s="5" t="str">
        <f>IFERROR(__xludf.DUMMYFUNCTION("""COMPUTED_VALUE"""),"33 - X4 - Mazaya Aqila Betha Diladena - P")</f>
        <v>33 - X4 - Mazaya Aqila Betha Diladena - P</v>
      </c>
      <c r="G165" s="3"/>
      <c r="H165" s="3"/>
      <c r="I165" s="3"/>
      <c r="J165" s="3"/>
      <c r="K165" s="3"/>
      <c r="L165" s="3"/>
      <c r="M165" s="3"/>
    </row>
    <row r="166">
      <c r="A166" s="4" t="str">
        <f>IFERROR(__xludf.DUMMYFUNCTION("""COMPUTED_VALUE"""),"0098979111 / 252610329")</f>
        <v>0098979111 / 252610329</v>
      </c>
      <c r="B166" s="4" t="str">
        <f>IFERROR(__xludf.DUMMYFUNCTION("""COMPUTED_VALUE"""),"Muhamad Rizqi Darmawan - L")</f>
        <v>Muhamad Rizqi Darmawan - L</v>
      </c>
      <c r="C166" s="4" t="str">
        <f>IFERROR(__xludf.DUMMYFUNCTION("""COMPUTED_VALUE"""),"L")</f>
        <v>L</v>
      </c>
      <c r="D166" s="4">
        <f>IFERROR(__xludf.DUMMYFUNCTION("""COMPUTED_VALUE"""),33.0)</f>
        <v>33</v>
      </c>
      <c r="E166" s="4" t="str">
        <f>IFERROR(__xludf.DUMMYFUNCTION("""COMPUTED_VALUE"""),"X4")</f>
        <v>X4</v>
      </c>
      <c r="F166" s="5" t="str">
        <f>IFERROR(__xludf.DUMMYFUNCTION("""COMPUTED_VALUE"""),"33 - X4 - Muhamad Rizqi Darmawan - L")</f>
        <v>33 - X4 - Muhamad Rizqi Darmawan - L</v>
      </c>
      <c r="G166" s="3"/>
      <c r="H166" s="3"/>
      <c r="I166" s="3"/>
      <c r="J166" s="3"/>
      <c r="K166" s="3"/>
      <c r="L166" s="3"/>
      <c r="M166" s="3"/>
    </row>
    <row r="167">
      <c r="A167" s="4" t="str">
        <f>IFERROR(__xludf.DUMMYFUNCTION("""COMPUTED_VALUE"""),"0105497173 / 252610357")</f>
        <v>0105497173 / 252610357</v>
      </c>
      <c r="B167" s="4" t="str">
        <f>IFERROR(__xludf.DUMMYFUNCTION("""COMPUTED_VALUE"""),"Muhammad Ihsan Putra Pamungkas - L")</f>
        <v>Muhammad Ihsan Putra Pamungkas - L</v>
      </c>
      <c r="C167" s="4" t="str">
        <f>IFERROR(__xludf.DUMMYFUNCTION("""COMPUTED_VALUE"""),"L")</f>
        <v>L</v>
      </c>
      <c r="D167" s="4">
        <f>IFERROR(__xludf.DUMMYFUNCTION("""COMPUTED_VALUE"""),33.0)</f>
        <v>33</v>
      </c>
      <c r="E167" s="4" t="str">
        <f>IFERROR(__xludf.DUMMYFUNCTION("""COMPUTED_VALUE"""),"X4")</f>
        <v>X4</v>
      </c>
      <c r="F167" s="5" t="str">
        <f>IFERROR(__xludf.DUMMYFUNCTION("""COMPUTED_VALUE"""),"33 - X4 - Muhammad Ihsan Putra Pamungkas - L")</f>
        <v>33 - X4 - Muhammad Ihsan Putra Pamungkas - L</v>
      </c>
      <c r="G167" s="3"/>
      <c r="H167" s="3"/>
      <c r="I167" s="3"/>
      <c r="J167" s="3"/>
      <c r="K167" s="3"/>
      <c r="L167" s="3"/>
      <c r="M167" s="3"/>
    </row>
    <row r="168">
      <c r="A168" s="4" t="str">
        <f>IFERROR(__xludf.DUMMYFUNCTION("""COMPUTED_VALUE"""),"0092028941 / 252610363")</f>
        <v>0092028941 / 252610363</v>
      </c>
      <c r="B168" s="4" t="str">
        <f>IFERROR(__xludf.DUMMYFUNCTION("""COMPUTED_VALUE"""),"Muhammad Rafi Kurniawan - L")</f>
        <v>Muhammad Rafi Kurniawan - L</v>
      </c>
      <c r="C168" s="4" t="str">
        <f>IFERROR(__xludf.DUMMYFUNCTION("""COMPUTED_VALUE"""),"L")</f>
        <v>L</v>
      </c>
      <c r="D168" s="4">
        <f>IFERROR(__xludf.DUMMYFUNCTION("""COMPUTED_VALUE"""),33.0)</f>
        <v>33</v>
      </c>
      <c r="E168" s="4" t="str">
        <f>IFERROR(__xludf.DUMMYFUNCTION("""COMPUTED_VALUE"""),"X4")</f>
        <v>X4</v>
      </c>
      <c r="F168" s="5" t="str">
        <f>IFERROR(__xludf.DUMMYFUNCTION("""COMPUTED_VALUE"""),"33 - X4 - Muhammad Rafi Kurniawan - L")</f>
        <v>33 - X4 - Muhammad Rafi Kurniawan - L</v>
      </c>
      <c r="G168" s="3"/>
      <c r="H168" s="3"/>
      <c r="I168" s="3"/>
      <c r="J168" s="3"/>
      <c r="K168" s="3"/>
      <c r="L168" s="3"/>
      <c r="M168" s="3"/>
    </row>
    <row r="169">
      <c r="A169" s="4" t="str">
        <f>IFERROR(__xludf.DUMMYFUNCTION("""COMPUTED_VALUE"""),"0097410697 / 252610373")</f>
        <v>0097410697 / 252610373</v>
      </c>
      <c r="B169" s="4" t="str">
        <f>IFERROR(__xludf.DUMMYFUNCTION("""COMPUTED_VALUE"""),"Muhammad Sulthon Najib - L")</f>
        <v>Muhammad Sulthon Najib - L</v>
      </c>
      <c r="C169" s="4" t="str">
        <f>IFERROR(__xludf.DUMMYFUNCTION("""COMPUTED_VALUE"""),"L")</f>
        <v>L</v>
      </c>
      <c r="D169" s="4">
        <f>IFERROR(__xludf.DUMMYFUNCTION("""COMPUTED_VALUE"""),33.0)</f>
        <v>33</v>
      </c>
      <c r="E169" s="4" t="str">
        <f>IFERROR(__xludf.DUMMYFUNCTION("""COMPUTED_VALUE"""),"X4")</f>
        <v>X4</v>
      </c>
      <c r="F169" s="5" t="str">
        <f>IFERROR(__xludf.DUMMYFUNCTION("""COMPUTED_VALUE"""),"33 - X4 - Muhammad Sulthon Najib - L")</f>
        <v>33 - X4 - Muhammad Sulthon Najib - L</v>
      </c>
      <c r="G169" s="3"/>
      <c r="H169" s="3"/>
      <c r="I169" s="3"/>
      <c r="J169" s="3"/>
      <c r="K169" s="3"/>
      <c r="L169" s="3"/>
      <c r="M169" s="3"/>
    </row>
    <row r="170">
      <c r="A170" s="4" t="str">
        <f>IFERROR(__xludf.DUMMYFUNCTION("""COMPUTED_VALUE"""),"3105173369 / 252610378")</f>
        <v>3105173369 / 252610378</v>
      </c>
      <c r="B170" s="4" t="str">
        <f>IFERROR(__xludf.DUMMYFUNCTION("""COMPUTED_VALUE"""),"Muhammad Zaidan Aqil - L")</f>
        <v>Muhammad Zaidan Aqil - L</v>
      </c>
      <c r="C170" s="4" t="str">
        <f>IFERROR(__xludf.DUMMYFUNCTION("""COMPUTED_VALUE"""),"L")</f>
        <v>L</v>
      </c>
      <c r="D170" s="4">
        <f>IFERROR(__xludf.DUMMYFUNCTION("""COMPUTED_VALUE"""),33.0)</f>
        <v>33</v>
      </c>
      <c r="E170" s="4" t="str">
        <f>IFERROR(__xludf.DUMMYFUNCTION("""COMPUTED_VALUE"""),"X4")</f>
        <v>X4</v>
      </c>
      <c r="F170" s="5" t="str">
        <f>IFERROR(__xludf.DUMMYFUNCTION("""COMPUTED_VALUE"""),"33 - X4 - Muhammad Zaidan Aqil - L")</f>
        <v>33 - X4 - Muhammad Zaidan Aqil - L</v>
      </c>
      <c r="G170" s="3"/>
      <c r="H170" s="3"/>
      <c r="I170" s="3"/>
      <c r="J170" s="3"/>
      <c r="K170" s="3"/>
      <c r="L170" s="3"/>
      <c r="M170" s="3"/>
    </row>
    <row r="171">
      <c r="A171" s="4" t="str">
        <f>IFERROR(__xludf.DUMMYFUNCTION("""COMPUTED_VALUE"""),"3107700954 / 252610382")</f>
        <v>3107700954 / 252610382</v>
      </c>
      <c r="B171" s="4" t="str">
        <f>IFERROR(__xludf.DUMMYFUNCTION("""COMPUTED_VALUE"""),"Mutiara Geisya Nuraini - P")</f>
        <v>Mutiara Geisya Nuraini - P</v>
      </c>
      <c r="C171" s="4" t="str">
        <f>IFERROR(__xludf.DUMMYFUNCTION("""COMPUTED_VALUE"""),"P")</f>
        <v>P</v>
      </c>
      <c r="D171" s="4">
        <f>IFERROR(__xludf.DUMMYFUNCTION("""COMPUTED_VALUE"""),33.0)</f>
        <v>33</v>
      </c>
      <c r="E171" s="4" t="str">
        <f>IFERROR(__xludf.DUMMYFUNCTION("""COMPUTED_VALUE"""),"X4")</f>
        <v>X4</v>
      </c>
      <c r="F171" s="5" t="str">
        <f>IFERROR(__xludf.DUMMYFUNCTION("""COMPUTED_VALUE"""),"33 - X4 - Mutiara Geisya Nuraini - P")</f>
        <v>33 - X4 - Mutiara Geisya Nuraini - P</v>
      </c>
      <c r="G171" s="3"/>
      <c r="H171" s="3"/>
      <c r="I171" s="3"/>
      <c r="J171" s="3"/>
      <c r="K171" s="3"/>
      <c r="L171" s="3"/>
      <c r="M171" s="3"/>
    </row>
    <row r="172">
      <c r="A172" s="4" t="str">
        <f>IFERROR(__xludf.DUMMYFUNCTION("""COMPUTED_VALUE"""),"0103461516 / 252610433")</f>
        <v>0103461516 / 252610433</v>
      </c>
      <c r="B172" s="4" t="str">
        <f>IFERROR(__xludf.DUMMYFUNCTION("""COMPUTED_VALUE"""),"Priscilia Michelle Pasau - P")</f>
        <v>Priscilia Michelle Pasau - P</v>
      </c>
      <c r="C172" s="4" t="str">
        <f>IFERROR(__xludf.DUMMYFUNCTION("""COMPUTED_VALUE"""),"P")</f>
        <v>P</v>
      </c>
      <c r="D172" s="4">
        <f>IFERROR(__xludf.DUMMYFUNCTION("""COMPUTED_VALUE"""),33.0)</f>
        <v>33</v>
      </c>
      <c r="E172" s="4" t="str">
        <f>IFERROR(__xludf.DUMMYFUNCTION("""COMPUTED_VALUE"""),"X4")</f>
        <v>X4</v>
      </c>
      <c r="F172" s="5" t="str">
        <f>IFERROR(__xludf.DUMMYFUNCTION("""COMPUTED_VALUE"""),"33 - X4 - Priscilia Michelle Pasau - P")</f>
        <v>33 - X4 - Priscilia Michelle Pasau - P</v>
      </c>
      <c r="G172" s="3"/>
      <c r="H172" s="3"/>
      <c r="I172" s="3"/>
      <c r="J172" s="3"/>
      <c r="K172" s="3"/>
      <c r="L172" s="3"/>
      <c r="M172" s="3"/>
    </row>
    <row r="173">
      <c r="A173" s="4" t="str">
        <f>IFERROR(__xludf.DUMMYFUNCTION("""COMPUTED_VALUE"""),"0109782055 / 252610435")</f>
        <v>0109782055 / 252610435</v>
      </c>
      <c r="B173" s="4" t="str">
        <f>IFERROR(__xludf.DUMMYFUNCTION("""COMPUTED_VALUE"""),"Puffin Rohis Jusup Manurung - L")</f>
        <v>Puffin Rohis Jusup Manurung - L</v>
      </c>
      <c r="C173" s="4" t="str">
        <f>IFERROR(__xludf.DUMMYFUNCTION("""COMPUTED_VALUE"""),"L")</f>
        <v>L</v>
      </c>
      <c r="D173" s="4">
        <f>IFERROR(__xludf.DUMMYFUNCTION("""COMPUTED_VALUE"""),33.0)</f>
        <v>33</v>
      </c>
      <c r="E173" s="4" t="str">
        <f>IFERROR(__xludf.DUMMYFUNCTION("""COMPUTED_VALUE"""),"X4")</f>
        <v>X4</v>
      </c>
      <c r="F173" s="5" t="str">
        <f>IFERROR(__xludf.DUMMYFUNCTION("""COMPUTED_VALUE"""),"33 - X4 - Puffin Rohis Jusup Manurung - L")</f>
        <v>33 - X4 - Puffin Rohis Jusup Manurung - L</v>
      </c>
      <c r="G173" s="3"/>
      <c r="H173" s="3"/>
      <c r="I173" s="3"/>
      <c r="J173" s="3"/>
      <c r="K173" s="3"/>
      <c r="L173" s="3"/>
      <c r="M173" s="3"/>
    </row>
    <row r="174">
      <c r="A174" s="4" t="str">
        <f>IFERROR(__xludf.DUMMYFUNCTION("""COMPUTED_VALUE"""),"0108699884 / 252610447")</f>
        <v>0108699884 / 252610447</v>
      </c>
      <c r="B174" s="4" t="str">
        <f>IFERROR(__xludf.DUMMYFUNCTION("""COMPUTED_VALUE"""),"Quizal Razky Ahmad - L")</f>
        <v>Quizal Razky Ahmad - L</v>
      </c>
      <c r="C174" s="4" t="str">
        <f>IFERROR(__xludf.DUMMYFUNCTION("""COMPUTED_VALUE"""),"L")</f>
        <v>L</v>
      </c>
      <c r="D174" s="4">
        <f>IFERROR(__xludf.DUMMYFUNCTION("""COMPUTED_VALUE"""),33.0)</f>
        <v>33</v>
      </c>
      <c r="E174" s="4" t="str">
        <f>IFERROR(__xludf.DUMMYFUNCTION("""COMPUTED_VALUE"""),"X4")</f>
        <v>X4</v>
      </c>
      <c r="F174" s="5" t="str">
        <f>IFERROR(__xludf.DUMMYFUNCTION("""COMPUTED_VALUE"""),"33 - X4 - Quizal Razky Ahmad - L")</f>
        <v>33 - X4 - Quizal Razky Ahmad - L</v>
      </c>
      <c r="G174" s="3"/>
      <c r="H174" s="3"/>
      <c r="I174" s="3"/>
      <c r="J174" s="3"/>
      <c r="K174" s="3"/>
      <c r="L174" s="3"/>
      <c r="M174" s="3"/>
    </row>
    <row r="175">
      <c r="A175" s="4" t="str">
        <f>IFERROR(__xludf.DUMMYFUNCTION("""COMPUTED_VALUE"""),"0108390462 / 252610472")</f>
        <v>0108390462 / 252610472</v>
      </c>
      <c r="B175" s="4" t="str">
        <f>IFERROR(__xludf.DUMMYFUNCTION("""COMPUTED_VALUE"""),"Randy Adiya Pratama Kouw - L")</f>
        <v>Randy Adiya Pratama Kouw - L</v>
      </c>
      <c r="C175" s="4" t="str">
        <f>IFERROR(__xludf.DUMMYFUNCTION("""COMPUTED_VALUE"""),"L")</f>
        <v>L</v>
      </c>
      <c r="D175" s="4">
        <f>IFERROR(__xludf.DUMMYFUNCTION("""COMPUTED_VALUE"""),33.0)</f>
        <v>33</v>
      </c>
      <c r="E175" s="4" t="str">
        <f>IFERROR(__xludf.DUMMYFUNCTION("""COMPUTED_VALUE"""),"X4")</f>
        <v>X4</v>
      </c>
      <c r="F175" s="5" t="str">
        <f>IFERROR(__xludf.DUMMYFUNCTION("""COMPUTED_VALUE"""),"33 - X4 - Randy Adiya Pratama Kouw - L")</f>
        <v>33 - X4 - Randy Adiya Pratama Kouw - L</v>
      </c>
      <c r="G175" s="3"/>
      <c r="H175" s="3"/>
      <c r="I175" s="3"/>
      <c r="J175" s="3"/>
      <c r="K175" s="3"/>
      <c r="L175" s="3"/>
      <c r="M175" s="3"/>
    </row>
    <row r="176">
      <c r="A176" s="4" t="str">
        <f>IFERROR(__xludf.DUMMYFUNCTION("""COMPUTED_VALUE"""),"0107960365 / 252610475")</f>
        <v>0107960365 / 252610475</v>
      </c>
      <c r="B176" s="4" t="str">
        <f>IFERROR(__xludf.DUMMYFUNCTION("""COMPUTED_VALUE"""),"Ravino Abbas Subaga - L")</f>
        <v>Ravino Abbas Subaga - L</v>
      </c>
      <c r="C176" s="4" t="str">
        <f>IFERROR(__xludf.DUMMYFUNCTION("""COMPUTED_VALUE"""),"L")</f>
        <v>L</v>
      </c>
      <c r="D176" s="4">
        <f>IFERROR(__xludf.DUMMYFUNCTION("""COMPUTED_VALUE"""),33.0)</f>
        <v>33</v>
      </c>
      <c r="E176" s="4" t="str">
        <f>IFERROR(__xludf.DUMMYFUNCTION("""COMPUTED_VALUE"""),"X4")</f>
        <v>X4</v>
      </c>
      <c r="F176" s="5" t="str">
        <f>IFERROR(__xludf.DUMMYFUNCTION("""COMPUTED_VALUE"""),"33 - X4 - Ravino Abbas Subaga - L")</f>
        <v>33 - X4 - Ravino Abbas Subaga - L</v>
      </c>
      <c r="G176" s="3"/>
      <c r="H176" s="3"/>
      <c r="I176" s="3"/>
      <c r="J176" s="3"/>
      <c r="K176" s="3"/>
      <c r="L176" s="3"/>
      <c r="M176" s="3"/>
    </row>
    <row r="177">
      <c r="A177" s="4" t="str">
        <f>IFERROR(__xludf.DUMMYFUNCTION("""COMPUTED_VALUE"""),"0104838010 / 252610480")</f>
        <v>0104838010 / 252610480</v>
      </c>
      <c r="B177" s="4" t="str">
        <f>IFERROR(__xludf.DUMMYFUNCTION("""COMPUTED_VALUE"""),"Rei Dillan Hartedi - L")</f>
        <v>Rei Dillan Hartedi - L</v>
      </c>
      <c r="C177" s="4" t="str">
        <f>IFERROR(__xludf.DUMMYFUNCTION("""COMPUTED_VALUE"""),"L")</f>
        <v>L</v>
      </c>
      <c r="D177" s="4">
        <f>IFERROR(__xludf.DUMMYFUNCTION("""COMPUTED_VALUE"""),33.0)</f>
        <v>33</v>
      </c>
      <c r="E177" s="4" t="str">
        <f>IFERROR(__xludf.DUMMYFUNCTION("""COMPUTED_VALUE"""),"X4")</f>
        <v>X4</v>
      </c>
      <c r="F177" s="5" t="str">
        <f>IFERROR(__xludf.DUMMYFUNCTION("""COMPUTED_VALUE"""),"33 - X4 - Rei Dillan Hartedi - L")</f>
        <v>33 - X4 - Rei Dillan Hartedi - L</v>
      </c>
      <c r="G177" s="3"/>
      <c r="H177" s="3"/>
      <c r="I177" s="3"/>
      <c r="J177" s="3"/>
      <c r="K177" s="3"/>
      <c r="L177" s="3"/>
      <c r="M177" s="3"/>
    </row>
    <row r="178">
      <c r="A178" s="4" t="str">
        <f>IFERROR(__xludf.DUMMYFUNCTION("""COMPUTED_VALUE"""),"0108451246 / 252610483")</f>
        <v>0108451246 / 252610483</v>
      </c>
      <c r="B178" s="4" t="str">
        <f>IFERROR(__xludf.DUMMYFUNCTION("""COMPUTED_VALUE"""),"Reni Apriliani - P")</f>
        <v>Reni Apriliani - P</v>
      </c>
      <c r="C178" s="4" t="str">
        <f>IFERROR(__xludf.DUMMYFUNCTION("""COMPUTED_VALUE"""),"P")</f>
        <v>P</v>
      </c>
      <c r="D178" s="4">
        <f>IFERROR(__xludf.DUMMYFUNCTION("""COMPUTED_VALUE"""),33.0)</f>
        <v>33</v>
      </c>
      <c r="E178" s="4" t="str">
        <f>IFERROR(__xludf.DUMMYFUNCTION("""COMPUTED_VALUE"""),"X4")</f>
        <v>X4</v>
      </c>
      <c r="F178" s="5" t="str">
        <f>IFERROR(__xludf.DUMMYFUNCTION("""COMPUTED_VALUE"""),"33 - X4 - Reni Apriliani - P")</f>
        <v>33 - X4 - Reni Apriliani - P</v>
      </c>
      <c r="G178" s="3"/>
      <c r="H178" s="3"/>
      <c r="I178" s="3"/>
      <c r="J178" s="3"/>
      <c r="K178" s="3"/>
      <c r="L178" s="3"/>
      <c r="M178" s="3"/>
    </row>
    <row r="179">
      <c r="A179" s="4" t="str">
        <f>IFERROR(__xludf.DUMMYFUNCTION("""COMPUTED_VALUE"""),"3104089400 / 252610492")</f>
        <v>3104089400 / 252610492</v>
      </c>
      <c r="B179" s="4" t="str">
        <f>IFERROR(__xludf.DUMMYFUNCTION("""COMPUTED_VALUE"""),"Rizky Putra Kunta Ajie - L")</f>
        <v>Rizky Putra Kunta Ajie - L</v>
      </c>
      <c r="C179" s="4" t="str">
        <f>IFERROR(__xludf.DUMMYFUNCTION("""COMPUTED_VALUE"""),"L")</f>
        <v>L</v>
      </c>
      <c r="D179" s="4">
        <f>IFERROR(__xludf.DUMMYFUNCTION("""COMPUTED_VALUE"""),33.0)</f>
        <v>33</v>
      </c>
      <c r="E179" s="4" t="str">
        <f>IFERROR(__xludf.DUMMYFUNCTION("""COMPUTED_VALUE"""),"X4")</f>
        <v>X4</v>
      </c>
      <c r="F179" s="5" t="str">
        <f>IFERROR(__xludf.DUMMYFUNCTION("""COMPUTED_VALUE"""),"33 - X4 - Rizky Putra Kunta Ajie - L")</f>
        <v>33 - X4 - Rizky Putra Kunta Ajie - L</v>
      </c>
      <c r="G179" s="3"/>
      <c r="H179" s="3"/>
      <c r="I179" s="3"/>
      <c r="J179" s="3"/>
      <c r="K179" s="3"/>
      <c r="L179" s="3"/>
      <c r="M179" s="3"/>
    </row>
    <row r="180">
      <c r="A180" s="4" t="str">
        <f>IFERROR(__xludf.DUMMYFUNCTION("""COMPUTED_VALUE"""),"0107731505 / 252610512")</f>
        <v>0107731505 / 252610512</v>
      </c>
      <c r="B180" s="4" t="str">
        <f>IFERROR(__xludf.DUMMYFUNCTION("""COMPUTED_VALUE"""),"Shabira Andiani - P")</f>
        <v>Shabira Andiani - P</v>
      </c>
      <c r="C180" s="4" t="str">
        <f>IFERROR(__xludf.DUMMYFUNCTION("""COMPUTED_VALUE"""),"P")</f>
        <v>P</v>
      </c>
      <c r="D180" s="4">
        <f>IFERROR(__xludf.DUMMYFUNCTION("""COMPUTED_VALUE"""),33.0)</f>
        <v>33</v>
      </c>
      <c r="E180" s="4" t="str">
        <f>IFERROR(__xludf.DUMMYFUNCTION("""COMPUTED_VALUE"""),"X4")</f>
        <v>X4</v>
      </c>
      <c r="F180" s="5" t="str">
        <f>IFERROR(__xludf.DUMMYFUNCTION("""COMPUTED_VALUE"""),"33 - X4 - Shabira Andiani - P")</f>
        <v>33 - X4 - Shabira Andiani - P</v>
      </c>
      <c r="G180" s="3"/>
      <c r="H180" s="3"/>
      <c r="I180" s="3"/>
      <c r="J180" s="3"/>
      <c r="K180" s="3"/>
      <c r="L180" s="3"/>
      <c r="M180" s="3"/>
    </row>
    <row r="181">
      <c r="A181" s="4" t="str">
        <f>IFERROR(__xludf.DUMMYFUNCTION("""COMPUTED_VALUE"""),"0105775007 / 252610514")</f>
        <v>0105775007 / 252610514</v>
      </c>
      <c r="B181" s="4" t="str">
        <f>IFERROR(__xludf.DUMMYFUNCTION("""COMPUTED_VALUE"""),"Shafa Talitha Budiarto - P")</f>
        <v>Shafa Talitha Budiarto - P</v>
      </c>
      <c r="C181" s="4" t="str">
        <f>IFERROR(__xludf.DUMMYFUNCTION("""COMPUTED_VALUE"""),"P")</f>
        <v>P</v>
      </c>
      <c r="D181" s="4">
        <f>IFERROR(__xludf.DUMMYFUNCTION("""COMPUTED_VALUE"""),33.0)</f>
        <v>33</v>
      </c>
      <c r="E181" s="4" t="str">
        <f>IFERROR(__xludf.DUMMYFUNCTION("""COMPUTED_VALUE"""),"X4")</f>
        <v>X4</v>
      </c>
      <c r="F181" s="5" t="str">
        <f>IFERROR(__xludf.DUMMYFUNCTION("""COMPUTED_VALUE"""),"33 - X4 - Shafa Talitha Budiarto - P")</f>
        <v>33 - X4 - Shafa Talitha Budiarto - P</v>
      </c>
      <c r="G181" s="3"/>
      <c r="H181" s="3"/>
      <c r="I181" s="3"/>
      <c r="J181" s="3"/>
      <c r="K181" s="3"/>
      <c r="L181" s="3"/>
      <c r="M181" s="3"/>
    </row>
    <row r="182">
      <c r="A182" s="4" t="str">
        <f>IFERROR(__xludf.DUMMYFUNCTION("""COMPUTED_VALUE"""),"0106588309 / 252610515")</f>
        <v>0106588309 / 252610515</v>
      </c>
      <c r="B182" s="4" t="str">
        <f>IFERROR(__xludf.DUMMYFUNCTION("""COMPUTED_VALUE"""),"Shahira Hafiza Putri - P")</f>
        <v>Shahira Hafiza Putri - P</v>
      </c>
      <c r="C182" s="4" t="str">
        <f>IFERROR(__xludf.DUMMYFUNCTION("""COMPUTED_VALUE"""),"P")</f>
        <v>P</v>
      </c>
      <c r="D182" s="4">
        <f>IFERROR(__xludf.DUMMYFUNCTION("""COMPUTED_VALUE"""),33.0)</f>
        <v>33</v>
      </c>
      <c r="E182" s="4" t="str">
        <f>IFERROR(__xludf.DUMMYFUNCTION("""COMPUTED_VALUE"""),"X4")</f>
        <v>X4</v>
      </c>
      <c r="F182" s="5" t="str">
        <f>IFERROR(__xludf.DUMMYFUNCTION("""COMPUTED_VALUE"""),"33 - X4 - Shahira Hafiza Putri - P")</f>
        <v>33 - X4 - Shahira Hafiza Putri - P</v>
      </c>
      <c r="G182" s="3"/>
      <c r="H182" s="3"/>
      <c r="I182" s="3"/>
      <c r="J182" s="3"/>
      <c r="K182" s="3"/>
      <c r="L182" s="3"/>
      <c r="M182" s="3"/>
    </row>
    <row r="183">
      <c r="A183" s="4" t="str">
        <f>IFERROR(__xludf.DUMMYFUNCTION("""COMPUTED_VALUE"""),"0106219079 / 252610519")</f>
        <v>0106219079 / 252610519</v>
      </c>
      <c r="B183" s="4" t="str">
        <f>IFERROR(__xludf.DUMMYFUNCTION("""COMPUTED_VALUE"""),"Sheika Rizki Ramadanti Aurelia - P")</f>
        <v>Sheika Rizki Ramadanti Aurelia - P</v>
      </c>
      <c r="C183" s="4" t="str">
        <f>IFERROR(__xludf.DUMMYFUNCTION("""COMPUTED_VALUE"""),"P")</f>
        <v>P</v>
      </c>
      <c r="D183" s="4">
        <f>IFERROR(__xludf.DUMMYFUNCTION("""COMPUTED_VALUE"""),33.0)</f>
        <v>33</v>
      </c>
      <c r="E183" s="4" t="str">
        <f>IFERROR(__xludf.DUMMYFUNCTION("""COMPUTED_VALUE"""),"X4")</f>
        <v>X4</v>
      </c>
      <c r="F183" s="5" t="str">
        <f>IFERROR(__xludf.DUMMYFUNCTION("""COMPUTED_VALUE"""),"33 - X4 - Sheika Rizki Ramadanti Aurelia - P")</f>
        <v>33 - X4 - Sheika Rizki Ramadanti Aurelia - P</v>
      </c>
      <c r="G183" s="3"/>
      <c r="H183" s="3"/>
      <c r="I183" s="3"/>
      <c r="J183" s="3"/>
      <c r="K183" s="3"/>
      <c r="L183" s="3"/>
      <c r="M183" s="3"/>
    </row>
    <row r="184">
      <c r="A184" s="4" t="str">
        <f>IFERROR(__xludf.DUMMYFUNCTION("""COMPUTED_VALUE"""),"0094714082 / 252610533")</f>
        <v>0094714082 / 252610533</v>
      </c>
      <c r="B184" s="4" t="str">
        <f>IFERROR(__xludf.DUMMYFUNCTION("""COMPUTED_VALUE"""),"Syahwa Fatmah - P")</f>
        <v>Syahwa Fatmah - P</v>
      </c>
      <c r="C184" s="4" t="str">
        <f>IFERROR(__xludf.DUMMYFUNCTION("""COMPUTED_VALUE"""),"P")</f>
        <v>P</v>
      </c>
      <c r="D184" s="4">
        <f>IFERROR(__xludf.DUMMYFUNCTION("""COMPUTED_VALUE"""),33.0)</f>
        <v>33</v>
      </c>
      <c r="E184" s="4" t="str">
        <f>IFERROR(__xludf.DUMMYFUNCTION("""COMPUTED_VALUE"""),"X4")</f>
        <v>X4</v>
      </c>
      <c r="F184" s="5" t="str">
        <f>IFERROR(__xludf.DUMMYFUNCTION("""COMPUTED_VALUE"""),"33 - X4 - Syahwa Fatmah - P")</f>
        <v>33 - X4 - Syahwa Fatmah - P</v>
      </c>
      <c r="G184" s="3"/>
      <c r="H184" s="3"/>
      <c r="I184" s="3"/>
      <c r="J184" s="3"/>
      <c r="K184" s="3"/>
      <c r="L184" s="3"/>
      <c r="M184" s="3"/>
    </row>
    <row r="185">
      <c r="A185" s="4" t="str">
        <f>IFERROR(__xludf.DUMMYFUNCTION("""COMPUTED_VALUE"""),"0102630183 / 252610534")</f>
        <v>0102630183 / 252610534</v>
      </c>
      <c r="B185" s="4" t="str">
        <f>IFERROR(__xludf.DUMMYFUNCTION("""COMPUTED_VALUE"""),"Syakira Alma Annisa - P")</f>
        <v>Syakira Alma Annisa - P</v>
      </c>
      <c r="C185" s="4" t="str">
        <f>IFERROR(__xludf.DUMMYFUNCTION("""COMPUTED_VALUE"""),"P")</f>
        <v>P</v>
      </c>
      <c r="D185" s="4">
        <f>IFERROR(__xludf.DUMMYFUNCTION("""COMPUTED_VALUE"""),33.0)</f>
        <v>33</v>
      </c>
      <c r="E185" s="4" t="str">
        <f>IFERROR(__xludf.DUMMYFUNCTION("""COMPUTED_VALUE"""),"X4")</f>
        <v>X4</v>
      </c>
      <c r="F185" s="5" t="str">
        <f>IFERROR(__xludf.DUMMYFUNCTION("""COMPUTED_VALUE"""),"33 - X4 - Syakira Alma Annisa - P")</f>
        <v>33 - X4 - Syakira Alma Annisa - P</v>
      </c>
      <c r="G185" s="3"/>
      <c r="H185" s="3"/>
      <c r="I185" s="3"/>
      <c r="J185" s="3"/>
      <c r="K185" s="3"/>
      <c r="L185" s="3"/>
      <c r="M185" s="3"/>
    </row>
    <row r="186">
      <c r="A186" s="4" t="str">
        <f>IFERROR(__xludf.DUMMYFUNCTION("""COMPUTED_VALUE"""),"0106490661 / 252610544")</f>
        <v>0106490661 / 252610544</v>
      </c>
      <c r="B186" s="4" t="str">
        <f>IFERROR(__xludf.DUMMYFUNCTION("""COMPUTED_VALUE"""),"Tiara Winni Melia - P")</f>
        <v>Tiara Winni Melia - P</v>
      </c>
      <c r="C186" s="4" t="str">
        <f>IFERROR(__xludf.DUMMYFUNCTION("""COMPUTED_VALUE"""),"P")</f>
        <v>P</v>
      </c>
      <c r="D186" s="4">
        <f>IFERROR(__xludf.DUMMYFUNCTION("""COMPUTED_VALUE"""),33.0)</f>
        <v>33</v>
      </c>
      <c r="E186" s="4" t="str">
        <f>IFERROR(__xludf.DUMMYFUNCTION("""COMPUTED_VALUE"""),"X4")</f>
        <v>X4</v>
      </c>
      <c r="F186" s="5" t="str">
        <f>IFERROR(__xludf.DUMMYFUNCTION("""COMPUTED_VALUE"""),"33 - X4 - Tiara Winni Melia - P")</f>
        <v>33 - X4 - Tiara Winni Melia - P</v>
      </c>
      <c r="G186" s="3"/>
      <c r="H186" s="3"/>
      <c r="I186" s="3"/>
      <c r="J186" s="3"/>
      <c r="K186" s="3"/>
      <c r="L186" s="3"/>
      <c r="M186" s="3"/>
    </row>
    <row r="187">
      <c r="A187" s="4" t="str">
        <f>IFERROR(__xludf.DUMMYFUNCTION("""COMPUTED_VALUE"""),"0092194625 / 252610004")</f>
        <v>0092194625 / 252610004</v>
      </c>
      <c r="B187" s="4" t="str">
        <f>IFERROR(__xludf.DUMMYFUNCTION("""COMPUTED_VALUE"""),"Achmad Ardiansyah - L")</f>
        <v>Achmad Ardiansyah - L</v>
      </c>
      <c r="C187" s="4" t="str">
        <f>IFERROR(__xludf.DUMMYFUNCTION("""COMPUTED_VALUE"""),"L")</f>
        <v>L</v>
      </c>
      <c r="D187" s="4">
        <f>IFERROR(__xludf.DUMMYFUNCTION("""COMPUTED_VALUE"""),33.0)</f>
        <v>33</v>
      </c>
      <c r="E187" s="4" t="str">
        <f>IFERROR(__xludf.DUMMYFUNCTION("""COMPUTED_VALUE"""),"X5")</f>
        <v>X5</v>
      </c>
      <c r="F187" s="5" t="str">
        <f>IFERROR(__xludf.DUMMYFUNCTION("""COMPUTED_VALUE"""),"33 - X5 - Achmad Ardiansyah - L")</f>
        <v>33 - X5 - Achmad Ardiansyah - L</v>
      </c>
      <c r="G187" s="3"/>
      <c r="H187" s="3"/>
      <c r="I187" s="3"/>
      <c r="J187" s="3"/>
      <c r="K187" s="3"/>
      <c r="L187" s="3"/>
      <c r="M187" s="3"/>
    </row>
    <row r="188">
      <c r="A188" s="4" t="str">
        <f>IFERROR(__xludf.DUMMYFUNCTION("""COMPUTED_VALUE"""),"3108509756 / 252610013")</f>
        <v>3108509756 / 252610013</v>
      </c>
      <c r="B188" s="4" t="str">
        <f>IFERROR(__xludf.DUMMYFUNCTION("""COMPUTED_VALUE"""),"Adrian Muhammad Fadillah - L")</f>
        <v>Adrian Muhammad Fadillah - L</v>
      </c>
      <c r="C188" s="4" t="str">
        <f>IFERROR(__xludf.DUMMYFUNCTION("""COMPUTED_VALUE"""),"L")</f>
        <v>L</v>
      </c>
      <c r="D188" s="4">
        <f>IFERROR(__xludf.DUMMYFUNCTION("""COMPUTED_VALUE"""),33.0)</f>
        <v>33</v>
      </c>
      <c r="E188" s="4" t="str">
        <f>IFERROR(__xludf.DUMMYFUNCTION("""COMPUTED_VALUE"""),"X5")</f>
        <v>X5</v>
      </c>
      <c r="F188" s="5" t="str">
        <f>IFERROR(__xludf.DUMMYFUNCTION("""COMPUTED_VALUE"""),"33 - X5 - Adrian Muhammad Fadillah - L")</f>
        <v>33 - X5 - Adrian Muhammad Fadillah - L</v>
      </c>
      <c r="G188" s="3"/>
      <c r="H188" s="3"/>
      <c r="I188" s="3"/>
      <c r="J188" s="3"/>
      <c r="K188" s="3"/>
      <c r="L188" s="3"/>
      <c r="M188" s="3"/>
    </row>
    <row r="189">
      <c r="A189" s="4" t="str">
        <f>IFERROR(__xludf.DUMMYFUNCTION("""COMPUTED_VALUE"""),"0099540724 / 252610022")</f>
        <v>0099540724 / 252610022</v>
      </c>
      <c r="B189" s="4" t="str">
        <f>IFERROR(__xludf.DUMMYFUNCTION("""COMPUTED_VALUE"""),"Aira Alessia Adha - P")</f>
        <v>Aira Alessia Adha - P</v>
      </c>
      <c r="C189" s="4" t="str">
        <f>IFERROR(__xludf.DUMMYFUNCTION("""COMPUTED_VALUE"""),"P")</f>
        <v>P</v>
      </c>
      <c r="D189" s="4">
        <f>IFERROR(__xludf.DUMMYFUNCTION("""COMPUTED_VALUE"""),33.0)</f>
        <v>33</v>
      </c>
      <c r="E189" s="4" t="str">
        <f>IFERROR(__xludf.DUMMYFUNCTION("""COMPUTED_VALUE"""),"X5")</f>
        <v>X5</v>
      </c>
      <c r="F189" s="5" t="str">
        <f>IFERROR(__xludf.DUMMYFUNCTION("""COMPUTED_VALUE"""),"33 - X5 - Aira Alessia Adha - P")</f>
        <v>33 - X5 - Aira Alessia Adha - P</v>
      </c>
      <c r="G189" s="3"/>
      <c r="H189" s="3"/>
      <c r="I189" s="3"/>
      <c r="J189" s="3"/>
      <c r="K189" s="3"/>
      <c r="L189" s="3"/>
      <c r="M189" s="3"/>
    </row>
    <row r="190">
      <c r="A190" s="4" t="str">
        <f>IFERROR(__xludf.DUMMYFUNCTION("""COMPUTED_VALUE"""),"0107934430 / 252610024")</f>
        <v>0107934430 / 252610024</v>
      </c>
      <c r="B190" s="4" t="str">
        <f>IFERROR(__xludf.DUMMYFUNCTION("""COMPUTED_VALUE"""),"Aira Febria Sari - P")</f>
        <v>Aira Febria Sari - P</v>
      </c>
      <c r="C190" s="4" t="str">
        <f>IFERROR(__xludf.DUMMYFUNCTION("""COMPUTED_VALUE"""),"P")</f>
        <v>P</v>
      </c>
      <c r="D190" s="4">
        <f>IFERROR(__xludf.DUMMYFUNCTION("""COMPUTED_VALUE"""),33.0)</f>
        <v>33</v>
      </c>
      <c r="E190" s="4" t="str">
        <f>IFERROR(__xludf.DUMMYFUNCTION("""COMPUTED_VALUE"""),"X5")</f>
        <v>X5</v>
      </c>
      <c r="F190" s="5" t="str">
        <f>IFERROR(__xludf.DUMMYFUNCTION("""COMPUTED_VALUE"""),"33 - X5 - Aira Febria Sari - P")</f>
        <v>33 - X5 - Aira Febria Sari - P</v>
      </c>
      <c r="G190" s="3"/>
      <c r="H190" s="3"/>
      <c r="I190" s="3"/>
      <c r="J190" s="3"/>
      <c r="K190" s="3"/>
      <c r="L190" s="3"/>
      <c r="M190" s="3"/>
    </row>
    <row r="191">
      <c r="A191" s="4" t="str">
        <f>IFERROR(__xludf.DUMMYFUNCTION("""COMPUTED_VALUE"""),"0099668827 / 252610034")</f>
        <v>0099668827 / 252610034</v>
      </c>
      <c r="B191" s="4" t="str">
        <f>IFERROR(__xludf.DUMMYFUNCTION("""COMPUTED_VALUE"""),"Al Jadid Syafruddin Lubis - L")</f>
        <v>Al Jadid Syafruddin Lubis - L</v>
      </c>
      <c r="C191" s="4" t="str">
        <f>IFERROR(__xludf.DUMMYFUNCTION("""COMPUTED_VALUE"""),"L")</f>
        <v>L</v>
      </c>
      <c r="D191" s="4">
        <f>IFERROR(__xludf.DUMMYFUNCTION("""COMPUTED_VALUE"""),33.0)</f>
        <v>33</v>
      </c>
      <c r="E191" s="4" t="str">
        <f>IFERROR(__xludf.DUMMYFUNCTION("""COMPUTED_VALUE"""),"X5")</f>
        <v>X5</v>
      </c>
      <c r="F191" s="5" t="str">
        <f>IFERROR(__xludf.DUMMYFUNCTION("""COMPUTED_VALUE"""),"33 - X5 - Al Jadid Syafruddin Lubis - L")</f>
        <v>33 - X5 - Al Jadid Syafruddin Lubis - L</v>
      </c>
      <c r="G191" s="3"/>
      <c r="H191" s="3"/>
      <c r="I191" s="3"/>
      <c r="J191" s="3"/>
      <c r="K191" s="3"/>
      <c r="L191" s="3"/>
      <c r="M191" s="3"/>
    </row>
    <row r="192">
      <c r="A192" s="4" t="str">
        <f>IFERROR(__xludf.DUMMYFUNCTION("""COMPUTED_VALUE"""),"0102993208 / 252610043")</f>
        <v>0102993208 / 252610043</v>
      </c>
      <c r="B192" s="4" t="str">
        <f>IFERROR(__xludf.DUMMYFUNCTION("""COMPUTED_VALUE"""),"Alisya Belva Dhio - P")</f>
        <v>Alisya Belva Dhio - P</v>
      </c>
      <c r="C192" s="4" t="str">
        <f>IFERROR(__xludf.DUMMYFUNCTION("""COMPUTED_VALUE"""),"P")</f>
        <v>P</v>
      </c>
      <c r="D192" s="4">
        <f>IFERROR(__xludf.DUMMYFUNCTION("""COMPUTED_VALUE"""),33.0)</f>
        <v>33</v>
      </c>
      <c r="E192" s="4" t="str">
        <f>IFERROR(__xludf.DUMMYFUNCTION("""COMPUTED_VALUE"""),"X5")</f>
        <v>X5</v>
      </c>
      <c r="F192" s="5" t="str">
        <f>IFERROR(__xludf.DUMMYFUNCTION("""COMPUTED_VALUE"""),"33 - X5 - Alisya Belva Dhio - P")</f>
        <v>33 - X5 - Alisya Belva Dhio - P</v>
      </c>
      <c r="G192" s="3"/>
      <c r="H192" s="3"/>
      <c r="I192" s="3"/>
      <c r="J192" s="3"/>
      <c r="K192" s="3"/>
      <c r="L192" s="3"/>
      <c r="M192" s="3"/>
    </row>
    <row r="193">
      <c r="A193" s="4" t="str">
        <f>IFERROR(__xludf.DUMMYFUNCTION("""COMPUTED_VALUE"""),"0104459637 / 252610055")</f>
        <v>0104459637 / 252610055</v>
      </c>
      <c r="B193" s="4" t="str">
        <f>IFERROR(__xludf.DUMMYFUNCTION("""COMPUTED_VALUE"""),"Amira Agni Kayla Raisya - P")</f>
        <v>Amira Agni Kayla Raisya - P</v>
      </c>
      <c r="C193" s="4" t="str">
        <f>IFERROR(__xludf.DUMMYFUNCTION("""COMPUTED_VALUE"""),"P")</f>
        <v>P</v>
      </c>
      <c r="D193" s="4">
        <f>IFERROR(__xludf.DUMMYFUNCTION("""COMPUTED_VALUE"""),33.0)</f>
        <v>33</v>
      </c>
      <c r="E193" s="4" t="str">
        <f>IFERROR(__xludf.DUMMYFUNCTION("""COMPUTED_VALUE"""),"X5")</f>
        <v>X5</v>
      </c>
      <c r="F193" s="5" t="str">
        <f>IFERROR(__xludf.DUMMYFUNCTION("""COMPUTED_VALUE"""),"33 - X5 - Amira Agni Kayla Raisya - P")</f>
        <v>33 - X5 - Amira Agni Kayla Raisya - P</v>
      </c>
      <c r="G193" s="3"/>
      <c r="H193" s="3"/>
      <c r="I193" s="3"/>
      <c r="J193" s="3"/>
      <c r="K193" s="3"/>
      <c r="L193" s="3"/>
      <c r="M193" s="3"/>
    </row>
    <row r="194">
      <c r="A194" s="4" t="str">
        <f>IFERROR(__xludf.DUMMYFUNCTION("""COMPUTED_VALUE"""),"0104825356 / 252610057")</f>
        <v>0104825356 / 252610057</v>
      </c>
      <c r="B194" s="4" t="str">
        <f>IFERROR(__xludf.DUMMYFUNCTION("""COMPUTED_VALUE"""),"Amirah Khalishah Somoal - P")</f>
        <v>Amirah Khalishah Somoal - P</v>
      </c>
      <c r="C194" s="4" t="str">
        <f>IFERROR(__xludf.DUMMYFUNCTION("""COMPUTED_VALUE"""),"P")</f>
        <v>P</v>
      </c>
      <c r="D194" s="4">
        <f>IFERROR(__xludf.DUMMYFUNCTION("""COMPUTED_VALUE"""),33.0)</f>
        <v>33</v>
      </c>
      <c r="E194" s="4" t="str">
        <f>IFERROR(__xludf.DUMMYFUNCTION("""COMPUTED_VALUE"""),"X5")</f>
        <v>X5</v>
      </c>
      <c r="F194" s="5" t="str">
        <f>IFERROR(__xludf.DUMMYFUNCTION("""COMPUTED_VALUE"""),"33 - X5 - Amirah Khalishah Somoal - P")</f>
        <v>33 - X5 - Amirah Khalishah Somoal - P</v>
      </c>
      <c r="G194" s="3"/>
      <c r="H194" s="3"/>
      <c r="I194" s="3"/>
      <c r="J194" s="3"/>
      <c r="K194" s="3"/>
      <c r="L194" s="3"/>
      <c r="M194" s="3"/>
    </row>
    <row r="195">
      <c r="A195" s="4" t="str">
        <f>IFERROR(__xludf.DUMMYFUNCTION("""COMPUTED_VALUE"""),"0099339799 / 252610060")</f>
        <v>0099339799 / 252610060</v>
      </c>
      <c r="B195" s="4" t="str">
        <f>IFERROR(__xludf.DUMMYFUNCTION("""COMPUTED_VALUE"""),"Anas Legawa Riyadi - L")</f>
        <v>Anas Legawa Riyadi - L</v>
      </c>
      <c r="C195" s="4" t="str">
        <f>IFERROR(__xludf.DUMMYFUNCTION("""COMPUTED_VALUE"""),"L")</f>
        <v>L</v>
      </c>
      <c r="D195" s="4">
        <f>IFERROR(__xludf.DUMMYFUNCTION("""COMPUTED_VALUE"""),33.0)</f>
        <v>33</v>
      </c>
      <c r="E195" s="4" t="str">
        <f>IFERROR(__xludf.DUMMYFUNCTION("""COMPUTED_VALUE"""),"X5")</f>
        <v>X5</v>
      </c>
      <c r="F195" s="5" t="str">
        <f>IFERROR(__xludf.DUMMYFUNCTION("""COMPUTED_VALUE"""),"33 - X5 - Anas Legawa Riyadi - L")</f>
        <v>33 - X5 - Anas Legawa Riyadi - L</v>
      </c>
      <c r="G195" s="3"/>
      <c r="H195" s="3"/>
      <c r="I195" s="3"/>
      <c r="J195" s="3"/>
      <c r="K195" s="3"/>
      <c r="L195" s="3"/>
      <c r="M195" s="3"/>
    </row>
    <row r="196">
      <c r="A196" s="4" t="str">
        <f>IFERROR(__xludf.DUMMYFUNCTION("""COMPUTED_VALUE"""),"0098197227 / 252610067")</f>
        <v>0098197227 / 252610067</v>
      </c>
      <c r="B196" s="4" t="str">
        <f>IFERROR(__xludf.DUMMYFUNCTION("""COMPUTED_VALUE"""),"Annisa Fitriyani - P")</f>
        <v>Annisa Fitriyani - P</v>
      </c>
      <c r="C196" s="4" t="str">
        <f>IFERROR(__xludf.DUMMYFUNCTION("""COMPUTED_VALUE"""),"P")</f>
        <v>P</v>
      </c>
      <c r="D196" s="4">
        <f>IFERROR(__xludf.DUMMYFUNCTION("""COMPUTED_VALUE"""),33.0)</f>
        <v>33</v>
      </c>
      <c r="E196" s="4" t="str">
        <f>IFERROR(__xludf.DUMMYFUNCTION("""COMPUTED_VALUE"""),"X5")</f>
        <v>X5</v>
      </c>
      <c r="F196" s="5" t="str">
        <f>IFERROR(__xludf.DUMMYFUNCTION("""COMPUTED_VALUE"""),"33 - X5 - Annisa Fitriyani - P")</f>
        <v>33 - X5 - Annisa Fitriyani - P</v>
      </c>
      <c r="G196" s="3"/>
      <c r="H196" s="3"/>
      <c r="I196" s="3"/>
      <c r="J196" s="3"/>
      <c r="K196" s="3"/>
      <c r="L196" s="3"/>
      <c r="M196" s="3"/>
    </row>
    <row r="197">
      <c r="A197" s="4" t="str">
        <f>IFERROR(__xludf.DUMMYFUNCTION("""COMPUTED_VALUE"""),"0093274791 / 252610115")</f>
        <v>0093274791 / 252610115</v>
      </c>
      <c r="B197" s="4" t="str">
        <f>IFERROR(__xludf.DUMMYFUNCTION("""COMPUTED_VALUE"""),"Bagaskara Bisma Anoka - L")</f>
        <v>Bagaskara Bisma Anoka - L</v>
      </c>
      <c r="C197" s="4" t="str">
        <f>IFERROR(__xludf.DUMMYFUNCTION("""COMPUTED_VALUE"""),"L")</f>
        <v>L</v>
      </c>
      <c r="D197" s="4">
        <f>IFERROR(__xludf.DUMMYFUNCTION("""COMPUTED_VALUE"""),33.0)</f>
        <v>33</v>
      </c>
      <c r="E197" s="4" t="str">
        <f>IFERROR(__xludf.DUMMYFUNCTION("""COMPUTED_VALUE"""),"X5")</f>
        <v>X5</v>
      </c>
      <c r="F197" s="5" t="str">
        <f>IFERROR(__xludf.DUMMYFUNCTION("""COMPUTED_VALUE"""),"33 - X5 - Bagaskara Bisma Anoka - L")</f>
        <v>33 - X5 - Bagaskara Bisma Anoka - L</v>
      </c>
      <c r="G197" s="3"/>
      <c r="H197" s="3"/>
      <c r="I197" s="3"/>
      <c r="J197" s="3"/>
      <c r="K197" s="3"/>
      <c r="L197" s="3"/>
      <c r="M197" s="3"/>
    </row>
    <row r="198">
      <c r="A198" s="4" t="str">
        <f>IFERROR(__xludf.DUMMYFUNCTION("""COMPUTED_VALUE"""),"0099900563 / 252610123")</f>
        <v>0099900563 / 252610123</v>
      </c>
      <c r="B198" s="4" t="str">
        <f>IFERROR(__xludf.DUMMYFUNCTION("""COMPUTED_VALUE"""),"Bilqis Nikita Aylani - P")</f>
        <v>Bilqis Nikita Aylani - P</v>
      </c>
      <c r="C198" s="4" t="str">
        <f>IFERROR(__xludf.DUMMYFUNCTION("""COMPUTED_VALUE"""),"P")</f>
        <v>P</v>
      </c>
      <c r="D198" s="4">
        <f>IFERROR(__xludf.DUMMYFUNCTION("""COMPUTED_VALUE"""),33.0)</f>
        <v>33</v>
      </c>
      <c r="E198" s="4" t="str">
        <f>IFERROR(__xludf.DUMMYFUNCTION("""COMPUTED_VALUE"""),"X5")</f>
        <v>X5</v>
      </c>
      <c r="F198" s="5" t="str">
        <f>IFERROR(__xludf.DUMMYFUNCTION("""COMPUTED_VALUE"""),"33 - X5 - Bilqis Nikita Aylani - P")</f>
        <v>33 - X5 - Bilqis Nikita Aylani - P</v>
      </c>
      <c r="G198" s="3"/>
      <c r="H198" s="3"/>
      <c r="I198" s="3"/>
      <c r="J198" s="3"/>
      <c r="K198" s="3"/>
      <c r="L198" s="3"/>
      <c r="M198" s="3"/>
    </row>
    <row r="199">
      <c r="A199" s="4" t="str">
        <f>IFERROR(__xludf.DUMMYFUNCTION("""COMPUTED_VALUE"""),"0092597384 / 252610163")</f>
        <v>0092597384 / 252610163</v>
      </c>
      <c r="B199" s="4" t="str">
        <f>IFERROR(__xludf.DUMMYFUNCTION("""COMPUTED_VALUE"""),"Dilla Novianti Putri - P")</f>
        <v>Dilla Novianti Putri - P</v>
      </c>
      <c r="C199" s="4" t="str">
        <f>IFERROR(__xludf.DUMMYFUNCTION("""COMPUTED_VALUE"""),"P")</f>
        <v>P</v>
      </c>
      <c r="D199" s="4">
        <f>IFERROR(__xludf.DUMMYFUNCTION("""COMPUTED_VALUE"""),33.0)</f>
        <v>33</v>
      </c>
      <c r="E199" s="4" t="str">
        <f>IFERROR(__xludf.DUMMYFUNCTION("""COMPUTED_VALUE"""),"X5")</f>
        <v>X5</v>
      </c>
      <c r="F199" s="5" t="str">
        <f>IFERROR(__xludf.DUMMYFUNCTION("""COMPUTED_VALUE"""),"33 - X5 - Dilla Novianti Putri - P")</f>
        <v>33 - X5 - Dilla Novianti Putri - P</v>
      </c>
      <c r="G199" s="3"/>
      <c r="H199" s="3"/>
      <c r="I199" s="3"/>
      <c r="J199" s="3"/>
      <c r="K199" s="3"/>
      <c r="L199" s="3"/>
      <c r="M199" s="3"/>
    </row>
    <row r="200">
      <c r="A200" s="4" t="str">
        <f>IFERROR(__xludf.DUMMYFUNCTION("""COMPUTED_VALUE"""),"3105062394 / 252610166")</f>
        <v>3105062394 / 252610166</v>
      </c>
      <c r="B200" s="4" t="str">
        <f>IFERROR(__xludf.DUMMYFUNCTION("""COMPUTED_VALUE"""),"Dinda Aulia - P")</f>
        <v>Dinda Aulia - P</v>
      </c>
      <c r="C200" s="4" t="str">
        <f>IFERROR(__xludf.DUMMYFUNCTION("""COMPUTED_VALUE"""),"P")</f>
        <v>P</v>
      </c>
      <c r="D200" s="4">
        <f>IFERROR(__xludf.DUMMYFUNCTION("""COMPUTED_VALUE"""),33.0)</f>
        <v>33</v>
      </c>
      <c r="E200" s="4" t="str">
        <f>IFERROR(__xludf.DUMMYFUNCTION("""COMPUTED_VALUE"""),"X5")</f>
        <v>X5</v>
      </c>
      <c r="F200" s="5" t="str">
        <f>IFERROR(__xludf.DUMMYFUNCTION("""COMPUTED_VALUE"""),"33 - X5 - Dinda Aulia - P")</f>
        <v>33 - X5 - Dinda Aulia - P</v>
      </c>
      <c r="G200" s="3"/>
      <c r="H200" s="3"/>
      <c r="I200" s="3"/>
      <c r="J200" s="3"/>
      <c r="K200" s="3"/>
      <c r="L200" s="3"/>
      <c r="M200" s="3"/>
    </row>
    <row r="201">
      <c r="A201" s="4" t="str">
        <f>IFERROR(__xludf.DUMMYFUNCTION("""COMPUTED_VALUE"""),"0103139137 / 252610205")</f>
        <v>0103139137 / 252610205</v>
      </c>
      <c r="B201" s="4" t="str">
        <f>IFERROR(__xludf.DUMMYFUNCTION("""COMPUTED_VALUE"""),"Fathimah Septiani Azahra - P")</f>
        <v>Fathimah Septiani Azahra - P</v>
      </c>
      <c r="C201" s="4" t="str">
        <f>IFERROR(__xludf.DUMMYFUNCTION("""COMPUTED_VALUE"""),"P")</f>
        <v>P</v>
      </c>
      <c r="D201" s="4">
        <f>IFERROR(__xludf.DUMMYFUNCTION("""COMPUTED_VALUE"""),33.0)</f>
        <v>33</v>
      </c>
      <c r="E201" s="4" t="str">
        <f>IFERROR(__xludf.DUMMYFUNCTION("""COMPUTED_VALUE"""),"X5")</f>
        <v>X5</v>
      </c>
      <c r="F201" s="5" t="str">
        <f>IFERROR(__xludf.DUMMYFUNCTION("""COMPUTED_VALUE"""),"33 - X5 - Fathimah Septiani Azahra - P")</f>
        <v>33 - X5 - Fathimah Septiani Azahra - P</v>
      </c>
      <c r="G201" s="3"/>
      <c r="H201" s="3"/>
      <c r="I201" s="3"/>
      <c r="J201" s="3"/>
      <c r="K201" s="3"/>
      <c r="L201" s="3"/>
      <c r="M201" s="3"/>
    </row>
    <row r="202">
      <c r="A202" s="4" t="str">
        <f>IFERROR(__xludf.DUMMYFUNCTION("""COMPUTED_VALUE"""),"0091763745 / 252610229")</f>
        <v>0091763745 / 252610229</v>
      </c>
      <c r="B202" s="4" t="str">
        <f>IFERROR(__xludf.DUMMYFUNCTION("""COMPUTED_VALUE"""),"Hikmah Septiya - P")</f>
        <v>Hikmah Septiya - P</v>
      </c>
      <c r="C202" s="4" t="str">
        <f>IFERROR(__xludf.DUMMYFUNCTION("""COMPUTED_VALUE"""),"P")</f>
        <v>P</v>
      </c>
      <c r="D202" s="4">
        <f>IFERROR(__xludf.DUMMYFUNCTION("""COMPUTED_VALUE"""),33.0)</f>
        <v>33</v>
      </c>
      <c r="E202" s="4" t="str">
        <f>IFERROR(__xludf.DUMMYFUNCTION("""COMPUTED_VALUE"""),"X5")</f>
        <v>X5</v>
      </c>
      <c r="F202" s="5" t="str">
        <f>IFERROR(__xludf.DUMMYFUNCTION("""COMPUTED_VALUE"""),"33 - X5 - Hikmah Septiya - P")</f>
        <v>33 - X5 - Hikmah Septiya - P</v>
      </c>
      <c r="G202" s="3"/>
      <c r="H202" s="3"/>
      <c r="I202" s="3"/>
      <c r="J202" s="3"/>
      <c r="K202" s="3"/>
      <c r="L202" s="3"/>
      <c r="M202" s="3"/>
    </row>
    <row r="203">
      <c r="A203" s="4" t="str">
        <f>IFERROR(__xludf.DUMMYFUNCTION("""COMPUTED_VALUE"""),"0095064549 / 252610230")</f>
        <v>0095064549 / 252610230</v>
      </c>
      <c r="B203" s="4" t="str">
        <f>IFERROR(__xludf.DUMMYFUNCTION("""COMPUTED_VALUE"""),"Hilmi Ardhana Fuady - L")</f>
        <v>Hilmi Ardhana Fuady - L</v>
      </c>
      <c r="C203" s="4" t="str">
        <f>IFERROR(__xludf.DUMMYFUNCTION("""COMPUTED_VALUE"""),"L")</f>
        <v>L</v>
      </c>
      <c r="D203" s="4">
        <f>IFERROR(__xludf.DUMMYFUNCTION("""COMPUTED_VALUE"""),33.0)</f>
        <v>33</v>
      </c>
      <c r="E203" s="4" t="str">
        <f>IFERROR(__xludf.DUMMYFUNCTION("""COMPUTED_VALUE"""),"X5")</f>
        <v>X5</v>
      </c>
      <c r="F203" s="5" t="str">
        <f>IFERROR(__xludf.DUMMYFUNCTION("""COMPUTED_VALUE"""),"33 - X5 - Hilmi Ardhana Fuady - L")</f>
        <v>33 - X5 - Hilmi Ardhana Fuady - L</v>
      </c>
      <c r="G203" s="3"/>
      <c r="H203" s="3"/>
      <c r="I203" s="3"/>
      <c r="J203" s="3"/>
      <c r="K203" s="3"/>
      <c r="L203" s="3"/>
      <c r="M203" s="3"/>
    </row>
    <row r="204">
      <c r="A204" s="4" t="str">
        <f>IFERROR(__xludf.DUMMYFUNCTION("""COMPUTED_VALUE"""),"3098845163 / 252610245")</f>
        <v>3098845163 / 252610245</v>
      </c>
      <c r="B204" s="4" t="str">
        <f>IFERROR(__xludf.DUMMYFUNCTION("""COMPUTED_VALUE"""),"Jevelin Ambarep Putri - P")</f>
        <v>Jevelin Ambarep Putri - P</v>
      </c>
      <c r="C204" s="4" t="str">
        <f>IFERROR(__xludf.DUMMYFUNCTION("""COMPUTED_VALUE"""),"P")</f>
        <v>P</v>
      </c>
      <c r="D204" s="4">
        <f>IFERROR(__xludf.DUMMYFUNCTION("""COMPUTED_VALUE"""),33.0)</f>
        <v>33</v>
      </c>
      <c r="E204" s="4" t="str">
        <f>IFERROR(__xludf.DUMMYFUNCTION("""COMPUTED_VALUE"""),"X5")</f>
        <v>X5</v>
      </c>
      <c r="F204" s="5" t="str">
        <f>IFERROR(__xludf.DUMMYFUNCTION("""COMPUTED_VALUE"""),"33 - X5 - Jevelin Ambarep Putri - P")</f>
        <v>33 - X5 - Jevelin Ambarep Putri - P</v>
      </c>
      <c r="G204" s="3"/>
      <c r="H204" s="3"/>
      <c r="I204" s="3"/>
      <c r="J204" s="3"/>
      <c r="K204" s="3"/>
      <c r="L204" s="3"/>
      <c r="M204" s="3"/>
    </row>
    <row r="205">
      <c r="A205" s="4" t="str">
        <f>IFERROR(__xludf.DUMMYFUNCTION("""COMPUTED_VALUE"""),"0104630358 / 252610281")</f>
        <v>0104630358 / 252610281</v>
      </c>
      <c r="B205" s="4" t="str">
        <f>IFERROR(__xludf.DUMMYFUNCTION("""COMPUTED_VALUE"""),"Khansa Tabita Aura Sakhi - P")</f>
        <v>Khansa Tabita Aura Sakhi - P</v>
      </c>
      <c r="C205" s="4" t="str">
        <f>IFERROR(__xludf.DUMMYFUNCTION("""COMPUTED_VALUE"""),"P")</f>
        <v>P</v>
      </c>
      <c r="D205" s="4">
        <f>IFERROR(__xludf.DUMMYFUNCTION("""COMPUTED_VALUE"""),33.0)</f>
        <v>33</v>
      </c>
      <c r="E205" s="4" t="str">
        <f>IFERROR(__xludf.DUMMYFUNCTION("""COMPUTED_VALUE"""),"X5")</f>
        <v>X5</v>
      </c>
      <c r="F205" s="5" t="str">
        <f>IFERROR(__xludf.DUMMYFUNCTION("""COMPUTED_VALUE"""),"33 - X5 - Khansa Tabita Aura Sakhi - P")</f>
        <v>33 - X5 - Khansa Tabita Aura Sakhi - P</v>
      </c>
      <c r="G205" s="3"/>
      <c r="H205" s="3"/>
      <c r="I205" s="3"/>
      <c r="J205" s="3"/>
      <c r="K205" s="3"/>
      <c r="L205" s="3"/>
      <c r="M205" s="3"/>
    </row>
    <row r="206">
      <c r="A206" s="4" t="str">
        <f>IFERROR(__xludf.DUMMYFUNCTION("""COMPUTED_VALUE"""),"0097535113 / 252610286")</f>
        <v>0097535113 / 252610286</v>
      </c>
      <c r="B206" s="4" t="str">
        <f>IFERROR(__xludf.DUMMYFUNCTION("""COMPUTED_VALUE"""),"Lalitya Namu Wangundahina - P")</f>
        <v>Lalitya Namu Wangundahina - P</v>
      </c>
      <c r="C206" s="4" t="str">
        <f>IFERROR(__xludf.DUMMYFUNCTION("""COMPUTED_VALUE"""),"P")</f>
        <v>P</v>
      </c>
      <c r="D206" s="4">
        <f>IFERROR(__xludf.DUMMYFUNCTION("""COMPUTED_VALUE"""),33.0)</f>
        <v>33</v>
      </c>
      <c r="E206" s="4" t="str">
        <f>IFERROR(__xludf.DUMMYFUNCTION("""COMPUTED_VALUE"""),"X5")</f>
        <v>X5</v>
      </c>
      <c r="F206" s="5" t="str">
        <f>IFERROR(__xludf.DUMMYFUNCTION("""COMPUTED_VALUE"""),"33 - X5 - Lalitya Namu Wangundahina - P")</f>
        <v>33 - X5 - Lalitya Namu Wangundahina - P</v>
      </c>
      <c r="G206" s="3"/>
      <c r="H206" s="3"/>
      <c r="I206" s="3"/>
      <c r="J206" s="3"/>
      <c r="K206" s="3"/>
      <c r="L206" s="3"/>
      <c r="M206" s="3"/>
    </row>
    <row r="207">
      <c r="A207" s="4" t="str">
        <f>IFERROR(__xludf.DUMMYFUNCTION("""COMPUTED_VALUE"""),"0094686372 / 252610299")</f>
        <v>0094686372 / 252610299</v>
      </c>
      <c r="B207" s="4" t="str">
        <f>IFERROR(__xludf.DUMMYFUNCTION("""COMPUTED_VALUE"""),"Mahira Aqila Azra - P")</f>
        <v>Mahira Aqila Azra - P</v>
      </c>
      <c r="C207" s="4" t="str">
        <f>IFERROR(__xludf.DUMMYFUNCTION("""COMPUTED_VALUE"""),"P")</f>
        <v>P</v>
      </c>
      <c r="D207" s="4">
        <f>IFERROR(__xludf.DUMMYFUNCTION("""COMPUTED_VALUE"""),33.0)</f>
        <v>33</v>
      </c>
      <c r="E207" s="4" t="str">
        <f>IFERROR(__xludf.DUMMYFUNCTION("""COMPUTED_VALUE"""),"X5")</f>
        <v>X5</v>
      </c>
      <c r="F207" s="5" t="str">
        <f>IFERROR(__xludf.DUMMYFUNCTION("""COMPUTED_VALUE"""),"33 - X5 - Mahira Aqila Azra - P")</f>
        <v>33 - X5 - Mahira Aqila Azra - P</v>
      </c>
      <c r="G207" s="3"/>
      <c r="H207" s="3"/>
      <c r="I207" s="3"/>
      <c r="J207" s="3"/>
      <c r="K207" s="3"/>
      <c r="L207" s="3"/>
      <c r="M207" s="3"/>
    </row>
    <row r="208">
      <c r="A208" s="4" t="str">
        <f>IFERROR(__xludf.DUMMYFUNCTION("""COMPUTED_VALUE"""),"0108578906 / 252610322")</f>
        <v>0108578906 / 252610322</v>
      </c>
      <c r="B208" s="4" t="str">
        <f>IFERROR(__xludf.DUMMYFUNCTION("""COMPUTED_VALUE"""),"Muhamad Adri Fachry - L")</f>
        <v>Muhamad Adri Fachry - L</v>
      </c>
      <c r="C208" s="4" t="str">
        <f>IFERROR(__xludf.DUMMYFUNCTION("""COMPUTED_VALUE"""),"L")</f>
        <v>L</v>
      </c>
      <c r="D208" s="4">
        <f>IFERROR(__xludf.DUMMYFUNCTION("""COMPUTED_VALUE"""),33.0)</f>
        <v>33</v>
      </c>
      <c r="E208" s="4" t="str">
        <f>IFERROR(__xludf.DUMMYFUNCTION("""COMPUTED_VALUE"""),"X5")</f>
        <v>X5</v>
      </c>
      <c r="F208" s="5" t="str">
        <f>IFERROR(__xludf.DUMMYFUNCTION("""COMPUTED_VALUE"""),"33 - X5 - Muhamad Adri Fachry - L")</f>
        <v>33 - X5 - Muhamad Adri Fachry - L</v>
      </c>
      <c r="G208" s="3"/>
      <c r="H208" s="3"/>
      <c r="I208" s="3"/>
      <c r="J208" s="3"/>
      <c r="K208" s="3"/>
      <c r="L208" s="3"/>
      <c r="M208" s="3"/>
    </row>
    <row r="209">
      <c r="A209" s="4" t="str">
        <f>IFERROR(__xludf.DUMMYFUNCTION("""COMPUTED_VALUE"""),"3107979922 / 252610323")</f>
        <v>3107979922 / 252610323</v>
      </c>
      <c r="B209" s="4" t="str">
        <f>IFERROR(__xludf.DUMMYFUNCTION("""COMPUTED_VALUE"""),"Muhamad Gaza Al-Mahdi - L")</f>
        <v>Muhamad Gaza Al-Mahdi - L</v>
      </c>
      <c r="C209" s="4" t="str">
        <f>IFERROR(__xludf.DUMMYFUNCTION("""COMPUTED_VALUE"""),"L")</f>
        <v>L</v>
      </c>
      <c r="D209" s="4">
        <f>IFERROR(__xludf.DUMMYFUNCTION("""COMPUTED_VALUE"""),33.0)</f>
        <v>33</v>
      </c>
      <c r="E209" s="4" t="str">
        <f>IFERROR(__xludf.DUMMYFUNCTION("""COMPUTED_VALUE"""),"X5")</f>
        <v>X5</v>
      </c>
      <c r="F209" s="5" t="str">
        <f>IFERROR(__xludf.DUMMYFUNCTION("""COMPUTED_VALUE"""),"33 - X5 - Muhamad Gaza Al-Mahdi - L")</f>
        <v>33 - X5 - Muhamad Gaza Al-Mahdi - L</v>
      </c>
      <c r="G209" s="3"/>
      <c r="H209" s="3"/>
      <c r="I209" s="3"/>
      <c r="J209" s="3"/>
      <c r="K209" s="3"/>
      <c r="L209" s="3"/>
      <c r="M209" s="3"/>
    </row>
    <row r="210">
      <c r="A210" s="4" t="str">
        <f>IFERROR(__xludf.DUMMYFUNCTION("""COMPUTED_VALUE"""),"0105902624 / 252610361")</f>
        <v>0105902624 / 252610361</v>
      </c>
      <c r="B210" s="4" t="str">
        <f>IFERROR(__xludf.DUMMYFUNCTION("""COMPUTED_VALUE"""),"Muhammad Naufal Rhesa Fernando - L")</f>
        <v>Muhammad Naufal Rhesa Fernando - L</v>
      </c>
      <c r="C210" s="4" t="str">
        <f>IFERROR(__xludf.DUMMYFUNCTION("""COMPUTED_VALUE"""),"L")</f>
        <v>L</v>
      </c>
      <c r="D210" s="4">
        <f>IFERROR(__xludf.DUMMYFUNCTION("""COMPUTED_VALUE"""),33.0)</f>
        <v>33</v>
      </c>
      <c r="E210" s="4" t="str">
        <f>IFERROR(__xludf.DUMMYFUNCTION("""COMPUTED_VALUE"""),"X5")</f>
        <v>X5</v>
      </c>
      <c r="F210" s="5" t="str">
        <f>IFERROR(__xludf.DUMMYFUNCTION("""COMPUTED_VALUE"""),"33 - X5 - Muhammad Naufal Rhesa Fernando - L")</f>
        <v>33 - X5 - Muhammad Naufal Rhesa Fernando - L</v>
      </c>
      <c r="G210" s="3"/>
      <c r="H210" s="3"/>
      <c r="I210" s="3"/>
      <c r="J210" s="3"/>
      <c r="K210" s="3"/>
      <c r="L210" s="3"/>
      <c r="M210" s="3"/>
    </row>
    <row r="211">
      <c r="A211" s="4" t="str">
        <f>IFERROR(__xludf.DUMMYFUNCTION("""COMPUTED_VALUE"""),"0095937017 / 252610366")</f>
        <v>0095937017 / 252610366</v>
      </c>
      <c r="B211" s="4" t="str">
        <f>IFERROR(__xludf.DUMMYFUNCTION("""COMPUTED_VALUE"""),"Muhammad Raya Al Maghfirah - L")</f>
        <v>Muhammad Raya Al Maghfirah - L</v>
      </c>
      <c r="C211" s="4" t="str">
        <f>IFERROR(__xludf.DUMMYFUNCTION("""COMPUTED_VALUE"""),"L")</f>
        <v>L</v>
      </c>
      <c r="D211" s="4">
        <f>IFERROR(__xludf.DUMMYFUNCTION("""COMPUTED_VALUE"""),33.0)</f>
        <v>33</v>
      </c>
      <c r="E211" s="4" t="str">
        <f>IFERROR(__xludf.DUMMYFUNCTION("""COMPUTED_VALUE"""),"X5")</f>
        <v>X5</v>
      </c>
      <c r="F211" s="5" t="str">
        <f>IFERROR(__xludf.DUMMYFUNCTION("""COMPUTED_VALUE"""),"33 - X5 - Muhammad Raya Al Maghfirah - L")</f>
        <v>33 - X5 - Muhammad Raya Al Maghfirah - L</v>
      </c>
      <c r="G211" s="3"/>
      <c r="H211" s="3"/>
      <c r="I211" s="3"/>
      <c r="J211" s="3"/>
      <c r="K211" s="3"/>
      <c r="L211" s="3"/>
      <c r="M211" s="3"/>
    </row>
    <row r="212">
      <c r="A212" s="4" t="str">
        <f>IFERROR(__xludf.DUMMYFUNCTION("""COMPUTED_VALUE"""),"3094594523 / 252610374")</f>
        <v>3094594523 / 252610374</v>
      </c>
      <c r="B212" s="4" t="str">
        <f>IFERROR(__xludf.DUMMYFUNCTION("""COMPUTED_VALUE"""),"Muhammad Tristan Sanjaya - L")</f>
        <v>Muhammad Tristan Sanjaya - L</v>
      </c>
      <c r="C212" s="4" t="str">
        <f>IFERROR(__xludf.DUMMYFUNCTION("""COMPUTED_VALUE"""),"L")</f>
        <v>L</v>
      </c>
      <c r="D212" s="4">
        <f>IFERROR(__xludf.DUMMYFUNCTION("""COMPUTED_VALUE"""),33.0)</f>
        <v>33</v>
      </c>
      <c r="E212" s="4" t="str">
        <f>IFERROR(__xludf.DUMMYFUNCTION("""COMPUTED_VALUE"""),"X5")</f>
        <v>X5</v>
      </c>
      <c r="F212" s="5" t="str">
        <f>IFERROR(__xludf.DUMMYFUNCTION("""COMPUTED_VALUE"""),"33 - X5 - Muhammad Tristan Sanjaya - L")</f>
        <v>33 - X5 - Muhammad Tristan Sanjaya - L</v>
      </c>
      <c r="G212" s="3"/>
      <c r="H212" s="3"/>
      <c r="I212" s="3"/>
      <c r="J212" s="3"/>
      <c r="K212" s="3"/>
      <c r="L212" s="3"/>
      <c r="M212" s="3"/>
    </row>
    <row r="213">
      <c r="A213" s="4" t="str">
        <f>IFERROR(__xludf.DUMMYFUNCTION("""COMPUTED_VALUE"""),"0092479207 / 252610379")</f>
        <v>0092479207 / 252610379</v>
      </c>
      <c r="B213" s="4" t="str">
        <f>IFERROR(__xludf.DUMMYFUNCTION("""COMPUTED_VALUE"""),"Muhammad Zaidan Wibowo - L")</f>
        <v>Muhammad Zaidan Wibowo - L</v>
      </c>
      <c r="C213" s="4" t="str">
        <f>IFERROR(__xludf.DUMMYFUNCTION("""COMPUTED_VALUE"""),"L")</f>
        <v>L</v>
      </c>
      <c r="D213" s="4">
        <f>IFERROR(__xludf.DUMMYFUNCTION("""COMPUTED_VALUE"""),33.0)</f>
        <v>33</v>
      </c>
      <c r="E213" s="4" t="str">
        <f>IFERROR(__xludf.DUMMYFUNCTION("""COMPUTED_VALUE"""),"X5")</f>
        <v>X5</v>
      </c>
      <c r="F213" s="5" t="str">
        <f>IFERROR(__xludf.DUMMYFUNCTION("""COMPUTED_VALUE"""),"33 - X5 - Muhammad Zaidan Wibowo - L")</f>
        <v>33 - X5 - Muhammad Zaidan Wibowo - L</v>
      </c>
      <c r="G213" s="3"/>
      <c r="H213" s="3"/>
      <c r="I213" s="3"/>
      <c r="J213" s="3"/>
      <c r="K213" s="3"/>
      <c r="L213" s="3"/>
      <c r="M213" s="3"/>
    </row>
    <row r="214">
      <c r="A214" s="4" t="str">
        <f>IFERROR(__xludf.DUMMYFUNCTION("""COMPUTED_VALUE"""),"0092223990 / 252610384")</f>
        <v>0092223990 / 252610384</v>
      </c>
      <c r="B214" s="4" t="str">
        <f>IFERROR(__xludf.DUMMYFUNCTION("""COMPUTED_VALUE"""),"Nabilah Shakeela Kusuma - P")</f>
        <v>Nabilah Shakeela Kusuma - P</v>
      </c>
      <c r="C214" s="4" t="str">
        <f>IFERROR(__xludf.DUMMYFUNCTION("""COMPUTED_VALUE"""),"P")</f>
        <v>P</v>
      </c>
      <c r="D214" s="4">
        <f>IFERROR(__xludf.DUMMYFUNCTION("""COMPUTED_VALUE"""),33.0)</f>
        <v>33</v>
      </c>
      <c r="E214" s="4" t="str">
        <f>IFERROR(__xludf.DUMMYFUNCTION("""COMPUTED_VALUE"""),"X5")</f>
        <v>X5</v>
      </c>
      <c r="F214" s="5" t="str">
        <f>IFERROR(__xludf.DUMMYFUNCTION("""COMPUTED_VALUE"""),"33 - X5 - Nabilah Shakeela Kusuma - P")</f>
        <v>33 - X5 - Nabilah Shakeela Kusuma - P</v>
      </c>
      <c r="G214" s="3"/>
      <c r="H214" s="3"/>
      <c r="I214" s="3"/>
      <c r="J214" s="3"/>
      <c r="K214" s="3"/>
      <c r="L214" s="3"/>
      <c r="M214" s="3"/>
    </row>
    <row r="215">
      <c r="A215" s="4" t="str">
        <f>IFERROR(__xludf.DUMMYFUNCTION("""COMPUTED_VALUE"""),"0104434944 / 252610401")</f>
        <v>0104434944 / 252610401</v>
      </c>
      <c r="B215" s="4" t="str">
        <f>IFERROR(__xludf.DUMMYFUNCTION("""COMPUTED_VALUE"""),"Naufal Aditama - L")</f>
        <v>Naufal Aditama - L</v>
      </c>
      <c r="C215" s="4" t="str">
        <f>IFERROR(__xludf.DUMMYFUNCTION("""COMPUTED_VALUE"""),"L")</f>
        <v>L</v>
      </c>
      <c r="D215" s="4">
        <f>IFERROR(__xludf.DUMMYFUNCTION("""COMPUTED_VALUE"""),33.0)</f>
        <v>33</v>
      </c>
      <c r="E215" s="4" t="str">
        <f>IFERROR(__xludf.DUMMYFUNCTION("""COMPUTED_VALUE"""),"X5")</f>
        <v>X5</v>
      </c>
      <c r="F215" s="5" t="str">
        <f>IFERROR(__xludf.DUMMYFUNCTION("""COMPUTED_VALUE"""),"33 - X5 - Naufal Aditama - L")</f>
        <v>33 - X5 - Naufal Aditama - L</v>
      </c>
      <c r="G215" s="3"/>
      <c r="H215" s="3"/>
      <c r="I215" s="3"/>
      <c r="J215" s="3"/>
      <c r="K215" s="3"/>
      <c r="L215" s="3"/>
      <c r="M215" s="3"/>
    </row>
    <row r="216">
      <c r="A216" s="4" t="str">
        <f>IFERROR(__xludf.DUMMYFUNCTION("""COMPUTED_VALUE"""),"0108770789 / 252610412")</f>
        <v>0108770789 / 252610412</v>
      </c>
      <c r="B216" s="4" t="str">
        <f>IFERROR(__xludf.DUMMYFUNCTION("""COMPUTED_VALUE"""),"Nayyira Ghania Mehnaz - P")</f>
        <v>Nayyira Ghania Mehnaz - P</v>
      </c>
      <c r="C216" s="4" t="str">
        <f>IFERROR(__xludf.DUMMYFUNCTION("""COMPUTED_VALUE"""),"P")</f>
        <v>P</v>
      </c>
      <c r="D216" s="4">
        <f>IFERROR(__xludf.DUMMYFUNCTION("""COMPUTED_VALUE"""),33.0)</f>
        <v>33</v>
      </c>
      <c r="E216" s="4" t="str">
        <f>IFERROR(__xludf.DUMMYFUNCTION("""COMPUTED_VALUE"""),"X5")</f>
        <v>X5</v>
      </c>
      <c r="F216" s="5" t="str">
        <f>IFERROR(__xludf.DUMMYFUNCTION("""COMPUTED_VALUE"""),"33 - X5 - Nayyira Ghania Mehnaz - P")</f>
        <v>33 - X5 - Nayyira Ghania Mehnaz - P</v>
      </c>
      <c r="G216" s="3"/>
      <c r="H216" s="3"/>
      <c r="I216" s="3"/>
      <c r="J216" s="3"/>
      <c r="K216" s="3"/>
      <c r="L216" s="3"/>
      <c r="M216" s="3"/>
    </row>
    <row r="217">
      <c r="A217" s="4" t="str">
        <f>IFERROR(__xludf.DUMMYFUNCTION("""COMPUTED_VALUE"""),"0101523916 / 252610414")</f>
        <v>0101523916 / 252610414</v>
      </c>
      <c r="B217" s="4" t="str">
        <f>IFERROR(__xludf.DUMMYFUNCTION("""COMPUTED_VALUE"""),"Nazwa Nur Rahmah - P")</f>
        <v>Nazwa Nur Rahmah - P</v>
      </c>
      <c r="C217" s="4" t="str">
        <f>IFERROR(__xludf.DUMMYFUNCTION("""COMPUTED_VALUE"""),"P")</f>
        <v>P</v>
      </c>
      <c r="D217" s="4">
        <f>IFERROR(__xludf.DUMMYFUNCTION("""COMPUTED_VALUE"""),33.0)</f>
        <v>33</v>
      </c>
      <c r="E217" s="4" t="str">
        <f>IFERROR(__xludf.DUMMYFUNCTION("""COMPUTED_VALUE"""),"X5")</f>
        <v>X5</v>
      </c>
      <c r="F217" s="5" t="str">
        <f>IFERROR(__xludf.DUMMYFUNCTION("""COMPUTED_VALUE"""),"33 - X5 - Nazwa Nur Rahmah - P")</f>
        <v>33 - X5 - Nazwa Nur Rahmah - P</v>
      </c>
      <c r="G217" s="3"/>
      <c r="H217" s="3"/>
      <c r="I217" s="3"/>
      <c r="J217" s="3"/>
      <c r="K217" s="3"/>
      <c r="L217" s="3"/>
      <c r="M217" s="3"/>
    </row>
    <row r="218">
      <c r="A218" s="4" t="str">
        <f>IFERROR(__xludf.DUMMYFUNCTION("""COMPUTED_VALUE"""),"3099045754 / 252610427")</f>
        <v>3099045754 / 252610427</v>
      </c>
      <c r="B218" s="4" t="str">
        <f>IFERROR(__xludf.DUMMYFUNCTION("""COMPUTED_VALUE"""),"Nurul Aulia Ramadhani - P")</f>
        <v>Nurul Aulia Ramadhani - P</v>
      </c>
      <c r="C218" s="4" t="str">
        <f>IFERROR(__xludf.DUMMYFUNCTION("""COMPUTED_VALUE"""),"P")</f>
        <v>P</v>
      </c>
      <c r="D218" s="4">
        <f>IFERROR(__xludf.DUMMYFUNCTION("""COMPUTED_VALUE"""),33.0)</f>
        <v>33</v>
      </c>
      <c r="E218" s="4" t="str">
        <f>IFERROR(__xludf.DUMMYFUNCTION("""COMPUTED_VALUE"""),"X5")</f>
        <v>X5</v>
      </c>
      <c r="F218" s="5" t="str">
        <f>IFERROR(__xludf.DUMMYFUNCTION("""COMPUTED_VALUE"""),"33 - X5 - Nurul Aulia Ramadhani - P")</f>
        <v>33 - X5 - Nurul Aulia Ramadhani - P</v>
      </c>
      <c r="G218" s="3"/>
      <c r="H218" s="3"/>
      <c r="I218" s="3"/>
      <c r="J218" s="3"/>
      <c r="K218" s="3"/>
      <c r="L218" s="3"/>
      <c r="M218" s="3"/>
    </row>
    <row r="219">
      <c r="A219" s="4" t="str">
        <f>IFERROR(__xludf.DUMMYFUNCTION("""COMPUTED_VALUE"""),"0104883711 / 252610429")</f>
        <v>0104883711 / 252610429</v>
      </c>
      <c r="B219" s="4" t="str">
        <f>IFERROR(__xludf.DUMMYFUNCTION("""COMPUTED_VALUE"""),"Ohan Marhadi Haryono - L")</f>
        <v>Ohan Marhadi Haryono - L</v>
      </c>
      <c r="C219" s="4" t="str">
        <f>IFERROR(__xludf.DUMMYFUNCTION("""COMPUTED_VALUE"""),"L")</f>
        <v>L</v>
      </c>
      <c r="D219" s="4">
        <f>IFERROR(__xludf.DUMMYFUNCTION("""COMPUTED_VALUE"""),33.0)</f>
        <v>33</v>
      </c>
      <c r="E219" s="4" t="str">
        <f>IFERROR(__xludf.DUMMYFUNCTION("""COMPUTED_VALUE"""),"X5")</f>
        <v>X5</v>
      </c>
      <c r="F219" s="5" t="str">
        <f>IFERROR(__xludf.DUMMYFUNCTION("""COMPUTED_VALUE"""),"33 - X5 - Ohan Marhadi Haryono - L")</f>
        <v>33 - X5 - Ohan Marhadi Haryono - L</v>
      </c>
      <c r="G219" s="3"/>
      <c r="H219" s="3"/>
      <c r="I219" s="3"/>
      <c r="J219" s="3"/>
      <c r="K219" s="3"/>
      <c r="L219" s="3"/>
      <c r="M219" s="3"/>
    </row>
    <row r="220">
      <c r="A220" s="4" t="str">
        <f>IFERROR(__xludf.DUMMYFUNCTION("""COMPUTED_VALUE"""),"3099055467 / 252610437")</f>
        <v>3099055467 / 252610437</v>
      </c>
      <c r="B220" s="4" t="str">
        <f>IFERROR(__xludf.DUMMYFUNCTION("""COMPUTED_VALUE"""),"Puthik Ramadani - P")</f>
        <v>Puthik Ramadani - P</v>
      </c>
      <c r="C220" s="4" t="str">
        <f>IFERROR(__xludf.DUMMYFUNCTION("""COMPUTED_VALUE"""),"P")</f>
        <v>P</v>
      </c>
      <c r="D220" s="4">
        <f>IFERROR(__xludf.DUMMYFUNCTION("""COMPUTED_VALUE"""),33.0)</f>
        <v>33</v>
      </c>
      <c r="E220" s="4" t="str">
        <f>IFERROR(__xludf.DUMMYFUNCTION("""COMPUTED_VALUE"""),"X5")</f>
        <v>X5</v>
      </c>
      <c r="F220" s="5" t="str">
        <f>IFERROR(__xludf.DUMMYFUNCTION("""COMPUTED_VALUE"""),"33 - X5 - Puthik Ramadani - P")</f>
        <v>33 - X5 - Puthik Ramadani - P</v>
      </c>
      <c r="G220" s="3"/>
      <c r="H220" s="3"/>
      <c r="I220" s="3"/>
      <c r="J220" s="3"/>
      <c r="K220" s="3"/>
      <c r="L220" s="3"/>
      <c r="M220" s="3"/>
    </row>
    <row r="221">
      <c r="A221" s="4" t="str">
        <f>IFERROR(__xludf.DUMMYFUNCTION("""COMPUTED_VALUE"""),"0092103124 / 252610450")</f>
        <v>0092103124 / 252610450</v>
      </c>
      <c r="B221" s="4" t="str">
        <f>IFERROR(__xludf.DUMMYFUNCTION("""COMPUTED_VALUE"""),"Raden Chintya Dewi Maharani - P")</f>
        <v>Raden Chintya Dewi Maharani - P</v>
      </c>
      <c r="C221" s="4" t="str">
        <f>IFERROR(__xludf.DUMMYFUNCTION("""COMPUTED_VALUE"""),"P")</f>
        <v>P</v>
      </c>
      <c r="D221" s="4">
        <f>IFERROR(__xludf.DUMMYFUNCTION("""COMPUTED_VALUE"""),33.0)</f>
        <v>33</v>
      </c>
      <c r="E221" s="4" t="str">
        <f>IFERROR(__xludf.DUMMYFUNCTION("""COMPUTED_VALUE"""),"X5")</f>
        <v>X5</v>
      </c>
      <c r="F221" s="5" t="str">
        <f>IFERROR(__xludf.DUMMYFUNCTION("""COMPUTED_VALUE"""),"33 - X5 - Raden Chintya Dewi Maharani - P")</f>
        <v>33 - X5 - Raden Chintya Dewi Maharani - P</v>
      </c>
      <c r="G221" s="3"/>
      <c r="H221" s="3"/>
      <c r="I221" s="3"/>
      <c r="J221" s="3"/>
      <c r="K221" s="3"/>
      <c r="L221" s="3"/>
      <c r="M221" s="3"/>
    </row>
    <row r="222">
      <c r="A222" s="4" t="str">
        <f>IFERROR(__xludf.DUMMYFUNCTION("""COMPUTED_VALUE"""),"0102081772 / 252610451")</f>
        <v>0102081772 / 252610451</v>
      </c>
      <c r="B222" s="4" t="str">
        <f>IFERROR(__xludf.DUMMYFUNCTION("""COMPUTED_VALUE"""),"Raden Ciara Za Syahluna - P")</f>
        <v>Raden Ciara Za Syahluna - P</v>
      </c>
      <c r="C222" s="4" t="str">
        <f>IFERROR(__xludf.DUMMYFUNCTION("""COMPUTED_VALUE"""),"P")</f>
        <v>P</v>
      </c>
      <c r="D222" s="4">
        <f>IFERROR(__xludf.DUMMYFUNCTION("""COMPUTED_VALUE"""),33.0)</f>
        <v>33</v>
      </c>
      <c r="E222" s="4" t="str">
        <f>IFERROR(__xludf.DUMMYFUNCTION("""COMPUTED_VALUE"""),"X5")</f>
        <v>X5</v>
      </c>
      <c r="F222" s="5" t="str">
        <f>IFERROR(__xludf.DUMMYFUNCTION("""COMPUTED_VALUE"""),"33 - X5 - Raden Ciara Za Syahluna - P")</f>
        <v>33 - X5 - Raden Ciara Za Syahluna - P</v>
      </c>
      <c r="G222" s="3"/>
      <c r="H222" s="3"/>
      <c r="I222" s="3"/>
      <c r="J222" s="3"/>
      <c r="K222" s="3"/>
      <c r="L222" s="3"/>
      <c r="M222" s="3"/>
    </row>
    <row r="223">
      <c r="A223" s="4" t="str">
        <f>IFERROR(__xludf.DUMMYFUNCTION("""COMPUTED_VALUE"""),"0097864614 / 252610471")</f>
        <v>0097864614 / 252610471</v>
      </c>
      <c r="B223" s="4" t="str">
        <f>IFERROR(__xludf.DUMMYFUNCTION("""COMPUTED_VALUE"""),"Rama Andhika - L")</f>
        <v>Rama Andhika - L</v>
      </c>
      <c r="C223" s="4" t="str">
        <f>IFERROR(__xludf.DUMMYFUNCTION("""COMPUTED_VALUE"""),"L")</f>
        <v>L</v>
      </c>
      <c r="D223" s="4">
        <f>IFERROR(__xludf.DUMMYFUNCTION("""COMPUTED_VALUE"""),33.0)</f>
        <v>33</v>
      </c>
      <c r="E223" s="4" t="str">
        <f>IFERROR(__xludf.DUMMYFUNCTION("""COMPUTED_VALUE"""),"X5")</f>
        <v>X5</v>
      </c>
      <c r="F223" s="5" t="str">
        <f>IFERROR(__xludf.DUMMYFUNCTION("""COMPUTED_VALUE"""),"33 - X5 - Rama Andhika - L")</f>
        <v>33 - X5 - Rama Andhika - L</v>
      </c>
      <c r="G223" s="3"/>
      <c r="H223" s="3"/>
      <c r="I223" s="3"/>
      <c r="J223" s="3"/>
      <c r="K223" s="3"/>
      <c r="L223" s="3"/>
      <c r="M223" s="3"/>
    </row>
    <row r="224">
      <c r="A224" s="4" t="str">
        <f>IFERROR(__xludf.DUMMYFUNCTION("""COMPUTED_VALUE"""),"0093090773 / 252610481")</f>
        <v>0093090773 / 252610481</v>
      </c>
      <c r="B224" s="4" t="str">
        <f>IFERROR(__xludf.DUMMYFUNCTION("""COMPUTED_VALUE"""),"Reisha Azzahra Pramesti - P")</f>
        <v>Reisha Azzahra Pramesti - P</v>
      </c>
      <c r="C224" s="4" t="str">
        <f>IFERROR(__xludf.DUMMYFUNCTION("""COMPUTED_VALUE"""),"P")</f>
        <v>P</v>
      </c>
      <c r="D224" s="4">
        <f>IFERROR(__xludf.DUMMYFUNCTION("""COMPUTED_VALUE"""),33.0)</f>
        <v>33</v>
      </c>
      <c r="E224" s="4" t="str">
        <f>IFERROR(__xludf.DUMMYFUNCTION("""COMPUTED_VALUE"""),"X5")</f>
        <v>X5</v>
      </c>
      <c r="F224" s="5" t="str">
        <f>IFERROR(__xludf.DUMMYFUNCTION("""COMPUTED_VALUE"""),"33 - X5 - Reisha Azzahra Pramesti - P")</f>
        <v>33 - X5 - Reisha Azzahra Pramesti - P</v>
      </c>
      <c r="G224" s="3"/>
      <c r="H224" s="3"/>
      <c r="I224" s="3"/>
      <c r="J224" s="3"/>
      <c r="K224" s="3"/>
      <c r="L224" s="3"/>
      <c r="M224" s="3"/>
    </row>
    <row r="225">
      <c r="A225" s="4" t="str">
        <f>IFERROR(__xludf.DUMMYFUNCTION("""COMPUTED_VALUE"""),"0095160472 / 252610488")</f>
        <v>0095160472 / 252610488</v>
      </c>
      <c r="B225" s="4" t="str">
        <f>IFERROR(__xludf.DUMMYFUNCTION("""COMPUTED_VALUE"""),"Rheiska Amelia - P")</f>
        <v>Rheiska Amelia - P</v>
      </c>
      <c r="C225" s="4" t="str">
        <f>IFERROR(__xludf.DUMMYFUNCTION("""COMPUTED_VALUE"""),"P")</f>
        <v>P</v>
      </c>
      <c r="D225" s="4">
        <f>IFERROR(__xludf.DUMMYFUNCTION("""COMPUTED_VALUE"""),33.0)</f>
        <v>33</v>
      </c>
      <c r="E225" s="4" t="str">
        <f>IFERROR(__xludf.DUMMYFUNCTION("""COMPUTED_VALUE"""),"X5")</f>
        <v>X5</v>
      </c>
      <c r="F225" s="5" t="str">
        <f>IFERROR(__xludf.DUMMYFUNCTION("""COMPUTED_VALUE"""),"33 - X5 - Rheiska Amelia - P")</f>
        <v>33 - X5 - Rheiska Amelia - P</v>
      </c>
      <c r="G225" s="3"/>
      <c r="H225" s="3"/>
      <c r="I225" s="3"/>
      <c r="J225" s="3"/>
      <c r="K225" s="3"/>
      <c r="L225" s="3"/>
      <c r="M225" s="3"/>
    </row>
    <row r="226">
      <c r="A226" s="4" t="str">
        <f>IFERROR(__xludf.DUMMYFUNCTION("""COMPUTED_VALUE"""),"0092402487 / 252610507")</f>
        <v>0092402487 / 252610507</v>
      </c>
      <c r="B226" s="4" t="str">
        <f>IFERROR(__xludf.DUMMYFUNCTION("""COMPUTED_VALUE"""),"Salsabila Kinaya - P")</f>
        <v>Salsabila Kinaya - P</v>
      </c>
      <c r="C226" s="4" t="str">
        <f>IFERROR(__xludf.DUMMYFUNCTION("""COMPUTED_VALUE"""),"P")</f>
        <v>P</v>
      </c>
      <c r="D226" s="4">
        <f>IFERROR(__xludf.DUMMYFUNCTION("""COMPUTED_VALUE"""),33.0)</f>
        <v>33</v>
      </c>
      <c r="E226" s="4" t="str">
        <f>IFERROR(__xludf.DUMMYFUNCTION("""COMPUTED_VALUE"""),"X5")</f>
        <v>X5</v>
      </c>
      <c r="F226" s="5" t="str">
        <f>IFERROR(__xludf.DUMMYFUNCTION("""COMPUTED_VALUE"""),"33 - X5 - Salsabila Kinaya - P")</f>
        <v>33 - X5 - Salsabila Kinaya - P</v>
      </c>
      <c r="G226" s="3"/>
      <c r="H226" s="3"/>
      <c r="I226" s="3"/>
      <c r="J226" s="3"/>
      <c r="K226" s="3"/>
      <c r="L226" s="3"/>
      <c r="M226" s="3"/>
    </row>
    <row r="227">
      <c r="A227" s="4" t="str">
        <f>IFERROR(__xludf.DUMMYFUNCTION("""COMPUTED_VALUE"""),"0092706472 / 252610535")</f>
        <v>0092706472 / 252610535</v>
      </c>
      <c r="B227" s="4" t="str">
        <f>IFERROR(__xludf.DUMMYFUNCTION("""COMPUTED_VALUE"""),"Syarafina Nur Alifatuzahro - P")</f>
        <v>Syarafina Nur Alifatuzahro - P</v>
      </c>
      <c r="C227" s="4" t="str">
        <f>IFERROR(__xludf.DUMMYFUNCTION("""COMPUTED_VALUE"""),"P")</f>
        <v>P</v>
      </c>
      <c r="D227" s="4">
        <f>IFERROR(__xludf.DUMMYFUNCTION("""COMPUTED_VALUE"""),33.0)</f>
        <v>33</v>
      </c>
      <c r="E227" s="4" t="str">
        <f>IFERROR(__xludf.DUMMYFUNCTION("""COMPUTED_VALUE"""),"X5")</f>
        <v>X5</v>
      </c>
      <c r="F227" s="5" t="str">
        <f>IFERROR(__xludf.DUMMYFUNCTION("""COMPUTED_VALUE"""),"33 - X5 - Syarafina Nur Alifatuzahro - P")</f>
        <v>33 - X5 - Syarafina Nur Alifatuzahro - P</v>
      </c>
      <c r="G227" s="3"/>
      <c r="H227" s="3"/>
      <c r="I227" s="3"/>
      <c r="J227" s="3"/>
      <c r="K227" s="3"/>
      <c r="L227" s="3"/>
      <c r="M227" s="3"/>
    </row>
    <row r="228">
      <c r="A228" s="4" t="str">
        <f>IFERROR(__xludf.DUMMYFUNCTION("""COMPUTED_VALUE"""),"0105183684 / 252610540")</f>
        <v>0105183684 / 252610540</v>
      </c>
      <c r="B228" s="4" t="str">
        <f>IFERROR(__xludf.DUMMYFUNCTION("""COMPUTED_VALUE"""),"Tanty Amelia Al Rasyid - P")</f>
        <v>Tanty Amelia Al Rasyid - P</v>
      </c>
      <c r="C228" s="4" t="str">
        <f>IFERROR(__xludf.DUMMYFUNCTION("""COMPUTED_VALUE"""),"P")</f>
        <v>P</v>
      </c>
      <c r="D228" s="4">
        <f>IFERROR(__xludf.DUMMYFUNCTION("""COMPUTED_VALUE"""),33.0)</f>
        <v>33</v>
      </c>
      <c r="E228" s="4" t="str">
        <f>IFERROR(__xludf.DUMMYFUNCTION("""COMPUTED_VALUE"""),"X5")</f>
        <v>X5</v>
      </c>
      <c r="F228" s="5" t="str">
        <f>IFERROR(__xludf.DUMMYFUNCTION("""COMPUTED_VALUE"""),"33 - X5 - Tanty Amelia Al Rasyid - P")</f>
        <v>33 - X5 - Tanty Amelia Al Rasyid - P</v>
      </c>
      <c r="G228" s="3"/>
      <c r="H228" s="3"/>
      <c r="I228" s="3"/>
      <c r="J228" s="3"/>
      <c r="K228" s="3"/>
      <c r="L228" s="3"/>
      <c r="M228" s="3"/>
    </row>
    <row r="229">
      <c r="A229" s="4" t="str">
        <f>IFERROR(__xludf.DUMMYFUNCTION("""COMPUTED_VALUE"""),"0098052333 / 252610543")</f>
        <v>0098052333 / 252610543</v>
      </c>
      <c r="B229" s="4" t="str">
        <f>IFERROR(__xludf.DUMMYFUNCTION("""COMPUTED_VALUE"""),"Teduh Mutiara Hapsari - P")</f>
        <v>Teduh Mutiara Hapsari - P</v>
      </c>
      <c r="C229" s="4" t="str">
        <f>IFERROR(__xludf.DUMMYFUNCTION("""COMPUTED_VALUE"""),"P")</f>
        <v>P</v>
      </c>
      <c r="D229" s="4">
        <f>IFERROR(__xludf.DUMMYFUNCTION("""COMPUTED_VALUE"""),33.0)</f>
        <v>33</v>
      </c>
      <c r="E229" s="4" t="str">
        <f>IFERROR(__xludf.DUMMYFUNCTION("""COMPUTED_VALUE"""),"X5")</f>
        <v>X5</v>
      </c>
      <c r="F229" s="5" t="str">
        <f>IFERROR(__xludf.DUMMYFUNCTION("""COMPUTED_VALUE"""),"33 - X5 - Teduh Mutiara Hapsari - P")</f>
        <v>33 - X5 - Teduh Mutiara Hapsari - P</v>
      </c>
      <c r="G229" s="3"/>
      <c r="H229" s="3"/>
      <c r="I229" s="3"/>
      <c r="J229" s="3"/>
      <c r="K229" s="3"/>
      <c r="L229" s="3"/>
      <c r="M229" s="3"/>
    </row>
    <row r="230">
      <c r="A230" s="4" t="str">
        <f>IFERROR(__xludf.DUMMYFUNCTION("""COMPUTED_VALUE"""),"3094664028 / 252610549")</f>
        <v>3094664028 / 252610549</v>
      </c>
      <c r="B230" s="4" t="str">
        <f>IFERROR(__xludf.DUMMYFUNCTION("""COMPUTED_VALUE"""),"Tubagus Mochamad Rizki Fauzan Faris - L")</f>
        <v>Tubagus Mochamad Rizki Fauzan Faris - L</v>
      </c>
      <c r="C230" s="4" t="str">
        <f>IFERROR(__xludf.DUMMYFUNCTION("""COMPUTED_VALUE"""),"L")</f>
        <v>L</v>
      </c>
      <c r="D230" s="4">
        <f>IFERROR(__xludf.DUMMYFUNCTION("""COMPUTED_VALUE"""),33.0)</f>
        <v>33</v>
      </c>
      <c r="E230" s="4" t="str">
        <f>IFERROR(__xludf.DUMMYFUNCTION("""COMPUTED_VALUE"""),"X5")</f>
        <v>X5</v>
      </c>
      <c r="F230" s="5" t="str">
        <f>IFERROR(__xludf.DUMMYFUNCTION("""COMPUTED_VALUE"""),"33 - X5 - Tubagus Mochamad Rizki Fauzan Faris - L")</f>
        <v>33 - X5 - Tubagus Mochamad Rizki Fauzan Faris - L</v>
      </c>
      <c r="G230" s="3"/>
      <c r="H230" s="3"/>
      <c r="I230" s="3"/>
      <c r="J230" s="3"/>
      <c r="K230" s="3"/>
      <c r="L230" s="3"/>
      <c r="M230" s="3"/>
    </row>
    <row r="231">
      <c r="A231" s="4" t="str">
        <f>IFERROR(__xludf.DUMMYFUNCTION("""COMPUTED_VALUE"""),"0099429653 / 252610554")</f>
        <v>0099429653 / 252610554</v>
      </c>
      <c r="B231" s="4" t="str">
        <f>IFERROR(__xludf.DUMMYFUNCTION("""COMPUTED_VALUE"""),"Yanza Rizkia Salsabillah - P")</f>
        <v>Yanza Rizkia Salsabillah - P</v>
      </c>
      <c r="C231" s="4" t="str">
        <f>IFERROR(__xludf.DUMMYFUNCTION("""COMPUTED_VALUE"""),"P")</f>
        <v>P</v>
      </c>
      <c r="D231" s="4">
        <f>IFERROR(__xludf.DUMMYFUNCTION("""COMPUTED_VALUE"""),33.0)</f>
        <v>33</v>
      </c>
      <c r="E231" s="4" t="str">
        <f>IFERROR(__xludf.DUMMYFUNCTION("""COMPUTED_VALUE"""),"X5")</f>
        <v>X5</v>
      </c>
      <c r="F231" s="5" t="str">
        <f>IFERROR(__xludf.DUMMYFUNCTION("""COMPUTED_VALUE"""),"33 - X5 - Yanza Rizkia Salsabillah - P")</f>
        <v>33 - X5 - Yanza Rizkia Salsabillah - P</v>
      </c>
      <c r="G231" s="3"/>
      <c r="H231" s="3"/>
      <c r="I231" s="3"/>
      <c r="J231" s="3"/>
      <c r="K231" s="3"/>
      <c r="L231" s="3"/>
      <c r="M231" s="3"/>
    </row>
    <row r="232">
      <c r="A232" s="4" t="str">
        <f>IFERROR(__xludf.DUMMYFUNCTION("""COMPUTED_VALUE"""),"0096316890 / 252610005")</f>
        <v>0096316890 / 252610005</v>
      </c>
      <c r="B232" s="4" t="str">
        <f>IFERROR(__xludf.DUMMYFUNCTION("""COMPUTED_VALUE"""),"Achmad Firza Ghibran - L")</f>
        <v>Achmad Firza Ghibran - L</v>
      </c>
      <c r="C232" s="4" t="str">
        <f>IFERROR(__xludf.DUMMYFUNCTION("""COMPUTED_VALUE"""),"L")</f>
        <v>L</v>
      </c>
      <c r="D232" s="4">
        <f>IFERROR(__xludf.DUMMYFUNCTION("""COMPUTED_VALUE"""),33.0)</f>
        <v>33</v>
      </c>
      <c r="E232" s="4" t="str">
        <f>IFERROR(__xludf.DUMMYFUNCTION("""COMPUTED_VALUE"""),"X6")</f>
        <v>X6</v>
      </c>
      <c r="F232" s="5" t="str">
        <f>IFERROR(__xludf.DUMMYFUNCTION("""COMPUTED_VALUE"""),"33 - X6 - Achmad Firza Ghibran - L")</f>
        <v>33 - X6 - Achmad Firza Ghibran - L</v>
      </c>
      <c r="G232" s="3"/>
      <c r="H232" s="3"/>
      <c r="I232" s="3"/>
      <c r="J232" s="3"/>
      <c r="K232" s="3"/>
      <c r="L232" s="3"/>
      <c r="M232" s="3"/>
    </row>
    <row r="233">
      <c r="A233" s="4" t="str">
        <f>IFERROR(__xludf.DUMMYFUNCTION("""COMPUTED_VALUE"""),"0091825991 / 252610009")</f>
        <v>0091825991 / 252610009</v>
      </c>
      <c r="B233" s="4" t="str">
        <f>IFERROR(__xludf.DUMMYFUNCTION("""COMPUTED_VALUE"""),"Adi Pati Jaya Prana - L")</f>
        <v>Adi Pati Jaya Prana - L</v>
      </c>
      <c r="C233" s="4" t="str">
        <f>IFERROR(__xludf.DUMMYFUNCTION("""COMPUTED_VALUE"""),"L")</f>
        <v>L</v>
      </c>
      <c r="D233" s="4">
        <f>IFERROR(__xludf.DUMMYFUNCTION("""COMPUTED_VALUE"""),33.0)</f>
        <v>33</v>
      </c>
      <c r="E233" s="4" t="str">
        <f>IFERROR(__xludf.DUMMYFUNCTION("""COMPUTED_VALUE"""),"X6")</f>
        <v>X6</v>
      </c>
      <c r="F233" s="5" t="str">
        <f>IFERROR(__xludf.DUMMYFUNCTION("""COMPUTED_VALUE"""),"33 - X6 - Adi Pati Jaya Prana - L")</f>
        <v>33 - X6 - Adi Pati Jaya Prana - L</v>
      </c>
      <c r="G233" s="3"/>
      <c r="H233" s="3"/>
      <c r="I233" s="3"/>
      <c r="J233" s="3"/>
      <c r="K233" s="3"/>
      <c r="L233" s="3"/>
      <c r="M233" s="3"/>
    </row>
    <row r="234">
      <c r="A234" s="4" t="str">
        <f>IFERROR(__xludf.DUMMYFUNCTION("""COMPUTED_VALUE"""),"0094216872 / 252610036")</f>
        <v>0094216872 / 252610036</v>
      </c>
      <c r="B234" s="4" t="str">
        <f>IFERROR(__xludf.DUMMYFUNCTION("""COMPUTED_VALUE"""),"Alfany Himma Roudina - P")</f>
        <v>Alfany Himma Roudina - P</v>
      </c>
      <c r="C234" s="4" t="str">
        <f>IFERROR(__xludf.DUMMYFUNCTION("""COMPUTED_VALUE"""),"P")</f>
        <v>P</v>
      </c>
      <c r="D234" s="4">
        <f>IFERROR(__xludf.DUMMYFUNCTION("""COMPUTED_VALUE"""),33.0)</f>
        <v>33</v>
      </c>
      <c r="E234" s="4" t="str">
        <f>IFERROR(__xludf.DUMMYFUNCTION("""COMPUTED_VALUE"""),"X6")</f>
        <v>X6</v>
      </c>
      <c r="F234" s="5" t="str">
        <f>IFERROR(__xludf.DUMMYFUNCTION("""COMPUTED_VALUE"""),"33 - X6 - Alfany Himma Roudina - P")</f>
        <v>33 - X6 - Alfany Himma Roudina - P</v>
      </c>
      <c r="G234" s="3"/>
      <c r="H234" s="3"/>
      <c r="I234" s="3"/>
      <c r="J234" s="3"/>
      <c r="K234" s="3"/>
      <c r="L234" s="3"/>
      <c r="M234" s="3"/>
    </row>
    <row r="235">
      <c r="A235" s="4" t="str">
        <f>IFERROR(__xludf.DUMMYFUNCTION("""COMPUTED_VALUE"""),"3093210071 / 252610042")</f>
        <v>3093210071 / 252610042</v>
      </c>
      <c r="B235" s="4" t="str">
        <f>IFERROR(__xludf.DUMMYFUNCTION("""COMPUTED_VALUE"""),"Alisa Putri - P")</f>
        <v>Alisa Putri - P</v>
      </c>
      <c r="C235" s="4" t="str">
        <f>IFERROR(__xludf.DUMMYFUNCTION("""COMPUTED_VALUE"""),"P")</f>
        <v>P</v>
      </c>
      <c r="D235" s="4">
        <f>IFERROR(__xludf.DUMMYFUNCTION("""COMPUTED_VALUE"""),33.0)</f>
        <v>33</v>
      </c>
      <c r="E235" s="4" t="str">
        <f>IFERROR(__xludf.DUMMYFUNCTION("""COMPUTED_VALUE"""),"X6")</f>
        <v>X6</v>
      </c>
      <c r="F235" s="5" t="str">
        <f>IFERROR(__xludf.DUMMYFUNCTION("""COMPUTED_VALUE"""),"33 - X6 - Alisa Putri - P")</f>
        <v>33 - X6 - Alisa Putri - P</v>
      </c>
      <c r="G235" s="3"/>
      <c r="H235" s="3"/>
      <c r="I235" s="3"/>
      <c r="J235" s="3"/>
      <c r="K235" s="3"/>
      <c r="L235" s="3"/>
      <c r="M235" s="3"/>
    </row>
    <row r="236">
      <c r="A236" s="4" t="str">
        <f>IFERROR(__xludf.DUMMYFUNCTION("""COMPUTED_VALUE"""),"0099344894 / 252610072")</f>
        <v>0099344894 / 252610072</v>
      </c>
      <c r="B236" s="4" t="str">
        <f>IFERROR(__xludf.DUMMYFUNCTION("""COMPUTED_VALUE"""),"Aqila Noya Faiza - P")</f>
        <v>Aqila Noya Faiza - P</v>
      </c>
      <c r="C236" s="4" t="str">
        <f>IFERROR(__xludf.DUMMYFUNCTION("""COMPUTED_VALUE"""),"P")</f>
        <v>P</v>
      </c>
      <c r="D236" s="4">
        <f>IFERROR(__xludf.DUMMYFUNCTION("""COMPUTED_VALUE"""),33.0)</f>
        <v>33</v>
      </c>
      <c r="E236" s="4" t="str">
        <f>IFERROR(__xludf.DUMMYFUNCTION("""COMPUTED_VALUE"""),"X6")</f>
        <v>X6</v>
      </c>
      <c r="F236" s="5" t="str">
        <f>IFERROR(__xludf.DUMMYFUNCTION("""COMPUTED_VALUE"""),"33 - X6 - Aqila Noya Faiza - P")</f>
        <v>33 - X6 - Aqila Noya Faiza - P</v>
      </c>
      <c r="G236" s="3"/>
      <c r="H236" s="3"/>
      <c r="I236" s="3"/>
      <c r="J236" s="3"/>
      <c r="K236" s="3"/>
      <c r="L236" s="3"/>
      <c r="M236" s="3"/>
    </row>
    <row r="237">
      <c r="A237" s="4" t="str">
        <f>IFERROR(__xludf.DUMMYFUNCTION("""COMPUTED_VALUE"""),"0109520546 / 252610120")</f>
        <v>0109520546 / 252610120</v>
      </c>
      <c r="B237" s="4" t="str">
        <f>IFERROR(__xludf.DUMMYFUNCTION("""COMPUTED_VALUE"""),"Bernala Baratama Sirait - P")</f>
        <v>Bernala Baratama Sirait - P</v>
      </c>
      <c r="C237" s="4" t="str">
        <f>IFERROR(__xludf.DUMMYFUNCTION("""COMPUTED_VALUE"""),"P")</f>
        <v>P</v>
      </c>
      <c r="D237" s="4">
        <f>IFERROR(__xludf.DUMMYFUNCTION("""COMPUTED_VALUE"""),33.0)</f>
        <v>33</v>
      </c>
      <c r="E237" s="4" t="str">
        <f>IFERROR(__xludf.DUMMYFUNCTION("""COMPUTED_VALUE"""),"X6")</f>
        <v>X6</v>
      </c>
      <c r="F237" s="5" t="str">
        <f>IFERROR(__xludf.DUMMYFUNCTION("""COMPUTED_VALUE"""),"33 - X6 - Bernala Baratama Sirait - P")</f>
        <v>33 - X6 - Bernala Baratama Sirait - P</v>
      </c>
      <c r="G237" s="3"/>
      <c r="H237" s="3"/>
      <c r="I237" s="3"/>
      <c r="J237" s="3"/>
      <c r="K237" s="3"/>
      <c r="L237" s="3"/>
      <c r="M237" s="3"/>
    </row>
    <row r="238">
      <c r="A238" s="4" t="str">
        <f>IFERROR(__xludf.DUMMYFUNCTION("""COMPUTED_VALUE"""),"0104799326 / 252610134")</f>
        <v>0104799326 / 252610134</v>
      </c>
      <c r="B238" s="4" t="str">
        <f>IFERROR(__xludf.DUMMYFUNCTION("""COMPUTED_VALUE"""),"Chempaka Balqist Zavira Mentary Misman - P")</f>
        <v>Chempaka Balqist Zavira Mentary Misman - P</v>
      </c>
      <c r="C238" s="4" t="str">
        <f>IFERROR(__xludf.DUMMYFUNCTION("""COMPUTED_VALUE"""),"P")</f>
        <v>P</v>
      </c>
      <c r="D238" s="4">
        <f>IFERROR(__xludf.DUMMYFUNCTION("""COMPUTED_VALUE"""),33.0)</f>
        <v>33</v>
      </c>
      <c r="E238" s="4" t="str">
        <f>IFERROR(__xludf.DUMMYFUNCTION("""COMPUTED_VALUE"""),"X6")</f>
        <v>X6</v>
      </c>
      <c r="F238" s="5" t="str">
        <f>IFERROR(__xludf.DUMMYFUNCTION("""COMPUTED_VALUE"""),"33 - X6 - Chempaka Balqist Zavira Mentary Misman - P")</f>
        <v>33 - X6 - Chempaka Balqist Zavira Mentary Misman - P</v>
      </c>
      <c r="G238" s="3"/>
      <c r="H238" s="3"/>
      <c r="I238" s="3"/>
      <c r="J238" s="3"/>
      <c r="K238" s="3"/>
      <c r="L238" s="3"/>
      <c r="M238" s="3"/>
    </row>
    <row r="239">
      <c r="A239" s="4" t="str">
        <f>IFERROR(__xludf.DUMMYFUNCTION("""COMPUTED_VALUE"""),"0081552525 / 252610150")</f>
        <v>0081552525 / 252610150</v>
      </c>
      <c r="B239" s="4" t="str">
        <f>IFERROR(__xludf.DUMMYFUNCTION("""COMPUTED_VALUE"""),"Defrino Viernadi Laitnis Yusfa - L")</f>
        <v>Defrino Viernadi Laitnis Yusfa - L</v>
      </c>
      <c r="C239" s="4" t="str">
        <f>IFERROR(__xludf.DUMMYFUNCTION("""COMPUTED_VALUE"""),"L")</f>
        <v>L</v>
      </c>
      <c r="D239" s="4">
        <f>IFERROR(__xludf.DUMMYFUNCTION("""COMPUTED_VALUE"""),33.0)</f>
        <v>33</v>
      </c>
      <c r="E239" s="4" t="str">
        <f>IFERROR(__xludf.DUMMYFUNCTION("""COMPUTED_VALUE"""),"X6")</f>
        <v>X6</v>
      </c>
      <c r="F239" s="5" t="str">
        <f>IFERROR(__xludf.DUMMYFUNCTION("""COMPUTED_VALUE"""),"33 - X6 - Defrino Viernadi Laitnis Yusfa - L")</f>
        <v>33 - X6 - Defrino Viernadi Laitnis Yusfa - L</v>
      </c>
      <c r="G239" s="3"/>
      <c r="H239" s="3"/>
      <c r="I239" s="3"/>
      <c r="J239" s="3"/>
      <c r="K239" s="3"/>
      <c r="L239" s="3"/>
      <c r="M239" s="3"/>
    </row>
    <row r="240">
      <c r="A240" s="4" t="str">
        <f>IFERROR(__xludf.DUMMYFUNCTION("""COMPUTED_VALUE"""),"0099286083 / 252610157")</f>
        <v>0099286083 / 252610157</v>
      </c>
      <c r="B240" s="4" t="str">
        <f>IFERROR(__xludf.DUMMYFUNCTION("""COMPUTED_VALUE"""),"Dhia Salsabila - P")</f>
        <v>Dhia Salsabila - P</v>
      </c>
      <c r="C240" s="4" t="str">
        <f>IFERROR(__xludf.DUMMYFUNCTION("""COMPUTED_VALUE"""),"P")</f>
        <v>P</v>
      </c>
      <c r="D240" s="4">
        <f>IFERROR(__xludf.DUMMYFUNCTION("""COMPUTED_VALUE"""),33.0)</f>
        <v>33</v>
      </c>
      <c r="E240" s="4" t="str">
        <f>IFERROR(__xludf.DUMMYFUNCTION("""COMPUTED_VALUE"""),"X6")</f>
        <v>X6</v>
      </c>
      <c r="F240" s="5" t="str">
        <f>IFERROR(__xludf.DUMMYFUNCTION("""COMPUTED_VALUE"""),"33 - X6 - Dhia Salsabila - P")</f>
        <v>33 - X6 - Dhia Salsabila - P</v>
      </c>
      <c r="G240" s="3"/>
      <c r="H240" s="3"/>
      <c r="I240" s="3"/>
      <c r="J240" s="3"/>
      <c r="K240" s="3"/>
      <c r="L240" s="3"/>
      <c r="M240" s="3"/>
    </row>
    <row r="241">
      <c r="A241" s="4" t="str">
        <f>IFERROR(__xludf.DUMMYFUNCTION("""COMPUTED_VALUE"""),"0093451857 / 252610167")</f>
        <v>0093451857 / 252610167</v>
      </c>
      <c r="B241" s="4" t="str">
        <f>IFERROR(__xludf.DUMMYFUNCTION("""COMPUTED_VALUE"""),"Dinda Dyah Pitaloka - P")</f>
        <v>Dinda Dyah Pitaloka - P</v>
      </c>
      <c r="C241" s="4" t="str">
        <f>IFERROR(__xludf.DUMMYFUNCTION("""COMPUTED_VALUE"""),"P")</f>
        <v>P</v>
      </c>
      <c r="D241" s="4">
        <f>IFERROR(__xludf.DUMMYFUNCTION("""COMPUTED_VALUE"""),33.0)</f>
        <v>33</v>
      </c>
      <c r="E241" s="4" t="str">
        <f>IFERROR(__xludf.DUMMYFUNCTION("""COMPUTED_VALUE"""),"X6")</f>
        <v>X6</v>
      </c>
      <c r="F241" s="5" t="str">
        <f>IFERROR(__xludf.DUMMYFUNCTION("""COMPUTED_VALUE"""),"33 - X6 - Dinda Dyah Pitaloka - P")</f>
        <v>33 - X6 - Dinda Dyah Pitaloka - P</v>
      </c>
      <c r="G241" s="3"/>
      <c r="H241" s="3"/>
      <c r="I241" s="3"/>
      <c r="J241" s="3"/>
      <c r="K241" s="3"/>
      <c r="L241" s="3"/>
      <c r="M241" s="3"/>
    </row>
    <row r="242">
      <c r="A242" s="4" t="str">
        <f>IFERROR(__xludf.DUMMYFUNCTION("""COMPUTED_VALUE"""),"0074430959 / 252610172")</f>
        <v>0074430959 / 252610172</v>
      </c>
      <c r="B242" s="4" t="str">
        <f>IFERROR(__xludf.DUMMYFUNCTION("""COMPUTED_VALUE"""),"Dwi Irmawati - L")</f>
        <v>Dwi Irmawati - L</v>
      </c>
      <c r="C242" s="4" t="str">
        <f>IFERROR(__xludf.DUMMYFUNCTION("""COMPUTED_VALUE"""),"L")</f>
        <v>L</v>
      </c>
      <c r="D242" s="4">
        <f>IFERROR(__xludf.DUMMYFUNCTION("""COMPUTED_VALUE"""),33.0)</f>
        <v>33</v>
      </c>
      <c r="E242" s="4" t="str">
        <f>IFERROR(__xludf.DUMMYFUNCTION("""COMPUTED_VALUE"""),"X6")</f>
        <v>X6</v>
      </c>
      <c r="F242" s="5" t="str">
        <f>IFERROR(__xludf.DUMMYFUNCTION("""COMPUTED_VALUE"""),"33 - X6 - Dwi Irmawati - L")</f>
        <v>33 - X6 - Dwi Irmawati - L</v>
      </c>
      <c r="G242" s="3"/>
      <c r="H242" s="3"/>
      <c r="I242" s="3"/>
      <c r="J242" s="3"/>
      <c r="K242" s="3"/>
      <c r="L242" s="3"/>
      <c r="M242" s="3"/>
    </row>
    <row r="243">
      <c r="A243" s="4" t="str">
        <f>IFERROR(__xludf.DUMMYFUNCTION("""COMPUTED_VALUE"""),"0096744611 / 252610176")</f>
        <v>0096744611 / 252610176</v>
      </c>
      <c r="B243" s="4" t="str">
        <f>IFERROR(__xludf.DUMMYFUNCTION("""COMPUTED_VALUE"""),"Egi Surjana - L")</f>
        <v>Egi Surjana - L</v>
      </c>
      <c r="C243" s="4" t="str">
        <f>IFERROR(__xludf.DUMMYFUNCTION("""COMPUTED_VALUE"""),"L")</f>
        <v>L</v>
      </c>
      <c r="D243" s="4">
        <f>IFERROR(__xludf.DUMMYFUNCTION("""COMPUTED_VALUE"""),33.0)</f>
        <v>33</v>
      </c>
      <c r="E243" s="4" t="str">
        <f>IFERROR(__xludf.DUMMYFUNCTION("""COMPUTED_VALUE"""),"X6")</f>
        <v>X6</v>
      </c>
      <c r="F243" s="5" t="str">
        <f>IFERROR(__xludf.DUMMYFUNCTION("""COMPUTED_VALUE"""),"33 - X6 - Egi Surjana - L")</f>
        <v>33 - X6 - Egi Surjana - L</v>
      </c>
      <c r="G243" s="3"/>
      <c r="H243" s="3"/>
      <c r="I243" s="3"/>
      <c r="J243" s="3"/>
      <c r="K243" s="3"/>
      <c r="L243" s="3"/>
      <c r="M243" s="3"/>
    </row>
    <row r="244">
      <c r="A244" s="4" t="str">
        <f>IFERROR(__xludf.DUMMYFUNCTION("""COMPUTED_VALUE"""),"0091620147 / 252610189")</f>
        <v>0091620147 / 252610189</v>
      </c>
      <c r="B244" s="4" t="str">
        <f>IFERROR(__xludf.DUMMYFUNCTION("""COMPUTED_VALUE"""),"Faiha Raqilla Darmawan - P")</f>
        <v>Faiha Raqilla Darmawan - P</v>
      </c>
      <c r="C244" s="4" t="str">
        <f>IFERROR(__xludf.DUMMYFUNCTION("""COMPUTED_VALUE"""),"P")</f>
        <v>P</v>
      </c>
      <c r="D244" s="4">
        <f>IFERROR(__xludf.DUMMYFUNCTION("""COMPUTED_VALUE"""),33.0)</f>
        <v>33</v>
      </c>
      <c r="E244" s="4" t="str">
        <f>IFERROR(__xludf.DUMMYFUNCTION("""COMPUTED_VALUE"""),"X6")</f>
        <v>X6</v>
      </c>
      <c r="F244" s="5" t="str">
        <f>IFERROR(__xludf.DUMMYFUNCTION("""COMPUTED_VALUE"""),"33 - X6 - Faiha Raqilla Darmawan - P")</f>
        <v>33 - X6 - Faiha Raqilla Darmawan - P</v>
      </c>
      <c r="G244" s="3"/>
      <c r="H244" s="3"/>
      <c r="I244" s="3"/>
      <c r="J244" s="3"/>
      <c r="K244" s="3"/>
      <c r="L244" s="3"/>
      <c r="M244" s="3"/>
    </row>
    <row r="245">
      <c r="A245" s="4" t="str">
        <f>IFERROR(__xludf.DUMMYFUNCTION("""COMPUTED_VALUE"""),"0093286261 / 252610194")</f>
        <v>0093286261 / 252610194</v>
      </c>
      <c r="B245" s="4" t="str">
        <f>IFERROR(__xludf.DUMMYFUNCTION("""COMPUTED_VALUE"""),"Fanesya Agfrisfidia - P")</f>
        <v>Fanesya Agfrisfidia - P</v>
      </c>
      <c r="C245" s="4" t="str">
        <f>IFERROR(__xludf.DUMMYFUNCTION("""COMPUTED_VALUE"""),"P")</f>
        <v>P</v>
      </c>
      <c r="D245" s="4">
        <f>IFERROR(__xludf.DUMMYFUNCTION("""COMPUTED_VALUE"""),33.0)</f>
        <v>33</v>
      </c>
      <c r="E245" s="4" t="str">
        <f>IFERROR(__xludf.DUMMYFUNCTION("""COMPUTED_VALUE"""),"X6")</f>
        <v>X6</v>
      </c>
      <c r="F245" s="5" t="str">
        <f>IFERROR(__xludf.DUMMYFUNCTION("""COMPUTED_VALUE"""),"33 - X6 - Fanesya Agfrisfidia - P")</f>
        <v>33 - X6 - Fanesya Agfrisfidia - P</v>
      </c>
      <c r="G245" s="3"/>
      <c r="H245" s="3"/>
      <c r="I245" s="3"/>
      <c r="J245" s="3"/>
      <c r="K245" s="3"/>
      <c r="L245" s="3"/>
      <c r="M245" s="3"/>
    </row>
    <row r="246">
      <c r="A246" s="4" t="str">
        <f>IFERROR(__xludf.DUMMYFUNCTION("""COMPUTED_VALUE"""),"0092383688 / 252610195")</f>
        <v>0092383688 / 252610195</v>
      </c>
      <c r="B246" s="4" t="str">
        <f>IFERROR(__xludf.DUMMYFUNCTION("""COMPUTED_VALUE"""),"Fanisa Nurkamila Hamdani - P")</f>
        <v>Fanisa Nurkamila Hamdani - P</v>
      </c>
      <c r="C246" s="4" t="str">
        <f>IFERROR(__xludf.DUMMYFUNCTION("""COMPUTED_VALUE"""),"P")</f>
        <v>P</v>
      </c>
      <c r="D246" s="4">
        <f>IFERROR(__xludf.DUMMYFUNCTION("""COMPUTED_VALUE"""),33.0)</f>
        <v>33</v>
      </c>
      <c r="E246" s="4" t="str">
        <f>IFERROR(__xludf.DUMMYFUNCTION("""COMPUTED_VALUE"""),"X6")</f>
        <v>X6</v>
      </c>
      <c r="F246" s="5" t="str">
        <f>IFERROR(__xludf.DUMMYFUNCTION("""COMPUTED_VALUE"""),"33 - X6 - Fanisa Nurkamila Hamdani - P")</f>
        <v>33 - X6 - Fanisa Nurkamila Hamdani - P</v>
      </c>
      <c r="G246" s="3"/>
      <c r="H246" s="3"/>
      <c r="I246" s="3"/>
      <c r="J246" s="3"/>
      <c r="K246" s="3"/>
      <c r="L246" s="3"/>
      <c r="M246" s="3"/>
    </row>
    <row r="247">
      <c r="A247" s="4" t="str">
        <f>IFERROR(__xludf.DUMMYFUNCTION("""COMPUTED_VALUE"""),"0096185979 / 252610198")</f>
        <v>0096185979 / 252610198</v>
      </c>
      <c r="B247" s="4" t="str">
        <f>IFERROR(__xludf.DUMMYFUNCTION("""COMPUTED_VALUE"""),"Farhan Benzema - L")</f>
        <v>Farhan Benzema - L</v>
      </c>
      <c r="C247" s="4" t="str">
        <f>IFERROR(__xludf.DUMMYFUNCTION("""COMPUTED_VALUE"""),"L")</f>
        <v>L</v>
      </c>
      <c r="D247" s="4">
        <f>IFERROR(__xludf.DUMMYFUNCTION("""COMPUTED_VALUE"""),33.0)</f>
        <v>33</v>
      </c>
      <c r="E247" s="4" t="str">
        <f>IFERROR(__xludf.DUMMYFUNCTION("""COMPUTED_VALUE"""),"X6")</f>
        <v>X6</v>
      </c>
      <c r="F247" s="5" t="str">
        <f>IFERROR(__xludf.DUMMYFUNCTION("""COMPUTED_VALUE"""),"33 - X6 - Farhan Benzema - L")</f>
        <v>33 - X6 - Farhan Benzema - L</v>
      </c>
      <c r="G247" s="3"/>
      <c r="H247" s="3"/>
      <c r="I247" s="3"/>
      <c r="J247" s="3"/>
      <c r="K247" s="3"/>
      <c r="L247" s="3"/>
      <c r="M247" s="3"/>
    </row>
    <row r="248">
      <c r="A248" s="4" t="str">
        <f>IFERROR(__xludf.DUMMYFUNCTION("""COMPUTED_VALUE"""),"0094160236 / 252610209")</f>
        <v>0094160236 / 252610209</v>
      </c>
      <c r="B248" s="4" t="str">
        <f>IFERROR(__xludf.DUMMYFUNCTION("""COMPUTED_VALUE"""),"Fauzi Castle Satara - P")</f>
        <v>Fauzi Castle Satara - P</v>
      </c>
      <c r="C248" s="4" t="str">
        <f>IFERROR(__xludf.DUMMYFUNCTION("""COMPUTED_VALUE"""),"P")</f>
        <v>P</v>
      </c>
      <c r="D248" s="4">
        <f>IFERROR(__xludf.DUMMYFUNCTION("""COMPUTED_VALUE"""),33.0)</f>
        <v>33</v>
      </c>
      <c r="E248" s="4" t="str">
        <f>IFERROR(__xludf.DUMMYFUNCTION("""COMPUTED_VALUE"""),"X6")</f>
        <v>X6</v>
      </c>
      <c r="F248" s="5" t="str">
        <f>IFERROR(__xludf.DUMMYFUNCTION("""COMPUTED_VALUE"""),"33 - X6 - Fauzi Castle Satara - P")</f>
        <v>33 - X6 - Fauzi Castle Satara - P</v>
      </c>
      <c r="G248" s="3"/>
      <c r="H248" s="3"/>
      <c r="I248" s="3"/>
      <c r="J248" s="3"/>
      <c r="K248" s="3"/>
      <c r="L248" s="3"/>
      <c r="M248" s="3"/>
    </row>
    <row r="249">
      <c r="A249" s="4" t="str">
        <f>IFERROR(__xludf.DUMMYFUNCTION("""COMPUTED_VALUE"""),"0101705316 / 252610210")</f>
        <v>0101705316 / 252610210</v>
      </c>
      <c r="B249" s="4" t="str">
        <f>IFERROR(__xludf.DUMMYFUNCTION("""COMPUTED_VALUE"""),"Febri Afriani - P")</f>
        <v>Febri Afriani - P</v>
      </c>
      <c r="C249" s="4" t="str">
        <f>IFERROR(__xludf.DUMMYFUNCTION("""COMPUTED_VALUE"""),"P")</f>
        <v>P</v>
      </c>
      <c r="D249" s="4">
        <f>IFERROR(__xludf.DUMMYFUNCTION("""COMPUTED_VALUE"""),33.0)</f>
        <v>33</v>
      </c>
      <c r="E249" s="4" t="str">
        <f>IFERROR(__xludf.DUMMYFUNCTION("""COMPUTED_VALUE"""),"X6")</f>
        <v>X6</v>
      </c>
      <c r="F249" s="5" t="str">
        <f>IFERROR(__xludf.DUMMYFUNCTION("""COMPUTED_VALUE"""),"33 - X6 - Febri Afriani - P")</f>
        <v>33 - X6 - Febri Afriani - P</v>
      </c>
      <c r="G249" s="3"/>
      <c r="H249" s="3"/>
      <c r="I249" s="3"/>
      <c r="J249" s="3"/>
      <c r="K249" s="3"/>
      <c r="L249" s="3"/>
      <c r="M249" s="3"/>
    </row>
    <row r="250">
      <c r="A250" s="4" t="str">
        <f>IFERROR(__xludf.DUMMYFUNCTION("""COMPUTED_VALUE"""),"3090346201 / 252610214")</f>
        <v>3090346201 / 252610214</v>
      </c>
      <c r="B250" s="4" t="str">
        <f>IFERROR(__xludf.DUMMYFUNCTION("""COMPUTED_VALUE"""),"Freja Aira Anindhita - P")</f>
        <v>Freja Aira Anindhita - P</v>
      </c>
      <c r="C250" s="4" t="str">
        <f>IFERROR(__xludf.DUMMYFUNCTION("""COMPUTED_VALUE"""),"P")</f>
        <v>P</v>
      </c>
      <c r="D250" s="4">
        <f>IFERROR(__xludf.DUMMYFUNCTION("""COMPUTED_VALUE"""),33.0)</f>
        <v>33</v>
      </c>
      <c r="E250" s="4" t="str">
        <f>IFERROR(__xludf.DUMMYFUNCTION("""COMPUTED_VALUE"""),"X6")</f>
        <v>X6</v>
      </c>
      <c r="F250" s="5" t="str">
        <f>IFERROR(__xludf.DUMMYFUNCTION("""COMPUTED_VALUE"""),"33 - X6 - Freja Aira Anindhita - P")</f>
        <v>33 - X6 - Freja Aira Anindhita - P</v>
      </c>
      <c r="G250" s="3"/>
      <c r="H250" s="3"/>
      <c r="I250" s="3"/>
      <c r="J250" s="3"/>
      <c r="K250" s="3"/>
      <c r="L250" s="3"/>
      <c r="M250" s="3"/>
    </row>
    <row r="251">
      <c r="A251" s="4" t="str">
        <f>IFERROR(__xludf.DUMMYFUNCTION("""COMPUTED_VALUE"""),"0107948623 / 252610227")</f>
        <v>0107948623 / 252610227</v>
      </c>
      <c r="B251" s="4" t="str">
        <f>IFERROR(__xludf.DUMMYFUNCTION("""COMPUTED_VALUE"""),"Hasfa Zulfana Nahdah - P")</f>
        <v>Hasfa Zulfana Nahdah - P</v>
      </c>
      <c r="C251" s="4" t="str">
        <f>IFERROR(__xludf.DUMMYFUNCTION("""COMPUTED_VALUE"""),"P")</f>
        <v>P</v>
      </c>
      <c r="D251" s="4">
        <f>IFERROR(__xludf.DUMMYFUNCTION("""COMPUTED_VALUE"""),33.0)</f>
        <v>33</v>
      </c>
      <c r="E251" s="4" t="str">
        <f>IFERROR(__xludf.DUMMYFUNCTION("""COMPUTED_VALUE"""),"X6")</f>
        <v>X6</v>
      </c>
      <c r="F251" s="5" t="str">
        <f>IFERROR(__xludf.DUMMYFUNCTION("""COMPUTED_VALUE"""),"33 - X6 - Hasfa Zulfana Nahdah - P")</f>
        <v>33 - X6 - Hasfa Zulfana Nahdah - P</v>
      </c>
      <c r="G251" s="3"/>
      <c r="H251" s="3"/>
      <c r="I251" s="3"/>
      <c r="J251" s="3"/>
      <c r="K251" s="3"/>
      <c r="L251" s="3"/>
      <c r="M251" s="3"/>
    </row>
    <row r="252">
      <c r="A252" s="4" t="str">
        <f>IFERROR(__xludf.DUMMYFUNCTION("""COMPUTED_VALUE"""),"0105199862 / 252610249")</f>
        <v>0105199862 / 252610249</v>
      </c>
      <c r="B252" s="4" t="str">
        <f>IFERROR(__xludf.DUMMYFUNCTION("""COMPUTED_VALUE"""),"Joceline Sisca Lumongga Manurung - P")</f>
        <v>Joceline Sisca Lumongga Manurung - P</v>
      </c>
      <c r="C252" s="4" t="str">
        <f>IFERROR(__xludf.DUMMYFUNCTION("""COMPUTED_VALUE"""),"P")</f>
        <v>P</v>
      </c>
      <c r="D252" s="4">
        <f>IFERROR(__xludf.DUMMYFUNCTION("""COMPUTED_VALUE"""),33.0)</f>
        <v>33</v>
      </c>
      <c r="E252" s="4" t="str">
        <f>IFERROR(__xludf.DUMMYFUNCTION("""COMPUTED_VALUE"""),"X6")</f>
        <v>X6</v>
      </c>
      <c r="F252" s="5" t="str">
        <f>IFERROR(__xludf.DUMMYFUNCTION("""COMPUTED_VALUE"""),"33 - X6 - Joceline Sisca Lumongga Manurung - P")</f>
        <v>33 - X6 - Joceline Sisca Lumongga Manurung - P</v>
      </c>
      <c r="G252" s="3"/>
      <c r="H252" s="3"/>
      <c r="I252" s="3"/>
      <c r="J252" s="3"/>
      <c r="K252" s="3"/>
      <c r="L252" s="3"/>
      <c r="M252" s="3"/>
    </row>
    <row r="253">
      <c r="A253" s="4" t="str">
        <f>IFERROR(__xludf.DUMMYFUNCTION("""COMPUTED_VALUE"""),"0099375007 / 252610273")</f>
        <v>0099375007 / 252610273</v>
      </c>
      <c r="B253" s="4" t="str">
        <f>IFERROR(__xludf.DUMMYFUNCTION("""COMPUTED_VALUE"""),"Keyla Putri Saksono - P")</f>
        <v>Keyla Putri Saksono - P</v>
      </c>
      <c r="C253" s="4" t="str">
        <f>IFERROR(__xludf.DUMMYFUNCTION("""COMPUTED_VALUE"""),"P")</f>
        <v>P</v>
      </c>
      <c r="D253" s="4">
        <f>IFERROR(__xludf.DUMMYFUNCTION("""COMPUTED_VALUE"""),33.0)</f>
        <v>33</v>
      </c>
      <c r="E253" s="4" t="str">
        <f>IFERROR(__xludf.DUMMYFUNCTION("""COMPUTED_VALUE"""),"X6")</f>
        <v>X6</v>
      </c>
      <c r="F253" s="5" t="str">
        <f>IFERROR(__xludf.DUMMYFUNCTION("""COMPUTED_VALUE"""),"33 - X6 - Keyla Putri Saksono - P")</f>
        <v>33 - X6 - Keyla Putri Saksono - P</v>
      </c>
      <c r="G253" s="3"/>
      <c r="H253" s="3"/>
      <c r="I253" s="3"/>
      <c r="J253" s="3"/>
      <c r="K253" s="3"/>
      <c r="L253" s="3"/>
      <c r="M253" s="3"/>
    </row>
    <row r="254">
      <c r="A254" s="4" t="str">
        <f>IFERROR(__xludf.DUMMYFUNCTION("""COMPUTED_VALUE"""),"0109221606 / 252610279")</f>
        <v>0109221606 / 252610279</v>
      </c>
      <c r="B254" s="4" t="str">
        <f>IFERROR(__xludf.DUMMYFUNCTION("""COMPUTED_VALUE"""),"Khalisa Silmi Jovita Warsito - P")</f>
        <v>Khalisa Silmi Jovita Warsito - P</v>
      </c>
      <c r="C254" s="4" t="str">
        <f>IFERROR(__xludf.DUMMYFUNCTION("""COMPUTED_VALUE"""),"P")</f>
        <v>P</v>
      </c>
      <c r="D254" s="4">
        <f>IFERROR(__xludf.DUMMYFUNCTION("""COMPUTED_VALUE"""),33.0)</f>
        <v>33</v>
      </c>
      <c r="E254" s="4" t="str">
        <f>IFERROR(__xludf.DUMMYFUNCTION("""COMPUTED_VALUE"""),"X6")</f>
        <v>X6</v>
      </c>
      <c r="F254" s="5" t="str">
        <f>IFERROR(__xludf.DUMMYFUNCTION("""COMPUTED_VALUE"""),"33 - X6 - Khalisa Silmi Jovita Warsito - P")</f>
        <v>33 - X6 - Khalisa Silmi Jovita Warsito - P</v>
      </c>
      <c r="G254" s="3"/>
      <c r="H254" s="3"/>
      <c r="I254" s="3"/>
      <c r="J254" s="3"/>
      <c r="K254" s="3"/>
      <c r="L254" s="3"/>
      <c r="M254" s="3"/>
    </row>
    <row r="255">
      <c r="A255" s="4" t="str">
        <f>IFERROR(__xludf.DUMMYFUNCTION("""COMPUTED_VALUE"""),"0094583694 / 252610285")</f>
        <v>0094583694 / 252610285</v>
      </c>
      <c r="B255" s="4" t="str">
        <f>IFERROR(__xludf.DUMMYFUNCTION("""COMPUTED_VALUE"""),"Kharisma Zahra Tiara Putri - P")</f>
        <v>Kharisma Zahra Tiara Putri - P</v>
      </c>
      <c r="C255" s="4" t="str">
        <f>IFERROR(__xludf.DUMMYFUNCTION("""COMPUTED_VALUE"""),"P")</f>
        <v>P</v>
      </c>
      <c r="D255" s="4">
        <f>IFERROR(__xludf.DUMMYFUNCTION("""COMPUTED_VALUE"""),33.0)</f>
        <v>33</v>
      </c>
      <c r="E255" s="4" t="str">
        <f>IFERROR(__xludf.DUMMYFUNCTION("""COMPUTED_VALUE"""),"X6")</f>
        <v>X6</v>
      </c>
      <c r="F255" s="5" t="str">
        <f>IFERROR(__xludf.DUMMYFUNCTION("""COMPUTED_VALUE"""),"33 - X6 - Kharisma Zahra Tiara Putri - P")</f>
        <v>33 - X6 - Kharisma Zahra Tiara Putri - P</v>
      </c>
      <c r="G255" s="3"/>
      <c r="H255" s="3"/>
      <c r="I255" s="3"/>
      <c r="J255" s="3"/>
      <c r="K255" s="3"/>
      <c r="L255" s="3"/>
      <c r="M255" s="3"/>
    </row>
    <row r="256">
      <c r="A256" s="4" t="str">
        <f>IFERROR(__xludf.DUMMYFUNCTION("""COMPUTED_VALUE"""),"0109522386 / 252610308")</f>
        <v>0109522386 / 252610308</v>
      </c>
      <c r="B256" s="4" t="str">
        <f>IFERROR(__xludf.DUMMYFUNCTION("""COMPUTED_VALUE"""),"Mawar Aprilliana - P")</f>
        <v>Mawar Aprilliana - P</v>
      </c>
      <c r="C256" s="4" t="str">
        <f>IFERROR(__xludf.DUMMYFUNCTION("""COMPUTED_VALUE"""),"P")</f>
        <v>P</v>
      </c>
      <c r="D256" s="4">
        <f>IFERROR(__xludf.DUMMYFUNCTION("""COMPUTED_VALUE"""),33.0)</f>
        <v>33</v>
      </c>
      <c r="E256" s="4" t="str">
        <f>IFERROR(__xludf.DUMMYFUNCTION("""COMPUTED_VALUE"""),"X6")</f>
        <v>X6</v>
      </c>
      <c r="F256" s="5" t="str">
        <f>IFERROR(__xludf.DUMMYFUNCTION("""COMPUTED_VALUE"""),"33 - X6 - Mawar Aprilliana - P")</f>
        <v>33 - X6 - Mawar Aprilliana - P</v>
      </c>
      <c r="G256" s="3"/>
      <c r="H256" s="3"/>
      <c r="I256" s="3"/>
      <c r="J256" s="3"/>
      <c r="K256" s="3"/>
      <c r="L256" s="3"/>
      <c r="M256" s="3"/>
    </row>
    <row r="257">
      <c r="A257" s="4" t="str">
        <f>IFERROR(__xludf.DUMMYFUNCTION("""COMPUTED_VALUE"""),"0095079380 / 252610312")</f>
        <v>0095079380 / 252610312</v>
      </c>
      <c r="B257" s="4" t="str">
        <f>IFERROR(__xludf.DUMMYFUNCTION("""COMPUTED_VALUE"""),"Mentari Dwi Anggraeni - P")</f>
        <v>Mentari Dwi Anggraeni - P</v>
      </c>
      <c r="C257" s="4" t="str">
        <f>IFERROR(__xludf.DUMMYFUNCTION("""COMPUTED_VALUE"""),"P")</f>
        <v>P</v>
      </c>
      <c r="D257" s="4">
        <f>IFERROR(__xludf.DUMMYFUNCTION("""COMPUTED_VALUE"""),33.0)</f>
        <v>33</v>
      </c>
      <c r="E257" s="4" t="str">
        <f>IFERROR(__xludf.DUMMYFUNCTION("""COMPUTED_VALUE"""),"X6")</f>
        <v>X6</v>
      </c>
      <c r="F257" s="5" t="str">
        <f>IFERROR(__xludf.DUMMYFUNCTION("""COMPUTED_VALUE"""),"33 - X6 - Mentari Dwi Anggraeni - P")</f>
        <v>33 - X6 - Mentari Dwi Anggraeni - P</v>
      </c>
      <c r="G257" s="3"/>
      <c r="H257" s="3"/>
      <c r="I257" s="3"/>
      <c r="J257" s="3"/>
      <c r="K257" s="3"/>
      <c r="L257" s="3"/>
      <c r="M257" s="3"/>
    </row>
    <row r="258">
      <c r="A258" s="4" t="str">
        <f>IFERROR(__xludf.DUMMYFUNCTION("""COMPUTED_VALUE"""),"0098849299 / 252610342")</f>
        <v>0098849299 / 252610342</v>
      </c>
      <c r="B258" s="4" t="str">
        <f>IFERROR(__xludf.DUMMYFUNCTION("""COMPUTED_VALUE"""),"Muhammad Azzam Ananda Fatahilah - L")</f>
        <v>Muhammad Azzam Ananda Fatahilah - L</v>
      </c>
      <c r="C258" s="4" t="str">
        <f>IFERROR(__xludf.DUMMYFUNCTION("""COMPUTED_VALUE"""),"L")</f>
        <v>L</v>
      </c>
      <c r="D258" s="4">
        <f>IFERROR(__xludf.DUMMYFUNCTION("""COMPUTED_VALUE"""),33.0)</f>
        <v>33</v>
      </c>
      <c r="E258" s="4" t="str">
        <f>IFERROR(__xludf.DUMMYFUNCTION("""COMPUTED_VALUE"""),"X6")</f>
        <v>X6</v>
      </c>
      <c r="F258" s="5" t="str">
        <f>IFERROR(__xludf.DUMMYFUNCTION("""COMPUTED_VALUE"""),"33 - X6 - Muhammad Azzam Ananda Fatahilah - L")</f>
        <v>33 - X6 - Muhammad Azzam Ananda Fatahilah - L</v>
      </c>
      <c r="G258" s="3"/>
      <c r="H258" s="3"/>
      <c r="I258" s="3"/>
      <c r="J258" s="3"/>
      <c r="K258" s="3"/>
      <c r="L258" s="3"/>
      <c r="M258" s="3"/>
    </row>
    <row r="259">
      <c r="A259" s="4" t="str">
        <f>IFERROR(__xludf.DUMMYFUNCTION("""COMPUTED_VALUE"""),"0108710844 / 252610355")</f>
        <v>0108710844 / 252610355</v>
      </c>
      <c r="B259" s="4" t="str">
        <f>IFERROR(__xludf.DUMMYFUNCTION("""COMPUTED_VALUE"""),"Muhammad Hafizh Arrantisi - L")</f>
        <v>Muhammad Hafizh Arrantisi - L</v>
      </c>
      <c r="C259" s="4" t="str">
        <f>IFERROR(__xludf.DUMMYFUNCTION("""COMPUTED_VALUE"""),"L")</f>
        <v>L</v>
      </c>
      <c r="D259" s="4">
        <f>IFERROR(__xludf.DUMMYFUNCTION("""COMPUTED_VALUE"""),33.0)</f>
        <v>33</v>
      </c>
      <c r="E259" s="4" t="str">
        <f>IFERROR(__xludf.DUMMYFUNCTION("""COMPUTED_VALUE"""),"X6")</f>
        <v>X6</v>
      </c>
      <c r="F259" s="5" t="str">
        <f>IFERROR(__xludf.DUMMYFUNCTION("""COMPUTED_VALUE"""),"33 - X6 - Muhammad Hafizh Arrantisi - L")</f>
        <v>33 - X6 - Muhammad Hafizh Arrantisi - L</v>
      </c>
      <c r="G259" s="3"/>
      <c r="H259" s="3"/>
      <c r="I259" s="3"/>
      <c r="J259" s="3"/>
      <c r="K259" s="3"/>
      <c r="L259" s="3"/>
      <c r="M259" s="3"/>
    </row>
    <row r="260">
      <c r="A260" s="4" t="str">
        <f>IFERROR(__xludf.DUMMYFUNCTION("""COMPUTED_VALUE"""),"0103242050 / 252610360")</f>
        <v>0103242050 / 252610360</v>
      </c>
      <c r="B260" s="4" t="str">
        <f>IFERROR(__xludf.DUMMYFUNCTION("""COMPUTED_VALUE"""),"Muhammad Musyaffa Latief - L")</f>
        <v>Muhammad Musyaffa Latief - L</v>
      </c>
      <c r="C260" s="4" t="str">
        <f>IFERROR(__xludf.DUMMYFUNCTION("""COMPUTED_VALUE"""),"L")</f>
        <v>L</v>
      </c>
      <c r="D260" s="4">
        <f>IFERROR(__xludf.DUMMYFUNCTION("""COMPUTED_VALUE"""),33.0)</f>
        <v>33</v>
      </c>
      <c r="E260" s="4" t="str">
        <f>IFERROR(__xludf.DUMMYFUNCTION("""COMPUTED_VALUE"""),"X6")</f>
        <v>X6</v>
      </c>
      <c r="F260" s="5" t="str">
        <f>IFERROR(__xludf.DUMMYFUNCTION("""COMPUTED_VALUE"""),"33 - X6 - Muhammad Musyaffa Latief - L")</f>
        <v>33 - X6 - Muhammad Musyaffa Latief - L</v>
      </c>
      <c r="G260" s="3"/>
      <c r="H260" s="3"/>
      <c r="I260" s="3"/>
      <c r="J260" s="3"/>
      <c r="K260" s="3"/>
      <c r="L260" s="3"/>
      <c r="M260" s="3"/>
    </row>
    <row r="261">
      <c r="A261" s="4" t="str">
        <f>IFERROR(__xludf.DUMMYFUNCTION("""COMPUTED_VALUE"""),"0095549480 / 252610394")</f>
        <v>0095549480 / 252610394</v>
      </c>
      <c r="B261" s="4" t="str">
        <f>IFERROR(__xludf.DUMMYFUNCTION("""COMPUTED_VALUE"""),"Najwa Citra Lestari - P")</f>
        <v>Najwa Citra Lestari - P</v>
      </c>
      <c r="C261" s="4" t="str">
        <f>IFERROR(__xludf.DUMMYFUNCTION("""COMPUTED_VALUE"""),"P")</f>
        <v>P</v>
      </c>
      <c r="D261" s="4">
        <f>IFERROR(__xludf.DUMMYFUNCTION("""COMPUTED_VALUE"""),33.0)</f>
        <v>33</v>
      </c>
      <c r="E261" s="4" t="str">
        <f>IFERROR(__xludf.DUMMYFUNCTION("""COMPUTED_VALUE"""),"X6")</f>
        <v>X6</v>
      </c>
      <c r="F261" s="5" t="str">
        <f>IFERROR(__xludf.DUMMYFUNCTION("""COMPUTED_VALUE"""),"33 - X6 - Najwa Citra Lestari - P")</f>
        <v>33 - X6 - Najwa Citra Lestari - P</v>
      </c>
      <c r="G261" s="3"/>
      <c r="H261" s="3"/>
      <c r="I261" s="3"/>
      <c r="J261" s="3"/>
      <c r="K261" s="3"/>
      <c r="L261" s="3"/>
      <c r="M261" s="3"/>
    </row>
    <row r="262">
      <c r="A262" s="4" t="str">
        <f>IFERROR(__xludf.DUMMYFUNCTION("""COMPUTED_VALUE"""),"0108065698 / 252610410")</f>
        <v>0108065698 / 252610410</v>
      </c>
      <c r="B262" s="4" t="str">
        <f>IFERROR(__xludf.DUMMYFUNCTION("""COMPUTED_VALUE"""),"Nayra Putri Sagita - P")</f>
        <v>Nayra Putri Sagita - P</v>
      </c>
      <c r="C262" s="4" t="str">
        <f>IFERROR(__xludf.DUMMYFUNCTION("""COMPUTED_VALUE"""),"P")</f>
        <v>P</v>
      </c>
      <c r="D262" s="4">
        <f>IFERROR(__xludf.DUMMYFUNCTION("""COMPUTED_VALUE"""),33.0)</f>
        <v>33</v>
      </c>
      <c r="E262" s="4" t="str">
        <f>IFERROR(__xludf.DUMMYFUNCTION("""COMPUTED_VALUE"""),"X6")</f>
        <v>X6</v>
      </c>
      <c r="F262" s="5" t="str">
        <f>IFERROR(__xludf.DUMMYFUNCTION("""COMPUTED_VALUE"""),"33 - X6 - Nayra Putri Sagita - P")</f>
        <v>33 - X6 - Nayra Putri Sagita - P</v>
      </c>
      <c r="G262" s="3"/>
      <c r="H262" s="3"/>
      <c r="I262" s="3"/>
      <c r="J262" s="3"/>
      <c r="K262" s="3"/>
      <c r="L262" s="3"/>
      <c r="M262" s="3"/>
    </row>
    <row r="263">
      <c r="A263" s="4" t="str">
        <f>IFERROR(__xludf.DUMMYFUNCTION("""COMPUTED_VALUE"""),"0106380486 / 252610442")</f>
        <v>0106380486 / 252610442</v>
      </c>
      <c r="B263" s="4" t="str">
        <f>IFERROR(__xludf.DUMMYFUNCTION("""COMPUTED_VALUE"""),"Queensha Amiradana Putri Hamka - P")</f>
        <v>Queensha Amiradana Putri Hamka - P</v>
      </c>
      <c r="C263" s="4" t="str">
        <f>IFERROR(__xludf.DUMMYFUNCTION("""COMPUTED_VALUE"""),"P")</f>
        <v>P</v>
      </c>
      <c r="D263" s="4">
        <f>IFERROR(__xludf.DUMMYFUNCTION("""COMPUTED_VALUE"""),33.0)</f>
        <v>33</v>
      </c>
      <c r="E263" s="4" t="str">
        <f>IFERROR(__xludf.DUMMYFUNCTION("""COMPUTED_VALUE"""),"X6")</f>
        <v>X6</v>
      </c>
      <c r="F263" s="5" t="str">
        <f>IFERROR(__xludf.DUMMYFUNCTION("""COMPUTED_VALUE"""),"33 - X6 - Queensha Amiradana Putri Hamka - P")</f>
        <v>33 - X6 - Queensha Amiradana Putri Hamka - P</v>
      </c>
      <c r="G263" s="3"/>
      <c r="H263" s="3"/>
      <c r="I263" s="3"/>
      <c r="J263" s="3"/>
      <c r="K263" s="3"/>
      <c r="L263" s="3"/>
      <c r="M263" s="3"/>
    </row>
    <row r="264">
      <c r="A264" s="4" t="str">
        <f>IFERROR(__xludf.DUMMYFUNCTION("""COMPUTED_VALUE"""),"0101582567 / 252610446")</f>
        <v>0101582567 / 252610446</v>
      </c>
      <c r="B264" s="4" t="str">
        <f>IFERROR(__xludf.DUMMYFUNCTION("""COMPUTED_VALUE"""),"Quinsha Rizkya Irawan - P")</f>
        <v>Quinsha Rizkya Irawan - P</v>
      </c>
      <c r="C264" s="4" t="str">
        <f>IFERROR(__xludf.DUMMYFUNCTION("""COMPUTED_VALUE"""),"P")</f>
        <v>P</v>
      </c>
      <c r="D264" s="4">
        <f>IFERROR(__xludf.DUMMYFUNCTION("""COMPUTED_VALUE"""),33.0)</f>
        <v>33</v>
      </c>
      <c r="E264" s="4" t="str">
        <f>IFERROR(__xludf.DUMMYFUNCTION("""COMPUTED_VALUE"""),"X6")</f>
        <v>X6</v>
      </c>
      <c r="F264" s="5" t="str">
        <f>IFERROR(__xludf.DUMMYFUNCTION("""COMPUTED_VALUE"""),"33 - X6 - Quinsha Rizkya Irawan - P")</f>
        <v>33 - X6 - Quinsha Rizkya Irawan - P</v>
      </c>
      <c r="G264" s="3"/>
      <c r="H264" s="3"/>
      <c r="I264" s="3"/>
      <c r="J264" s="3"/>
      <c r="K264" s="3"/>
      <c r="L264" s="3"/>
      <c r="M264" s="3"/>
    </row>
    <row r="265">
      <c r="A265" s="4" t="str">
        <f>IFERROR(__xludf.DUMMYFUNCTION("""COMPUTED_VALUE"""),"0092020564 / 252610449")</f>
        <v>0092020564 / 252610449</v>
      </c>
      <c r="B265" s="4" t="str">
        <f>IFERROR(__xludf.DUMMYFUNCTION("""COMPUTED_VALUE"""),"Raasyid Zhariif Santoso - L")</f>
        <v>Raasyid Zhariif Santoso - L</v>
      </c>
      <c r="C265" s="4" t="str">
        <f>IFERROR(__xludf.DUMMYFUNCTION("""COMPUTED_VALUE"""),"L")</f>
        <v>L</v>
      </c>
      <c r="D265" s="4">
        <f>IFERROR(__xludf.DUMMYFUNCTION("""COMPUTED_VALUE"""),33.0)</f>
        <v>33</v>
      </c>
      <c r="E265" s="4" t="str">
        <f>IFERROR(__xludf.DUMMYFUNCTION("""COMPUTED_VALUE"""),"X6")</f>
        <v>X6</v>
      </c>
      <c r="F265" s="5" t="str">
        <f>IFERROR(__xludf.DUMMYFUNCTION("""COMPUTED_VALUE"""),"33 - X6 - Raasyid Zhariif Santoso - L")</f>
        <v>33 - X6 - Raasyid Zhariif Santoso - L</v>
      </c>
      <c r="G265" s="3"/>
      <c r="H265" s="3"/>
      <c r="I265" s="3"/>
      <c r="J265" s="3"/>
      <c r="K265" s="3"/>
      <c r="L265" s="3"/>
      <c r="M265" s="3"/>
    </row>
    <row r="266">
      <c r="A266" s="4" t="str">
        <f>IFERROR(__xludf.DUMMYFUNCTION("""COMPUTED_VALUE"""),"0107445789 / 252610456")</f>
        <v>0107445789 / 252610456</v>
      </c>
      <c r="B266" s="4" t="str">
        <f>IFERROR(__xludf.DUMMYFUNCTION("""COMPUTED_VALUE"""),"Raditya Rafa Abdillah - L")</f>
        <v>Raditya Rafa Abdillah - L</v>
      </c>
      <c r="C266" s="4" t="str">
        <f>IFERROR(__xludf.DUMMYFUNCTION("""COMPUTED_VALUE"""),"L")</f>
        <v>L</v>
      </c>
      <c r="D266" s="4">
        <f>IFERROR(__xludf.DUMMYFUNCTION("""COMPUTED_VALUE"""),33.0)</f>
        <v>33</v>
      </c>
      <c r="E266" s="4" t="str">
        <f>IFERROR(__xludf.DUMMYFUNCTION("""COMPUTED_VALUE"""),"X6")</f>
        <v>X6</v>
      </c>
      <c r="F266" s="5" t="str">
        <f>IFERROR(__xludf.DUMMYFUNCTION("""COMPUTED_VALUE"""),"33 - X6 - Raditya Rafa Abdillah - L")</f>
        <v>33 - X6 - Raditya Rafa Abdillah - L</v>
      </c>
      <c r="G266" s="3"/>
      <c r="H266" s="3"/>
      <c r="I266" s="3"/>
      <c r="J266" s="3"/>
      <c r="K266" s="3"/>
      <c r="L266" s="3"/>
      <c r="M266" s="3"/>
    </row>
    <row r="267">
      <c r="A267" s="4" t="str">
        <f>IFERROR(__xludf.DUMMYFUNCTION("""COMPUTED_VALUE"""),"0094690365 / 252610478")</f>
        <v>0094690365 / 252610478</v>
      </c>
      <c r="B267" s="4" t="str">
        <f>IFERROR(__xludf.DUMMYFUNCTION("""COMPUTED_VALUE"""),"Raynar Abiyu Diera - L")</f>
        <v>Raynar Abiyu Diera - L</v>
      </c>
      <c r="C267" s="4" t="str">
        <f>IFERROR(__xludf.DUMMYFUNCTION("""COMPUTED_VALUE"""),"L")</f>
        <v>L</v>
      </c>
      <c r="D267" s="4">
        <f>IFERROR(__xludf.DUMMYFUNCTION("""COMPUTED_VALUE"""),33.0)</f>
        <v>33</v>
      </c>
      <c r="E267" s="4" t="str">
        <f>IFERROR(__xludf.DUMMYFUNCTION("""COMPUTED_VALUE"""),"X6")</f>
        <v>X6</v>
      </c>
      <c r="F267" s="5" t="str">
        <f>IFERROR(__xludf.DUMMYFUNCTION("""COMPUTED_VALUE"""),"33 - X6 - Raynar Abiyu Diera - L")</f>
        <v>33 - X6 - Raynar Abiyu Diera - L</v>
      </c>
      <c r="G267" s="3"/>
      <c r="H267" s="3"/>
      <c r="I267" s="3"/>
      <c r="J267" s="3"/>
      <c r="K267" s="3"/>
      <c r="L267" s="3"/>
      <c r="M267" s="3"/>
    </row>
    <row r="268">
      <c r="A268" s="4" t="str">
        <f>IFERROR(__xludf.DUMMYFUNCTION("""COMPUTED_VALUE"""),"0093623051 / 252610479")</f>
        <v>0093623051 / 252610479</v>
      </c>
      <c r="B268" s="4" t="str">
        <f>IFERROR(__xludf.DUMMYFUNCTION("""COMPUTED_VALUE"""),"Rayyan Wahyu Ramadhan - L")</f>
        <v>Rayyan Wahyu Ramadhan - L</v>
      </c>
      <c r="C268" s="4" t="str">
        <f>IFERROR(__xludf.DUMMYFUNCTION("""COMPUTED_VALUE"""),"L")</f>
        <v>L</v>
      </c>
      <c r="D268" s="4">
        <f>IFERROR(__xludf.DUMMYFUNCTION("""COMPUTED_VALUE"""),33.0)</f>
        <v>33</v>
      </c>
      <c r="E268" s="4" t="str">
        <f>IFERROR(__xludf.DUMMYFUNCTION("""COMPUTED_VALUE"""),"X6")</f>
        <v>X6</v>
      </c>
      <c r="F268" s="5" t="str">
        <f>IFERROR(__xludf.DUMMYFUNCTION("""COMPUTED_VALUE"""),"33 - X6 - Rayyan Wahyu Ramadhan - L")</f>
        <v>33 - X6 - Rayyan Wahyu Ramadhan - L</v>
      </c>
      <c r="G268" s="3"/>
      <c r="H268" s="3"/>
      <c r="I268" s="3"/>
      <c r="J268" s="3"/>
      <c r="K268" s="3"/>
      <c r="L268" s="3"/>
      <c r="M268" s="3"/>
    </row>
    <row r="269">
      <c r="A269" s="4" t="str">
        <f>IFERROR(__xludf.DUMMYFUNCTION("""COMPUTED_VALUE"""),"0108406931 / 252610484")</f>
        <v>0108406931 / 252610484</v>
      </c>
      <c r="B269" s="4" t="str">
        <f>IFERROR(__xludf.DUMMYFUNCTION("""COMPUTED_VALUE"""),"Reva Aulia Putri - P")</f>
        <v>Reva Aulia Putri - P</v>
      </c>
      <c r="C269" s="4" t="str">
        <f>IFERROR(__xludf.DUMMYFUNCTION("""COMPUTED_VALUE"""),"P")</f>
        <v>P</v>
      </c>
      <c r="D269" s="4">
        <f>IFERROR(__xludf.DUMMYFUNCTION("""COMPUTED_VALUE"""),33.0)</f>
        <v>33</v>
      </c>
      <c r="E269" s="4" t="str">
        <f>IFERROR(__xludf.DUMMYFUNCTION("""COMPUTED_VALUE"""),"X6")</f>
        <v>X6</v>
      </c>
      <c r="F269" s="5" t="str">
        <f>IFERROR(__xludf.DUMMYFUNCTION("""COMPUTED_VALUE"""),"33 - X6 - Reva Aulia Putri - P")</f>
        <v>33 - X6 - Reva Aulia Putri - P</v>
      </c>
      <c r="G269" s="3"/>
      <c r="H269" s="3"/>
      <c r="I269" s="3"/>
      <c r="J269" s="3"/>
      <c r="K269" s="3"/>
      <c r="L269" s="3"/>
      <c r="M269" s="3"/>
    </row>
    <row r="270">
      <c r="A270" s="4" t="str">
        <f>IFERROR(__xludf.DUMMYFUNCTION("""COMPUTED_VALUE"""),"0104171202 / 252610486")</f>
        <v>0104171202 / 252610486</v>
      </c>
      <c r="B270" s="4" t="str">
        <f>IFERROR(__xludf.DUMMYFUNCTION("""COMPUTED_VALUE"""),"Revina Apriza - P")</f>
        <v>Revina Apriza - P</v>
      </c>
      <c r="C270" s="4" t="str">
        <f>IFERROR(__xludf.DUMMYFUNCTION("""COMPUTED_VALUE"""),"P")</f>
        <v>P</v>
      </c>
      <c r="D270" s="4">
        <f>IFERROR(__xludf.DUMMYFUNCTION("""COMPUTED_VALUE"""),33.0)</f>
        <v>33</v>
      </c>
      <c r="E270" s="4" t="str">
        <f>IFERROR(__xludf.DUMMYFUNCTION("""COMPUTED_VALUE"""),"X6")</f>
        <v>X6</v>
      </c>
      <c r="F270" s="5" t="str">
        <f>IFERROR(__xludf.DUMMYFUNCTION("""COMPUTED_VALUE"""),"33 - X6 - Revina Apriza - P")</f>
        <v>33 - X6 - Revina Apriza - P</v>
      </c>
      <c r="G270" s="3"/>
      <c r="H270" s="3"/>
      <c r="I270" s="3"/>
      <c r="J270" s="3"/>
      <c r="K270" s="3"/>
      <c r="L270" s="3"/>
      <c r="M270" s="3"/>
    </row>
    <row r="271">
      <c r="A271" s="4" t="str">
        <f>IFERROR(__xludf.DUMMYFUNCTION("""COMPUTED_VALUE"""),"3096816288 / 252610495")</f>
        <v>3096816288 / 252610495</v>
      </c>
      <c r="B271" s="4" t="str">
        <f>IFERROR(__xludf.DUMMYFUNCTION("""COMPUTED_VALUE"""),"Rossy Indriyati - P")</f>
        <v>Rossy Indriyati - P</v>
      </c>
      <c r="C271" s="4" t="str">
        <f>IFERROR(__xludf.DUMMYFUNCTION("""COMPUTED_VALUE"""),"P")</f>
        <v>P</v>
      </c>
      <c r="D271" s="4">
        <f>IFERROR(__xludf.DUMMYFUNCTION("""COMPUTED_VALUE"""),33.0)</f>
        <v>33</v>
      </c>
      <c r="E271" s="4" t="str">
        <f>IFERROR(__xludf.DUMMYFUNCTION("""COMPUTED_VALUE"""),"X6")</f>
        <v>X6</v>
      </c>
      <c r="F271" s="5" t="str">
        <f>IFERROR(__xludf.DUMMYFUNCTION("""COMPUTED_VALUE"""),"33 - X6 - Rossy Indriyati - P")</f>
        <v>33 - X6 - Rossy Indriyati - P</v>
      </c>
      <c r="G271" s="3"/>
      <c r="H271" s="3"/>
      <c r="I271" s="3"/>
      <c r="J271" s="3"/>
      <c r="K271" s="3"/>
      <c r="L271" s="3"/>
      <c r="M271" s="3"/>
    </row>
    <row r="272">
      <c r="A272" s="4" t="str">
        <f>IFERROR(__xludf.DUMMYFUNCTION("""COMPUTED_VALUE"""),"0102698949 / 252610505")</f>
        <v>0102698949 / 252610505</v>
      </c>
      <c r="B272" s="4" t="str">
        <f>IFERROR(__xludf.DUMMYFUNCTION("""COMPUTED_VALUE"""),"Salsa Kirana Putri - P")</f>
        <v>Salsa Kirana Putri - P</v>
      </c>
      <c r="C272" s="4" t="str">
        <f>IFERROR(__xludf.DUMMYFUNCTION("""COMPUTED_VALUE"""),"P")</f>
        <v>P</v>
      </c>
      <c r="D272" s="4">
        <f>IFERROR(__xludf.DUMMYFUNCTION("""COMPUTED_VALUE"""),33.0)</f>
        <v>33</v>
      </c>
      <c r="E272" s="4" t="str">
        <f>IFERROR(__xludf.DUMMYFUNCTION("""COMPUTED_VALUE"""),"X6")</f>
        <v>X6</v>
      </c>
      <c r="F272" s="5" t="str">
        <f>IFERROR(__xludf.DUMMYFUNCTION("""COMPUTED_VALUE"""),"33 - X6 - Salsa Kirana Putri - P")</f>
        <v>33 - X6 - Salsa Kirana Putri - P</v>
      </c>
      <c r="G272" s="3"/>
      <c r="H272" s="3"/>
      <c r="I272" s="3"/>
      <c r="J272" s="3"/>
      <c r="K272" s="3"/>
      <c r="L272" s="3"/>
      <c r="M272" s="3"/>
    </row>
    <row r="273">
      <c r="A273" s="4" t="str">
        <f>IFERROR(__xludf.DUMMYFUNCTION("""COMPUTED_VALUE"""),"3096600612 / 252610517")</f>
        <v>3096600612 / 252610517</v>
      </c>
      <c r="B273" s="4" t="str">
        <f>IFERROR(__xludf.DUMMYFUNCTION("""COMPUTED_VALUE"""),"Shalomieta Aira Kinaya - P")</f>
        <v>Shalomieta Aira Kinaya - P</v>
      </c>
      <c r="C273" s="4" t="str">
        <f>IFERROR(__xludf.DUMMYFUNCTION("""COMPUTED_VALUE"""),"P")</f>
        <v>P</v>
      </c>
      <c r="D273" s="4">
        <f>IFERROR(__xludf.DUMMYFUNCTION("""COMPUTED_VALUE"""),33.0)</f>
        <v>33</v>
      </c>
      <c r="E273" s="4" t="str">
        <f>IFERROR(__xludf.DUMMYFUNCTION("""COMPUTED_VALUE"""),"X6")</f>
        <v>X6</v>
      </c>
      <c r="F273" s="5" t="str">
        <f>IFERROR(__xludf.DUMMYFUNCTION("""COMPUTED_VALUE"""),"33 - X6 - Shalomieta Aira Kinaya - P")</f>
        <v>33 - X6 - Shalomieta Aira Kinaya - P</v>
      </c>
      <c r="G273" s="3"/>
      <c r="H273" s="3"/>
      <c r="I273" s="3"/>
      <c r="J273" s="3"/>
      <c r="K273" s="3"/>
      <c r="L273" s="3"/>
      <c r="M273" s="3"/>
    </row>
    <row r="274">
      <c r="A274" s="4" t="str">
        <f>IFERROR(__xludf.DUMMYFUNCTION("""COMPUTED_VALUE"""),"0106462308 / 252610528")</f>
        <v>0106462308 / 252610528</v>
      </c>
      <c r="B274" s="4" t="str">
        <f>IFERROR(__xludf.DUMMYFUNCTION("""COMPUTED_VALUE"""),"Syahdan Akbar Mara Putra - L")</f>
        <v>Syahdan Akbar Mara Putra - L</v>
      </c>
      <c r="C274" s="4" t="str">
        <f>IFERROR(__xludf.DUMMYFUNCTION("""COMPUTED_VALUE"""),"L")</f>
        <v>L</v>
      </c>
      <c r="D274" s="4">
        <f>IFERROR(__xludf.DUMMYFUNCTION("""COMPUTED_VALUE"""),33.0)</f>
        <v>33</v>
      </c>
      <c r="E274" s="4" t="str">
        <f>IFERROR(__xludf.DUMMYFUNCTION("""COMPUTED_VALUE"""),"X6")</f>
        <v>X6</v>
      </c>
      <c r="F274" s="5" t="str">
        <f>IFERROR(__xludf.DUMMYFUNCTION("""COMPUTED_VALUE"""),"33 - X6 - Syahdan Akbar Mara Putra - L")</f>
        <v>33 - X6 - Syahdan Akbar Mara Putra - L</v>
      </c>
      <c r="G274" s="3"/>
      <c r="H274" s="3"/>
      <c r="I274" s="3"/>
      <c r="J274" s="3"/>
      <c r="K274" s="3"/>
      <c r="L274" s="3"/>
      <c r="M274" s="3"/>
    </row>
    <row r="275">
      <c r="A275" s="4" t="str">
        <f>IFERROR(__xludf.DUMMYFUNCTION("""COMPUTED_VALUE"""),"0101383149 / 252610529")</f>
        <v>0101383149 / 252610529</v>
      </c>
      <c r="B275" s="4" t="str">
        <f>IFERROR(__xludf.DUMMYFUNCTION("""COMPUTED_VALUE"""),"Syahla Adzkannisa Vuzela - P")</f>
        <v>Syahla Adzkannisa Vuzela - P</v>
      </c>
      <c r="C275" s="4" t="str">
        <f>IFERROR(__xludf.DUMMYFUNCTION("""COMPUTED_VALUE"""),"P")</f>
        <v>P</v>
      </c>
      <c r="D275" s="4">
        <f>IFERROR(__xludf.DUMMYFUNCTION("""COMPUTED_VALUE"""),33.0)</f>
        <v>33</v>
      </c>
      <c r="E275" s="4" t="str">
        <f>IFERROR(__xludf.DUMMYFUNCTION("""COMPUTED_VALUE"""),"X6")</f>
        <v>X6</v>
      </c>
      <c r="F275" s="5" t="str">
        <f>IFERROR(__xludf.DUMMYFUNCTION("""COMPUTED_VALUE"""),"33 - X6 - Syahla Adzkannisa Vuzela - P")</f>
        <v>33 - X6 - Syahla Adzkannisa Vuzela - P</v>
      </c>
      <c r="G275" s="3"/>
      <c r="H275" s="3"/>
      <c r="I275" s="3"/>
      <c r="J275" s="3"/>
      <c r="K275" s="3"/>
      <c r="L275" s="3"/>
      <c r="M275" s="3"/>
    </row>
    <row r="276">
      <c r="A276" s="4" t="str">
        <f>IFERROR(__xludf.DUMMYFUNCTION("""COMPUTED_VALUE"""),"0107096617 / 252610541")</f>
        <v>0107096617 / 252610541</v>
      </c>
      <c r="B276" s="4" t="str">
        <f>IFERROR(__xludf.DUMMYFUNCTION("""COMPUTED_VALUE"""),"Taufik Hidayah - L")</f>
        <v>Taufik Hidayah - L</v>
      </c>
      <c r="C276" s="4" t="str">
        <f>IFERROR(__xludf.DUMMYFUNCTION("""COMPUTED_VALUE"""),"L")</f>
        <v>L</v>
      </c>
      <c r="D276" s="4">
        <f>IFERROR(__xludf.DUMMYFUNCTION("""COMPUTED_VALUE"""),33.0)</f>
        <v>33</v>
      </c>
      <c r="E276" s="4" t="str">
        <f>IFERROR(__xludf.DUMMYFUNCTION("""COMPUTED_VALUE"""),"X6")</f>
        <v>X6</v>
      </c>
      <c r="F276" s="5" t="str">
        <f>IFERROR(__xludf.DUMMYFUNCTION("""COMPUTED_VALUE"""),"33 - X6 - Taufik Hidayah - L")</f>
        <v>33 - X6 - Taufik Hidayah - L</v>
      </c>
      <c r="G276" s="3"/>
      <c r="H276" s="3"/>
      <c r="I276" s="3"/>
      <c r="J276" s="3"/>
      <c r="K276" s="3"/>
      <c r="L276" s="3"/>
      <c r="M276" s="3"/>
    </row>
    <row r="277">
      <c r="A277" s="4" t="str">
        <f>IFERROR(__xludf.DUMMYFUNCTION("""COMPUTED_VALUE"""),"0101303057 / 252610006")</f>
        <v>0101303057 / 252610006</v>
      </c>
      <c r="B277" s="4" t="str">
        <f>IFERROR(__xludf.DUMMYFUNCTION("""COMPUTED_VALUE"""),"Adara Luthfia Putri - P")</f>
        <v>Adara Luthfia Putri - P</v>
      </c>
      <c r="C277" s="4" t="str">
        <f>IFERROR(__xludf.DUMMYFUNCTION("""COMPUTED_VALUE"""),"P")</f>
        <v>P</v>
      </c>
      <c r="D277" s="4">
        <f>IFERROR(__xludf.DUMMYFUNCTION("""COMPUTED_VALUE"""),33.0)</f>
        <v>33</v>
      </c>
      <c r="E277" s="4" t="str">
        <f>IFERROR(__xludf.DUMMYFUNCTION("""COMPUTED_VALUE"""),"X7")</f>
        <v>X7</v>
      </c>
      <c r="F277" s="5" t="str">
        <f>IFERROR(__xludf.DUMMYFUNCTION("""COMPUTED_VALUE"""),"33 - X7 - Adara Luthfia Putri - P")</f>
        <v>33 - X7 - Adara Luthfia Putri - P</v>
      </c>
      <c r="G277" s="3"/>
      <c r="H277" s="3"/>
      <c r="I277" s="3"/>
      <c r="J277" s="3"/>
      <c r="K277" s="3"/>
      <c r="L277" s="3"/>
      <c r="M277" s="3"/>
    </row>
    <row r="278">
      <c r="A278" s="4" t="str">
        <f>IFERROR(__xludf.DUMMYFUNCTION("""COMPUTED_VALUE"""),"0109597144 / 252610017")</f>
        <v>0109597144 / 252610017</v>
      </c>
      <c r="B278" s="4" t="str">
        <f>IFERROR(__xludf.DUMMYFUNCTION("""COMPUTED_VALUE"""),"Ahmad Fahri Hidayat - L")</f>
        <v>Ahmad Fahri Hidayat - L</v>
      </c>
      <c r="C278" s="4" t="str">
        <f>IFERROR(__xludf.DUMMYFUNCTION("""COMPUTED_VALUE"""),"L")</f>
        <v>L</v>
      </c>
      <c r="D278" s="4">
        <f>IFERROR(__xludf.DUMMYFUNCTION("""COMPUTED_VALUE"""),33.0)</f>
        <v>33</v>
      </c>
      <c r="E278" s="4" t="str">
        <f>IFERROR(__xludf.DUMMYFUNCTION("""COMPUTED_VALUE"""),"X7")</f>
        <v>X7</v>
      </c>
      <c r="F278" s="5" t="str">
        <f>IFERROR(__xludf.DUMMYFUNCTION("""COMPUTED_VALUE"""),"33 - X7 - Ahmad Fahri Hidayat - L")</f>
        <v>33 - X7 - Ahmad Fahri Hidayat - L</v>
      </c>
      <c r="G278" s="3"/>
      <c r="H278" s="3"/>
      <c r="I278" s="3"/>
      <c r="J278" s="3"/>
      <c r="K278" s="3"/>
      <c r="L278" s="3"/>
      <c r="M278" s="3"/>
    </row>
    <row r="279">
      <c r="A279" s="4" t="str">
        <f>IFERROR(__xludf.DUMMYFUNCTION("""COMPUTED_VALUE"""),"3096764634 / 252610025")</f>
        <v>3096764634 / 252610025</v>
      </c>
      <c r="B279" s="4" t="str">
        <f>IFERROR(__xludf.DUMMYFUNCTION("""COMPUTED_VALUE"""),"Aira Kirana - P")</f>
        <v>Aira Kirana - P</v>
      </c>
      <c r="C279" s="4" t="str">
        <f>IFERROR(__xludf.DUMMYFUNCTION("""COMPUTED_VALUE"""),"P")</f>
        <v>P</v>
      </c>
      <c r="D279" s="4">
        <f>IFERROR(__xludf.DUMMYFUNCTION("""COMPUTED_VALUE"""),33.0)</f>
        <v>33</v>
      </c>
      <c r="E279" s="4" t="str">
        <f>IFERROR(__xludf.DUMMYFUNCTION("""COMPUTED_VALUE"""),"X7")</f>
        <v>X7</v>
      </c>
      <c r="F279" s="5" t="str">
        <f>IFERROR(__xludf.DUMMYFUNCTION("""COMPUTED_VALUE"""),"33 - X7 - Aira Kirana - P")</f>
        <v>33 - X7 - Aira Kirana - P</v>
      </c>
      <c r="G279" s="3"/>
      <c r="H279" s="3"/>
      <c r="I279" s="3"/>
      <c r="J279" s="3"/>
      <c r="K279" s="3"/>
      <c r="L279" s="3"/>
      <c r="M279" s="3"/>
    </row>
    <row r="280">
      <c r="A280" s="4" t="str">
        <f>IFERROR(__xludf.DUMMYFUNCTION("""COMPUTED_VALUE"""),"0094347087 / 252610044")</f>
        <v>0094347087 / 252610044</v>
      </c>
      <c r="B280" s="4" t="str">
        <f>IFERROR(__xludf.DUMMYFUNCTION("""COMPUTED_VALUE"""),"Aliya Trianzani Putri - P")</f>
        <v>Aliya Trianzani Putri - P</v>
      </c>
      <c r="C280" s="4" t="str">
        <f>IFERROR(__xludf.DUMMYFUNCTION("""COMPUTED_VALUE"""),"P")</f>
        <v>P</v>
      </c>
      <c r="D280" s="4">
        <f>IFERROR(__xludf.DUMMYFUNCTION("""COMPUTED_VALUE"""),33.0)</f>
        <v>33</v>
      </c>
      <c r="E280" s="4" t="str">
        <f>IFERROR(__xludf.DUMMYFUNCTION("""COMPUTED_VALUE"""),"X7")</f>
        <v>X7</v>
      </c>
      <c r="F280" s="5" t="str">
        <f>IFERROR(__xludf.DUMMYFUNCTION("""COMPUTED_VALUE"""),"33 - X7 - Aliya Trianzani Putri - P")</f>
        <v>33 - X7 - Aliya Trianzani Putri - P</v>
      </c>
      <c r="G280" s="3"/>
      <c r="H280" s="3"/>
      <c r="I280" s="3"/>
      <c r="J280" s="3"/>
      <c r="K280" s="3"/>
      <c r="L280" s="3"/>
      <c r="M280" s="3"/>
    </row>
    <row r="281">
      <c r="A281" s="4" t="str">
        <f>IFERROR(__xludf.DUMMYFUNCTION("""COMPUTED_VALUE"""),"0101401010 / 252610051")</f>
        <v>0101401010 / 252610051</v>
      </c>
      <c r="B281" s="4" t="str">
        <f>IFERROR(__xludf.DUMMYFUNCTION("""COMPUTED_VALUE"""),"Alya Silvana Sarifah - P")</f>
        <v>Alya Silvana Sarifah - P</v>
      </c>
      <c r="C281" s="4" t="str">
        <f>IFERROR(__xludf.DUMMYFUNCTION("""COMPUTED_VALUE"""),"P")</f>
        <v>P</v>
      </c>
      <c r="D281" s="4">
        <f>IFERROR(__xludf.DUMMYFUNCTION("""COMPUTED_VALUE"""),33.0)</f>
        <v>33</v>
      </c>
      <c r="E281" s="4" t="str">
        <f>IFERROR(__xludf.DUMMYFUNCTION("""COMPUTED_VALUE"""),"X7")</f>
        <v>X7</v>
      </c>
      <c r="F281" s="5" t="str">
        <f>IFERROR(__xludf.DUMMYFUNCTION("""COMPUTED_VALUE"""),"33 - X7 - Alya Silvana Sarifah - P")</f>
        <v>33 - X7 - Alya Silvana Sarifah - P</v>
      </c>
      <c r="G281" s="3"/>
      <c r="H281" s="3"/>
      <c r="I281" s="3"/>
      <c r="J281" s="3"/>
      <c r="K281" s="3"/>
      <c r="L281" s="3"/>
      <c r="M281" s="3"/>
    </row>
    <row r="282">
      <c r="A282" s="4" t="str">
        <f>IFERROR(__xludf.DUMMYFUNCTION("""COMPUTED_VALUE"""),"0106758481 / 252610064")</f>
        <v>0106758481 / 252610064</v>
      </c>
      <c r="B282" s="4" t="str">
        <f>IFERROR(__xludf.DUMMYFUNCTION("""COMPUTED_VALUE"""),"Anindya Estyana Damayanti - P")</f>
        <v>Anindya Estyana Damayanti - P</v>
      </c>
      <c r="C282" s="4" t="str">
        <f>IFERROR(__xludf.DUMMYFUNCTION("""COMPUTED_VALUE"""),"P")</f>
        <v>P</v>
      </c>
      <c r="D282" s="4">
        <f>IFERROR(__xludf.DUMMYFUNCTION("""COMPUTED_VALUE"""),33.0)</f>
        <v>33</v>
      </c>
      <c r="E282" s="4" t="str">
        <f>IFERROR(__xludf.DUMMYFUNCTION("""COMPUTED_VALUE"""),"X7")</f>
        <v>X7</v>
      </c>
      <c r="F282" s="5" t="str">
        <f>IFERROR(__xludf.DUMMYFUNCTION("""COMPUTED_VALUE"""),"33 - X7 - Anindya Estyana Damayanti - P")</f>
        <v>33 - X7 - Anindya Estyana Damayanti - P</v>
      </c>
      <c r="G282" s="3"/>
      <c r="H282" s="3"/>
      <c r="I282" s="3"/>
      <c r="J282" s="3"/>
      <c r="K282" s="3"/>
      <c r="L282" s="3"/>
      <c r="M282" s="3"/>
    </row>
    <row r="283">
      <c r="A283" s="4" t="str">
        <f>IFERROR(__xludf.DUMMYFUNCTION("""COMPUTED_VALUE"""),"0092241333 / 252610113")</f>
        <v>0092241333 / 252610113</v>
      </c>
      <c r="B283" s="4" t="str">
        <f>IFERROR(__xludf.DUMMYFUNCTION("""COMPUTED_VALUE"""),"Azri Aditya Amada - L")</f>
        <v>Azri Aditya Amada - L</v>
      </c>
      <c r="C283" s="4" t="str">
        <f>IFERROR(__xludf.DUMMYFUNCTION("""COMPUTED_VALUE"""),"L")</f>
        <v>L</v>
      </c>
      <c r="D283" s="4">
        <f>IFERROR(__xludf.DUMMYFUNCTION("""COMPUTED_VALUE"""),33.0)</f>
        <v>33</v>
      </c>
      <c r="E283" s="4" t="str">
        <f>IFERROR(__xludf.DUMMYFUNCTION("""COMPUTED_VALUE"""),"X7")</f>
        <v>X7</v>
      </c>
      <c r="F283" s="5" t="str">
        <f>IFERROR(__xludf.DUMMYFUNCTION("""COMPUTED_VALUE"""),"33 - X7 - Azri Aditya Amada - L")</f>
        <v>33 - X7 - Azri Aditya Amada - L</v>
      </c>
      <c r="G283" s="3"/>
      <c r="H283" s="3"/>
      <c r="I283" s="3"/>
      <c r="J283" s="3"/>
      <c r="K283" s="3"/>
      <c r="L283" s="3"/>
      <c r="M283" s="3"/>
    </row>
    <row r="284">
      <c r="A284" s="4" t="str">
        <f>IFERROR(__xludf.DUMMYFUNCTION("""COMPUTED_VALUE"""),"0102239764 / 252610140")</f>
        <v>0102239764 / 252610140</v>
      </c>
      <c r="B284" s="4" t="str">
        <f>IFERROR(__xludf.DUMMYFUNCTION("""COMPUTED_VALUE"""),"Clara Dwi Cahya - P")</f>
        <v>Clara Dwi Cahya - P</v>
      </c>
      <c r="C284" s="4" t="str">
        <f>IFERROR(__xludf.DUMMYFUNCTION("""COMPUTED_VALUE"""),"P")</f>
        <v>P</v>
      </c>
      <c r="D284" s="4">
        <f>IFERROR(__xludf.DUMMYFUNCTION("""COMPUTED_VALUE"""),33.0)</f>
        <v>33</v>
      </c>
      <c r="E284" s="4" t="str">
        <f>IFERROR(__xludf.DUMMYFUNCTION("""COMPUTED_VALUE"""),"X7")</f>
        <v>X7</v>
      </c>
      <c r="F284" s="5" t="str">
        <f>IFERROR(__xludf.DUMMYFUNCTION("""COMPUTED_VALUE"""),"33 - X7 - Clara Dwi Cahya - P")</f>
        <v>33 - X7 - Clara Dwi Cahya - P</v>
      </c>
      <c r="G284" s="3"/>
      <c r="H284" s="3"/>
      <c r="I284" s="3"/>
      <c r="J284" s="3"/>
      <c r="K284" s="3"/>
      <c r="L284" s="3"/>
      <c r="M284" s="3"/>
    </row>
    <row r="285">
      <c r="A285" s="4" t="str">
        <f>IFERROR(__xludf.DUMMYFUNCTION("""COMPUTED_VALUE"""),"0108763766 / 252610141")</f>
        <v>0108763766 / 252610141</v>
      </c>
      <c r="B285" s="4" t="str">
        <f>IFERROR(__xludf.DUMMYFUNCTION("""COMPUTED_VALUE"""),"Clarisa Meidiana - P")</f>
        <v>Clarisa Meidiana - P</v>
      </c>
      <c r="C285" s="4" t="str">
        <f>IFERROR(__xludf.DUMMYFUNCTION("""COMPUTED_VALUE"""),"P")</f>
        <v>P</v>
      </c>
      <c r="D285" s="4">
        <f>IFERROR(__xludf.DUMMYFUNCTION("""COMPUTED_VALUE"""),33.0)</f>
        <v>33</v>
      </c>
      <c r="E285" s="4" t="str">
        <f>IFERROR(__xludf.DUMMYFUNCTION("""COMPUTED_VALUE"""),"X7")</f>
        <v>X7</v>
      </c>
      <c r="F285" s="5" t="str">
        <f>IFERROR(__xludf.DUMMYFUNCTION("""COMPUTED_VALUE"""),"33 - X7 - Clarisa Meidiana - P")</f>
        <v>33 - X7 - Clarisa Meidiana - P</v>
      </c>
      <c r="G285" s="3"/>
      <c r="H285" s="3"/>
      <c r="I285" s="3"/>
      <c r="J285" s="3"/>
      <c r="K285" s="3"/>
      <c r="L285" s="3"/>
      <c r="M285" s="3"/>
    </row>
    <row r="286">
      <c r="A286" s="4" t="str">
        <f>IFERROR(__xludf.DUMMYFUNCTION("""COMPUTED_VALUE"""),"0103120702 / 252610144")</f>
        <v>0103120702 / 252610144</v>
      </c>
      <c r="B286" s="4" t="str">
        <f>IFERROR(__xludf.DUMMYFUNCTION("""COMPUTED_VALUE"""),"Daffa Khoirul Fajri - L")</f>
        <v>Daffa Khoirul Fajri - L</v>
      </c>
      <c r="C286" s="4" t="str">
        <f>IFERROR(__xludf.DUMMYFUNCTION("""COMPUTED_VALUE"""),"L")</f>
        <v>L</v>
      </c>
      <c r="D286" s="4">
        <f>IFERROR(__xludf.DUMMYFUNCTION("""COMPUTED_VALUE"""),33.0)</f>
        <v>33</v>
      </c>
      <c r="E286" s="4" t="str">
        <f>IFERROR(__xludf.DUMMYFUNCTION("""COMPUTED_VALUE"""),"X7")</f>
        <v>X7</v>
      </c>
      <c r="F286" s="5" t="str">
        <f>IFERROR(__xludf.DUMMYFUNCTION("""COMPUTED_VALUE"""),"33 - X7 - Daffa Khoirul Fajri - L")</f>
        <v>33 - X7 - Daffa Khoirul Fajri - L</v>
      </c>
      <c r="G286" s="3"/>
      <c r="H286" s="3"/>
      <c r="I286" s="3"/>
      <c r="J286" s="3"/>
      <c r="K286" s="3"/>
      <c r="L286" s="3"/>
      <c r="M286" s="3"/>
    </row>
    <row r="287">
      <c r="A287" s="4" t="str">
        <f>IFERROR(__xludf.DUMMYFUNCTION("""COMPUTED_VALUE"""),"0099164493 / 252610156")</f>
        <v>0099164493 / 252610156</v>
      </c>
      <c r="B287" s="4" t="str">
        <f>IFERROR(__xludf.DUMMYFUNCTION("""COMPUTED_VALUE"""),"Dhia Devita Ramadhani - P")</f>
        <v>Dhia Devita Ramadhani - P</v>
      </c>
      <c r="C287" s="4" t="str">
        <f>IFERROR(__xludf.DUMMYFUNCTION("""COMPUTED_VALUE"""),"P")</f>
        <v>P</v>
      </c>
      <c r="D287" s="4">
        <f>IFERROR(__xludf.DUMMYFUNCTION("""COMPUTED_VALUE"""),33.0)</f>
        <v>33</v>
      </c>
      <c r="E287" s="4" t="str">
        <f>IFERROR(__xludf.DUMMYFUNCTION("""COMPUTED_VALUE"""),"X7")</f>
        <v>X7</v>
      </c>
      <c r="F287" s="5" t="str">
        <f>IFERROR(__xludf.DUMMYFUNCTION("""COMPUTED_VALUE"""),"33 - X7 - Dhia Devita Ramadhani - P")</f>
        <v>33 - X7 - Dhia Devita Ramadhani - P</v>
      </c>
      <c r="G287" s="3"/>
      <c r="H287" s="3"/>
      <c r="I287" s="3"/>
      <c r="J287" s="3"/>
      <c r="K287" s="3"/>
      <c r="L287" s="3"/>
      <c r="M287" s="3"/>
    </row>
    <row r="288">
      <c r="A288" s="4" t="str">
        <f>IFERROR(__xludf.DUMMYFUNCTION("""COMPUTED_VALUE"""),"0093281671 / 252610159")</f>
        <v>0093281671 / 252610159</v>
      </c>
      <c r="B288" s="4" t="str">
        <f>IFERROR(__xludf.DUMMYFUNCTION("""COMPUTED_VALUE"""),"Diajeng Inggil Lintang Aulia - P")</f>
        <v>Diajeng Inggil Lintang Aulia - P</v>
      </c>
      <c r="C288" s="4" t="str">
        <f>IFERROR(__xludf.DUMMYFUNCTION("""COMPUTED_VALUE"""),"P")</f>
        <v>P</v>
      </c>
      <c r="D288" s="4">
        <f>IFERROR(__xludf.DUMMYFUNCTION("""COMPUTED_VALUE"""),33.0)</f>
        <v>33</v>
      </c>
      <c r="E288" s="4" t="str">
        <f>IFERROR(__xludf.DUMMYFUNCTION("""COMPUTED_VALUE"""),"X7")</f>
        <v>X7</v>
      </c>
      <c r="F288" s="5" t="str">
        <f>IFERROR(__xludf.DUMMYFUNCTION("""COMPUTED_VALUE"""),"33 - X7 - Diajeng Inggil Lintang Aulia - P")</f>
        <v>33 - X7 - Diajeng Inggil Lintang Aulia - P</v>
      </c>
      <c r="G288" s="3"/>
      <c r="H288" s="3"/>
      <c r="I288" s="3"/>
      <c r="J288" s="3"/>
      <c r="K288" s="3"/>
      <c r="L288" s="3"/>
      <c r="M288" s="3"/>
    </row>
    <row r="289">
      <c r="A289" s="4" t="str">
        <f>IFERROR(__xludf.DUMMYFUNCTION("""COMPUTED_VALUE"""),"0091524155 / 252610179")</f>
        <v>0091524155 / 252610179</v>
      </c>
      <c r="B289" s="4" t="str">
        <f>IFERROR(__xludf.DUMMYFUNCTION("""COMPUTED_VALUE"""),"Elgiva Damara Sanchia - P")</f>
        <v>Elgiva Damara Sanchia - P</v>
      </c>
      <c r="C289" s="4" t="str">
        <f>IFERROR(__xludf.DUMMYFUNCTION("""COMPUTED_VALUE"""),"P")</f>
        <v>P</v>
      </c>
      <c r="D289" s="4">
        <f>IFERROR(__xludf.DUMMYFUNCTION("""COMPUTED_VALUE"""),33.0)</f>
        <v>33</v>
      </c>
      <c r="E289" s="4" t="str">
        <f>IFERROR(__xludf.DUMMYFUNCTION("""COMPUTED_VALUE"""),"X7")</f>
        <v>X7</v>
      </c>
      <c r="F289" s="5" t="str">
        <f>IFERROR(__xludf.DUMMYFUNCTION("""COMPUTED_VALUE"""),"33 - X7 - Elgiva Damara Sanchia - P")</f>
        <v>33 - X7 - Elgiva Damara Sanchia - P</v>
      </c>
      <c r="G289" s="3"/>
      <c r="H289" s="3"/>
      <c r="I289" s="3"/>
      <c r="J289" s="3"/>
      <c r="K289" s="3"/>
      <c r="L289" s="3"/>
      <c r="M289" s="3"/>
    </row>
    <row r="290">
      <c r="A290" s="4" t="str">
        <f>IFERROR(__xludf.DUMMYFUNCTION("""COMPUTED_VALUE"""),"0094004131 / 252610182")</f>
        <v>0094004131 / 252610182</v>
      </c>
      <c r="B290" s="4" t="str">
        <f>IFERROR(__xludf.DUMMYFUNCTION("""COMPUTED_VALUE"""),"Enzo Asido Rama Raditya - L")</f>
        <v>Enzo Asido Rama Raditya - L</v>
      </c>
      <c r="C290" s="4" t="str">
        <f>IFERROR(__xludf.DUMMYFUNCTION("""COMPUTED_VALUE"""),"L")</f>
        <v>L</v>
      </c>
      <c r="D290" s="4">
        <f>IFERROR(__xludf.DUMMYFUNCTION("""COMPUTED_VALUE"""),33.0)</f>
        <v>33</v>
      </c>
      <c r="E290" s="4" t="str">
        <f>IFERROR(__xludf.DUMMYFUNCTION("""COMPUTED_VALUE"""),"X7")</f>
        <v>X7</v>
      </c>
      <c r="F290" s="5" t="str">
        <f>IFERROR(__xludf.DUMMYFUNCTION("""COMPUTED_VALUE"""),"33 - X7 - Enzo Asido Rama Raditya - L")</f>
        <v>33 - X7 - Enzo Asido Rama Raditya - L</v>
      </c>
      <c r="G290" s="3"/>
      <c r="H290" s="3"/>
      <c r="I290" s="3"/>
      <c r="J290" s="3"/>
      <c r="K290" s="3"/>
      <c r="L290" s="3"/>
      <c r="M290" s="3"/>
    </row>
    <row r="291">
      <c r="A291" s="4" t="str">
        <f>IFERROR(__xludf.DUMMYFUNCTION("""COMPUTED_VALUE"""),"0107042804 / 252610197")</f>
        <v>0107042804 / 252610197</v>
      </c>
      <c r="B291" s="4" t="str">
        <f>IFERROR(__xludf.DUMMYFUNCTION("""COMPUTED_VALUE"""),"Farhan Abdurrahman Yusuf - L")</f>
        <v>Farhan Abdurrahman Yusuf - L</v>
      </c>
      <c r="C291" s="4" t="str">
        <f>IFERROR(__xludf.DUMMYFUNCTION("""COMPUTED_VALUE"""),"L")</f>
        <v>L</v>
      </c>
      <c r="D291" s="4">
        <f>IFERROR(__xludf.DUMMYFUNCTION("""COMPUTED_VALUE"""),33.0)</f>
        <v>33</v>
      </c>
      <c r="E291" s="4" t="str">
        <f>IFERROR(__xludf.DUMMYFUNCTION("""COMPUTED_VALUE"""),"X7")</f>
        <v>X7</v>
      </c>
      <c r="F291" s="5" t="str">
        <f>IFERROR(__xludf.DUMMYFUNCTION("""COMPUTED_VALUE"""),"33 - X7 - Farhan Abdurrahman Yusuf - L")</f>
        <v>33 - X7 - Farhan Abdurrahman Yusuf - L</v>
      </c>
      <c r="G291" s="3"/>
      <c r="H291" s="3"/>
      <c r="I291" s="3"/>
      <c r="J291" s="3"/>
      <c r="K291" s="3"/>
      <c r="L291" s="3"/>
      <c r="M291" s="3"/>
    </row>
    <row r="292">
      <c r="A292" s="4" t="str">
        <f>IFERROR(__xludf.DUMMYFUNCTION("""COMPUTED_VALUE"""),"0094782869 / 252610200")</f>
        <v>0094782869 / 252610200</v>
      </c>
      <c r="B292" s="4" t="str">
        <f>IFERROR(__xludf.DUMMYFUNCTION("""COMPUTED_VALUE"""),"Faris Razwa Sambega - L")</f>
        <v>Faris Razwa Sambega - L</v>
      </c>
      <c r="C292" s="4" t="str">
        <f>IFERROR(__xludf.DUMMYFUNCTION("""COMPUTED_VALUE"""),"L")</f>
        <v>L</v>
      </c>
      <c r="D292" s="4">
        <f>IFERROR(__xludf.DUMMYFUNCTION("""COMPUTED_VALUE"""),33.0)</f>
        <v>33</v>
      </c>
      <c r="E292" s="4" t="str">
        <f>IFERROR(__xludf.DUMMYFUNCTION("""COMPUTED_VALUE"""),"X7")</f>
        <v>X7</v>
      </c>
      <c r="F292" s="5" t="str">
        <f>IFERROR(__xludf.DUMMYFUNCTION("""COMPUTED_VALUE"""),"33 - X7 - Faris Razwa Sambega - L")</f>
        <v>33 - X7 - Faris Razwa Sambega - L</v>
      </c>
      <c r="G292" s="3"/>
      <c r="H292" s="3"/>
      <c r="I292" s="3"/>
      <c r="J292" s="3"/>
      <c r="K292" s="3"/>
      <c r="L292" s="3"/>
      <c r="M292" s="3"/>
    </row>
    <row r="293">
      <c r="A293" s="4" t="str">
        <f>IFERROR(__xludf.DUMMYFUNCTION("""COMPUTED_VALUE"""),"0107335774 / 252610221")</f>
        <v>0107335774 / 252610221</v>
      </c>
      <c r="B293" s="4" t="str">
        <f>IFERROR(__xludf.DUMMYFUNCTION("""COMPUTED_VALUE"""),"Ghaniyah Adelia - P")</f>
        <v>Ghaniyah Adelia - P</v>
      </c>
      <c r="C293" s="4" t="str">
        <f>IFERROR(__xludf.DUMMYFUNCTION("""COMPUTED_VALUE"""),"P")</f>
        <v>P</v>
      </c>
      <c r="D293" s="4">
        <f>IFERROR(__xludf.DUMMYFUNCTION("""COMPUTED_VALUE"""),33.0)</f>
        <v>33</v>
      </c>
      <c r="E293" s="4" t="str">
        <f>IFERROR(__xludf.DUMMYFUNCTION("""COMPUTED_VALUE"""),"X7")</f>
        <v>X7</v>
      </c>
      <c r="F293" s="5" t="str">
        <f>IFERROR(__xludf.DUMMYFUNCTION("""COMPUTED_VALUE"""),"33 - X7 - Ghaniyah Adelia - P")</f>
        <v>33 - X7 - Ghaniyah Adelia - P</v>
      </c>
      <c r="G293" s="3"/>
      <c r="H293" s="3"/>
      <c r="I293" s="3"/>
      <c r="J293" s="3"/>
      <c r="K293" s="3"/>
      <c r="L293" s="3"/>
      <c r="M293" s="3"/>
    </row>
    <row r="294">
      <c r="A294" s="4" t="str">
        <f>IFERROR(__xludf.DUMMYFUNCTION("""COMPUTED_VALUE"""),"3103220251 / 252610225")</f>
        <v>3103220251 / 252610225</v>
      </c>
      <c r="B294" s="4" t="str">
        <f>IFERROR(__xludf.DUMMYFUNCTION("""COMPUTED_VALUE"""),"Hafizh Mumtaz - L")</f>
        <v>Hafizh Mumtaz - L</v>
      </c>
      <c r="C294" s="4" t="str">
        <f>IFERROR(__xludf.DUMMYFUNCTION("""COMPUTED_VALUE"""),"L")</f>
        <v>L</v>
      </c>
      <c r="D294" s="4">
        <f>IFERROR(__xludf.DUMMYFUNCTION("""COMPUTED_VALUE"""),33.0)</f>
        <v>33</v>
      </c>
      <c r="E294" s="4" t="str">
        <f>IFERROR(__xludf.DUMMYFUNCTION("""COMPUTED_VALUE"""),"X7")</f>
        <v>X7</v>
      </c>
      <c r="F294" s="5" t="str">
        <f>IFERROR(__xludf.DUMMYFUNCTION("""COMPUTED_VALUE"""),"33 - X7 - Hafizh Mumtaz - L")</f>
        <v>33 - X7 - Hafizh Mumtaz - L</v>
      </c>
      <c r="G294" s="3"/>
      <c r="H294" s="3"/>
      <c r="I294" s="3"/>
      <c r="J294" s="3"/>
      <c r="K294" s="3"/>
      <c r="L294" s="3"/>
      <c r="M294" s="3"/>
    </row>
    <row r="295">
      <c r="A295" s="4" t="str">
        <f>IFERROR(__xludf.DUMMYFUNCTION("""COMPUTED_VALUE"""),"0093078917 / 252610252")</f>
        <v>0093078917 / 252610252</v>
      </c>
      <c r="B295" s="4" t="str">
        <f>IFERROR(__xludf.DUMMYFUNCTION("""COMPUTED_VALUE"""),"Juan Pirlo Benzema - L")</f>
        <v>Juan Pirlo Benzema - L</v>
      </c>
      <c r="C295" s="4" t="str">
        <f>IFERROR(__xludf.DUMMYFUNCTION("""COMPUTED_VALUE"""),"L")</f>
        <v>L</v>
      </c>
      <c r="D295" s="4">
        <f>IFERROR(__xludf.DUMMYFUNCTION("""COMPUTED_VALUE"""),33.0)</f>
        <v>33</v>
      </c>
      <c r="E295" s="4" t="str">
        <f>IFERROR(__xludf.DUMMYFUNCTION("""COMPUTED_VALUE"""),"X7")</f>
        <v>X7</v>
      </c>
      <c r="F295" s="5" t="str">
        <f>IFERROR(__xludf.DUMMYFUNCTION("""COMPUTED_VALUE"""),"33 - X7 - Juan Pirlo Benzema - L")</f>
        <v>33 - X7 - Juan Pirlo Benzema - L</v>
      </c>
      <c r="G295" s="3"/>
      <c r="H295" s="3"/>
      <c r="I295" s="3"/>
      <c r="J295" s="3"/>
      <c r="K295" s="3"/>
      <c r="L295" s="3"/>
      <c r="M295" s="3"/>
    </row>
    <row r="296">
      <c r="A296" s="4" t="str">
        <f>IFERROR(__xludf.DUMMYFUNCTION("""COMPUTED_VALUE"""),"0106222604 / 252610254")</f>
        <v>0106222604 / 252610254</v>
      </c>
      <c r="B296" s="4" t="str">
        <f>IFERROR(__xludf.DUMMYFUNCTION("""COMPUTED_VALUE"""),"Kania Putriana Yaswin - P")</f>
        <v>Kania Putriana Yaswin - P</v>
      </c>
      <c r="C296" s="4" t="str">
        <f>IFERROR(__xludf.DUMMYFUNCTION("""COMPUTED_VALUE"""),"P")</f>
        <v>P</v>
      </c>
      <c r="D296" s="4">
        <f>IFERROR(__xludf.DUMMYFUNCTION("""COMPUTED_VALUE"""),33.0)</f>
        <v>33</v>
      </c>
      <c r="E296" s="4" t="str">
        <f>IFERROR(__xludf.DUMMYFUNCTION("""COMPUTED_VALUE"""),"X7")</f>
        <v>X7</v>
      </c>
      <c r="F296" s="5" t="str">
        <f>IFERROR(__xludf.DUMMYFUNCTION("""COMPUTED_VALUE"""),"33 - X7 - Kania Putriana Yaswin - P")</f>
        <v>33 - X7 - Kania Putriana Yaswin - P</v>
      </c>
      <c r="G296" s="3"/>
      <c r="H296" s="3"/>
      <c r="I296" s="3"/>
      <c r="J296" s="3"/>
      <c r="K296" s="3"/>
      <c r="L296" s="3"/>
      <c r="M296" s="3"/>
    </row>
    <row r="297">
      <c r="A297" s="4" t="str">
        <f>IFERROR(__xludf.DUMMYFUNCTION("""COMPUTED_VALUE"""),"0105055119 / 252610264")</f>
        <v>0105055119 / 252610264</v>
      </c>
      <c r="B297" s="4" t="str">
        <f>IFERROR(__xludf.DUMMYFUNCTION("""COMPUTED_VALUE"""),"Kaysa Maharani Sofyan - P")</f>
        <v>Kaysa Maharani Sofyan - P</v>
      </c>
      <c r="C297" s="4" t="str">
        <f>IFERROR(__xludf.DUMMYFUNCTION("""COMPUTED_VALUE"""),"P")</f>
        <v>P</v>
      </c>
      <c r="D297" s="4">
        <f>IFERROR(__xludf.DUMMYFUNCTION("""COMPUTED_VALUE"""),33.0)</f>
        <v>33</v>
      </c>
      <c r="E297" s="4" t="str">
        <f>IFERROR(__xludf.DUMMYFUNCTION("""COMPUTED_VALUE"""),"X7")</f>
        <v>X7</v>
      </c>
      <c r="F297" s="5" t="str">
        <f>IFERROR(__xludf.DUMMYFUNCTION("""COMPUTED_VALUE"""),"33 - X7 - Kaysa Maharani Sofyan - P")</f>
        <v>33 - X7 - Kaysa Maharani Sofyan - P</v>
      </c>
      <c r="G297" s="3"/>
      <c r="H297" s="3"/>
      <c r="I297" s="3"/>
      <c r="J297" s="3"/>
      <c r="K297" s="3"/>
      <c r="L297" s="3"/>
      <c r="M297" s="3"/>
    </row>
    <row r="298">
      <c r="A298" s="4" t="str">
        <f>IFERROR(__xludf.DUMMYFUNCTION("""COMPUTED_VALUE"""),"0096544983 / 252610268")</f>
        <v>0096544983 / 252610268</v>
      </c>
      <c r="B298" s="4" t="str">
        <f>IFERROR(__xludf.DUMMYFUNCTION("""COMPUTED_VALUE"""),"Keisya Andhita Kirana Putri - P")</f>
        <v>Keisya Andhita Kirana Putri - P</v>
      </c>
      <c r="C298" s="4" t="str">
        <f>IFERROR(__xludf.DUMMYFUNCTION("""COMPUTED_VALUE"""),"P")</f>
        <v>P</v>
      </c>
      <c r="D298" s="4">
        <f>IFERROR(__xludf.DUMMYFUNCTION("""COMPUTED_VALUE"""),33.0)</f>
        <v>33</v>
      </c>
      <c r="E298" s="4" t="str">
        <f>IFERROR(__xludf.DUMMYFUNCTION("""COMPUTED_VALUE"""),"X7")</f>
        <v>X7</v>
      </c>
      <c r="F298" s="5" t="str">
        <f>IFERROR(__xludf.DUMMYFUNCTION("""COMPUTED_VALUE"""),"33 - X7 - Keisya Andhita Kirana Putri - P")</f>
        <v>33 - X7 - Keisya Andhita Kirana Putri - P</v>
      </c>
      <c r="G298" s="3"/>
      <c r="H298" s="3"/>
      <c r="I298" s="3"/>
      <c r="J298" s="3"/>
      <c r="K298" s="3"/>
      <c r="L298" s="3"/>
      <c r="M298" s="3"/>
    </row>
    <row r="299">
      <c r="A299" s="4" t="str">
        <f>IFERROR(__xludf.DUMMYFUNCTION("""COMPUTED_VALUE"""),"3093288409 / 252610291")</f>
        <v>3093288409 / 252610291</v>
      </c>
      <c r="B299" s="4" t="str">
        <f>IFERROR(__xludf.DUMMYFUNCTION("""COMPUTED_VALUE"""),"Livia Vidyadhara - P")</f>
        <v>Livia Vidyadhara - P</v>
      </c>
      <c r="C299" s="4" t="str">
        <f>IFERROR(__xludf.DUMMYFUNCTION("""COMPUTED_VALUE"""),"P")</f>
        <v>P</v>
      </c>
      <c r="D299" s="4">
        <f>IFERROR(__xludf.DUMMYFUNCTION("""COMPUTED_VALUE"""),33.0)</f>
        <v>33</v>
      </c>
      <c r="E299" s="4" t="str">
        <f>IFERROR(__xludf.DUMMYFUNCTION("""COMPUTED_VALUE"""),"X7")</f>
        <v>X7</v>
      </c>
      <c r="F299" s="5" t="str">
        <f>IFERROR(__xludf.DUMMYFUNCTION("""COMPUTED_VALUE"""),"33 - X7 - Livia Vidyadhara - P")</f>
        <v>33 - X7 - Livia Vidyadhara - P</v>
      </c>
      <c r="G299" s="3"/>
      <c r="H299" s="3"/>
      <c r="I299" s="3"/>
      <c r="J299" s="3"/>
      <c r="K299" s="3"/>
      <c r="L299" s="3"/>
      <c r="M299" s="3"/>
    </row>
    <row r="300">
      <c r="A300" s="4" t="str">
        <f>IFERROR(__xludf.DUMMYFUNCTION("""COMPUTED_VALUE"""),"0103468589 / 252610300")</f>
        <v>0103468589 / 252610300</v>
      </c>
      <c r="B300" s="4" t="str">
        <f>IFERROR(__xludf.DUMMYFUNCTION("""COMPUTED_VALUE"""),"Manar Abbas Bawazir - P")</f>
        <v>Manar Abbas Bawazir - P</v>
      </c>
      <c r="C300" s="4" t="str">
        <f>IFERROR(__xludf.DUMMYFUNCTION("""COMPUTED_VALUE"""),"P")</f>
        <v>P</v>
      </c>
      <c r="D300" s="4">
        <f>IFERROR(__xludf.DUMMYFUNCTION("""COMPUTED_VALUE"""),33.0)</f>
        <v>33</v>
      </c>
      <c r="E300" s="4" t="str">
        <f>IFERROR(__xludf.DUMMYFUNCTION("""COMPUTED_VALUE"""),"X7")</f>
        <v>X7</v>
      </c>
      <c r="F300" s="5" t="str">
        <f>IFERROR(__xludf.DUMMYFUNCTION("""COMPUTED_VALUE"""),"33 - X7 - Manar Abbas Bawazir - P")</f>
        <v>33 - X7 - Manar Abbas Bawazir - P</v>
      </c>
      <c r="G300" s="3"/>
      <c r="H300" s="3"/>
      <c r="I300" s="3"/>
      <c r="J300" s="3"/>
      <c r="K300" s="3"/>
      <c r="L300" s="3"/>
      <c r="M300" s="3"/>
    </row>
    <row r="301">
      <c r="A301" s="4" t="str">
        <f>IFERROR(__xludf.DUMMYFUNCTION("""COMPUTED_VALUE"""),"0104328116 / 252610318")</f>
        <v>0104328116 / 252610318</v>
      </c>
      <c r="B301" s="4" t="str">
        <f>IFERROR(__xludf.DUMMYFUNCTION("""COMPUTED_VALUE"""),"Mohammad Arsa Dafansyah - L")</f>
        <v>Mohammad Arsa Dafansyah - L</v>
      </c>
      <c r="C301" s="4" t="str">
        <f>IFERROR(__xludf.DUMMYFUNCTION("""COMPUTED_VALUE"""),"L")</f>
        <v>L</v>
      </c>
      <c r="D301" s="4">
        <f>IFERROR(__xludf.DUMMYFUNCTION("""COMPUTED_VALUE"""),33.0)</f>
        <v>33</v>
      </c>
      <c r="E301" s="4" t="str">
        <f>IFERROR(__xludf.DUMMYFUNCTION("""COMPUTED_VALUE"""),"X7")</f>
        <v>X7</v>
      </c>
      <c r="F301" s="5" t="str">
        <f>IFERROR(__xludf.DUMMYFUNCTION("""COMPUTED_VALUE"""),"33 - X7 - Mohammad Arsa Dafansyah - L")</f>
        <v>33 - X7 - Mohammad Arsa Dafansyah - L</v>
      </c>
      <c r="G301" s="3"/>
      <c r="H301" s="3"/>
      <c r="I301" s="3"/>
      <c r="J301" s="3"/>
      <c r="K301" s="3"/>
      <c r="L301" s="3"/>
      <c r="M301" s="3"/>
    </row>
    <row r="302">
      <c r="A302" s="4" t="str">
        <f>IFERROR(__xludf.DUMMYFUNCTION("""COMPUTED_VALUE"""),"0093678218 / 252610333")</f>
        <v>0093678218 / 252610333</v>
      </c>
      <c r="B302" s="4" t="str">
        <f>IFERROR(__xludf.DUMMYFUNCTION("""COMPUTED_VALUE"""),"Muhamad Yusuf Zarkasi - L")</f>
        <v>Muhamad Yusuf Zarkasi - L</v>
      </c>
      <c r="C302" s="4" t="str">
        <f>IFERROR(__xludf.DUMMYFUNCTION("""COMPUTED_VALUE"""),"L")</f>
        <v>L</v>
      </c>
      <c r="D302" s="4">
        <f>IFERROR(__xludf.DUMMYFUNCTION("""COMPUTED_VALUE"""),33.0)</f>
        <v>33</v>
      </c>
      <c r="E302" s="4" t="str">
        <f>IFERROR(__xludf.DUMMYFUNCTION("""COMPUTED_VALUE"""),"X7")</f>
        <v>X7</v>
      </c>
      <c r="F302" s="5" t="str">
        <f>IFERROR(__xludf.DUMMYFUNCTION("""COMPUTED_VALUE"""),"33 - X7 - Muhamad Yusuf Zarkasi - L")</f>
        <v>33 - X7 - Muhamad Yusuf Zarkasi - L</v>
      </c>
      <c r="G302" s="3"/>
      <c r="H302" s="3"/>
      <c r="I302" s="3"/>
      <c r="J302" s="3"/>
      <c r="K302" s="3"/>
      <c r="L302" s="3"/>
      <c r="M302" s="3"/>
    </row>
    <row r="303">
      <c r="A303" s="4" t="str">
        <f>IFERROR(__xludf.DUMMYFUNCTION("""COMPUTED_VALUE"""),"0093828028 / 252610340")</f>
        <v>0093828028 / 252610340</v>
      </c>
      <c r="B303" s="4" t="str">
        <f>IFERROR(__xludf.DUMMYFUNCTION("""COMPUTED_VALUE"""),"Muhammad Arsyal Divo Firmansyah - L")</f>
        <v>Muhammad Arsyal Divo Firmansyah - L</v>
      </c>
      <c r="C303" s="4" t="str">
        <f>IFERROR(__xludf.DUMMYFUNCTION("""COMPUTED_VALUE"""),"L")</f>
        <v>L</v>
      </c>
      <c r="D303" s="4">
        <f>IFERROR(__xludf.DUMMYFUNCTION("""COMPUTED_VALUE"""),33.0)</f>
        <v>33</v>
      </c>
      <c r="E303" s="4" t="str">
        <f>IFERROR(__xludf.DUMMYFUNCTION("""COMPUTED_VALUE"""),"X7")</f>
        <v>X7</v>
      </c>
      <c r="F303" s="5" t="str">
        <f>IFERROR(__xludf.DUMMYFUNCTION("""COMPUTED_VALUE"""),"33 - X7 - Muhammad Arsyal Divo Firmansyah - L")</f>
        <v>33 - X7 - Muhammad Arsyal Divo Firmansyah - L</v>
      </c>
      <c r="G303" s="3"/>
      <c r="H303" s="3"/>
      <c r="I303" s="3"/>
      <c r="J303" s="3"/>
      <c r="K303" s="3"/>
      <c r="L303" s="3"/>
      <c r="M303" s="3"/>
    </row>
    <row r="304">
      <c r="A304" s="4" t="str">
        <f>IFERROR(__xludf.DUMMYFUNCTION("""COMPUTED_VALUE"""),"0109769349 / 252610345")</f>
        <v>0109769349 / 252610345</v>
      </c>
      <c r="B304" s="4" t="str">
        <f>IFERROR(__xludf.DUMMYFUNCTION("""COMPUTED_VALUE"""),"Muhammad Danish Fathul Ulum - L")</f>
        <v>Muhammad Danish Fathul Ulum - L</v>
      </c>
      <c r="C304" s="4" t="str">
        <f>IFERROR(__xludf.DUMMYFUNCTION("""COMPUTED_VALUE"""),"L")</f>
        <v>L</v>
      </c>
      <c r="D304" s="4">
        <f>IFERROR(__xludf.DUMMYFUNCTION("""COMPUTED_VALUE"""),33.0)</f>
        <v>33</v>
      </c>
      <c r="E304" s="4" t="str">
        <f>IFERROR(__xludf.DUMMYFUNCTION("""COMPUTED_VALUE"""),"X7")</f>
        <v>X7</v>
      </c>
      <c r="F304" s="5" t="str">
        <f>IFERROR(__xludf.DUMMYFUNCTION("""COMPUTED_VALUE"""),"33 - X7 - Muhammad Danish Fathul Ulum - L")</f>
        <v>33 - X7 - Muhammad Danish Fathul Ulum - L</v>
      </c>
      <c r="G304" s="3"/>
      <c r="H304" s="3"/>
      <c r="I304" s="3"/>
      <c r="J304" s="3"/>
      <c r="K304" s="3"/>
      <c r="L304" s="3"/>
      <c r="M304" s="3"/>
    </row>
    <row r="305">
      <c r="A305" s="4" t="str">
        <f>IFERROR(__xludf.DUMMYFUNCTION("""COMPUTED_VALUE"""),"0093629282 / 252610352")</f>
        <v>0093629282 / 252610352</v>
      </c>
      <c r="B305" s="4" t="str">
        <f>IFERROR(__xludf.DUMMYFUNCTION("""COMPUTED_VALUE"""),"Muhammad Fathandra Rizki - L")</f>
        <v>Muhammad Fathandra Rizki - L</v>
      </c>
      <c r="C305" s="4" t="str">
        <f>IFERROR(__xludf.DUMMYFUNCTION("""COMPUTED_VALUE"""),"L")</f>
        <v>L</v>
      </c>
      <c r="D305" s="4">
        <f>IFERROR(__xludf.DUMMYFUNCTION("""COMPUTED_VALUE"""),33.0)</f>
        <v>33</v>
      </c>
      <c r="E305" s="4" t="str">
        <f>IFERROR(__xludf.DUMMYFUNCTION("""COMPUTED_VALUE"""),"X7")</f>
        <v>X7</v>
      </c>
      <c r="F305" s="5" t="str">
        <f>IFERROR(__xludf.DUMMYFUNCTION("""COMPUTED_VALUE"""),"33 - X7 - Muhammad Fathandra Rizki - L")</f>
        <v>33 - X7 - Muhammad Fathandra Rizki - L</v>
      </c>
      <c r="G305" s="3"/>
      <c r="H305" s="3"/>
      <c r="I305" s="3"/>
      <c r="J305" s="3"/>
      <c r="K305" s="3"/>
      <c r="L305" s="3"/>
      <c r="M305" s="3"/>
    </row>
    <row r="306">
      <c r="A306" s="4" t="str">
        <f>IFERROR(__xludf.DUMMYFUNCTION("""COMPUTED_VALUE"""),"0095243962 / 252610354")</f>
        <v>0095243962 / 252610354</v>
      </c>
      <c r="B306" s="4" t="str">
        <f>IFERROR(__xludf.DUMMYFUNCTION("""COMPUTED_VALUE"""),"Muhammad Gabriel - L")</f>
        <v>Muhammad Gabriel - L</v>
      </c>
      <c r="C306" s="4" t="str">
        <f>IFERROR(__xludf.DUMMYFUNCTION("""COMPUTED_VALUE"""),"L")</f>
        <v>L</v>
      </c>
      <c r="D306" s="4">
        <f>IFERROR(__xludf.DUMMYFUNCTION("""COMPUTED_VALUE"""),33.0)</f>
        <v>33</v>
      </c>
      <c r="E306" s="4" t="str">
        <f>IFERROR(__xludf.DUMMYFUNCTION("""COMPUTED_VALUE"""),"X7")</f>
        <v>X7</v>
      </c>
      <c r="F306" s="5" t="str">
        <f>IFERROR(__xludf.DUMMYFUNCTION("""COMPUTED_VALUE"""),"33 - X7 - Muhammad Gabriel - L")</f>
        <v>33 - X7 - Muhammad Gabriel - L</v>
      </c>
      <c r="G306" s="3"/>
      <c r="H306" s="3"/>
      <c r="I306" s="3"/>
      <c r="J306" s="3"/>
      <c r="K306" s="3"/>
      <c r="L306" s="3"/>
      <c r="M306" s="3"/>
    </row>
    <row r="307">
      <c r="A307" s="4" t="str">
        <f>IFERROR(__xludf.DUMMYFUNCTION("""COMPUTED_VALUE"""),"0105755550 / 252610383")</f>
        <v>0105755550 / 252610383</v>
      </c>
      <c r="B307" s="4" t="str">
        <f>IFERROR(__xludf.DUMMYFUNCTION("""COMPUTED_VALUE"""),"Myiesha Lunar Wisesa Putri - P")</f>
        <v>Myiesha Lunar Wisesa Putri - P</v>
      </c>
      <c r="C307" s="4" t="str">
        <f>IFERROR(__xludf.DUMMYFUNCTION("""COMPUTED_VALUE"""),"P")</f>
        <v>P</v>
      </c>
      <c r="D307" s="4">
        <f>IFERROR(__xludf.DUMMYFUNCTION("""COMPUTED_VALUE"""),33.0)</f>
        <v>33</v>
      </c>
      <c r="E307" s="4" t="str">
        <f>IFERROR(__xludf.DUMMYFUNCTION("""COMPUTED_VALUE"""),"X7")</f>
        <v>X7</v>
      </c>
      <c r="F307" s="5" t="str">
        <f>IFERROR(__xludf.DUMMYFUNCTION("""COMPUTED_VALUE"""),"33 - X7 - Myiesha Lunar Wisesa Putri - P")</f>
        <v>33 - X7 - Myiesha Lunar Wisesa Putri - P</v>
      </c>
      <c r="G307" s="3"/>
      <c r="H307" s="3"/>
      <c r="I307" s="3"/>
      <c r="J307" s="3"/>
      <c r="K307" s="3"/>
      <c r="L307" s="3"/>
      <c r="M307" s="3"/>
    </row>
    <row r="308">
      <c r="A308" s="4" t="str">
        <f>IFERROR(__xludf.DUMMYFUNCTION("""COMPUTED_VALUE"""),"0106828126 / 252610389")</f>
        <v>0106828126 / 252610389</v>
      </c>
      <c r="B308" s="4" t="str">
        <f>IFERROR(__xludf.DUMMYFUNCTION("""COMPUTED_VALUE"""),"Nadila Safira - P")</f>
        <v>Nadila Safira - P</v>
      </c>
      <c r="C308" s="4" t="str">
        <f>IFERROR(__xludf.DUMMYFUNCTION("""COMPUTED_VALUE"""),"P")</f>
        <v>P</v>
      </c>
      <c r="D308" s="4">
        <f>IFERROR(__xludf.DUMMYFUNCTION("""COMPUTED_VALUE"""),33.0)</f>
        <v>33</v>
      </c>
      <c r="E308" s="4" t="str">
        <f>IFERROR(__xludf.DUMMYFUNCTION("""COMPUTED_VALUE"""),"X7")</f>
        <v>X7</v>
      </c>
      <c r="F308" s="5" t="str">
        <f>IFERROR(__xludf.DUMMYFUNCTION("""COMPUTED_VALUE"""),"33 - X7 - Nadila Safira - P")</f>
        <v>33 - X7 - Nadila Safira - P</v>
      </c>
      <c r="G308" s="3"/>
      <c r="H308" s="3"/>
      <c r="I308" s="3"/>
      <c r="J308" s="3"/>
      <c r="K308" s="3"/>
      <c r="L308" s="3"/>
      <c r="M308" s="3"/>
    </row>
    <row r="309">
      <c r="A309" s="4" t="str">
        <f>IFERROR(__xludf.DUMMYFUNCTION("""COMPUTED_VALUE"""),"0097673142 / 252610404")</f>
        <v>0097673142 / 252610404</v>
      </c>
      <c r="B309" s="4" t="str">
        <f>IFERROR(__xludf.DUMMYFUNCTION("""COMPUTED_VALUE"""),"Naurah Afifah Amaliyah - P")</f>
        <v>Naurah Afifah Amaliyah - P</v>
      </c>
      <c r="C309" s="4" t="str">
        <f>IFERROR(__xludf.DUMMYFUNCTION("""COMPUTED_VALUE"""),"P")</f>
        <v>P</v>
      </c>
      <c r="D309" s="4">
        <f>IFERROR(__xludf.DUMMYFUNCTION("""COMPUTED_VALUE"""),33.0)</f>
        <v>33</v>
      </c>
      <c r="E309" s="4" t="str">
        <f>IFERROR(__xludf.DUMMYFUNCTION("""COMPUTED_VALUE"""),"X7")</f>
        <v>X7</v>
      </c>
      <c r="F309" s="5" t="str">
        <f>IFERROR(__xludf.DUMMYFUNCTION("""COMPUTED_VALUE"""),"33 - X7 - Naurah Afifah Amaliyah - P")</f>
        <v>33 - X7 - Naurah Afifah Amaliyah - P</v>
      </c>
      <c r="G309" s="3"/>
      <c r="H309" s="3"/>
      <c r="I309" s="3"/>
      <c r="J309" s="3"/>
      <c r="K309" s="3"/>
      <c r="L309" s="3"/>
      <c r="M309" s="3"/>
    </row>
    <row r="310">
      <c r="A310" s="4" t="str">
        <f>IFERROR(__xludf.DUMMYFUNCTION("""COMPUTED_VALUE"""),"0107698921 / 252610409")</f>
        <v>0107698921 / 252610409</v>
      </c>
      <c r="B310" s="4" t="str">
        <f>IFERROR(__xludf.DUMMYFUNCTION("""COMPUTED_VALUE"""),"Nayla Widya Cakraprawartana - P")</f>
        <v>Nayla Widya Cakraprawartana - P</v>
      </c>
      <c r="C310" s="4" t="str">
        <f>IFERROR(__xludf.DUMMYFUNCTION("""COMPUTED_VALUE"""),"P")</f>
        <v>P</v>
      </c>
      <c r="D310" s="4">
        <f>IFERROR(__xludf.DUMMYFUNCTION("""COMPUTED_VALUE"""),33.0)</f>
        <v>33</v>
      </c>
      <c r="E310" s="4" t="str">
        <f>IFERROR(__xludf.DUMMYFUNCTION("""COMPUTED_VALUE"""),"X7")</f>
        <v>X7</v>
      </c>
      <c r="F310" s="5" t="str">
        <f>IFERROR(__xludf.DUMMYFUNCTION("""COMPUTED_VALUE"""),"33 - X7 - Nayla Widya Cakraprawartana - P")</f>
        <v>33 - X7 - Nayla Widya Cakraprawartana - P</v>
      </c>
      <c r="G310" s="3"/>
      <c r="H310" s="3"/>
      <c r="I310" s="3"/>
      <c r="J310" s="3"/>
      <c r="K310" s="3"/>
      <c r="L310" s="3"/>
      <c r="M310" s="3"/>
    </row>
    <row r="311">
      <c r="A311" s="4" t="str">
        <f>IFERROR(__xludf.DUMMYFUNCTION("""COMPUTED_VALUE"""),"0098514088 / 252610428")</f>
        <v>0098514088 / 252610428</v>
      </c>
      <c r="B311" s="4" t="str">
        <f>IFERROR(__xludf.DUMMYFUNCTION("""COMPUTED_VALUE"""),"Nydia Aisyah Allifia - P")</f>
        <v>Nydia Aisyah Allifia - P</v>
      </c>
      <c r="C311" s="4" t="str">
        <f>IFERROR(__xludf.DUMMYFUNCTION("""COMPUTED_VALUE"""),"P")</f>
        <v>P</v>
      </c>
      <c r="D311" s="4">
        <f>IFERROR(__xludf.DUMMYFUNCTION("""COMPUTED_VALUE"""),33.0)</f>
        <v>33</v>
      </c>
      <c r="E311" s="4" t="str">
        <f>IFERROR(__xludf.DUMMYFUNCTION("""COMPUTED_VALUE"""),"X7")</f>
        <v>X7</v>
      </c>
      <c r="F311" s="5" t="str">
        <f>IFERROR(__xludf.DUMMYFUNCTION("""COMPUTED_VALUE"""),"33 - X7 - Nydia Aisyah Allifia - P")</f>
        <v>33 - X7 - Nydia Aisyah Allifia - P</v>
      </c>
      <c r="G311" s="3"/>
      <c r="H311" s="3"/>
      <c r="I311" s="3"/>
      <c r="J311" s="3"/>
      <c r="K311" s="3"/>
      <c r="L311" s="3"/>
      <c r="M311" s="3"/>
    </row>
    <row r="312">
      <c r="A312" s="4" t="str">
        <f>IFERROR(__xludf.DUMMYFUNCTION("""COMPUTED_VALUE"""),"0108129059 / 252610464")</f>
        <v>0108129059 / 252610464</v>
      </c>
      <c r="B312" s="4" t="str">
        <f>IFERROR(__xludf.DUMMYFUNCTION("""COMPUTED_VALUE"""),"Raihana Humairah Budianto - P")</f>
        <v>Raihana Humairah Budianto - P</v>
      </c>
      <c r="C312" s="4" t="str">
        <f>IFERROR(__xludf.DUMMYFUNCTION("""COMPUTED_VALUE"""),"P")</f>
        <v>P</v>
      </c>
      <c r="D312" s="4">
        <f>IFERROR(__xludf.DUMMYFUNCTION("""COMPUTED_VALUE"""),33.0)</f>
        <v>33</v>
      </c>
      <c r="E312" s="4" t="str">
        <f>IFERROR(__xludf.DUMMYFUNCTION("""COMPUTED_VALUE"""),"X7")</f>
        <v>X7</v>
      </c>
      <c r="F312" s="5" t="str">
        <f>IFERROR(__xludf.DUMMYFUNCTION("""COMPUTED_VALUE"""),"33 - X7 - Raihana Humairah Budianto - P")</f>
        <v>33 - X7 - Raihana Humairah Budianto - P</v>
      </c>
      <c r="G312" s="3"/>
      <c r="H312" s="3"/>
      <c r="I312" s="3"/>
      <c r="J312" s="3"/>
      <c r="K312" s="3"/>
      <c r="L312" s="3"/>
      <c r="M312" s="3"/>
    </row>
    <row r="313">
      <c r="A313" s="4" t="str">
        <f>IFERROR(__xludf.DUMMYFUNCTION("""COMPUTED_VALUE"""),"0109551129 / 252610466")</f>
        <v>0109551129 / 252610466</v>
      </c>
      <c r="B313" s="4" t="str">
        <f>IFERROR(__xludf.DUMMYFUNCTION("""COMPUTED_VALUE"""),"Raisa Putri Rahima - P")</f>
        <v>Raisa Putri Rahima - P</v>
      </c>
      <c r="C313" s="4" t="str">
        <f>IFERROR(__xludf.DUMMYFUNCTION("""COMPUTED_VALUE"""),"P")</f>
        <v>P</v>
      </c>
      <c r="D313" s="4">
        <f>IFERROR(__xludf.DUMMYFUNCTION("""COMPUTED_VALUE"""),33.0)</f>
        <v>33</v>
      </c>
      <c r="E313" s="4" t="str">
        <f>IFERROR(__xludf.DUMMYFUNCTION("""COMPUTED_VALUE"""),"X7")</f>
        <v>X7</v>
      </c>
      <c r="F313" s="5" t="str">
        <f>IFERROR(__xludf.DUMMYFUNCTION("""COMPUTED_VALUE"""),"33 - X7 - Raisa Putri Rahima - P")</f>
        <v>33 - X7 - Raisa Putri Rahima - P</v>
      </c>
      <c r="G313" s="3"/>
      <c r="H313" s="3"/>
      <c r="I313" s="3"/>
      <c r="J313" s="3"/>
      <c r="K313" s="3"/>
      <c r="L313" s="3"/>
      <c r="M313" s="3"/>
    </row>
    <row r="314">
      <c r="A314" s="4" t="str">
        <f>IFERROR(__xludf.DUMMYFUNCTION("""COMPUTED_VALUE"""),"0096444734 / 252610491")</f>
        <v>0096444734 / 252610491</v>
      </c>
      <c r="B314" s="4" t="str">
        <f>IFERROR(__xludf.DUMMYFUNCTION("""COMPUTED_VALUE"""),"Rindu Gatari Asmiladi - P")</f>
        <v>Rindu Gatari Asmiladi - P</v>
      </c>
      <c r="C314" s="4" t="str">
        <f>IFERROR(__xludf.DUMMYFUNCTION("""COMPUTED_VALUE"""),"P")</f>
        <v>P</v>
      </c>
      <c r="D314" s="4">
        <f>IFERROR(__xludf.DUMMYFUNCTION("""COMPUTED_VALUE"""),33.0)</f>
        <v>33</v>
      </c>
      <c r="E314" s="4" t="str">
        <f>IFERROR(__xludf.DUMMYFUNCTION("""COMPUTED_VALUE"""),"X7")</f>
        <v>X7</v>
      </c>
      <c r="F314" s="5" t="str">
        <f>IFERROR(__xludf.DUMMYFUNCTION("""COMPUTED_VALUE"""),"33 - X7 - Rindu Gatari Asmiladi - P")</f>
        <v>33 - X7 - Rindu Gatari Asmiladi - P</v>
      </c>
      <c r="G314" s="3"/>
      <c r="H314" s="3"/>
      <c r="I314" s="3"/>
      <c r="J314" s="3"/>
      <c r="K314" s="3"/>
      <c r="L314" s="3"/>
      <c r="M314" s="3"/>
    </row>
    <row r="315">
      <c r="A315" s="4" t="str">
        <f>IFERROR(__xludf.DUMMYFUNCTION("""COMPUTED_VALUE"""),"0107487290 / 252610504")</f>
        <v>0107487290 / 252610504</v>
      </c>
      <c r="B315" s="4" t="str">
        <f>IFERROR(__xludf.DUMMYFUNCTION("""COMPUTED_VALUE"""),"Salman Latif Anshari - L")</f>
        <v>Salman Latif Anshari - L</v>
      </c>
      <c r="C315" s="4" t="str">
        <f>IFERROR(__xludf.DUMMYFUNCTION("""COMPUTED_VALUE"""),"L")</f>
        <v>L</v>
      </c>
      <c r="D315" s="4">
        <f>IFERROR(__xludf.DUMMYFUNCTION("""COMPUTED_VALUE"""),33.0)</f>
        <v>33</v>
      </c>
      <c r="E315" s="4" t="str">
        <f>IFERROR(__xludf.DUMMYFUNCTION("""COMPUTED_VALUE"""),"X7")</f>
        <v>X7</v>
      </c>
      <c r="F315" s="5" t="str">
        <f>IFERROR(__xludf.DUMMYFUNCTION("""COMPUTED_VALUE"""),"33 - X7 - Salman Latif Anshari - L")</f>
        <v>33 - X7 - Salman Latif Anshari - L</v>
      </c>
      <c r="G315" s="3"/>
      <c r="H315" s="3"/>
      <c r="I315" s="3"/>
      <c r="J315" s="3"/>
      <c r="K315" s="3"/>
      <c r="L315" s="3"/>
      <c r="M315" s="3"/>
    </row>
    <row r="316">
      <c r="A316" s="4" t="str">
        <f>IFERROR(__xludf.DUMMYFUNCTION("""COMPUTED_VALUE"""),"3102286552 / 252610523")</f>
        <v>3102286552 / 252610523</v>
      </c>
      <c r="B316" s="4" t="str">
        <f>IFERROR(__xludf.DUMMYFUNCTION("""COMPUTED_VALUE"""),"Siti Iklima Sakurani - P")</f>
        <v>Siti Iklima Sakurani - P</v>
      </c>
      <c r="C316" s="4" t="str">
        <f>IFERROR(__xludf.DUMMYFUNCTION("""COMPUTED_VALUE"""),"P")</f>
        <v>P</v>
      </c>
      <c r="D316" s="4">
        <f>IFERROR(__xludf.DUMMYFUNCTION("""COMPUTED_VALUE"""),33.0)</f>
        <v>33</v>
      </c>
      <c r="E316" s="4" t="str">
        <f>IFERROR(__xludf.DUMMYFUNCTION("""COMPUTED_VALUE"""),"X7")</f>
        <v>X7</v>
      </c>
      <c r="F316" s="5" t="str">
        <f>IFERROR(__xludf.DUMMYFUNCTION("""COMPUTED_VALUE"""),"33 - X7 - Siti Iklima Sakurani - P")</f>
        <v>33 - X7 - Siti Iklima Sakurani - P</v>
      </c>
      <c r="G316" s="3"/>
      <c r="H316" s="3"/>
      <c r="I316" s="3"/>
      <c r="J316" s="3"/>
      <c r="K316" s="3"/>
      <c r="L316" s="3"/>
      <c r="M316" s="3"/>
    </row>
    <row r="317">
      <c r="A317" s="4" t="str">
        <f>IFERROR(__xludf.DUMMYFUNCTION("""COMPUTED_VALUE"""),"0107936085 / 252610525")</f>
        <v>0107936085 / 252610525</v>
      </c>
      <c r="B317" s="4" t="str">
        <f>IFERROR(__xludf.DUMMYFUNCTION("""COMPUTED_VALUE"""),"Sultan Reynard Sabdadika - L")</f>
        <v>Sultan Reynard Sabdadika - L</v>
      </c>
      <c r="C317" s="4" t="str">
        <f>IFERROR(__xludf.DUMMYFUNCTION("""COMPUTED_VALUE"""),"L")</f>
        <v>L</v>
      </c>
      <c r="D317" s="4">
        <f>IFERROR(__xludf.DUMMYFUNCTION("""COMPUTED_VALUE"""),33.0)</f>
        <v>33</v>
      </c>
      <c r="E317" s="4" t="str">
        <f>IFERROR(__xludf.DUMMYFUNCTION("""COMPUTED_VALUE"""),"X7")</f>
        <v>X7</v>
      </c>
      <c r="F317" s="5" t="str">
        <f>IFERROR(__xludf.DUMMYFUNCTION("""COMPUTED_VALUE"""),"33 - X7 - Sultan Reynard Sabdadika - L")</f>
        <v>33 - X7 - Sultan Reynard Sabdadika - L</v>
      </c>
      <c r="G317" s="3"/>
      <c r="H317" s="3"/>
      <c r="I317" s="3"/>
      <c r="J317" s="3"/>
      <c r="K317" s="3"/>
      <c r="L317" s="3"/>
      <c r="M317" s="3"/>
    </row>
    <row r="318">
      <c r="A318" s="4" t="str">
        <f>IFERROR(__xludf.DUMMYFUNCTION("""COMPUTED_VALUE"""),"0106701592 / 252610527")</f>
        <v>0106701592 / 252610527</v>
      </c>
      <c r="B318" s="4" t="str">
        <f>IFERROR(__xludf.DUMMYFUNCTION("""COMPUTED_VALUE"""),"Syafiqa Bariq Mahya - P")</f>
        <v>Syafiqa Bariq Mahya - P</v>
      </c>
      <c r="C318" s="4" t="str">
        <f>IFERROR(__xludf.DUMMYFUNCTION("""COMPUTED_VALUE"""),"P")</f>
        <v>P</v>
      </c>
      <c r="D318" s="4">
        <f>IFERROR(__xludf.DUMMYFUNCTION("""COMPUTED_VALUE"""),33.0)</f>
        <v>33</v>
      </c>
      <c r="E318" s="4" t="str">
        <f>IFERROR(__xludf.DUMMYFUNCTION("""COMPUTED_VALUE"""),"X7")</f>
        <v>X7</v>
      </c>
      <c r="F318" s="5" t="str">
        <f>IFERROR(__xludf.DUMMYFUNCTION("""COMPUTED_VALUE"""),"33 - X7 - Syafiqa Bariq Mahya - P")</f>
        <v>33 - X7 - Syafiqa Bariq Mahya - P</v>
      </c>
      <c r="G318" s="3"/>
      <c r="H318" s="3"/>
      <c r="I318" s="3"/>
      <c r="J318" s="3"/>
      <c r="K318" s="3"/>
      <c r="L318" s="3"/>
      <c r="M318" s="3"/>
    </row>
    <row r="319">
      <c r="A319" s="4" t="str">
        <f>IFERROR(__xludf.DUMMYFUNCTION("""COMPUTED_VALUE"""),"0104155224 / 252610532")</f>
        <v>0104155224 / 252610532</v>
      </c>
      <c r="B319" s="4" t="str">
        <f>IFERROR(__xludf.DUMMYFUNCTION("""COMPUTED_VALUE"""),"Syahluna Ananta Putri - P")</f>
        <v>Syahluna Ananta Putri - P</v>
      </c>
      <c r="C319" s="4" t="str">
        <f>IFERROR(__xludf.DUMMYFUNCTION("""COMPUTED_VALUE"""),"P")</f>
        <v>P</v>
      </c>
      <c r="D319" s="4">
        <f>IFERROR(__xludf.DUMMYFUNCTION("""COMPUTED_VALUE"""),33.0)</f>
        <v>33</v>
      </c>
      <c r="E319" s="4" t="str">
        <f>IFERROR(__xludf.DUMMYFUNCTION("""COMPUTED_VALUE"""),"X7")</f>
        <v>X7</v>
      </c>
      <c r="F319" s="5" t="str">
        <f>IFERROR(__xludf.DUMMYFUNCTION("""COMPUTED_VALUE"""),"33 - X7 - Syahluna Ananta Putri - P")</f>
        <v>33 - X7 - Syahluna Ananta Putri - P</v>
      </c>
      <c r="G319" s="3"/>
      <c r="H319" s="3"/>
      <c r="I319" s="3"/>
      <c r="J319" s="3"/>
      <c r="K319" s="3"/>
      <c r="L319" s="3"/>
      <c r="M319" s="3"/>
    </row>
    <row r="320">
      <c r="A320" s="4" t="str">
        <f>IFERROR(__xludf.DUMMYFUNCTION("""COMPUTED_VALUE"""),"0097446281 / 252610539")</f>
        <v>0097446281 / 252610539</v>
      </c>
      <c r="B320" s="4" t="str">
        <f>IFERROR(__xludf.DUMMYFUNCTION("""COMPUTED_VALUE"""),"Tabah Rafie Abdillah - L")</f>
        <v>Tabah Rafie Abdillah - L</v>
      </c>
      <c r="C320" s="4" t="str">
        <f>IFERROR(__xludf.DUMMYFUNCTION("""COMPUTED_VALUE"""),"L")</f>
        <v>L</v>
      </c>
      <c r="D320" s="4">
        <f>IFERROR(__xludf.DUMMYFUNCTION("""COMPUTED_VALUE"""),33.0)</f>
        <v>33</v>
      </c>
      <c r="E320" s="4" t="str">
        <f>IFERROR(__xludf.DUMMYFUNCTION("""COMPUTED_VALUE"""),"X7")</f>
        <v>X7</v>
      </c>
      <c r="F320" s="5" t="str">
        <f>IFERROR(__xludf.DUMMYFUNCTION("""COMPUTED_VALUE"""),"33 - X7 - Tabah Rafie Abdillah - L")</f>
        <v>33 - X7 - Tabah Rafie Abdillah - L</v>
      </c>
      <c r="G320" s="3"/>
      <c r="H320" s="3"/>
      <c r="I320" s="3"/>
      <c r="J320" s="3"/>
      <c r="K320" s="3"/>
      <c r="L320" s="3"/>
      <c r="M320" s="3"/>
    </row>
    <row r="321">
      <c r="A321" s="4" t="str">
        <f>IFERROR(__xludf.DUMMYFUNCTION("""COMPUTED_VALUE"""),"0105614197 / 252610547")</f>
        <v>0105614197 / 252610547</v>
      </c>
      <c r="B321" s="4" t="str">
        <f>IFERROR(__xludf.DUMMYFUNCTION("""COMPUTED_VALUE"""),"Tristan Lovriano Aryasatya - L")</f>
        <v>Tristan Lovriano Aryasatya - L</v>
      </c>
      <c r="C321" s="4" t="str">
        <f>IFERROR(__xludf.DUMMYFUNCTION("""COMPUTED_VALUE"""),"L")</f>
        <v>L</v>
      </c>
      <c r="D321" s="4">
        <f>IFERROR(__xludf.DUMMYFUNCTION("""COMPUTED_VALUE"""),33.0)</f>
        <v>33</v>
      </c>
      <c r="E321" s="4" t="str">
        <f>IFERROR(__xludf.DUMMYFUNCTION("""COMPUTED_VALUE"""),"X7")</f>
        <v>X7</v>
      </c>
      <c r="F321" s="5" t="str">
        <f>IFERROR(__xludf.DUMMYFUNCTION("""COMPUTED_VALUE"""),"33 - X7 - Tristan Lovriano Aryasatya - L")</f>
        <v>33 - X7 - Tristan Lovriano Aryasatya - L</v>
      </c>
      <c r="G321" s="3"/>
      <c r="H321" s="3"/>
      <c r="I321" s="3"/>
      <c r="J321" s="3"/>
      <c r="K321" s="3"/>
      <c r="L321" s="3"/>
      <c r="M321" s="3"/>
    </row>
    <row r="322">
      <c r="A322" s="4" t="str">
        <f>IFERROR(__xludf.DUMMYFUNCTION("""COMPUTED_VALUE"""),"0109499801 / 252610559")</f>
        <v>0109499801 / 252610559</v>
      </c>
      <c r="B322" s="4" t="str">
        <f>IFERROR(__xludf.DUMMYFUNCTION("""COMPUTED_VALUE"""),"Zafira Salsa Haniah - P")</f>
        <v>Zafira Salsa Haniah - P</v>
      </c>
      <c r="C322" s="4" t="str">
        <f>IFERROR(__xludf.DUMMYFUNCTION("""COMPUTED_VALUE"""),"P")</f>
        <v>P</v>
      </c>
      <c r="D322" s="4">
        <f>IFERROR(__xludf.DUMMYFUNCTION("""COMPUTED_VALUE"""),33.0)</f>
        <v>33</v>
      </c>
      <c r="E322" s="4" t="str">
        <f>IFERROR(__xludf.DUMMYFUNCTION("""COMPUTED_VALUE"""),"X7")</f>
        <v>X7</v>
      </c>
      <c r="F322" s="5" t="str">
        <f>IFERROR(__xludf.DUMMYFUNCTION("""COMPUTED_VALUE"""),"33 - X7 - Zafira Salsa Haniah - P")</f>
        <v>33 - X7 - Zafira Salsa Haniah - P</v>
      </c>
      <c r="G322" s="3"/>
      <c r="H322" s="3"/>
      <c r="I322" s="3"/>
      <c r="J322" s="3"/>
      <c r="K322" s="3"/>
      <c r="L322" s="3"/>
      <c r="M322" s="3"/>
    </row>
    <row r="323">
      <c r="A323" s="4" t="str">
        <f>IFERROR(__xludf.DUMMYFUNCTION("""COMPUTED_VALUE"""),"0093560012 / 252610007")</f>
        <v>0093560012 / 252610007</v>
      </c>
      <c r="B323" s="4" t="str">
        <f>IFERROR(__xludf.DUMMYFUNCTION("""COMPUTED_VALUE"""),"Adelia Niken - P")</f>
        <v>Adelia Niken - P</v>
      </c>
      <c r="C323" s="4" t="str">
        <f>IFERROR(__xludf.DUMMYFUNCTION("""COMPUTED_VALUE"""),"P")</f>
        <v>P</v>
      </c>
      <c r="D323" s="4">
        <f>IFERROR(__xludf.DUMMYFUNCTION("""COMPUTED_VALUE"""),33.0)</f>
        <v>33</v>
      </c>
      <c r="E323" s="4" t="str">
        <f>IFERROR(__xludf.DUMMYFUNCTION("""COMPUTED_VALUE"""),"X8")</f>
        <v>X8</v>
      </c>
      <c r="F323" s="5" t="str">
        <f>IFERROR(__xludf.DUMMYFUNCTION("""COMPUTED_VALUE"""),"33 - X8 - Adelia Niken - P")</f>
        <v>33 - X8 - Adelia Niken - P</v>
      </c>
      <c r="G323" s="3"/>
      <c r="H323" s="3"/>
      <c r="I323" s="3"/>
      <c r="J323" s="3"/>
      <c r="K323" s="3"/>
      <c r="L323" s="3"/>
      <c r="M323" s="3"/>
    </row>
    <row r="324">
      <c r="A324" s="4" t="str">
        <f>IFERROR(__xludf.DUMMYFUNCTION("""COMPUTED_VALUE"""),"0092017710 / 252610028")</f>
        <v>0092017710 / 252610028</v>
      </c>
      <c r="B324" s="4" t="str">
        <f>IFERROR(__xludf.DUMMYFUNCTION("""COMPUTED_VALUE"""),"Aisyah Agustiani - P")</f>
        <v>Aisyah Agustiani - P</v>
      </c>
      <c r="C324" s="4" t="str">
        <f>IFERROR(__xludf.DUMMYFUNCTION("""COMPUTED_VALUE"""),"P")</f>
        <v>P</v>
      </c>
      <c r="D324" s="4">
        <f>IFERROR(__xludf.DUMMYFUNCTION("""COMPUTED_VALUE"""),33.0)</f>
        <v>33</v>
      </c>
      <c r="E324" s="4" t="str">
        <f>IFERROR(__xludf.DUMMYFUNCTION("""COMPUTED_VALUE"""),"X8")</f>
        <v>X8</v>
      </c>
      <c r="F324" s="5" t="str">
        <f>IFERROR(__xludf.DUMMYFUNCTION("""COMPUTED_VALUE"""),"33 - X8 - Aisyah Agustiani - P")</f>
        <v>33 - X8 - Aisyah Agustiani - P</v>
      </c>
      <c r="G324" s="3"/>
      <c r="H324" s="3"/>
      <c r="I324" s="3"/>
      <c r="J324" s="3"/>
      <c r="K324" s="3"/>
      <c r="L324" s="3"/>
      <c r="M324" s="3"/>
    </row>
    <row r="325">
      <c r="A325" s="4" t="str">
        <f>IFERROR(__xludf.DUMMYFUNCTION("""COMPUTED_VALUE"""),"0098009248 / 252610035")</f>
        <v>0098009248 / 252610035</v>
      </c>
      <c r="B325" s="4" t="str">
        <f>IFERROR(__xludf.DUMMYFUNCTION("""COMPUTED_VALUE"""),"Alenka Meisyarofa - P")</f>
        <v>Alenka Meisyarofa - P</v>
      </c>
      <c r="C325" s="4" t="str">
        <f>IFERROR(__xludf.DUMMYFUNCTION("""COMPUTED_VALUE"""),"P")</f>
        <v>P</v>
      </c>
      <c r="D325" s="4">
        <f>IFERROR(__xludf.DUMMYFUNCTION("""COMPUTED_VALUE"""),33.0)</f>
        <v>33</v>
      </c>
      <c r="E325" s="4" t="str">
        <f>IFERROR(__xludf.DUMMYFUNCTION("""COMPUTED_VALUE"""),"X8")</f>
        <v>X8</v>
      </c>
      <c r="F325" s="5" t="str">
        <f>IFERROR(__xludf.DUMMYFUNCTION("""COMPUTED_VALUE"""),"33 - X8 - Alenka Meisyarofa - P")</f>
        <v>33 - X8 - Alenka Meisyarofa - P</v>
      </c>
      <c r="G325" s="3"/>
      <c r="H325" s="3"/>
      <c r="I325" s="3"/>
      <c r="J325" s="3"/>
      <c r="K325" s="3"/>
      <c r="L325" s="3"/>
      <c r="M325" s="3"/>
    </row>
    <row r="326">
      <c r="A326" s="4" t="str">
        <f>IFERROR(__xludf.DUMMYFUNCTION("""COMPUTED_VALUE"""),"3105167232 / 252610040")</f>
        <v>3105167232 / 252610040</v>
      </c>
      <c r="B326" s="4" t="str">
        <f>IFERROR(__xludf.DUMMYFUNCTION("""COMPUTED_VALUE"""),"Alifa Taqqiya Zahwa - P")</f>
        <v>Alifa Taqqiya Zahwa - P</v>
      </c>
      <c r="C326" s="4" t="str">
        <f>IFERROR(__xludf.DUMMYFUNCTION("""COMPUTED_VALUE"""),"P")</f>
        <v>P</v>
      </c>
      <c r="D326" s="4">
        <f>IFERROR(__xludf.DUMMYFUNCTION("""COMPUTED_VALUE"""),33.0)</f>
        <v>33</v>
      </c>
      <c r="E326" s="4" t="str">
        <f>IFERROR(__xludf.DUMMYFUNCTION("""COMPUTED_VALUE"""),"X8")</f>
        <v>X8</v>
      </c>
      <c r="F326" s="5" t="str">
        <f>IFERROR(__xludf.DUMMYFUNCTION("""COMPUTED_VALUE"""),"33 - X8 - Alifa Taqqiya Zahwa - P")</f>
        <v>33 - X8 - Alifa Taqqiya Zahwa - P</v>
      </c>
      <c r="G326" s="3"/>
      <c r="H326" s="3"/>
      <c r="I326" s="3"/>
      <c r="J326" s="3"/>
      <c r="K326" s="3"/>
      <c r="L326" s="3"/>
      <c r="M326" s="3"/>
    </row>
    <row r="327">
      <c r="A327" s="4" t="str">
        <f>IFERROR(__xludf.DUMMYFUNCTION("""COMPUTED_VALUE"""),"0107122505 / 252610041")</f>
        <v>0107122505 / 252610041</v>
      </c>
      <c r="B327" s="4" t="str">
        <f>IFERROR(__xludf.DUMMYFUNCTION("""COMPUTED_VALUE"""),"Alifah Hasannah - P")</f>
        <v>Alifah Hasannah - P</v>
      </c>
      <c r="C327" s="4" t="str">
        <f>IFERROR(__xludf.DUMMYFUNCTION("""COMPUTED_VALUE"""),"P")</f>
        <v>P</v>
      </c>
      <c r="D327" s="4">
        <f>IFERROR(__xludf.DUMMYFUNCTION("""COMPUTED_VALUE"""),33.0)</f>
        <v>33</v>
      </c>
      <c r="E327" s="4" t="str">
        <f>IFERROR(__xludf.DUMMYFUNCTION("""COMPUTED_VALUE"""),"X8")</f>
        <v>X8</v>
      </c>
      <c r="F327" s="5" t="str">
        <f>IFERROR(__xludf.DUMMYFUNCTION("""COMPUTED_VALUE"""),"33 - X8 - Alifah Hasannah - P")</f>
        <v>33 - X8 - Alifah Hasannah - P</v>
      </c>
      <c r="G327" s="3"/>
      <c r="H327" s="3"/>
      <c r="I327" s="3"/>
      <c r="J327" s="3"/>
      <c r="K327" s="3"/>
      <c r="L327" s="3"/>
      <c r="M327" s="3"/>
    </row>
    <row r="328">
      <c r="A328" s="4" t="str">
        <f>IFERROR(__xludf.DUMMYFUNCTION("""COMPUTED_VALUE"""),"0104668456 / 252610061")</f>
        <v>0104668456 / 252610061</v>
      </c>
      <c r="B328" s="4" t="str">
        <f>IFERROR(__xludf.DUMMYFUNCTION("""COMPUTED_VALUE"""),"Andagita Vilnaria Atha - P")</f>
        <v>Andagita Vilnaria Atha - P</v>
      </c>
      <c r="C328" s="4" t="str">
        <f>IFERROR(__xludf.DUMMYFUNCTION("""COMPUTED_VALUE"""),"P")</f>
        <v>P</v>
      </c>
      <c r="D328" s="4">
        <f>IFERROR(__xludf.DUMMYFUNCTION("""COMPUTED_VALUE"""),33.0)</f>
        <v>33</v>
      </c>
      <c r="E328" s="4" t="str">
        <f>IFERROR(__xludf.DUMMYFUNCTION("""COMPUTED_VALUE"""),"X8")</f>
        <v>X8</v>
      </c>
      <c r="F328" s="5" t="str">
        <f>IFERROR(__xludf.DUMMYFUNCTION("""COMPUTED_VALUE"""),"33 - X8 - Andagita Vilnaria Atha - P")</f>
        <v>33 - X8 - Andagita Vilnaria Atha - P</v>
      </c>
      <c r="G328" s="3"/>
      <c r="H328" s="3"/>
      <c r="I328" s="3"/>
      <c r="J328" s="3"/>
      <c r="K328" s="3"/>
      <c r="L328" s="3"/>
      <c r="M328" s="3"/>
    </row>
    <row r="329">
      <c r="A329" s="4" t="str">
        <f>IFERROR(__xludf.DUMMYFUNCTION("""COMPUTED_VALUE"""),"0102036572 / 252610077")</f>
        <v>0102036572 / 252610077</v>
      </c>
      <c r="B329" s="4" t="str">
        <f>IFERROR(__xludf.DUMMYFUNCTION("""COMPUTED_VALUE"""),"Ariqah Putri Nasution - P")</f>
        <v>Ariqah Putri Nasution - P</v>
      </c>
      <c r="C329" s="4" t="str">
        <f>IFERROR(__xludf.DUMMYFUNCTION("""COMPUTED_VALUE"""),"P")</f>
        <v>P</v>
      </c>
      <c r="D329" s="4">
        <f>IFERROR(__xludf.DUMMYFUNCTION("""COMPUTED_VALUE"""),33.0)</f>
        <v>33</v>
      </c>
      <c r="E329" s="4" t="str">
        <f>IFERROR(__xludf.DUMMYFUNCTION("""COMPUTED_VALUE"""),"X8")</f>
        <v>X8</v>
      </c>
      <c r="F329" s="5" t="str">
        <f>IFERROR(__xludf.DUMMYFUNCTION("""COMPUTED_VALUE"""),"33 - X8 - Ariqah Putri Nasution - P")</f>
        <v>33 - X8 - Ariqah Putri Nasution - P</v>
      </c>
      <c r="G329" s="3"/>
      <c r="H329" s="3"/>
      <c r="I329" s="3"/>
      <c r="J329" s="3"/>
      <c r="K329" s="3"/>
      <c r="L329" s="3"/>
      <c r="M329" s="3"/>
    </row>
    <row r="330">
      <c r="A330" s="4" t="str">
        <f>IFERROR(__xludf.DUMMYFUNCTION("""COMPUTED_VALUE"""),"0102307654 / 252610097")</f>
        <v>0102307654 / 252610097</v>
      </c>
      <c r="B330" s="4" t="str">
        <f>IFERROR(__xludf.DUMMYFUNCTION("""COMPUTED_VALUE"""),"Aulia Cinta Divia - P")</f>
        <v>Aulia Cinta Divia - P</v>
      </c>
      <c r="C330" s="4" t="str">
        <f>IFERROR(__xludf.DUMMYFUNCTION("""COMPUTED_VALUE"""),"P")</f>
        <v>P</v>
      </c>
      <c r="D330" s="4">
        <f>IFERROR(__xludf.DUMMYFUNCTION("""COMPUTED_VALUE"""),33.0)</f>
        <v>33</v>
      </c>
      <c r="E330" s="4" t="str">
        <f>IFERROR(__xludf.DUMMYFUNCTION("""COMPUTED_VALUE"""),"X8")</f>
        <v>X8</v>
      </c>
      <c r="F330" s="5" t="str">
        <f>IFERROR(__xludf.DUMMYFUNCTION("""COMPUTED_VALUE"""),"33 - X8 - Aulia Cinta Divia - P")</f>
        <v>33 - X8 - Aulia Cinta Divia - P</v>
      </c>
      <c r="G330" s="3"/>
      <c r="H330" s="3"/>
      <c r="I330" s="3"/>
      <c r="J330" s="3"/>
      <c r="K330" s="3"/>
      <c r="L330" s="3"/>
      <c r="M330" s="3"/>
    </row>
    <row r="331">
      <c r="A331" s="4" t="str">
        <f>IFERROR(__xludf.DUMMYFUNCTION("""COMPUTED_VALUE"""),"0105089607 / 252610108")</f>
        <v>0105089607 / 252610108</v>
      </c>
      <c r="B331" s="4" t="str">
        <f>IFERROR(__xludf.DUMMYFUNCTION("""COMPUTED_VALUE"""),"Aysha Mahira Dewi Tryana - P")</f>
        <v>Aysha Mahira Dewi Tryana - P</v>
      </c>
      <c r="C331" s="4" t="str">
        <f>IFERROR(__xludf.DUMMYFUNCTION("""COMPUTED_VALUE"""),"P")</f>
        <v>P</v>
      </c>
      <c r="D331" s="4">
        <f>IFERROR(__xludf.DUMMYFUNCTION("""COMPUTED_VALUE"""),33.0)</f>
        <v>33</v>
      </c>
      <c r="E331" s="4" t="str">
        <f>IFERROR(__xludf.DUMMYFUNCTION("""COMPUTED_VALUE"""),"X8")</f>
        <v>X8</v>
      </c>
      <c r="F331" s="5" t="str">
        <f>IFERROR(__xludf.DUMMYFUNCTION("""COMPUTED_VALUE"""),"33 - X8 - Aysha Mahira Dewi Tryana - P")</f>
        <v>33 - X8 - Aysha Mahira Dewi Tryana - P</v>
      </c>
      <c r="G331" s="3"/>
      <c r="H331" s="3"/>
      <c r="I331" s="3"/>
      <c r="J331" s="3"/>
      <c r="K331" s="3"/>
      <c r="L331" s="3"/>
      <c r="M331" s="3"/>
    </row>
    <row r="332">
      <c r="A332" s="4" t="str">
        <f>IFERROR(__xludf.DUMMYFUNCTION("""COMPUTED_VALUE"""),"0096174502 / 252610118")</f>
        <v>0096174502 / 252610118</v>
      </c>
      <c r="B332" s="4" t="str">
        <f>IFERROR(__xludf.DUMMYFUNCTION("""COMPUTED_VALUE"""),"Belinda Angelica  - P")</f>
        <v>Belinda Angelica  - P</v>
      </c>
      <c r="C332" s="4" t="str">
        <f>IFERROR(__xludf.DUMMYFUNCTION("""COMPUTED_VALUE"""),"P")</f>
        <v>P</v>
      </c>
      <c r="D332" s="4">
        <f>IFERROR(__xludf.DUMMYFUNCTION("""COMPUTED_VALUE"""),33.0)</f>
        <v>33</v>
      </c>
      <c r="E332" s="4" t="str">
        <f>IFERROR(__xludf.DUMMYFUNCTION("""COMPUTED_VALUE"""),"X8")</f>
        <v>X8</v>
      </c>
      <c r="F332" s="5" t="str">
        <f>IFERROR(__xludf.DUMMYFUNCTION("""COMPUTED_VALUE"""),"33 - X8 - Belinda Angelica  - P")</f>
        <v>33 - X8 - Belinda Angelica  - P</v>
      </c>
      <c r="G332" s="3"/>
      <c r="H332" s="3"/>
      <c r="I332" s="3"/>
      <c r="J332" s="3"/>
      <c r="K332" s="3"/>
      <c r="L332" s="3"/>
      <c r="M332" s="3"/>
    </row>
    <row r="333">
      <c r="A333" s="4" t="str">
        <f>IFERROR(__xludf.DUMMYFUNCTION("""COMPUTED_VALUE"""),"0092180086 / 252610125")</f>
        <v>0092180086 / 252610125</v>
      </c>
      <c r="B333" s="4" t="str">
        <f>IFERROR(__xludf.DUMMYFUNCTION("""COMPUTED_VALUE"""),"Bima Anggareksa Yusiansyah - L")</f>
        <v>Bima Anggareksa Yusiansyah - L</v>
      </c>
      <c r="C333" s="4" t="str">
        <f>IFERROR(__xludf.DUMMYFUNCTION("""COMPUTED_VALUE"""),"L")</f>
        <v>L</v>
      </c>
      <c r="D333" s="4">
        <f>IFERROR(__xludf.DUMMYFUNCTION("""COMPUTED_VALUE"""),33.0)</f>
        <v>33</v>
      </c>
      <c r="E333" s="4" t="str">
        <f>IFERROR(__xludf.DUMMYFUNCTION("""COMPUTED_VALUE"""),"X8")</f>
        <v>X8</v>
      </c>
      <c r="F333" s="5" t="str">
        <f>IFERROR(__xludf.DUMMYFUNCTION("""COMPUTED_VALUE"""),"33 - X8 - Bima Anggareksa Yusiansyah - L")</f>
        <v>33 - X8 - Bima Anggareksa Yusiansyah - L</v>
      </c>
      <c r="G333" s="3"/>
      <c r="H333" s="3"/>
      <c r="I333" s="3"/>
      <c r="J333" s="3"/>
      <c r="K333" s="3"/>
      <c r="L333" s="3"/>
      <c r="M333" s="3"/>
    </row>
    <row r="334">
      <c r="A334" s="4" t="str">
        <f>IFERROR(__xludf.DUMMYFUNCTION("""COMPUTED_VALUE"""),"3094942931 / 252610151")</f>
        <v>3094942931 / 252610151</v>
      </c>
      <c r="B334" s="4" t="str">
        <f>IFERROR(__xludf.DUMMYFUNCTION("""COMPUTED_VALUE"""),"Dela Ananda Putri  - P")</f>
        <v>Dela Ananda Putri  - P</v>
      </c>
      <c r="C334" s="4" t="str">
        <f>IFERROR(__xludf.DUMMYFUNCTION("""COMPUTED_VALUE"""),"P")</f>
        <v>P</v>
      </c>
      <c r="D334" s="4">
        <f>IFERROR(__xludf.DUMMYFUNCTION("""COMPUTED_VALUE"""),33.0)</f>
        <v>33</v>
      </c>
      <c r="E334" s="4" t="str">
        <f>IFERROR(__xludf.DUMMYFUNCTION("""COMPUTED_VALUE"""),"X8")</f>
        <v>X8</v>
      </c>
      <c r="F334" s="5" t="str">
        <f>IFERROR(__xludf.DUMMYFUNCTION("""COMPUTED_VALUE"""),"33 - X8 - Dela Ananda Putri  - P")</f>
        <v>33 - X8 - Dela Ananda Putri  - P</v>
      </c>
      <c r="G334" s="3"/>
      <c r="H334" s="3"/>
      <c r="I334" s="3"/>
      <c r="J334" s="3"/>
      <c r="K334" s="3"/>
      <c r="L334" s="3"/>
      <c r="M334" s="3"/>
    </row>
    <row r="335">
      <c r="A335" s="4" t="str">
        <f>IFERROR(__xludf.DUMMYFUNCTION("""COMPUTED_VALUE"""),"0103091510 / 252610160")</f>
        <v>0103091510 / 252610160</v>
      </c>
      <c r="B335" s="4" t="str">
        <f>IFERROR(__xludf.DUMMYFUNCTION("""COMPUTED_VALUE"""),"Dian Noer Savitri  - P")</f>
        <v>Dian Noer Savitri  - P</v>
      </c>
      <c r="C335" s="4" t="str">
        <f>IFERROR(__xludf.DUMMYFUNCTION("""COMPUTED_VALUE"""),"P")</f>
        <v>P</v>
      </c>
      <c r="D335" s="4">
        <f>IFERROR(__xludf.DUMMYFUNCTION("""COMPUTED_VALUE"""),33.0)</f>
        <v>33</v>
      </c>
      <c r="E335" s="4" t="str">
        <f>IFERROR(__xludf.DUMMYFUNCTION("""COMPUTED_VALUE"""),"X8")</f>
        <v>X8</v>
      </c>
      <c r="F335" s="5" t="str">
        <f>IFERROR(__xludf.DUMMYFUNCTION("""COMPUTED_VALUE"""),"33 - X8 - Dian Noer Savitri  - P")</f>
        <v>33 - X8 - Dian Noer Savitri  - P</v>
      </c>
      <c r="G335" s="3"/>
      <c r="H335" s="3"/>
      <c r="I335" s="3"/>
      <c r="J335" s="3"/>
      <c r="K335" s="3"/>
      <c r="L335" s="3"/>
      <c r="M335" s="3"/>
    </row>
    <row r="336">
      <c r="A336" s="4" t="str">
        <f>IFERROR(__xludf.DUMMYFUNCTION("""COMPUTED_VALUE"""),"0093558313 / 252610161")</f>
        <v>0093558313 / 252610161</v>
      </c>
      <c r="B336" s="4" t="str">
        <f>IFERROR(__xludf.DUMMYFUNCTION("""COMPUTED_VALUE"""),"Diandra Mentari Fazri  - P")</f>
        <v>Diandra Mentari Fazri  - P</v>
      </c>
      <c r="C336" s="4" t="str">
        <f>IFERROR(__xludf.DUMMYFUNCTION("""COMPUTED_VALUE"""),"P")</f>
        <v>P</v>
      </c>
      <c r="D336" s="4">
        <f>IFERROR(__xludf.DUMMYFUNCTION("""COMPUTED_VALUE"""),33.0)</f>
        <v>33</v>
      </c>
      <c r="E336" s="4" t="str">
        <f>IFERROR(__xludf.DUMMYFUNCTION("""COMPUTED_VALUE"""),"X8")</f>
        <v>X8</v>
      </c>
      <c r="F336" s="5" t="str">
        <f>IFERROR(__xludf.DUMMYFUNCTION("""COMPUTED_VALUE"""),"33 - X8 - Diandra Mentari Fazri  - P")</f>
        <v>33 - X8 - Diandra Mentari Fazri  - P</v>
      </c>
      <c r="G336" s="3"/>
      <c r="H336" s="3"/>
      <c r="I336" s="3"/>
      <c r="J336" s="3"/>
      <c r="K336" s="3"/>
      <c r="L336" s="3"/>
      <c r="M336" s="3"/>
    </row>
    <row r="337">
      <c r="A337" s="4" t="str">
        <f>IFERROR(__xludf.DUMMYFUNCTION("""COMPUTED_VALUE"""),"0093242338 / 252610170")</f>
        <v>0093242338 / 252610170</v>
      </c>
      <c r="B337" s="4" t="str">
        <f>IFERROR(__xludf.DUMMYFUNCTION("""COMPUTED_VALUE"""),"Divania Kayla Windu Sabrina - P")</f>
        <v>Divania Kayla Windu Sabrina - P</v>
      </c>
      <c r="C337" s="4" t="str">
        <f>IFERROR(__xludf.DUMMYFUNCTION("""COMPUTED_VALUE"""),"P")</f>
        <v>P</v>
      </c>
      <c r="D337" s="4">
        <f>IFERROR(__xludf.DUMMYFUNCTION("""COMPUTED_VALUE"""),33.0)</f>
        <v>33</v>
      </c>
      <c r="E337" s="4" t="str">
        <f>IFERROR(__xludf.DUMMYFUNCTION("""COMPUTED_VALUE"""),"X8")</f>
        <v>X8</v>
      </c>
      <c r="F337" s="5" t="str">
        <f>IFERROR(__xludf.DUMMYFUNCTION("""COMPUTED_VALUE"""),"33 - X8 - Divania Kayla Windu Sabrina - P")</f>
        <v>33 - X8 - Divania Kayla Windu Sabrina - P</v>
      </c>
      <c r="G337" s="3"/>
      <c r="H337" s="3"/>
      <c r="I337" s="3"/>
      <c r="J337" s="3"/>
      <c r="K337" s="3"/>
      <c r="L337" s="3"/>
      <c r="M337" s="3"/>
    </row>
    <row r="338">
      <c r="A338" s="4" t="str">
        <f>IFERROR(__xludf.DUMMYFUNCTION("""COMPUTED_VALUE"""),"0095632017 / 252610174")</f>
        <v>0095632017 / 252610174</v>
      </c>
      <c r="B338" s="4" t="str">
        <f>IFERROR(__xludf.DUMMYFUNCTION("""COMPUTED_VALUE"""),"Dyshan Attaya Haq Triatno - P")</f>
        <v>Dyshan Attaya Haq Triatno - P</v>
      </c>
      <c r="C338" s="4" t="str">
        <f>IFERROR(__xludf.DUMMYFUNCTION("""COMPUTED_VALUE"""),"P")</f>
        <v>P</v>
      </c>
      <c r="D338" s="4">
        <f>IFERROR(__xludf.DUMMYFUNCTION("""COMPUTED_VALUE"""),33.0)</f>
        <v>33</v>
      </c>
      <c r="E338" s="4" t="str">
        <f>IFERROR(__xludf.DUMMYFUNCTION("""COMPUTED_VALUE"""),"X8")</f>
        <v>X8</v>
      </c>
      <c r="F338" s="5" t="str">
        <f>IFERROR(__xludf.DUMMYFUNCTION("""COMPUTED_VALUE"""),"33 - X8 - Dyshan Attaya Haq Triatno - P")</f>
        <v>33 - X8 - Dyshan Attaya Haq Triatno - P</v>
      </c>
      <c r="G338" s="3"/>
      <c r="H338" s="3"/>
      <c r="I338" s="3"/>
      <c r="J338" s="3"/>
      <c r="K338" s="3"/>
      <c r="L338" s="3"/>
      <c r="M338" s="3"/>
    </row>
    <row r="339">
      <c r="A339" s="4" t="str">
        <f>IFERROR(__xludf.DUMMYFUNCTION("""COMPUTED_VALUE"""),"0099446424 / 252610199")</f>
        <v>0099446424 / 252610199</v>
      </c>
      <c r="B339" s="4" t="str">
        <f>IFERROR(__xludf.DUMMYFUNCTION("""COMPUTED_VALUE"""),"Farid Pradana - L")</f>
        <v>Farid Pradana - L</v>
      </c>
      <c r="C339" s="4" t="str">
        <f>IFERROR(__xludf.DUMMYFUNCTION("""COMPUTED_VALUE"""),"L")</f>
        <v>L</v>
      </c>
      <c r="D339" s="4">
        <f>IFERROR(__xludf.DUMMYFUNCTION("""COMPUTED_VALUE"""),33.0)</f>
        <v>33</v>
      </c>
      <c r="E339" s="4" t="str">
        <f>IFERROR(__xludf.DUMMYFUNCTION("""COMPUTED_VALUE"""),"X8")</f>
        <v>X8</v>
      </c>
      <c r="F339" s="5" t="str">
        <f>IFERROR(__xludf.DUMMYFUNCTION("""COMPUTED_VALUE"""),"33 - X8 - Farid Pradana - L")</f>
        <v>33 - X8 - Farid Pradana - L</v>
      </c>
      <c r="G339" s="3"/>
      <c r="H339" s="3"/>
      <c r="I339" s="3"/>
      <c r="J339" s="3"/>
      <c r="K339" s="3"/>
      <c r="L339" s="3"/>
      <c r="M339" s="3"/>
    </row>
    <row r="340">
      <c r="A340" s="4" t="str">
        <f>IFERROR(__xludf.DUMMYFUNCTION("""COMPUTED_VALUE"""),"0103174946 / 252610203")</f>
        <v>0103174946 / 252610203</v>
      </c>
      <c r="B340" s="4" t="str">
        <f>IFERROR(__xludf.DUMMYFUNCTION("""COMPUTED_VALUE"""),"Fathia Adilla Ramsha - P")</f>
        <v>Fathia Adilla Ramsha - P</v>
      </c>
      <c r="C340" s="4" t="str">
        <f>IFERROR(__xludf.DUMMYFUNCTION("""COMPUTED_VALUE"""),"P")</f>
        <v>P</v>
      </c>
      <c r="D340" s="4">
        <f>IFERROR(__xludf.DUMMYFUNCTION("""COMPUTED_VALUE"""),33.0)</f>
        <v>33</v>
      </c>
      <c r="E340" s="4" t="str">
        <f>IFERROR(__xludf.DUMMYFUNCTION("""COMPUTED_VALUE"""),"X8")</f>
        <v>X8</v>
      </c>
      <c r="F340" s="5" t="str">
        <f>IFERROR(__xludf.DUMMYFUNCTION("""COMPUTED_VALUE"""),"33 - X8 - Fathia Adilla Ramsha - P")</f>
        <v>33 - X8 - Fathia Adilla Ramsha - P</v>
      </c>
      <c r="G340" s="3"/>
      <c r="H340" s="3"/>
      <c r="I340" s="3"/>
      <c r="J340" s="3"/>
      <c r="K340" s="3"/>
      <c r="L340" s="3"/>
      <c r="M340" s="3"/>
    </row>
    <row r="341">
      <c r="A341" s="4" t="str">
        <f>IFERROR(__xludf.DUMMYFUNCTION("""COMPUTED_VALUE"""),"0101801767 / 252610223")</f>
        <v>0101801767 / 252610223</v>
      </c>
      <c r="B341" s="4" t="str">
        <f>IFERROR(__xludf.DUMMYFUNCTION("""COMPUTED_VALUE"""),"Gracia Valen Manik - P")</f>
        <v>Gracia Valen Manik - P</v>
      </c>
      <c r="C341" s="4" t="str">
        <f>IFERROR(__xludf.DUMMYFUNCTION("""COMPUTED_VALUE"""),"P")</f>
        <v>P</v>
      </c>
      <c r="D341" s="4">
        <f>IFERROR(__xludf.DUMMYFUNCTION("""COMPUTED_VALUE"""),33.0)</f>
        <v>33</v>
      </c>
      <c r="E341" s="4" t="str">
        <f>IFERROR(__xludf.DUMMYFUNCTION("""COMPUTED_VALUE"""),"X8")</f>
        <v>X8</v>
      </c>
      <c r="F341" s="5" t="str">
        <f>IFERROR(__xludf.DUMMYFUNCTION("""COMPUTED_VALUE"""),"33 - X8 - Gracia Valen Manik - P")</f>
        <v>33 - X8 - Gracia Valen Manik - P</v>
      </c>
      <c r="G341" s="3"/>
      <c r="H341" s="3"/>
      <c r="I341" s="3"/>
      <c r="J341" s="3"/>
      <c r="K341" s="3"/>
      <c r="L341" s="3"/>
      <c r="M341" s="3"/>
    </row>
    <row r="342">
      <c r="A342" s="4" t="str">
        <f>IFERROR(__xludf.DUMMYFUNCTION("""COMPUTED_VALUE"""),"0107691976 / 252610255")</f>
        <v>0107691976 / 252610255</v>
      </c>
      <c r="B342" s="4" t="str">
        <f>IFERROR(__xludf.DUMMYFUNCTION("""COMPUTED_VALUE"""),"Kania Wismar Adnyana  - P")</f>
        <v>Kania Wismar Adnyana  - P</v>
      </c>
      <c r="C342" s="4" t="str">
        <f>IFERROR(__xludf.DUMMYFUNCTION("""COMPUTED_VALUE"""),"P")</f>
        <v>P</v>
      </c>
      <c r="D342" s="4">
        <f>IFERROR(__xludf.DUMMYFUNCTION("""COMPUTED_VALUE"""),33.0)</f>
        <v>33</v>
      </c>
      <c r="E342" s="4" t="str">
        <f>IFERROR(__xludf.DUMMYFUNCTION("""COMPUTED_VALUE"""),"X8")</f>
        <v>X8</v>
      </c>
      <c r="F342" s="5" t="str">
        <f>IFERROR(__xludf.DUMMYFUNCTION("""COMPUTED_VALUE"""),"33 - X8 - Kania Wismar Adnyana  - P")</f>
        <v>33 - X8 - Kania Wismar Adnyana  - P</v>
      </c>
      <c r="G342" s="3"/>
      <c r="H342" s="3"/>
      <c r="I342" s="3"/>
      <c r="J342" s="3"/>
      <c r="K342" s="3"/>
      <c r="L342" s="3"/>
      <c r="M342" s="3"/>
    </row>
    <row r="343">
      <c r="A343" s="4" t="str">
        <f>IFERROR(__xludf.DUMMYFUNCTION("""COMPUTED_VALUE"""),"0101976221 / 252610265")</f>
        <v>0101976221 / 252610265</v>
      </c>
      <c r="B343" s="4" t="str">
        <f>IFERROR(__xludf.DUMMYFUNCTION("""COMPUTED_VALUE"""),"Kaysan Umar Azka Setiawan - L")</f>
        <v>Kaysan Umar Azka Setiawan - L</v>
      </c>
      <c r="C343" s="4" t="str">
        <f>IFERROR(__xludf.DUMMYFUNCTION("""COMPUTED_VALUE"""),"L")</f>
        <v>L</v>
      </c>
      <c r="D343" s="4">
        <f>IFERROR(__xludf.DUMMYFUNCTION("""COMPUTED_VALUE"""),33.0)</f>
        <v>33</v>
      </c>
      <c r="E343" s="4" t="str">
        <f>IFERROR(__xludf.DUMMYFUNCTION("""COMPUTED_VALUE"""),"X8")</f>
        <v>X8</v>
      </c>
      <c r="F343" s="5" t="str">
        <f>IFERROR(__xludf.DUMMYFUNCTION("""COMPUTED_VALUE"""),"33 - X8 - Kaysan Umar Azka Setiawan - L")</f>
        <v>33 - X8 - Kaysan Umar Azka Setiawan - L</v>
      </c>
      <c r="G343" s="3"/>
      <c r="H343" s="3"/>
      <c r="I343" s="3"/>
      <c r="J343" s="3"/>
      <c r="K343" s="3"/>
      <c r="L343" s="3"/>
      <c r="M343" s="3"/>
    </row>
    <row r="344">
      <c r="A344" s="4" t="str">
        <f>IFERROR(__xludf.DUMMYFUNCTION("""COMPUTED_VALUE"""),"0092212305 / 252610293")</f>
        <v>0092212305 / 252610293</v>
      </c>
      <c r="B344" s="4" t="str">
        <f>IFERROR(__xludf.DUMMYFUNCTION("""COMPUTED_VALUE"""),"Luqman Aziz Saputro - L")</f>
        <v>Luqman Aziz Saputro - L</v>
      </c>
      <c r="C344" s="4" t="str">
        <f>IFERROR(__xludf.DUMMYFUNCTION("""COMPUTED_VALUE"""),"L")</f>
        <v>L</v>
      </c>
      <c r="D344" s="4">
        <f>IFERROR(__xludf.DUMMYFUNCTION("""COMPUTED_VALUE"""),33.0)</f>
        <v>33</v>
      </c>
      <c r="E344" s="4" t="str">
        <f>IFERROR(__xludf.DUMMYFUNCTION("""COMPUTED_VALUE"""),"X8")</f>
        <v>X8</v>
      </c>
      <c r="F344" s="5" t="str">
        <f>IFERROR(__xludf.DUMMYFUNCTION("""COMPUTED_VALUE"""),"33 - X8 - Luqman Aziz Saputro - L")</f>
        <v>33 - X8 - Luqman Aziz Saputro - L</v>
      </c>
      <c r="G344" s="3"/>
      <c r="H344" s="3"/>
      <c r="I344" s="3"/>
      <c r="J344" s="3"/>
      <c r="K344" s="3"/>
      <c r="L344" s="3"/>
      <c r="M344" s="3"/>
    </row>
    <row r="345">
      <c r="A345" s="4" t="str">
        <f>IFERROR(__xludf.DUMMYFUNCTION("""COMPUTED_VALUE"""),"0102160006 / 252610314")</f>
        <v>0102160006 / 252610314</v>
      </c>
      <c r="B345" s="4" t="str">
        <f>IFERROR(__xludf.DUMMYFUNCTION("""COMPUTED_VALUE"""),"Mirza Maulana Altamis - L")</f>
        <v>Mirza Maulana Altamis - L</v>
      </c>
      <c r="C345" s="4" t="str">
        <f>IFERROR(__xludf.DUMMYFUNCTION("""COMPUTED_VALUE"""),"L")</f>
        <v>L</v>
      </c>
      <c r="D345" s="4">
        <f>IFERROR(__xludf.DUMMYFUNCTION("""COMPUTED_VALUE"""),33.0)</f>
        <v>33</v>
      </c>
      <c r="E345" s="4" t="str">
        <f>IFERROR(__xludf.DUMMYFUNCTION("""COMPUTED_VALUE"""),"X8")</f>
        <v>X8</v>
      </c>
      <c r="F345" s="5" t="str">
        <f>IFERROR(__xludf.DUMMYFUNCTION("""COMPUTED_VALUE"""),"33 - X8 - Mirza Maulana Altamis - L")</f>
        <v>33 - X8 - Mirza Maulana Altamis - L</v>
      </c>
      <c r="G345" s="3"/>
      <c r="H345" s="3"/>
      <c r="I345" s="3"/>
      <c r="J345" s="3"/>
      <c r="K345" s="3"/>
      <c r="L345" s="3"/>
      <c r="M345" s="3"/>
    </row>
    <row r="346">
      <c r="A346" s="4" t="str">
        <f>IFERROR(__xludf.DUMMYFUNCTION("""COMPUTED_VALUE"""),"0105918833 / 252610321")</f>
        <v>0105918833 / 252610321</v>
      </c>
      <c r="B346" s="4" t="str">
        <f>IFERROR(__xludf.DUMMYFUNCTION("""COMPUTED_VALUE"""),"Mouris Marcha Adisty - P")</f>
        <v>Mouris Marcha Adisty - P</v>
      </c>
      <c r="C346" s="4" t="str">
        <f>IFERROR(__xludf.DUMMYFUNCTION("""COMPUTED_VALUE"""),"P")</f>
        <v>P</v>
      </c>
      <c r="D346" s="4">
        <f>IFERROR(__xludf.DUMMYFUNCTION("""COMPUTED_VALUE"""),33.0)</f>
        <v>33</v>
      </c>
      <c r="E346" s="4" t="str">
        <f>IFERROR(__xludf.DUMMYFUNCTION("""COMPUTED_VALUE"""),"X8")</f>
        <v>X8</v>
      </c>
      <c r="F346" s="5" t="str">
        <f>IFERROR(__xludf.DUMMYFUNCTION("""COMPUTED_VALUE"""),"33 - X8 - Mouris Marcha Adisty - P")</f>
        <v>33 - X8 - Mouris Marcha Adisty - P</v>
      </c>
      <c r="G346" s="3"/>
      <c r="H346" s="3"/>
      <c r="I346" s="3"/>
      <c r="J346" s="3"/>
      <c r="K346" s="3"/>
      <c r="L346" s="3"/>
      <c r="M346" s="3"/>
    </row>
    <row r="347">
      <c r="A347" s="4" t="str">
        <f>IFERROR(__xludf.DUMMYFUNCTION("""COMPUTED_VALUE"""),"0099772945 / 252610324")</f>
        <v>0099772945 / 252610324</v>
      </c>
      <c r="B347" s="4" t="str">
        <f>IFERROR(__xludf.DUMMYFUNCTION("""COMPUTED_VALUE"""),"Muhamad Ilham Akbar - L")</f>
        <v>Muhamad Ilham Akbar - L</v>
      </c>
      <c r="C347" s="4" t="str">
        <f>IFERROR(__xludf.DUMMYFUNCTION("""COMPUTED_VALUE"""),"L")</f>
        <v>L</v>
      </c>
      <c r="D347" s="4">
        <f>IFERROR(__xludf.DUMMYFUNCTION("""COMPUTED_VALUE"""),33.0)</f>
        <v>33</v>
      </c>
      <c r="E347" s="4" t="str">
        <f>IFERROR(__xludf.DUMMYFUNCTION("""COMPUTED_VALUE"""),"X8")</f>
        <v>X8</v>
      </c>
      <c r="F347" s="5" t="str">
        <f>IFERROR(__xludf.DUMMYFUNCTION("""COMPUTED_VALUE"""),"33 - X8 - Muhamad Ilham Akbar - L")</f>
        <v>33 - X8 - Muhamad Ilham Akbar - L</v>
      </c>
      <c r="G347" s="3"/>
      <c r="H347" s="3"/>
      <c r="I347" s="3"/>
      <c r="J347" s="3"/>
      <c r="K347" s="3"/>
      <c r="L347" s="3"/>
      <c r="M347" s="3"/>
    </row>
    <row r="348">
      <c r="A348" s="4" t="str">
        <f>IFERROR(__xludf.DUMMYFUNCTION("""COMPUTED_VALUE"""),"0094259451 / 252610326")</f>
        <v>0094259451 / 252610326</v>
      </c>
      <c r="B348" s="4" t="str">
        <f>IFERROR(__xludf.DUMMYFUNCTION("""COMPUTED_VALUE"""),"Muhamad Mustakim - L")</f>
        <v>Muhamad Mustakim - L</v>
      </c>
      <c r="C348" s="4" t="str">
        <f>IFERROR(__xludf.DUMMYFUNCTION("""COMPUTED_VALUE"""),"L")</f>
        <v>L</v>
      </c>
      <c r="D348" s="4">
        <f>IFERROR(__xludf.DUMMYFUNCTION("""COMPUTED_VALUE"""),33.0)</f>
        <v>33</v>
      </c>
      <c r="E348" s="4" t="str">
        <f>IFERROR(__xludf.DUMMYFUNCTION("""COMPUTED_VALUE"""),"X8")</f>
        <v>X8</v>
      </c>
      <c r="F348" s="5" t="str">
        <f>IFERROR(__xludf.DUMMYFUNCTION("""COMPUTED_VALUE"""),"33 - X8 - Muhamad Mustakim - L")</f>
        <v>33 - X8 - Muhamad Mustakim - L</v>
      </c>
      <c r="G348" s="3"/>
      <c r="H348" s="3"/>
      <c r="I348" s="3"/>
      <c r="J348" s="3"/>
      <c r="K348" s="3"/>
      <c r="L348" s="3"/>
      <c r="M348" s="3"/>
    </row>
    <row r="349">
      <c r="A349" s="4" t="str">
        <f>IFERROR(__xludf.DUMMYFUNCTION("""COMPUTED_VALUE"""),"0107525738 / 252610349")</f>
        <v>0107525738 / 252610349</v>
      </c>
      <c r="B349" s="4" t="str">
        <f>IFERROR(__xludf.DUMMYFUNCTION("""COMPUTED_VALUE"""),"Muhammad Faiz Fathian - L")</f>
        <v>Muhammad Faiz Fathian - L</v>
      </c>
      <c r="C349" s="4" t="str">
        <f>IFERROR(__xludf.DUMMYFUNCTION("""COMPUTED_VALUE"""),"L")</f>
        <v>L</v>
      </c>
      <c r="D349" s="4">
        <f>IFERROR(__xludf.DUMMYFUNCTION("""COMPUTED_VALUE"""),33.0)</f>
        <v>33</v>
      </c>
      <c r="E349" s="4" t="str">
        <f>IFERROR(__xludf.DUMMYFUNCTION("""COMPUTED_VALUE"""),"X8")</f>
        <v>X8</v>
      </c>
      <c r="F349" s="5" t="str">
        <f>IFERROR(__xludf.DUMMYFUNCTION("""COMPUTED_VALUE"""),"33 - X8 - Muhammad Faiz Fathian - L")</f>
        <v>33 - X8 - Muhammad Faiz Fathian - L</v>
      </c>
      <c r="G349" s="3"/>
      <c r="H349" s="3"/>
      <c r="I349" s="3"/>
      <c r="J349" s="3"/>
      <c r="K349" s="3"/>
      <c r="L349" s="3"/>
      <c r="M349" s="3"/>
    </row>
    <row r="350">
      <c r="A350" s="4" t="str">
        <f>IFERROR(__xludf.DUMMYFUNCTION("""COMPUTED_VALUE"""),"3107499493 / 252610350")</f>
        <v>3107499493 / 252610350</v>
      </c>
      <c r="B350" s="4" t="str">
        <f>IFERROR(__xludf.DUMMYFUNCTION("""COMPUTED_VALUE"""),"Muhammad Fariz Nuh - L")</f>
        <v>Muhammad Fariz Nuh - L</v>
      </c>
      <c r="C350" s="4" t="str">
        <f>IFERROR(__xludf.DUMMYFUNCTION("""COMPUTED_VALUE"""),"L")</f>
        <v>L</v>
      </c>
      <c r="D350" s="4">
        <f>IFERROR(__xludf.DUMMYFUNCTION("""COMPUTED_VALUE"""),33.0)</f>
        <v>33</v>
      </c>
      <c r="E350" s="4" t="str">
        <f>IFERROR(__xludf.DUMMYFUNCTION("""COMPUTED_VALUE"""),"X8")</f>
        <v>X8</v>
      </c>
      <c r="F350" s="5" t="str">
        <f>IFERROR(__xludf.DUMMYFUNCTION("""COMPUTED_VALUE"""),"33 - X8 - Muhammad Fariz Nuh - L")</f>
        <v>33 - X8 - Muhammad Fariz Nuh - L</v>
      </c>
      <c r="G350" s="3"/>
      <c r="H350" s="3"/>
      <c r="I350" s="3"/>
      <c r="J350" s="3"/>
      <c r="K350" s="3"/>
      <c r="L350" s="3"/>
      <c r="M350" s="3"/>
    </row>
    <row r="351">
      <c r="A351" s="4" t="str">
        <f>IFERROR(__xludf.DUMMYFUNCTION("""COMPUTED_VALUE"""),"3108018555 / 252610353")</f>
        <v>3108018555 / 252610353</v>
      </c>
      <c r="B351" s="4" t="str">
        <f>IFERROR(__xludf.DUMMYFUNCTION("""COMPUTED_VALUE"""),"Muhammad Fawaz Ali - L")</f>
        <v>Muhammad Fawaz Ali - L</v>
      </c>
      <c r="C351" s="4" t="str">
        <f>IFERROR(__xludf.DUMMYFUNCTION("""COMPUTED_VALUE"""),"L")</f>
        <v>L</v>
      </c>
      <c r="D351" s="4">
        <f>IFERROR(__xludf.DUMMYFUNCTION("""COMPUTED_VALUE"""),33.0)</f>
        <v>33</v>
      </c>
      <c r="E351" s="4" t="str">
        <f>IFERROR(__xludf.DUMMYFUNCTION("""COMPUTED_VALUE"""),"X8")</f>
        <v>X8</v>
      </c>
      <c r="F351" s="5" t="str">
        <f>IFERROR(__xludf.DUMMYFUNCTION("""COMPUTED_VALUE"""),"33 - X8 - Muhammad Fawaz Ali - L")</f>
        <v>33 - X8 - Muhammad Fawaz Ali - L</v>
      </c>
      <c r="G351" s="3"/>
      <c r="H351" s="3"/>
      <c r="I351" s="3"/>
      <c r="J351" s="3"/>
      <c r="K351" s="3"/>
      <c r="L351" s="3"/>
      <c r="M351" s="3"/>
    </row>
    <row r="352">
      <c r="A352" s="4" t="str">
        <f>IFERROR(__xludf.DUMMYFUNCTION("""COMPUTED_VALUE"""),"0091031385 / 252610364")</f>
        <v>0091031385 / 252610364</v>
      </c>
      <c r="B352" s="4" t="str">
        <f>IFERROR(__xludf.DUMMYFUNCTION("""COMPUTED_VALUE"""),"Muhammad Rafli Ramsha - L")</f>
        <v>Muhammad Rafli Ramsha - L</v>
      </c>
      <c r="C352" s="4" t="str">
        <f>IFERROR(__xludf.DUMMYFUNCTION("""COMPUTED_VALUE"""),"L")</f>
        <v>L</v>
      </c>
      <c r="D352" s="4">
        <f>IFERROR(__xludf.DUMMYFUNCTION("""COMPUTED_VALUE"""),33.0)</f>
        <v>33</v>
      </c>
      <c r="E352" s="4" t="str">
        <f>IFERROR(__xludf.DUMMYFUNCTION("""COMPUTED_VALUE"""),"X8")</f>
        <v>X8</v>
      </c>
      <c r="F352" s="5" t="str">
        <f>IFERROR(__xludf.DUMMYFUNCTION("""COMPUTED_VALUE"""),"33 - X8 - Muhammad Rafli Ramsha - L")</f>
        <v>33 - X8 - Muhammad Rafli Ramsha - L</v>
      </c>
      <c r="G352" s="3"/>
      <c r="H352" s="3"/>
      <c r="I352" s="3"/>
      <c r="J352" s="3"/>
      <c r="K352" s="3"/>
      <c r="L352" s="3"/>
      <c r="M352" s="3"/>
    </row>
    <row r="353">
      <c r="A353" s="4" t="str">
        <f>IFERROR(__xludf.DUMMYFUNCTION("""COMPUTED_VALUE"""),"0111220217 / 252610376")</f>
        <v>0111220217 / 252610376</v>
      </c>
      <c r="B353" s="4" t="str">
        <f>IFERROR(__xludf.DUMMYFUNCTION("""COMPUTED_VALUE"""),"Muhammad Yafiargi Simbangando - L")</f>
        <v>Muhammad Yafiargi Simbangando - L</v>
      </c>
      <c r="C353" s="4" t="str">
        <f>IFERROR(__xludf.DUMMYFUNCTION("""COMPUTED_VALUE"""),"L")</f>
        <v>L</v>
      </c>
      <c r="D353" s="4">
        <f>IFERROR(__xludf.DUMMYFUNCTION("""COMPUTED_VALUE"""),33.0)</f>
        <v>33</v>
      </c>
      <c r="E353" s="4" t="str">
        <f>IFERROR(__xludf.DUMMYFUNCTION("""COMPUTED_VALUE"""),"X8")</f>
        <v>X8</v>
      </c>
      <c r="F353" s="5" t="str">
        <f>IFERROR(__xludf.DUMMYFUNCTION("""COMPUTED_VALUE"""),"33 - X8 - Muhammad Yafiargi Simbangando - L")</f>
        <v>33 - X8 - Muhammad Yafiargi Simbangando - L</v>
      </c>
      <c r="G353" s="3"/>
      <c r="H353" s="3"/>
      <c r="I353" s="3"/>
      <c r="J353" s="3"/>
      <c r="K353" s="3"/>
      <c r="L353" s="3"/>
      <c r="M353" s="3"/>
    </row>
    <row r="354">
      <c r="A354" s="4" t="str">
        <f>IFERROR(__xludf.DUMMYFUNCTION("""COMPUTED_VALUE"""),"0098938532 / 252610392")</f>
        <v>0098938532 / 252610392</v>
      </c>
      <c r="B354" s="4" t="str">
        <f>IFERROR(__xludf.DUMMYFUNCTION("""COMPUTED_VALUE"""),"Naila Khansa Rahmawati - P")</f>
        <v>Naila Khansa Rahmawati - P</v>
      </c>
      <c r="C354" s="4" t="str">
        <f>IFERROR(__xludf.DUMMYFUNCTION("""COMPUTED_VALUE"""),"P")</f>
        <v>P</v>
      </c>
      <c r="D354" s="4">
        <f>IFERROR(__xludf.DUMMYFUNCTION("""COMPUTED_VALUE"""),33.0)</f>
        <v>33</v>
      </c>
      <c r="E354" s="4" t="str">
        <f>IFERROR(__xludf.DUMMYFUNCTION("""COMPUTED_VALUE"""),"X8")</f>
        <v>X8</v>
      </c>
      <c r="F354" s="5" t="str">
        <f>IFERROR(__xludf.DUMMYFUNCTION("""COMPUTED_VALUE"""),"33 - X8 - Naila Khansa Rahmawati - P")</f>
        <v>33 - X8 - Naila Khansa Rahmawati - P</v>
      </c>
      <c r="G354" s="3"/>
      <c r="H354" s="3"/>
      <c r="I354" s="3"/>
      <c r="J354" s="3"/>
      <c r="K354" s="3"/>
      <c r="L354" s="3"/>
      <c r="M354" s="3"/>
    </row>
    <row r="355">
      <c r="A355" s="4" t="str">
        <f>IFERROR(__xludf.DUMMYFUNCTION("""COMPUTED_VALUE"""),"3109348901 / 252610395")</f>
        <v>3109348901 / 252610395</v>
      </c>
      <c r="B355" s="4" t="str">
        <f>IFERROR(__xludf.DUMMYFUNCTION("""COMPUTED_VALUE"""),"Namira Nur Azkia - P")</f>
        <v>Namira Nur Azkia - P</v>
      </c>
      <c r="C355" s="4" t="str">
        <f>IFERROR(__xludf.DUMMYFUNCTION("""COMPUTED_VALUE"""),"P")</f>
        <v>P</v>
      </c>
      <c r="D355" s="4">
        <f>IFERROR(__xludf.DUMMYFUNCTION("""COMPUTED_VALUE"""),33.0)</f>
        <v>33</v>
      </c>
      <c r="E355" s="4" t="str">
        <f>IFERROR(__xludf.DUMMYFUNCTION("""COMPUTED_VALUE"""),"X8")</f>
        <v>X8</v>
      </c>
      <c r="F355" s="5" t="str">
        <f>IFERROR(__xludf.DUMMYFUNCTION("""COMPUTED_VALUE"""),"33 - X8 - Namira Nur Azkia - P")</f>
        <v>33 - X8 - Namira Nur Azkia - P</v>
      </c>
      <c r="G355" s="3"/>
      <c r="H355" s="3"/>
      <c r="I355" s="3"/>
      <c r="J355" s="3"/>
      <c r="K355" s="3"/>
      <c r="L355" s="3"/>
      <c r="M355" s="3"/>
    </row>
    <row r="356">
      <c r="A356" s="4" t="str">
        <f>IFERROR(__xludf.DUMMYFUNCTION("""COMPUTED_VALUE"""),"0091281050 / 252610399")</f>
        <v>0091281050 / 252610399</v>
      </c>
      <c r="B356" s="4" t="str">
        <f>IFERROR(__xludf.DUMMYFUNCTION("""COMPUTED_VALUE"""),"Naswa Ramadhani - P")</f>
        <v>Naswa Ramadhani - P</v>
      </c>
      <c r="C356" s="4" t="str">
        <f>IFERROR(__xludf.DUMMYFUNCTION("""COMPUTED_VALUE"""),"P")</f>
        <v>P</v>
      </c>
      <c r="D356" s="4">
        <f>IFERROR(__xludf.DUMMYFUNCTION("""COMPUTED_VALUE"""),33.0)</f>
        <v>33</v>
      </c>
      <c r="E356" s="4" t="str">
        <f>IFERROR(__xludf.DUMMYFUNCTION("""COMPUTED_VALUE"""),"X8")</f>
        <v>X8</v>
      </c>
      <c r="F356" s="5" t="str">
        <f>IFERROR(__xludf.DUMMYFUNCTION("""COMPUTED_VALUE"""),"33 - X8 - Naswa Ramadhani - P")</f>
        <v>33 - X8 - Naswa Ramadhani - P</v>
      </c>
      <c r="G356" s="3"/>
      <c r="H356" s="3"/>
      <c r="I356" s="3"/>
      <c r="J356" s="3"/>
      <c r="K356" s="3"/>
      <c r="L356" s="3"/>
      <c r="M356" s="3"/>
    </row>
    <row r="357">
      <c r="A357" s="4" t="str">
        <f>IFERROR(__xludf.DUMMYFUNCTION("""COMPUTED_VALUE"""),"0107347265 / 252610408")</f>
        <v>0107347265 / 252610408</v>
      </c>
      <c r="B357" s="4" t="str">
        <f>IFERROR(__xludf.DUMMYFUNCTION("""COMPUTED_VALUE"""),"Nayla Ulya Taqiyya - P")</f>
        <v>Nayla Ulya Taqiyya - P</v>
      </c>
      <c r="C357" s="4" t="str">
        <f>IFERROR(__xludf.DUMMYFUNCTION("""COMPUTED_VALUE"""),"P")</f>
        <v>P</v>
      </c>
      <c r="D357" s="4">
        <f>IFERROR(__xludf.DUMMYFUNCTION("""COMPUTED_VALUE"""),33.0)</f>
        <v>33</v>
      </c>
      <c r="E357" s="4" t="str">
        <f>IFERROR(__xludf.DUMMYFUNCTION("""COMPUTED_VALUE"""),"X8")</f>
        <v>X8</v>
      </c>
      <c r="F357" s="5" t="str">
        <f>IFERROR(__xludf.DUMMYFUNCTION("""COMPUTED_VALUE"""),"33 - X8 - Nayla Ulya Taqiyya - P")</f>
        <v>33 - X8 - Nayla Ulya Taqiyya - P</v>
      </c>
      <c r="G357" s="3"/>
      <c r="H357" s="3"/>
      <c r="I357" s="3"/>
      <c r="J357" s="3"/>
      <c r="K357" s="3"/>
      <c r="L357" s="3"/>
      <c r="M357" s="3"/>
    </row>
    <row r="358">
      <c r="A358" s="4" t="str">
        <f>IFERROR(__xludf.DUMMYFUNCTION("""COMPUTED_VALUE"""),"0105961239 / 252610413")</f>
        <v>0105961239 / 252610413</v>
      </c>
      <c r="B358" s="4" t="str">
        <f>IFERROR(__xludf.DUMMYFUNCTION("""COMPUTED_VALUE"""),"Nazwa Malika Asral - P")</f>
        <v>Nazwa Malika Asral - P</v>
      </c>
      <c r="C358" s="4" t="str">
        <f>IFERROR(__xludf.DUMMYFUNCTION("""COMPUTED_VALUE"""),"P")</f>
        <v>P</v>
      </c>
      <c r="D358" s="4">
        <f>IFERROR(__xludf.DUMMYFUNCTION("""COMPUTED_VALUE"""),33.0)</f>
        <v>33</v>
      </c>
      <c r="E358" s="4" t="str">
        <f>IFERROR(__xludf.DUMMYFUNCTION("""COMPUTED_VALUE"""),"X8")</f>
        <v>X8</v>
      </c>
      <c r="F358" s="5" t="str">
        <f>IFERROR(__xludf.DUMMYFUNCTION("""COMPUTED_VALUE"""),"33 - X8 - Nazwa Malika Asral - P")</f>
        <v>33 - X8 - Nazwa Malika Asral - P</v>
      </c>
      <c r="G358" s="3"/>
      <c r="H358" s="3"/>
      <c r="I358" s="3"/>
      <c r="J358" s="3"/>
      <c r="K358" s="3"/>
      <c r="L358" s="3"/>
      <c r="M358" s="3"/>
    </row>
    <row r="359">
      <c r="A359" s="4" t="str">
        <f>IFERROR(__xludf.DUMMYFUNCTION("""COMPUTED_VALUE"""),"0095193509 / 252610421")</f>
        <v>0095193509 / 252610421</v>
      </c>
      <c r="B359" s="4" t="str">
        <f>IFERROR(__xludf.DUMMYFUNCTION("""COMPUTED_VALUE"""),"Ni'Matul Aulia Ningtias - P")</f>
        <v>Ni'Matul Aulia Ningtias - P</v>
      </c>
      <c r="C359" s="4" t="str">
        <f>IFERROR(__xludf.DUMMYFUNCTION("""COMPUTED_VALUE"""),"P")</f>
        <v>P</v>
      </c>
      <c r="D359" s="4">
        <f>IFERROR(__xludf.DUMMYFUNCTION("""COMPUTED_VALUE"""),33.0)</f>
        <v>33</v>
      </c>
      <c r="E359" s="4" t="str">
        <f>IFERROR(__xludf.DUMMYFUNCTION("""COMPUTED_VALUE"""),"X8")</f>
        <v>X8</v>
      </c>
      <c r="F359" s="5" t="str">
        <f>IFERROR(__xludf.DUMMYFUNCTION("""COMPUTED_VALUE"""),"33 - X8 - Ni'Matul Aulia Ningtias - P")</f>
        <v>33 - X8 - Ni'Matul Aulia Ningtias - P</v>
      </c>
      <c r="G359" s="3"/>
      <c r="H359" s="3"/>
      <c r="I359" s="3"/>
      <c r="J359" s="3"/>
      <c r="K359" s="3"/>
      <c r="L359" s="3"/>
      <c r="M359" s="3"/>
    </row>
    <row r="360">
      <c r="A360" s="4" t="str">
        <f>IFERROR(__xludf.DUMMYFUNCTION("""COMPUTED_VALUE"""),"0105803552 / 252610420")</f>
        <v>0105803552 / 252610420</v>
      </c>
      <c r="B360" s="4" t="str">
        <f>IFERROR(__xludf.DUMMYFUNCTION("""COMPUTED_VALUE"""),"Nikesha Nashwa Damara - P")</f>
        <v>Nikesha Nashwa Damara - P</v>
      </c>
      <c r="C360" s="4" t="str">
        <f>IFERROR(__xludf.DUMMYFUNCTION("""COMPUTED_VALUE"""),"P")</f>
        <v>P</v>
      </c>
      <c r="D360" s="4">
        <f>IFERROR(__xludf.DUMMYFUNCTION("""COMPUTED_VALUE"""),33.0)</f>
        <v>33</v>
      </c>
      <c r="E360" s="4" t="str">
        <f>IFERROR(__xludf.DUMMYFUNCTION("""COMPUTED_VALUE"""),"X8")</f>
        <v>X8</v>
      </c>
      <c r="F360" s="5" t="str">
        <f>IFERROR(__xludf.DUMMYFUNCTION("""COMPUTED_VALUE"""),"33 - X8 - Nikesha Nashwa Damara - P")</f>
        <v>33 - X8 - Nikesha Nashwa Damara - P</v>
      </c>
      <c r="G360" s="3"/>
      <c r="H360" s="3"/>
      <c r="I360" s="3"/>
      <c r="J360" s="3"/>
      <c r="K360" s="3"/>
      <c r="L360" s="3"/>
      <c r="M360" s="3"/>
    </row>
    <row r="361">
      <c r="A361" s="4" t="str">
        <f>IFERROR(__xludf.DUMMYFUNCTION("""COMPUTED_VALUE"""),"0109599363 / 252610444")</f>
        <v>0109599363 / 252610444</v>
      </c>
      <c r="B361" s="4" t="str">
        <f>IFERROR(__xludf.DUMMYFUNCTION("""COMPUTED_VALUE"""),"Quensha Rahayu Kusuma Agora - P")</f>
        <v>Quensha Rahayu Kusuma Agora - P</v>
      </c>
      <c r="C361" s="4" t="str">
        <f>IFERROR(__xludf.DUMMYFUNCTION("""COMPUTED_VALUE"""),"P")</f>
        <v>P</v>
      </c>
      <c r="D361" s="4">
        <f>IFERROR(__xludf.DUMMYFUNCTION("""COMPUTED_VALUE"""),33.0)</f>
        <v>33</v>
      </c>
      <c r="E361" s="4" t="str">
        <f>IFERROR(__xludf.DUMMYFUNCTION("""COMPUTED_VALUE"""),"X8")</f>
        <v>X8</v>
      </c>
      <c r="F361" s="5" t="str">
        <f>IFERROR(__xludf.DUMMYFUNCTION("""COMPUTED_VALUE"""),"33 - X8 - Quensha Rahayu Kusuma Agora - P")</f>
        <v>33 - X8 - Quensha Rahayu Kusuma Agora - P</v>
      </c>
      <c r="G361" s="3"/>
      <c r="H361" s="3"/>
      <c r="I361" s="3"/>
      <c r="J361" s="3"/>
      <c r="K361" s="3"/>
      <c r="L361" s="3"/>
      <c r="M361" s="3"/>
    </row>
    <row r="362">
      <c r="A362" s="4" t="str">
        <f>IFERROR(__xludf.DUMMYFUNCTION("""COMPUTED_VALUE"""),"0105462734 / 252610445")</f>
        <v>0105462734 / 252610445</v>
      </c>
      <c r="B362" s="4" t="str">
        <f>IFERROR(__xludf.DUMMYFUNCTION("""COMPUTED_VALUE"""),"Quincha Aura Brilliani - P")</f>
        <v>Quincha Aura Brilliani - P</v>
      </c>
      <c r="C362" s="4" t="str">
        <f>IFERROR(__xludf.DUMMYFUNCTION("""COMPUTED_VALUE"""),"P")</f>
        <v>P</v>
      </c>
      <c r="D362" s="4">
        <f>IFERROR(__xludf.DUMMYFUNCTION("""COMPUTED_VALUE"""),33.0)</f>
        <v>33</v>
      </c>
      <c r="E362" s="4" t="str">
        <f>IFERROR(__xludf.DUMMYFUNCTION("""COMPUTED_VALUE"""),"X8")</f>
        <v>X8</v>
      </c>
      <c r="F362" s="5" t="str">
        <f>IFERROR(__xludf.DUMMYFUNCTION("""COMPUTED_VALUE"""),"33 - X8 - Quincha Aura Brilliani - P")</f>
        <v>33 - X8 - Quincha Aura Brilliani - P</v>
      </c>
      <c r="G362" s="3"/>
      <c r="H362" s="3"/>
      <c r="I362" s="3"/>
      <c r="J362" s="3"/>
      <c r="K362" s="3"/>
      <c r="L362" s="3"/>
      <c r="M362" s="3"/>
    </row>
    <row r="363">
      <c r="A363" s="4" t="str">
        <f>IFERROR(__xludf.DUMMYFUNCTION("""COMPUTED_VALUE"""),"0097882314 / 252610463")</f>
        <v>0097882314 / 252610463</v>
      </c>
      <c r="B363" s="4" t="str">
        <f>IFERROR(__xludf.DUMMYFUNCTION("""COMPUTED_VALUE"""),"Raihan Farras Sutisna - L")</f>
        <v>Raihan Farras Sutisna - L</v>
      </c>
      <c r="C363" s="4" t="str">
        <f>IFERROR(__xludf.DUMMYFUNCTION("""COMPUTED_VALUE"""),"L")</f>
        <v>L</v>
      </c>
      <c r="D363" s="4">
        <f>IFERROR(__xludf.DUMMYFUNCTION("""COMPUTED_VALUE"""),33.0)</f>
        <v>33</v>
      </c>
      <c r="E363" s="4" t="str">
        <f>IFERROR(__xludf.DUMMYFUNCTION("""COMPUTED_VALUE"""),"X8")</f>
        <v>X8</v>
      </c>
      <c r="F363" s="5" t="str">
        <f>IFERROR(__xludf.DUMMYFUNCTION("""COMPUTED_VALUE"""),"33 - X8 - Raihan Farras Sutisna - L")</f>
        <v>33 - X8 - Raihan Farras Sutisna - L</v>
      </c>
      <c r="G363" s="3"/>
      <c r="H363" s="3"/>
      <c r="I363" s="3"/>
      <c r="J363" s="3"/>
      <c r="K363" s="3"/>
      <c r="L363" s="3"/>
      <c r="M363" s="3"/>
    </row>
    <row r="364">
      <c r="A364" s="4" t="str">
        <f>IFERROR(__xludf.DUMMYFUNCTION("""COMPUTED_VALUE"""),"0099739465 / 252610470")</f>
        <v>0099739465 / 252610470</v>
      </c>
      <c r="B364" s="4" t="str">
        <f>IFERROR(__xludf.DUMMYFUNCTION("""COMPUTED_VALUE"""),"Raka Syabany Amsyah - L")</f>
        <v>Raka Syabany Amsyah - L</v>
      </c>
      <c r="C364" s="4" t="str">
        <f>IFERROR(__xludf.DUMMYFUNCTION("""COMPUTED_VALUE"""),"L")</f>
        <v>L</v>
      </c>
      <c r="D364" s="4">
        <f>IFERROR(__xludf.DUMMYFUNCTION("""COMPUTED_VALUE"""),33.0)</f>
        <v>33</v>
      </c>
      <c r="E364" s="4" t="str">
        <f>IFERROR(__xludf.DUMMYFUNCTION("""COMPUTED_VALUE"""),"X8")</f>
        <v>X8</v>
      </c>
      <c r="F364" s="5" t="str">
        <f>IFERROR(__xludf.DUMMYFUNCTION("""COMPUTED_VALUE"""),"33 - X8 - Raka Syabany Amsyah - L")</f>
        <v>33 - X8 - Raka Syabany Amsyah - L</v>
      </c>
      <c r="G364" s="3"/>
      <c r="H364" s="3"/>
      <c r="I364" s="3"/>
      <c r="J364" s="3"/>
      <c r="K364" s="3"/>
      <c r="L364" s="3"/>
      <c r="M364" s="3"/>
    </row>
    <row r="365">
      <c r="A365" s="4" t="str">
        <f>IFERROR(__xludf.DUMMYFUNCTION("""COMPUTED_VALUE"""),"0102838068 / 252610500")</f>
        <v>0102838068 / 252610500</v>
      </c>
      <c r="B365" s="4" t="str">
        <f>IFERROR(__xludf.DUMMYFUNCTION("""COMPUTED_VALUE"""),"Ryzen Gevandra Wirapratama - L")</f>
        <v>Ryzen Gevandra Wirapratama - L</v>
      </c>
      <c r="C365" s="4" t="str">
        <f>IFERROR(__xludf.DUMMYFUNCTION("""COMPUTED_VALUE"""),"L")</f>
        <v>L</v>
      </c>
      <c r="D365" s="4">
        <f>IFERROR(__xludf.DUMMYFUNCTION("""COMPUTED_VALUE"""),33.0)</f>
        <v>33</v>
      </c>
      <c r="E365" s="4" t="str">
        <f>IFERROR(__xludf.DUMMYFUNCTION("""COMPUTED_VALUE"""),"X8")</f>
        <v>X8</v>
      </c>
      <c r="F365" s="5" t="str">
        <f>IFERROR(__xludf.DUMMYFUNCTION("""COMPUTED_VALUE"""),"33 - X8 - Ryzen Gevandra Wirapratama - L")</f>
        <v>33 - X8 - Ryzen Gevandra Wirapratama - L</v>
      </c>
      <c r="G365" s="3"/>
      <c r="H365" s="3"/>
      <c r="I365" s="3"/>
      <c r="J365" s="3"/>
      <c r="K365" s="3"/>
      <c r="L365" s="3"/>
      <c r="M365" s="3"/>
    </row>
    <row r="366">
      <c r="A366" s="4" t="str">
        <f>IFERROR(__xludf.DUMMYFUNCTION("""COMPUTED_VALUE"""),"0107357472 / 252610522")</f>
        <v>0107357472 / 252610522</v>
      </c>
      <c r="B366" s="4" t="str">
        <f>IFERROR(__xludf.DUMMYFUNCTION("""COMPUTED_VALUE"""),"Sinta Dwi Nuri Widodo - P")</f>
        <v>Sinta Dwi Nuri Widodo - P</v>
      </c>
      <c r="C366" s="4" t="str">
        <f>IFERROR(__xludf.DUMMYFUNCTION("""COMPUTED_VALUE"""),"P")</f>
        <v>P</v>
      </c>
      <c r="D366" s="4">
        <f>IFERROR(__xludf.DUMMYFUNCTION("""COMPUTED_VALUE"""),33.0)</f>
        <v>33</v>
      </c>
      <c r="E366" s="4" t="str">
        <f>IFERROR(__xludf.DUMMYFUNCTION("""COMPUTED_VALUE"""),"X8")</f>
        <v>X8</v>
      </c>
      <c r="F366" s="5" t="str">
        <f>IFERROR(__xludf.DUMMYFUNCTION("""COMPUTED_VALUE"""),"33 - X8 - Sinta Dwi Nuri Widodo - P")</f>
        <v>33 - X8 - Sinta Dwi Nuri Widodo - P</v>
      </c>
      <c r="G366" s="3"/>
      <c r="H366" s="3"/>
      <c r="I366" s="3"/>
      <c r="J366" s="3"/>
      <c r="K366" s="3"/>
      <c r="L366" s="3"/>
      <c r="M366" s="3"/>
    </row>
    <row r="367">
      <c r="A367" s="4" t="str">
        <f>IFERROR(__xludf.DUMMYFUNCTION("""COMPUTED_VALUE"""),"0093433461 / 252610536")</f>
        <v>0093433461 / 252610536</v>
      </c>
      <c r="B367" s="4" t="str">
        <f>IFERROR(__xludf.DUMMYFUNCTION("""COMPUTED_VALUE"""),"Syarifah Nur Salsabila - P")</f>
        <v>Syarifah Nur Salsabila - P</v>
      </c>
      <c r="C367" s="4" t="str">
        <f>IFERROR(__xludf.DUMMYFUNCTION("""COMPUTED_VALUE"""),"P")</f>
        <v>P</v>
      </c>
      <c r="D367" s="4">
        <f>IFERROR(__xludf.DUMMYFUNCTION("""COMPUTED_VALUE"""),33.0)</f>
        <v>33</v>
      </c>
      <c r="E367" s="4" t="str">
        <f>IFERROR(__xludf.DUMMYFUNCTION("""COMPUTED_VALUE"""),"X8")</f>
        <v>X8</v>
      </c>
      <c r="F367" s="5" t="str">
        <f>IFERROR(__xludf.DUMMYFUNCTION("""COMPUTED_VALUE"""),"33 - X8 - Syarifah Nur Salsabila - P")</f>
        <v>33 - X8 - Syarifah Nur Salsabila - P</v>
      </c>
      <c r="G367" s="3"/>
      <c r="H367" s="3"/>
      <c r="I367" s="3"/>
      <c r="J367" s="3"/>
      <c r="K367" s="3"/>
      <c r="L367" s="3"/>
      <c r="M367" s="3"/>
    </row>
    <row r="368">
      <c r="A368" s="4" t="str">
        <f>IFERROR(__xludf.DUMMYFUNCTION("""COMPUTED_VALUE"""),"0108340159 / 252610548")</f>
        <v>0108340159 / 252610548</v>
      </c>
      <c r="B368" s="4" t="str">
        <f>IFERROR(__xludf.DUMMYFUNCTION("""COMPUTED_VALUE"""),"Tsamara Privita Sya'Ban Syahdu - P")</f>
        <v>Tsamara Privita Sya'Ban Syahdu - P</v>
      </c>
      <c r="C368" s="4" t="str">
        <f>IFERROR(__xludf.DUMMYFUNCTION("""COMPUTED_VALUE"""),"P")</f>
        <v>P</v>
      </c>
      <c r="D368" s="4">
        <f>IFERROR(__xludf.DUMMYFUNCTION("""COMPUTED_VALUE"""),33.0)</f>
        <v>33</v>
      </c>
      <c r="E368" s="4" t="str">
        <f>IFERROR(__xludf.DUMMYFUNCTION("""COMPUTED_VALUE"""),"X8")</f>
        <v>X8</v>
      </c>
      <c r="F368" s="5" t="str">
        <f>IFERROR(__xludf.DUMMYFUNCTION("""COMPUTED_VALUE"""),"33 - X8 - Tsamara Privita Sya'Ban Syahdu - P")</f>
        <v>33 - X8 - Tsamara Privita Sya'Ban Syahdu - P</v>
      </c>
      <c r="G368" s="3"/>
      <c r="H368" s="3"/>
      <c r="I368" s="3"/>
      <c r="J368" s="3"/>
      <c r="K368" s="3"/>
      <c r="L368" s="3"/>
      <c r="M368" s="3"/>
    </row>
    <row r="369">
      <c r="A369" s="4" t="str">
        <f>IFERROR(__xludf.DUMMYFUNCTION("""COMPUTED_VALUE"""),"0094438921 / 252610558")</f>
        <v>0094438921 / 252610558</v>
      </c>
      <c r="B369" s="4" t="str">
        <f>IFERROR(__xludf.DUMMYFUNCTION("""COMPUTED_VALUE"""),"Yuzusie Aida Nenat - L")</f>
        <v>Yuzusie Aida Nenat - L</v>
      </c>
      <c r="C369" s="4" t="str">
        <f>IFERROR(__xludf.DUMMYFUNCTION("""COMPUTED_VALUE"""),"L")</f>
        <v>L</v>
      </c>
      <c r="D369" s="4">
        <f>IFERROR(__xludf.DUMMYFUNCTION("""COMPUTED_VALUE"""),33.0)</f>
        <v>33</v>
      </c>
      <c r="E369" s="4" t="str">
        <f>IFERROR(__xludf.DUMMYFUNCTION("""COMPUTED_VALUE"""),"X8")</f>
        <v>X8</v>
      </c>
      <c r="F369" s="5" t="str">
        <f>IFERROR(__xludf.DUMMYFUNCTION("""COMPUTED_VALUE"""),"33 - X8 - Yuzusie Aida Nenat - L")</f>
        <v>33 - X8 - Yuzusie Aida Nenat - L</v>
      </c>
      <c r="G369" s="3"/>
      <c r="H369" s="3"/>
      <c r="I369" s="3"/>
      <c r="J369" s="3"/>
      <c r="K369" s="3"/>
      <c r="L369" s="3"/>
      <c r="M369" s="3"/>
    </row>
    <row r="370">
      <c r="A370" s="4" t="str">
        <f>IFERROR(__xludf.DUMMYFUNCTION("""COMPUTED_VALUE"""),"0106681838 / 252610003")</f>
        <v>0106681838 / 252610003</v>
      </c>
      <c r="B370" s="4" t="str">
        <f>IFERROR(__xludf.DUMMYFUNCTION("""COMPUTED_VALUE"""),"Abyan Zuka Ibrahim Nasution - L")</f>
        <v>Abyan Zuka Ibrahim Nasution - L</v>
      </c>
      <c r="C370" s="4" t="str">
        <f>IFERROR(__xludf.DUMMYFUNCTION("""COMPUTED_VALUE"""),"L")</f>
        <v>L</v>
      </c>
      <c r="D370" s="4">
        <f>IFERROR(__xludf.DUMMYFUNCTION("""COMPUTED_VALUE"""),33.0)</f>
        <v>33</v>
      </c>
      <c r="E370" s="4" t="str">
        <f>IFERROR(__xludf.DUMMYFUNCTION("""COMPUTED_VALUE"""),"X9")</f>
        <v>X9</v>
      </c>
      <c r="F370" s="5" t="str">
        <f>IFERROR(__xludf.DUMMYFUNCTION("""COMPUTED_VALUE"""),"33 - X9 - Abyan Zuka Ibrahim Nasution - L")</f>
        <v>33 - X9 - Abyan Zuka Ibrahim Nasution - L</v>
      </c>
      <c r="G370" s="3"/>
      <c r="H370" s="3"/>
      <c r="I370" s="3"/>
      <c r="J370" s="3"/>
      <c r="K370" s="3"/>
      <c r="L370" s="3"/>
      <c r="M370" s="3"/>
    </row>
    <row r="371">
      <c r="A371" s="4" t="str">
        <f>IFERROR(__xludf.DUMMYFUNCTION("""COMPUTED_VALUE"""),"0108974704 / 252610019")</f>
        <v>0108974704 / 252610019</v>
      </c>
      <c r="B371" s="4" t="str">
        <f>IFERROR(__xludf.DUMMYFUNCTION("""COMPUTED_VALUE"""),"Ahmad Hafidz Anwar - L")</f>
        <v>Ahmad Hafidz Anwar - L</v>
      </c>
      <c r="C371" s="4" t="str">
        <f>IFERROR(__xludf.DUMMYFUNCTION("""COMPUTED_VALUE"""),"L")</f>
        <v>L</v>
      </c>
      <c r="D371" s="4">
        <f>IFERROR(__xludf.DUMMYFUNCTION("""COMPUTED_VALUE"""),33.0)</f>
        <v>33</v>
      </c>
      <c r="E371" s="4" t="str">
        <f>IFERROR(__xludf.DUMMYFUNCTION("""COMPUTED_VALUE"""),"X9")</f>
        <v>X9</v>
      </c>
      <c r="F371" s="5" t="str">
        <f>IFERROR(__xludf.DUMMYFUNCTION("""COMPUTED_VALUE"""),"33 - X9 - Ahmad Hafidz Anwar - L")</f>
        <v>33 - X9 - Ahmad Hafidz Anwar - L</v>
      </c>
      <c r="G371" s="3"/>
      <c r="H371" s="3"/>
      <c r="I371" s="3"/>
      <c r="J371" s="3"/>
      <c r="K371" s="3"/>
      <c r="L371" s="3"/>
      <c r="M371" s="3"/>
    </row>
    <row r="372">
      <c r="A372" s="4" t="str">
        <f>IFERROR(__xludf.DUMMYFUNCTION("""COMPUTED_VALUE"""),"0105339420 / 252610027")</f>
        <v>0105339420 / 252610027</v>
      </c>
      <c r="B372" s="4" t="str">
        <f>IFERROR(__xludf.DUMMYFUNCTION("""COMPUTED_VALUE"""),"Aishanna Latifa Harjono - P")</f>
        <v>Aishanna Latifa Harjono - P</v>
      </c>
      <c r="C372" s="4" t="str">
        <f>IFERROR(__xludf.DUMMYFUNCTION("""COMPUTED_VALUE"""),"P")</f>
        <v>P</v>
      </c>
      <c r="D372" s="4">
        <f>IFERROR(__xludf.DUMMYFUNCTION("""COMPUTED_VALUE"""),33.0)</f>
        <v>33</v>
      </c>
      <c r="E372" s="4" t="str">
        <f>IFERROR(__xludf.DUMMYFUNCTION("""COMPUTED_VALUE"""),"X9")</f>
        <v>X9</v>
      </c>
      <c r="F372" s="5" t="str">
        <f>IFERROR(__xludf.DUMMYFUNCTION("""COMPUTED_VALUE"""),"33 - X9 - Aishanna Latifa Harjono - P")</f>
        <v>33 - X9 - Aishanna Latifa Harjono - P</v>
      </c>
      <c r="G372" s="3"/>
      <c r="H372" s="3"/>
      <c r="I372" s="3"/>
      <c r="J372" s="3"/>
      <c r="K372" s="3"/>
      <c r="L372" s="3"/>
      <c r="M372" s="3"/>
    </row>
    <row r="373">
      <c r="A373" s="4" t="str">
        <f>IFERROR(__xludf.DUMMYFUNCTION("""COMPUTED_VALUE"""),"0093799489 / 252610071")</f>
        <v>0093799489 / 252610071</v>
      </c>
      <c r="B373" s="4" t="str">
        <f>IFERROR(__xludf.DUMMYFUNCTION("""COMPUTED_VALUE"""),"Aqila Elmohri - P")</f>
        <v>Aqila Elmohri - P</v>
      </c>
      <c r="C373" s="4" t="str">
        <f>IFERROR(__xludf.DUMMYFUNCTION("""COMPUTED_VALUE"""),"P")</f>
        <v>P</v>
      </c>
      <c r="D373" s="4">
        <f>IFERROR(__xludf.DUMMYFUNCTION("""COMPUTED_VALUE"""),33.0)</f>
        <v>33</v>
      </c>
      <c r="E373" s="4" t="str">
        <f>IFERROR(__xludf.DUMMYFUNCTION("""COMPUTED_VALUE"""),"X9")</f>
        <v>X9</v>
      </c>
      <c r="F373" s="5" t="str">
        <f>IFERROR(__xludf.DUMMYFUNCTION("""COMPUTED_VALUE"""),"33 - X9 - Aqila Elmohri - P")</f>
        <v>33 - X9 - Aqila Elmohri - P</v>
      </c>
      <c r="G373" s="3"/>
      <c r="H373" s="3"/>
      <c r="I373" s="3"/>
      <c r="J373" s="3"/>
      <c r="K373" s="3"/>
      <c r="L373" s="3"/>
      <c r="M373" s="3"/>
    </row>
    <row r="374">
      <c r="A374" s="4" t="str">
        <f>IFERROR(__xludf.DUMMYFUNCTION("""COMPUTED_VALUE"""),"3111697965 / 252610073")</f>
        <v>3111697965 / 252610073</v>
      </c>
      <c r="B374" s="4" t="str">
        <f>IFERROR(__xludf.DUMMYFUNCTION("""COMPUTED_VALUE"""),"Aqilla Al-Farabi - P")</f>
        <v>Aqilla Al-Farabi - P</v>
      </c>
      <c r="C374" s="4" t="str">
        <f>IFERROR(__xludf.DUMMYFUNCTION("""COMPUTED_VALUE"""),"P")</f>
        <v>P</v>
      </c>
      <c r="D374" s="4">
        <f>IFERROR(__xludf.DUMMYFUNCTION("""COMPUTED_VALUE"""),33.0)</f>
        <v>33</v>
      </c>
      <c r="E374" s="4" t="str">
        <f>IFERROR(__xludf.DUMMYFUNCTION("""COMPUTED_VALUE"""),"X9")</f>
        <v>X9</v>
      </c>
      <c r="F374" s="5" t="str">
        <f>IFERROR(__xludf.DUMMYFUNCTION("""COMPUTED_VALUE"""),"33 - X9 - Aqilla Al-Farabi - P")</f>
        <v>33 - X9 - Aqilla Al-Farabi - P</v>
      </c>
      <c r="G374" s="3"/>
      <c r="H374" s="3"/>
      <c r="I374" s="3"/>
      <c r="J374" s="3"/>
      <c r="K374" s="3"/>
      <c r="L374" s="3"/>
      <c r="M374" s="3"/>
    </row>
    <row r="375">
      <c r="A375" s="4" t="str">
        <f>IFERROR(__xludf.DUMMYFUNCTION("""COMPUTED_VALUE"""),"0102592413 / 252610078")</f>
        <v>0102592413 / 252610078</v>
      </c>
      <c r="B375" s="4" t="str">
        <f>IFERROR(__xludf.DUMMYFUNCTION("""COMPUTED_VALUE"""),"Ariyo Raditya Putra - L")</f>
        <v>Ariyo Raditya Putra - L</v>
      </c>
      <c r="C375" s="4" t="str">
        <f>IFERROR(__xludf.DUMMYFUNCTION("""COMPUTED_VALUE"""),"L")</f>
        <v>L</v>
      </c>
      <c r="D375" s="4">
        <f>IFERROR(__xludf.DUMMYFUNCTION("""COMPUTED_VALUE"""),33.0)</f>
        <v>33</v>
      </c>
      <c r="E375" s="4" t="str">
        <f>IFERROR(__xludf.DUMMYFUNCTION("""COMPUTED_VALUE"""),"X9")</f>
        <v>X9</v>
      </c>
      <c r="F375" s="5" t="str">
        <f>IFERROR(__xludf.DUMMYFUNCTION("""COMPUTED_VALUE"""),"33 - X9 - Ariyo Raditya Putra - L")</f>
        <v>33 - X9 - Ariyo Raditya Putra - L</v>
      </c>
      <c r="G375" s="3"/>
      <c r="H375" s="3"/>
      <c r="I375" s="3"/>
      <c r="J375" s="3"/>
      <c r="K375" s="3"/>
      <c r="L375" s="3"/>
      <c r="M375" s="3"/>
    </row>
    <row r="376">
      <c r="A376" s="4" t="str">
        <f>IFERROR(__xludf.DUMMYFUNCTION("""COMPUTED_VALUE"""),"0099452000 / 252610086")</f>
        <v>0099452000 / 252610086</v>
      </c>
      <c r="B376" s="4" t="str">
        <f>IFERROR(__xludf.DUMMYFUNCTION("""COMPUTED_VALUE"""),"Asshafa Nur Intan - P")</f>
        <v>Asshafa Nur Intan - P</v>
      </c>
      <c r="C376" s="4" t="str">
        <f>IFERROR(__xludf.DUMMYFUNCTION("""COMPUTED_VALUE"""),"P")</f>
        <v>P</v>
      </c>
      <c r="D376" s="4">
        <f>IFERROR(__xludf.DUMMYFUNCTION("""COMPUTED_VALUE"""),33.0)</f>
        <v>33</v>
      </c>
      <c r="E376" s="4" t="str">
        <f>IFERROR(__xludf.DUMMYFUNCTION("""COMPUTED_VALUE"""),"X9")</f>
        <v>X9</v>
      </c>
      <c r="F376" s="5" t="str">
        <f>IFERROR(__xludf.DUMMYFUNCTION("""COMPUTED_VALUE"""),"33 - X9 - Asshafa Nur Intan - P")</f>
        <v>33 - X9 - Asshafa Nur Intan - P</v>
      </c>
      <c r="G376" s="3"/>
      <c r="H376" s="3"/>
      <c r="I376" s="3"/>
      <c r="J376" s="3"/>
      <c r="K376" s="3"/>
      <c r="L376" s="3"/>
      <c r="M376" s="3"/>
    </row>
    <row r="377">
      <c r="A377" s="4" t="str">
        <f>IFERROR(__xludf.DUMMYFUNCTION("""COMPUTED_VALUE"""),"0093343311 / 252610092")</f>
        <v>0093343311 / 252610092</v>
      </c>
      <c r="B377" s="4" t="str">
        <f>IFERROR(__xludf.DUMMYFUNCTION("""COMPUTED_VALUE"""),"Attar Palestine Taha - P")</f>
        <v>Attar Palestine Taha - P</v>
      </c>
      <c r="C377" s="4" t="str">
        <f>IFERROR(__xludf.DUMMYFUNCTION("""COMPUTED_VALUE"""),"P")</f>
        <v>P</v>
      </c>
      <c r="D377" s="4">
        <f>IFERROR(__xludf.DUMMYFUNCTION("""COMPUTED_VALUE"""),33.0)</f>
        <v>33</v>
      </c>
      <c r="E377" s="4" t="str">
        <f>IFERROR(__xludf.DUMMYFUNCTION("""COMPUTED_VALUE"""),"X9")</f>
        <v>X9</v>
      </c>
      <c r="F377" s="5" t="str">
        <f>IFERROR(__xludf.DUMMYFUNCTION("""COMPUTED_VALUE"""),"33 - X9 - Attar Palestine Taha - P")</f>
        <v>33 - X9 - Attar Palestine Taha - P</v>
      </c>
      <c r="G377" s="3"/>
      <c r="H377" s="3"/>
      <c r="I377" s="3"/>
      <c r="J377" s="3"/>
      <c r="K377" s="3"/>
      <c r="L377" s="3"/>
      <c r="M377" s="3"/>
    </row>
    <row r="378">
      <c r="A378" s="4" t="str">
        <f>IFERROR(__xludf.DUMMYFUNCTION("""COMPUTED_VALUE"""),"0102924778 / 252610095")</f>
        <v>0102924778 / 252610095</v>
      </c>
      <c r="B378" s="4" t="str">
        <f>IFERROR(__xludf.DUMMYFUNCTION("""COMPUTED_VALUE"""),"Aufa Khairunnisa - P")</f>
        <v>Aufa Khairunnisa - P</v>
      </c>
      <c r="C378" s="4" t="str">
        <f>IFERROR(__xludf.DUMMYFUNCTION("""COMPUTED_VALUE"""),"P")</f>
        <v>P</v>
      </c>
      <c r="D378" s="4">
        <f>IFERROR(__xludf.DUMMYFUNCTION("""COMPUTED_VALUE"""),33.0)</f>
        <v>33</v>
      </c>
      <c r="E378" s="4" t="str">
        <f>IFERROR(__xludf.DUMMYFUNCTION("""COMPUTED_VALUE"""),"X9")</f>
        <v>X9</v>
      </c>
      <c r="F378" s="5" t="str">
        <f>IFERROR(__xludf.DUMMYFUNCTION("""COMPUTED_VALUE"""),"33 - X9 - Aufa Khairunnisa - P")</f>
        <v>33 - X9 - Aufa Khairunnisa - P</v>
      </c>
      <c r="G378" s="3"/>
      <c r="H378" s="3"/>
      <c r="I378" s="3"/>
      <c r="J378" s="3"/>
      <c r="K378" s="3"/>
      <c r="L378" s="3"/>
      <c r="M378" s="3"/>
    </row>
    <row r="379">
      <c r="A379" s="4" t="str">
        <f>IFERROR(__xludf.DUMMYFUNCTION("""COMPUTED_VALUE"""),"0108974038 / 252610117")</f>
        <v>0108974038 / 252610117</v>
      </c>
      <c r="B379" s="4" t="str">
        <f>IFERROR(__xludf.DUMMYFUNCTION("""COMPUTED_VALUE"""),"Balqis Luthfiyah Zahra - P")</f>
        <v>Balqis Luthfiyah Zahra - P</v>
      </c>
      <c r="C379" s="4" t="str">
        <f>IFERROR(__xludf.DUMMYFUNCTION("""COMPUTED_VALUE"""),"P")</f>
        <v>P</v>
      </c>
      <c r="D379" s="4">
        <f>IFERROR(__xludf.DUMMYFUNCTION("""COMPUTED_VALUE"""),33.0)</f>
        <v>33</v>
      </c>
      <c r="E379" s="4" t="str">
        <f>IFERROR(__xludf.DUMMYFUNCTION("""COMPUTED_VALUE"""),"X9")</f>
        <v>X9</v>
      </c>
      <c r="F379" s="5" t="str">
        <f>IFERROR(__xludf.DUMMYFUNCTION("""COMPUTED_VALUE"""),"33 - X9 - Balqis Luthfiyah Zahra - P")</f>
        <v>33 - X9 - Balqis Luthfiyah Zahra - P</v>
      </c>
      <c r="G379" s="3"/>
      <c r="H379" s="3"/>
      <c r="I379" s="3"/>
      <c r="J379" s="3"/>
      <c r="K379" s="3"/>
      <c r="L379" s="3"/>
      <c r="M379" s="3"/>
    </row>
    <row r="380">
      <c r="A380" s="4" t="str">
        <f>IFERROR(__xludf.DUMMYFUNCTION("""COMPUTED_VALUE"""),"0104378571 / 252610133")</f>
        <v>0104378571 / 252610133</v>
      </c>
      <c r="B380" s="4" t="str">
        <f>IFERROR(__xludf.DUMMYFUNCTION("""COMPUTED_VALUE"""),"Chayra Putri Dwinata - P")</f>
        <v>Chayra Putri Dwinata - P</v>
      </c>
      <c r="C380" s="4" t="str">
        <f>IFERROR(__xludf.DUMMYFUNCTION("""COMPUTED_VALUE"""),"P")</f>
        <v>P</v>
      </c>
      <c r="D380" s="4">
        <f>IFERROR(__xludf.DUMMYFUNCTION("""COMPUTED_VALUE"""),33.0)</f>
        <v>33</v>
      </c>
      <c r="E380" s="4" t="str">
        <f>IFERROR(__xludf.DUMMYFUNCTION("""COMPUTED_VALUE"""),"X9")</f>
        <v>X9</v>
      </c>
      <c r="F380" s="5" t="str">
        <f>IFERROR(__xludf.DUMMYFUNCTION("""COMPUTED_VALUE"""),"33 - X9 - Chayra Putri Dwinata - P")</f>
        <v>33 - X9 - Chayra Putri Dwinata - P</v>
      </c>
      <c r="G380" s="3"/>
      <c r="H380" s="3"/>
      <c r="I380" s="3"/>
      <c r="J380" s="3"/>
      <c r="K380" s="3"/>
      <c r="L380" s="3"/>
      <c r="M380" s="3"/>
    </row>
    <row r="381">
      <c r="A381" s="4" t="str">
        <f>IFERROR(__xludf.DUMMYFUNCTION("""COMPUTED_VALUE"""),"0107900663 / 252610135")</f>
        <v>0107900663 / 252610135</v>
      </c>
      <c r="B381" s="4" t="str">
        <f>IFERROR(__xludf.DUMMYFUNCTION("""COMPUTED_VALUE"""),"Cheryl Anandiora - L")</f>
        <v>Cheryl Anandiora - L</v>
      </c>
      <c r="C381" s="4" t="str">
        <f>IFERROR(__xludf.DUMMYFUNCTION("""COMPUTED_VALUE"""),"L")</f>
        <v>L</v>
      </c>
      <c r="D381" s="4">
        <f>IFERROR(__xludf.DUMMYFUNCTION("""COMPUTED_VALUE"""),33.0)</f>
        <v>33</v>
      </c>
      <c r="E381" s="4" t="str">
        <f>IFERROR(__xludf.DUMMYFUNCTION("""COMPUTED_VALUE"""),"X9")</f>
        <v>X9</v>
      </c>
      <c r="F381" s="5" t="str">
        <f>IFERROR(__xludf.DUMMYFUNCTION("""COMPUTED_VALUE"""),"33 - X9 - Cheryl Anandiora - L")</f>
        <v>33 - X9 - Cheryl Anandiora - L</v>
      </c>
      <c r="G381" s="3"/>
      <c r="H381" s="3"/>
      <c r="I381" s="3"/>
      <c r="J381" s="3"/>
      <c r="K381" s="3"/>
      <c r="L381" s="3"/>
      <c r="M381" s="3"/>
    </row>
    <row r="382">
      <c r="A382" s="4" t="str">
        <f>IFERROR(__xludf.DUMMYFUNCTION("""COMPUTED_VALUE"""),"0091254694 / 252610146")</f>
        <v>0091254694 / 252610146</v>
      </c>
      <c r="B382" s="4" t="str">
        <f>IFERROR(__xludf.DUMMYFUNCTION("""COMPUTED_VALUE"""),"Dahayu Nadhilah Syafa - P")</f>
        <v>Dahayu Nadhilah Syafa - P</v>
      </c>
      <c r="C382" s="4" t="str">
        <f>IFERROR(__xludf.DUMMYFUNCTION("""COMPUTED_VALUE"""),"P")</f>
        <v>P</v>
      </c>
      <c r="D382" s="4">
        <f>IFERROR(__xludf.DUMMYFUNCTION("""COMPUTED_VALUE"""),33.0)</f>
        <v>33</v>
      </c>
      <c r="E382" s="4" t="str">
        <f>IFERROR(__xludf.DUMMYFUNCTION("""COMPUTED_VALUE"""),"X9")</f>
        <v>X9</v>
      </c>
      <c r="F382" s="5" t="str">
        <f>IFERROR(__xludf.DUMMYFUNCTION("""COMPUTED_VALUE"""),"33 - X9 - Dahayu Nadhilah Syafa - P")</f>
        <v>33 - X9 - Dahayu Nadhilah Syafa - P</v>
      </c>
      <c r="G382" s="3"/>
      <c r="H382" s="3"/>
      <c r="I382" s="3"/>
      <c r="J382" s="3"/>
      <c r="K382" s="3"/>
      <c r="L382" s="3"/>
      <c r="M382" s="3"/>
    </row>
    <row r="383">
      <c r="A383" s="4" t="str">
        <f>IFERROR(__xludf.DUMMYFUNCTION("""COMPUTED_VALUE"""),"0108673369 / 252610178")</f>
        <v>0108673369 / 252610178</v>
      </c>
      <c r="B383" s="4" t="str">
        <f>IFERROR(__xludf.DUMMYFUNCTION("""COMPUTED_VALUE"""),"Elen Vanesyah Wahyudi - P")</f>
        <v>Elen Vanesyah Wahyudi - P</v>
      </c>
      <c r="C383" s="4" t="str">
        <f>IFERROR(__xludf.DUMMYFUNCTION("""COMPUTED_VALUE"""),"P")</f>
        <v>P</v>
      </c>
      <c r="D383" s="4">
        <f>IFERROR(__xludf.DUMMYFUNCTION("""COMPUTED_VALUE"""),33.0)</f>
        <v>33</v>
      </c>
      <c r="E383" s="4" t="str">
        <f>IFERROR(__xludf.DUMMYFUNCTION("""COMPUTED_VALUE"""),"X9")</f>
        <v>X9</v>
      </c>
      <c r="F383" s="5" t="str">
        <f>IFERROR(__xludf.DUMMYFUNCTION("""COMPUTED_VALUE"""),"33 - X9 - Elen Vanesyah Wahyudi - P")</f>
        <v>33 - X9 - Elen Vanesyah Wahyudi - P</v>
      </c>
      <c r="G383" s="3"/>
      <c r="H383" s="3"/>
      <c r="I383" s="3"/>
      <c r="J383" s="3"/>
      <c r="K383" s="3"/>
      <c r="L383" s="3"/>
      <c r="M383" s="3"/>
    </row>
    <row r="384">
      <c r="A384" s="4" t="str">
        <f>IFERROR(__xludf.DUMMYFUNCTION("""COMPUTED_VALUE"""),"0097946386 / 252610211")</f>
        <v>0097946386 / 252610211</v>
      </c>
      <c r="B384" s="4" t="str">
        <f>IFERROR(__xludf.DUMMYFUNCTION("""COMPUTED_VALUE"""),"Fitrah Thirafi - L")</f>
        <v>Fitrah Thirafi - L</v>
      </c>
      <c r="C384" s="4" t="str">
        <f>IFERROR(__xludf.DUMMYFUNCTION("""COMPUTED_VALUE"""),"L")</f>
        <v>L</v>
      </c>
      <c r="D384" s="4">
        <f>IFERROR(__xludf.DUMMYFUNCTION("""COMPUTED_VALUE"""),33.0)</f>
        <v>33</v>
      </c>
      <c r="E384" s="4" t="str">
        <f>IFERROR(__xludf.DUMMYFUNCTION("""COMPUTED_VALUE"""),"X9")</f>
        <v>X9</v>
      </c>
      <c r="F384" s="5" t="str">
        <f>IFERROR(__xludf.DUMMYFUNCTION("""COMPUTED_VALUE"""),"33 - X9 - Fitrah Thirafi - L")</f>
        <v>33 - X9 - Fitrah Thirafi - L</v>
      </c>
      <c r="G384" s="3"/>
      <c r="H384" s="3"/>
      <c r="I384" s="3"/>
      <c r="J384" s="3"/>
      <c r="K384" s="3"/>
      <c r="L384" s="3"/>
      <c r="M384" s="3"/>
    </row>
    <row r="385">
      <c r="A385" s="4" t="str">
        <f>IFERROR(__xludf.DUMMYFUNCTION("""COMPUTED_VALUE"""),"0099535255 / 252610212")</f>
        <v>0099535255 / 252610212</v>
      </c>
      <c r="B385" s="4" t="str">
        <f>IFERROR(__xludf.DUMMYFUNCTION("""COMPUTED_VALUE"""),"Fitri Rahmawati - P")</f>
        <v>Fitri Rahmawati - P</v>
      </c>
      <c r="C385" s="4" t="str">
        <f>IFERROR(__xludf.DUMMYFUNCTION("""COMPUTED_VALUE"""),"P")</f>
        <v>P</v>
      </c>
      <c r="D385" s="4">
        <f>IFERROR(__xludf.DUMMYFUNCTION("""COMPUTED_VALUE"""),33.0)</f>
        <v>33</v>
      </c>
      <c r="E385" s="4" t="str">
        <f>IFERROR(__xludf.DUMMYFUNCTION("""COMPUTED_VALUE"""),"X9")</f>
        <v>X9</v>
      </c>
      <c r="F385" s="5" t="str">
        <f>IFERROR(__xludf.DUMMYFUNCTION("""COMPUTED_VALUE"""),"33 - X9 - Fitri Rahmawati - P")</f>
        <v>33 - X9 - Fitri Rahmawati - P</v>
      </c>
      <c r="G385" s="3"/>
      <c r="H385" s="3"/>
      <c r="I385" s="3"/>
      <c r="J385" s="3"/>
      <c r="K385" s="3"/>
      <c r="L385" s="3"/>
      <c r="M385" s="3"/>
    </row>
    <row r="386">
      <c r="A386" s="4" t="str">
        <f>IFERROR(__xludf.DUMMYFUNCTION("""COMPUTED_VALUE"""),"0094573200 / 252610220")</f>
        <v>0094573200 / 252610220</v>
      </c>
      <c r="B386" s="4" t="str">
        <f>IFERROR(__xludf.DUMMYFUNCTION("""COMPUTED_VALUE"""),"Ghaniah Aqilah - P")</f>
        <v>Ghaniah Aqilah - P</v>
      </c>
      <c r="C386" s="4" t="str">
        <f>IFERROR(__xludf.DUMMYFUNCTION("""COMPUTED_VALUE"""),"P")</f>
        <v>P</v>
      </c>
      <c r="D386" s="4">
        <f>IFERROR(__xludf.DUMMYFUNCTION("""COMPUTED_VALUE"""),33.0)</f>
        <v>33</v>
      </c>
      <c r="E386" s="4" t="str">
        <f>IFERROR(__xludf.DUMMYFUNCTION("""COMPUTED_VALUE"""),"X9")</f>
        <v>X9</v>
      </c>
      <c r="F386" s="5" t="str">
        <f>IFERROR(__xludf.DUMMYFUNCTION("""COMPUTED_VALUE"""),"33 - X9 - Ghaniah Aqilah - P")</f>
        <v>33 - X9 - Ghaniah Aqilah - P</v>
      </c>
      <c r="G386" s="3"/>
      <c r="H386" s="3"/>
      <c r="I386" s="3"/>
      <c r="J386" s="3"/>
      <c r="K386" s="3"/>
      <c r="L386" s="3"/>
      <c r="M386" s="3"/>
    </row>
    <row r="387">
      <c r="A387" s="4" t="str">
        <f>IFERROR(__xludf.DUMMYFUNCTION("""COMPUTED_VALUE"""),"0114593936 / 252610231")</f>
        <v>0114593936 / 252610231</v>
      </c>
      <c r="B387" s="4" t="str">
        <f>IFERROR(__xludf.DUMMYFUNCTION("""COMPUTED_VALUE"""),"Hizam Kynan Putra Purwanto - L")</f>
        <v>Hizam Kynan Putra Purwanto - L</v>
      </c>
      <c r="C387" s="4" t="str">
        <f>IFERROR(__xludf.DUMMYFUNCTION("""COMPUTED_VALUE"""),"L")</f>
        <v>L</v>
      </c>
      <c r="D387" s="4">
        <f>IFERROR(__xludf.DUMMYFUNCTION("""COMPUTED_VALUE"""),33.0)</f>
        <v>33</v>
      </c>
      <c r="E387" s="4" t="str">
        <f>IFERROR(__xludf.DUMMYFUNCTION("""COMPUTED_VALUE"""),"X9")</f>
        <v>X9</v>
      </c>
      <c r="F387" s="5" t="str">
        <f>IFERROR(__xludf.DUMMYFUNCTION("""COMPUTED_VALUE"""),"33 - X9 - Hizam Kynan Putra Purwanto - L")</f>
        <v>33 - X9 - Hizam Kynan Putra Purwanto - L</v>
      </c>
      <c r="G387" s="3"/>
      <c r="H387" s="3"/>
      <c r="I387" s="3"/>
      <c r="J387" s="3"/>
      <c r="K387" s="3"/>
      <c r="L387" s="3"/>
      <c r="M387" s="3"/>
    </row>
    <row r="388">
      <c r="A388" s="4" t="str">
        <f>IFERROR(__xludf.DUMMYFUNCTION("""COMPUTED_VALUE"""),"0109669821 / 252610232")</f>
        <v>0109669821 / 252610232</v>
      </c>
      <c r="B388" s="4" t="str">
        <f>IFERROR(__xludf.DUMMYFUNCTION("""COMPUTED_VALUE"""),"Ilham Rizki Pratama - L")</f>
        <v>Ilham Rizki Pratama - L</v>
      </c>
      <c r="C388" s="4" t="str">
        <f>IFERROR(__xludf.DUMMYFUNCTION("""COMPUTED_VALUE"""),"L")</f>
        <v>L</v>
      </c>
      <c r="D388" s="4">
        <f>IFERROR(__xludf.DUMMYFUNCTION("""COMPUTED_VALUE"""),33.0)</f>
        <v>33</v>
      </c>
      <c r="E388" s="4" t="str">
        <f>IFERROR(__xludf.DUMMYFUNCTION("""COMPUTED_VALUE"""),"X9")</f>
        <v>X9</v>
      </c>
      <c r="F388" s="5" t="str">
        <f>IFERROR(__xludf.DUMMYFUNCTION("""COMPUTED_VALUE"""),"33 - X9 - Ilham Rizki Pratama - L")</f>
        <v>33 - X9 - Ilham Rizki Pratama - L</v>
      </c>
      <c r="G388" s="3"/>
      <c r="H388" s="3"/>
      <c r="I388" s="3"/>
      <c r="J388" s="3"/>
      <c r="K388" s="3"/>
      <c r="L388" s="3"/>
      <c r="M388" s="3"/>
    </row>
    <row r="389">
      <c r="A389" s="4" t="str">
        <f>IFERROR(__xludf.DUMMYFUNCTION("""COMPUTED_VALUE"""),"0103695549 / 252610236")</f>
        <v>0103695549 / 252610236</v>
      </c>
      <c r="B389" s="4" t="str">
        <f>IFERROR(__xludf.DUMMYFUNCTION("""COMPUTED_VALUE"""),"Izaz Izzatul Islam - P")</f>
        <v>Izaz Izzatul Islam - P</v>
      </c>
      <c r="C389" s="4" t="str">
        <f>IFERROR(__xludf.DUMMYFUNCTION("""COMPUTED_VALUE"""),"P")</f>
        <v>P</v>
      </c>
      <c r="D389" s="4">
        <f>IFERROR(__xludf.DUMMYFUNCTION("""COMPUTED_VALUE"""),33.0)</f>
        <v>33</v>
      </c>
      <c r="E389" s="4" t="str">
        <f>IFERROR(__xludf.DUMMYFUNCTION("""COMPUTED_VALUE"""),"X9")</f>
        <v>X9</v>
      </c>
      <c r="F389" s="5" t="str">
        <f>IFERROR(__xludf.DUMMYFUNCTION("""COMPUTED_VALUE"""),"33 - X9 - Izaz Izzatul Islam - P")</f>
        <v>33 - X9 - Izaz Izzatul Islam - P</v>
      </c>
      <c r="G389" s="3"/>
      <c r="H389" s="3"/>
      <c r="I389" s="3"/>
      <c r="J389" s="3"/>
      <c r="K389" s="3"/>
      <c r="L389" s="3"/>
      <c r="M389" s="3"/>
    </row>
    <row r="390">
      <c r="A390" s="4" t="str">
        <f>IFERROR(__xludf.DUMMYFUNCTION("""COMPUTED_VALUE"""),"0095770160 / 252610240")</f>
        <v>0095770160 / 252610240</v>
      </c>
      <c r="B390" s="4" t="str">
        <f>IFERROR(__xludf.DUMMYFUNCTION("""COMPUTED_VALUE"""),"Jazila Abid Niyaz Chan Lase - L")</f>
        <v>Jazila Abid Niyaz Chan Lase - L</v>
      </c>
      <c r="C390" s="4" t="str">
        <f>IFERROR(__xludf.DUMMYFUNCTION("""COMPUTED_VALUE"""),"L")</f>
        <v>L</v>
      </c>
      <c r="D390" s="4">
        <f>IFERROR(__xludf.DUMMYFUNCTION("""COMPUTED_VALUE"""),33.0)</f>
        <v>33</v>
      </c>
      <c r="E390" s="4" t="str">
        <f>IFERROR(__xludf.DUMMYFUNCTION("""COMPUTED_VALUE"""),"X9")</f>
        <v>X9</v>
      </c>
      <c r="F390" s="5" t="str">
        <f>IFERROR(__xludf.DUMMYFUNCTION("""COMPUTED_VALUE"""),"33 - X9 - Jazila Abid Niyaz Chan Lase - L")</f>
        <v>33 - X9 - Jazila Abid Niyaz Chan Lase - L</v>
      </c>
      <c r="G390" s="3"/>
      <c r="H390" s="3"/>
      <c r="I390" s="3"/>
      <c r="J390" s="3"/>
      <c r="K390" s="3"/>
      <c r="L390" s="3"/>
      <c r="M390" s="3"/>
    </row>
    <row r="391">
      <c r="A391" s="4" t="str">
        <f>IFERROR(__xludf.DUMMYFUNCTION("""COMPUTED_VALUE"""),"0106852675 / 252610248")</f>
        <v>0106852675 / 252610248</v>
      </c>
      <c r="B391" s="4" t="str">
        <f>IFERROR(__xludf.DUMMYFUNCTION("""COMPUTED_VALUE"""),"Jihan Nailatusy Syarafah - P")</f>
        <v>Jihan Nailatusy Syarafah - P</v>
      </c>
      <c r="C391" s="4" t="str">
        <f>IFERROR(__xludf.DUMMYFUNCTION("""COMPUTED_VALUE"""),"P")</f>
        <v>P</v>
      </c>
      <c r="D391" s="4">
        <f>IFERROR(__xludf.DUMMYFUNCTION("""COMPUTED_VALUE"""),33.0)</f>
        <v>33</v>
      </c>
      <c r="E391" s="4" t="str">
        <f>IFERROR(__xludf.DUMMYFUNCTION("""COMPUTED_VALUE"""),"X9")</f>
        <v>X9</v>
      </c>
      <c r="F391" s="5" t="str">
        <f>IFERROR(__xludf.DUMMYFUNCTION("""COMPUTED_VALUE"""),"33 - X9 - Jihan Nailatusy Syarafah - P")</f>
        <v>33 - X9 - Jihan Nailatusy Syarafah - P</v>
      </c>
      <c r="G391" s="3"/>
      <c r="H391" s="3"/>
      <c r="I391" s="3"/>
      <c r="J391" s="3"/>
      <c r="K391" s="3"/>
      <c r="L391" s="3"/>
      <c r="M391" s="3"/>
    </row>
    <row r="392">
      <c r="A392" s="4" t="str">
        <f>IFERROR(__xludf.DUMMYFUNCTION("""COMPUTED_VALUE"""),"0094047198 / 252610256")</f>
        <v>0094047198 / 252610256</v>
      </c>
      <c r="B392" s="4" t="str">
        <f>IFERROR(__xludf.DUMMYFUNCTION("""COMPUTED_VALUE"""),"Kanza Olivia Ramadhani - P")</f>
        <v>Kanza Olivia Ramadhani - P</v>
      </c>
      <c r="C392" s="4" t="str">
        <f>IFERROR(__xludf.DUMMYFUNCTION("""COMPUTED_VALUE"""),"P")</f>
        <v>P</v>
      </c>
      <c r="D392" s="4">
        <f>IFERROR(__xludf.DUMMYFUNCTION("""COMPUTED_VALUE"""),33.0)</f>
        <v>33</v>
      </c>
      <c r="E392" s="4" t="str">
        <f>IFERROR(__xludf.DUMMYFUNCTION("""COMPUTED_VALUE"""),"X9")</f>
        <v>X9</v>
      </c>
      <c r="F392" s="5" t="str">
        <f>IFERROR(__xludf.DUMMYFUNCTION("""COMPUTED_VALUE"""),"33 - X9 - Kanza Olivia Ramadhani - P")</f>
        <v>33 - X9 - Kanza Olivia Ramadhani - P</v>
      </c>
      <c r="G392" s="3"/>
      <c r="H392" s="3"/>
      <c r="I392" s="3"/>
      <c r="J392" s="3"/>
      <c r="K392" s="3"/>
      <c r="L392" s="3"/>
      <c r="M392" s="3"/>
    </row>
    <row r="393">
      <c r="A393" s="4" t="str">
        <f>IFERROR(__xludf.DUMMYFUNCTION("""COMPUTED_VALUE"""),"0102372511 / 252610263")</f>
        <v>0102372511 / 252610263</v>
      </c>
      <c r="B393" s="4" t="str">
        <f>IFERROR(__xludf.DUMMYFUNCTION("""COMPUTED_VALUE"""),"Kayla Tria Fatarani - P")</f>
        <v>Kayla Tria Fatarani - P</v>
      </c>
      <c r="C393" s="4" t="str">
        <f>IFERROR(__xludf.DUMMYFUNCTION("""COMPUTED_VALUE"""),"P")</f>
        <v>P</v>
      </c>
      <c r="D393" s="4">
        <f>IFERROR(__xludf.DUMMYFUNCTION("""COMPUTED_VALUE"""),33.0)</f>
        <v>33</v>
      </c>
      <c r="E393" s="4" t="str">
        <f>IFERROR(__xludf.DUMMYFUNCTION("""COMPUTED_VALUE"""),"X9")</f>
        <v>X9</v>
      </c>
      <c r="F393" s="5" t="str">
        <f>IFERROR(__xludf.DUMMYFUNCTION("""COMPUTED_VALUE"""),"33 - X9 - Kayla Tria Fatarani - P")</f>
        <v>33 - X9 - Kayla Tria Fatarani - P</v>
      </c>
      <c r="G393" s="3"/>
      <c r="H393" s="3"/>
      <c r="I393" s="3"/>
      <c r="J393" s="3"/>
      <c r="K393" s="3"/>
      <c r="L393" s="3"/>
      <c r="M393" s="3"/>
    </row>
    <row r="394">
      <c r="A394" s="4" t="str">
        <f>IFERROR(__xludf.DUMMYFUNCTION("""COMPUTED_VALUE"""),"0098113225 / 252610297")</f>
        <v>0098113225 / 252610297</v>
      </c>
      <c r="B394" s="4" t="str">
        <f>IFERROR(__xludf.DUMMYFUNCTION("""COMPUTED_VALUE"""),"Mahera Raisha Davanita Faizal - P")</f>
        <v>Mahera Raisha Davanita Faizal - P</v>
      </c>
      <c r="C394" s="4" t="str">
        <f>IFERROR(__xludf.DUMMYFUNCTION("""COMPUTED_VALUE"""),"P")</f>
        <v>P</v>
      </c>
      <c r="D394" s="4">
        <f>IFERROR(__xludf.DUMMYFUNCTION("""COMPUTED_VALUE"""),33.0)</f>
        <v>33</v>
      </c>
      <c r="E394" s="4" t="str">
        <f>IFERROR(__xludf.DUMMYFUNCTION("""COMPUTED_VALUE"""),"X9")</f>
        <v>X9</v>
      </c>
      <c r="F394" s="5" t="str">
        <f>IFERROR(__xludf.DUMMYFUNCTION("""COMPUTED_VALUE"""),"33 - X9 - Mahera Raisha Davanita Faizal - P")</f>
        <v>33 - X9 - Mahera Raisha Davanita Faizal - P</v>
      </c>
      <c r="G394" s="3"/>
      <c r="H394" s="3"/>
      <c r="I394" s="3"/>
      <c r="J394" s="3"/>
      <c r="K394" s="3"/>
      <c r="L394" s="3"/>
      <c r="M394" s="3"/>
    </row>
    <row r="395">
      <c r="A395" s="4" t="str">
        <f>IFERROR(__xludf.DUMMYFUNCTION("""COMPUTED_VALUE"""),"0103979225 / 252610325")</f>
        <v>0103979225 / 252610325</v>
      </c>
      <c r="B395" s="4" t="str">
        <f>IFERROR(__xludf.DUMMYFUNCTION("""COMPUTED_VALUE"""),"Muhamad Juan Arkhan - L")</f>
        <v>Muhamad Juan Arkhan - L</v>
      </c>
      <c r="C395" s="4" t="str">
        <f>IFERROR(__xludf.DUMMYFUNCTION("""COMPUTED_VALUE"""),"L")</f>
        <v>L</v>
      </c>
      <c r="D395" s="4">
        <f>IFERROR(__xludf.DUMMYFUNCTION("""COMPUTED_VALUE"""),33.0)</f>
        <v>33</v>
      </c>
      <c r="E395" s="4" t="str">
        <f>IFERROR(__xludf.DUMMYFUNCTION("""COMPUTED_VALUE"""),"X9")</f>
        <v>X9</v>
      </c>
      <c r="F395" s="5" t="str">
        <f>IFERROR(__xludf.DUMMYFUNCTION("""COMPUTED_VALUE"""),"33 - X9 - Muhamad Juan Arkhan - L")</f>
        <v>33 - X9 - Muhamad Juan Arkhan - L</v>
      </c>
      <c r="G395" s="3"/>
      <c r="H395" s="3"/>
      <c r="I395" s="3"/>
      <c r="J395" s="3"/>
      <c r="K395" s="3"/>
      <c r="L395" s="3"/>
      <c r="M395" s="3"/>
    </row>
    <row r="396">
      <c r="A396" s="4" t="str">
        <f>IFERROR(__xludf.DUMMYFUNCTION("""COMPUTED_VALUE"""),"0095022365 / 252610337")</f>
        <v>0095022365 / 252610337</v>
      </c>
      <c r="B396" s="4" t="str">
        <f>IFERROR(__xludf.DUMMYFUNCTION("""COMPUTED_VALUE"""),"Muhammad Ariel Setiawan - L")</f>
        <v>Muhammad Ariel Setiawan - L</v>
      </c>
      <c r="C396" s="4" t="str">
        <f>IFERROR(__xludf.DUMMYFUNCTION("""COMPUTED_VALUE"""),"L")</f>
        <v>L</v>
      </c>
      <c r="D396" s="4">
        <f>IFERROR(__xludf.DUMMYFUNCTION("""COMPUTED_VALUE"""),33.0)</f>
        <v>33</v>
      </c>
      <c r="E396" s="4" t="str">
        <f>IFERROR(__xludf.DUMMYFUNCTION("""COMPUTED_VALUE"""),"X9")</f>
        <v>X9</v>
      </c>
      <c r="F396" s="5" t="str">
        <f>IFERROR(__xludf.DUMMYFUNCTION("""COMPUTED_VALUE"""),"33 - X9 - Muhammad Ariel Setiawan - L")</f>
        <v>33 - X9 - Muhammad Ariel Setiawan - L</v>
      </c>
      <c r="G396" s="3"/>
      <c r="H396" s="3"/>
      <c r="I396" s="3"/>
      <c r="J396" s="3"/>
      <c r="K396" s="3"/>
      <c r="L396" s="3"/>
      <c r="M396" s="3"/>
    </row>
    <row r="397">
      <c r="A397" s="4" t="str">
        <f>IFERROR(__xludf.DUMMYFUNCTION("""COMPUTED_VALUE"""),"0104557332 / 252610341")</f>
        <v>0104557332 / 252610341</v>
      </c>
      <c r="B397" s="4" t="str">
        <f>IFERROR(__xludf.DUMMYFUNCTION("""COMPUTED_VALUE"""),"Muhammad Azka Shahizinda - L")</f>
        <v>Muhammad Azka Shahizinda - L</v>
      </c>
      <c r="C397" s="4" t="str">
        <f>IFERROR(__xludf.DUMMYFUNCTION("""COMPUTED_VALUE"""),"L")</f>
        <v>L</v>
      </c>
      <c r="D397" s="4">
        <f>IFERROR(__xludf.DUMMYFUNCTION("""COMPUTED_VALUE"""),33.0)</f>
        <v>33</v>
      </c>
      <c r="E397" s="4" t="str">
        <f>IFERROR(__xludf.DUMMYFUNCTION("""COMPUTED_VALUE"""),"X9")</f>
        <v>X9</v>
      </c>
      <c r="F397" s="5" t="str">
        <f>IFERROR(__xludf.DUMMYFUNCTION("""COMPUTED_VALUE"""),"33 - X9 - Muhammad Azka Shahizinda - L")</f>
        <v>33 - X9 - Muhammad Azka Shahizinda - L</v>
      </c>
      <c r="G397" s="3"/>
      <c r="H397" s="3"/>
      <c r="I397" s="3"/>
      <c r="J397" s="3"/>
      <c r="K397" s="3"/>
      <c r="L397" s="3"/>
      <c r="M397" s="3"/>
    </row>
    <row r="398">
      <c r="A398" s="4" t="str">
        <f>IFERROR(__xludf.DUMMYFUNCTION("""COMPUTED_VALUE"""),"0092772943 / 252610344")</f>
        <v>0092772943 / 252610344</v>
      </c>
      <c r="B398" s="4" t="str">
        <f>IFERROR(__xludf.DUMMYFUNCTION("""COMPUTED_VALUE"""),"Muhammad Daffa Alfarizki - L")</f>
        <v>Muhammad Daffa Alfarizki - L</v>
      </c>
      <c r="C398" s="4" t="str">
        <f>IFERROR(__xludf.DUMMYFUNCTION("""COMPUTED_VALUE"""),"L")</f>
        <v>L</v>
      </c>
      <c r="D398" s="4">
        <f>IFERROR(__xludf.DUMMYFUNCTION("""COMPUTED_VALUE"""),33.0)</f>
        <v>33</v>
      </c>
      <c r="E398" s="4" t="str">
        <f>IFERROR(__xludf.DUMMYFUNCTION("""COMPUTED_VALUE"""),"X9")</f>
        <v>X9</v>
      </c>
      <c r="F398" s="5" t="str">
        <f>IFERROR(__xludf.DUMMYFUNCTION("""COMPUTED_VALUE"""),"33 - X9 - Muhammad Daffa Alfarizki - L")</f>
        <v>33 - X9 - Muhammad Daffa Alfarizki - L</v>
      </c>
      <c r="G398" s="3"/>
      <c r="H398" s="3"/>
      <c r="I398" s="3"/>
      <c r="J398" s="3"/>
      <c r="K398" s="3"/>
      <c r="L398" s="3"/>
      <c r="M398" s="3"/>
    </row>
    <row r="399">
      <c r="A399" s="4" t="str">
        <f>IFERROR(__xludf.DUMMYFUNCTION("""COMPUTED_VALUE"""),"0098897790 / 252610347")</f>
        <v>0098897790 / 252610347</v>
      </c>
      <c r="B399" s="4" t="str">
        <f>IFERROR(__xludf.DUMMYFUNCTION("""COMPUTED_VALUE"""),"Muhammad Fadil Ranoval - L")</f>
        <v>Muhammad Fadil Ranoval - L</v>
      </c>
      <c r="C399" s="4" t="str">
        <f>IFERROR(__xludf.DUMMYFUNCTION("""COMPUTED_VALUE"""),"L")</f>
        <v>L</v>
      </c>
      <c r="D399" s="4">
        <f>IFERROR(__xludf.DUMMYFUNCTION("""COMPUTED_VALUE"""),33.0)</f>
        <v>33</v>
      </c>
      <c r="E399" s="4" t="str">
        <f>IFERROR(__xludf.DUMMYFUNCTION("""COMPUTED_VALUE"""),"X9")</f>
        <v>X9</v>
      </c>
      <c r="F399" s="5" t="str">
        <f>IFERROR(__xludf.DUMMYFUNCTION("""COMPUTED_VALUE"""),"33 - X9 - Muhammad Fadil Ranoval - L")</f>
        <v>33 - X9 - Muhammad Fadil Ranoval - L</v>
      </c>
      <c r="G399" s="3"/>
      <c r="H399" s="3"/>
      <c r="I399" s="3"/>
      <c r="J399" s="3"/>
      <c r="K399" s="3"/>
      <c r="L399" s="3"/>
      <c r="M399" s="3"/>
    </row>
    <row r="400">
      <c r="A400" s="4" t="str">
        <f>IFERROR(__xludf.DUMMYFUNCTION("""COMPUTED_VALUE"""),"0101059940 / 252610358")</f>
        <v>0101059940 / 252610358</v>
      </c>
      <c r="B400" s="4" t="str">
        <f>IFERROR(__xludf.DUMMYFUNCTION("""COMPUTED_VALUE"""),"Muhammad In'Amul Aufa - L")</f>
        <v>Muhammad In'Amul Aufa - L</v>
      </c>
      <c r="C400" s="4" t="str">
        <f>IFERROR(__xludf.DUMMYFUNCTION("""COMPUTED_VALUE"""),"L")</f>
        <v>L</v>
      </c>
      <c r="D400" s="4">
        <f>IFERROR(__xludf.DUMMYFUNCTION("""COMPUTED_VALUE"""),33.0)</f>
        <v>33</v>
      </c>
      <c r="E400" s="4" t="str">
        <f>IFERROR(__xludf.DUMMYFUNCTION("""COMPUTED_VALUE"""),"X9")</f>
        <v>X9</v>
      </c>
      <c r="F400" s="5" t="str">
        <f>IFERROR(__xludf.DUMMYFUNCTION("""COMPUTED_VALUE"""),"33 - X9 - Muhammad In'Amul Aufa - L")</f>
        <v>33 - X9 - Muhammad In'Amul Aufa - L</v>
      </c>
      <c r="G400" s="3"/>
      <c r="H400" s="3"/>
      <c r="I400" s="3"/>
      <c r="J400" s="3"/>
      <c r="K400" s="3"/>
      <c r="L400" s="3"/>
      <c r="M400" s="3"/>
    </row>
    <row r="401">
      <c r="A401" s="4" t="str">
        <f>IFERROR(__xludf.DUMMYFUNCTION("""COMPUTED_VALUE"""),"0094119764 / 252610368")</f>
        <v>0094119764 / 252610368</v>
      </c>
      <c r="B401" s="4" t="str">
        <f>IFERROR(__xludf.DUMMYFUNCTION("""COMPUTED_VALUE"""),"Muhammad Reyhan Alfariky - L")</f>
        <v>Muhammad Reyhan Alfariky - L</v>
      </c>
      <c r="C401" s="4" t="str">
        <f>IFERROR(__xludf.DUMMYFUNCTION("""COMPUTED_VALUE"""),"L")</f>
        <v>L</v>
      </c>
      <c r="D401" s="4">
        <f>IFERROR(__xludf.DUMMYFUNCTION("""COMPUTED_VALUE"""),33.0)</f>
        <v>33</v>
      </c>
      <c r="E401" s="4" t="str">
        <f>IFERROR(__xludf.DUMMYFUNCTION("""COMPUTED_VALUE"""),"X9")</f>
        <v>X9</v>
      </c>
      <c r="F401" s="5" t="str">
        <f>IFERROR(__xludf.DUMMYFUNCTION("""COMPUTED_VALUE"""),"33 - X9 - Muhammad Reyhan Alfariky - L")</f>
        <v>33 - X9 - Muhammad Reyhan Alfariky - L</v>
      </c>
      <c r="G401" s="3"/>
      <c r="H401" s="3"/>
      <c r="I401" s="3"/>
      <c r="J401" s="3"/>
      <c r="K401" s="3"/>
      <c r="L401" s="3"/>
      <c r="M401" s="3"/>
    </row>
    <row r="402">
      <c r="A402" s="4" t="str">
        <f>IFERROR(__xludf.DUMMYFUNCTION("""COMPUTED_VALUE"""),"0096882416 / 252610372")</f>
        <v>0096882416 / 252610372</v>
      </c>
      <c r="B402" s="4" t="str">
        <f>IFERROR(__xludf.DUMMYFUNCTION("""COMPUTED_VALUE"""),"Muhammad Sayyid Amjad - L")</f>
        <v>Muhammad Sayyid Amjad - L</v>
      </c>
      <c r="C402" s="4" t="str">
        <f>IFERROR(__xludf.DUMMYFUNCTION("""COMPUTED_VALUE"""),"L")</f>
        <v>L</v>
      </c>
      <c r="D402" s="4">
        <f>IFERROR(__xludf.DUMMYFUNCTION("""COMPUTED_VALUE"""),33.0)</f>
        <v>33</v>
      </c>
      <c r="E402" s="4" t="str">
        <f>IFERROR(__xludf.DUMMYFUNCTION("""COMPUTED_VALUE"""),"X9")</f>
        <v>X9</v>
      </c>
      <c r="F402" s="5" t="str">
        <f>IFERROR(__xludf.DUMMYFUNCTION("""COMPUTED_VALUE"""),"33 - X9 - Muhammad Sayyid Amjad - L")</f>
        <v>33 - X9 - Muhammad Sayyid Amjad - L</v>
      </c>
      <c r="G402" s="3"/>
      <c r="H402" s="3"/>
      <c r="I402" s="3"/>
      <c r="J402" s="3"/>
      <c r="K402" s="3"/>
      <c r="L402" s="3"/>
      <c r="M402" s="3"/>
    </row>
    <row r="403">
      <c r="A403" s="4" t="str">
        <f>IFERROR(__xludf.DUMMYFUNCTION("""COMPUTED_VALUE"""),"0093640113 / 252610397")</f>
        <v>0093640113 / 252610397</v>
      </c>
      <c r="B403" s="4" t="str">
        <f>IFERROR(__xludf.DUMMYFUNCTION("""COMPUTED_VALUE"""),"Nararya Hylmi Kenzie - P")</f>
        <v>Nararya Hylmi Kenzie - P</v>
      </c>
      <c r="C403" s="4" t="str">
        <f>IFERROR(__xludf.DUMMYFUNCTION("""COMPUTED_VALUE"""),"P")</f>
        <v>P</v>
      </c>
      <c r="D403" s="4">
        <f>IFERROR(__xludf.DUMMYFUNCTION("""COMPUTED_VALUE"""),33.0)</f>
        <v>33</v>
      </c>
      <c r="E403" s="4" t="str">
        <f>IFERROR(__xludf.DUMMYFUNCTION("""COMPUTED_VALUE"""),"X9")</f>
        <v>X9</v>
      </c>
      <c r="F403" s="5" t="str">
        <f>IFERROR(__xludf.DUMMYFUNCTION("""COMPUTED_VALUE"""),"33 - X9 - Nararya Hylmi Kenzie - P")</f>
        <v>33 - X9 - Nararya Hylmi Kenzie - P</v>
      </c>
      <c r="G403" s="3"/>
      <c r="H403" s="3"/>
      <c r="I403" s="3"/>
      <c r="J403" s="3"/>
      <c r="K403" s="3"/>
      <c r="L403" s="3"/>
      <c r="M403" s="3"/>
    </row>
    <row r="404">
      <c r="A404" s="4" t="str">
        <f>IFERROR(__xludf.DUMMYFUNCTION("""COMPUTED_VALUE"""),"0097910400 / 252610425")</f>
        <v>0097910400 / 252610425</v>
      </c>
      <c r="B404" s="4" t="str">
        <f>IFERROR(__xludf.DUMMYFUNCTION("""COMPUTED_VALUE"""),"Nur Azizah - P")</f>
        <v>Nur Azizah - P</v>
      </c>
      <c r="C404" s="4" t="str">
        <f>IFERROR(__xludf.DUMMYFUNCTION("""COMPUTED_VALUE"""),"P")</f>
        <v>P</v>
      </c>
      <c r="D404" s="4">
        <f>IFERROR(__xludf.DUMMYFUNCTION("""COMPUTED_VALUE"""),33.0)</f>
        <v>33</v>
      </c>
      <c r="E404" s="4" t="str">
        <f>IFERROR(__xludf.DUMMYFUNCTION("""COMPUTED_VALUE"""),"X9")</f>
        <v>X9</v>
      </c>
      <c r="F404" s="5" t="str">
        <f>IFERROR(__xludf.DUMMYFUNCTION("""COMPUTED_VALUE"""),"33 - X9 - Nur Azizah - P")</f>
        <v>33 - X9 - Nur Azizah - P</v>
      </c>
      <c r="G404" s="3"/>
      <c r="H404" s="3"/>
      <c r="I404" s="3"/>
      <c r="J404" s="3"/>
      <c r="K404" s="3"/>
      <c r="L404" s="3"/>
      <c r="M404" s="3"/>
    </row>
    <row r="405">
      <c r="A405" s="4" t="str">
        <f>IFERROR(__xludf.DUMMYFUNCTION("""COMPUTED_VALUE"""),"0091134035 / 252610441")</f>
        <v>0091134035 / 252610441</v>
      </c>
      <c r="B405" s="4" t="str">
        <f>IFERROR(__xludf.DUMMYFUNCTION("""COMPUTED_VALUE"""),"Qitrie Anisa Khaeri - P")</f>
        <v>Qitrie Anisa Khaeri - P</v>
      </c>
      <c r="C405" s="4" t="str">
        <f>IFERROR(__xludf.DUMMYFUNCTION("""COMPUTED_VALUE"""),"P")</f>
        <v>P</v>
      </c>
      <c r="D405" s="4">
        <f>IFERROR(__xludf.DUMMYFUNCTION("""COMPUTED_VALUE"""),33.0)</f>
        <v>33</v>
      </c>
      <c r="E405" s="4" t="str">
        <f>IFERROR(__xludf.DUMMYFUNCTION("""COMPUTED_VALUE"""),"X9")</f>
        <v>X9</v>
      </c>
      <c r="F405" s="5" t="str">
        <f>IFERROR(__xludf.DUMMYFUNCTION("""COMPUTED_VALUE"""),"33 - X9 - Qitrie Anisa Khaeri - P")</f>
        <v>33 - X9 - Qitrie Anisa Khaeri - P</v>
      </c>
      <c r="G405" s="3"/>
      <c r="H405" s="3"/>
      <c r="I405" s="3"/>
      <c r="J405" s="3"/>
      <c r="K405" s="3"/>
      <c r="L405" s="3"/>
      <c r="M405" s="3"/>
    </row>
    <row r="406">
      <c r="A406" s="4" t="str">
        <f>IFERROR(__xludf.DUMMYFUNCTION("""COMPUTED_VALUE"""),"0106245820 / 252610457")</f>
        <v>0106245820 / 252610457</v>
      </c>
      <c r="B406" s="4" t="str">
        <f>IFERROR(__xludf.DUMMYFUNCTION("""COMPUTED_VALUE"""),"Radya Camilla Arinda - P")</f>
        <v>Radya Camilla Arinda - P</v>
      </c>
      <c r="C406" s="4" t="str">
        <f>IFERROR(__xludf.DUMMYFUNCTION("""COMPUTED_VALUE"""),"P")</f>
        <v>P</v>
      </c>
      <c r="D406" s="4">
        <f>IFERROR(__xludf.DUMMYFUNCTION("""COMPUTED_VALUE"""),33.0)</f>
        <v>33</v>
      </c>
      <c r="E406" s="4" t="str">
        <f>IFERROR(__xludf.DUMMYFUNCTION("""COMPUTED_VALUE"""),"X9")</f>
        <v>X9</v>
      </c>
      <c r="F406" s="5" t="str">
        <f>IFERROR(__xludf.DUMMYFUNCTION("""COMPUTED_VALUE"""),"33 - X9 - Radya Camilla Arinda - P")</f>
        <v>33 - X9 - Radya Camilla Arinda - P</v>
      </c>
      <c r="G406" s="3"/>
      <c r="H406" s="3"/>
      <c r="I406" s="3"/>
      <c r="J406" s="3"/>
      <c r="K406" s="3"/>
      <c r="L406" s="3"/>
      <c r="M406" s="3"/>
    </row>
    <row r="407">
      <c r="A407" s="4" t="str">
        <f>IFERROR(__xludf.DUMMYFUNCTION("""COMPUTED_VALUE"""),"0101902217 / 252610460")</f>
        <v>0101902217 / 252610460</v>
      </c>
      <c r="B407" s="4" t="str">
        <f>IFERROR(__xludf.DUMMYFUNCTION("""COMPUTED_VALUE"""),"Rahardian Muhamad Abisiena Koeswara - L")</f>
        <v>Rahardian Muhamad Abisiena Koeswara - L</v>
      </c>
      <c r="C407" s="4" t="str">
        <f>IFERROR(__xludf.DUMMYFUNCTION("""COMPUTED_VALUE"""),"L")</f>
        <v>L</v>
      </c>
      <c r="D407" s="4">
        <f>IFERROR(__xludf.DUMMYFUNCTION("""COMPUTED_VALUE"""),33.0)</f>
        <v>33</v>
      </c>
      <c r="E407" s="4" t="str">
        <f>IFERROR(__xludf.DUMMYFUNCTION("""COMPUTED_VALUE"""),"X9")</f>
        <v>X9</v>
      </c>
      <c r="F407" s="5" t="str">
        <f>IFERROR(__xludf.DUMMYFUNCTION("""COMPUTED_VALUE"""),"33 - X9 - Rahardian Muhamad Abisiena Koeswara - L")</f>
        <v>33 - X9 - Rahardian Muhamad Abisiena Koeswara - L</v>
      </c>
      <c r="G407" s="3"/>
      <c r="H407" s="3"/>
      <c r="I407" s="3"/>
      <c r="J407" s="3"/>
      <c r="K407" s="3"/>
      <c r="L407" s="3"/>
      <c r="M407" s="3"/>
    </row>
    <row r="408">
      <c r="A408" s="4" t="str">
        <f>IFERROR(__xludf.DUMMYFUNCTION("""COMPUTED_VALUE"""),"0094238472 / 252610465")</f>
        <v>0094238472 / 252610465</v>
      </c>
      <c r="B408" s="4" t="str">
        <f>IFERROR(__xludf.DUMMYFUNCTION("""COMPUTED_VALUE"""),"Raihana Syafiqah Andyni - P")</f>
        <v>Raihana Syafiqah Andyni - P</v>
      </c>
      <c r="C408" s="4" t="str">
        <f>IFERROR(__xludf.DUMMYFUNCTION("""COMPUTED_VALUE"""),"P")</f>
        <v>P</v>
      </c>
      <c r="D408" s="4">
        <f>IFERROR(__xludf.DUMMYFUNCTION("""COMPUTED_VALUE"""),33.0)</f>
        <v>33</v>
      </c>
      <c r="E408" s="4" t="str">
        <f>IFERROR(__xludf.DUMMYFUNCTION("""COMPUTED_VALUE"""),"X9")</f>
        <v>X9</v>
      </c>
      <c r="F408" s="5" t="str">
        <f>IFERROR(__xludf.DUMMYFUNCTION("""COMPUTED_VALUE"""),"33 - X9 - Raihana Syafiqah Andyni - P")</f>
        <v>33 - X9 - Raihana Syafiqah Andyni - P</v>
      </c>
      <c r="G408" s="3"/>
      <c r="H408" s="3"/>
      <c r="I408" s="3"/>
      <c r="J408" s="3"/>
      <c r="K408" s="3"/>
      <c r="L408" s="3"/>
      <c r="M408" s="3"/>
    </row>
    <row r="409">
      <c r="A409" s="4" t="str">
        <f>IFERROR(__xludf.DUMMYFUNCTION("""COMPUTED_VALUE"""),"3096149866 / 252610473")</f>
        <v>3096149866 / 252610473</v>
      </c>
      <c r="B409" s="4" t="str">
        <f>IFERROR(__xludf.DUMMYFUNCTION("""COMPUTED_VALUE"""),"Rassya Faiq Hibatullah - P")</f>
        <v>Rassya Faiq Hibatullah - P</v>
      </c>
      <c r="C409" s="4" t="str">
        <f>IFERROR(__xludf.DUMMYFUNCTION("""COMPUTED_VALUE"""),"P")</f>
        <v>P</v>
      </c>
      <c r="D409" s="4">
        <f>IFERROR(__xludf.DUMMYFUNCTION("""COMPUTED_VALUE"""),33.0)</f>
        <v>33</v>
      </c>
      <c r="E409" s="4" t="str">
        <f>IFERROR(__xludf.DUMMYFUNCTION("""COMPUTED_VALUE"""),"X9")</f>
        <v>X9</v>
      </c>
      <c r="F409" s="5" t="str">
        <f>IFERROR(__xludf.DUMMYFUNCTION("""COMPUTED_VALUE"""),"33 - X9 - Rassya Faiq Hibatullah - P")</f>
        <v>33 - X9 - Rassya Faiq Hibatullah - P</v>
      </c>
      <c r="G409" s="3"/>
      <c r="H409" s="3"/>
      <c r="I409" s="3"/>
      <c r="J409" s="3"/>
      <c r="K409" s="3"/>
      <c r="L409" s="3"/>
      <c r="M409" s="3"/>
    </row>
    <row r="410">
      <c r="A410" s="4" t="str">
        <f>IFERROR(__xludf.DUMMYFUNCTION("""COMPUTED_VALUE"""),"0106183087 / 252610487")</f>
        <v>0106183087 / 252610487</v>
      </c>
      <c r="B410" s="4" t="str">
        <f>IFERROR(__xludf.DUMMYFUNCTION("""COMPUTED_VALUE"""),"Reynaldi - L")</f>
        <v>Reynaldi - L</v>
      </c>
      <c r="C410" s="4" t="str">
        <f>IFERROR(__xludf.DUMMYFUNCTION("""COMPUTED_VALUE"""),"L")</f>
        <v>L</v>
      </c>
      <c r="D410" s="4">
        <f>IFERROR(__xludf.DUMMYFUNCTION("""COMPUTED_VALUE"""),33.0)</f>
        <v>33</v>
      </c>
      <c r="E410" s="4" t="str">
        <f>IFERROR(__xludf.DUMMYFUNCTION("""COMPUTED_VALUE"""),"X9")</f>
        <v>X9</v>
      </c>
      <c r="F410" s="5" t="str">
        <f>IFERROR(__xludf.DUMMYFUNCTION("""COMPUTED_VALUE"""),"33 - X9 - Reynaldi - L")</f>
        <v>33 - X9 - Reynaldi - L</v>
      </c>
      <c r="G410" s="3"/>
      <c r="H410" s="3"/>
      <c r="I410" s="3"/>
      <c r="J410" s="3"/>
      <c r="K410" s="3"/>
      <c r="L410" s="3"/>
      <c r="M410" s="3"/>
    </row>
    <row r="411">
      <c r="A411" s="4" t="str">
        <f>IFERROR(__xludf.DUMMYFUNCTION("""COMPUTED_VALUE"""),"0107182326 / 252610511")</f>
        <v>0107182326 / 252610511</v>
      </c>
      <c r="B411" s="4" t="str">
        <f>IFERROR(__xludf.DUMMYFUNCTION("""COMPUTED_VALUE"""),"Sekar Raynaningrum - P")</f>
        <v>Sekar Raynaningrum - P</v>
      </c>
      <c r="C411" s="4" t="str">
        <f>IFERROR(__xludf.DUMMYFUNCTION("""COMPUTED_VALUE"""),"P")</f>
        <v>P</v>
      </c>
      <c r="D411" s="4">
        <f>IFERROR(__xludf.DUMMYFUNCTION("""COMPUTED_VALUE"""),33.0)</f>
        <v>33</v>
      </c>
      <c r="E411" s="4" t="str">
        <f>IFERROR(__xludf.DUMMYFUNCTION("""COMPUTED_VALUE"""),"X9")</f>
        <v>X9</v>
      </c>
      <c r="F411" s="5" t="str">
        <f>IFERROR(__xludf.DUMMYFUNCTION("""COMPUTED_VALUE"""),"33 - X9 - Sekar Raynaningrum - P")</f>
        <v>33 - X9 - Sekar Raynaningrum - P</v>
      </c>
      <c r="G411" s="3"/>
      <c r="H411" s="3"/>
      <c r="I411" s="3"/>
      <c r="J411" s="3"/>
      <c r="K411" s="3"/>
      <c r="L411" s="3"/>
      <c r="M411" s="3"/>
    </row>
    <row r="412">
      <c r="A412" s="4" t="str">
        <f>IFERROR(__xludf.DUMMYFUNCTION("""COMPUTED_VALUE"""),"0099107315 / 252610530")</f>
        <v>0099107315 / 252610530</v>
      </c>
      <c r="B412" s="4" t="str">
        <f>IFERROR(__xludf.DUMMYFUNCTION("""COMPUTED_VALUE"""),"Syahla Nurul Arisma - P")</f>
        <v>Syahla Nurul Arisma - P</v>
      </c>
      <c r="C412" s="4" t="str">
        <f>IFERROR(__xludf.DUMMYFUNCTION("""COMPUTED_VALUE"""),"P")</f>
        <v>P</v>
      </c>
      <c r="D412" s="4">
        <f>IFERROR(__xludf.DUMMYFUNCTION("""COMPUTED_VALUE"""),33.0)</f>
        <v>33</v>
      </c>
      <c r="E412" s="4" t="str">
        <f>IFERROR(__xludf.DUMMYFUNCTION("""COMPUTED_VALUE"""),"X9")</f>
        <v>X9</v>
      </c>
      <c r="F412" s="5" t="str">
        <f>IFERROR(__xludf.DUMMYFUNCTION("""COMPUTED_VALUE"""),"33 - X9 - Syahla Nurul Arisma - P")</f>
        <v>33 - X9 - Syahla Nurul Arisma - P</v>
      </c>
      <c r="G412" s="3"/>
      <c r="H412" s="3"/>
      <c r="I412" s="3"/>
      <c r="J412" s="3"/>
      <c r="K412" s="3"/>
      <c r="L412" s="3"/>
      <c r="M412" s="3"/>
    </row>
    <row r="413">
      <c r="A413" s="4" t="str">
        <f>IFERROR(__xludf.DUMMYFUNCTION("""COMPUTED_VALUE"""),"0094680852 / 252610537")</f>
        <v>0094680852 / 252610537</v>
      </c>
      <c r="B413" s="4" t="str">
        <f>IFERROR(__xludf.DUMMYFUNCTION("""COMPUTED_VALUE"""),"Syauqi Anandya Putri - L")</f>
        <v>Syauqi Anandya Putri - L</v>
      </c>
      <c r="C413" s="4" t="str">
        <f>IFERROR(__xludf.DUMMYFUNCTION("""COMPUTED_VALUE"""),"L")</f>
        <v>L</v>
      </c>
      <c r="D413" s="4">
        <f>IFERROR(__xludf.DUMMYFUNCTION("""COMPUTED_VALUE"""),33.0)</f>
        <v>33</v>
      </c>
      <c r="E413" s="4" t="str">
        <f>IFERROR(__xludf.DUMMYFUNCTION("""COMPUTED_VALUE"""),"X9")</f>
        <v>X9</v>
      </c>
      <c r="F413" s="5" t="str">
        <f>IFERROR(__xludf.DUMMYFUNCTION("""COMPUTED_VALUE"""),"33 - X9 - Syauqi Anandya Putri - L")</f>
        <v>33 - X9 - Syauqi Anandya Putri - L</v>
      </c>
      <c r="G413" s="3"/>
      <c r="H413" s="3"/>
      <c r="I413" s="3"/>
      <c r="J413" s="3"/>
      <c r="K413" s="3"/>
      <c r="L413" s="3"/>
      <c r="M413" s="3"/>
    </row>
    <row r="414">
      <c r="A414" s="4" t="str">
        <f>IFERROR(__xludf.DUMMYFUNCTION("""COMPUTED_VALUE"""),"0098348385 / 252610542")</f>
        <v>0098348385 / 252610542</v>
      </c>
      <c r="B414" s="4" t="str">
        <f>IFERROR(__xludf.DUMMYFUNCTION("""COMPUTED_VALUE"""),"Tayya Dzulhijjah Mokodompit - P")</f>
        <v>Tayya Dzulhijjah Mokodompit - P</v>
      </c>
      <c r="C414" s="4" t="str">
        <f>IFERROR(__xludf.DUMMYFUNCTION("""COMPUTED_VALUE"""),"P")</f>
        <v>P</v>
      </c>
      <c r="D414" s="4">
        <f>IFERROR(__xludf.DUMMYFUNCTION("""COMPUTED_VALUE"""),33.0)</f>
        <v>33</v>
      </c>
      <c r="E414" s="4" t="str">
        <f>IFERROR(__xludf.DUMMYFUNCTION("""COMPUTED_VALUE"""),"X9")</f>
        <v>X9</v>
      </c>
      <c r="F414" s="5" t="str">
        <f>IFERROR(__xludf.DUMMYFUNCTION("""COMPUTED_VALUE"""),"33 - X9 - Tayya Dzulhijjah Mokodompit - P")</f>
        <v>33 - X9 - Tayya Dzulhijjah Mokodompit - P</v>
      </c>
      <c r="G414" s="3"/>
      <c r="H414" s="3"/>
      <c r="I414" s="3"/>
      <c r="J414" s="3"/>
      <c r="K414" s="3"/>
      <c r="L414" s="3"/>
      <c r="M414" s="3"/>
    </row>
    <row r="415">
      <c r="A415" s="4" t="str">
        <f>IFERROR(__xludf.DUMMYFUNCTION("""COMPUTED_VALUE"""),"0096033014 / 252610001")</f>
        <v>0096033014 / 252610001</v>
      </c>
      <c r="B415" s="4" t="str">
        <f>IFERROR(__xludf.DUMMYFUNCTION("""COMPUTED_VALUE"""),"Abdul Ghofar - L")</f>
        <v>Abdul Ghofar - L</v>
      </c>
      <c r="C415" s="4" t="str">
        <f>IFERROR(__xludf.DUMMYFUNCTION("""COMPUTED_VALUE"""),"L")</f>
        <v>L</v>
      </c>
      <c r="D415" s="4">
        <f>IFERROR(__xludf.DUMMYFUNCTION("""COMPUTED_VALUE"""),33.0)</f>
        <v>33</v>
      </c>
      <c r="E415" s="4" t="str">
        <f>IFERROR(__xludf.DUMMYFUNCTION("""COMPUTED_VALUE"""),"X10")</f>
        <v>X10</v>
      </c>
      <c r="F415" s="5" t="str">
        <f>IFERROR(__xludf.DUMMYFUNCTION("""COMPUTED_VALUE"""),"33 - X10 - Abdul Ghofar - L")</f>
        <v>33 - X10 - Abdul Ghofar - L</v>
      </c>
      <c r="G415" s="3"/>
      <c r="H415" s="3"/>
      <c r="I415" s="3"/>
      <c r="J415" s="3"/>
      <c r="K415" s="3"/>
      <c r="L415" s="3"/>
      <c r="M415" s="3"/>
    </row>
    <row r="416">
      <c r="A416" s="4" t="str">
        <f>IFERROR(__xludf.DUMMYFUNCTION("""COMPUTED_VALUE"""),"0104072965 / 252610012")</f>
        <v>0104072965 / 252610012</v>
      </c>
      <c r="B416" s="4" t="str">
        <f>IFERROR(__xludf.DUMMYFUNCTION("""COMPUTED_VALUE"""),"Aditya Bayu Sutanto - L")</f>
        <v>Aditya Bayu Sutanto - L</v>
      </c>
      <c r="C416" s="4" t="str">
        <f>IFERROR(__xludf.DUMMYFUNCTION("""COMPUTED_VALUE"""),"L")</f>
        <v>L</v>
      </c>
      <c r="D416" s="4">
        <f>IFERROR(__xludf.DUMMYFUNCTION("""COMPUTED_VALUE"""),33.0)</f>
        <v>33</v>
      </c>
      <c r="E416" s="4" t="str">
        <f>IFERROR(__xludf.DUMMYFUNCTION("""COMPUTED_VALUE"""),"X10")</f>
        <v>X10</v>
      </c>
      <c r="F416" s="5" t="str">
        <f>IFERROR(__xludf.DUMMYFUNCTION("""COMPUTED_VALUE"""),"33 - X10 - Aditya Bayu Sutanto - L")</f>
        <v>33 - X10 - Aditya Bayu Sutanto - L</v>
      </c>
      <c r="G416" s="3"/>
      <c r="H416" s="3"/>
      <c r="I416" s="3"/>
      <c r="J416" s="3"/>
      <c r="K416" s="3"/>
      <c r="L416" s="3"/>
      <c r="M416" s="3"/>
    </row>
    <row r="417">
      <c r="A417" s="4" t="str">
        <f>IFERROR(__xludf.DUMMYFUNCTION("""COMPUTED_VALUE"""),"2107246447 / 252610014")</f>
        <v>2107246447 / 252610014</v>
      </c>
      <c r="B417" s="4" t="str">
        <f>IFERROR(__xludf.DUMMYFUNCTION("""COMPUTED_VALUE"""),"Affy Kaew Ni'Mitr Alhanafi - P")</f>
        <v>Affy Kaew Ni'Mitr Alhanafi - P</v>
      </c>
      <c r="C417" s="4" t="str">
        <f>IFERROR(__xludf.DUMMYFUNCTION("""COMPUTED_VALUE"""),"P")</f>
        <v>P</v>
      </c>
      <c r="D417" s="4">
        <f>IFERROR(__xludf.DUMMYFUNCTION("""COMPUTED_VALUE"""),33.0)</f>
        <v>33</v>
      </c>
      <c r="E417" s="4" t="str">
        <f>IFERROR(__xludf.DUMMYFUNCTION("""COMPUTED_VALUE"""),"X10")</f>
        <v>X10</v>
      </c>
      <c r="F417" s="5" t="str">
        <f>IFERROR(__xludf.DUMMYFUNCTION("""COMPUTED_VALUE"""),"33 - X10 - Affy Kaew Ni'Mitr Alhanafi - P")</f>
        <v>33 - X10 - Affy Kaew Ni'Mitr Alhanafi - P</v>
      </c>
      <c r="G417" s="3"/>
      <c r="H417" s="3"/>
      <c r="I417" s="3"/>
      <c r="J417" s="3"/>
      <c r="K417" s="3"/>
      <c r="L417" s="3"/>
      <c r="M417" s="3"/>
    </row>
    <row r="418">
      <c r="A418" s="4" t="str">
        <f>IFERROR(__xludf.DUMMYFUNCTION("""COMPUTED_VALUE"""),"0096128036 / 252610020")</f>
        <v>0096128036 / 252610020</v>
      </c>
      <c r="B418" s="4" t="str">
        <f>IFERROR(__xludf.DUMMYFUNCTION("""COMPUTED_VALUE"""),"Ahmad Husein Al Latief - L")</f>
        <v>Ahmad Husein Al Latief - L</v>
      </c>
      <c r="C418" s="4" t="str">
        <f>IFERROR(__xludf.DUMMYFUNCTION("""COMPUTED_VALUE"""),"L")</f>
        <v>L</v>
      </c>
      <c r="D418" s="4">
        <f>IFERROR(__xludf.DUMMYFUNCTION("""COMPUTED_VALUE"""),33.0)</f>
        <v>33</v>
      </c>
      <c r="E418" s="4" t="str">
        <f>IFERROR(__xludf.DUMMYFUNCTION("""COMPUTED_VALUE"""),"X10")</f>
        <v>X10</v>
      </c>
      <c r="F418" s="5" t="str">
        <f>IFERROR(__xludf.DUMMYFUNCTION("""COMPUTED_VALUE"""),"33 - X10 - Ahmad Husein Al Latief - L")</f>
        <v>33 - X10 - Ahmad Husein Al Latief - L</v>
      </c>
      <c r="G418" s="3"/>
      <c r="H418" s="3"/>
      <c r="I418" s="3"/>
      <c r="J418" s="3"/>
      <c r="K418" s="3"/>
      <c r="L418" s="3"/>
      <c r="M418" s="3"/>
    </row>
    <row r="419">
      <c r="A419" s="4" t="str">
        <f>IFERROR(__xludf.DUMMYFUNCTION("""COMPUTED_VALUE"""),"0107055406 / 252610032")</f>
        <v>0107055406 / 252610032</v>
      </c>
      <c r="B419" s="4" t="str">
        <f>IFERROR(__xludf.DUMMYFUNCTION("""COMPUTED_VALUE"""),"Akram Mubarak - L")</f>
        <v>Akram Mubarak - L</v>
      </c>
      <c r="C419" s="4" t="str">
        <f>IFERROR(__xludf.DUMMYFUNCTION("""COMPUTED_VALUE"""),"L")</f>
        <v>L</v>
      </c>
      <c r="D419" s="4">
        <f>IFERROR(__xludf.DUMMYFUNCTION("""COMPUTED_VALUE"""),33.0)</f>
        <v>33</v>
      </c>
      <c r="E419" s="4" t="str">
        <f>IFERROR(__xludf.DUMMYFUNCTION("""COMPUTED_VALUE"""),"X10")</f>
        <v>X10</v>
      </c>
      <c r="F419" s="5" t="str">
        <f>IFERROR(__xludf.DUMMYFUNCTION("""COMPUTED_VALUE"""),"33 - X10 - Akram Mubarak - L")</f>
        <v>33 - X10 - Akram Mubarak - L</v>
      </c>
      <c r="G419" s="3"/>
      <c r="H419" s="3"/>
      <c r="I419" s="3"/>
      <c r="J419" s="3"/>
      <c r="K419" s="3"/>
      <c r="L419" s="3"/>
      <c r="M419" s="3"/>
    </row>
    <row r="420">
      <c r="A420" s="4" t="str">
        <f>IFERROR(__xludf.DUMMYFUNCTION("""COMPUTED_VALUE"""),"0108389311 / 252610037")</f>
        <v>0108389311 / 252610037</v>
      </c>
      <c r="B420" s="4" t="str">
        <f>IFERROR(__xludf.DUMMYFUNCTION("""COMPUTED_VALUE"""),"Alfi Amalia - P")</f>
        <v>Alfi Amalia - P</v>
      </c>
      <c r="C420" s="4" t="str">
        <f>IFERROR(__xludf.DUMMYFUNCTION("""COMPUTED_VALUE"""),"P")</f>
        <v>P</v>
      </c>
      <c r="D420" s="4">
        <f>IFERROR(__xludf.DUMMYFUNCTION("""COMPUTED_VALUE"""),33.0)</f>
        <v>33</v>
      </c>
      <c r="E420" s="4" t="str">
        <f>IFERROR(__xludf.DUMMYFUNCTION("""COMPUTED_VALUE"""),"X10")</f>
        <v>X10</v>
      </c>
      <c r="F420" s="5" t="str">
        <f>IFERROR(__xludf.DUMMYFUNCTION("""COMPUTED_VALUE"""),"33 - X10 - Alfi Amalia - P")</f>
        <v>33 - X10 - Alfi Amalia - P</v>
      </c>
      <c r="G420" s="3"/>
      <c r="H420" s="3"/>
      <c r="I420" s="3"/>
      <c r="J420" s="3"/>
      <c r="K420" s="3"/>
      <c r="L420" s="3"/>
      <c r="M420" s="3"/>
    </row>
    <row r="421">
      <c r="A421" s="4" t="str">
        <f>IFERROR(__xludf.DUMMYFUNCTION("""COMPUTED_VALUE"""),"0097357764 / 252610054")</f>
        <v>0097357764 / 252610054</v>
      </c>
      <c r="B421" s="4" t="str">
        <f>IFERROR(__xludf.DUMMYFUNCTION("""COMPUTED_VALUE"""),"Amelia Nur Zahra - P")</f>
        <v>Amelia Nur Zahra - P</v>
      </c>
      <c r="C421" s="4" t="str">
        <f>IFERROR(__xludf.DUMMYFUNCTION("""COMPUTED_VALUE"""),"P")</f>
        <v>P</v>
      </c>
      <c r="D421" s="4">
        <f>IFERROR(__xludf.DUMMYFUNCTION("""COMPUTED_VALUE"""),33.0)</f>
        <v>33</v>
      </c>
      <c r="E421" s="4" t="str">
        <f>IFERROR(__xludf.DUMMYFUNCTION("""COMPUTED_VALUE"""),"X10")</f>
        <v>X10</v>
      </c>
      <c r="F421" s="5" t="str">
        <f>IFERROR(__xludf.DUMMYFUNCTION("""COMPUTED_VALUE"""),"33 - X10 - Amelia Nur Zahra - P")</f>
        <v>33 - X10 - Amelia Nur Zahra - P</v>
      </c>
      <c r="G421" s="3"/>
      <c r="H421" s="3"/>
      <c r="I421" s="3"/>
      <c r="J421" s="3"/>
      <c r="K421" s="3"/>
      <c r="L421" s="3"/>
      <c r="M421" s="3"/>
    </row>
    <row r="422">
      <c r="A422" s="4" t="str">
        <f>IFERROR(__xludf.DUMMYFUNCTION("""COMPUTED_VALUE"""),"0102387971 / 252610059")</f>
        <v>0102387971 / 252610059</v>
      </c>
      <c r="B422" s="4" t="str">
        <f>IFERROR(__xludf.DUMMYFUNCTION("""COMPUTED_VALUE"""),"Ananda Bari Al Kausar - L")</f>
        <v>Ananda Bari Al Kausar - L</v>
      </c>
      <c r="C422" s="4" t="str">
        <f>IFERROR(__xludf.DUMMYFUNCTION("""COMPUTED_VALUE"""),"L")</f>
        <v>L</v>
      </c>
      <c r="D422" s="4">
        <f>IFERROR(__xludf.DUMMYFUNCTION("""COMPUTED_VALUE"""),33.0)</f>
        <v>33</v>
      </c>
      <c r="E422" s="4" t="str">
        <f>IFERROR(__xludf.DUMMYFUNCTION("""COMPUTED_VALUE"""),"X10")</f>
        <v>X10</v>
      </c>
      <c r="F422" s="5" t="str">
        <f>IFERROR(__xludf.DUMMYFUNCTION("""COMPUTED_VALUE"""),"33 - X10 - Ananda Bari Al Kausar - L")</f>
        <v>33 - X10 - Ananda Bari Al Kausar - L</v>
      </c>
      <c r="G422" s="3"/>
      <c r="H422" s="3"/>
      <c r="I422" s="3"/>
      <c r="J422" s="3"/>
      <c r="K422" s="3"/>
      <c r="L422" s="3"/>
      <c r="M422" s="3"/>
    </row>
    <row r="423">
      <c r="A423" s="4" t="str">
        <f>IFERROR(__xludf.DUMMYFUNCTION("""COMPUTED_VALUE"""),"0092171774 / 252610089")</f>
        <v>0092171774 / 252610089</v>
      </c>
      <c r="B423" s="4" t="str">
        <f>IFERROR(__xludf.DUMMYFUNCTION("""COMPUTED_VALUE"""),"Ataya Arkan Ramadhan - P")</f>
        <v>Ataya Arkan Ramadhan - P</v>
      </c>
      <c r="C423" s="4" t="str">
        <f>IFERROR(__xludf.DUMMYFUNCTION("""COMPUTED_VALUE"""),"P")</f>
        <v>P</v>
      </c>
      <c r="D423" s="4">
        <f>IFERROR(__xludf.DUMMYFUNCTION("""COMPUTED_VALUE"""),33.0)</f>
        <v>33</v>
      </c>
      <c r="E423" s="4" t="str">
        <f>IFERROR(__xludf.DUMMYFUNCTION("""COMPUTED_VALUE"""),"X10")</f>
        <v>X10</v>
      </c>
      <c r="F423" s="5" t="str">
        <f>IFERROR(__xludf.DUMMYFUNCTION("""COMPUTED_VALUE"""),"33 - X10 - Ataya Arkan Ramadhan - P")</f>
        <v>33 - X10 - Ataya Arkan Ramadhan - P</v>
      </c>
      <c r="G423" s="3"/>
      <c r="H423" s="3"/>
      <c r="I423" s="3"/>
      <c r="J423" s="3"/>
      <c r="K423" s="3"/>
      <c r="L423" s="3"/>
      <c r="M423" s="3"/>
    </row>
    <row r="424">
      <c r="A424" s="4" t="str">
        <f>IFERROR(__xludf.DUMMYFUNCTION("""COMPUTED_VALUE"""),"0103134538 / 252610091")</f>
        <v>0103134538 / 252610091</v>
      </c>
      <c r="B424" s="4" t="str">
        <f>IFERROR(__xludf.DUMMYFUNCTION("""COMPUTED_VALUE"""),"Athaya Muhammad Daffa - P")</f>
        <v>Athaya Muhammad Daffa - P</v>
      </c>
      <c r="C424" s="4" t="str">
        <f>IFERROR(__xludf.DUMMYFUNCTION("""COMPUTED_VALUE"""),"P")</f>
        <v>P</v>
      </c>
      <c r="D424" s="4">
        <f>IFERROR(__xludf.DUMMYFUNCTION("""COMPUTED_VALUE"""),33.0)</f>
        <v>33</v>
      </c>
      <c r="E424" s="4" t="str">
        <f>IFERROR(__xludf.DUMMYFUNCTION("""COMPUTED_VALUE"""),"X10")</f>
        <v>X10</v>
      </c>
      <c r="F424" s="5" t="str">
        <f>IFERROR(__xludf.DUMMYFUNCTION("""COMPUTED_VALUE"""),"33 - X10 - Athaya Muhammad Daffa - P")</f>
        <v>33 - X10 - Athaya Muhammad Daffa - P</v>
      </c>
      <c r="G424" s="3"/>
      <c r="H424" s="3"/>
      <c r="I424" s="3"/>
      <c r="J424" s="3"/>
      <c r="K424" s="3"/>
      <c r="L424" s="3"/>
      <c r="M424" s="3"/>
    </row>
    <row r="425">
      <c r="A425" s="4" t="str">
        <f>IFERROR(__xludf.DUMMYFUNCTION("""COMPUTED_VALUE"""),"0104895570 / 252610099")</f>
        <v>0104895570 / 252610099</v>
      </c>
      <c r="B425" s="4" t="str">
        <f>IFERROR(__xludf.DUMMYFUNCTION("""COMPUTED_VALUE"""),"Aura Nabilah Zahirah - P")</f>
        <v>Aura Nabilah Zahirah - P</v>
      </c>
      <c r="C425" s="4" t="str">
        <f>IFERROR(__xludf.DUMMYFUNCTION("""COMPUTED_VALUE"""),"P")</f>
        <v>P</v>
      </c>
      <c r="D425" s="4">
        <f>IFERROR(__xludf.DUMMYFUNCTION("""COMPUTED_VALUE"""),33.0)</f>
        <v>33</v>
      </c>
      <c r="E425" s="4" t="str">
        <f>IFERROR(__xludf.DUMMYFUNCTION("""COMPUTED_VALUE"""),"X10")</f>
        <v>X10</v>
      </c>
      <c r="F425" s="5" t="str">
        <f>IFERROR(__xludf.DUMMYFUNCTION("""COMPUTED_VALUE"""),"33 - X10 - Aura Nabilah Zahirah - P")</f>
        <v>33 - X10 - Aura Nabilah Zahirah - P</v>
      </c>
      <c r="G425" s="3"/>
      <c r="H425" s="3"/>
      <c r="I425" s="3"/>
      <c r="J425" s="3"/>
      <c r="K425" s="3"/>
      <c r="L425" s="3"/>
      <c r="M425" s="3"/>
    </row>
    <row r="426">
      <c r="A426" s="4" t="str">
        <f>IFERROR(__xludf.DUMMYFUNCTION("""COMPUTED_VALUE"""),"0099138854 / 252610103")</f>
        <v>0099138854 / 252610103</v>
      </c>
      <c r="B426" s="4" t="str">
        <f>IFERROR(__xludf.DUMMYFUNCTION("""COMPUTED_VALUE"""),"Aurora Putri Samudra Dwiko - P")</f>
        <v>Aurora Putri Samudra Dwiko - P</v>
      </c>
      <c r="C426" s="4" t="str">
        <f>IFERROR(__xludf.DUMMYFUNCTION("""COMPUTED_VALUE"""),"P")</f>
        <v>P</v>
      </c>
      <c r="D426" s="4">
        <f>IFERROR(__xludf.DUMMYFUNCTION("""COMPUTED_VALUE"""),33.0)</f>
        <v>33</v>
      </c>
      <c r="E426" s="4" t="str">
        <f>IFERROR(__xludf.DUMMYFUNCTION("""COMPUTED_VALUE"""),"X10")</f>
        <v>X10</v>
      </c>
      <c r="F426" s="5" t="str">
        <f>IFERROR(__xludf.DUMMYFUNCTION("""COMPUTED_VALUE"""),"33 - X10 - Aurora Putri Samudra Dwiko - P")</f>
        <v>33 - X10 - Aurora Putri Samudra Dwiko - P</v>
      </c>
      <c r="G426" s="3"/>
      <c r="H426" s="3"/>
      <c r="I426" s="3"/>
      <c r="J426" s="3"/>
      <c r="K426" s="3"/>
      <c r="L426" s="3"/>
      <c r="M426" s="3"/>
    </row>
    <row r="427">
      <c r="A427" s="4" t="str">
        <f>IFERROR(__xludf.DUMMYFUNCTION("""COMPUTED_VALUE"""),"0105133490 / 252610119")</f>
        <v>0105133490 / 252610119</v>
      </c>
      <c r="B427" s="4" t="str">
        <f>IFERROR(__xludf.DUMMYFUNCTION("""COMPUTED_VALUE"""),"Belva Thalita Ramadhena - P")</f>
        <v>Belva Thalita Ramadhena - P</v>
      </c>
      <c r="C427" s="4" t="str">
        <f>IFERROR(__xludf.DUMMYFUNCTION("""COMPUTED_VALUE"""),"P")</f>
        <v>P</v>
      </c>
      <c r="D427" s="4">
        <f>IFERROR(__xludf.DUMMYFUNCTION("""COMPUTED_VALUE"""),33.0)</f>
        <v>33</v>
      </c>
      <c r="E427" s="4" t="str">
        <f>IFERROR(__xludf.DUMMYFUNCTION("""COMPUTED_VALUE"""),"X10")</f>
        <v>X10</v>
      </c>
      <c r="F427" s="5" t="str">
        <f>IFERROR(__xludf.DUMMYFUNCTION("""COMPUTED_VALUE"""),"33 - X10 - Belva Thalita Ramadhena - P")</f>
        <v>33 - X10 - Belva Thalita Ramadhena - P</v>
      </c>
      <c r="G427" s="3"/>
      <c r="H427" s="3"/>
      <c r="I427" s="3"/>
      <c r="J427" s="3"/>
      <c r="K427" s="3"/>
      <c r="L427" s="3"/>
      <c r="M427" s="3"/>
    </row>
    <row r="428">
      <c r="A428" s="4" t="str">
        <f>IFERROR(__xludf.DUMMYFUNCTION("""COMPUTED_VALUE"""),"0099153455 / 252610128")</f>
        <v>0099153455 / 252610128</v>
      </c>
      <c r="B428" s="4" t="str">
        <f>IFERROR(__xludf.DUMMYFUNCTION("""COMPUTED_VALUE"""),"Bintang Mahardika Abhyoso Ardy - L")</f>
        <v>Bintang Mahardika Abhyoso Ardy - L</v>
      </c>
      <c r="C428" s="4" t="str">
        <f>IFERROR(__xludf.DUMMYFUNCTION("""COMPUTED_VALUE"""),"L")</f>
        <v>L</v>
      </c>
      <c r="D428" s="4">
        <f>IFERROR(__xludf.DUMMYFUNCTION("""COMPUTED_VALUE"""),33.0)</f>
        <v>33</v>
      </c>
      <c r="E428" s="4" t="str">
        <f>IFERROR(__xludf.DUMMYFUNCTION("""COMPUTED_VALUE"""),"X10")</f>
        <v>X10</v>
      </c>
      <c r="F428" s="5" t="str">
        <f>IFERROR(__xludf.DUMMYFUNCTION("""COMPUTED_VALUE"""),"33 - X10 - Bintang Mahardika Abhyoso Ardy - L")</f>
        <v>33 - X10 - Bintang Mahardika Abhyoso Ardy - L</v>
      </c>
      <c r="G428" s="3"/>
      <c r="H428" s="3"/>
      <c r="I428" s="3"/>
      <c r="J428" s="3"/>
      <c r="K428" s="3"/>
      <c r="L428" s="3"/>
      <c r="M428" s="3"/>
    </row>
    <row r="429">
      <c r="A429" s="4" t="str">
        <f>IFERROR(__xludf.DUMMYFUNCTION("""COMPUTED_VALUE"""),"0094286208 / 252610142")</f>
        <v>0094286208 / 252610142</v>
      </c>
      <c r="B429" s="4" t="str">
        <f>IFERROR(__xludf.DUMMYFUNCTION("""COMPUTED_VALUE"""),"Claudia Dominique Gabriella Torus - P")</f>
        <v>Claudia Dominique Gabriella Torus - P</v>
      </c>
      <c r="C429" s="4" t="str">
        <f>IFERROR(__xludf.DUMMYFUNCTION("""COMPUTED_VALUE"""),"P")</f>
        <v>P</v>
      </c>
      <c r="D429" s="4">
        <f>IFERROR(__xludf.DUMMYFUNCTION("""COMPUTED_VALUE"""),33.0)</f>
        <v>33</v>
      </c>
      <c r="E429" s="4" t="str">
        <f>IFERROR(__xludf.DUMMYFUNCTION("""COMPUTED_VALUE"""),"X10")</f>
        <v>X10</v>
      </c>
      <c r="F429" s="5" t="str">
        <f>IFERROR(__xludf.DUMMYFUNCTION("""COMPUTED_VALUE"""),"33 - X10 - Claudia Dominique Gabriella Torus - P")</f>
        <v>33 - X10 - Claudia Dominique Gabriella Torus - P</v>
      </c>
      <c r="G429" s="3"/>
      <c r="H429" s="3"/>
      <c r="I429" s="3"/>
      <c r="J429" s="3"/>
      <c r="K429" s="3"/>
      <c r="L429" s="3"/>
      <c r="M429" s="3"/>
    </row>
    <row r="430">
      <c r="A430" s="4" t="str">
        <f>IFERROR(__xludf.DUMMYFUNCTION("""COMPUTED_VALUE"""),"0103526904 / 252610165")</f>
        <v>0103526904 / 252610165</v>
      </c>
      <c r="B430" s="4" t="str">
        <f>IFERROR(__xludf.DUMMYFUNCTION("""COMPUTED_VALUE"""),"Dinara Savina - P")</f>
        <v>Dinara Savina - P</v>
      </c>
      <c r="C430" s="4" t="str">
        <f>IFERROR(__xludf.DUMMYFUNCTION("""COMPUTED_VALUE"""),"P")</f>
        <v>P</v>
      </c>
      <c r="D430" s="4">
        <f>IFERROR(__xludf.DUMMYFUNCTION("""COMPUTED_VALUE"""),33.0)</f>
        <v>33</v>
      </c>
      <c r="E430" s="4" t="str">
        <f>IFERROR(__xludf.DUMMYFUNCTION("""COMPUTED_VALUE"""),"X10")</f>
        <v>X10</v>
      </c>
      <c r="F430" s="5" t="str">
        <f>IFERROR(__xludf.DUMMYFUNCTION("""COMPUTED_VALUE"""),"33 - X10 - Dinara Savina - P")</f>
        <v>33 - X10 - Dinara Savina - P</v>
      </c>
      <c r="G430" s="3"/>
      <c r="H430" s="3"/>
      <c r="I430" s="3"/>
      <c r="J430" s="3"/>
      <c r="K430" s="3"/>
      <c r="L430" s="3"/>
      <c r="M430" s="3"/>
    </row>
    <row r="431">
      <c r="A431" s="4" t="str">
        <f>IFERROR(__xludf.DUMMYFUNCTION("""COMPUTED_VALUE"""),"0098248691 / 252610168")</f>
        <v>0098248691 / 252610168</v>
      </c>
      <c r="B431" s="4" t="str">
        <f>IFERROR(__xludf.DUMMYFUNCTION("""COMPUTED_VALUE"""),"Dinda Syifa Rahmayanti - P")</f>
        <v>Dinda Syifa Rahmayanti - P</v>
      </c>
      <c r="C431" s="4" t="str">
        <f>IFERROR(__xludf.DUMMYFUNCTION("""COMPUTED_VALUE"""),"P")</f>
        <v>P</v>
      </c>
      <c r="D431" s="4">
        <f>IFERROR(__xludf.DUMMYFUNCTION("""COMPUTED_VALUE"""),33.0)</f>
        <v>33</v>
      </c>
      <c r="E431" s="4" t="str">
        <f>IFERROR(__xludf.DUMMYFUNCTION("""COMPUTED_VALUE"""),"X10")</f>
        <v>X10</v>
      </c>
      <c r="F431" s="5" t="str">
        <f>IFERROR(__xludf.DUMMYFUNCTION("""COMPUTED_VALUE"""),"33 - X10 - Dinda Syifa Rahmayanti - P")</f>
        <v>33 - X10 - Dinda Syifa Rahmayanti - P</v>
      </c>
      <c r="G431" s="3"/>
      <c r="H431" s="3"/>
      <c r="I431" s="3"/>
      <c r="J431" s="3"/>
      <c r="K431" s="3"/>
      <c r="L431" s="3"/>
      <c r="M431" s="3"/>
    </row>
    <row r="432">
      <c r="A432" s="4" t="str">
        <f>IFERROR(__xludf.DUMMYFUNCTION("""COMPUTED_VALUE"""),"0105616025 / 252610169")</f>
        <v>0105616025 / 252610169</v>
      </c>
      <c r="B432" s="4" t="str">
        <f>IFERROR(__xludf.DUMMYFUNCTION("""COMPUTED_VALUE"""),"Dindin Andini Suryaman - L")</f>
        <v>Dindin Andini Suryaman - L</v>
      </c>
      <c r="C432" s="4" t="str">
        <f>IFERROR(__xludf.DUMMYFUNCTION("""COMPUTED_VALUE"""),"L")</f>
        <v>L</v>
      </c>
      <c r="D432" s="4">
        <f>IFERROR(__xludf.DUMMYFUNCTION("""COMPUTED_VALUE"""),33.0)</f>
        <v>33</v>
      </c>
      <c r="E432" s="4" t="str">
        <f>IFERROR(__xludf.DUMMYFUNCTION("""COMPUTED_VALUE"""),"X10")</f>
        <v>X10</v>
      </c>
      <c r="F432" s="5" t="str">
        <f>IFERROR(__xludf.DUMMYFUNCTION("""COMPUTED_VALUE"""),"33 - X10 - Dindin Andini Suryaman - L")</f>
        <v>33 - X10 - Dindin Andini Suryaman - L</v>
      </c>
      <c r="G432" s="3"/>
      <c r="H432" s="3"/>
      <c r="I432" s="3"/>
      <c r="J432" s="3"/>
      <c r="K432" s="3"/>
      <c r="L432" s="3"/>
      <c r="M432" s="3"/>
    </row>
    <row r="433">
      <c r="A433" s="4" t="str">
        <f>IFERROR(__xludf.DUMMYFUNCTION("""COMPUTED_VALUE"""),"0102329313 / 252610222")</f>
        <v>0102329313 / 252610222</v>
      </c>
      <c r="B433" s="4" t="str">
        <f>IFERROR(__xludf.DUMMYFUNCTION("""COMPUTED_VALUE"""),"Gita Tazkiyatunnisa - P")</f>
        <v>Gita Tazkiyatunnisa - P</v>
      </c>
      <c r="C433" s="4" t="str">
        <f>IFERROR(__xludf.DUMMYFUNCTION("""COMPUTED_VALUE"""),"P")</f>
        <v>P</v>
      </c>
      <c r="D433" s="4">
        <f>IFERROR(__xludf.DUMMYFUNCTION("""COMPUTED_VALUE"""),33.0)</f>
        <v>33</v>
      </c>
      <c r="E433" s="4" t="str">
        <f>IFERROR(__xludf.DUMMYFUNCTION("""COMPUTED_VALUE"""),"X10")</f>
        <v>X10</v>
      </c>
      <c r="F433" s="5" t="str">
        <f>IFERROR(__xludf.DUMMYFUNCTION("""COMPUTED_VALUE"""),"33 - X10 - Gita Tazkiyatunnisa - P")</f>
        <v>33 - X10 - Gita Tazkiyatunnisa - P</v>
      </c>
      <c r="G433" s="3"/>
      <c r="H433" s="3"/>
      <c r="I433" s="3"/>
      <c r="J433" s="3"/>
      <c r="K433" s="3"/>
      <c r="L433" s="3"/>
      <c r="M433" s="3"/>
    </row>
    <row r="434">
      <c r="A434" s="4" t="str">
        <f>IFERROR(__xludf.DUMMYFUNCTION("""COMPUTED_VALUE"""),"0094626978 / 252610226")</f>
        <v>0094626978 / 252610226</v>
      </c>
      <c r="B434" s="4" t="str">
        <f>IFERROR(__xludf.DUMMYFUNCTION("""COMPUTED_VALUE"""),"Haifa Aysha Zahira - P")</f>
        <v>Haifa Aysha Zahira - P</v>
      </c>
      <c r="C434" s="4" t="str">
        <f>IFERROR(__xludf.DUMMYFUNCTION("""COMPUTED_VALUE"""),"P")</f>
        <v>P</v>
      </c>
      <c r="D434" s="4">
        <f>IFERROR(__xludf.DUMMYFUNCTION("""COMPUTED_VALUE"""),33.0)</f>
        <v>33</v>
      </c>
      <c r="E434" s="4" t="str">
        <f>IFERROR(__xludf.DUMMYFUNCTION("""COMPUTED_VALUE"""),"X10")</f>
        <v>X10</v>
      </c>
      <c r="F434" s="5" t="str">
        <f>IFERROR(__xludf.DUMMYFUNCTION("""COMPUTED_VALUE"""),"33 - X10 - Haifa Aysha Zahira - P")</f>
        <v>33 - X10 - Haifa Aysha Zahira - P</v>
      </c>
      <c r="G434" s="3"/>
      <c r="H434" s="3"/>
      <c r="I434" s="3"/>
      <c r="J434" s="3"/>
      <c r="K434" s="3"/>
      <c r="L434" s="3"/>
      <c r="M434" s="3"/>
    </row>
    <row r="435">
      <c r="A435" s="4" t="str">
        <f>IFERROR(__xludf.DUMMYFUNCTION("""COMPUTED_VALUE"""),"0093849649 / 252610234")</f>
        <v>0093849649 / 252610234</v>
      </c>
      <c r="B435" s="4" t="str">
        <f>IFERROR(__xludf.DUMMYFUNCTION("""COMPUTED_VALUE"""),"Intan Dwi Novianingrum - P")</f>
        <v>Intan Dwi Novianingrum - P</v>
      </c>
      <c r="C435" s="4" t="str">
        <f>IFERROR(__xludf.DUMMYFUNCTION("""COMPUTED_VALUE"""),"P")</f>
        <v>P</v>
      </c>
      <c r="D435" s="4">
        <f>IFERROR(__xludf.DUMMYFUNCTION("""COMPUTED_VALUE"""),33.0)</f>
        <v>33</v>
      </c>
      <c r="E435" s="4" t="str">
        <f>IFERROR(__xludf.DUMMYFUNCTION("""COMPUTED_VALUE"""),"X10")</f>
        <v>X10</v>
      </c>
      <c r="F435" s="5" t="str">
        <f>IFERROR(__xludf.DUMMYFUNCTION("""COMPUTED_VALUE"""),"33 - X10 - Intan Dwi Novianingrum - P")</f>
        <v>33 - X10 - Intan Dwi Novianingrum - P</v>
      </c>
      <c r="G435" s="3"/>
      <c r="H435" s="3"/>
      <c r="I435" s="3"/>
      <c r="J435" s="3"/>
      <c r="K435" s="3"/>
      <c r="L435" s="3"/>
      <c r="M435" s="3"/>
    </row>
    <row r="436">
      <c r="A436" s="4" t="str">
        <f>IFERROR(__xludf.DUMMYFUNCTION("""COMPUTED_VALUE"""),"0102890859 / 252610235")</f>
        <v>0102890859 / 252610235</v>
      </c>
      <c r="B436" s="4" t="str">
        <f>IFERROR(__xludf.DUMMYFUNCTION("""COMPUTED_VALUE"""),"Isnaini Fauziyah Utomo - P")</f>
        <v>Isnaini Fauziyah Utomo - P</v>
      </c>
      <c r="C436" s="4" t="str">
        <f>IFERROR(__xludf.DUMMYFUNCTION("""COMPUTED_VALUE"""),"P")</f>
        <v>P</v>
      </c>
      <c r="D436" s="4">
        <f>IFERROR(__xludf.DUMMYFUNCTION("""COMPUTED_VALUE"""),33.0)</f>
        <v>33</v>
      </c>
      <c r="E436" s="4" t="str">
        <f>IFERROR(__xludf.DUMMYFUNCTION("""COMPUTED_VALUE"""),"X10")</f>
        <v>X10</v>
      </c>
      <c r="F436" s="5" t="str">
        <f>IFERROR(__xludf.DUMMYFUNCTION("""COMPUTED_VALUE"""),"33 - X10 - Isnaini Fauziyah Utomo - P")</f>
        <v>33 - X10 - Isnaini Fauziyah Utomo - P</v>
      </c>
      <c r="G436" s="3"/>
      <c r="H436" s="3"/>
      <c r="I436" s="3"/>
      <c r="J436" s="3"/>
      <c r="K436" s="3"/>
      <c r="L436" s="3"/>
      <c r="M436" s="3"/>
    </row>
    <row r="437">
      <c r="A437" s="4" t="str">
        <f>IFERROR(__xludf.DUMMYFUNCTION("""COMPUTED_VALUE"""),"0107943430 / 252610242")</f>
        <v>0107943430 / 252610242</v>
      </c>
      <c r="B437" s="4" t="str">
        <f>IFERROR(__xludf.DUMMYFUNCTION("""COMPUTED_VALUE"""),"Jeremia Geraldo Siregar - L")</f>
        <v>Jeremia Geraldo Siregar - L</v>
      </c>
      <c r="C437" s="4" t="str">
        <f>IFERROR(__xludf.DUMMYFUNCTION("""COMPUTED_VALUE"""),"L")</f>
        <v>L</v>
      </c>
      <c r="D437" s="4">
        <f>IFERROR(__xludf.DUMMYFUNCTION("""COMPUTED_VALUE"""),33.0)</f>
        <v>33</v>
      </c>
      <c r="E437" s="4" t="str">
        <f>IFERROR(__xludf.DUMMYFUNCTION("""COMPUTED_VALUE"""),"X10")</f>
        <v>X10</v>
      </c>
      <c r="F437" s="5" t="str">
        <f>IFERROR(__xludf.DUMMYFUNCTION("""COMPUTED_VALUE"""),"33 - X10 - Jeremia Geraldo Siregar - L")</f>
        <v>33 - X10 - Jeremia Geraldo Siregar - L</v>
      </c>
      <c r="G437" s="3"/>
      <c r="H437" s="3"/>
      <c r="I437" s="3"/>
      <c r="J437" s="3"/>
      <c r="K437" s="3"/>
      <c r="L437" s="3"/>
      <c r="M437" s="3"/>
    </row>
    <row r="438">
      <c r="A438" s="4" t="str">
        <f>IFERROR(__xludf.DUMMYFUNCTION("""COMPUTED_VALUE"""),"0102210036 / 252610243")</f>
        <v>0102210036 / 252610243</v>
      </c>
      <c r="B438" s="4" t="str">
        <f>IFERROR(__xludf.DUMMYFUNCTION("""COMPUTED_VALUE"""),"Jerry Dwi Cahyono Putro - L")</f>
        <v>Jerry Dwi Cahyono Putro - L</v>
      </c>
      <c r="C438" s="4" t="str">
        <f>IFERROR(__xludf.DUMMYFUNCTION("""COMPUTED_VALUE"""),"L")</f>
        <v>L</v>
      </c>
      <c r="D438" s="4">
        <f>IFERROR(__xludf.DUMMYFUNCTION("""COMPUTED_VALUE"""),33.0)</f>
        <v>33</v>
      </c>
      <c r="E438" s="4" t="str">
        <f>IFERROR(__xludf.DUMMYFUNCTION("""COMPUTED_VALUE"""),"X10")</f>
        <v>X10</v>
      </c>
      <c r="F438" s="5" t="str">
        <f>IFERROR(__xludf.DUMMYFUNCTION("""COMPUTED_VALUE"""),"33 - X10 - Jerry Dwi Cahyono Putro - L")</f>
        <v>33 - X10 - Jerry Dwi Cahyono Putro - L</v>
      </c>
      <c r="G438" s="3"/>
      <c r="H438" s="3"/>
      <c r="I438" s="3"/>
      <c r="J438" s="3"/>
      <c r="K438" s="3"/>
      <c r="L438" s="3"/>
      <c r="M438" s="3"/>
    </row>
    <row r="439">
      <c r="A439" s="4" t="str">
        <f>IFERROR(__xludf.DUMMYFUNCTION("""COMPUTED_VALUE"""),"3099544859 / 252610251")</f>
        <v>3099544859 / 252610251</v>
      </c>
      <c r="B439" s="4" t="str">
        <f>IFERROR(__xludf.DUMMYFUNCTION("""COMPUTED_VALUE"""),"Jovan Khayru Affandi - L")</f>
        <v>Jovan Khayru Affandi - L</v>
      </c>
      <c r="C439" s="4" t="str">
        <f>IFERROR(__xludf.DUMMYFUNCTION("""COMPUTED_VALUE"""),"L")</f>
        <v>L</v>
      </c>
      <c r="D439" s="4">
        <f>IFERROR(__xludf.DUMMYFUNCTION("""COMPUTED_VALUE"""),33.0)</f>
        <v>33</v>
      </c>
      <c r="E439" s="4" t="str">
        <f>IFERROR(__xludf.DUMMYFUNCTION("""COMPUTED_VALUE"""),"X10")</f>
        <v>X10</v>
      </c>
      <c r="F439" s="5" t="str">
        <f>IFERROR(__xludf.DUMMYFUNCTION("""COMPUTED_VALUE"""),"33 - X10 - Jovan Khayru Affandi - L")</f>
        <v>33 - X10 - Jovan Khayru Affandi - L</v>
      </c>
      <c r="G439" s="3"/>
      <c r="H439" s="3"/>
      <c r="I439" s="3"/>
      <c r="J439" s="3"/>
      <c r="K439" s="3"/>
      <c r="L439" s="3"/>
      <c r="M439" s="3"/>
    </row>
    <row r="440">
      <c r="A440" s="4" t="str">
        <f>IFERROR(__xludf.DUMMYFUNCTION("""COMPUTED_VALUE"""),"0104574006 / 252610262")</f>
        <v>0104574006 / 252610262</v>
      </c>
      <c r="B440" s="4" t="str">
        <f>IFERROR(__xludf.DUMMYFUNCTION("""COMPUTED_VALUE"""),"Kayla Althafunnisa Arrasyid - P")</f>
        <v>Kayla Althafunnisa Arrasyid - P</v>
      </c>
      <c r="C440" s="4" t="str">
        <f>IFERROR(__xludf.DUMMYFUNCTION("""COMPUTED_VALUE"""),"P")</f>
        <v>P</v>
      </c>
      <c r="D440" s="4">
        <f>IFERROR(__xludf.DUMMYFUNCTION("""COMPUTED_VALUE"""),33.0)</f>
        <v>33</v>
      </c>
      <c r="E440" s="4" t="str">
        <f>IFERROR(__xludf.DUMMYFUNCTION("""COMPUTED_VALUE"""),"X10")</f>
        <v>X10</v>
      </c>
      <c r="F440" s="5" t="str">
        <f>IFERROR(__xludf.DUMMYFUNCTION("""COMPUTED_VALUE"""),"33 - X10 - Kayla Althafunnisa Arrasyid - P")</f>
        <v>33 - X10 - Kayla Althafunnisa Arrasyid - P</v>
      </c>
      <c r="G440" s="3"/>
      <c r="H440" s="3"/>
      <c r="I440" s="3"/>
      <c r="J440" s="3"/>
      <c r="K440" s="3"/>
      <c r="L440" s="3"/>
      <c r="M440" s="3"/>
    </row>
    <row r="441">
      <c r="A441" s="4" t="str">
        <f>IFERROR(__xludf.DUMMYFUNCTION("""COMPUTED_VALUE"""),"0094966956 / 252610272")</f>
        <v>0094966956 / 252610272</v>
      </c>
      <c r="B441" s="4" t="str">
        <f>IFERROR(__xludf.DUMMYFUNCTION("""COMPUTED_VALUE"""),"Keyla Ananda Safitri - P")</f>
        <v>Keyla Ananda Safitri - P</v>
      </c>
      <c r="C441" s="4" t="str">
        <f>IFERROR(__xludf.DUMMYFUNCTION("""COMPUTED_VALUE"""),"P")</f>
        <v>P</v>
      </c>
      <c r="D441" s="4">
        <f>IFERROR(__xludf.DUMMYFUNCTION("""COMPUTED_VALUE"""),33.0)</f>
        <v>33</v>
      </c>
      <c r="E441" s="4" t="str">
        <f>IFERROR(__xludf.DUMMYFUNCTION("""COMPUTED_VALUE"""),"X10")</f>
        <v>X10</v>
      </c>
      <c r="F441" s="5" t="str">
        <f>IFERROR(__xludf.DUMMYFUNCTION("""COMPUTED_VALUE"""),"33 - X10 - Keyla Ananda Safitri - P")</f>
        <v>33 - X10 - Keyla Ananda Safitri - P</v>
      </c>
      <c r="G441" s="3"/>
      <c r="H441" s="3"/>
      <c r="I441" s="3"/>
      <c r="J441" s="3"/>
      <c r="K441" s="3"/>
      <c r="L441" s="3"/>
      <c r="M441" s="3"/>
    </row>
    <row r="442">
      <c r="A442" s="4" t="str">
        <f>IFERROR(__xludf.DUMMYFUNCTION("""COMPUTED_VALUE"""),"0102208567 / 252610283")</f>
        <v>0102208567 / 252610283</v>
      </c>
      <c r="B442" s="4" t="str">
        <f>IFERROR(__xludf.DUMMYFUNCTION("""COMPUTED_VALUE"""),"Khanza Aprillia Risyadi - P")</f>
        <v>Khanza Aprillia Risyadi - P</v>
      </c>
      <c r="C442" s="4" t="str">
        <f>IFERROR(__xludf.DUMMYFUNCTION("""COMPUTED_VALUE"""),"P")</f>
        <v>P</v>
      </c>
      <c r="D442" s="4">
        <f>IFERROR(__xludf.DUMMYFUNCTION("""COMPUTED_VALUE"""),33.0)</f>
        <v>33</v>
      </c>
      <c r="E442" s="4" t="str">
        <f>IFERROR(__xludf.DUMMYFUNCTION("""COMPUTED_VALUE"""),"X10")</f>
        <v>X10</v>
      </c>
      <c r="F442" s="5" t="str">
        <f>IFERROR(__xludf.DUMMYFUNCTION("""COMPUTED_VALUE"""),"33 - X10 - Khanza Aprillia Risyadi - P")</f>
        <v>33 - X10 - Khanza Aprillia Risyadi - P</v>
      </c>
      <c r="G442" s="3"/>
      <c r="H442" s="3"/>
      <c r="I442" s="3"/>
      <c r="J442" s="3"/>
      <c r="K442" s="3"/>
      <c r="L442" s="3"/>
      <c r="M442" s="3"/>
    </row>
    <row r="443">
      <c r="A443" s="4" t="str">
        <f>IFERROR(__xludf.DUMMYFUNCTION("""COMPUTED_VALUE"""),"3101402781 / 252610305")</f>
        <v>3101402781 / 252610305</v>
      </c>
      <c r="B443" s="4" t="str">
        <f>IFERROR(__xludf.DUMMYFUNCTION("""COMPUTED_VALUE"""),"Maroen Al-Fatih Ibrahimessi - L")</f>
        <v>Maroen Al-Fatih Ibrahimessi - L</v>
      </c>
      <c r="C443" s="4" t="str">
        <f>IFERROR(__xludf.DUMMYFUNCTION("""COMPUTED_VALUE"""),"L")</f>
        <v>L</v>
      </c>
      <c r="D443" s="4">
        <f>IFERROR(__xludf.DUMMYFUNCTION("""COMPUTED_VALUE"""),33.0)</f>
        <v>33</v>
      </c>
      <c r="E443" s="4" t="str">
        <f>IFERROR(__xludf.DUMMYFUNCTION("""COMPUTED_VALUE"""),"X10")</f>
        <v>X10</v>
      </c>
      <c r="F443" s="5" t="str">
        <f>IFERROR(__xludf.DUMMYFUNCTION("""COMPUTED_VALUE"""),"33 - X10 - Maroen Al-Fatih Ibrahimessi - L")</f>
        <v>33 - X10 - Maroen Al-Fatih Ibrahimessi - L</v>
      </c>
      <c r="G443" s="3"/>
      <c r="H443" s="3"/>
      <c r="I443" s="3"/>
      <c r="J443" s="3"/>
      <c r="K443" s="3"/>
      <c r="L443" s="3"/>
      <c r="M443" s="3"/>
    </row>
    <row r="444">
      <c r="A444" s="4" t="str">
        <f>IFERROR(__xludf.DUMMYFUNCTION("""COMPUTED_VALUE"""),"0098516941 / 252610327")</f>
        <v>0098516941 / 252610327</v>
      </c>
      <c r="B444" s="4" t="str">
        <f>IFERROR(__xludf.DUMMYFUNCTION("""COMPUTED_VALUE"""),"Muhamad Raihan Rizqullah - L")</f>
        <v>Muhamad Raihan Rizqullah - L</v>
      </c>
      <c r="C444" s="4" t="str">
        <f>IFERROR(__xludf.DUMMYFUNCTION("""COMPUTED_VALUE"""),"L")</f>
        <v>L</v>
      </c>
      <c r="D444" s="4">
        <f>IFERROR(__xludf.DUMMYFUNCTION("""COMPUTED_VALUE"""),33.0)</f>
        <v>33</v>
      </c>
      <c r="E444" s="4" t="str">
        <f>IFERROR(__xludf.DUMMYFUNCTION("""COMPUTED_VALUE"""),"X10")</f>
        <v>X10</v>
      </c>
      <c r="F444" s="5" t="str">
        <f>IFERROR(__xludf.DUMMYFUNCTION("""COMPUTED_VALUE"""),"33 - X10 - Muhamad Raihan Rizqullah - L")</f>
        <v>33 - X10 - Muhamad Raihan Rizqullah - L</v>
      </c>
      <c r="G444" s="3"/>
      <c r="H444" s="3"/>
      <c r="I444" s="3"/>
      <c r="J444" s="3"/>
      <c r="K444" s="3"/>
      <c r="L444" s="3"/>
      <c r="M444" s="3"/>
    </row>
    <row r="445">
      <c r="A445" s="4" t="str">
        <f>IFERROR(__xludf.DUMMYFUNCTION("""COMPUTED_VALUE"""),"0113735828 / 252610335")</f>
        <v>0113735828 / 252610335</v>
      </c>
      <c r="B445" s="4" t="str">
        <f>IFERROR(__xludf.DUMMYFUNCTION("""COMPUTED_VALUE"""),"Muhammad Akhtar Arkana Ramadhan - L")</f>
        <v>Muhammad Akhtar Arkana Ramadhan - L</v>
      </c>
      <c r="C445" s="4" t="str">
        <f>IFERROR(__xludf.DUMMYFUNCTION("""COMPUTED_VALUE"""),"L")</f>
        <v>L</v>
      </c>
      <c r="D445" s="4">
        <f>IFERROR(__xludf.DUMMYFUNCTION("""COMPUTED_VALUE"""),33.0)</f>
        <v>33</v>
      </c>
      <c r="E445" s="4" t="str">
        <f>IFERROR(__xludf.DUMMYFUNCTION("""COMPUTED_VALUE"""),"X10")</f>
        <v>X10</v>
      </c>
      <c r="F445" s="5" t="str">
        <f>IFERROR(__xludf.DUMMYFUNCTION("""COMPUTED_VALUE"""),"33 - X10 - Muhammad Akhtar Arkana Ramadhan - L")</f>
        <v>33 - X10 - Muhammad Akhtar Arkana Ramadhan - L</v>
      </c>
      <c r="G445" s="3"/>
      <c r="H445" s="3"/>
      <c r="I445" s="3"/>
      <c r="J445" s="3"/>
      <c r="K445" s="3"/>
      <c r="L445" s="3"/>
      <c r="M445" s="3"/>
    </row>
    <row r="446">
      <c r="A446" s="4" t="str">
        <f>IFERROR(__xludf.DUMMYFUNCTION("""COMPUTED_VALUE"""),"0109589144 / 252610375")</f>
        <v>0109589144 / 252610375</v>
      </c>
      <c r="B446" s="4" t="str">
        <f>IFERROR(__xludf.DUMMYFUNCTION("""COMPUTED_VALUE"""),"Muhammad Tsafiq Ihsan - L")</f>
        <v>Muhammad Tsafiq Ihsan - L</v>
      </c>
      <c r="C446" s="4" t="str">
        <f>IFERROR(__xludf.DUMMYFUNCTION("""COMPUTED_VALUE"""),"L")</f>
        <v>L</v>
      </c>
      <c r="D446" s="4">
        <f>IFERROR(__xludf.DUMMYFUNCTION("""COMPUTED_VALUE"""),33.0)</f>
        <v>33</v>
      </c>
      <c r="E446" s="4" t="str">
        <f>IFERROR(__xludf.DUMMYFUNCTION("""COMPUTED_VALUE"""),"X10")</f>
        <v>X10</v>
      </c>
      <c r="F446" s="5" t="str">
        <f>IFERROR(__xludf.DUMMYFUNCTION("""COMPUTED_VALUE"""),"33 - X10 - Muhammad Tsafiq Ihsan - L")</f>
        <v>33 - X10 - Muhammad Tsafiq Ihsan - L</v>
      </c>
      <c r="G446" s="3"/>
      <c r="H446" s="3"/>
      <c r="I446" s="3"/>
      <c r="J446" s="3"/>
      <c r="K446" s="3"/>
      <c r="L446" s="3"/>
      <c r="M446" s="3"/>
    </row>
    <row r="447">
      <c r="A447" s="4" t="str">
        <f>IFERROR(__xludf.DUMMYFUNCTION("""COMPUTED_VALUE"""),"0108105659 / 252610396")</f>
        <v>0108105659 / 252610396</v>
      </c>
      <c r="B447" s="4" t="str">
        <f>IFERROR(__xludf.DUMMYFUNCTION("""COMPUTED_VALUE"""),"Naqeesyaa Dhanova Al Adzra - P")</f>
        <v>Naqeesyaa Dhanova Al Adzra - P</v>
      </c>
      <c r="C447" s="4" t="str">
        <f>IFERROR(__xludf.DUMMYFUNCTION("""COMPUTED_VALUE"""),"P")</f>
        <v>P</v>
      </c>
      <c r="D447" s="4">
        <f>IFERROR(__xludf.DUMMYFUNCTION("""COMPUTED_VALUE"""),33.0)</f>
        <v>33</v>
      </c>
      <c r="E447" s="4" t="str">
        <f>IFERROR(__xludf.DUMMYFUNCTION("""COMPUTED_VALUE"""),"X10")</f>
        <v>X10</v>
      </c>
      <c r="F447" s="5" t="str">
        <f>IFERROR(__xludf.DUMMYFUNCTION("""COMPUTED_VALUE"""),"33 - X10 - Naqeesyaa Dhanova Al Adzra - P")</f>
        <v>33 - X10 - Naqeesyaa Dhanova Al Adzra - P</v>
      </c>
      <c r="G447" s="3"/>
      <c r="H447" s="3"/>
      <c r="I447" s="3"/>
      <c r="J447" s="3"/>
      <c r="K447" s="3"/>
      <c r="L447" s="3"/>
      <c r="M447" s="3"/>
    </row>
    <row r="448">
      <c r="A448" s="4" t="str">
        <f>IFERROR(__xludf.DUMMYFUNCTION("""COMPUTED_VALUE"""),"0091758520 / 252610402")</f>
        <v>0091758520 / 252610402</v>
      </c>
      <c r="B448" s="4" t="str">
        <f>IFERROR(__xludf.DUMMYFUNCTION("""COMPUTED_VALUE"""),"Naufal Arzharel Ibrahimovic - L")</f>
        <v>Naufal Arzharel Ibrahimovic - L</v>
      </c>
      <c r="C448" s="4" t="str">
        <f>IFERROR(__xludf.DUMMYFUNCTION("""COMPUTED_VALUE"""),"L")</f>
        <v>L</v>
      </c>
      <c r="D448" s="4">
        <f>IFERROR(__xludf.DUMMYFUNCTION("""COMPUTED_VALUE"""),33.0)</f>
        <v>33</v>
      </c>
      <c r="E448" s="4" t="str">
        <f>IFERROR(__xludf.DUMMYFUNCTION("""COMPUTED_VALUE"""),"X10")</f>
        <v>X10</v>
      </c>
      <c r="F448" s="5" t="str">
        <f>IFERROR(__xludf.DUMMYFUNCTION("""COMPUTED_VALUE"""),"33 - X10 - Naufal Arzharel Ibrahimovic - L")</f>
        <v>33 - X10 - Naufal Arzharel Ibrahimovic - L</v>
      </c>
      <c r="G448" s="3"/>
      <c r="H448" s="3"/>
      <c r="I448" s="3"/>
      <c r="J448" s="3"/>
      <c r="K448" s="3"/>
      <c r="L448" s="3"/>
      <c r="M448" s="3"/>
    </row>
    <row r="449">
      <c r="A449" s="4" t="str">
        <f>IFERROR(__xludf.DUMMYFUNCTION("""COMPUTED_VALUE"""),"0093643944 / 252610403")</f>
        <v>0093643944 / 252610403</v>
      </c>
      <c r="B449" s="4" t="str">
        <f>IFERROR(__xludf.DUMMYFUNCTION("""COMPUTED_VALUE"""),"Naura Luvenavita Krisdianto - P")</f>
        <v>Naura Luvenavita Krisdianto - P</v>
      </c>
      <c r="C449" s="4" t="str">
        <f>IFERROR(__xludf.DUMMYFUNCTION("""COMPUTED_VALUE"""),"P")</f>
        <v>P</v>
      </c>
      <c r="D449" s="4">
        <f>IFERROR(__xludf.DUMMYFUNCTION("""COMPUTED_VALUE"""),33.0)</f>
        <v>33</v>
      </c>
      <c r="E449" s="4" t="str">
        <f>IFERROR(__xludf.DUMMYFUNCTION("""COMPUTED_VALUE"""),"X10")</f>
        <v>X10</v>
      </c>
      <c r="F449" s="5" t="str">
        <f>IFERROR(__xludf.DUMMYFUNCTION("""COMPUTED_VALUE"""),"33 - X10 - Naura Luvenavita Krisdianto - P")</f>
        <v>33 - X10 - Naura Luvenavita Krisdianto - P</v>
      </c>
      <c r="G449" s="3"/>
      <c r="H449" s="3"/>
      <c r="I449" s="3"/>
      <c r="J449" s="3"/>
      <c r="K449" s="3"/>
      <c r="L449" s="3"/>
      <c r="M449" s="3"/>
    </row>
    <row r="450">
      <c r="A450" s="4" t="str">
        <f>IFERROR(__xludf.DUMMYFUNCTION("""COMPUTED_VALUE"""),"0106941532 / 252610406")</f>
        <v>0106941532 / 252610406</v>
      </c>
      <c r="B450" s="4" t="str">
        <f>IFERROR(__xludf.DUMMYFUNCTION("""COMPUTED_VALUE"""),"Nava Marietta Siahaan - P")</f>
        <v>Nava Marietta Siahaan - P</v>
      </c>
      <c r="C450" s="4" t="str">
        <f>IFERROR(__xludf.DUMMYFUNCTION("""COMPUTED_VALUE"""),"P")</f>
        <v>P</v>
      </c>
      <c r="D450" s="4">
        <f>IFERROR(__xludf.DUMMYFUNCTION("""COMPUTED_VALUE"""),33.0)</f>
        <v>33</v>
      </c>
      <c r="E450" s="4" t="str">
        <f>IFERROR(__xludf.DUMMYFUNCTION("""COMPUTED_VALUE"""),"X10")</f>
        <v>X10</v>
      </c>
      <c r="F450" s="5" t="str">
        <f>IFERROR(__xludf.DUMMYFUNCTION("""COMPUTED_VALUE"""),"33 - X10 - Nava Marietta Siahaan - P")</f>
        <v>33 - X10 - Nava Marietta Siahaan - P</v>
      </c>
      <c r="G450" s="3"/>
      <c r="H450" s="3"/>
      <c r="I450" s="3"/>
      <c r="J450" s="3"/>
      <c r="K450" s="3"/>
      <c r="L450" s="3"/>
      <c r="M450" s="3"/>
    </row>
    <row r="451">
      <c r="A451" s="4" t="str">
        <f>IFERROR(__xludf.DUMMYFUNCTION("""COMPUTED_VALUE"""),"0109464483 / 252610443")</f>
        <v>0109464483 / 252610443</v>
      </c>
      <c r="B451" s="4" t="str">
        <f>IFERROR(__xludf.DUMMYFUNCTION("""COMPUTED_VALUE"""),"Queensha Anindya Azka - P")</f>
        <v>Queensha Anindya Azka - P</v>
      </c>
      <c r="C451" s="4" t="str">
        <f>IFERROR(__xludf.DUMMYFUNCTION("""COMPUTED_VALUE"""),"P")</f>
        <v>P</v>
      </c>
      <c r="D451" s="4">
        <f>IFERROR(__xludf.DUMMYFUNCTION("""COMPUTED_VALUE"""),33.0)</f>
        <v>33</v>
      </c>
      <c r="E451" s="4" t="str">
        <f>IFERROR(__xludf.DUMMYFUNCTION("""COMPUTED_VALUE"""),"X10")</f>
        <v>X10</v>
      </c>
      <c r="F451" s="5" t="str">
        <f>IFERROR(__xludf.DUMMYFUNCTION("""COMPUTED_VALUE"""),"33 - X10 - Queensha Anindya Azka - P")</f>
        <v>33 - X10 - Queensha Anindya Azka - P</v>
      </c>
      <c r="G451" s="3"/>
      <c r="H451" s="3"/>
      <c r="I451" s="3"/>
      <c r="J451" s="3"/>
      <c r="K451" s="3"/>
      <c r="L451" s="3"/>
      <c r="M451" s="3"/>
    </row>
    <row r="452">
      <c r="A452" s="4" t="str">
        <f>IFERROR(__xludf.DUMMYFUNCTION("""COMPUTED_VALUE"""),"3103591489 / 252610459")</f>
        <v>3103591489 / 252610459</v>
      </c>
      <c r="B452" s="4" t="str">
        <f>IFERROR(__xludf.DUMMYFUNCTION("""COMPUTED_VALUE"""),"Rafael Anhar Armando - L")</f>
        <v>Rafael Anhar Armando - L</v>
      </c>
      <c r="C452" s="4" t="str">
        <f>IFERROR(__xludf.DUMMYFUNCTION("""COMPUTED_VALUE"""),"L")</f>
        <v>L</v>
      </c>
      <c r="D452" s="4">
        <f>IFERROR(__xludf.DUMMYFUNCTION("""COMPUTED_VALUE"""),33.0)</f>
        <v>33</v>
      </c>
      <c r="E452" s="4" t="str">
        <f>IFERROR(__xludf.DUMMYFUNCTION("""COMPUTED_VALUE"""),"X10")</f>
        <v>X10</v>
      </c>
      <c r="F452" s="5" t="str">
        <f>IFERROR(__xludf.DUMMYFUNCTION("""COMPUTED_VALUE"""),"33 - X10 - Rafael Anhar Armando - L")</f>
        <v>33 - X10 - Rafael Anhar Armando - L</v>
      </c>
      <c r="G452" s="3"/>
      <c r="H452" s="3"/>
      <c r="I452" s="3"/>
      <c r="J452" s="3"/>
      <c r="K452" s="3"/>
      <c r="L452" s="3"/>
      <c r="M452" s="3"/>
    </row>
    <row r="453">
      <c r="A453" s="4" t="str">
        <f>IFERROR(__xludf.DUMMYFUNCTION("""COMPUTED_VALUE"""),"0097831413 / 252610462")</f>
        <v>0097831413 / 252610462</v>
      </c>
      <c r="B453" s="4" t="str">
        <f>IFERROR(__xludf.DUMMYFUNCTION("""COMPUTED_VALUE"""),"Rahmania Azahra - P")</f>
        <v>Rahmania Azahra - P</v>
      </c>
      <c r="C453" s="4" t="str">
        <f>IFERROR(__xludf.DUMMYFUNCTION("""COMPUTED_VALUE"""),"P")</f>
        <v>P</v>
      </c>
      <c r="D453" s="4">
        <f>IFERROR(__xludf.DUMMYFUNCTION("""COMPUTED_VALUE"""),33.0)</f>
        <v>33</v>
      </c>
      <c r="E453" s="4" t="str">
        <f>IFERROR(__xludf.DUMMYFUNCTION("""COMPUTED_VALUE"""),"X10")</f>
        <v>X10</v>
      </c>
      <c r="F453" s="5" t="str">
        <f>IFERROR(__xludf.DUMMYFUNCTION("""COMPUTED_VALUE"""),"33 - X10 - Rahmania Azahra - P")</f>
        <v>33 - X10 - Rahmania Azahra - P</v>
      </c>
      <c r="G453" s="3"/>
      <c r="H453" s="3"/>
      <c r="I453" s="3"/>
      <c r="J453" s="3"/>
      <c r="K453" s="3"/>
      <c r="L453" s="3"/>
      <c r="M453" s="3"/>
    </row>
    <row r="454">
      <c r="A454" s="4" t="str">
        <f>IFERROR(__xludf.DUMMYFUNCTION("""COMPUTED_VALUE"""),"0094313180 / 252610469")</f>
        <v>0094313180 / 252610469</v>
      </c>
      <c r="B454" s="4" t="str">
        <f>IFERROR(__xludf.DUMMYFUNCTION("""COMPUTED_VALUE"""),"Raivan Elang Pramono - L")</f>
        <v>Raivan Elang Pramono - L</v>
      </c>
      <c r="C454" s="4" t="str">
        <f>IFERROR(__xludf.DUMMYFUNCTION("""COMPUTED_VALUE"""),"L")</f>
        <v>L</v>
      </c>
      <c r="D454" s="4">
        <f>IFERROR(__xludf.DUMMYFUNCTION("""COMPUTED_VALUE"""),33.0)</f>
        <v>33</v>
      </c>
      <c r="E454" s="4" t="str">
        <f>IFERROR(__xludf.DUMMYFUNCTION("""COMPUTED_VALUE"""),"X10")</f>
        <v>X10</v>
      </c>
      <c r="F454" s="5" t="str">
        <f>IFERROR(__xludf.DUMMYFUNCTION("""COMPUTED_VALUE"""),"33 - X10 - Raivan Elang Pramono - L")</f>
        <v>33 - X10 - Raivan Elang Pramono - L</v>
      </c>
      <c r="G454" s="3"/>
      <c r="H454" s="3"/>
      <c r="I454" s="3"/>
      <c r="J454" s="3"/>
      <c r="K454" s="3"/>
      <c r="L454" s="3"/>
      <c r="M454" s="3"/>
    </row>
    <row r="455">
      <c r="A455" s="4" t="str">
        <f>IFERROR(__xludf.DUMMYFUNCTION("""COMPUTED_VALUE"""),"0093204066 / 252610493")</f>
        <v>0093204066 / 252610493</v>
      </c>
      <c r="B455" s="4" t="str">
        <f>IFERROR(__xludf.DUMMYFUNCTION("""COMPUTED_VALUE"""),"Rizqiyanah Qaysarania Herawan - P")</f>
        <v>Rizqiyanah Qaysarania Herawan - P</v>
      </c>
      <c r="C455" s="4" t="str">
        <f>IFERROR(__xludf.DUMMYFUNCTION("""COMPUTED_VALUE"""),"P")</f>
        <v>P</v>
      </c>
      <c r="D455" s="4">
        <f>IFERROR(__xludf.DUMMYFUNCTION("""COMPUTED_VALUE"""),33.0)</f>
        <v>33</v>
      </c>
      <c r="E455" s="4" t="str">
        <f>IFERROR(__xludf.DUMMYFUNCTION("""COMPUTED_VALUE"""),"X10")</f>
        <v>X10</v>
      </c>
      <c r="F455" s="5" t="str">
        <f>IFERROR(__xludf.DUMMYFUNCTION("""COMPUTED_VALUE"""),"33 - X10 - Rizqiyanah Qaysarania Herawan - P")</f>
        <v>33 - X10 - Rizqiyanah Qaysarania Herawan - P</v>
      </c>
      <c r="G455" s="3"/>
      <c r="H455" s="3"/>
      <c r="I455" s="3"/>
      <c r="J455" s="3"/>
      <c r="K455" s="3"/>
      <c r="L455" s="3"/>
      <c r="M455" s="3"/>
    </row>
    <row r="456">
      <c r="A456" s="4" t="str">
        <f>IFERROR(__xludf.DUMMYFUNCTION("""COMPUTED_VALUE"""),"0108540094 / 252610509")</f>
        <v>0108540094 / 252610509</v>
      </c>
      <c r="B456" s="4" t="str">
        <f>IFERROR(__xludf.DUMMYFUNCTION("""COMPUTED_VALUE"""),"Salsha Aulia Akbar - P")</f>
        <v>Salsha Aulia Akbar - P</v>
      </c>
      <c r="C456" s="4" t="str">
        <f>IFERROR(__xludf.DUMMYFUNCTION("""COMPUTED_VALUE"""),"P")</f>
        <v>P</v>
      </c>
      <c r="D456" s="4">
        <f>IFERROR(__xludf.DUMMYFUNCTION("""COMPUTED_VALUE"""),33.0)</f>
        <v>33</v>
      </c>
      <c r="E456" s="4" t="str">
        <f>IFERROR(__xludf.DUMMYFUNCTION("""COMPUTED_VALUE"""),"X10")</f>
        <v>X10</v>
      </c>
      <c r="F456" s="5" t="str">
        <f>IFERROR(__xludf.DUMMYFUNCTION("""COMPUTED_VALUE"""),"33 - X10 - Salsha Aulia Akbar - P")</f>
        <v>33 - X10 - Salsha Aulia Akbar - P</v>
      </c>
      <c r="G456" s="3"/>
      <c r="H456" s="3"/>
      <c r="I456" s="3"/>
      <c r="J456" s="3"/>
      <c r="K456" s="3"/>
      <c r="L456" s="3"/>
      <c r="M456" s="3"/>
    </row>
    <row r="457">
      <c r="A457" s="4" t="str">
        <f>IFERROR(__xludf.DUMMYFUNCTION("""COMPUTED_VALUE"""),"0108413702 / 252610510")</f>
        <v>0108413702 / 252610510</v>
      </c>
      <c r="B457" s="4" t="str">
        <f>IFERROR(__xludf.DUMMYFUNCTION("""COMPUTED_VALUE"""),"Sashikirana Luvena Maheswari - P")</f>
        <v>Sashikirana Luvena Maheswari - P</v>
      </c>
      <c r="C457" s="4" t="str">
        <f>IFERROR(__xludf.DUMMYFUNCTION("""COMPUTED_VALUE"""),"P")</f>
        <v>P</v>
      </c>
      <c r="D457" s="4">
        <f>IFERROR(__xludf.DUMMYFUNCTION("""COMPUTED_VALUE"""),33.0)</f>
        <v>33</v>
      </c>
      <c r="E457" s="4" t="str">
        <f>IFERROR(__xludf.DUMMYFUNCTION("""COMPUTED_VALUE"""),"X10")</f>
        <v>X10</v>
      </c>
      <c r="F457" s="5" t="str">
        <f>IFERROR(__xludf.DUMMYFUNCTION("""COMPUTED_VALUE"""),"33 - X10 - Sashikirana Luvena Maheswari - P")</f>
        <v>33 - X10 - Sashikirana Luvena Maheswari - P</v>
      </c>
      <c r="G457" s="3"/>
      <c r="H457" s="3"/>
      <c r="I457" s="3"/>
      <c r="J457" s="3"/>
      <c r="K457" s="3"/>
      <c r="L457" s="3"/>
      <c r="M457" s="3"/>
    </row>
    <row r="458">
      <c r="A458" s="4" t="str">
        <f>IFERROR(__xludf.DUMMYFUNCTION("""COMPUTED_VALUE"""),"0108718382 / 252610521")</f>
        <v>0108718382 / 252610521</v>
      </c>
      <c r="B458" s="4" t="str">
        <f>IFERROR(__xludf.DUMMYFUNCTION("""COMPUTED_VALUE"""),"Silvya Sri Aprilianti - P")</f>
        <v>Silvya Sri Aprilianti - P</v>
      </c>
      <c r="C458" s="4" t="str">
        <f>IFERROR(__xludf.DUMMYFUNCTION("""COMPUTED_VALUE"""),"P")</f>
        <v>P</v>
      </c>
      <c r="D458" s="4">
        <f>IFERROR(__xludf.DUMMYFUNCTION("""COMPUTED_VALUE"""),33.0)</f>
        <v>33</v>
      </c>
      <c r="E458" s="4" t="str">
        <f>IFERROR(__xludf.DUMMYFUNCTION("""COMPUTED_VALUE"""),"X10")</f>
        <v>X10</v>
      </c>
      <c r="F458" s="5" t="str">
        <f>IFERROR(__xludf.DUMMYFUNCTION("""COMPUTED_VALUE"""),"33 - X10 - Silvya Sri Aprilianti - P")</f>
        <v>33 - X10 - Silvya Sri Aprilianti - P</v>
      </c>
      <c r="G458" s="3"/>
      <c r="H458" s="3"/>
      <c r="I458" s="3"/>
      <c r="J458" s="3"/>
      <c r="K458" s="3"/>
      <c r="L458" s="3"/>
      <c r="M458" s="3"/>
    </row>
    <row r="459">
      <c r="A459" s="4" t="str">
        <f>IFERROR(__xludf.DUMMYFUNCTION("""COMPUTED_VALUE"""),"0099775444 / 252610526")</f>
        <v>0099775444 / 252610526</v>
      </c>
      <c r="B459" s="4" t="str">
        <f>IFERROR(__xludf.DUMMYFUNCTION("""COMPUTED_VALUE"""),"Syaakhira Fauziah - P")</f>
        <v>Syaakhira Fauziah - P</v>
      </c>
      <c r="C459" s="4" t="str">
        <f>IFERROR(__xludf.DUMMYFUNCTION("""COMPUTED_VALUE"""),"P")</f>
        <v>P</v>
      </c>
      <c r="D459" s="4">
        <f>IFERROR(__xludf.DUMMYFUNCTION("""COMPUTED_VALUE"""),33.0)</f>
        <v>33</v>
      </c>
      <c r="E459" s="4" t="str">
        <f>IFERROR(__xludf.DUMMYFUNCTION("""COMPUTED_VALUE"""),"X10")</f>
        <v>X10</v>
      </c>
      <c r="F459" s="5" t="str">
        <f>IFERROR(__xludf.DUMMYFUNCTION("""COMPUTED_VALUE"""),"33 - X10 - Syaakhira Fauziah - P")</f>
        <v>33 - X10 - Syaakhira Fauziah - P</v>
      </c>
      <c r="G459" s="3"/>
      <c r="H459" s="3"/>
      <c r="I459" s="3"/>
      <c r="J459" s="3"/>
      <c r="K459" s="3"/>
      <c r="L459" s="3"/>
      <c r="M459" s="3"/>
    </row>
    <row r="460">
      <c r="A460" s="4" t="str">
        <f>IFERROR(__xludf.DUMMYFUNCTION("""COMPUTED_VALUE"""),"0093324313 / 252610552")</f>
        <v>0093324313 / 252610552</v>
      </c>
      <c r="B460" s="4" t="str">
        <f>IFERROR(__xludf.DUMMYFUNCTION("""COMPUTED_VALUE"""),"Vincentius Daniel Ornando - L")</f>
        <v>Vincentius Daniel Ornando - L</v>
      </c>
      <c r="C460" s="4" t="str">
        <f>IFERROR(__xludf.DUMMYFUNCTION("""COMPUTED_VALUE"""),"L")</f>
        <v>L</v>
      </c>
      <c r="D460" s="4">
        <f>IFERROR(__xludf.DUMMYFUNCTION("""COMPUTED_VALUE"""),33.0)</f>
        <v>33</v>
      </c>
      <c r="E460" s="4" t="str">
        <f>IFERROR(__xludf.DUMMYFUNCTION("""COMPUTED_VALUE"""),"X10")</f>
        <v>X10</v>
      </c>
      <c r="F460" s="5" t="str">
        <f>IFERROR(__xludf.DUMMYFUNCTION("""COMPUTED_VALUE"""),"33 - X10 - Vincentius Daniel Ornando - L")</f>
        <v>33 - X10 - Vincentius Daniel Ornando - L</v>
      </c>
      <c r="G460" s="3"/>
      <c r="H460" s="3"/>
      <c r="I460" s="3"/>
      <c r="J460" s="3"/>
      <c r="K460" s="3"/>
      <c r="L460" s="3"/>
      <c r="M460" s="3"/>
    </row>
    <row r="461">
      <c r="A461" s="4" t="str">
        <f>IFERROR(__xludf.DUMMYFUNCTION("""COMPUTED_VALUE"""),"0109542213 / 252610010")</f>
        <v>0109542213 / 252610010</v>
      </c>
      <c r="B461" s="4" t="str">
        <f>IFERROR(__xludf.DUMMYFUNCTION("""COMPUTED_VALUE"""),"Adinda Garnetha Prasistha - P")</f>
        <v>Adinda Garnetha Prasistha - P</v>
      </c>
      <c r="C461" s="4" t="str">
        <f>IFERROR(__xludf.DUMMYFUNCTION("""COMPUTED_VALUE"""),"P")</f>
        <v>P</v>
      </c>
      <c r="D461" s="4">
        <f>IFERROR(__xludf.DUMMYFUNCTION("""COMPUTED_VALUE"""),33.0)</f>
        <v>33</v>
      </c>
      <c r="E461" s="4" t="str">
        <f>IFERROR(__xludf.DUMMYFUNCTION("""COMPUTED_VALUE"""),"X11")</f>
        <v>X11</v>
      </c>
      <c r="F461" s="5" t="str">
        <f>IFERROR(__xludf.DUMMYFUNCTION("""COMPUTED_VALUE"""),"33 - X11 - Adinda Garnetha Prasistha - P")</f>
        <v>33 - X11 - Adinda Garnetha Prasistha - P</v>
      </c>
      <c r="G461" s="3"/>
      <c r="H461" s="3"/>
      <c r="I461" s="3"/>
      <c r="J461" s="3"/>
      <c r="K461" s="3"/>
      <c r="L461" s="3"/>
      <c r="M461" s="3"/>
    </row>
    <row r="462">
      <c r="A462" s="4" t="str">
        <f>IFERROR(__xludf.DUMMYFUNCTION("""COMPUTED_VALUE"""),"0108324867 / 252610031")</f>
        <v>0108324867 / 252610031</v>
      </c>
      <c r="B462" s="4" t="str">
        <f>IFERROR(__xludf.DUMMYFUNCTION("""COMPUTED_VALUE"""),"Ajeng Adisty Fahira - P")</f>
        <v>Ajeng Adisty Fahira - P</v>
      </c>
      <c r="C462" s="4" t="str">
        <f>IFERROR(__xludf.DUMMYFUNCTION("""COMPUTED_VALUE"""),"P")</f>
        <v>P</v>
      </c>
      <c r="D462" s="4">
        <f>IFERROR(__xludf.DUMMYFUNCTION("""COMPUTED_VALUE"""),33.0)</f>
        <v>33</v>
      </c>
      <c r="E462" s="4" t="str">
        <f>IFERROR(__xludf.DUMMYFUNCTION("""COMPUTED_VALUE"""),"X11")</f>
        <v>X11</v>
      </c>
      <c r="F462" s="5" t="str">
        <f>IFERROR(__xludf.DUMMYFUNCTION("""COMPUTED_VALUE"""),"33 - X11 - Ajeng Adisty Fahira - P")</f>
        <v>33 - X11 - Ajeng Adisty Fahira - P</v>
      </c>
      <c r="G462" s="3"/>
      <c r="H462" s="3"/>
      <c r="I462" s="3"/>
      <c r="J462" s="3"/>
      <c r="K462" s="3"/>
      <c r="L462" s="3"/>
      <c r="M462" s="3"/>
    </row>
    <row r="463">
      <c r="A463" s="4" t="str">
        <f>IFERROR(__xludf.DUMMYFUNCTION("""COMPUTED_VALUE"""),"0109013664 / 252610033")</f>
        <v>0109013664 / 252610033</v>
      </c>
      <c r="B463" s="4" t="str">
        <f>IFERROR(__xludf.DUMMYFUNCTION("""COMPUTED_VALUE"""),"Al Fathdry Rizky Wibowo - L")</f>
        <v>Al Fathdry Rizky Wibowo - L</v>
      </c>
      <c r="C463" s="4" t="str">
        <f>IFERROR(__xludf.DUMMYFUNCTION("""COMPUTED_VALUE"""),"L")</f>
        <v>L</v>
      </c>
      <c r="D463" s="4">
        <f>IFERROR(__xludf.DUMMYFUNCTION("""COMPUTED_VALUE"""),33.0)</f>
        <v>33</v>
      </c>
      <c r="E463" s="4" t="str">
        <f>IFERROR(__xludf.DUMMYFUNCTION("""COMPUTED_VALUE"""),"X11")</f>
        <v>X11</v>
      </c>
      <c r="F463" s="5" t="str">
        <f>IFERROR(__xludf.DUMMYFUNCTION("""COMPUTED_VALUE"""),"33 - X11 - Al Fathdry Rizky Wibowo - L")</f>
        <v>33 - X11 - Al Fathdry Rizky Wibowo - L</v>
      </c>
      <c r="G463" s="3"/>
      <c r="H463" s="3"/>
      <c r="I463" s="3"/>
      <c r="J463" s="3"/>
      <c r="K463" s="3"/>
      <c r="L463" s="3"/>
      <c r="M463" s="3"/>
    </row>
    <row r="464">
      <c r="A464" s="4" t="str">
        <f>IFERROR(__xludf.DUMMYFUNCTION("""COMPUTED_VALUE"""),"0108561560 / 252610047")</f>
        <v>0108561560 / 252610047</v>
      </c>
      <c r="B464" s="4" t="str">
        <f>IFERROR(__xludf.DUMMYFUNCTION("""COMPUTED_VALUE"""),"Almira Aprilia Putri - P")</f>
        <v>Almira Aprilia Putri - P</v>
      </c>
      <c r="C464" s="4" t="str">
        <f>IFERROR(__xludf.DUMMYFUNCTION("""COMPUTED_VALUE"""),"P")</f>
        <v>P</v>
      </c>
      <c r="D464" s="4">
        <f>IFERROR(__xludf.DUMMYFUNCTION("""COMPUTED_VALUE"""),33.0)</f>
        <v>33</v>
      </c>
      <c r="E464" s="4" t="str">
        <f>IFERROR(__xludf.DUMMYFUNCTION("""COMPUTED_VALUE"""),"X11")</f>
        <v>X11</v>
      </c>
      <c r="F464" s="5" t="str">
        <f>IFERROR(__xludf.DUMMYFUNCTION("""COMPUTED_VALUE"""),"33 - X11 - Almira Aprilia Putri - P")</f>
        <v>33 - X11 - Almira Aprilia Putri - P</v>
      </c>
      <c r="G464" s="3"/>
      <c r="H464" s="3"/>
      <c r="I464" s="3"/>
      <c r="J464" s="3"/>
      <c r="K464" s="3"/>
      <c r="L464" s="3"/>
      <c r="M464" s="3"/>
    </row>
    <row r="465">
      <c r="A465" s="4" t="str">
        <f>IFERROR(__xludf.DUMMYFUNCTION("""COMPUTED_VALUE"""),"0096963702 / 252610066")</f>
        <v>0096963702 / 252610066</v>
      </c>
      <c r="B465" s="4" t="str">
        <f>IFERROR(__xludf.DUMMYFUNCTION("""COMPUTED_VALUE"""),"Anndita - P")</f>
        <v>Anndita - P</v>
      </c>
      <c r="C465" s="4" t="str">
        <f>IFERROR(__xludf.DUMMYFUNCTION("""COMPUTED_VALUE"""),"P")</f>
        <v>P</v>
      </c>
      <c r="D465" s="4">
        <f>IFERROR(__xludf.DUMMYFUNCTION("""COMPUTED_VALUE"""),33.0)</f>
        <v>33</v>
      </c>
      <c r="E465" s="4" t="str">
        <f>IFERROR(__xludf.DUMMYFUNCTION("""COMPUTED_VALUE"""),"X11")</f>
        <v>X11</v>
      </c>
      <c r="F465" s="5" t="str">
        <f>IFERROR(__xludf.DUMMYFUNCTION("""COMPUTED_VALUE"""),"33 - X11 - Anndita - P")</f>
        <v>33 - X11 - Anndita - P</v>
      </c>
      <c r="G465" s="3"/>
      <c r="H465" s="3"/>
      <c r="I465" s="3"/>
      <c r="J465" s="3"/>
      <c r="K465" s="3"/>
      <c r="L465" s="3"/>
      <c r="M465" s="3"/>
    </row>
    <row r="466">
      <c r="A466" s="4" t="str">
        <f>IFERROR(__xludf.DUMMYFUNCTION("""COMPUTED_VALUE"""),"0091952413 / 252610085")</f>
        <v>0091952413 / 252610085</v>
      </c>
      <c r="B466" s="4" t="str">
        <f>IFERROR(__xludf.DUMMYFUNCTION("""COMPUTED_VALUE"""),"Askana Nailazahran Hermansyah - P")</f>
        <v>Askana Nailazahran Hermansyah - P</v>
      </c>
      <c r="C466" s="4" t="str">
        <f>IFERROR(__xludf.DUMMYFUNCTION("""COMPUTED_VALUE"""),"P")</f>
        <v>P</v>
      </c>
      <c r="D466" s="4">
        <f>IFERROR(__xludf.DUMMYFUNCTION("""COMPUTED_VALUE"""),33.0)</f>
        <v>33</v>
      </c>
      <c r="E466" s="4" t="str">
        <f>IFERROR(__xludf.DUMMYFUNCTION("""COMPUTED_VALUE"""),"X11")</f>
        <v>X11</v>
      </c>
      <c r="F466" s="5" t="str">
        <f>IFERROR(__xludf.DUMMYFUNCTION("""COMPUTED_VALUE"""),"33 - X11 - Askana Nailazahran Hermansyah - P")</f>
        <v>33 - X11 - Askana Nailazahran Hermansyah - P</v>
      </c>
      <c r="G466" s="3"/>
      <c r="H466" s="3"/>
      <c r="I466" s="3"/>
      <c r="J466" s="3"/>
      <c r="K466" s="3"/>
      <c r="L466" s="3"/>
      <c r="M466" s="3"/>
    </row>
    <row r="467">
      <c r="A467" s="4" t="str">
        <f>IFERROR(__xludf.DUMMYFUNCTION("""COMPUTED_VALUE"""),"0099678017 / 252610098")</f>
        <v>0099678017 / 252610098</v>
      </c>
      <c r="B467" s="4" t="str">
        <f>IFERROR(__xludf.DUMMYFUNCTION("""COMPUTED_VALUE"""),"Aulia Intan Rhamadhani - P")</f>
        <v>Aulia Intan Rhamadhani - P</v>
      </c>
      <c r="C467" s="4" t="str">
        <f>IFERROR(__xludf.DUMMYFUNCTION("""COMPUTED_VALUE"""),"P")</f>
        <v>P</v>
      </c>
      <c r="D467" s="4">
        <f>IFERROR(__xludf.DUMMYFUNCTION("""COMPUTED_VALUE"""),33.0)</f>
        <v>33</v>
      </c>
      <c r="E467" s="4" t="str">
        <f>IFERROR(__xludf.DUMMYFUNCTION("""COMPUTED_VALUE"""),"X11")</f>
        <v>X11</v>
      </c>
      <c r="F467" s="5" t="str">
        <f>IFERROR(__xludf.DUMMYFUNCTION("""COMPUTED_VALUE"""),"33 - X11 - Aulia Intan Rhamadhani - P")</f>
        <v>33 - X11 - Aulia Intan Rhamadhani - P</v>
      </c>
      <c r="G467" s="3"/>
      <c r="H467" s="3"/>
      <c r="I467" s="3"/>
      <c r="J467" s="3"/>
      <c r="K467" s="3"/>
      <c r="L467" s="3"/>
      <c r="M467" s="3"/>
    </row>
    <row r="468">
      <c r="A468" s="4" t="str">
        <f>IFERROR(__xludf.DUMMYFUNCTION("""COMPUTED_VALUE"""),"0104439014 / 252610105")</f>
        <v>0104439014 / 252610105</v>
      </c>
      <c r="B468" s="4" t="str">
        <f>IFERROR(__xludf.DUMMYFUNCTION("""COMPUTED_VALUE"""),"Avrillino Herza Pratama - L")</f>
        <v>Avrillino Herza Pratama - L</v>
      </c>
      <c r="C468" s="4" t="str">
        <f>IFERROR(__xludf.DUMMYFUNCTION("""COMPUTED_VALUE"""),"L")</f>
        <v>L</v>
      </c>
      <c r="D468" s="4">
        <f>IFERROR(__xludf.DUMMYFUNCTION("""COMPUTED_VALUE"""),33.0)</f>
        <v>33</v>
      </c>
      <c r="E468" s="4" t="str">
        <f>IFERROR(__xludf.DUMMYFUNCTION("""COMPUTED_VALUE"""),"X11")</f>
        <v>X11</v>
      </c>
      <c r="F468" s="5" t="str">
        <f>IFERROR(__xludf.DUMMYFUNCTION("""COMPUTED_VALUE"""),"33 - X11 - Avrillino Herza Pratama - L")</f>
        <v>33 - X11 - Avrillino Herza Pratama - L</v>
      </c>
      <c r="G468" s="3"/>
      <c r="H468" s="3"/>
      <c r="I468" s="3"/>
      <c r="J468" s="3"/>
      <c r="K468" s="3"/>
      <c r="L468" s="3"/>
      <c r="M468" s="3"/>
    </row>
    <row r="469">
      <c r="A469" s="4" t="str">
        <f>IFERROR(__xludf.DUMMYFUNCTION("""COMPUTED_VALUE"""),"0097138954 / 252610110")</f>
        <v>0097138954 / 252610110</v>
      </c>
      <c r="B469" s="4" t="str">
        <f>IFERROR(__xludf.DUMMYFUNCTION("""COMPUTED_VALUE"""),"Aziz Sakhi Zaidan - L")</f>
        <v>Aziz Sakhi Zaidan - L</v>
      </c>
      <c r="C469" s="4" t="str">
        <f>IFERROR(__xludf.DUMMYFUNCTION("""COMPUTED_VALUE"""),"L")</f>
        <v>L</v>
      </c>
      <c r="D469" s="4">
        <f>IFERROR(__xludf.DUMMYFUNCTION("""COMPUTED_VALUE"""),33.0)</f>
        <v>33</v>
      </c>
      <c r="E469" s="4" t="str">
        <f>IFERROR(__xludf.DUMMYFUNCTION("""COMPUTED_VALUE"""),"X11")</f>
        <v>X11</v>
      </c>
      <c r="F469" s="5" t="str">
        <f>IFERROR(__xludf.DUMMYFUNCTION("""COMPUTED_VALUE"""),"33 - X11 - Aziz Sakhi Zaidan - L")</f>
        <v>33 - X11 - Aziz Sakhi Zaidan - L</v>
      </c>
      <c r="G469" s="3"/>
      <c r="H469" s="3"/>
      <c r="I469" s="3"/>
      <c r="J469" s="3"/>
      <c r="K469" s="3"/>
      <c r="L469" s="3"/>
      <c r="M469" s="3"/>
    </row>
    <row r="470">
      <c r="A470" s="4" t="str">
        <f>IFERROR(__xludf.DUMMYFUNCTION("""COMPUTED_VALUE"""),"0101964014 / 252610111")</f>
        <v>0101964014 / 252610111</v>
      </c>
      <c r="B470" s="4" t="str">
        <f>IFERROR(__xludf.DUMMYFUNCTION("""COMPUTED_VALUE"""),"Azka Ivano Ananda Hidayat - L")</f>
        <v>Azka Ivano Ananda Hidayat - L</v>
      </c>
      <c r="C470" s="4" t="str">
        <f>IFERROR(__xludf.DUMMYFUNCTION("""COMPUTED_VALUE"""),"L")</f>
        <v>L</v>
      </c>
      <c r="D470" s="4">
        <f>IFERROR(__xludf.DUMMYFUNCTION("""COMPUTED_VALUE"""),33.0)</f>
        <v>33</v>
      </c>
      <c r="E470" s="4" t="str">
        <f>IFERROR(__xludf.DUMMYFUNCTION("""COMPUTED_VALUE"""),"X11")</f>
        <v>X11</v>
      </c>
      <c r="F470" s="5" t="str">
        <f>IFERROR(__xludf.DUMMYFUNCTION("""COMPUTED_VALUE"""),"33 - X11 - Azka Ivano Ananda Hidayat - L")</f>
        <v>33 - X11 - Azka Ivano Ananda Hidayat - L</v>
      </c>
      <c r="G470" s="3"/>
      <c r="H470" s="3"/>
      <c r="I470" s="3"/>
      <c r="J470" s="3"/>
      <c r="K470" s="3"/>
      <c r="L470" s="3"/>
      <c r="M470" s="3"/>
    </row>
    <row r="471">
      <c r="A471" s="4" t="str">
        <f>IFERROR(__xludf.DUMMYFUNCTION("""COMPUTED_VALUE"""),"3105650741 / 252610112")</f>
        <v>3105650741 / 252610112</v>
      </c>
      <c r="B471" s="4" t="str">
        <f>IFERROR(__xludf.DUMMYFUNCTION("""COMPUTED_VALUE"""),"Azkiara Andhita - P")</f>
        <v>Azkiara Andhita - P</v>
      </c>
      <c r="C471" s="4" t="str">
        <f>IFERROR(__xludf.DUMMYFUNCTION("""COMPUTED_VALUE"""),"P")</f>
        <v>P</v>
      </c>
      <c r="D471" s="4">
        <f>IFERROR(__xludf.DUMMYFUNCTION("""COMPUTED_VALUE"""),33.0)</f>
        <v>33</v>
      </c>
      <c r="E471" s="4" t="str">
        <f>IFERROR(__xludf.DUMMYFUNCTION("""COMPUTED_VALUE"""),"X11")</f>
        <v>X11</v>
      </c>
      <c r="F471" s="5" t="str">
        <f>IFERROR(__xludf.DUMMYFUNCTION("""COMPUTED_VALUE"""),"33 - X11 - Azkiara Andhita - P")</f>
        <v>33 - X11 - Azkiara Andhita - P</v>
      </c>
      <c r="G471" s="3"/>
      <c r="H471" s="3"/>
      <c r="I471" s="3"/>
      <c r="J471" s="3"/>
      <c r="K471" s="3"/>
      <c r="L471" s="3"/>
      <c r="M471" s="3"/>
    </row>
    <row r="472">
      <c r="A472" s="4" t="str">
        <f>IFERROR(__xludf.DUMMYFUNCTION("""COMPUTED_VALUE"""),"0091891047 / 252610114")</f>
        <v>0091891047 / 252610114</v>
      </c>
      <c r="B472" s="4" t="str">
        <f>IFERROR(__xludf.DUMMYFUNCTION("""COMPUTED_VALUE"""),"Azzalea Sakinah Ayura Putri - P")</f>
        <v>Azzalea Sakinah Ayura Putri - P</v>
      </c>
      <c r="C472" s="4" t="str">
        <f>IFERROR(__xludf.DUMMYFUNCTION("""COMPUTED_VALUE"""),"P")</f>
        <v>P</v>
      </c>
      <c r="D472" s="4">
        <f>IFERROR(__xludf.DUMMYFUNCTION("""COMPUTED_VALUE"""),33.0)</f>
        <v>33</v>
      </c>
      <c r="E472" s="4" t="str">
        <f>IFERROR(__xludf.DUMMYFUNCTION("""COMPUTED_VALUE"""),"X11")</f>
        <v>X11</v>
      </c>
      <c r="F472" s="5" t="str">
        <f>IFERROR(__xludf.DUMMYFUNCTION("""COMPUTED_VALUE"""),"33 - X11 - Azzalea Sakinah Ayura Putri - P")</f>
        <v>33 - X11 - Azzalea Sakinah Ayura Putri - P</v>
      </c>
      <c r="G472" s="3"/>
      <c r="H472" s="3"/>
      <c r="I472" s="3"/>
      <c r="J472" s="3"/>
      <c r="K472" s="3"/>
      <c r="L472" s="3"/>
      <c r="M472" s="3"/>
    </row>
    <row r="473">
      <c r="A473" s="4" t="str">
        <f>IFERROR(__xludf.DUMMYFUNCTION("""COMPUTED_VALUE"""),"0103193565 / 252610116")</f>
        <v>0103193565 / 252610116</v>
      </c>
      <c r="B473" s="4" t="str">
        <f>IFERROR(__xludf.DUMMYFUNCTION("""COMPUTED_VALUE"""),"Balqis Jauza Sabreenijka - P")</f>
        <v>Balqis Jauza Sabreenijka - P</v>
      </c>
      <c r="C473" s="4" t="str">
        <f>IFERROR(__xludf.DUMMYFUNCTION("""COMPUTED_VALUE"""),"P")</f>
        <v>P</v>
      </c>
      <c r="D473" s="4">
        <f>IFERROR(__xludf.DUMMYFUNCTION("""COMPUTED_VALUE"""),33.0)</f>
        <v>33</v>
      </c>
      <c r="E473" s="4" t="str">
        <f>IFERROR(__xludf.DUMMYFUNCTION("""COMPUTED_VALUE"""),"X11")</f>
        <v>X11</v>
      </c>
      <c r="F473" s="5" t="str">
        <f>IFERROR(__xludf.DUMMYFUNCTION("""COMPUTED_VALUE"""),"33 - X11 - Balqis Jauza Sabreenijka - P")</f>
        <v>33 - X11 - Balqis Jauza Sabreenijka - P</v>
      </c>
      <c r="G473" s="3"/>
      <c r="H473" s="3"/>
      <c r="I473" s="3"/>
      <c r="J473" s="3"/>
      <c r="K473" s="3"/>
      <c r="L473" s="3"/>
      <c r="M473" s="3"/>
    </row>
    <row r="474">
      <c r="A474" s="4" t="str">
        <f>IFERROR(__xludf.DUMMYFUNCTION("""COMPUTED_VALUE"""),"0096506746 / 252610131")</f>
        <v>0096506746 / 252610131</v>
      </c>
      <c r="B474" s="4" t="str">
        <f>IFERROR(__xludf.DUMMYFUNCTION("""COMPUTED_VALUE"""),"Carissa Alia Andinaputri - P")</f>
        <v>Carissa Alia Andinaputri - P</v>
      </c>
      <c r="C474" s="4" t="str">
        <f>IFERROR(__xludf.DUMMYFUNCTION("""COMPUTED_VALUE"""),"P")</f>
        <v>P</v>
      </c>
      <c r="D474" s="4">
        <f>IFERROR(__xludf.DUMMYFUNCTION("""COMPUTED_VALUE"""),33.0)</f>
        <v>33</v>
      </c>
      <c r="E474" s="4" t="str">
        <f>IFERROR(__xludf.DUMMYFUNCTION("""COMPUTED_VALUE"""),"X11")</f>
        <v>X11</v>
      </c>
      <c r="F474" s="5" t="str">
        <f>IFERROR(__xludf.DUMMYFUNCTION("""COMPUTED_VALUE"""),"33 - X11 - Carissa Alia Andinaputri - P")</f>
        <v>33 - X11 - Carissa Alia Andinaputri - P</v>
      </c>
      <c r="G474" s="3"/>
      <c r="H474" s="3"/>
      <c r="I474" s="3"/>
      <c r="J474" s="3"/>
      <c r="K474" s="3"/>
      <c r="L474" s="3"/>
      <c r="M474" s="3"/>
    </row>
    <row r="475">
      <c r="A475" s="4" t="str">
        <f>IFERROR(__xludf.DUMMYFUNCTION("""COMPUTED_VALUE"""),"0109934428 / 252610137")</f>
        <v>0109934428 / 252610137</v>
      </c>
      <c r="B475" s="4" t="str">
        <f>IFERROR(__xludf.DUMMYFUNCTION("""COMPUTED_VALUE"""),"Chntya Serlin Armedta Hia - P")</f>
        <v>Chntya Serlin Armedta Hia - P</v>
      </c>
      <c r="C475" s="4" t="str">
        <f>IFERROR(__xludf.DUMMYFUNCTION("""COMPUTED_VALUE"""),"P")</f>
        <v>P</v>
      </c>
      <c r="D475" s="4">
        <f>IFERROR(__xludf.DUMMYFUNCTION("""COMPUTED_VALUE"""),33.0)</f>
        <v>33</v>
      </c>
      <c r="E475" s="4" t="str">
        <f>IFERROR(__xludf.DUMMYFUNCTION("""COMPUTED_VALUE"""),"X11")</f>
        <v>X11</v>
      </c>
      <c r="F475" s="5" t="str">
        <f>IFERROR(__xludf.DUMMYFUNCTION("""COMPUTED_VALUE"""),"33 - X11 - Chntya Serlin Armedta Hia - P")</f>
        <v>33 - X11 - Chntya Serlin Armedta Hia - P</v>
      </c>
      <c r="G475" s="3"/>
      <c r="H475" s="3"/>
      <c r="I475" s="3"/>
      <c r="J475" s="3"/>
      <c r="K475" s="3"/>
      <c r="L475" s="3"/>
      <c r="M475" s="3"/>
    </row>
    <row r="476">
      <c r="A476" s="4" t="str">
        <f>IFERROR(__xludf.DUMMYFUNCTION("""COMPUTED_VALUE"""),"0095529275 / 252610184")</f>
        <v>0095529275 / 252610184</v>
      </c>
      <c r="B476" s="4" t="str">
        <f>IFERROR(__xludf.DUMMYFUNCTION("""COMPUTED_VALUE"""),"Evan Diaz - L")</f>
        <v>Evan Diaz - L</v>
      </c>
      <c r="C476" s="4" t="str">
        <f>IFERROR(__xludf.DUMMYFUNCTION("""COMPUTED_VALUE"""),"L")</f>
        <v>L</v>
      </c>
      <c r="D476" s="4">
        <f>IFERROR(__xludf.DUMMYFUNCTION("""COMPUTED_VALUE"""),33.0)</f>
        <v>33</v>
      </c>
      <c r="E476" s="4" t="str">
        <f>IFERROR(__xludf.DUMMYFUNCTION("""COMPUTED_VALUE"""),"X11")</f>
        <v>X11</v>
      </c>
      <c r="F476" s="5" t="str">
        <f>IFERROR(__xludf.DUMMYFUNCTION("""COMPUTED_VALUE"""),"33 - X11 - Evan Diaz - L")</f>
        <v>33 - X11 - Evan Diaz - L</v>
      </c>
      <c r="G476" s="3"/>
      <c r="H476" s="3"/>
      <c r="I476" s="3"/>
      <c r="J476" s="3"/>
      <c r="K476" s="3"/>
      <c r="L476" s="3"/>
      <c r="M476" s="3"/>
    </row>
    <row r="477">
      <c r="A477" s="4" t="str">
        <f>IFERROR(__xludf.DUMMYFUNCTION("""COMPUTED_VALUE"""),"0108527903 / 252610196")</f>
        <v>0108527903 / 252610196</v>
      </c>
      <c r="B477" s="4" t="str">
        <f>IFERROR(__xludf.DUMMYFUNCTION("""COMPUTED_VALUE"""),"Fannan Hoseki Fayyaz - P")</f>
        <v>Fannan Hoseki Fayyaz - P</v>
      </c>
      <c r="C477" s="4" t="str">
        <f>IFERROR(__xludf.DUMMYFUNCTION("""COMPUTED_VALUE"""),"P")</f>
        <v>P</v>
      </c>
      <c r="D477" s="4">
        <f>IFERROR(__xludf.DUMMYFUNCTION("""COMPUTED_VALUE"""),33.0)</f>
        <v>33</v>
      </c>
      <c r="E477" s="4" t="str">
        <f>IFERROR(__xludf.DUMMYFUNCTION("""COMPUTED_VALUE"""),"X11")</f>
        <v>X11</v>
      </c>
      <c r="F477" s="5" t="str">
        <f>IFERROR(__xludf.DUMMYFUNCTION("""COMPUTED_VALUE"""),"33 - X11 - Fannan Hoseki Fayyaz - P")</f>
        <v>33 - X11 - Fannan Hoseki Fayyaz - P</v>
      </c>
      <c r="G477" s="3"/>
      <c r="H477" s="3"/>
      <c r="I477" s="3"/>
      <c r="J477" s="3"/>
      <c r="K477" s="3"/>
      <c r="L477" s="3"/>
      <c r="M477" s="3"/>
    </row>
    <row r="478">
      <c r="A478" s="4" t="str">
        <f>IFERROR(__xludf.DUMMYFUNCTION("""COMPUTED_VALUE"""),"0108365392 / 252610217")</f>
        <v>0108365392 / 252610217</v>
      </c>
      <c r="B478" s="4" t="str">
        <f>IFERROR(__xludf.DUMMYFUNCTION("""COMPUTED_VALUE"""),"Galuh Pria Esa - P")</f>
        <v>Galuh Pria Esa - P</v>
      </c>
      <c r="C478" s="4" t="str">
        <f>IFERROR(__xludf.DUMMYFUNCTION("""COMPUTED_VALUE"""),"P")</f>
        <v>P</v>
      </c>
      <c r="D478" s="4">
        <f>IFERROR(__xludf.DUMMYFUNCTION("""COMPUTED_VALUE"""),33.0)</f>
        <v>33</v>
      </c>
      <c r="E478" s="4" t="str">
        <f>IFERROR(__xludf.DUMMYFUNCTION("""COMPUTED_VALUE"""),"X11")</f>
        <v>X11</v>
      </c>
      <c r="F478" s="5" t="str">
        <f>IFERROR(__xludf.DUMMYFUNCTION("""COMPUTED_VALUE"""),"33 - X11 - Galuh Pria Esa - P")</f>
        <v>33 - X11 - Galuh Pria Esa - P</v>
      </c>
      <c r="G478" s="3"/>
      <c r="H478" s="3"/>
      <c r="I478" s="3"/>
      <c r="J478" s="3"/>
      <c r="K478" s="3"/>
      <c r="L478" s="3"/>
      <c r="M478" s="3"/>
    </row>
    <row r="479">
      <c r="A479" s="4" t="str">
        <f>IFERROR(__xludf.DUMMYFUNCTION("""COMPUTED_VALUE"""),"0107182013 / 252610228")</f>
        <v>0107182013 / 252610228</v>
      </c>
      <c r="B479" s="4" t="str">
        <f>IFERROR(__xludf.DUMMYFUNCTION("""COMPUTED_VALUE"""),"Henokh Prada Dhanendra Prasada - P")</f>
        <v>Henokh Prada Dhanendra Prasada - P</v>
      </c>
      <c r="C479" s="4" t="str">
        <f>IFERROR(__xludf.DUMMYFUNCTION("""COMPUTED_VALUE"""),"P")</f>
        <v>P</v>
      </c>
      <c r="D479" s="4">
        <f>IFERROR(__xludf.DUMMYFUNCTION("""COMPUTED_VALUE"""),33.0)</f>
        <v>33</v>
      </c>
      <c r="E479" s="4" t="str">
        <f>IFERROR(__xludf.DUMMYFUNCTION("""COMPUTED_VALUE"""),"X11")</f>
        <v>X11</v>
      </c>
      <c r="F479" s="5" t="str">
        <f>IFERROR(__xludf.DUMMYFUNCTION("""COMPUTED_VALUE"""),"33 - X11 - Henokh Prada Dhanendra Prasada - P")</f>
        <v>33 - X11 - Henokh Prada Dhanendra Prasada - P</v>
      </c>
      <c r="G479" s="3"/>
      <c r="H479" s="3"/>
      <c r="I479" s="3"/>
      <c r="J479" s="3"/>
      <c r="K479" s="3"/>
      <c r="L479" s="3"/>
      <c r="M479" s="3"/>
    </row>
    <row r="480">
      <c r="A480" s="4" t="str">
        <f>IFERROR(__xludf.DUMMYFUNCTION("""COMPUTED_VALUE"""),"0092709548 / 252610241")</f>
        <v>0092709548 / 252610241</v>
      </c>
      <c r="B480" s="4" t="str">
        <f>IFERROR(__xludf.DUMMYFUNCTION("""COMPUTED_VALUE"""),"Jazirah Rahmah - P")</f>
        <v>Jazirah Rahmah - P</v>
      </c>
      <c r="C480" s="4" t="str">
        <f>IFERROR(__xludf.DUMMYFUNCTION("""COMPUTED_VALUE"""),"P")</f>
        <v>P</v>
      </c>
      <c r="D480" s="4">
        <f>IFERROR(__xludf.DUMMYFUNCTION("""COMPUTED_VALUE"""),33.0)</f>
        <v>33</v>
      </c>
      <c r="E480" s="4" t="str">
        <f>IFERROR(__xludf.DUMMYFUNCTION("""COMPUTED_VALUE"""),"X11")</f>
        <v>X11</v>
      </c>
      <c r="F480" s="5" t="str">
        <f>IFERROR(__xludf.DUMMYFUNCTION("""COMPUTED_VALUE"""),"33 - X11 - Jazirah Rahmah - P")</f>
        <v>33 - X11 - Jazirah Rahmah - P</v>
      </c>
      <c r="G480" s="3"/>
      <c r="H480" s="3"/>
      <c r="I480" s="3"/>
      <c r="J480" s="3"/>
      <c r="K480" s="3"/>
      <c r="L480" s="3"/>
      <c r="M480" s="3"/>
    </row>
    <row r="481">
      <c r="A481" s="4" t="str">
        <f>IFERROR(__xludf.DUMMYFUNCTION("""COMPUTED_VALUE"""),"0118415302 / 252610253")</f>
        <v>0118415302 / 252610253</v>
      </c>
      <c r="B481" s="4" t="str">
        <f>IFERROR(__xludf.DUMMYFUNCTION("""COMPUTED_VALUE"""),"Kaira Fatiya Nurfan - P")</f>
        <v>Kaira Fatiya Nurfan - P</v>
      </c>
      <c r="C481" s="4" t="str">
        <f>IFERROR(__xludf.DUMMYFUNCTION("""COMPUTED_VALUE"""),"P")</f>
        <v>P</v>
      </c>
      <c r="D481" s="4">
        <f>IFERROR(__xludf.DUMMYFUNCTION("""COMPUTED_VALUE"""),33.0)</f>
        <v>33</v>
      </c>
      <c r="E481" s="4" t="str">
        <f>IFERROR(__xludf.DUMMYFUNCTION("""COMPUTED_VALUE"""),"X11")</f>
        <v>X11</v>
      </c>
      <c r="F481" s="5" t="str">
        <f>IFERROR(__xludf.DUMMYFUNCTION("""COMPUTED_VALUE"""),"33 - X11 - Kaira Fatiya Nurfan - P")</f>
        <v>33 - X11 - Kaira Fatiya Nurfan - P</v>
      </c>
      <c r="G481" s="3"/>
      <c r="H481" s="3"/>
      <c r="I481" s="3"/>
      <c r="J481" s="3"/>
      <c r="K481" s="3"/>
      <c r="L481" s="3"/>
      <c r="M481" s="3"/>
    </row>
    <row r="482">
      <c r="A482" s="4" t="str">
        <f>IFERROR(__xludf.DUMMYFUNCTION("""COMPUTED_VALUE"""),"0097372379 / 252610289")</f>
        <v>0097372379 / 252610289</v>
      </c>
      <c r="B482" s="4" t="str">
        <f>IFERROR(__xludf.DUMMYFUNCTION("""COMPUTED_VALUE"""),"Linggara Anugrah - L")</f>
        <v>Linggara Anugrah - L</v>
      </c>
      <c r="C482" s="4" t="str">
        <f>IFERROR(__xludf.DUMMYFUNCTION("""COMPUTED_VALUE"""),"L")</f>
        <v>L</v>
      </c>
      <c r="D482" s="4">
        <f>IFERROR(__xludf.DUMMYFUNCTION("""COMPUTED_VALUE"""),33.0)</f>
        <v>33</v>
      </c>
      <c r="E482" s="4" t="str">
        <f>IFERROR(__xludf.DUMMYFUNCTION("""COMPUTED_VALUE"""),"X11")</f>
        <v>X11</v>
      </c>
      <c r="F482" s="5" t="str">
        <f>IFERROR(__xludf.DUMMYFUNCTION("""COMPUTED_VALUE"""),"33 - X11 - Linggara Anugrah - L")</f>
        <v>33 - X11 - Linggara Anugrah - L</v>
      </c>
      <c r="G482" s="3"/>
      <c r="H482" s="3"/>
      <c r="I482" s="3"/>
      <c r="J482" s="3"/>
      <c r="K482" s="3"/>
      <c r="L482" s="3"/>
      <c r="M482" s="3"/>
    </row>
    <row r="483">
      <c r="A483" s="4" t="str">
        <f>IFERROR(__xludf.DUMMYFUNCTION("""COMPUTED_VALUE"""),"0093335479 / 252610292")</f>
        <v>0093335479 / 252610292</v>
      </c>
      <c r="B483" s="4" t="str">
        <f>IFERROR(__xludf.DUMMYFUNCTION("""COMPUTED_VALUE"""),"Luna Majidah Zafira - P")</f>
        <v>Luna Majidah Zafira - P</v>
      </c>
      <c r="C483" s="4" t="str">
        <f>IFERROR(__xludf.DUMMYFUNCTION("""COMPUTED_VALUE"""),"P")</f>
        <v>P</v>
      </c>
      <c r="D483" s="4">
        <f>IFERROR(__xludf.DUMMYFUNCTION("""COMPUTED_VALUE"""),33.0)</f>
        <v>33</v>
      </c>
      <c r="E483" s="4" t="str">
        <f>IFERROR(__xludf.DUMMYFUNCTION("""COMPUTED_VALUE"""),"X11")</f>
        <v>X11</v>
      </c>
      <c r="F483" s="5" t="str">
        <f>IFERROR(__xludf.DUMMYFUNCTION("""COMPUTED_VALUE"""),"33 - X11 - Luna Majidah Zafira - P")</f>
        <v>33 - X11 - Luna Majidah Zafira - P</v>
      </c>
      <c r="G483" s="3"/>
      <c r="H483" s="3"/>
      <c r="I483" s="3"/>
      <c r="J483" s="3"/>
      <c r="K483" s="3"/>
      <c r="L483" s="3"/>
      <c r="M483" s="3"/>
    </row>
    <row r="484">
      <c r="A484" s="4" t="str">
        <f>IFERROR(__xludf.DUMMYFUNCTION("""COMPUTED_VALUE"""),"0106465537 / 252610295")</f>
        <v>0106465537 / 252610295</v>
      </c>
      <c r="B484" s="4" t="str">
        <f>IFERROR(__xludf.DUMMYFUNCTION("""COMPUTED_VALUE"""),"Lutfiana Silva - P")</f>
        <v>Lutfiana Silva - P</v>
      </c>
      <c r="C484" s="4" t="str">
        <f>IFERROR(__xludf.DUMMYFUNCTION("""COMPUTED_VALUE"""),"P")</f>
        <v>P</v>
      </c>
      <c r="D484" s="4">
        <f>IFERROR(__xludf.DUMMYFUNCTION("""COMPUTED_VALUE"""),33.0)</f>
        <v>33</v>
      </c>
      <c r="E484" s="4" t="str">
        <f>IFERROR(__xludf.DUMMYFUNCTION("""COMPUTED_VALUE"""),"X11")</f>
        <v>X11</v>
      </c>
      <c r="F484" s="5" t="str">
        <f>IFERROR(__xludf.DUMMYFUNCTION("""COMPUTED_VALUE"""),"33 - X11 - Lutfiana Silva - P")</f>
        <v>33 - X11 - Lutfiana Silva - P</v>
      </c>
      <c r="G484" s="3"/>
      <c r="H484" s="3"/>
      <c r="I484" s="3"/>
      <c r="J484" s="3"/>
      <c r="K484" s="3"/>
      <c r="L484" s="3"/>
      <c r="M484" s="3"/>
    </row>
    <row r="485">
      <c r="A485" s="4" t="str">
        <f>IFERROR(__xludf.DUMMYFUNCTION("""COMPUTED_VALUE"""),"0103732986 / 252610310")</f>
        <v>0103732986 / 252610310</v>
      </c>
      <c r="B485" s="4" t="str">
        <f>IFERROR(__xludf.DUMMYFUNCTION("""COMPUTED_VALUE"""),"Mazaya Marva Mardyanti - L")</f>
        <v>Mazaya Marva Mardyanti - L</v>
      </c>
      <c r="C485" s="4" t="str">
        <f>IFERROR(__xludf.DUMMYFUNCTION("""COMPUTED_VALUE"""),"L")</f>
        <v>L</v>
      </c>
      <c r="D485" s="4">
        <f>IFERROR(__xludf.DUMMYFUNCTION("""COMPUTED_VALUE"""),33.0)</f>
        <v>33</v>
      </c>
      <c r="E485" s="4" t="str">
        <f>IFERROR(__xludf.DUMMYFUNCTION("""COMPUTED_VALUE"""),"X11")</f>
        <v>X11</v>
      </c>
      <c r="F485" s="5" t="str">
        <f>IFERROR(__xludf.DUMMYFUNCTION("""COMPUTED_VALUE"""),"33 - X11 - Mazaya Marva Mardyanti - L")</f>
        <v>33 - X11 - Mazaya Marva Mardyanti - L</v>
      </c>
      <c r="G485" s="3"/>
      <c r="H485" s="3"/>
      <c r="I485" s="3"/>
      <c r="J485" s="3"/>
      <c r="K485" s="3"/>
      <c r="L485" s="3"/>
      <c r="M485" s="3"/>
    </row>
    <row r="486">
      <c r="A486" s="4" t="str">
        <f>IFERROR(__xludf.DUMMYFUNCTION("""COMPUTED_VALUE"""),"0105348604 / 252610315")</f>
        <v>0105348604 / 252610315</v>
      </c>
      <c r="B486" s="4" t="str">
        <f>IFERROR(__xludf.DUMMYFUNCTION("""COMPUTED_VALUE"""),"Misykah Adzra Maulida - L")</f>
        <v>Misykah Adzra Maulida - L</v>
      </c>
      <c r="C486" s="4" t="str">
        <f>IFERROR(__xludf.DUMMYFUNCTION("""COMPUTED_VALUE"""),"L")</f>
        <v>L</v>
      </c>
      <c r="D486" s="4">
        <f>IFERROR(__xludf.DUMMYFUNCTION("""COMPUTED_VALUE"""),33.0)</f>
        <v>33</v>
      </c>
      <c r="E486" s="4" t="str">
        <f>IFERROR(__xludf.DUMMYFUNCTION("""COMPUTED_VALUE"""),"X11")</f>
        <v>X11</v>
      </c>
      <c r="F486" s="5" t="str">
        <f>IFERROR(__xludf.DUMMYFUNCTION("""COMPUTED_VALUE"""),"33 - X11 - Misykah Adzra Maulida - L")</f>
        <v>33 - X11 - Misykah Adzra Maulida - L</v>
      </c>
      <c r="G486" s="3"/>
      <c r="H486" s="3"/>
      <c r="I486" s="3"/>
      <c r="J486" s="3"/>
      <c r="K486" s="3"/>
      <c r="L486" s="3"/>
      <c r="M486" s="3"/>
    </row>
    <row r="487">
      <c r="A487" s="4" t="str">
        <f>IFERROR(__xludf.DUMMYFUNCTION("""COMPUTED_VALUE"""),"0108812130 / 252610328")</f>
        <v>0108812130 / 252610328</v>
      </c>
      <c r="B487" s="4" t="str">
        <f>IFERROR(__xludf.DUMMYFUNCTION("""COMPUTED_VALUE"""),"Muhamad Reyhan Nurhakim - L")</f>
        <v>Muhamad Reyhan Nurhakim - L</v>
      </c>
      <c r="C487" s="4" t="str">
        <f>IFERROR(__xludf.DUMMYFUNCTION("""COMPUTED_VALUE"""),"L")</f>
        <v>L</v>
      </c>
      <c r="D487" s="4">
        <f>IFERROR(__xludf.DUMMYFUNCTION("""COMPUTED_VALUE"""),33.0)</f>
        <v>33</v>
      </c>
      <c r="E487" s="4" t="str">
        <f>IFERROR(__xludf.DUMMYFUNCTION("""COMPUTED_VALUE"""),"X11")</f>
        <v>X11</v>
      </c>
      <c r="F487" s="5" t="str">
        <f>IFERROR(__xludf.DUMMYFUNCTION("""COMPUTED_VALUE"""),"33 - X11 - Muhamad Reyhan Nurhakim - L")</f>
        <v>33 - X11 - Muhamad Reyhan Nurhakim - L</v>
      </c>
      <c r="G487" s="3"/>
      <c r="H487" s="3"/>
      <c r="I487" s="3"/>
      <c r="J487" s="3"/>
      <c r="K487" s="3"/>
      <c r="L487" s="3"/>
      <c r="M487" s="3"/>
    </row>
    <row r="488">
      <c r="A488" s="4" t="str">
        <f>IFERROR(__xludf.DUMMYFUNCTION("""COMPUTED_VALUE"""),"0094912922 / 252610346")</f>
        <v>0094912922 / 252610346</v>
      </c>
      <c r="B488" s="4" t="str">
        <f>IFERROR(__xludf.DUMMYFUNCTION("""COMPUTED_VALUE"""),"Muhammad Evan Fadillah - L")</f>
        <v>Muhammad Evan Fadillah - L</v>
      </c>
      <c r="C488" s="4" t="str">
        <f>IFERROR(__xludf.DUMMYFUNCTION("""COMPUTED_VALUE"""),"L")</f>
        <v>L</v>
      </c>
      <c r="D488" s="4">
        <f>IFERROR(__xludf.DUMMYFUNCTION("""COMPUTED_VALUE"""),33.0)</f>
        <v>33</v>
      </c>
      <c r="E488" s="4" t="str">
        <f>IFERROR(__xludf.DUMMYFUNCTION("""COMPUTED_VALUE"""),"X11")</f>
        <v>X11</v>
      </c>
      <c r="F488" s="5" t="str">
        <f>IFERROR(__xludf.DUMMYFUNCTION("""COMPUTED_VALUE"""),"33 - X11 - Muhammad Evan Fadillah - L")</f>
        <v>33 - X11 - Muhammad Evan Fadillah - L</v>
      </c>
      <c r="G488" s="3"/>
      <c r="H488" s="3"/>
      <c r="I488" s="3"/>
      <c r="J488" s="3"/>
      <c r="K488" s="3"/>
      <c r="L488" s="3"/>
      <c r="M488" s="3"/>
    </row>
    <row r="489">
      <c r="A489" s="4" t="str">
        <f>IFERROR(__xludf.DUMMYFUNCTION("""COMPUTED_VALUE"""),"0101578446 / 252610348")</f>
        <v>0101578446 / 252610348</v>
      </c>
      <c r="B489" s="4" t="str">
        <f>IFERROR(__xludf.DUMMYFUNCTION("""COMPUTED_VALUE"""),"Muhammad Fahry Tyandra - L")</f>
        <v>Muhammad Fahry Tyandra - L</v>
      </c>
      <c r="C489" s="4" t="str">
        <f>IFERROR(__xludf.DUMMYFUNCTION("""COMPUTED_VALUE"""),"L")</f>
        <v>L</v>
      </c>
      <c r="D489" s="4">
        <f>IFERROR(__xludf.DUMMYFUNCTION("""COMPUTED_VALUE"""),33.0)</f>
        <v>33</v>
      </c>
      <c r="E489" s="4" t="str">
        <f>IFERROR(__xludf.DUMMYFUNCTION("""COMPUTED_VALUE"""),"X11")</f>
        <v>X11</v>
      </c>
      <c r="F489" s="5" t="str">
        <f>IFERROR(__xludf.DUMMYFUNCTION("""COMPUTED_VALUE"""),"33 - X11 - Muhammad Fahry Tyandra - L")</f>
        <v>33 - X11 - Muhammad Fahry Tyandra - L</v>
      </c>
      <c r="G489" s="3"/>
      <c r="H489" s="3"/>
      <c r="I489" s="3"/>
      <c r="J489" s="3"/>
      <c r="K489" s="3"/>
      <c r="L489" s="3"/>
      <c r="M489" s="3"/>
    </row>
    <row r="490">
      <c r="A490" s="4" t="str">
        <f>IFERROR(__xludf.DUMMYFUNCTION("""COMPUTED_VALUE"""),"0092179308 / 252610356")</f>
        <v>0092179308 / 252610356</v>
      </c>
      <c r="B490" s="4" t="str">
        <f>IFERROR(__xludf.DUMMYFUNCTION("""COMPUTED_VALUE"""),"Muhammad Ieddzar Haradiya - L")</f>
        <v>Muhammad Ieddzar Haradiya - L</v>
      </c>
      <c r="C490" s="4" t="str">
        <f>IFERROR(__xludf.DUMMYFUNCTION("""COMPUTED_VALUE"""),"L")</f>
        <v>L</v>
      </c>
      <c r="D490" s="4">
        <f>IFERROR(__xludf.DUMMYFUNCTION("""COMPUTED_VALUE"""),33.0)</f>
        <v>33</v>
      </c>
      <c r="E490" s="4" t="str">
        <f>IFERROR(__xludf.DUMMYFUNCTION("""COMPUTED_VALUE"""),"X11")</f>
        <v>X11</v>
      </c>
      <c r="F490" s="5" t="str">
        <f>IFERROR(__xludf.DUMMYFUNCTION("""COMPUTED_VALUE"""),"33 - X11 - Muhammad Ieddzar Haradiya - L")</f>
        <v>33 - X11 - Muhammad Ieddzar Haradiya - L</v>
      </c>
      <c r="G490" s="3"/>
      <c r="H490" s="3"/>
      <c r="I490" s="3"/>
      <c r="J490" s="3"/>
      <c r="K490" s="3"/>
      <c r="L490" s="3"/>
      <c r="M490" s="3"/>
    </row>
    <row r="491">
      <c r="A491" s="4" t="str">
        <f>IFERROR(__xludf.DUMMYFUNCTION("""COMPUTED_VALUE"""),"0098186648 / 252610367")</f>
        <v>0098186648 / 252610367</v>
      </c>
      <c r="B491" s="4" t="str">
        <f>IFERROR(__xludf.DUMMYFUNCTION("""COMPUTED_VALUE"""),"Muhammad Revan Adi Saputra - L")</f>
        <v>Muhammad Revan Adi Saputra - L</v>
      </c>
      <c r="C491" s="4" t="str">
        <f>IFERROR(__xludf.DUMMYFUNCTION("""COMPUTED_VALUE"""),"L")</f>
        <v>L</v>
      </c>
      <c r="D491" s="4">
        <f>IFERROR(__xludf.DUMMYFUNCTION("""COMPUTED_VALUE"""),33.0)</f>
        <v>33</v>
      </c>
      <c r="E491" s="4" t="str">
        <f>IFERROR(__xludf.DUMMYFUNCTION("""COMPUTED_VALUE"""),"X11")</f>
        <v>X11</v>
      </c>
      <c r="F491" s="5" t="str">
        <f>IFERROR(__xludf.DUMMYFUNCTION("""COMPUTED_VALUE"""),"33 - X11 - Muhammad Revan Adi Saputra - L")</f>
        <v>33 - X11 - Muhammad Revan Adi Saputra - L</v>
      </c>
      <c r="G491" s="3"/>
      <c r="H491" s="3"/>
      <c r="I491" s="3"/>
      <c r="J491" s="3"/>
      <c r="K491" s="3"/>
      <c r="L491" s="3"/>
      <c r="M491" s="3"/>
    </row>
    <row r="492">
      <c r="A492" s="4" t="str">
        <f>IFERROR(__xludf.DUMMYFUNCTION("""COMPUTED_VALUE"""),"0092349928 / 252610380")</f>
        <v>0092349928 / 252610380</v>
      </c>
      <c r="B492" s="4" t="str">
        <f>IFERROR(__xludf.DUMMYFUNCTION("""COMPUTED_VALUE"""),"Muhammad Zaky Winata - L")</f>
        <v>Muhammad Zaky Winata - L</v>
      </c>
      <c r="C492" s="4" t="str">
        <f>IFERROR(__xludf.DUMMYFUNCTION("""COMPUTED_VALUE"""),"L")</f>
        <v>L</v>
      </c>
      <c r="D492" s="4">
        <f>IFERROR(__xludf.DUMMYFUNCTION("""COMPUTED_VALUE"""),33.0)</f>
        <v>33</v>
      </c>
      <c r="E492" s="4" t="str">
        <f>IFERROR(__xludf.DUMMYFUNCTION("""COMPUTED_VALUE"""),"X11")</f>
        <v>X11</v>
      </c>
      <c r="F492" s="5" t="str">
        <f>IFERROR(__xludf.DUMMYFUNCTION("""COMPUTED_VALUE"""),"33 - X11 - Muhammad Zaky Winata - L")</f>
        <v>33 - X11 - Muhammad Zaky Winata - L</v>
      </c>
      <c r="G492" s="3"/>
      <c r="H492" s="3"/>
      <c r="I492" s="3"/>
      <c r="J492" s="3"/>
      <c r="K492" s="3"/>
      <c r="L492" s="3"/>
      <c r="M492" s="3"/>
    </row>
    <row r="493">
      <c r="A493" s="4" t="str">
        <f>IFERROR(__xludf.DUMMYFUNCTION("""COMPUTED_VALUE"""),"0096753454 / 252610385")</f>
        <v>0096753454 / 252610385</v>
      </c>
      <c r="B493" s="4" t="str">
        <f>IFERROR(__xludf.DUMMYFUNCTION("""COMPUTED_VALUE"""),"Nadhifa Amelia Garjita - P")</f>
        <v>Nadhifa Amelia Garjita - P</v>
      </c>
      <c r="C493" s="4" t="str">
        <f>IFERROR(__xludf.DUMMYFUNCTION("""COMPUTED_VALUE"""),"P")</f>
        <v>P</v>
      </c>
      <c r="D493" s="4">
        <f>IFERROR(__xludf.DUMMYFUNCTION("""COMPUTED_VALUE"""),33.0)</f>
        <v>33</v>
      </c>
      <c r="E493" s="4" t="str">
        <f>IFERROR(__xludf.DUMMYFUNCTION("""COMPUTED_VALUE"""),"X11")</f>
        <v>X11</v>
      </c>
      <c r="F493" s="5" t="str">
        <f>IFERROR(__xludf.DUMMYFUNCTION("""COMPUTED_VALUE"""),"33 - X11 - Nadhifa Amelia Garjita - P")</f>
        <v>33 - X11 - Nadhifa Amelia Garjita - P</v>
      </c>
      <c r="G493" s="3"/>
      <c r="H493" s="3"/>
      <c r="I493" s="3"/>
      <c r="J493" s="3"/>
      <c r="K493" s="3"/>
      <c r="L493" s="3"/>
      <c r="M493" s="3"/>
    </row>
    <row r="494">
      <c r="A494" s="4" t="str">
        <f>IFERROR(__xludf.DUMMYFUNCTION("""COMPUTED_VALUE"""),"0102000943 / 252610388")</f>
        <v>0102000943 / 252610388</v>
      </c>
      <c r="B494" s="4" t="str">
        <f>IFERROR(__xludf.DUMMYFUNCTION("""COMPUTED_VALUE"""),"Nadia Delisa Saefani - P")</f>
        <v>Nadia Delisa Saefani - P</v>
      </c>
      <c r="C494" s="4" t="str">
        <f>IFERROR(__xludf.DUMMYFUNCTION("""COMPUTED_VALUE"""),"P")</f>
        <v>P</v>
      </c>
      <c r="D494" s="4">
        <f>IFERROR(__xludf.DUMMYFUNCTION("""COMPUTED_VALUE"""),33.0)</f>
        <v>33</v>
      </c>
      <c r="E494" s="4" t="str">
        <f>IFERROR(__xludf.DUMMYFUNCTION("""COMPUTED_VALUE"""),"X11")</f>
        <v>X11</v>
      </c>
      <c r="F494" s="5" t="str">
        <f>IFERROR(__xludf.DUMMYFUNCTION("""COMPUTED_VALUE"""),"33 - X11 - Nadia Delisa Saefani - P")</f>
        <v>33 - X11 - Nadia Delisa Saefani - P</v>
      </c>
      <c r="G494" s="3"/>
      <c r="H494" s="3"/>
      <c r="I494" s="3"/>
      <c r="J494" s="3"/>
      <c r="K494" s="3"/>
      <c r="L494" s="3"/>
      <c r="M494" s="3"/>
    </row>
    <row r="495">
      <c r="A495" s="4" t="str">
        <f>IFERROR(__xludf.DUMMYFUNCTION("""COMPUTED_VALUE"""),"0105612000 / 252610417")</f>
        <v>0105612000 / 252610417</v>
      </c>
      <c r="B495" s="4" t="str">
        <f>IFERROR(__xludf.DUMMYFUNCTION("""COMPUTED_VALUE"""),"Neysha Aurelya Azzahra - P")</f>
        <v>Neysha Aurelya Azzahra - P</v>
      </c>
      <c r="C495" s="4" t="str">
        <f>IFERROR(__xludf.DUMMYFUNCTION("""COMPUTED_VALUE"""),"P")</f>
        <v>P</v>
      </c>
      <c r="D495" s="4">
        <f>IFERROR(__xludf.DUMMYFUNCTION("""COMPUTED_VALUE"""),33.0)</f>
        <v>33</v>
      </c>
      <c r="E495" s="4" t="str">
        <f>IFERROR(__xludf.DUMMYFUNCTION("""COMPUTED_VALUE"""),"X11")</f>
        <v>X11</v>
      </c>
      <c r="F495" s="5" t="str">
        <f>IFERROR(__xludf.DUMMYFUNCTION("""COMPUTED_VALUE"""),"33 - X11 - Neysha Aurelya Azzahra - P")</f>
        <v>33 - X11 - Neysha Aurelya Azzahra - P</v>
      </c>
      <c r="G495" s="3"/>
      <c r="H495" s="3"/>
      <c r="I495" s="3"/>
      <c r="J495" s="3"/>
      <c r="K495" s="3"/>
      <c r="L495" s="3"/>
      <c r="M495" s="3"/>
    </row>
    <row r="496">
      <c r="A496" s="4" t="str">
        <f>IFERROR(__xludf.DUMMYFUNCTION("""COMPUTED_VALUE"""),"0109258787 / 252610458")</f>
        <v>0109258787 / 252610458</v>
      </c>
      <c r="B496" s="4" t="str">
        <f>IFERROR(__xludf.DUMMYFUNCTION("""COMPUTED_VALUE"""),"Rafa Farand Pratama - L")</f>
        <v>Rafa Farand Pratama - L</v>
      </c>
      <c r="C496" s="4" t="str">
        <f>IFERROR(__xludf.DUMMYFUNCTION("""COMPUTED_VALUE"""),"L")</f>
        <v>L</v>
      </c>
      <c r="D496" s="4">
        <f>IFERROR(__xludf.DUMMYFUNCTION("""COMPUTED_VALUE"""),33.0)</f>
        <v>33</v>
      </c>
      <c r="E496" s="4" t="str">
        <f>IFERROR(__xludf.DUMMYFUNCTION("""COMPUTED_VALUE"""),"X11")</f>
        <v>X11</v>
      </c>
      <c r="F496" s="5" t="str">
        <f>IFERROR(__xludf.DUMMYFUNCTION("""COMPUTED_VALUE"""),"33 - X11 - Rafa Farand Pratama - L")</f>
        <v>33 - X11 - Rafa Farand Pratama - L</v>
      </c>
      <c r="G496" s="3"/>
      <c r="H496" s="3"/>
      <c r="I496" s="3"/>
      <c r="J496" s="3"/>
      <c r="K496" s="3"/>
      <c r="L496" s="3"/>
      <c r="M496" s="3"/>
    </row>
    <row r="497">
      <c r="A497" s="4" t="str">
        <f>IFERROR(__xludf.DUMMYFUNCTION("""COMPUTED_VALUE"""),"0093712588 / 252610482")</f>
        <v>0093712588 / 252610482</v>
      </c>
      <c r="B497" s="4" t="str">
        <f>IFERROR(__xludf.DUMMYFUNCTION("""COMPUTED_VALUE"""),"Rendy Gilang Novianto - L")</f>
        <v>Rendy Gilang Novianto - L</v>
      </c>
      <c r="C497" s="4" t="str">
        <f>IFERROR(__xludf.DUMMYFUNCTION("""COMPUTED_VALUE"""),"L")</f>
        <v>L</v>
      </c>
      <c r="D497" s="4">
        <f>IFERROR(__xludf.DUMMYFUNCTION("""COMPUTED_VALUE"""),33.0)</f>
        <v>33</v>
      </c>
      <c r="E497" s="4" t="str">
        <f>IFERROR(__xludf.DUMMYFUNCTION("""COMPUTED_VALUE"""),"X11")</f>
        <v>X11</v>
      </c>
      <c r="F497" s="5" t="str">
        <f>IFERROR(__xludf.DUMMYFUNCTION("""COMPUTED_VALUE"""),"33 - X11 - Rendy Gilang Novianto - L")</f>
        <v>33 - X11 - Rendy Gilang Novianto - L</v>
      </c>
      <c r="G497" s="3"/>
      <c r="H497" s="3"/>
      <c r="I497" s="3"/>
      <c r="J497" s="3"/>
      <c r="K497" s="3"/>
      <c r="L497" s="3"/>
      <c r="M497" s="3"/>
    </row>
    <row r="498">
      <c r="A498" s="4" t="str">
        <f>IFERROR(__xludf.DUMMYFUNCTION("""COMPUTED_VALUE"""),"0102414768 / 252610499")</f>
        <v>0102414768 / 252610499</v>
      </c>
      <c r="B498" s="4" t="str">
        <f>IFERROR(__xludf.DUMMYFUNCTION("""COMPUTED_VALUE"""),"Ruvita Rinjani - P")</f>
        <v>Ruvita Rinjani - P</v>
      </c>
      <c r="C498" s="4" t="str">
        <f>IFERROR(__xludf.DUMMYFUNCTION("""COMPUTED_VALUE"""),"P")</f>
        <v>P</v>
      </c>
      <c r="D498" s="4">
        <f>IFERROR(__xludf.DUMMYFUNCTION("""COMPUTED_VALUE"""),33.0)</f>
        <v>33</v>
      </c>
      <c r="E498" s="4" t="str">
        <f>IFERROR(__xludf.DUMMYFUNCTION("""COMPUTED_VALUE"""),"X11")</f>
        <v>X11</v>
      </c>
      <c r="F498" s="5" t="str">
        <f>IFERROR(__xludf.DUMMYFUNCTION("""COMPUTED_VALUE"""),"33 - X11 - Ruvita Rinjani - P")</f>
        <v>33 - X11 - Ruvita Rinjani - P</v>
      </c>
      <c r="G498" s="3"/>
      <c r="H498" s="3"/>
      <c r="I498" s="3"/>
      <c r="J498" s="3"/>
      <c r="K498" s="3"/>
      <c r="L498" s="3"/>
      <c r="M498" s="3"/>
    </row>
    <row r="499">
      <c r="A499" s="4" t="str">
        <f>IFERROR(__xludf.DUMMYFUNCTION("""COMPUTED_VALUE"""),"0106760506 / 252610503")</f>
        <v>0106760506 / 252610503</v>
      </c>
      <c r="B499" s="4" t="str">
        <f>IFERROR(__xludf.DUMMYFUNCTION("""COMPUTED_VALUE"""),"Salmaa Saalimah Wibowo - P")</f>
        <v>Salmaa Saalimah Wibowo - P</v>
      </c>
      <c r="C499" s="4" t="str">
        <f>IFERROR(__xludf.DUMMYFUNCTION("""COMPUTED_VALUE"""),"P")</f>
        <v>P</v>
      </c>
      <c r="D499" s="4">
        <f>IFERROR(__xludf.DUMMYFUNCTION("""COMPUTED_VALUE"""),33.0)</f>
        <v>33</v>
      </c>
      <c r="E499" s="4" t="str">
        <f>IFERROR(__xludf.DUMMYFUNCTION("""COMPUTED_VALUE"""),"X11")</f>
        <v>X11</v>
      </c>
      <c r="F499" s="5" t="str">
        <f>IFERROR(__xludf.DUMMYFUNCTION("""COMPUTED_VALUE"""),"33 - X11 - Salmaa Saalimah Wibowo - P")</f>
        <v>33 - X11 - Salmaa Saalimah Wibowo - P</v>
      </c>
      <c r="G499" s="3"/>
      <c r="H499" s="3"/>
      <c r="I499" s="3"/>
      <c r="J499" s="3"/>
      <c r="K499" s="3"/>
      <c r="L499" s="3"/>
      <c r="M499" s="3"/>
    </row>
    <row r="500">
      <c r="A500" s="4" t="str">
        <f>IFERROR(__xludf.DUMMYFUNCTION("""COMPUTED_VALUE"""),"0095542022 / 252610506")</f>
        <v>0095542022 / 252610506</v>
      </c>
      <c r="B500" s="4" t="str">
        <f>IFERROR(__xludf.DUMMYFUNCTION("""COMPUTED_VALUE"""),"Salsabil Mulki - P")</f>
        <v>Salsabil Mulki - P</v>
      </c>
      <c r="C500" s="4" t="str">
        <f>IFERROR(__xludf.DUMMYFUNCTION("""COMPUTED_VALUE"""),"P")</f>
        <v>P</v>
      </c>
      <c r="D500" s="4">
        <f>IFERROR(__xludf.DUMMYFUNCTION("""COMPUTED_VALUE"""),33.0)</f>
        <v>33</v>
      </c>
      <c r="E500" s="4" t="str">
        <f>IFERROR(__xludf.DUMMYFUNCTION("""COMPUTED_VALUE"""),"X11")</f>
        <v>X11</v>
      </c>
      <c r="F500" s="5" t="str">
        <f>IFERROR(__xludf.DUMMYFUNCTION("""COMPUTED_VALUE"""),"33 - X11 - Salsabil Mulki - P")</f>
        <v>33 - X11 - Salsabil Mulki - P</v>
      </c>
      <c r="G500" s="3"/>
      <c r="H500" s="3"/>
      <c r="I500" s="3"/>
      <c r="J500" s="3"/>
      <c r="K500" s="3"/>
      <c r="L500" s="3"/>
      <c r="M500" s="3"/>
    </row>
    <row r="501">
      <c r="A501" s="4" t="str">
        <f>IFERROR(__xludf.DUMMYFUNCTION("""COMPUTED_VALUE"""),"0091610224 / 252610518")</f>
        <v>0091610224 / 252610518</v>
      </c>
      <c r="B501" s="4" t="str">
        <f>IFERROR(__xludf.DUMMYFUNCTION("""COMPUTED_VALUE"""),"Shaquille Putra Yudira - P")</f>
        <v>Shaquille Putra Yudira - P</v>
      </c>
      <c r="C501" s="4" t="str">
        <f>IFERROR(__xludf.DUMMYFUNCTION("""COMPUTED_VALUE"""),"P")</f>
        <v>P</v>
      </c>
      <c r="D501" s="4">
        <f>IFERROR(__xludf.DUMMYFUNCTION("""COMPUTED_VALUE"""),33.0)</f>
        <v>33</v>
      </c>
      <c r="E501" s="4" t="str">
        <f>IFERROR(__xludf.DUMMYFUNCTION("""COMPUTED_VALUE"""),"X11")</f>
        <v>X11</v>
      </c>
      <c r="F501" s="5" t="str">
        <f>IFERROR(__xludf.DUMMYFUNCTION("""COMPUTED_VALUE"""),"33 - X11 - Shaquille Putra Yudira - P")</f>
        <v>33 - X11 - Shaquille Putra Yudira - P</v>
      </c>
      <c r="G501" s="3"/>
      <c r="H501" s="3"/>
      <c r="I501" s="3"/>
      <c r="J501" s="3"/>
      <c r="K501" s="3"/>
      <c r="L501" s="3"/>
      <c r="M501" s="3"/>
    </row>
    <row r="502">
      <c r="A502" s="4" t="str">
        <f>IFERROR(__xludf.DUMMYFUNCTION("""COMPUTED_VALUE"""),"0105010681 / 252610524")</f>
        <v>0105010681 / 252610524</v>
      </c>
      <c r="B502" s="4" t="str">
        <f>IFERROR(__xludf.DUMMYFUNCTION("""COMPUTED_VALUE"""),"Siva Muliyanti - P")</f>
        <v>Siva Muliyanti - P</v>
      </c>
      <c r="C502" s="4" t="str">
        <f>IFERROR(__xludf.DUMMYFUNCTION("""COMPUTED_VALUE"""),"P")</f>
        <v>P</v>
      </c>
      <c r="D502" s="4">
        <f>IFERROR(__xludf.DUMMYFUNCTION("""COMPUTED_VALUE"""),33.0)</f>
        <v>33</v>
      </c>
      <c r="E502" s="4" t="str">
        <f>IFERROR(__xludf.DUMMYFUNCTION("""COMPUTED_VALUE"""),"X11")</f>
        <v>X11</v>
      </c>
      <c r="F502" s="5" t="str">
        <f>IFERROR(__xludf.DUMMYFUNCTION("""COMPUTED_VALUE"""),"33 - X11 - Siva Muliyanti - P")</f>
        <v>33 - X11 - Siva Muliyanti - P</v>
      </c>
      <c r="G502" s="3"/>
      <c r="H502" s="3"/>
      <c r="I502" s="3"/>
      <c r="J502" s="3"/>
      <c r="K502" s="3"/>
      <c r="L502" s="3"/>
      <c r="M502" s="3"/>
    </row>
    <row r="503">
      <c r="A503" s="4" t="str">
        <f>IFERROR(__xludf.DUMMYFUNCTION("""COMPUTED_VALUE"""),"0105717177 / 252610545")</f>
        <v>0105717177 / 252610545</v>
      </c>
      <c r="B503" s="4" t="str">
        <f>IFERROR(__xludf.DUMMYFUNCTION("""COMPUTED_VALUE"""),"Tiara Zenobia Nafisa - P")</f>
        <v>Tiara Zenobia Nafisa - P</v>
      </c>
      <c r="C503" s="4" t="str">
        <f>IFERROR(__xludf.DUMMYFUNCTION("""COMPUTED_VALUE"""),"P")</f>
        <v>P</v>
      </c>
      <c r="D503" s="4">
        <f>IFERROR(__xludf.DUMMYFUNCTION("""COMPUTED_VALUE"""),33.0)</f>
        <v>33</v>
      </c>
      <c r="E503" s="4" t="str">
        <f>IFERROR(__xludf.DUMMYFUNCTION("""COMPUTED_VALUE"""),"X11")</f>
        <v>X11</v>
      </c>
      <c r="F503" s="5" t="str">
        <f>IFERROR(__xludf.DUMMYFUNCTION("""COMPUTED_VALUE"""),"33 - X11 - Tiara Zenobia Nafisa - P")</f>
        <v>33 - X11 - Tiara Zenobia Nafisa - P</v>
      </c>
      <c r="G503" s="3"/>
      <c r="H503" s="3"/>
      <c r="I503" s="3"/>
      <c r="J503" s="3"/>
      <c r="K503" s="3"/>
      <c r="L503" s="3"/>
      <c r="M503" s="3"/>
    </row>
    <row r="504">
      <c r="A504" s="4" t="str">
        <f>IFERROR(__xludf.DUMMYFUNCTION("""COMPUTED_VALUE"""),"0107258754 / 252610551")</f>
        <v>0107258754 / 252610551</v>
      </c>
      <c r="B504" s="4" t="str">
        <f>IFERROR(__xludf.DUMMYFUNCTION("""COMPUTED_VALUE"""),"Vilvizeeya Hazira Kurnia - P")</f>
        <v>Vilvizeeya Hazira Kurnia - P</v>
      </c>
      <c r="C504" s="4" t="str">
        <f>IFERROR(__xludf.DUMMYFUNCTION("""COMPUTED_VALUE"""),"P")</f>
        <v>P</v>
      </c>
      <c r="D504" s="4">
        <f>IFERROR(__xludf.DUMMYFUNCTION("""COMPUTED_VALUE"""),33.0)</f>
        <v>33</v>
      </c>
      <c r="E504" s="4" t="str">
        <f>IFERROR(__xludf.DUMMYFUNCTION("""COMPUTED_VALUE"""),"X11")</f>
        <v>X11</v>
      </c>
      <c r="F504" s="5" t="str">
        <f>IFERROR(__xludf.DUMMYFUNCTION("""COMPUTED_VALUE"""),"33 - X11 - Vilvizeeya Hazira Kurnia - P")</f>
        <v>33 - X11 - Vilvizeeya Hazira Kurnia - P</v>
      </c>
      <c r="G504" s="3"/>
      <c r="H504" s="3"/>
      <c r="I504" s="3"/>
      <c r="J504" s="3"/>
      <c r="K504" s="3"/>
      <c r="L504" s="3"/>
      <c r="M504" s="3"/>
    </row>
    <row r="505">
      <c r="A505" s="4" t="str">
        <f>IFERROR(__xludf.DUMMYFUNCTION("""COMPUTED_VALUE"""),"0106044416 / 252610553")</f>
        <v>0106044416 / 252610553</v>
      </c>
      <c r="B505" s="4" t="str">
        <f>IFERROR(__xludf.DUMMYFUNCTION("""COMPUTED_VALUE"""),"Weny Meylieneke Sianipar - P")</f>
        <v>Weny Meylieneke Sianipar - P</v>
      </c>
      <c r="C505" s="4" t="str">
        <f>IFERROR(__xludf.DUMMYFUNCTION("""COMPUTED_VALUE"""),"P")</f>
        <v>P</v>
      </c>
      <c r="D505" s="4">
        <f>IFERROR(__xludf.DUMMYFUNCTION("""COMPUTED_VALUE"""),33.0)</f>
        <v>33</v>
      </c>
      <c r="E505" s="4" t="str">
        <f>IFERROR(__xludf.DUMMYFUNCTION("""COMPUTED_VALUE"""),"X11")</f>
        <v>X11</v>
      </c>
      <c r="F505" s="5" t="str">
        <f>IFERROR(__xludf.DUMMYFUNCTION("""COMPUTED_VALUE"""),"33 - X11 - Weny Meylieneke Sianipar - P")</f>
        <v>33 - X11 - Weny Meylieneke Sianipar - P</v>
      </c>
      <c r="G505" s="3"/>
      <c r="H505" s="3"/>
      <c r="I505" s="3"/>
      <c r="J505" s="3"/>
      <c r="K505" s="3"/>
      <c r="L505" s="3"/>
      <c r="M505" s="3"/>
    </row>
    <row r="506">
      <c r="A506" s="4" t="str">
        <f>IFERROR(__xludf.DUMMYFUNCTION("""COMPUTED_VALUE"""),"0108569165 / 252610557")</f>
        <v>0108569165 / 252610557</v>
      </c>
      <c r="B506" s="4" t="str">
        <f>IFERROR(__xludf.DUMMYFUNCTION("""COMPUTED_VALUE"""),"Yoanne Mulin Averina - P")</f>
        <v>Yoanne Mulin Averina - P</v>
      </c>
      <c r="C506" s="4" t="str">
        <f>IFERROR(__xludf.DUMMYFUNCTION("""COMPUTED_VALUE"""),"P")</f>
        <v>P</v>
      </c>
      <c r="D506" s="4">
        <f>IFERROR(__xludf.DUMMYFUNCTION("""COMPUTED_VALUE"""),33.0)</f>
        <v>33</v>
      </c>
      <c r="E506" s="4" t="str">
        <f>IFERROR(__xludf.DUMMYFUNCTION("""COMPUTED_VALUE"""),"X11")</f>
        <v>X11</v>
      </c>
      <c r="F506" s="5" t="str">
        <f>IFERROR(__xludf.DUMMYFUNCTION("""COMPUTED_VALUE"""),"33 - X11 - Yoanne Mulin Averina - P")</f>
        <v>33 - X11 - Yoanne Mulin Averina - P</v>
      </c>
      <c r="G506" s="3"/>
      <c r="H506" s="3"/>
      <c r="I506" s="3"/>
      <c r="J506" s="3"/>
      <c r="K506" s="3"/>
      <c r="L506" s="3"/>
      <c r="M506" s="3"/>
    </row>
    <row r="507">
      <c r="A507" s="4" t="str">
        <f>IFERROR(__xludf.DUMMYFUNCTION("""COMPUTED_VALUE"""),"0093632849 / 252610561")</f>
        <v>0093632849 / 252610561</v>
      </c>
      <c r="B507" s="4" t="str">
        <f>IFERROR(__xludf.DUMMYFUNCTION("""COMPUTED_VALUE"""),"Zaki Arya Wicaksono - L")</f>
        <v>Zaki Arya Wicaksono - L</v>
      </c>
      <c r="C507" s="4" t="str">
        <f>IFERROR(__xludf.DUMMYFUNCTION("""COMPUTED_VALUE"""),"L")</f>
        <v>L</v>
      </c>
      <c r="D507" s="4">
        <f>IFERROR(__xludf.DUMMYFUNCTION("""COMPUTED_VALUE"""),33.0)</f>
        <v>33</v>
      </c>
      <c r="E507" s="4" t="str">
        <f>IFERROR(__xludf.DUMMYFUNCTION("""COMPUTED_VALUE"""),"X11")</f>
        <v>X11</v>
      </c>
      <c r="F507" s="5" t="str">
        <f>IFERROR(__xludf.DUMMYFUNCTION("""COMPUTED_VALUE"""),"33 - X11 - Zaki Arya Wicaksono - L")</f>
        <v>33 - X11 - Zaki Arya Wicaksono - L</v>
      </c>
      <c r="G507" s="3"/>
      <c r="H507" s="3"/>
      <c r="I507" s="3"/>
      <c r="J507" s="3"/>
      <c r="K507" s="3"/>
      <c r="L507" s="3"/>
      <c r="M507" s="3"/>
    </row>
    <row r="508">
      <c r="A508" s="4" t="str">
        <f>IFERROR(__xludf.DUMMYFUNCTION("""COMPUTED_VALUE"""),"0105748224 / 252610565")</f>
        <v>0105748224 / 252610565</v>
      </c>
      <c r="B508" s="4" t="str">
        <f>IFERROR(__xludf.DUMMYFUNCTION("""COMPUTED_VALUE"""),"Zelda Hanifah Zaneta - P")</f>
        <v>Zelda Hanifah Zaneta - P</v>
      </c>
      <c r="C508" s="4" t="str">
        <f>IFERROR(__xludf.DUMMYFUNCTION("""COMPUTED_VALUE"""),"P")</f>
        <v>P</v>
      </c>
      <c r="D508" s="4">
        <f>IFERROR(__xludf.DUMMYFUNCTION("""COMPUTED_VALUE"""),33.0)</f>
        <v>33</v>
      </c>
      <c r="E508" s="4" t="str">
        <f>IFERROR(__xludf.DUMMYFUNCTION("""COMPUTED_VALUE"""),"X11")</f>
        <v>X11</v>
      </c>
      <c r="F508" s="5" t="str">
        <f>IFERROR(__xludf.DUMMYFUNCTION("""COMPUTED_VALUE"""),"33 - X11 - Zelda Hanifah Zaneta - P")</f>
        <v>33 - X11 - Zelda Hanifah Zaneta - P</v>
      </c>
      <c r="G508" s="3"/>
      <c r="H508" s="3"/>
      <c r="I508" s="3"/>
      <c r="J508" s="3"/>
      <c r="K508" s="3"/>
      <c r="L508" s="3"/>
      <c r="M508" s="3"/>
    </row>
    <row r="509">
      <c r="A509" s="4" t="str">
        <f>IFERROR(__xludf.DUMMYFUNCTION("""COMPUTED_VALUE"""),"0097950619 / 252610015")</f>
        <v>0097950619 / 252610015</v>
      </c>
      <c r="B509" s="4" t="str">
        <f>IFERROR(__xludf.DUMMYFUNCTION("""COMPUTED_VALUE"""),"Afgan Prima Rizkia Iskandar - L")</f>
        <v>Afgan Prima Rizkia Iskandar - L</v>
      </c>
      <c r="C509" s="4" t="str">
        <f>IFERROR(__xludf.DUMMYFUNCTION("""COMPUTED_VALUE"""),"L")</f>
        <v>L</v>
      </c>
      <c r="D509" s="4">
        <f>IFERROR(__xludf.DUMMYFUNCTION("""COMPUTED_VALUE"""),33.0)</f>
        <v>33</v>
      </c>
      <c r="E509" s="4" t="str">
        <f>IFERROR(__xludf.DUMMYFUNCTION("""COMPUTED_VALUE"""),"X12")</f>
        <v>X12</v>
      </c>
      <c r="F509" s="5" t="str">
        <f>IFERROR(__xludf.DUMMYFUNCTION("""COMPUTED_VALUE"""),"33 - X12 - Afgan Prima Rizkia Iskandar - L")</f>
        <v>33 - X12 - Afgan Prima Rizkia Iskandar - L</v>
      </c>
      <c r="G509" s="3"/>
      <c r="H509" s="3"/>
      <c r="I509" s="3"/>
      <c r="J509" s="3"/>
      <c r="K509" s="3"/>
      <c r="L509" s="3"/>
      <c r="M509" s="3"/>
    </row>
    <row r="510">
      <c r="A510" s="4" t="str">
        <f>IFERROR(__xludf.DUMMYFUNCTION("""COMPUTED_VALUE"""),"0105770130 / 252610021")</f>
        <v>0105770130 / 252610021</v>
      </c>
      <c r="B510" s="4" t="str">
        <f>IFERROR(__xludf.DUMMYFUNCTION("""COMPUTED_VALUE"""),"Aik Novitasari - P")</f>
        <v>Aik Novitasari - P</v>
      </c>
      <c r="C510" s="4" t="str">
        <f>IFERROR(__xludf.DUMMYFUNCTION("""COMPUTED_VALUE"""),"P")</f>
        <v>P</v>
      </c>
      <c r="D510" s="4">
        <f>IFERROR(__xludf.DUMMYFUNCTION("""COMPUTED_VALUE"""),33.0)</f>
        <v>33</v>
      </c>
      <c r="E510" s="4" t="str">
        <f>IFERROR(__xludf.DUMMYFUNCTION("""COMPUTED_VALUE"""),"X12")</f>
        <v>X12</v>
      </c>
      <c r="F510" s="5" t="str">
        <f>IFERROR(__xludf.DUMMYFUNCTION("""COMPUTED_VALUE"""),"33 - X12 - Aik Novitasari - P")</f>
        <v>33 - X12 - Aik Novitasari - P</v>
      </c>
      <c r="G510" s="3"/>
      <c r="H510" s="3"/>
      <c r="I510" s="3"/>
      <c r="J510" s="3"/>
      <c r="K510" s="3"/>
      <c r="L510" s="3"/>
      <c r="M510" s="3"/>
    </row>
    <row r="511">
      <c r="A511" s="4" t="str">
        <f>IFERROR(__xludf.DUMMYFUNCTION("""COMPUTED_VALUE"""),"0093866965 / 252610029")</f>
        <v>0093866965 / 252610029</v>
      </c>
      <c r="B511" s="4" t="str">
        <f>IFERROR(__xludf.DUMMYFUNCTION("""COMPUTED_VALUE"""),"Aisyah Aqilah Agni - P")</f>
        <v>Aisyah Aqilah Agni - P</v>
      </c>
      <c r="C511" s="4" t="str">
        <f>IFERROR(__xludf.DUMMYFUNCTION("""COMPUTED_VALUE"""),"P")</f>
        <v>P</v>
      </c>
      <c r="D511" s="4">
        <f>IFERROR(__xludf.DUMMYFUNCTION("""COMPUTED_VALUE"""),33.0)</f>
        <v>33</v>
      </c>
      <c r="E511" s="4" t="str">
        <f>IFERROR(__xludf.DUMMYFUNCTION("""COMPUTED_VALUE"""),"X12")</f>
        <v>X12</v>
      </c>
      <c r="F511" s="5" t="str">
        <f>IFERROR(__xludf.DUMMYFUNCTION("""COMPUTED_VALUE"""),"33 - X12 - Aisyah Aqilah Agni - P")</f>
        <v>33 - X12 - Aisyah Aqilah Agni - P</v>
      </c>
      <c r="G511" s="3"/>
      <c r="H511" s="3"/>
      <c r="I511" s="3"/>
      <c r="J511" s="3"/>
      <c r="K511" s="3"/>
      <c r="L511" s="3"/>
      <c r="M511" s="3"/>
    </row>
    <row r="512">
      <c r="A512" s="4" t="str">
        <f>IFERROR(__xludf.DUMMYFUNCTION("""COMPUTED_VALUE"""),"3097129671 / 252610030")</f>
        <v>3097129671 / 252610030</v>
      </c>
      <c r="B512" s="4" t="str">
        <f>IFERROR(__xludf.DUMMYFUNCTION("""COMPUTED_VALUE"""),"Aisyah Hanifa Redana - P")</f>
        <v>Aisyah Hanifa Redana - P</v>
      </c>
      <c r="C512" s="4" t="str">
        <f>IFERROR(__xludf.DUMMYFUNCTION("""COMPUTED_VALUE"""),"P")</f>
        <v>P</v>
      </c>
      <c r="D512" s="4">
        <f>IFERROR(__xludf.DUMMYFUNCTION("""COMPUTED_VALUE"""),33.0)</f>
        <v>33</v>
      </c>
      <c r="E512" s="4" t="str">
        <f>IFERROR(__xludf.DUMMYFUNCTION("""COMPUTED_VALUE"""),"X12")</f>
        <v>X12</v>
      </c>
      <c r="F512" s="5" t="str">
        <f>IFERROR(__xludf.DUMMYFUNCTION("""COMPUTED_VALUE"""),"33 - X12 - Aisyah Hanifa Redana - P")</f>
        <v>33 - X12 - Aisyah Hanifa Redana - P</v>
      </c>
      <c r="G512" s="3"/>
      <c r="H512" s="3"/>
      <c r="I512" s="3"/>
      <c r="J512" s="3"/>
      <c r="K512" s="3"/>
      <c r="L512" s="3"/>
      <c r="M512" s="3"/>
    </row>
    <row r="513">
      <c r="A513" s="4" t="str">
        <f>IFERROR(__xludf.DUMMYFUNCTION("""COMPUTED_VALUE"""),"0093002808 / 252610046")</f>
        <v>0093002808 / 252610046</v>
      </c>
      <c r="B513" s="4" t="str">
        <f>IFERROR(__xludf.DUMMYFUNCTION("""COMPUTED_VALUE"""),"Allya Luthfiah Putri - P")</f>
        <v>Allya Luthfiah Putri - P</v>
      </c>
      <c r="C513" s="4" t="str">
        <f>IFERROR(__xludf.DUMMYFUNCTION("""COMPUTED_VALUE"""),"P")</f>
        <v>P</v>
      </c>
      <c r="D513" s="4">
        <f>IFERROR(__xludf.DUMMYFUNCTION("""COMPUTED_VALUE"""),33.0)</f>
        <v>33</v>
      </c>
      <c r="E513" s="4" t="str">
        <f>IFERROR(__xludf.DUMMYFUNCTION("""COMPUTED_VALUE"""),"X12")</f>
        <v>X12</v>
      </c>
      <c r="F513" s="5" t="str">
        <f>IFERROR(__xludf.DUMMYFUNCTION("""COMPUTED_VALUE"""),"33 - X12 - Allya Luthfiah Putri - P")</f>
        <v>33 - X12 - Allya Luthfiah Putri - P</v>
      </c>
      <c r="G513" s="3"/>
      <c r="H513" s="3"/>
      <c r="I513" s="3"/>
      <c r="J513" s="3"/>
      <c r="K513" s="3"/>
      <c r="L513" s="3"/>
      <c r="M513" s="3"/>
    </row>
    <row r="514">
      <c r="A514" s="4" t="str">
        <f>IFERROR(__xludf.DUMMYFUNCTION("""COMPUTED_VALUE"""),"0107831985 / 252610068")</f>
        <v>0107831985 / 252610068</v>
      </c>
      <c r="B514" s="4" t="str">
        <f>IFERROR(__xludf.DUMMYFUNCTION("""COMPUTED_VALUE"""),"Annisa Salsabilla - P")</f>
        <v>Annisa Salsabilla - P</v>
      </c>
      <c r="C514" s="4" t="str">
        <f>IFERROR(__xludf.DUMMYFUNCTION("""COMPUTED_VALUE"""),"P")</f>
        <v>P</v>
      </c>
      <c r="D514" s="4">
        <f>IFERROR(__xludf.DUMMYFUNCTION("""COMPUTED_VALUE"""),33.0)</f>
        <v>33</v>
      </c>
      <c r="E514" s="4" t="str">
        <f>IFERROR(__xludf.DUMMYFUNCTION("""COMPUTED_VALUE"""),"X12")</f>
        <v>X12</v>
      </c>
      <c r="F514" s="5" t="str">
        <f>IFERROR(__xludf.DUMMYFUNCTION("""COMPUTED_VALUE"""),"33 - X12 - Annisa Salsabilla - P")</f>
        <v>33 - X12 - Annisa Salsabilla - P</v>
      </c>
      <c r="G514" s="3"/>
      <c r="H514" s="3"/>
      <c r="I514" s="3"/>
      <c r="J514" s="3"/>
      <c r="K514" s="3"/>
      <c r="L514" s="3"/>
      <c r="M514" s="3"/>
    </row>
    <row r="515">
      <c r="A515" s="4" t="str">
        <f>IFERROR(__xludf.DUMMYFUNCTION("""COMPUTED_VALUE"""),"0101396555 / 252610080")</f>
        <v>0101396555 / 252610080</v>
      </c>
      <c r="B515" s="4" t="str">
        <f>IFERROR(__xludf.DUMMYFUNCTION("""COMPUTED_VALUE"""),"Arsyad Khaerul Izzan - L")</f>
        <v>Arsyad Khaerul Izzan - L</v>
      </c>
      <c r="C515" s="4" t="str">
        <f>IFERROR(__xludf.DUMMYFUNCTION("""COMPUTED_VALUE"""),"L")</f>
        <v>L</v>
      </c>
      <c r="D515" s="4">
        <f>IFERROR(__xludf.DUMMYFUNCTION("""COMPUTED_VALUE"""),33.0)</f>
        <v>33</v>
      </c>
      <c r="E515" s="4" t="str">
        <f>IFERROR(__xludf.DUMMYFUNCTION("""COMPUTED_VALUE"""),"X12")</f>
        <v>X12</v>
      </c>
      <c r="F515" s="5" t="str">
        <f>IFERROR(__xludf.DUMMYFUNCTION("""COMPUTED_VALUE"""),"33 - X12 - Arsyad Khaerul Izzan - L")</f>
        <v>33 - X12 - Arsyad Khaerul Izzan - L</v>
      </c>
      <c r="G515" s="3"/>
      <c r="H515" s="3"/>
      <c r="I515" s="3"/>
      <c r="J515" s="3"/>
      <c r="K515" s="3"/>
      <c r="L515" s="3"/>
      <c r="M515" s="3"/>
    </row>
    <row r="516">
      <c r="A516" s="4" t="str">
        <f>IFERROR(__xludf.DUMMYFUNCTION("""COMPUTED_VALUE"""),"0108675973 / 252610081")</f>
        <v>0108675973 / 252610081</v>
      </c>
      <c r="B516" s="4" t="str">
        <f>IFERROR(__xludf.DUMMYFUNCTION("""COMPUTED_VALUE"""),"Aruni Khalila Ayu - P")</f>
        <v>Aruni Khalila Ayu - P</v>
      </c>
      <c r="C516" s="4" t="str">
        <f>IFERROR(__xludf.DUMMYFUNCTION("""COMPUTED_VALUE"""),"P")</f>
        <v>P</v>
      </c>
      <c r="D516" s="4">
        <f>IFERROR(__xludf.DUMMYFUNCTION("""COMPUTED_VALUE"""),33.0)</f>
        <v>33</v>
      </c>
      <c r="E516" s="4" t="str">
        <f>IFERROR(__xludf.DUMMYFUNCTION("""COMPUTED_VALUE"""),"X12")</f>
        <v>X12</v>
      </c>
      <c r="F516" s="5" t="str">
        <f>IFERROR(__xludf.DUMMYFUNCTION("""COMPUTED_VALUE"""),"33 - X12 - Aruni Khalila Ayu - P")</f>
        <v>33 - X12 - Aruni Khalila Ayu - P</v>
      </c>
      <c r="G516" s="3"/>
      <c r="H516" s="3"/>
      <c r="I516" s="3"/>
      <c r="J516" s="3"/>
      <c r="K516" s="3"/>
      <c r="L516" s="3"/>
      <c r="M516" s="3"/>
    </row>
    <row r="517">
      <c r="A517" s="4" t="str">
        <f>IFERROR(__xludf.DUMMYFUNCTION("""COMPUTED_VALUE"""),"0096011114 / 252610104")</f>
        <v>0096011114 / 252610104</v>
      </c>
      <c r="B517" s="4" t="str">
        <f>IFERROR(__xludf.DUMMYFUNCTION("""COMPUTED_VALUE"""),"Avemarianne Ninetrie Septiane - P")</f>
        <v>Avemarianne Ninetrie Septiane - P</v>
      </c>
      <c r="C517" s="4" t="str">
        <f>IFERROR(__xludf.DUMMYFUNCTION("""COMPUTED_VALUE"""),"P")</f>
        <v>P</v>
      </c>
      <c r="D517" s="4">
        <f>IFERROR(__xludf.DUMMYFUNCTION("""COMPUTED_VALUE"""),33.0)</f>
        <v>33</v>
      </c>
      <c r="E517" s="4" t="str">
        <f>IFERROR(__xludf.DUMMYFUNCTION("""COMPUTED_VALUE"""),"X12")</f>
        <v>X12</v>
      </c>
      <c r="F517" s="5" t="str">
        <f>IFERROR(__xludf.DUMMYFUNCTION("""COMPUTED_VALUE"""),"33 - X12 - Avemarianne Ninetrie Septiane - P")</f>
        <v>33 - X12 - Avemarianne Ninetrie Septiane - P</v>
      </c>
    </row>
    <row r="518">
      <c r="A518" s="8" t="str">
        <f>IFERROR(__xludf.DUMMYFUNCTION("""COMPUTED_VALUE"""),"2099366441 / 252610106")</f>
        <v>2099366441 / 252610106</v>
      </c>
      <c r="B518" s="8" t="str">
        <f>IFERROR(__xludf.DUMMYFUNCTION("""COMPUTED_VALUE"""),"Ayi Artadinata - P")</f>
        <v>Ayi Artadinata - P</v>
      </c>
      <c r="C518" s="8" t="str">
        <f>IFERROR(__xludf.DUMMYFUNCTION("""COMPUTED_VALUE"""),"P")</f>
        <v>P</v>
      </c>
      <c r="D518" s="8">
        <f>IFERROR(__xludf.DUMMYFUNCTION("""COMPUTED_VALUE"""),33.0)</f>
        <v>33</v>
      </c>
      <c r="E518" s="8" t="str">
        <f>IFERROR(__xludf.DUMMYFUNCTION("""COMPUTED_VALUE"""),"X12")</f>
        <v>X12</v>
      </c>
      <c r="F518" s="9" t="str">
        <f>IFERROR(__xludf.DUMMYFUNCTION("""COMPUTED_VALUE"""),"33 - X12 - Ayi Artadinata - P")</f>
        <v>33 - X12 - Ayi Artadinata - P</v>
      </c>
    </row>
    <row r="519">
      <c r="A519" s="8" t="str">
        <f>IFERROR(__xludf.DUMMYFUNCTION("""COMPUTED_VALUE"""),"0109010502 / 252610107")</f>
        <v>0109010502 / 252610107</v>
      </c>
      <c r="B519" s="8" t="str">
        <f>IFERROR(__xludf.DUMMYFUNCTION("""COMPUTED_VALUE"""),"Ayra Jauzaa Viranda - P")</f>
        <v>Ayra Jauzaa Viranda - P</v>
      </c>
      <c r="C519" s="8" t="str">
        <f>IFERROR(__xludf.DUMMYFUNCTION("""COMPUTED_VALUE"""),"P")</f>
        <v>P</v>
      </c>
      <c r="D519" s="8">
        <f>IFERROR(__xludf.DUMMYFUNCTION("""COMPUTED_VALUE"""),33.0)</f>
        <v>33</v>
      </c>
      <c r="E519" s="8" t="str">
        <f>IFERROR(__xludf.DUMMYFUNCTION("""COMPUTED_VALUE"""),"X12")</f>
        <v>X12</v>
      </c>
      <c r="F519" s="9" t="str">
        <f>IFERROR(__xludf.DUMMYFUNCTION("""COMPUTED_VALUE"""),"33 - X12 - Ayra Jauzaa Viranda - P")</f>
        <v>33 - X12 - Ayra Jauzaa Viranda - P</v>
      </c>
    </row>
    <row r="520">
      <c r="A520" s="8" t="str">
        <f>IFERROR(__xludf.DUMMYFUNCTION("""COMPUTED_VALUE"""),"0109682985 / 252610127")</f>
        <v>0109682985 / 252610127</v>
      </c>
      <c r="B520" s="8" t="str">
        <f>IFERROR(__xludf.DUMMYFUNCTION("""COMPUTED_VALUE"""),"Bintang Jati Pratama - L")</f>
        <v>Bintang Jati Pratama - L</v>
      </c>
      <c r="C520" s="8" t="str">
        <f>IFERROR(__xludf.DUMMYFUNCTION("""COMPUTED_VALUE"""),"L")</f>
        <v>L</v>
      </c>
      <c r="D520" s="8">
        <f>IFERROR(__xludf.DUMMYFUNCTION("""COMPUTED_VALUE"""),33.0)</f>
        <v>33</v>
      </c>
      <c r="E520" s="8" t="str">
        <f>IFERROR(__xludf.DUMMYFUNCTION("""COMPUTED_VALUE"""),"X12")</f>
        <v>X12</v>
      </c>
      <c r="F520" s="9" t="str">
        <f>IFERROR(__xludf.DUMMYFUNCTION("""COMPUTED_VALUE"""),"33 - X12 - Bintang Jati Pratama - L")</f>
        <v>33 - X12 - Bintang Jati Pratama - L</v>
      </c>
    </row>
    <row r="521">
      <c r="A521" s="8" t="str">
        <f>IFERROR(__xludf.DUMMYFUNCTION("""COMPUTED_VALUE"""),"0092725675 / 252610143")</f>
        <v>0092725675 / 252610143</v>
      </c>
      <c r="B521" s="8" t="str">
        <f>IFERROR(__xludf.DUMMYFUNCTION("""COMPUTED_VALUE"""),"Daffa Hafizh Firdausi - L")</f>
        <v>Daffa Hafizh Firdausi - L</v>
      </c>
      <c r="C521" s="8" t="str">
        <f>IFERROR(__xludf.DUMMYFUNCTION("""COMPUTED_VALUE"""),"L")</f>
        <v>L</v>
      </c>
      <c r="D521" s="8">
        <f>IFERROR(__xludf.DUMMYFUNCTION("""COMPUTED_VALUE"""),33.0)</f>
        <v>33</v>
      </c>
      <c r="E521" s="8" t="str">
        <f>IFERROR(__xludf.DUMMYFUNCTION("""COMPUTED_VALUE"""),"X12")</f>
        <v>X12</v>
      </c>
      <c r="F521" s="9" t="str">
        <f>IFERROR(__xludf.DUMMYFUNCTION("""COMPUTED_VALUE"""),"33 - X12 - Daffa Hafizh Firdausi - L")</f>
        <v>33 - X12 - Daffa Hafizh Firdausi - L</v>
      </c>
    </row>
    <row r="522">
      <c r="A522" s="8" t="str">
        <f>IFERROR(__xludf.DUMMYFUNCTION("""COMPUTED_VALUE"""),"3106961615 / 252610147")</f>
        <v>3106961615 / 252610147</v>
      </c>
      <c r="B522" s="8" t="str">
        <f>IFERROR(__xludf.DUMMYFUNCTION("""COMPUTED_VALUE"""),"Damara Dasha Bahi Utomo - L")</f>
        <v>Damara Dasha Bahi Utomo - L</v>
      </c>
      <c r="C522" s="8" t="str">
        <f>IFERROR(__xludf.DUMMYFUNCTION("""COMPUTED_VALUE"""),"L")</f>
        <v>L</v>
      </c>
      <c r="D522" s="8">
        <f>IFERROR(__xludf.DUMMYFUNCTION("""COMPUTED_VALUE"""),33.0)</f>
        <v>33</v>
      </c>
      <c r="E522" s="8" t="str">
        <f>IFERROR(__xludf.DUMMYFUNCTION("""COMPUTED_VALUE"""),"X12")</f>
        <v>X12</v>
      </c>
      <c r="F522" s="9" t="str">
        <f>IFERROR(__xludf.DUMMYFUNCTION("""COMPUTED_VALUE"""),"33 - X12 - Damara Dasha Bahi Utomo - L")</f>
        <v>33 - X12 - Damara Dasha Bahi Utomo - L</v>
      </c>
    </row>
    <row r="523">
      <c r="A523" s="8" t="str">
        <f>IFERROR(__xludf.DUMMYFUNCTION("""COMPUTED_VALUE"""),"0102221985 / 252610149")</f>
        <v>0102221985 / 252610149</v>
      </c>
      <c r="B523" s="8" t="str">
        <f>IFERROR(__xludf.DUMMYFUNCTION("""COMPUTED_VALUE"""),"Deana Azalea Belva - P")</f>
        <v>Deana Azalea Belva - P</v>
      </c>
      <c r="C523" s="8" t="str">
        <f>IFERROR(__xludf.DUMMYFUNCTION("""COMPUTED_VALUE"""),"P")</f>
        <v>P</v>
      </c>
      <c r="D523" s="8">
        <f>IFERROR(__xludf.DUMMYFUNCTION("""COMPUTED_VALUE"""),33.0)</f>
        <v>33</v>
      </c>
      <c r="E523" s="8" t="str">
        <f>IFERROR(__xludf.DUMMYFUNCTION("""COMPUTED_VALUE"""),"X12")</f>
        <v>X12</v>
      </c>
      <c r="F523" s="9" t="str">
        <f>IFERROR(__xludf.DUMMYFUNCTION("""COMPUTED_VALUE"""),"33 - X12 - Deana Azalea Belva - P")</f>
        <v>33 - X12 - Deana Azalea Belva - P</v>
      </c>
    </row>
    <row r="524">
      <c r="A524" s="8" t="str">
        <f>IFERROR(__xludf.DUMMYFUNCTION("""COMPUTED_VALUE"""),"0096201622 / 252610152")</f>
        <v>0096201622 / 252610152</v>
      </c>
      <c r="B524" s="8" t="str">
        <f>IFERROR(__xludf.DUMMYFUNCTION("""COMPUTED_VALUE"""),"Delfa Maharani - P")</f>
        <v>Delfa Maharani - P</v>
      </c>
      <c r="C524" s="8" t="str">
        <f>IFERROR(__xludf.DUMMYFUNCTION("""COMPUTED_VALUE"""),"P")</f>
        <v>P</v>
      </c>
      <c r="D524" s="8">
        <f>IFERROR(__xludf.DUMMYFUNCTION("""COMPUTED_VALUE"""),33.0)</f>
        <v>33</v>
      </c>
      <c r="E524" s="8" t="str">
        <f>IFERROR(__xludf.DUMMYFUNCTION("""COMPUTED_VALUE"""),"X12")</f>
        <v>X12</v>
      </c>
      <c r="F524" s="9" t="str">
        <f>IFERROR(__xludf.DUMMYFUNCTION("""COMPUTED_VALUE"""),"33 - X12 - Delfa Maharani - P")</f>
        <v>33 - X12 - Delfa Maharani - P</v>
      </c>
    </row>
    <row r="525">
      <c r="A525" s="8" t="str">
        <f>IFERROR(__xludf.DUMMYFUNCTION("""COMPUTED_VALUE"""),"0104985283 / 252610208")</f>
        <v>0104985283 / 252610208</v>
      </c>
      <c r="B525" s="8" t="str">
        <f>IFERROR(__xludf.DUMMYFUNCTION("""COMPUTED_VALUE"""),"Fauza Nur Aziema - P")</f>
        <v>Fauza Nur Aziema - P</v>
      </c>
      <c r="C525" s="8" t="str">
        <f>IFERROR(__xludf.DUMMYFUNCTION("""COMPUTED_VALUE"""),"P")</f>
        <v>P</v>
      </c>
      <c r="D525" s="8">
        <f>IFERROR(__xludf.DUMMYFUNCTION("""COMPUTED_VALUE"""),33.0)</f>
        <v>33</v>
      </c>
      <c r="E525" s="8" t="str">
        <f>IFERROR(__xludf.DUMMYFUNCTION("""COMPUTED_VALUE"""),"X12")</f>
        <v>X12</v>
      </c>
      <c r="F525" s="9" t="str">
        <f>IFERROR(__xludf.DUMMYFUNCTION("""COMPUTED_VALUE"""),"33 - X12 - Fauza Nur Aziema - P")</f>
        <v>33 - X12 - Fauza Nur Aziema - P</v>
      </c>
    </row>
    <row r="526">
      <c r="A526" s="8" t="str">
        <f>IFERROR(__xludf.DUMMYFUNCTION("""COMPUTED_VALUE"""),"3086279831 / 252610218")</f>
        <v>3086279831 / 252610218</v>
      </c>
      <c r="B526" s="8" t="str">
        <f>IFERROR(__xludf.DUMMYFUNCTION("""COMPUTED_VALUE"""),"Gefira Azizatul Hasanah - L")</f>
        <v>Gefira Azizatul Hasanah - L</v>
      </c>
      <c r="C526" s="8" t="str">
        <f>IFERROR(__xludf.DUMMYFUNCTION("""COMPUTED_VALUE"""),"L")</f>
        <v>L</v>
      </c>
      <c r="D526" s="8">
        <f>IFERROR(__xludf.DUMMYFUNCTION("""COMPUTED_VALUE"""),33.0)</f>
        <v>33</v>
      </c>
      <c r="E526" s="8" t="str">
        <f>IFERROR(__xludf.DUMMYFUNCTION("""COMPUTED_VALUE"""),"X12")</f>
        <v>X12</v>
      </c>
      <c r="F526" s="9" t="str">
        <f>IFERROR(__xludf.DUMMYFUNCTION("""COMPUTED_VALUE"""),"33 - X12 - Gefira Azizatul Hasanah - L")</f>
        <v>33 - X12 - Gefira Azizatul Hasanah - L</v>
      </c>
    </row>
    <row r="527">
      <c r="A527" s="8" t="str">
        <f>IFERROR(__xludf.DUMMYFUNCTION("""COMPUTED_VALUE"""),"3091107524 / 252610267")</f>
        <v>3091107524 / 252610267</v>
      </c>
      <c r="B527" s="8" t="str">
        <f>IFERROR(__xludf.DUMMYFUNCTION("""COMPUTED_VALUE"""),"Keisha Nurazizah - P")</f>
        <v>Keisha Nurazizah - P</v>
      </c>
      <c r="C527" s="8" t="str">
        <f>IFERROR(__xludf.DUMMYFUNCTION("""COMPUTED_VALUE"""),"P")</f>
        <v>P</v>
      </c>
      <c r="D527" s="8">
        <f>IFERROR(__xludf.DUMMYFUNCTION("""COMPUTED_VALUE"""),33.0)</f>
        <v>33</v>
      </c>
      <c r="E527" s="8" t="str">
        <f>IFERROR(__xludf.DUMMYFUNCTION("""COMPUTED_VALUE"""),"X12")</f>
        <v>X12</v>
      </c>
      <c r="F527" s="9" t="str">
        <f>IFERROR(__xludf.DUMMYFUNCTION("""COMPUTED_VALUE"""),"33 - X12 - Keisha Nurazizah - P")</f>
        <v>33 - X12 - Keisha Nurazizah - P</v>
      </c>
    </row>
    <row r="528">
      <c r="A528" s="8" t="str">
        <f>IFERROR(__xludf.DUMMYFUNCTION("""COMPUTED_VALUE"""),"0103652262 / 252610269")</f>
        <v>0103652262 / 252610269</v>
      </c>
      <c r="B528" s="8" t="str">
        <f>IFERROR(__xludf.DUMMYFUNCTION("""COMPUTED_VALUE"""),"Kenzie Dzakwan Ibrahim - L")</f>
        <v>Kenzie Dzakwan Ibrahim - L</v>
      </c>
      <c r="C528" s="8" t="str">
        <f>IFERROR(__xludf.DUMMYFUNCTION("""COMPUTED_VALUE"""),"L")</f>
        <v>L</v>
      </c>
      <c r="D528" s="8">
        <f>IFERROR(__xludf.DUMMYFUNCTION("""COMPUTED_VALUE"""),33.0)</f>
        <v>33</v>
      </c>
      <c r="E528" s="8" t="str">
        <f>IFERROR(__xludf.DUMMYFUNCTION("""COMPUTED_VALUE"""),"X12")</f>
        <v>X12</v>
      </c>
      <c r="F528" s="9" t="str">
        <f>IFERROR(__xludf.DUMMYFUNCTION("""COMPUTED_VALUE"""),"33 - X12 - Kenzie Dzakwan Ibrahim - L")</f>
        <v>33 - X12 - Kenzie Dzakwan Ibrahim - L</v>
      </c>
    </row>
    <row r="529">
      <c r="A529" s="8" t="str">
        <f>IFERROR(__xludf.DUMMYFUNCTION("""COMPUTED_VALUE"""),"0097732804 / 252610270")</f>
        <v>0097732804 / 252610270</v>
      </c>
      <c r="B529" s="8" t="str">
        <f>IFERROR(__xludf.DUMMYFUNCTION("""COMPUTED_VALUE"""),"Kesyha Ramadhani - P")</f>
        <v>Kesyha Ramadhani - P</v>
      </c>
      <c r="C529" s="8" t="str">
        <f>IFERROR(__xludf.DUMMYFUNCTION("""COMPUTED_VALUE"""),"P")</f>
        <v>P</v>
      </c>
      <c r="D529" s="8">
        <f>IFERROR(__xludf.DUMMYFUNCTION("""COMPUTED_VALUE"""),33.0)</f>
        <v>33</v>
      </c>
      <c r="E529" s="8" t="str">
        <f>IFERROR(__xludf.DUMMYFUNCTION("""COMPUTED_VALUE"""),"X12")</f>
        <v>X12</v>
      </c>
      <c r="F529" s="9" t="str">
        <f>IFERROR(__xludf.DUMMYFUNCTION("""COMPUTED_VALUE"""),"33 - X12 - Kesyha Ramadhani - P")</f>
        <v>33 - X12 - Kesyha Ramadhani - P</v>
      </c>
    </row>
    <row r="530">
      <c r="A530" s="8" t="str">
        <f>IFERROR(__xludf.DUMMYFUNCTION("""COMPUTED_VALUE"""),"3093490279 / 252610271")</f>
        <v>3093490279 / 252610271</v>
      </c>
      <c r="B530" s="8" t="str">
        <f>IFERROR(__xludf.DUMMYFUNCTION("""COMPUTED_VALUE"""),"Kevin Septian Ramadhan - L")</f>
        <v>Kevin Septian Ramadhan - L</v>
      </c>
      <c r="C530" s="8" t="str">
        <f>IFERROR(__xludf.DUMMYFUNCTION("""COMPUTED_VALUE"""),"L")</f>
        <v>L</v>
      </c>
      <c r="D530" s="8">
        <f>IFERROR(__xludf.DUMMYFUNCTION("""COMPUTED_VALUE"""),33.0)</f>
        <v>33</v>
      </c>
      <c r="E530" s="8" t="str">
        <f>IFERROR(__xludf.DUMMYFUNCTION("""COMPUTED_VALUE"""),"X12")</f>
        <v>X12</v>
      </c>
      <c r="F530" s="9" t="str">
        <f>IFERROR(__xludf.DUMMYFUNCTION("""COMPUTED_VALUE"""),"33 - X12 - Kevin Septian Ramadhan - L")</f>
        <v>33 - X12 - Kevin Septian Ramadhan - L</v>
      </c>
    </row>
    <row r="531">
      <c r="A531" s="8" t="str">
        <f>IFERROR(__xludf.DUMMYFUNCTION("""COMPUTED_VALUE"""),"0094431854 / 252610296")</f>
        <v>0094431854 / 252610296</v>
      </c>
      <c r="B531" s="8" t="str">
        <f>IFERROR(__xludf.DUMMYFUNCTION("""COMPUTED_VALUE"""),"Madina Zulfa Aini - P")</f>
        <v>Madina Zulfa Aini - P</v>
      </c>
      <c r="C531" s="8" t="str">
        <f>IFERROR(__xludf.DUMMYFUNCTION("""COMPUTED_VALUE"""),"P")</f>
        <v>P</v>
      </c>
      <c r="D531" s="8">
        <f>IFERROR(__xludf.DUMMYFUNCTION("""COMPUTED_VALUE"""),33.0)</f>
        <v>33</v>
      </c>
      <c r="E531" s="8" t="str">
        <f>IFERROR(__xludf.DUMMYFUNCTION("""COMPUTED_VALUE"""),"X12")</f>
        <v>X12</v>
      </c>
      <c r="F531" s="9" t="str">
        <f>IFERROR(__xludf.DUMMYFUNCTION("""COMPUTED_VALUE"""),"33 - X12 - Madina Zulfa Aini - P")</f>
        <v>33 - X12 - Madina Zulfa Aini - P</v>
      </c>
    </row>
    <row r="532">
      <c r="A532" s="8" t="str">
        <f>IFERROR(__xludf.DUMMYFUNCTION("""COMPUTED_VALUE"""),"0103035193 / 252610298")</f>
        <v>0103035193 / 252610298</v>
      </c>
      <c r="B532" s="8" t="str">
        <f>IFERROR(__xludf.DUMMYFUNCTION("""COMPUTED_VALUE"""),"Maheswara Pekik Hanuraga - L")</f>
        <v>Maheswara Pekik Hanuraga - L</v>
      </c>
      <c r="C532" s="8" t="str">
        <f>IFERROR(__xludf.DUMMYFUNCTION("""COMPUTED_VALUE"""),"L")</f>
        <v>L</v>
      </c>
      <c r="D532" s="8">
        <f>IFERROR(__xludf.DUMMYFUNCTION("""COMPUTED_VALUE"""),33.0)</f>
        <v>33</v>
      </c>
      <c r="E532" s="8" t="str">
        <f>IFERROR(__xludf.DUMMYFUNCTION("""COMPUTED_VALUE"""),"X12")</f>
        <v>X12</v>
      </c>
      <c r="F532" s="9" t="str">
        <f>IFERROR(__xludf.DUMMYFUNCTION("""COMPUTED_VALUE"""),"33 - X12 - Maheswara Pekik Hanuraga - L")</f>
        <v>33 - X12 - Maheswara Pekik Hanuraga - L</v>
      </c>
    </row>
    <row r="533">
      <c r="A533" s="8" t="str">
        <f>IFERROR(__xludf.DUMMYFUNCTION("""COMPUTED_VALUE"""),"0106434110 / 252610303")</f>
        <v>0106434110 / 252610303</v>
      </c>
      <c r="B533" s="8" t="str">
        <f>IFERROR(__xludf.DUMMYFUNCTION("""COMPUTED_VALUE"""),"Maria Agatha Cherlin Christiani - P")</f>
        <v>Maria Agatha Cherlin Christiani - P</v>
      </c>
      <c r="C533" s="8" t="str">
        <f>IFERROR(__xludf.DUMMYFUNCTION("""COMPUTED_VALUE"""),"P")</f>
        <v>P</v>
      </c>
      <c r="D533" s="8">
        <f>IFERROR(__xludf.DUMMYFUNCTION("""COMPUTED_VALUE"""),33.0)</f>
        <v>33</v>
      </c>
      <c r="E533" s="8" t="str">
        <f>IFERROR(__xludf.DUMMYFUNCTION("""COMPUTED_VALUE"""),"X12")</f>
        <v>X12</v>
      </c>
      <c r="F533" s="9" t="str">
        <f>IFERROR(__xludf.DUMMYFUNCTION("""COMPUTED_VALUE"""),"33 - X12 - Maria Agatha Cherlin Christiani - P")</f>
        <v>33 - X12 - Maria Agatha Cherlin Christiani - P</v>
      </c>
    </row>
    <row r="534">
      <c r="A534" s="8" t="str">
        <f>IFERROR(__xludf.DUMMYFUNCTION("""COMPUTED_VALUE"""),"0095778047 / 252610307")</f>
        <v>0095778047 / 252610307</v>
      </c>
      <c r="B534" s="8" t="str">
        <f>IFERROR(__xludf.DUMMYFUNCTION("""COMPUTED_VALUE"""),"Maulida Ainnurahma - P")</f>
        <v>Maulida Ainnurahma - P</v>
      </c>
      <c r="C534" s="8" t="str">
        <f>IFERROR(__xludf.DUMMYFUNCTION("""COMPUTED_VALUE"""),"P")</f>
        <v>P</v>
      </c>
      <c r="D534" s="8">
        <f>IFERROR(__xludf.DUMMYFUNCTION("""COMPUTED_VALUE"""),33.0)</f>
        <v>33</v>
      </c>
      <c r="E534" s="8" t="str">
        <f>IFERROR(__xludf.DUMMYFUNCTION("""COMPUTED_VALUE"""),"X12")</f>
        <v>X12</v>
      </c>
      <c r="F534" s="9" t="str">
        <f>IFERROR(__xludf.DUMMYFUNCTION("""COMPUTED_VALUE"""),"33 - X12 - Maulida Ainnurahma - P")</f>
        <v>33 - X12 - Maulida Ainnurahma - P</v>
      </c>
    </row>
    <row r="535">
      <c r="A535" s="8" t="str">
        <f>IFERROR(__xludf.DUMMYFUNCTION("""COMPUTED_VALUE"""),"0103777854 / 252610331")</f>
        <v>0103777854 / 252610331</v>
      </c>
      <c r="B535" s="8" t="str">
        <f>IFERROR(__xludf.DUMMYFUNCTION("""COMPUTED_VALUE"""),"Muhamad Subkhi - L")</f>
        <v>Muhamad Subkhi - L</v>
      </c>
      <c r="C535" s="8" t="str">
        <f>IFERROR(__xludf.DUMMYFUNCTION("""COMPUTED_VALUE"""),"L")</f>
        <v>L</v>
      </c>
      <c r="D535" s="8">
        <f>IFERROR(__xludf.DUMMYFUNCTION("""COMPUTED_VALUE"""),33.0)</f>
        <v>33</v>
      </c>
      <c r="E535" s="8" t="str">
        <f>IFERROR(__xludf.DUMMYFUNCTION("""COMPUTED_VALUE"""),"X12")</f>
        <v>X12</v>
      </c>
      <c r="F535" s="9" t="str">
        <f>IFERROR(__xludf.DUMMYFUNCTION("""COMPUTED_VALUE"""),"33 - X12 - Muhamad Subkhi - L")</f>
        <v>33 - X12 - Muhamad Subkhi - L</v>
      </c>
    </row>
    <row r="536">
      <c r="A536" s="8" t="str">
        <f>IFERROR(__xludf.DUMMYFUNCTION("""COMPUTED_VALUE"""),"3109116422 / 252610339")</f>
        <v>3109116422 / 252610339</v>
      </c>
      <c r="B536" s="8" t="str">
        <f>IFERROR(__xludf.DUMMYFUNCTION("""COMPUTED_VALUE"""),"Muhammad Armanugie Saputra - L")</f>
        <v>Muhammad Armanugie Saputra - L</v>
      </c>
      <c r="C536" s="8" t="str">
        <f>IFERROR(__xludf.DUMMYFUNCTION("""COMPUTED_VALUE"""),"L")</f>
        <v>L</v>
      </c>
      <c r="D536" s="8">
        <f>IFERROR(__xludf.DUMMYFUNCTION("""COMPUTED_VALUE"""),33.0)</f>
        <v>33</v>
      </c>
      <c r="E536" s="8" t="str">
        <f>IFERROR(__xludf.DUMMYFUNCTION("""COMPUTED_VALUE"""),"X12")</f>
        <v>X12</v>
      </c>
      <c r="F536" s="9" t="str">
        <f>IFERROR(__xludf.DUMMYFUNCTION("""COMPUTED_VALUE"""),"33 - X12 - Muhammad Armanugie Saputra - L")</f>
        <v>33 - X12 - Muhammad Armanugie Saputra - L</v>
      </c>
    </row>
    <row r="537">
      <c r="A537" s="8" t="str">
        <f>IFERROR(__xludf.DUMMYFUNCTION("""COMPUTED_VALUE"""),"0103887571 / 252610359")</f>
        <v>0103887571 / 252610359</v>
      </c>
      <c r="B537" s="8" t="str">
        <f>IFERROR(__xludf.DUMMYFUNCTION("""COMPUTED_VALUE"""),"Muhammad Javier - L")</f>
        <v>Muhammad Javier - L</v>
      </c>
      <c r="C537" s="8" t="str">
        <f>IFERROR(__xludf.DUMMYFUNCTION("""COMPUTED_VALUE"""),"L")</f>
        <v>L</v>
      </c>
      <c r="D537" s="8">
        <f>IFERROR(__xludf.DUMMYFUNCTION("""COMPUTED_VALUE"""),33.0)</f>
        <v>33</v>
      </c>
      <c r="E537" s="8" t="str">
        <f>IFERROR(__xludf.DUMMYFUNCTION("""COMPUTED_VALUE"""),"X12")</f>
        <v>X12</v>
      </c>
      <c r="F537" s="9" t="str">
        <f>IFERROR(__xludf.DUMMYFUNCTION("""COMPUTED_VALUE"""),"33 - X12 - Muhammad Javier - L")</f>
        <v>33 - X12 - Muhammad Javier - L</v>
      </c>
    </row>
    <row r="538">
      <c r="A538" s="8" t="str">
        <f>IFERROR(__xludf.DUMMYFUNCTION("""COMPUTED_VALUE"""),"0102148224 / 252610377")</f>
        <v>0102148224 / 252610377</v>
      </c>
      <c r="B538" s="8" t="str">
        <f>IFERROR(__xludf.DUMMYFUNCTION("""COMPUTED_VALUE"""),"Muhammad Zahran Rifai - L")</f>
        <v>Muhammad Zahran Rifai - L</v>
      </c>
      <c r="C538" s="8" t="str">
        <f>IFERROR(__xludf.DUMMYFUNCTION("""COMPUTED_VALUE"""),"L")</f>
        <v>L</v>
      </c>
      <c r="D538" s="8">
        <f>IFERROR(__xludf.DUMMYFUNCTION("""COMPUTED_VALUE"""),33.0)</f>
        <v>33</v>
      </c>
      <c r="E538" s="8" t="str">
        <f>IFERROR(__xludf.DUMMYFUNCTION("""COMPUTED_VALUE"""),"X12")</f>
        <v>X12</v>
      </c>
      <c r="F538" s="9" t="str">
        <f>IFERROR(__xludf.DUMMYFUNCTION("""COMPUTED_VALUE"""),"33 - X12 - Muhammad Zahran Rifai - L")</f>
        <v>33 - X12 - Muhammad Zahran Rifai - L</v>
      </c>
    </row>
    <row r="539">
      <c r="A539" s="8" t="str">
        <f>IFERROR(__xludf.DUMMYFUNCTION("""COMPUTED_VALUE"""),"0096368920 / 252610387")</f>
        <v>0096368920 / 252610387</v>
      </c>
      <c r="B539" s="8" t="str">
        <f>IFERROR(__xludf.DUMMYFUNCTION("""COMPUTED_VALUE"""),"Nadhifa Qeysa Auliani Soehardi - P")</f>
        <v>Nadhifa Qeysa Auliani Soehardi - P</v>
      </c>
      <c r="C539" s="8" t="str">
        <f>IFERROR(__xludf.DUMMYFUNCTION("""COMPUTED_VALUE"""),"P")</f>
        <v>P</v>
      </c>
      <c r="D539" s="8">
        <f>IFERROR(__xludf.DUMMYFUNCTION("""COMPUTED_VALUE"""),33.0)</f>
        <v>33</v>
      </c>
      <c r="E539" s="8" t="str">
        <f>IFERROR(__xludf.DUMMYFUNCTION("""COMPUTED_VALUE"""),"X12")</f>
        <v>X12</v>
      </c>
      <c r="F539" s="9" t="str">
        <f>IFERROR(__xludf.DUMMYFUNCTION("""COMPUTED_VALUE"""),"33 - X12 - Nadhifa Qeysa Auliani Soehardi - P")</f>
        <v>33 - X12 - Nadhifa Qeysa Auliani Soehardi - P</v>
      </c>
    </row>
    <row r="540">
      <c r="A540" s="8" t="str">
        <f>IFERROR(__xludf.DUMMYFUNCTION("""COMPUTED_VALUE"""),"0094328074 / 252610391")</f>
        <v>0094328074 / 252610391</v>
      </c>
      <c r="B540" s="8" t="str">
        <f>IFERROR(__xludf.DUMMYFUNCTION("""COMPUTED_VALUE"""),"Naila - P")</f>
        <v>Naila - P</v>
      </c>
      <c r="C540" s="8" t="str">
        <f>IFERROR(__xludf.DUMMYFUNCTION("""COMPUTED_VALUE"""),"P")</f>
        <v>P</v>
      </c>
      <c r="D540" s="8">
        <f>IFERROR(__xludf.DUMMYFUNCTION("""COMPUTED_VALUE"""),33.0)</f>
        <v>33</v>
      </c>
      <c r="E540" s="8" t="str">
        <f>IFERROR(__xludf.DUMMYFUNCTION("""COMPUTED_VALUE"""),"X12")</f>
        <v>X12</v>
      </c>
      <c r="F540" s="9" t="str">
        <f>IFERROR(__xludf.DUMMYFUNCTION("""COMPUTED_VALUE"""),"33 - X12 - Naila - P")</f>
        <v>33 - X12 - Naila - P</v>
      </c>
    </row>
    <row r="541">
      <c r="A541" s="8" t="str">
        <f>IFERROR(__xludf.DUMMYFUNCTION("""COMPUTED_VALUE"""),"0098429745 / 252610400")</f>
        <v>0098429745 / 252610400</v>
      </c>
      <c r="B541" s="8" t="str">
        <f>IFERROR(__xludf.DUMMYFUNCTION("""COMPUTED_VALUE"""),"Natiq Tawqir Muniruzzaman Anandamaya - L")</f>
        <v>Natiq Tawqir Muniruzzaman Anandamaya - L</v>
      </c>
      <c r="C541" s="8" t="str">
        <f>IFERROR(__xludf.DUMMYFUNCTION("""COMPUTED_VALUE"""),"L")</f>
        <v>L</v>
      </c>
      <c r="D541" s="8">
        <f>IFERROR(__xludf.DUMMYFUNCTION("""COMPUTED_VALUE"""),33.0)</f>
        <v>33</v>
      </c>
      <c r="E541" s="8" t="str">
        <f>IFERROR(__xludf.DUMMYFUNCTION("""COMPUTED_VALUE"""),"X12")</f>
        <v>X12</v>
      </c>
      <c r="F541" s="9" t="str">
        <f>IFERROR(__xludf.DUMMYFUNCTION("""COMPUTED_VALUE"""),"33 - X12 - Natiq Tawqir Muniruzzaman Anandamaya - L")</f>
        <v>33 - X12 - Natiq Tawqir Muniruzzaman Anandamaya - L</v>
      </c>
    </row>
    <row r="542">
      <c r="A542" s="8" t="str">
        <f>IFERROR(__xludf.DUMMYFUNCTION("""COMPUTED_VALUE"""),"3102974181 / 252610405")</f>
        <v>3102974181 / 252610405</v>
      </c>
      <c r="B542" s="8" t="str">
        <f>IFERROR(__xludf.DUMMYFUNCTION("""COMPUTED_VALUE"""),"Naureen Shabiha Zahira - P")</f>
        <v>Naureen Shabiha Zahira - P</v>
      </c>
      <c r="C542" s="8" t="str">
        <f>IFERROR(__xludf.DUMMYFUNCTION("""COMPUTED_VALUE"""),"P")</f>
        <v>P</v>
      </c>
      <c r="D542" s="8">
        <f>IFERROR(__xludf.DUMMYFUNCTION("""COMPUTED_VALUE"""),33.0)</f>
        <v>33</v>
      </c>
      <c r="E542" s="8" t="str">
        <f>IFERROR(__xludf.DUMMYFUNCTION("""COMPUTED_VALUE"""),"X12")</f>
        <v>X12</v>
      </c>
      <c r="F542" s="9" t="str">
        <f>IFERROR(__xludf.DUMMYFUNCTION("""COMPUTED_VALUE"""),"33 - X12 - Naureen Shabiha Zahira - P")</f>
        <v>33 - X12 - Naureen Shabiha Zahira - P</v>
      </c>
    </row>
    <row r="543">
      <c r="A543" s="8" t="str">
        <f>IFERROR(__xludf.DUMMYFUNCTION("""COMPUTED_VALUE"""),"0099622136 / 252610407")</f>
        <v>0099622136 / 252610407</v>
      </c>
      <c r="B543" s="8" t="str">
        <f>IFERROR(__xludf.DUMMYFUNCTION("""COMPUTED_VALUE"""),"Nayla Lyra Sagita - P")</f>
        <v>Nayla Lyra Sagita - P</v>
      </c>
      <c r="C543" s="8" t="str">
        <f>IFERROR(__xludf.DUMMYFUNCTION("""COMPUTED_VALUE"""),"P")</f>
        <v>P</v>
      </c>
      <c r="D543" s="8">
        <f>IFERROR(__xludf.DUMMYFUNCTION("""COMPUTED_VALUE"""),33.0)</f>
        <v>33</v>
      </c>
      <c r="E543" s="8" t="str">
        <f>IFERROR(__xludf.DUMMYFUNCTION("""COMPUTED_VALUE"""),"X12")</f>
        <v>X12</v>
      </c>
      <c r="F543" s="9" t="str">
        <f>IFERROR(__xludf.DUMMYFUNCTION("""COMPUTED_VALUE"""),"33 - X12 - Nayla Lyra Sagita - P")</f>
        <v>33 - X12 - Nayla Lyra Sagita - P</v>
      </c>
    </row>
    <row r="544">
      <c r="A544" s="8" t="str">
        <f>IFERROR(__xludf.DUMMYFUNCTION("""COMPUTED_VALUE"""),"0102898760 / 252610411")</f>
        <v>0102898760 / 252610411</v>
      </c>
      <c r="B544" s="8" t="str">
        <f>IFERROR(__xludf.DUMMYFUNCTION("""COMPUTED_VALUE"""),"Naywa Dinda Kansana Lubis - P")</f>
        <v>Naywa Dinda Kansana Lubis - P</v>
      </c>
      <c r="C544" s="8" t="str">
        <f>IFERROR(__xludf.DUMMYFUNCTION("""COMPUTED_VALUE"""),"P")</f>
        <v>P</v>
      </c>
      <c r="D544" s="8">
        <f>IFERROR(__xludf.DUMMYFUNCTION("""COMPUTED_VALUE"""),33.0)</f>
        <v>33</v>
      </c>
      <c r="E544" s="8" t="str">
        <f>IFERROR(__xludf.DUMMYFUNCTION("""COMPUTED_VALUE"""),"X12")</f>
        <v>X12</v>
      </c>
      <c r="F544" s="9" t="str">
        <f>IFERROR(__xludf.DUMMYFUNCTION("""COMPUTED_VALUE"""),"33 - X12 - Naywa Dinda Kansana Lubis - P")</f>
        <v>33 - X12 - Naywa Dinda Kansana Lubis - P</v>
      </c>
    </row>
    <row r="545">
      <c r="A545" s="8" t="str">
        <f>IFERROR(__xludf.DUMMYFUNCTION("""COMPUTED_VALUE"""),"0108592067 / 252610418")</f>
        <v>0108592067 / 252610418</v>
      </c>
      <c r="B545" s="8" t="str">
        <f>IFERROR(__xludf.DUMMYFUNCTION("""COMPUTED_VALUE"""),"Ni Putu Anjani Dewi Diningrat - P")</f>
        <v>Ni Putu Anjani Dewi Diningrat - P</v>
      </c>
      <c r="C545" s="8" t="str">
        <f>IFERROR(__xludf.DUMMYFUNCTION("""COMPUTED_VALUE"""),"P")</f>
        <v>P</v>
      </c>
      <c r="D545" s="8">
        <f>IFERROR(__xludf.DUMMYFUNCTION("""COMPUTED_VALUE"""),33.0)</f>
        <v>33</v>
      </c>
      <c r="E545" s="8" t="str">
        <f>IFERROR(__xludf.DUMMYFUNCTION("""COMPUTED_VALUE"""),"X12")</f>
        <v>X12</v>
      </c>
      <c r="F545" s="9" t="str">
        <f>IFERROR(__xludf.DUMMYFUNCTION("""COMPUTED_VALUE"""),"33 - X12 - Ni Putu Anjani Dewi Diningrat - P")</f>
        <v>33 - X12 - Ni Putu Anjani Dewi Diningrat - P</v>
      </c>
    </row>
    <row r="546">
      <c r="A546" s="8" t="str">
        <f>IFERROR(__xludf.DUMMYFUNCTION("""COMPUTED_VALUE"""),"0095623487 / 252610430")</f>
        <v>0095623487 / 252610430</v>
      </c>
      <c r="B546" s="8" t="str">
        <f>IFERROR(__xludf.DUMMYFUNCTION("""COMPUTED_VALUE"""),"Olivia Desvita Sari - P")</f>
        <v>Olivia Desvita Sari - P</v>
      </c>
      <c r="C546" s="8" t="str">
        <f>IFERROR(__xludf.DUMMYFUNCTION("""COMPUTED_VALUE"""),"P")</f>
        <v>P</v>
      </c>
      <c r="D546" s="8">
        <f>IFERROR(__xludf.DUMMYFUNCTION("""COMPUTED_VALUE"""),33.0)</f>
        <v>33</v>
      </c>
      <c r="E546" s="8" t="str">
        <f>IFERROR(__xludf.DUMMYFUNCTION("""COMPUTED_VALUE"""),"X12")</f>
        <v>X12</v>
      </c>
      <c r="F546" s="9" t="str">
        <f>IFERROR(__xludf.DUMMYFUNCTION("""COMPUTED_VALUE"""),"33 - X12 - Olivia Desvita Sari - P")</f>
        <v>33 - X12 - Olivia Desvita Sari - P</v>
      </c>
    </row>
    <row r="547">
      <c r="A547" s="8" t="str">
        <f>IFERROR(__xludf.DUMMYFUNCTION("""COMPUTED_VALUE"""),"0106961567 / 252610448")</f>
        <v>0106961567 / 252610448</v>
      </c>
      <c r="B547" s="8" t="str">
        <f>IFERROR(__xludf.DUMMYFUNCTION("""COMPUTED_VALUE"""),"R.A.M. Fakhri Izzuddin Mashur - L")</f>
        <v>R.A.M. Fakhri Izzuddin Mashur - L</v>
      </c>
      <c r="C547" s="8" t="str">
        <f>IFERROR(__xludf.DUMMYFUNCTION("""COMPUTED_VALUE"""),"L")</f>
        <v>L</v>
      </c>
      <c r="D547" s="8">
        <f>IFERROR(__xludf.DUMMYFUNCTION("""COMPUTED_VALUE"""),33.0)</f>
        <v>33</v>
      </c>
      <c r="E547" s="8" t="str">
        <f>IFERROR(__xludf.DUMMYFUNCTION("""COMPUTED_VALUE"""),"X12")</f>
        <v>X12</v>
      </c>
      <c r="F547" s="9" t="str">
        <f>IFERROR(__xludf.DUMMYFUNCTION("""COMPUTED_VALUE"""),"33 - X12 - R.A.M. Fakhri Izzuddin Mashur - L")</f>
        <v>33 - X12 - R.A.M. Fakhri Izzuddin Mashur - L</v>
      </c>
    </row>
    <row r="548">
      <c r="A548" s="8" t="str">
        <f>IFERROR(__xludf.DUMMYFUNCTION("""COMPUTED_VALUE"""),"0105994913 / 252610455")</f>
        <v>0105994913 / 252610455</v>
      </c>
      <c r="B548" s="8" t="str">
        <f>IFERROR(__xludf.DUMMYFUNCTION("""COMPUTED_VALUE"""),"Radinka Alano Hamizan Abqari - L")</f>
        <v>Radinka Alano Hamizan Abqari - L</v>
      </c>
      <c r="C548" s="8" t="str">
        <f>IFERROR(__xludf.DUMMYFUNCTION("""COMPUTED_VALUE"""),"L")</f>
        <v>L</v>
      </c>
      <c r="D548" s="8">
        <f>IFERROR(__xludf.DUMMYFUNCTION("""COMPUTED_VALUE"""),33.0)</f>
        <v>33</v>
      </c>
      <c r="E548" s="8" t="str">
        <f>IFERROR(__xludf.DUMMYFUNCTION("""COMPUTED_VALUE"""),"X12")</f>
        <v>X12</v>
      </c>
      <c r="F548" s="9" t="str">
        <f>IFERROR(__xludf.DUMMYFUNCTION("""COMPUTED_VALUE"""),"33 - X12 - Radinka Alano Hamizan Abqari - L")</f>
        <v>33 - X12 - Radinka Alano Hamizan Abqari - L</v>
      </c>
    </row>
    <row r="549">
      <c r="A549" s="8" t="str">
        <f>IFERROR(__xludf.DUMMYFUNCTION("""COMPUTED_VALUE"""),"0093563834 / 252610490")</f>
        <v>0093563834 / 252610490</v>
      </c>
      <c r="B549" s="8" t="str">
        <f>IFERROR(__xludf.DUMMYFUNCTION("""COMPUTED_VALUE"""),"Rifqah Ramadhani - P")</f>
        <v>Rifqah Ramadhani - P</v>
      </c>
      <c r="C549" s="8" t="str">
        <f>IFERROR(__xludf.DUMMYFUNCTION("""COMPUTED_VALUE"""),"P")</f>
        <v>P</v>
      </c>
      <c r="D549" s="8">
        <f>IFERROR(__xludf.DUMMYFUNCTION("""COMPUTED_VALUE"""),33.0)</f>
        <v>33</v>
      </c>
      <c r="E549" s="8" t="str">
        <f>IFERROR(__xludf.DUMMYFUNCTION("""COMPUTED_VALUE"""),"X12")</f>
        <v>X12</v>
      </c>
      <c r="F549" s="9" t="str">
        <f>IFERROR(__xludf.DUMMYFUNCTION("""COMPUTED_VALUE"""),"33 - X12 - Rifqah Ramadhani - P")</f>
        <v>33 - X12 - Rifqah Ramadhani - P</v>
      </c>
    </row>
    <row r="550">
      <c r="A550" s="8" t="str">
        <f>IFERROR(__xludf.DUMMYFUNCTION("""COMPUTED_VALUE"""),"0097303991 / 252610494")</f>
        <v>0097303991 / 252610494</v>
      </c>
      <c r="B550" s="8" t="str">
        <f>IFERROR(__xludf.DUMMYFUNCTION("""COMPUTED_VALUE"""),"Roshan Aidan Juro Aprianto - L")</f>
        <v>Roshan Aidan Juro Aprianto - L</v>
      </c>
      <c r="C550" s="8" t="str">
        <f>IFERROR(__xludf.DUMMYFUNCTION("""COMPUTED_VALUE"""),"L")</f>
        <v>L</v>
      </c>
      <c r="D550" s="8">
        <f>IFERROR(__xludf.DUMMYFUNCTION("""COMPUTED_VALUE"""),33.0)</f>
        <v>33</v>
      </c>
      <c r="E550" s="8" t="str">
        <f>IFERROR(__xludf.DUMMYFUNCTION("""COMPUTED_VALUE"""),"X12")</f>
        <v>X12</v>
      </c>
      <c r="F550" s="9" t="str">
        <f>IFERROR(__xludf.DUMMYFUNCTION("""COMPUTED_VALUE"""),"33 - X12 - Roshan Aidan Juro Aprianto - L")</f>
        <v>33 - X12 - Roshan Aidan Juro Aprianto - L</v>
      </c>
    </row>
    <row r="551">
      <c r="A551" s="8" t="str">
        <f>IFERROR(__xludf.DUMMYFUNCTION("""COMPUTED_VALUE"""),"0098050747 / 252610496")</f>
        <v>0098050747 / 252610496</v>
      </c>
      <c r="B551" s="8" t="str">
        <f>IFERROR(__xludf.DUMMYFUNCTION("""COMPUTED_VALUE"""),"Ruba Aqeela Hafizha Mecca - P")</f>
        <v>Ruba Aqeela Hafizha Mecca - P</v>
      </c>
      <c r="C551" s="8" t="str">
        <f>IFERROR(__xludf.DUMMYFUNCTION("""COMPUTED_VALUE"""),"P")</f>
        <v>P</v>
      </c>
      <c r="D551" s="8">
        <f>IFERROR(__xludf.DUMMYFUNCTION("""COMPUTED_VALUE"""),33.0)</f>
        <v>33</v>
      </c>
      <c r="E551" s="8" t="str">
        <f>IFERROR(__xludf.DUMMYFUNCTION("""COMPUTED_VALUE"""),"X12")</f>
        <v>X12</v>
      </c>
      <c r="F551" s="9" t="str">
        <f>IFERROR(__xludf.DUMMYFUNCTION("""COMPUTED_VALUE"""),"33 - X12 - Ruba Aqeela Hafizha Mecca - P")</f>
        <v>33 - X12 - Ruba Aqeela Hafizha Mecca - P</v>
      </c>
    </row>
    <row r="552">
      <c r="A552" s="8" t="str">
        <f>IFERROR(__xludf.DUMMYFUNCTION("""COMPUTED_VALUE"""),"0092524998 / 252610502")</f>
        <v>0092524998 / 252610502</v>
      </c>
      <c r="B552" s="8" t="str">
        <f>IFERROR(__xludf.DUMMYFUNCTION("""COMPUTED_VALUE"""),"Sajna Jerrusalem Kharima Sugeng Putri - P")</f>
        <v>Sajna Jerrusalem Kharima Sugeng Putri - P</v>
      </c>
      <c r="C552" s="8" t="str">
        <f>IFERROR(__xludf.DUMMYFUNCTION("""COMPUTED_VALUE"""),"P")</f>
        <v>P</v>
      </c>
      <c r="D552" s="8">
        <f>IFERROR(__xludf.DUMMYFUNCTION("""COMPUTED_VALUE"""),33.0)</f>
        <v>33</v>
      </c>
      <c r="E552" s="8" t="str">
        <f>IFERROR(__xludf.DUMMYFUNCTION("""COMPUTED_VALUE"""),"X12")</f>
        <v>X12</v>
      </c>
      <c r="F552" s="9" t="str">
        <f>IFERROR(__xludf.DUMMYFUNCTION("""COMPUTED_VALUE"""),"33 - X12 - Sajna Jerrusalem Kharima Sugeng Putri - P")</f>
        <v>33 - X12 - Sajna Jerrusalem Kharima Sugeng Putri - P</v>
      </c>
    </row>
    <row r="553">
      <c r="A553" s="10" t="str">
        <f>IFERROR(__xludf.DUMMYFUNCTION("""COMPUTED_VALUE"""),"0109344308 / 252610516")</f>
        <v>0109344308 / 252610516</v>
      </c>
      <c r="B553" s="8" t="str">
        <f>IFERROR(__xludf.DUMMYFUNCTION("""COMPUTED_VALUE"""),"Shahrazad Aulia Handyanto - P")</f>
        <v>Shahrazad Aulia Handyanto - P</v>
      </c>
      <c r="C553" s="8" t="str">
        <f>IFERROR(__xludf.DUMMYFUNCTION("""COMPUTED_VALUE"""),"P")</f>
        <v>P</v>
      </c>
      <c r="D553" s="8">
        <f>IFERROR(__xludf.DUMMYFUNCTION("""COMPUTED_VALUE"""),33.0)</f>
        <v>33</v>
      </c>
      <c r="E553" s="8" t="str">
        <f>IFERROR(__xludf.DUMMYFUNCTION("""COMPUTED_VALUE"""),"X12")</f>
        <v>X12</v>
      </c>
      <c r="F553" s="9" t="str">
        <f>IFERROR(__xludf.DUMMYFUNCTION("""COMPUTED_VALUE"""),"33 - X12 - Shahrazad Aulia Handyanto - P")</f>
        <v>33 - X12 - Shahrazad Aulia Handyanto - P</v>
      </c>
    </row>
    <row r="554">
      <c r="A554" s="10" t="str">
        <f>IFERROR(__xludf.DUMMYFUNCTION("""COMPUTED_VALUE"""),"0101659072 / 252610531")</f>
        <v>0101659072 / 252610531</v>
      </c>
      <c r="B554" s="8" t="str">
        <f>IFERROR(__xludf.DUMMYFUNCTION("""COMPUTED_VALUE"""),"Syahla Salsabila Ramdani - P")</f>
        <v>Syahla Salsabila Ramdani - P</v>
      </c>
      <c r="C554" s="8" t="str">
        <f>IFERROR(__xludf.DUMMYFUNCTION("""COMPUTED_VALUE"""),"P")</f>
        <v>P</v>
      </c>
      <c r="D554" s="8">
        <f>IFERROR(__xludf.DUMMYFUNCTION("""COMPUTED_VALUE"""),33.0)</f>
        <v>33</v>
      </c>
      <c r="E554" s="8" t="str">
        <f>IFERROR(__xludf.DUMMYFUNCTION("""COMPUTED_VALUE"""),"X12")</f>
        <v>X12</v>
      </c>
      <c r="F554" s="9" t="str">
        <f>IFERROR(__xludf.DUMMYFUNCTION("""COMPUTED_VALUE"""),"33 - X12 - Syahla Salsabila Ramdani - P")</f>
        <v>33 - X12 - Syahla Salsabila Ramdani - P</v>
      </c>
    </row>
    <row r="555">
      <c r="A555" s="10" t="str">
        <f>IFERROR(__xludf.DUMMYFUNCTION("""COMPUTED_VALUE"""),"0095899359 / 252610550")</f>
        <v>0095899359 / 252610550</v>
      </c>
      <c r="B555" s="8" t="str">
        <f>IFERROR(__xludf.DUMMYFUNCTION("""COMPUTED_VALUE"""),"Velicya Arnelita Zahra Suryana - P")</f>
        <v>Velicya Arnelita Zahra Suryana - P</v>
      </c>
      <c r="C555" s="8" t="str">
        <f>IFERROR(__xludf.DUMMYFUNCTION("""COMPUTED_VALUE"""),"P")</f>
        <v>P</v>
      </c>
      <c r="D555" s="8">
        <f>IFERROR(__xludf.DUMMYFUNCTION("""COMPUTED_VALUE"""),33.0)</f>
        <v>33</v>
      </c>
      <c r="E555" s="8" t="str">
        <f>IFERROR(__xludf.DUMMYFUNCTION("""COMPUTED_VALUE"""),"X12")</f>
        <v>X12</v>
      </c>
      <c r="F555" s="9" t="str">
        <f>IFERROR(__xludf.DUMMYFUNCTION("""COMPUTED_VALUE"""),"33 - X12 - Velicya Arnelita Zahra Suryana - P")</f>
        <v>33 - X12 - Velicya Arnelita Zahra Suryana - P</v>
      </c>
    </row>
    <row r="556">
      <c r="A556" s="10" t="str">
        <f>IFERROR(__xludf.DUMMYFUNCTION("""COMPUTED_VALUE"""),"0095810986 / 252610562")</f>
        <v>0095810986 / 252610562</v>
      </c>
      <c r="B556" s="8" t="str">
        <f>IFERROR(__xludf.DUMMYFUNCTION("""COMPUTED_VALUE"""),"Zalfa Rizqia Nur Nadhifa - P")</f>
        <v>Zalfa Rizqia Nur Nadhifa - P</v>
      </c>
      <c r="C556" s="8" t="str">
        <f>IFERROR(__xludf.DUMMYFUNCTION("""COMPUTED_VALUE"""),"P")</f>
        <v>P</v>
      </c>
      <c r="D556" s="8">
        <f>IFERROR(__xludf.DUMMYFUNCTION("""COMPUTED_VALUE"""),33.0)</f>
        <v>33</v>
      </c>
      <c r="E556" s="8" t="str">
        <f>IFERROR(__xludf.DUMMYFUNCTION("""COMPUTED_VALUE"""),"X12")</f>
        <v>X12</v>
      </c>
      <c r="F556" s="9" t="str">
        <f>IFERROR(__xludf.DUMMYFUNCTION("""COMPUTED_VALUE"""),"33 - X12 - Zalfa Rizqia Nur Nadhifa - P")</f>
        <v>33 - X12 - Zalfa Rizqia Nur Nadhifa - P</v>
      </c>
    </row>
    <row r="557">
      <c r="A557" s="3" t="str">
        <f>IFERROR(__xludf.DUMMYFUNCTION("""COMPUTED_VALUE"""),"0082590495 / 242510008")</f>
        <v>0082590495 / 242510008</v>
      </c>
      <c r="B557" s="3" t="str">
        <f>IFERROR(__xludf.DUMMYFUNCTION("""COMPUTED_VALUE"""),"Agil Umar")</f>
        <v>Agil Umar</v>
      </c>
      <c r="C557" s="3" t="str">
        <f>IFERROR(__xludf.DUMMYFUNCTION("""COMPUTED_VALUE"""),"L")</f>
        <v>L</v>
      </c>
      <c r="D557" s="3">
        <f>IFERROR(__xludf.DUMMYFUNCTION("""COMPUTED_VALUE"""),32.0)</f>
        <v>32</v>
      </c>
      <c r="E557" s="3" t="str">
        <f>IFERROR(__xludf.DUMMYFUNCTION("""COMPUTED_VALUE"""),"XI A-1")</f>
        <v>XI A-1</v>
      </c>
      <c r="F557" s="11" t="str">
        <f>IFERROR(__xludf.DUMMYFUNCTION("""COMPUTED_VALUE"""),"32 - XI A-1 - Agil Umar")</f>
        <v>32 - XI A-1 - Agil Umar</v>
      </c>
    </row>
    <row r="558">
      <c r="A558" s="3" t="str">
        <f>IFERROR(__xludf.DUMMYFUNCTION("""COMPUTED_VALUE"""),"0097313548 / 242510011")</f>
        <v>0097313548 / 242510011</v>
      </c>
      <c r="B558" s="3" t="str">
        <f>IFERROR(__xludf.DUMMYFUNCTION("""COMPUTED_VALUE"""),"Ahmad Riyad Sugiarto")</f>
        <v>Ahmad Riyad Sugiarto</v>
      </c>
      <c r="C558" s="3" t="str">
        <f>IFERROR(__xludf.DUMMYFUNCTION("""COMPUTED_VALUE"""),"L")</f>
        <v>L</v>
      </c>
      <c r="D558" s="3">
        <f>IFERROR(__xludf.DUMMYFUNCTION("""COMPUTED_VALUE"""),32.0)</f>
        <v>32</v>
      </c>
      <c r="E558" s="3" t="str">
        <f>IFERROR(__xludf.DUMMYFUNCTION("""COMPUTED_VALUE"""),"XI A-1")</f>
        <v>XI A-1</v>
      </c>
      <c r="F558" s="11" t="str">
        <f>IFERROR(__xludf.DUMMYFUNCTION("""COMPUTED_VALUE"""),"32 - XI A-1 - Ahmad Riyad Sugiarto")</f>
        <v>32 - XI A-1 - Ahmad Riyad Sugiarto</v>
      </c>
    </row>
    <row r="559">
      <c r="A559" s="3" t="str">
        <f>IFERROR(__xludf.DUMMYFUNCTION("""COMPUTED_VALUE"""),"0094510551 / 242510025")</f>
        <v>0094510551 / 242510025</v>
      </c>
      <c r="B559" s="3" t="str">
        <f>IFERROR(__xludf.DUMMYFUNCTION("""COMPUTED_VALUE"""),"Alifah Khairani Sawaludin")</f>
        <v>Alifah Khairani Sawaludin</v>
      </c>
      <c r="C559" s="3" t="str">
        <f>IFERROR(__xludf.DUMMYFUNCTION("""COMPUTED_VALUE"""),"P")</f>
        <v>P</v>
      </c>
      <c r="D559" s="3">
        <f>IFERROR(__xludf.DUMMYFUNCTION("""COMPUTED_VALUE"""),32.0)</f>
        <v>32</v>
      </c>
      <c r="E559" s="3" t="str">
        <f>IFERROR(__xludf.DUMMYFUNCTION("""COMPUTED_VALUE"""),"XI A-1")</f>
        <v>XI A-1</v>
      </c>
      <c r="F559" s="11" t="str">
        <f>IFERROR(__xludf.DUMMYFUNCTION("""COMPUTED_VALUE"""),"32 - XI A-1 - Alifah Khairani Sawaludin")</f>
        <v>32 - XI A-1 - Alifah Khairani Sawaludin</v>
      </c>
    </row>
    <row r="560">
      <c r="A560" s="3" t="str">
        <f>IFERROR(__xludf.DUMMYFUNCTION("""COMPUTED_VALUE"""),"0087298416 / 242510031")</f>
        <v>0087298416 / 242510031</v>
      </c>
      <c r="B560" s="3" t="str">
        <f>IFERROR(__xludf.DUMMYFUNCTION("""COMPUTED_VALUE"""),"Almira Tungga Dewi")</f>
        <v>Almira Tungga Dewi</v>
      </c>
      <c r="C560" s="3" t="str">
        <f>IFERROR(__xludf.DUMMYFUNCTION("""COMPUTED_VALUE"""),"P")</f>
        <v>P</v>
      </c>
      <c r="D560" s="3">
        <f>IFERROR(__xludf.DUMMYFUNCTION("""COMPUTED_VALUE"""),32.0)</f>
        <v>32</v>
      </c>
      <c r="E560" s="3" t="str">
        <f>IFERROR(__xludf.DUMMYFUNCTION("""COMPUTED_VALUE"""),"XI A-1")</f>
        <v>XI A-1</v>
      </c>
      <c r="F560" s="11" t="str">
        <f>IFERROR(__xludf.DUMMYFUNCTION("""COMPUTED_VALUE"""),"32 - XI A-1 - Almira Tungga Dewi")</f>
        <v>32 - XI A-1 - Almira Tungga Dewi</v>
      </c>
    </row>
    <row r="561">
      <c r="A561" s="3" t="str">
        <f>IFERROR(__xludf.DUMMYFUNCTION("""COMPUTED_VALUE"""),"0095546511 / 242510069")</f>
        <v>0095546511 / 242510069</v>
      </c>
      <c r="B561" s="3" t="str">
        <f>IFERROR(__xludf.DUMMYFUNCTION("""COMPUTED_VALUE"""),"Aulya Mawal Juniar")</f>
        <v>Aulya Mawal Juniar</v>
      </c>
      <c r="C561" s="3" t="str">
        <f>IFERROR(__xludf.DUMMYFUNCTION("""COMPUTED_VALUE"""),"P")</f>
        <v>P</v>
      </c>
      <c r="D561" s="3">
        <f>IFERROR(__xludf.DUMMYFUNCTION("""COMPUTED_VALUE"""),32.0)</f>
        <v>32</v>
      </c>
      <c r="E561" s="3" t="str">
        <f>IFERROR(__xludf.DUMMYFUNCTION("""COMPUTED_VALUE"""),"XI A-1")</f>
        <v>XI A-1</v>
      </c>
      <c r="F561" s="11" t="str">
        <f>IFERROR(__xludf.DUMMYFUNCTION("""COMPUTED_VALUE"""),"32 - XI A-1 - Aulya Mawal Juniar")</f>
        <v>32 - XI A-1 - Aulya Mawal Juniar</v>
      </c>
    </row>
    <row r="562">
      <c r="A562" s="3" t="str">
        <f>IFERROR(__xludf.DUMMYFUNCTION("""COMPUTED_VALUE"""),"3086190678 / 242510079")</f>
        <v>3086190678 / 242510079</v>
      </c>
      <c r="B562" s="3" t="str">
        <f>IFERROR(__xludf.DUMMYFUNCTION("""COMPUTED_VALUE"""),"Bagaskara Arya Perkasa")</f>
        <v>Bagaskara Arya Perkasa</v>
      </c>
      <c r="C562" s="3" t="str">
        <f>IFERROR(__xludf.DUMMYFUNCTION("""COMPUTED_VALUE"""),"L")</f>
        <v>L</v>
      </c>
      <c r="D562" s="3">
        <f>IFERROR(__xludf.DUMMYFUNCTION("""COMPUTED_VALUE"""),32.0)</f>
        <v>32</v>
      </c>
      <c r="E562" s="3" t="str">
        <f>IFERROR(__xludf.DUMMYFUNCTION("""COMPUTED_VALUE"""),"XI A-1")</f>
        <v>XI A-1</v>
      </c>
      <c r="F562" s="11" t="str">
        <f>IFERROR(__xludf.DUMMYFUNCTION("""COMPUTED_VALUE"""),"32 - XI A-1 - Bagaskara Arya Perkasa")</f>
        <v>32 - XI A-1 - Bagaskara Arya Perkasa</v>
      </c>
    </row>
    <row r="563">
      <c r="A563" s="3" t="str">
        <f>IFERROR(__xludf.DUMMYFUNCTION("""COMPUTED_VALUE"""),"0107163370 / 242510095")</f>
        <v>0107163370 / 242510095</v>
      </c>
      <c r="B563" s="3" t="str">
        <f>IFERROR(__xludf.DUMMYFUNCTION("""COMPUTED_VALUE"""),"Chiara Nanda Setiyo Fazria")</f>
        <v>Chiara Nanda Setiyo Fazria</v>
      </c>
      <c r="C563" s="3" t="str">
        <f>IFERROR(__xludf.DUMMYFUNCTION("""COMPUTED_VALUE"""),"P")</f>
        <v>P</v>
      </c>
      <c r="D563" s="3">
        <f>IFERROR(__xludf.DUMMYFUNCTION("""COMPUTED_VALUE"""),32.0)</f>
        <v>32</v>
      </c>
      <c r="E563" s="3" t="str">
        <f>IFERROR(__xludf.DUMMYFUNCTION("""COMPUTED_VALUE"""),"XI A-1")</f>
        <v>XI A-1</v>
      </c>
      <c r="F563" s="11" t="str">
        <f>IFERROR(__xludf.DUMMYFUNCTION("""COMPUTED_VALUE"""),"32 - XI A-1 - Chiara Nanda Setiyo Fazria")</f>
        <v>32 - XI A-1 - Chiara Nanda Setiyo Fazria</v>
      </c>
    </row>
    <row r="564">
      <c r="A564" s="3" t="str">
        <f>IFERROR(__xludf.DUMMYFUNCTION("""COMPUTED_VALUE"""),"3092678408 / 242510108")</f>
        <v>3092678408 / 242510108</v>
      </c>
      <c r="B564" s="3" t="str">
        <f>IFERROR(__xludf.DUMMYFUNCTION("""COMPUTED_VALUE"""),"Devin Anandya Syuja")</f>
        <v>Devin Anandya Syuja</v>
      </c>
      <c r="C564" s="3" t="str">
        <f>IFERROR(__xludf.DUMMYFUNCTION("""COMPUTED_VALUE"""),"L")</f>
        <v>L</v>
      </c>
      <c r="D564" s="3">
        <f>IFERROR(__xludf.DUMMYFUNCTION("""COMPUTED_VALUE"""),32.0)</f>
        <v>32</v>
      </c>
      <c r="E564" s="3" t="str">
        <f>IFERROR(__xludf.DUMMYFUNCTION("""COMPUTED_VALUE"""),"XI A-1")</f>
        <v>XI A-1</v>
      </c>
      <c r="F564" s="11" t="str">
        <f>IFERROR(__xludf.DUMMYFUNCTION("""COMPUTED_VALUE"""),"32 - XI A-1 - Devin Anandya Syuja")</f>
        <v>32 - XI A-1 - Devin Anandya Syuja</v>
      </c>
    </row>
    <row r="565">
      <c r="A565" s="3" t="str">
        <f>IFERROR(__xludf.DUMMYFUNCTION("""COMPUTED_VALUE"""),"0095504110 / 242510111")</f>
        <v>0095504110 / 242510111</v>
      </c>
      <c r="B565" s="3" t="str">
        <f>IFERROR(__xludf.DUMMYFUNCTION("""COMPUTED_VALUE"""),"Diaz Pradana Putra")</f>
        <v>Diaz Pradana Putra</v>
      </c>
      <c r="C565" s="3" t="str">
        <f>IFERROR(__xludf.DUMMYFUNCTION("""COMPUTED_VALUE"""),"L")</f>
        <v>L</v>
      </c>
      <c r="D565" s="3">
        <f>IFERROR(__xludf.DUMMYFUNCTION("""COMPUTED_VALUE"""),32.0)</f>
        <v>32</v>
      </c>
      <c r="E565" s="3" t="str">
        <f>IFERROR(__xludf.DUMMYFUNCTION("""COMPUTED_VALUE"""),"XI A-1")</f>
        <v>XI A-1</v>
      </c>
      <c r="F565" s="11" t="str">
        <f>IFERROR(__xludf.DUMMYFUNCTION("""COMPUTED_VALUE"""),"32 - XI A-1 - Diaz Pradana Putra")</f>
        <v>32 - XI A-1 - Diaz Pradana Putra</v>
      </c>
    </row>
    <row r="566">
      <c r="A566" s="3" t="str">
        <f>IFERROR(__xludf.DUMMYFUNCTION("""COMPUTED_VALUE"""),"3081717964 / 242510114")</f>
        <v>3081717964 / 242510114</v>
      </c>
      <c r="B566" s="3" t="str">
        <f>IFERROR(__xludf.DUMMYFUNCTION("""COMPUTED_VALUE"""),"Disha Ramanda Putra")</f>
        <v>Disha Ramanda Putra</v>
      </c>
      <c r="C566" s="3" t="str">
        <f>IFERROR(__xludf.DUMMYFUNCTION("""COMPUTED_VALUE"""),"L")</f>
        <v>L</v>
      </c>
      <c r="D566" s="3">
        <f>IFERROR(__xludf.DUMMYFUNCTION("""COMPUTED_VALUE"""),32.0)</f>
        <v>32</v>
      </c>
      <c r="E566" s="3" t="str">
        <f>IFERROR(__xludf.DUMMYFUNCTION("""COMPUTED_VALUE"""),"XI A-1")</f>
        <v>XI A-1</v>
      </c>
      <c r="F566" s="11" t="str">
        <f>IFERROR(__xludf.DUMMYFUNCTION("""COMPUTED_VALUE"""),"32 - XI A-1 - Disha Ramanda Putra")</f>
        <v>32 - XI A-1 - Disha Ramanda Putra</v>
      </c>
    </row>
    <row r="567">
      <c r="A567" s="3" t="str">
        <f>IFERROR(__xludf.DUMMYFUNCTION("""COMPUTED_VALUE"""),"0083076557 / 242510116")</f>
        <v>0083076557 / 242510116</v>
      </c>
      <c r="B567" s="3" t="str">
        <f>IFERROR(__xludf.DUMMYFUNCTION("""COMPUTED_VALUE"""),"Donita Aulia Ramadhani")</f>
        <v>Donita Aulia Ramadhani</v>
      </c>
      <c r="C567" s="3" t="str">
        <f>IFERROR(__xludf.DUMMYFUNCTION("""COMPUTED_VALUE"""),"P")</f>
        <v>P</v>
      </c>
      <c r="D567" s="3">
        <f>IFERROR(__xludf.DUMMYFUNCTION("""COMPUTED_VALUE"""),32.0)</f>
        <v>32</v>
      </c>
      <c r="E567" s="3" t="str">
        <f>IFERROR(__xludf.DUMMYFUNCTION("""COMPUTED_VALUE"""),"XI A-1")</f>
        <v>XI A-1</v>
      </c>
      <c r="F567" s="11" t="str">
        <f>IFERROR(__xludf.DUMMYFUNCTION("""COMPUTED_VALUE"""),"32 - XI A-1 - Donita Aulia Ramadhani")</f>
        <v>32 - XI A-1 - Donita Aulia Ramadhani</v>
      </c>
    </row>
    <row r="568">
      <c r="A568" s="3" t="str">
        <f>IFERROR(__xludf.DUMMYFUNCTION("""COMPUTED_VALUE"""),"0093137843 / 242510126")</f>
        <v>0093137843 / 242510126</v>
      </c>
      <c r="B568" s="3" t="str">
        <f>IFERROR(__xludf.DUMMYFUNCTION("""COMPUTED_VALUE"""),"Evania Sarah Ilmira")</f>
        <v>Evania Sarah Ilmira</v>
      </c>
      <c r="C568" s="3" t="str">
        <f>IFERROR(__xludf.DUMMYFUNCTION("""COMPUTED_VALUE"""),"P")</f>
        <v>P</v>
      </c>
      <c r="D568" s="3">
        <f>IFERROR(__xludf.DUMMYFUNCTION("""COMPUTED_VALUE"""),32.0)</f>
        <v>32</v>
      </c>
      <c r="E568" s="3" t="str">
        <f>IFERROR(__xludf.DUMMYFUNCTION("""COMPUTED_VALUE"""),"XI A-1")</f>
        <v>XI A-1</v>
      </c>
      <c r="F568" s="11" t="str">
        <f>IFERROR(__xludf.DUMMYFUNCTION("""COMPUTED_VALUE"""),"32 - XI A-1 - Evania Sarah Ilmira")</f>
        <v>32 - XI A-1 - Evania Sarah Ilmira</v>
      </c>
    </row>
    <row r="569">
      <c r="A569" s="3" t="str">
        <f>IFERROR(__xludf.DUMMYFUNCTION("""COMPUTED_VALUE"""),"3090828690 / 242510159")</f>
        <v>3090828690 / 242510159</v>
      </c>
      <c r="B569" s="3" t="str">
        <f>IFERROR(__xludf.DUMMYFUNCTION("""COMPUTED_VALUE"""),"Hanan Dzul Hilmi")</f>
        <v>Hanan Dzul Hilmi</v>
      </c>
      <c r="C569" s="3" t="str">
        <f>IFERROR(__xludf.DUMMYFUNCTION("""COMPUTED_VALUE"""),"L")</f>
        <v>L</v>
      </c>
      <c r="D569" s="3">
        <f>IFERROR(__xludf.DUMMYFUNCTION("""COMPUTED_VALUE"""),32.0)</f>
        <v>32</v>
      </c>
      <c r="E569" s="3" t="str">
        <f>IFERROR(__xludf.DUMMYFUNCTION("""COMPUTED_VALUE"""),"XI A-1")</f>
        <v>XI A-1</v>
      </c>
      <c r="F569" s="11" t="str">
        <f>IFERROR(__xludf.DUMMYFUNCTION("""COMPUTED_VALUE"""),"32 - XI A-1 - Hanan Dzul Hilmi")</f>
        <v>32 - XI A-1 - Hanan Dzul Hilmi</v>
      </c>
    </row>
    <row r="570">
      <c r="A570" s="3" t="str">
        <f>IFERROR(__xludf.DUMMYFUNCTION("""COMPUTED_VALUE"""),"0088101729 / 242510173")</f>
        <v>0088101729 / 242510173</v>
      </c>
      <c r="B570" s="3" t="str">
        <f>IFERROR(__xludf.DUMMYFUNCTION("""COMPUTED_VALUE"""),"Irsyad Abrian Al-Warid")</f>
        <v>Irsyad Abrian Al-Warid</v>
      </c>
      <c r="C570" s="3" t="str">
        <f>IFERROR(__xludf.DUMMYFUNCTION("""COMPUTED_VALUE"""),"L")</f>
        <v>L</v>
      </c>
      <c r="D570" s="3">
        <f>IFERROR(__xludf.DUMMYFUNCTION("""COMPUTED_VALUE"""),32.0)</f>
        <v>32</v>
      </c>
      <c r="E570" s="3" t="str">
        <f>IFERROR(__xludf.DUMMYFUNCTION("""COMPUTED_VALUE"""),"XI A-1")</f>
        <v>XI A-1</v>
      </c>
      <c r="F570" s="11" t="str">
        <f>IFERROR(__xludf.DUMMYFUNCTION("""COMPUTED_VALUE"""),"32 - XI A-1 - Irsyad Abrian Al-Warid")</f>
        <v>32 - XI A-1 - Irsyad Abrian Al-Warid</v>
      </c>
    </row>
    <row r="571">
      <c r="A571" s="3" t="str">
        <f>IFERROR(__xludf.DUMMYFUNCTION("""COMPUTED_VALUE"""),"0099940887 / 242510183")</f>
        <v>0099940887 / 242510183</v>
      </c>
      <c r="B571" s="3" t="str">
        <f>IFERROR(__xludf.DUMMYFUNCTION("""COMPUTED_VALUE"""),"Kamiila Putri Khairunnisa")</f>
        <v>Kamiila Putri Khairunnisa</v>
      </c>
      <c r="C571" s="3" t="str">
        <f>IFERROR(__xludf.DUMMYFUNCTION("""COMPUTED_VALUE"""),"P")</f>
        <v>P</v>
      </c>
      <c r="D571" s="3">
        <f>IFERROR(__xludf.DUMMYFUNCTION("""COMPUTED_VALUE"""),32.0)</f>
        <v>32</v>
      </c>
      <c r="E571" s="3" t="str">
        <f>IFERROR(__xludf.DUMMYFUNCTION("""COMPUTED_VALUE"""),"XI A-1")</f>
        <v>XI A-1</v>
      </c>
      <c r="F571" s="11" t="str">
        <f>IFERROR(__xludf.DUMMYFUNCTION("""COMPUTED_VALUE"""),"32 - XI A-1 - Kamiila Putri Khairunnisa")</f>
        <v>32 - XI A-1 - Kamiila Putri Khairunnisa</v>
      </c>
    </row>
    <row r="572">
      <c r="A572" s="3" t="str">
        <f>IFERROR(__xludf.DUMMYFUNCTION("""COMPUTED_VALUE"""),"0096213576 / 242510188")</f>
        <v>0096213576 / 242510188</v>
      </c>
      <c r="B572" s="3" t="str">
        <f>IFERROR(__xludf.DUMMYFUNCTION("""COMPUTED_VALUE"""),"Keisha Edsel Darmawan")</f>
        <v>Keisha Edsel Darmawan</v>
      </c>
      <c r="C572" s="3" t="str">
        <f>IFERROR(__xludf.DUMMYFUNCTION("""COMPUTED_VALUE"""),"P")</f>
        <v>P</v>
      </c>
      <c r="D572" s="3">
        <f>IFERROR(__xludf.DUMMYFUNCTION("""COMPUTED_VALUE"""),32.0)</f>
        <v>32</v>
      </c>
      <c r="E572" s="3" t="str">
        <f>IFERROR(__xludf.DUMMYFUNCTION("""COMPUTED_VALUE"""),"XI A-1")</f>
        <v>XI A-1</v>
      </c>
      <c r="F572" s="11" t="str">
        <f>IFERROR(__xludf.DUMMYFUNCTION("""COMPUTED_VALUE"""),"32 - XI A-1 - Keisha Edsel Darmawan")</f>
        <v>32 - XI A-1 - Keisha Edsel Darmawan</v>
      </c>
    </row>
    <row r="573">
      <c r="A573" s="3" t="str">
        <f>IFERROR(__xludf.DUMMYFUNCTION("""COMPUTED_VALUE"""),"0091012038 / 242510189")</f>
        <v>0091012038 / 242510189</v>
      </c>
      <c r="B573" s="3" t="str">
        <f>IFERROR(__xludf.DUMMYFUNCTION("""COMPUTED_VALUE"""),"Keisha Juan")</f>
        <v>Keisha Juan</v>
      </c>
      <c r="C573" s="3" t="str">
        <f>IFERROR(__xludf.DUMMYFUNCTION("""COMPUTED_VALUE"""),"P")</f>
        <v>P</v>
      </c>
      <c r="D573" s="3">
        <f>IFERROR(__xludf.DUMMYFUNCTION("""COMPUTED_VALUE"""),32.0)</f>
        <v>32</v>
      </c>
      <c r="E573" s="3" t="str">
        <f>IFERROR(__xludf.DUMMYFUNCTION("""COMPUTED_VALUE"""),"XI A-1")</f>
        <v>XI A-1</v>
      </c>
      <c r="F573" s="11" t="str">
        <f>IFERROR(__xludf.DUMMYFUNCTION("""COMPUTED_VALUE"""),"32 - XI A-1 - Keisha Juan")</f>
        <v>32 - XI A-1 - Keisha Juan</v>
      </c>
    </row>
    <row r="574">
      <c r="A574" s="3" t="str">
        <f>IFERROR(__xludf.DUMMYFUNCTION("""COMPUTED_VALUE"""),"0097202517 / 242510201")</f>
        <v>0097202517 / 242510201</v>
      </c>
      <c r="B574" s="3" t="str">
        <f>IFERROR(__xludf.DUMMYFUNCTION("""COMPUTED_VALUE"""),"Khansa Makaila Kayyasah")</f>
        <v>Khansa Makaila Kayyasah</v>
      </c>
      <c r="C574" s="3" t="str">
        <f>IFERROR(__xludf.DUMMYFUNCTION("""COMPUTED_VALUE"""),"P")</f>
        <v>P</v>
      </c>
      <c r="D574" s="3">
        <f>IFERROR(__xludf.DUMMYFUNCTION("""COMPUTED_VALUE"""),32.0)</f>
        <v>32</v>
      </c>
      <c r="E574" s="3" t="str">
        <f>IFERROR(__xludf.DUMMYFUNCTION("""COMPUTED_VALUE"""),"XI A-1")</f>
        <v>XI A-1</v>
      </c>
      <c r="F574" s="11" t="str">
        <f>IFERROR(__xludf.DUMMYFUNCTION("""COMPUTED_VALUE"""),"32 - XI A-1 - Khansa Makaila Kayyasah")</f>
        <v>32 - XI A-1 - Khansa Makaila Kayyasah</v>
      </c>
    </row>
    <row r="575">
      <c r="A575" s="3" t="str">
        <f>IFERROR(__xludf.DUMMYFUNCTION("""COMPUTED_VALUE"""),"0098256549 / 242510206")</f>
        <v>0098256549 / 242510206</v>
      </c>
      <c r="B575" s="3" t="str">
        <f>IFERROR(__xludf.DUMMYFUNCTION("""COMPUTED_VALUE"""),"Kirana Aura Azzahra Permana")</f>
        <v>Kirana Aura Azzahra Permana</v>
      </c>
      <c r="C575" s="3" t="str">
        <f>IFERROR(__xludf.DUMMYFUNCTION("""COMPUTED_VALUE"""),"P")</f>
        <v>P</v>
      </c>
      <c r="D575" s="3">
        <f>IFERROR(__xludf.DUMMYFUNCTION("""COMPUTED_VALUE"""),32.0)</f>
        <v>32</v>
      </c>
      <c r="E575" s="3" t="str">
        <f>IFERROR(__xludf.DUMMYFUNCTION("""COMPUTED_VALUE"""),"XI A-1")</f>
        <v>XI A-1</v>
      </c>
      <c r="F575" s="11" t="str">
        <f>IFERROR(__xludf.DUMMYFUNCTION("""COMPUTED_VALUE"""),"32 - XI A-1 - Kirana Aura Azzahra Permana")</f>
        <v>32 - XI A-1 - Kirana Aura Azzahra Permana</v>
      </c>
    </row>
    <row r="576">
      <c r="A576" s="3" t="str">
        <f>IFERROR(__xludf.DUMMYFUNCTION("""COMPUTED_VALUE"""),"0093623036 / 242510208")</f>
        <v>0093623036 / 242510208</v>
      </c>
      <c r="B576" s="3" t="str">
        <f>IFERROR(__xludf.DUMMYFUNCTION("""COMPUTED_VALUE"""),"Kirani Aira Salsabila Permana")</f>
        <v>Kirani Aira Salsabila Permana</v>
      </c>
      <c r="C576" s="3" t="str">
        <f>IFERROR(__xludf.DUMMYFUNCTION("""COMPUTED_VALUE"""),"P")</f>
        <v>P</v>
      </c>
      <c r="D576" s="3">
        <f>IFERROR(__xludf.DUMMYFUNCTION("""COMPUTED_VALUE"""),32.0)</f>
        <v>32</v>
      </c>
      <c r="E576" s="3" t="str">
        <f>IFERROR(__xludf.DUMMYFUNCTION("""COMPUTED_VALUE"""),"XI A-1")</f>
        <v>XI A-1</v>
      </c>
      <c r="F576" s="11" t="str">
        <f>IFERROR(__xludf.DUMMYFUNCTION("""COMPUTED_VALUE"""),"32 - XI A-1 - Kirani Aira Salsabila Permana")</f>
        <v>32 - XI A-1 - Kirani Aira Salsabila Permana</v>
      </c>
    </row>
    <row r="577">
      <c r="A577" s="3" t="str">
        <f>IFERROR(__xludf.DUMMYFUNCTION("""COMPUTED_VALUE"""),"0083667654 / 242510209")</f>
        <v>0083667654 / 242510209</v>
      </c>
      <c r="B577" s="3" t="str">
        <f>IFERROR(__xludf.DUMMYFUNCTION("""COMPUTED_VALUE"""),"Kireina Zahra Yasmaini")</f>
        <v>Kireina Zahra Yasmaini</v>
      </c>
      <c r="C577" s="3" t="str">
        <f>IFERROR(__xludf.DUMMYFUNCTION("""COMPUTED_VALUE"""),"P")</f>
        <v>P</v>
      </c>
      <c r="D577" s="3">
        <f>IFERROR(__xludf.DUMMYFUNCTION("""COMPUTED_VALUE"""),32.0)</f>
        <v>32</v>
      </c>
      <c r="E577" s="3" t="str">
        <f>IFERROR(__xludf.DUMMYFUNCTION("""COMPUTED_VALUE"""),"XI A-1")</f>
        <v>XI A-1</v>
      </c>
      <c r="F577" s="11" t="str">
        <f>IFERROR(__xludf.DUMMYFUNCTION("""COMPUTED_VALUE"""),"32 - XI A-1 - Kireina Zahra Yasmaini")</f>
        <v>32 - XI A-1 - Kireina Zahra Yasmaini</v>
      </c>
    </row>
    <row r="578">
      <c r="A578" s="3" t="str">
        <f>IFERROR(__xludf.DUMMYFUNCTION("""COMPUTED_VALUE"""),"3083447726 / 242510257")</f>
        <v>3083447726 / 242510257</v>
      </c>
      <c r="B578" s="3" t="str">
        <f>IFERROR(__xludf.DUMMYFUNCTION("""COMPUTED_VALUE"""),"Muhammad Dzaky")</f>
        <v>Muhammad Dzaky</v>
      </c>
      <c r="C578" s="3" t="str">
        <f>IFERROR(__xludf.DUMMYFUNCTION("""COMPUTED_VALUE"""),"L")</f>
        <v>L</v>
      </c>
      <c r="D578" s="3">
        <f>IFERROR(__xludf.DUMMYFUNCTION("""COMPUTED_VALUE"""),32.0)</f>
        <v>32</v>
      </c>
      <c r="E578" s="3" t="str">
        <f>IFERROR(__xludf.DUMMYFUNCTION("""COMPUTED_VALUE"""),"XI A-1")</f>
        <v>XI A-1</v>
      </c>
      <c r="F578" s="11" t="str">
        <f>IFERROR(__xludf.DUMMYFUNCTION("""COMPUTED_VALUE"""),"32 - XI A-1 - Muhammad Dzaky")</f>
        <v>32 - XI A-1 - Muhammad Dzaky</v>
      </c>
    </row>
    <row r="579">
      <c r="A579" s="3" t="str">
        <f>IFERROR(__xludf.DUMMYFUNCTION("""COMPUTED_VALUE"""),"0098849381 / 242510281")</f>
        <v>0098849381 / 242510281</v>
      </c>
      <c r="B579" s="3" t="str">
        <f>IFERROR(__xludf.DUMMYFUNCTION("""COMPUTED_VALUE"""),"Muhammad Zaki Arrahman")</f>
        <v>Muhammad Zaki Arrahman</v>
      </c>
      <c r="C579" s="3" t="str">
        <f>IFERROR(__xludf.DUMMYFUNCTION("""COMPUTED_VALUE"""),"L")</f>
        <v>L</v>
      </c>
      <c r="D579" s="3">
        <f>IFERROR(__xludf.DUMMYFUNCTION("""COMPUTED_VALUE"""),32.0)</f>
        <v>32</v>
      </c>
      <c r="E579" s="3" t="str">
        <f>IFERROR(__xludf.DUMMYFUNCTION("""COMPUTED_VALUE"""),"XI A-1")</f>
        <v>XI A-1</v>
      </c>
      <c r="F579" s="11" t="str">
        <f>IFERROR(__xludf.DUMMYFUNCTION("""COMPUTED_VALUE"""),"32 - XI A-1 - Muhammad Zaki Arrahman")</f>
        <v>32 - XI A-1 - Muhammad Zaki Arrahman</v>
      </c>
    </row>
    <row r="580">
      <c r="A580" s="3" t="str">
        <f>IFERROR(__xludf.DUMMYFUNCTION("""COMPUTED_VALUE"""),"0097736512 / 242510291")</f>
        <v>0097736512 / 242510291</v>
      </c>
      <c r="B580" s="3" t="str">
        <f>IFERROR(__xludf.DUMMYFUNCTION("""COMPUTED_VALUE"""),"Nailatul Ullya")</f>
        <v>Nailatul Ullya</v>
      </c>
      <c r="C580" s="3" t="str">
        <f>IFERROR(__xludf.DUMMYFUNCTION("""COMPUTED_VALUE"""),"P")</f>
        <v>P</v>
      </c>
      <c r="D580" s="3">
        <f>IFERROR(__xludf.DUMMYFUNCTION("""COMPUTED_VALUE"""),32.0)</f>
        <v>32</v>
      </c>
      <c r="E580" s="3" t="str">
        <f>IFERROR(__xludf.DUMMYFUNCTION("""COMPUTED_VALUE"""),"XI A-1")</f>
        <v>XI A-1</v>
      </c>
      <c r="F580" s="11" t="str">
        <f>IFERROR(__xludf.DUMMYFUNCTION("""COMPUTED_VALUE"""),"32 - XI A-1 - Nailatul Ullya")</f>
        <v>32 - XI A-1 - Nailatul Ullya</v>
      </c>
    </row>
    <row r="581">
      <c r="A581" s="3" t="str">
        <f>IFERROR(__xludf.DUMMYFUNCTION("""COMPUTED_VALUE"""),"0083833819 / 242510323")</f>
        <v>0083833819 / 242510323</v>
      </c>
      <c r="B581" s="3" t="str">
        <f>IFERROR(__xludf.DUMMYFUNCTION("""COMPUTED_VALUE"""),"Qatrun Nada Tannaqi")</f>
        <v>Qatrun Nada Tannaqi</v>
      </c>
      <c r="C581" s="3" t="str">
        <f>IFERROR(__xludf.DUMMYFUNCTION("""COMPUTED_VALUE"""),"P")</f>
        <v>P</v>
      </c>
      <c r="D581" s="3">
        <f>IFERROR(__xludf.DUMMYFUNCTION("""COMPUTED_VALUE"""),32.0)</f>
        <v>32</v>
      </c>
      <c r="E581" s="3" t="str">
        <f>IFERROR(__xludf.DUMMYFUNCTION("""COMPUTED_VALUE"""),"XI A-1")</f>
        <v>XI A-1</v>
      </c>
      <c r="F581" s="11" t="str">
        <f>IFERROR(__xludf.DUMMYFUNCTION("""COMPUTED_VALUE"""),"32 - XI A-1 - Qatrun Nada Tannaqi")</f>
        <v>32 - XI A-1 - Qatrun Nada Tannaqi</v>
      </c>
    </row>
    <row r="582">
      <c r="A582" s="3" t="str">
        <f>IFERROR(__xludf.DUMMYFUNCTION("""COMPUTED_VALUE"""),"0094989387 / 242510325")</f>
        <v>0094989387 / 242510325</v>
      </c>
      <c r="B582" s="3" t="str">
        <f>IFERROR(__xludf.DUMMYFUNCTION("""COMPUTED_VALUE"""),"Queensha Anjani Sudrajat")</f>
        <v>Queensha Anjani Sudrajat</v>
      </c>
      <c r="C582" s="3" t="str">
        <f>IFERROR(__xludf.DUMMYFUNCTION("""COMPUTED_VALUE"""),"P")</f>
        <v>P</v>
      </c>
      <c r="D582" s="3">
        <f>IFERROR(__xludf.DUMMYFUNCTION("""COMPUTED_VALUE"""),32.0)</f>
        <v>32</v>
      </c>
      <c r="E582" s="3" t="str">
        <f>IFERROR(__xludf.DUMMYFUNCTION("""COMPUTED_VALUE"""),"XI A-1")</f>
        <v>XI A-1</v>
      </c>
      <c r="F582" s="11" t="str">
        <f>IFERROR(__xludf.DUMMYFUNCTION("""COMPUTED_VALUE"""),"32 - XI A-1 - Queensha Anjani Sudrajat")</f>
        <v>32 - XI A-1 - Queensha Anjani Sudrajat</v>
      </c>
    </row>
    <row r="583">
      <c r="A583" s="3" t="str">
        <f>IFERROR(__xludf.DUMMYFUNCTION("""COMPUTED_VALUE"""),"0091033788 / 242510336")</f>
        <v>0091033788 / 242510336</v>
      </c>
      <c r="B583" s="3" t="str">
        <f>IFERROR(__xludf.DUMMYFUNCTION("""COMPUTED_VALUE"""),"Raihanna Zahra Aqilah")</f>
        <v>Raihanna Zahra Aqilah</v>
      </c>
      <c r="C583" s="3" t="str">
        <f>IFERROR(__xludf.DUMMYFUNCTION("""COMPUTED_VALUE"""),"P")</f>
        <v>P</v>
      </c>
      <c r="D583" s="3">
        <f>IFERROR(__xludf.DUMMYFUNCTION("""COMPUTED_VALUE"""),32.0)</f>
        <v>32</v>
      </c>
      <c r="E583" s="3" t="str">
        <f>IFERROR(__xludf.DUMMYFUNCTION("""COMPUTED_VALUE"""),"XI A-1")</f>
        <v>XI A-1</v>
      </c>
      <c r="F583" s="11" t="str">
        <f>IFERROR(__xludf.DUMMYFUNCTION("""COMPUTED_VALUE"""),"32 - XI A-1 - Raihanna Zahra Aqilah")</f>
        <v>32 - XI A-1 - Raihanna Zahra Aqilah</v>
      </c>
    </row>
    <row r="584">
      <c r="A584" s="3" t="str">
        <f>IFERROR(__xludf.DUMMYFUNCTION("""COMPUTED_VALUE"""),"3098805753 / 242510342")</f>
        <v>3098805753 / 242510342</v>
      </c>
      <c r="B584" s="3" t="str">
        <f>IFERROR(__xludf.DUMMYFUNCTION("""COMPUTED_VALUE"""),"Rania Salsabila")</f>
        <v>Rania Salsabila</v>
      </c>
      <c r="C584" s="3" t="str">
        <f>IFERROR(__xludf.DUMMYFUNCTION("""COMPUTED_VALUE"""),"P")</f>
        <v>P</v>
      </c>
      <c r="D584" s="3">
        <f>IFERROR(__xludf.DUMMYFUNCTION("""COMPUTED_VALUE"""),32.0)</f>
        <v>32</v>
      </c>
      <c r="E584" s="3" t="str">
        <f>IFERROR(__xludf.DUMMYFUNCTION("""COMPUTED_VALUE"""),"XI A-1")</f>
        <v>XI A-1</v>
      </c>
      <c r="F584" s="11" t="str">
        <f>IFERROR(__xludf.DUMMYFUNCTION("""COMPUTED_VALUE"""),"32 - XI A-1 - Rania Salsabila")</f>
        <v>32 - XI A-1 - Rania Salsabila</v>
      </c>
    </row>
    <row r="585">
      <c r="A585" s="3" t="str">
        <f>IFERROR(__xludf.DUMMYFUNCTION("""COMPUTED_VALUE"""),"0092827580 / 242510388")</f>
        <v>0092827580 / 242510388</v>
      </c>
      <c r="B585" s="3" t="str">
        <f>IFERROR(__xludf.DUMMYFUNCTION("""COMPUTED_VALUE"""),"Syahrena Pita Pinasih")</f>
        <v>Syahrena Pita Pinasih</v>
      </c>
      <c r="C585" s="3" t="str">
        <f>IFERROR(__xludf.DUMMYFUNCTION("""COMPUTED_VALUE"""),"P")</f>
        <v>P</v>
      </c>
      <c r="D585" s="3">
        <f>IFERROR(__xludf.DUMMYFUNCTION("""COMPUTED_VALUE"""),32.0)</f>
        <v>32</v>
      </c>
      <c r="E585" s="3" t="str">
        <f>IFERROR(__xludf.DUMMYFUNCTION("""COMPUTED_VALUE"""),"XI A-1")</f>
        <v>XI A-1</v>
      </c>
      <c r="F585" s="11" t="str">
        <f>IFERROR(__xludf.DUMMYFUNCTION("""COMPUTED_VALUE"""),"32 - XI A-1 - Syahrena Pita Pinasih")</f>
        <v>32 - XI A-1 - Syahrena Pita Pinasih</v>
      </c>
    </row>
    <row r="586">
      <c r="A586" s="3" t="str">
        <f>IFERROR(__xludf.DUMMYFUNCTION("""COMPUTED_VALUE"""),"0083624999 / 242510402")</f>
        <v>0083624999 / 242510402</v>
      </c>
      <c r="B586" s="3" t="str">
        <f>IFERROR(__xludf.DUMMYFUNCTION("""COMPUTED_VALUE"""),"Tristan Muhammad Jibril")</f>
        <v>Tristan Muhammad Jibril</v>
      </c>
      <c r="C586" s="3" t="str">
        <f>IFERROR(__xludf.DUMMYFUNCTION("""COMPUTED_VALUE"""),"L")</f>
        <v>L</v>
      </c>
      <c r="D586" s="3">
        <f>IFERROR(__xludf.DUMMYFUNCTION("""COMPUTED_VALUE"""),32.0)</f>
        <v>32</v>
      </c>
      <c r="E586" s="3" t="str">
        <f>IFERROR(__xludf.DUMMYFUNCTION("""COMPUTED_VALUE"""),"XI A-1")</f>
        <v>XI A-1</v>
      </c>
      <c r="F586" s="11" t="str">
        <f>IFERROR(__xludf.DUMMYFUNCTION("""COMPUTED_VALUE"""),"32 - XI A-1 - Tristan Muhammad Jibril")</f>
        <v>32 - XI A-1 - Tristan Muhammad Jibril</v>
      </c>
    </row>
    <row r="587">
      <c r="A587" s="3" t="str">
        <f>IFERROR(__xludf.DUMMYFUNCTION("""COMPUTED_VALUE"""),"0084290235 / 242510406")</f>
        <v>0084290235 / 242510406</v>
      </c>
      <c r="B587" s="3" t="str">
        <f>IFERROR(__xludf.DUMMYFUNCTION("""COMPUTED_VALUE"""),"Valeta Febiola Irmadani")</f>
        <v>Valeta Febiola Irmadani</v>
      </c>
      <c r="C587" s="3" t="str">
        <f>IFERROR(__xludf.DUMMYFUNCTION("""COMPUTED_VALUE"""),"P")</f>
        <v>P</v>
      </c>
      <c r="D587" s="3">
        <f>IFERROR(__xludf.DUMMYFUNCTION("""COMPUTED_VALUE"""),32.0)</f>
        <v>32</v>
      </c>
      <c r="E587" s="3" t="str">
        <f>IFERROR(__xludf.DUMMYFUNCTION("""COMPUTED_VALUE"""),"XI A-1")</f>
        <v>XI A-1</v>
      </c>
      <c r="F587" s="11" t="str">
        <f>IFERROR(__xludf.DUMMYFUNCTION("""COMPUTED_VALUE"""),"32 - XI A-1 - Valeta Febiola Irmadani")</f>
        <v>32 - XI A-1 - Valeta Febiola Irmadani</v>
      </c>
    </row>
    <row r="588">
      <c r="A588" s="3" t="str">
        <f>IFERROR(__xludf.DUMMYFUNCTION("""COMPUTED_VALUE"""),"0093286737 / 242510414")</f>
        <v>0093286737 / 242510414</v>
      </c>
      <c r="B588" s="3" t="str">
        <f>IFERROR(__xludf.DUMMYFUNCTION("""COMPUTED_VALUE"""),"Winda Maharani")</f>
        <v>Winda Maharani</v>
      </c>
      <c r="C588" s="3" t="str">
        <f>IFERROR(__xludf.DUMMYFUNCTION("""COMPUTED_VALUE"""),"P")</f>
        <v>P</v>
      </c>
      <c r="D588" s="3">
        <f>IFERROR(__xludf.DUMMYFUNCTION("""COMPUTED_VALUE"""),32.0)</f>
        <v>32</v>
      </c>
      <c r="E588" s="3" t="str">
        <f>IFERROR(__xludf.DUMMYFUNCTION("""COMPUTED_VALUE"""),"XI A-1")</f>
        <v>XI A-1</v>
      </c>
      <c r="F588" s="11" t="str">
        <f>IFERROR(__xludf.DUMMYFUNCTION("""COMPUTED_VALUE"""),"32 - XI A-1 - Winda Maharani")</f>
        <v>32 - XI A-1 - Winda Maharani</v>
      </c>
    </row>
    <row r="589">
      <c r="A589" s="3" t="str">
        <f>IFERROR(__xludf.DUMMYFUNCTION("""COMPUTED_VALUE"""),"0091061057 / 242510416")</f>
        <v>0091061057 / 242510416</v>
      </c>
      <c r="B589" s="3" t="str">
        <f>IFERROR(__xludf.DUMMYFUNCTION("""COMPUTED_VALUE"""),"Wintang Hikmah Kusuma Dewi")</f>
        <v>Wintang Hikmah Kusuma Dewi</v>
      </c>
      <c r="C589" s="3" t="str">
        <f>IFERROR(__xludf.DUMMYFUNCTION("""COMPUTED_VALUE"""),"P")</f>
        <v>P</v>
      </c>
      <c r="D589" s="3">
        <f>IFERROR(__xludf.DUMMYFUNCTION("""COMPUTED_VALUE"""),32.0)</f>
        <v>32</v>
      </c>
      <c r="E589" s="3" t="str">
        <f>IFERROR(__xludf.DUMMYFUNCTION("""COMPUTED_VALUE"""),"XI A-1")</f>
        <v>XI A-1</v>
      </c>
      <c r="F589" s="11" t="str">
        <f>IFERROR(__xludf.DUMMYFUNCTION("""COMPUTED_VALUE"""),"32 - XI A-1 - Wintang Hikmah Kusuma Dewi")</f>
        <v>32 - XI A-1 - Wintang Hikmah Kusuma Dewi</v>
      </c>
    </row>
    <row r="590">
      <c r="A590" s="3" t="str">
        <f>IFERROR(__xludf.DUMMYFUNCTION("""COMPUTED_VALUE"""),"0095163025 / 242510426")</f>
        <v>0095163025 / 242510426</v>
      </c>
      <c r="B590" s="3" t="str">
        <f>IFERROR(__xludf.DUMMYFUNCTION("""COMPUTED_VALUE"""),"Zaskia Aulia Putri")</f>
        <v>Zaskia Aulia Putri</v>
      </c>
      <c r="C590" s="3" t="str">
        <f>IFERROR(__xludf.DUMMYFUNCTION("""COMPUTED_VALUE"""),"P")</f>
        <v>P</v>
      </c>
      <c r="D590" s="3">
        <f>IFERROR(__xludf.DUMMYFUNCTION("""COMPUTED_VALUE"""),32.0)</f>
        <v>32</v>
      </c>
      <c r="E590" s="3" t="str">
        <f>IFERROR(__xludf.DUMMYFUNCTION("""COMPUTED_VALUE"""),"XI A-1")</f>
        <v>XI A-1</v>
      </c>
      <c r="F590" s="11" t="str">
        <f>IFERROR(__xludf.DUMMYFUNCTION("""COMPUTED_VALUE"""),"32 - XI A-1 - Zaskia Aulia Putri")</f>
        <v>32 - XI A-1 - Zaskia Aulia Putri</v>
      </c>
    </row>
    <row r="591">
      <c r="A591" s="3" t="str">
        <f>IFERROR(__xludf.DUMMYFUNCTION("""COMPUTED_VALUE"""),"0082747470 / 242510430")</f>
        <v>0082747470 / 242510430</v>
      </c>
      <c r="B591" s="3" t="str">
        <f>IFERROR(__xludf.DUMMYFUNCTION("""COMPUTED_VALUE"""),"Zhalida Daumixy Mora Siregar")</f>
        <v>Zhalida Daumixy Mora Siregar</v>
      </c>
      <c r="C591" s="3" t="str">
        <f>IFERROR(__xludf.DUMMYFUNCTION("""COMPUTED_VALUE"""),"P")</f>
        <v>P</v>
      </c>
      <c r="D591" s="3">
        <f>IFERROR(__xludf.DUMMYFUNCTION("""COMPUTED_VALUE"""),32.0)</f>
        <v>32</v>
      </c>
      <c r="E591" s="3" t="str">
        <f>IFERROR(__xludf.DUMMYFUNCTION("""COMPUTED_VALUE"""),"XI A-1")</f>
        <v>XI A-1</v>
      </c>
      <c r="F591" s="11" t="str">
        <f>IFERROR(__xludf.DUMMYFUNCTION("""COMPUTED_VALUE"""),"32 - XI A-1 - Zhalida Daumixy Mora Siregar")</f>
        <v>32 - XI A-1 - Zhalida Daumixy Mora Siregar</v>
      </c>
    </row>
    <row r="592">
      <c r="A592" s="3" t="str">
        <f>IFERROR(__xludf.DUMMYFUNCTION("""COMPUTED_VALUE"""),"0085011294 / 242510432")</f>
        <v>0085011294 / 242510432</v>
      </c>
      <c r="B592" s="3" t="str">
        <f>IFERROR(__xludf.DUMMYFUNCTION("""COMPUTED_VALUE"""),"Zulfa Laila Mashurah")</f>
        <v>Zulfa Laila Mashurah</v>
      </c>
      <c r="C592" s="3" t="str">
        <f>IFERROR(__xludf.DUMMYFUNCTION("""COMPUTED_VALUE"""),"P")</f>
        <v>P</v>
      </c>
      <c r="D592" s="3">
        <f>IFERROR(__xludf.DUMMYFUNCTION("""COMPUTED_VALUE"""),32.0)</f>
        <v>32</v>
      </c>
      <c r="E592" s="3" t="str">
        <f>IFERROR(__xludf.DUMMYFUNCTION("""COMPUTED_VALUE"""),"XI A-1")</f>
        <v>XI A-1</v>
      </c>
      <c r="F592" s="11" t="str">
        <f>IFERROR(__xludf.DUMMYFUNCTION("""COMPUTED_VALUE"""),"32 - XI A-1 - Zulfa Laila Mashurah")</f>
        <v>32 - XI A-1 - Zulfa Laila Mashurah</v>
      </c>
    </row>
    <row r="593">
      <c r="A593" s="3" t="str">
        <f>IFERROR(__xludf.DUMMYFUNCTION("""COMPUTED_VALUE"""),"0092385645 / 242510005")</f>
        <v>0092385645 / 242510005</v>
      </c>
      <c r="B593" s="3" t="str">
        <f>IFERROR(__xludf.DUMMYFUNCTION("""COMPUTED_VALUE"""),"Adinda Khayla")</f>
        <v>Adinda Khayla</v>
      </c>
      <c r="C593" s="3" t="str">
        <f>IFERROR(__xludf.DUMMYFUNCTION("""COMPUTED_VALUE"""),"P")</f>
        <v>P</v>
      </c>
      <c r="D593" s="3">
        <f>IFERROR(__xludf.DUMMYFUNCTION("""COMPUTED_VALUE"""),32.0)</f>
        <v>32</v>
      </c>
      <c r="E593" s="3" t="str">
        <f>IFERROR(__xludf.DUMMYFUNCTION("""COMPUTED_VALUE"""),"XI A-2")</f>
        <v>XI A-2</v>
      </c>
      <c r="F593" s="11" t="str">
        <f>IFERROR(__xludf.DUMMYFUNCTION("""COMPUTED_VALUE"""),"32 - XI A-2 - Adinda Khayla")</f>
        <v>32 - XI A-2 - Adinda Khayla</v>
      </c>
    </row>
    <row r="594">
      <c r="A594" s="3" t="str">
        <f>IFERROR(__xludf.DUMMYFUNCTION("""COMPUTED_VALUE"""),"0083638898 / 242510007")</f>
        <v>0083638898 / 242510007</v>
      </c>
      <c r="B594" s="3" t="str">
        <f>IFERROR(__xludf.DUMMYFUNCTION("""COMPUTED_VALUE"""),"Aditya Narayan")</f>
        <v>Aditya Narayan</v>
      </c>
      <c r="C594" s="3" t="str">
        <f>IFERROR(__xludf.DUMMYFUNCTION("""COMPUTED_VALUE"""),"L")</f>
        <v>L</v>
      </c>
      <c r="D594" s="3">
        <f>IFERROR(__xludf.DUMMYFUNCTION("""COMPUTED_VALUE"""),32.0)</f>
        <v>32</v>
      </c>
      <c r="E594" s="3" t="str">
        <f>IFERROR(__xludf.DUMMYFUNCTION("""COMPUTED_VALUE"""),"XI A-2")</f>
        <v>XI A-2</v>
      </c>
      <c r="F594" s="11" t="str">
        <f>IFERROR(__xludf.DUMMYFUNCTION("""COMPUTED_VALUE"""),"32 - XI A-2 - Aditya Narayan")</f>
        <v>32 - XI A-2 - Aditya Narayan</v>
      </c>
    </row>
    <row r="595">
      <c r="A595" s="3" t="str">
        <f>IFERROR(__xludf.DUMMYFUNCTION("""COMPUTED_VALUE"""),"0083581318 / 242510018")</f>
        <v>0083581318 / 242510018</v>
      </c>
      <c r="B595" s="3" t="str">
        <f>IFERROR(__xludf.DUMMYFUNCTION("""COMPUTED_VALUE"""),"Aisyah Syuja Larasati Sigit")</f>
        <v>Aisyah Syuja Larasati Sigit</v>
      </c>
      <c r="C595" s="3" t="str">
        <f>IFERROR(__xludf.DUMMYFUNCTION("""COMPUTED_VALUE"""),"P")</f>
        <v>P</v>
      </c>
      <c r="D595" s="3">
        <f>IFERROR(__xludf.DUMMYFUNCTION("""COMPUTED_VALUE"""),32.0)</f>
        <v>32</v>
      </c>
      <c r="E595" s="3" t="str">
        <f>IFERROR(__xludf.DUMMYFUNCTION("""COMPUTED_VALUE"""),"XI A-2")</f>
        <v>XI A-2</v>
      </c>
      <c r="F595" s="11" t="str">
        <f>IFERROR(__xludf.DUMMYFUNCTION("""COMPUTED_VALUE"""),"32 - XI A-2 - Aisyah Syuja Larasati Sigit")</f>
        <v>32 - XI A-2 - Aisyah Syuja Larasati Sigit</v>
      </c>
    </row>
    <row r="596">
      <c r="A596" s="3" t="str">
        <f>IFERROR(__xludf.DUMMYFUNCTION("""COMPUTED_VALUE"""),"0086733881 / 242510028")</f>
        <v>0086733881 / 242510028</v>
      </c>
      <c r="B596" s="3" t="str">
        <f>IFERROR(__xludf.DUMMYFUNCTION("""COMPUTED_VALUE"""),"Alma Destianti")</f>
        <v>Alma Destianti</v>
      </c>
      <c r="C596" s="3" t="str">
        <f>IFERROR(__xludf.DUMMYFUNCTION("""COMPUTED_VALUE"""),"P")</f>
        <v>P</v>
      </c>
      <c r="D596" s="3">
        <f>IFERROR(__xludf.DUMMYFUNCTION("""COMPUTED_VALUE"""),32.0)</f>
        <v>32</v>
      </c>
      <c r="E596" s="3" t="str">
        <f>IFERROR(__xludf.DUMMYFUNCTION("""COMPUTED_VALUE"""),"XI A-2")</f>
        <v>XI A-2</v>
      </c>
      <c r="F596" s="11" t="str">
        <f>IFERROR(__xludf.DUMMYFUNCTION("""COMPUTED_VALUE"""),"32 - XI A-2 - Alma Destianti")</f>
        <v>32 - XI A-2 - Alma Destianti</v>
      </c>
    </row>
    <row r="597">
      <c r="A597" s="3" t="str">
        <f>IFERROR(__xludf.DUMMYFUNCTION("""COMPUTED_VALUE"""),"0098621054 / 242510037")</f>
        <v>0098621054 / 242510037</v>
      </c>
      <c r="B597" s="3" t="str">
        <f>IFERROR(__xludf.DUMMYFUNCTION("""COMPUTED_VALUE"""),"Alya Mukhbita Hendriana")</f>
        <v>Alya Mukhbita Hendriana</v>
      </c>
      <c r="C597" s="3" t="str">
        <f>IFERROR(__xludf.DUMMYFUNCTION("""COMPUTED_VALUE"""),"P")</f>
        <v>P</v>
      </c>
      <c r="D597" s="3">
        <f>IFERROR(__xludf.DUMMYFUNCTION("""COMPUTED_VALUE"""),32.0)</f>
        <v>32</v>
      </c>
      <c r="E597" s="3" t="str">
        <f>IFERROR(__xludf.DUMMYFUNCTION("""COMPUTED_VALUE"""),"XI A-2")</f>
        <v>XI A-2</v>
      </c>
      <c r="F597" s="11" t="str">
        <f>IFERROR(__xludf.DUMMYFUNCTION("""COMPUTED_VALUE"""),"32 - XI A-2 - Alya Mukhbita Hendriana")</f>
        <v>32 - XI A-2 - Alya Mukhbita Hendriana</v>
      </c>
    </row>
    <row r="598">
      <c r="A598" s="3" t="str">
        <f>IFERROR(__xludf.DUMMYFUNCTION("""COMPUTED_VALUE"""),"0092707821 / 242510046")</f>
        <v>0092707821 / 242510046</v>
      </c>
      <c r="B598" s="3" t="str">
        <f>IFERROR(__xludf.DUMMYFUNCTION("""COMPUTED_VALUE"""),"Anindita Naranisa Jati")</f>
        <v>Anindita Naranisa Jati</v>
      </c>
      <c r="C598" s="3" t="str">
        <f>IFERROR(__xludf.DUMMYFUNCTION("""COMPUTED_VALUE"""),"P")</f>
        <v>P</v>
      </c>
      <c r="D598" s="3">
        <f>IFERROR(__xludf.DUMMYFUNCTION("""COMPUTED_VALUE"""),32.0)</f>
        <v>32</v>
      </c>
      <c r="E598" s="3" t="str">
        <f>IFERROR(__xludf.DUMMYFUNCTION("""COMPUTED_VALUE"""),"XI A-2")</f>
        <v>XI A-2</v>
      </c>
      <c r="F598" s="11" t="str">
        <f>IFERROR(__xludf.DUMMYFUNCTION("""COMPUTED_VALUE"""),"32 - XI A-2 - Anindita Naranisa Jati")</f>
        <v>32 - XI A-2 - Anindita Naranisa Jati</v>
      </c>
    </row>
    <row r="599">
      <c r="A599" s="3" t="str">
        <f>IFERROR(__xludf.DUMMYFUNCTION("""COMPUTED_VALUE"""),"0083016159 / 242510052")</f>
        <v>0083016159 / 242510052</v>
      </c>
      <c r="B599" s="3" t="str">
        <f>IFERROR(__xludf.DUMMYFUNCTION("""COMPUTED_VALUE"""),"Annisa Nur Fajriya")</f>
        <v>Annisa Nur Fajriya</v>
      </c>
      <c r="C599" s="3" t="str">
        <f>IFERROR(__xludf.DUMMYFUNCTION("""COMPUTED_VALUE"""),"P")</f>
        <v>P</v>
      </c>
      <c r="D599" s="3">
        <f>IFERROR(__xludf.DUMMYFUNCTION("""COMPUTED_VALUE"""),32.0)</f>
        <v>32</v>
      </c>
      <c r="E599" s="3" t="str">
        <f>IFERROR(__xludf.DUMMYFUNCTION("""COMPUTED_VALUE"""),"XI A-2")</f>
        <v>XI A-2</v>
      </c>
      <c r="F599" s="11" t="str">
        <f>IFERROR(__xludf.DUMMYFUNCTION("""COMPUTED_VALUE"""),"32 - XI A-2 - Annisa Nur Fajriya")</f>
        <v>32 - XI A-2 - Annisa Nur Fajriya</v>
      </c>
    </row>
    <row r="600">
      <c r="A600" s="3" t="str">
        <f>IFERROR(__xludf.DUMMYFUNCTION("""COMPUTED_VALUE"""),"0083641645 / 242510064")</f>
        <v>0083641645 / 242510064</v>
      </c>
      <c r="B600" s="3" t="str">
        <f>IFERROR(__xludf.DUMMYFUNCTION("""COMPUTED_VALUE"""),"Atma Pertiwi")</f>
        <v>Atma Pertiwi</v>
      </c>
      <c r="C600" s="3" t="str">
        <f>IFERROR(__xludf.DUMMYFUNCTION("""COMPUTED_VALUE"""),"P")</f>
        <v>P</v>
      </c>
      <c r="D600" s="3">
        <f>IFERROR(__xludf.DUMMYFUNCTION("""COMPUTED_VALUE"""),32.0)</f>
        <v>32</v>
      </c>
      <c r="E600" s="3" t="str">
        <f>IFERROR(__xludf.DUMMYFUNCTION("""COMPUTED_VALUE"""),"XI A-2")</f>
        <v>XI A-2</v>
      </c>
      <c r="F600" s="11" t="str">
        <f>IFERROR(__xludf.DUMMYFUNCTION("""COMPUTED_VALUE"""),"32 - XI A-2 - Atma Pertiwi")</f>
        <v>32 - XI A-2 - Atma Pertiwi</v>
      </c>
    </row>
    <row r="601">
      <c r="A601" s="3" t="str">
        <f>IFERROR(__xludf.DUMMYFUNCTION("""COMPUTED_VALUE"""),"0093262366 / 242510104")</f>
        <v>0093262366 / 242510104</v>
      </c>
      <c r="B601" s="3" t="str">
        <f>IFERROR(__xludf.DUMMYFUNCTION("""COMPUTED_VALUE"""),"Deivar Brimantara")</f>
        <v>Deivar Brimantara</v>
      </c>
      <c r="C601" s="3" t="str">
        <f>IFERROR(__xludf.DUMMYFUNCTION("""COMPUTED_VALUE"""),"L")</f>
        <v>L</v>
      </c>
      <c r="D601" s="3">
        <f>IFERROR(__xludf.DUMMYFUNCTION("""COMPUTED_VALUE"""),32.0)</f>
        <v>32</v>
      </c>
      <c r="E601" s="3" t="str">
        <f>IFERROR(__xludf.DUMMYFUNCTION("""COMPUTED_VALUE"""),"XI A-2")</f>
        <v>XI A-2</v>
      </c>
      <c r="F601" s="11" t="str">
        <f>IFERROR(__xludf.DUMMYFUNCTION("""COMPUTED_VALUE"""),"32 - XI A-2 - Deivar Brimantara")</f>
        <v>32 - XI A-2 - Deivar Brimantara</v>
      </c>
    </row>
    <row r="602">
      <c r="A602" s="3" t="str">
        <f>IFERROR(__xludf.DUMMYFUNCTION("""COMPUTED_VALUE"""),"0096851574 / 242510117")</f>
        <v>0096851574 / 242510117</v>
      </c>
      <c r="B602" s="3" t="str">
        <f>IFERROR(__xludf.DUMMYFUNCTION("""COMPUTED_VALUE"""),"Dzakia Fitri")</f>
        <v>Dzakia Fitri</v>
      </c>
      <c r="C602" s="3" t="str">
        <f>IFERROR(__xludf.DUMMYFUNCTION("""COMPUTED_VALUE"""),"P")</f>
        <v>P</v>
      </c>
      <c r="D602" s="3">
        <f>IFERROR(__xludf.DUMMYFUNCTION("""COMPUTED_VALUE"""),32.0)</f>
        <v>32</v>
      </c>
      <c r="E602" s="3" t="str">
        <f>IFERROR(__xludf.DUMMYFUNCTION("""COMPUTED_VALUE"""),"XI A-2")</f>
        <v>XI A-2</v>
      </c>
      <c r="F602" s="11" t="str">
        <f>IFERROR(__xludf.DUMMYFUNCTION("""COMPUTED_VALUE"""),"32 - XI A-2 - Dzakia Fitri")</f>
        <v>32 - XI A-2 - Dzakia Fitri</v>
      </c>
    </row>
    <row r="603">
      <c r="A603" s="3" t="str">
        <f>IFERROR(__xludf.DUMMYFUNCTION("""COMPUTED_VALUE"""),"0092622229 / 242510129")</f>
        <v>0092622229 / 242510129</v>
      </c>
      <c r="B603" s="3" t="str">
        <f>IFERROR(__xludf.DUMMYFUNCTION("""COMPUTED_VALUE"""),"Fadhilah Dwi Sabrina Nugrahaning Putri")</f>
        <v>Fadhilah Dwi Sabrina Nugrahaning Putri</v>
      </c>
      <c r="C603" s="3" t="str">
        <f>IFERROR(__xludf.DUMMYFUNCTION("""COMPUTED_VALUE"""),"P")</f>
        <v>P</v>
      </c>
      <c r="D603" s="3">
        <f>IFERROR(__xludf.DUMMYFUNCTION("""COMPUTED_VALUE"""),32.0)</f>
        <v>32</v>
      </c>
      <c r="E603" s="3" t="str">
        <f>IFERROR(__xludf.DUMMYFUNCTION("""COMPUTED_VALUE"""),"XI A-2")</f>
        <v>XI A-2</v>
      </c>
      <c r="F603" s="11" t="str">
        <f>IFERROR(__xludf.DUMMYFUNCTION("""COMPUTED_VALUE"""),"32 - XI A-2 - Fadhilah Dwi Sabrina Nugrahaning Putri")</f>
        <v>32 - XI A-2 - Fadhilah Dwi Sabrina Nugrahaning Putri</v>
      </c>
    </row>
    <row r="604">
      <c r="A604" s="3" t="str">
        <f>IFERROR(__xludf.DUMMYFUNCTION("""COMPUTED_VALUE"""),"0081916428 / 242510141")</f>
        <v>0081916428 / 242510141</v>
      </c>
      <c r="B604" s="3" t="str">
        <f>IFERROR(__xludf.DUMMYFUNCTION("""COMPUTED_VALUE"""),"Fellysia Oktafia Fernanda")</f>
        <v>Fellysia Oktafia Fernanda</v>
      </c>
      <c r="C604" s="3" t="str">
        <f>IFERROR(__xludf.DUMMYFUNCTION("""COMPUTED_VALUE"""),"P")</f>
        <v>P</v>
      </c>
      <c r="D604" s="3">
        <f>IFERROR(__xludf.DUMMYFUNCTION("""COMPUTED_VALUE"""),32.0)</f>
        <v>32</v>
      </c>
      <c r="E604" s="3" t="str">
        <f>IFERROR(__xludf.DUMMYFUNCTION("""COMPUTED_VALUE"""),"XI A-2")</f>
        <v>XI A-2</v>
      </c>
      <c r="F604" s="11" t="str">
        <f>IFERROR(__xludf.DUMMYFUNCTION("""COMPUTED_VALUE"""),"32 - XI A-2 - Fellysia Oktafia Fernanda")</f>
        <v>32 - XI A-2 - Fellysia Oktafia Fernanda</v>
      </c>
    </row>
    <row r="605">
      <c r="A605" s="3" t="str">
        <f>IFERROR(__xludf.DUMMYFUNCTION("""COMPUTED_VALUE"""),"0095691756 / 242510144")</f>
        <v>0095691756 / 242510144</v>
      </c>
      <c r="B605" s="3" t="str">
        <f>IFERROR(__xludf.DUMMYFUNCTION("""COMPUTED_VALUE"""),"Fiquita Napu")</f>
        <v>Fiquita Napu</v>
      </c>
      <c r="C605" s="3" t="str">
        <f>IFERROR(__xludf.DUMMYFUNCTION("""COMPUTED_VALUE"""),"P")</f>
        <v>P</v>
      </c>
      <c r="D605" s="3">
        <f>IFERROR(__xludf.DUMMYFUNCTION("""COMPUTED_VALUE"""),32.0)</f>
        <v>32</v>
      </c>
      <c r="E605" s="3" t="str">
        <f>IFERROR(__xludf.DUMMYFUNCTION("""COMPUTED_VALUE"""),"XI A-2")</f>
        <v>XI A-2</v>
      </c>
      <c r="F605" s="11" t="str">
        <f>IFERROR(__xludf.DUMMYFUNCTION("""COMPUTED_VALUE"""),"32 - XI A-2 - Fiquita Napu")</f>
        <v>32 - XI A-2 - Fiquita Napu</v>
      </c>
    </row>
    <row r="606">
      <c r="A606" s="3" t="str">
        <f>IFERROR(__xludf.DUMMYFUNCTION("""COMPUTED_VALUE"""),"0082539116 / 242510153")</f>
        <v>0082539116 / 242510153</v>
      </c>
      <c r="B606" s="3" t="str">
        <f>IFERROR(__xludf.DUMMYFUNCTION("""COMPUTED_VALUE"""),"Glenn Hubert Jonathan Haholongan Simanungkalit")</f>
        <v>Glenn Hubert Jonathan Haholongan Simanungkalit</v>
      </c>
      <c r="C606" s="3" t="str">
        <f>IFERROR(__xludf.DUMMYFUNCTION("""COMPUTED_VALUE"""),"L")</f>
        <v>L</v>
      </c>
      <c r="D606" s="3">
        <f>IFERROR(__xludf.DUMMYFUNCTION("""COMPUTED_VALUE"""),32.0)</f>
        <v>32</v>
      </c>
      <c r="E606" s="3" t="str">
        <f>IFERROR(__xludf.DUMMYFUNCTION("""COMPUTED_VALUE"""),"XI A-2")</f>
        <v>XI A-2</v>
      </c>
      <c r="F606" s="11" t="str">
        <f>IFERROR(__xludf.DUMMYFUNCTION("""COMPUTED_VALUE"""),"32 - XI A-2 - Glenn Hubert Jonathan Haholongan Simanungkalit")</f>
        <v>32 - XI A-2 - Glenn Hubert Jonathan Haholongan Simanungkalit</v>
      </c>
    </row>
    <row r="607">
      <c r="A607" s="3" t="str">
        <f>IFERROR(__xludf.DUMMYFUNCTION("""COMPUTED_VALUE"""),"0099310873 / 242510160")</f>
        <v>0099310873 / 242510160</v>
      </c>
      <c r="B607" s="3" t="str">
        <f>IFERROR(__xludf.DUMMYFUNCTION("""COMPUTED_VALUE"""),"Hanif Aulia Rifqy")</f>
        <v>Hanif Aulia Rifqy</v>
      </c>
      <c r="C607" s="3" t="str">
        <f>IFERROR(__xludf.DUMMYFUNCTION("""COMPUTED_VALUE"""),"L")</f>
        <v>L</v>
      </c>
      <c r="D607" s="3">
        <f>IFERROR(__xludf.DUMMYFUNCTION("""COMPUTED_VALUE"""),32.0)</f>
        <v>32</v>
      </c>
      <c r="E607" s="3" t="str">
        <f>IFERROR(__xludf.DUMMYFUNCTION("""COMPUTED_VALUE"""),"XI A-2")</f>
        <v>XI A-2</v>
      </c>
      <c r="F607" s="11" t="str">
        <f>IFERROR(__xludf.DUMMYFUNCTION("""COMPUTED_VALUE"""),"32 - XI A-2 - Hanif Aulia Rifqy")</f>
        <v>32 - XI A-2 - Hanif Aulia Rifqy</v>
      </c>
    </row>
    <row r="608">
      <c r="A608" s="3" t="str">
        <f>IFERROR(__xludf.DUMMYFUNCTION("""COMPUTED_VALUE"""),"0099954531 / 242510162")</f>
        <v>0099954531 / 242510162</v>
      </c>
      <c r="B608" s="3" t="str">
        <f>IFERROR(__xludf.DUMMYFUNCTION("""COMPUTED_VALUE"""),"Haykal Wisnu Bayu Wiemanji")</f>
        <v>Haykal Wisnu Bayu Wiemanji</v>
      </c>
      <c r="C608" s="3" t="str">
        <f>IFERROR(__xludf.DUMMYFUNCTION("""COMPUTED_VALUE"""),"L")</f>
        <v>L</v>
      </c>
      <c r="D608" s="3">
        <f>IFERROR(__xludf.DUMMYFUNCTION("""COMPUTED_VALUE"""),32.0)</f>
        <v>32</v>
      </c>
      <c r="E608" s="3" t="str">
        <f>IFERROR(__xludf.DUMMYFUNCTION("""COMPUTED_VALUE"""),"XI A-2")</f>
        <v>XI A-2</v>
      </c>
      <c r="F608" s="11" t="str">
        <f>IFERROR(__xludf.DUMMYFUNCTION("""COMPUTED_VALUE"""),"32 - XI A-2 - Haykal Wisnu Bayu Wiemanji")</f>
        <v>32 - XI A-2 - Haykal Wisnu Bayu Wiemanji</v>
      </c>
    </row>
    <row r="609">
      <c r="A609" s="3" t="str">
        <f>IFERROR(__xludf.DUMMYFUNCTION("""COMPUTED_VALUE"""),"0094260903 / 242510227")</f>
        <v>0094260903 / 242510227</v>
      </c>
      <c r="B609" s="3" t="str">
        <f>IFERROR(__xludf.DUMMYFUNCTION("""COMPUTED_VALUE"""),"Maulida Az Zahra Nurrayani")</f>
        <v>Maulida Az Zahra Nurrayani</v>
      </c>
      <c r="C609" s="3" t="str">
        <f>IFERROR(__xludf.DUMMYFUNCTION("""COMPUTED_VALUE"""),"P")</f>
        <v>P</v>
      </c>
      <c r="D609" s="3">
        <f>IFERROR(__xludf.DUMMYFUNCTION("""COMPUTED_VALUE"""),32.0)</f>
        <v>32</v>
      </c>
      <c r="E609" s="3" t="str">
        <f>IFERROR(__xludf.DUMMYFUNCTION("""COMPUTED_VALUE"""),"XI A-2")</f>
        <v>XI A-2</v>
      </c>
      <c r="F609" s="11" t="str">
        <f>IFERROR(__xludf.DUMMYFUNCTION("""COMPUTED_VALUE"""),"32 - XI A-2 - Maulida Az Zahra Nurrayani")</f>
        <v>32 - XI A-2 - Maulida Az Zahra Nurrayani</v>
      </c>
    </row>
    <row r="610">
      <c r="A610" s="3" t="str">
        <f>IFERROR(__xludf.DUMMYFUNCTION("""COMPUTED_VALUE"""),"0089204896 / 242510238")</f>
        <v>0089204896 / 242510238</v>
      </c>
      <c r="B610" s="3" t="str">
        <f>IFERROR(__xludf.DUMMYFUNCTION("""COMPUTED_VALUE"""),"Moehamad Putra Aulia")</f>
        <v>Moehamad Putra Aulia</v>
      </c>
      <c r="C610" s="3" t="str">
        <f>IFERROR(__xludf.DUMMYFUNCTION("""COMPUTED_VALUE"""),"L")</f>
        <v>L</v>
      </c>
      <c r="D610" s="3">
        <f>IFERROR(__xludf.DUMMYFUNCTION("""COMPUTED_VALUE"""),32.0)</f>
        <v>32</v>
      </c>
      <c r="E610" s="3" t="str">
        <f>IFERROR(__xludf.DUMMYFUNCTION("""COMPUTED_VALUE"""),"XI A-2")</f>
        <v>XI A-2</v>
      </c>
      <c r="F610" s="11" t="str">
        <f>IFERROR(__xludf.DUMMYFUNCTION("""COMPUTED_VALUE"""),"32 - XI A-2 - Moehamad Putra Aulia")</f>
        <v>32 - XI A-2 - Moehamad Putra Aulia</v>
      </c>
    </row>
    <row r="611">
      <c r="A611" s="3" t="str">
        <f>IFERROR(__xludf.DUMMYFUNCTION("""COMPUTED_VALUE"""),"0091447390 / 242510261")</f>
        <v>0091447390 / 242510261</v>
      </c>
      <c r="B611" s="3" t="str">
        <f>IFERROR(__xludf.DUMMYFUNCTION("""COMPUTED_VALUE"""),"Muhammad Fariz Duta Ehsan")</f>
        <v>Muhammad Fariz Duta Ehsan</v>
      </c>
      <c r="C611" s="3" t="str">
        <f>IFERROR(__xludf.DUMMYFUNCTION("""COMPUTED_VALUE"""),"L")</f>
        <v>L</v>
      </c>
      <c r="D611" s="3">
        <f>IFERROR(__xludf.DUMMYFUNCTION("""COMPUTED_VALUE"""),32.0)</f>
        <v>32</v>
      </c>
      <c r="E611" s="3" t="str">
        <f>IFERROR(__xludf.DUMMYFUNCTION("""COMPUTED_VALUE"""),"XI A-2")</f>
        <v>XI A-2</v>
      </c>
      <c r="F611" s="11" t="str">
        <f>IFERROR(__xludf.DUMMYFUNCTION("""COMPUTED_VALUE"""),"32 - XI A-2 - Muhammad Fariz Duta Ehsan")</f>
        <v>32 - XI A-2 - Muhammad Fariz Duta Ehsan</v>
      </c>
    </row>
    <row r="612">
      <c r="A612" s="3" t="str">
        <f>IFERROR(__xludf.DUMMYFUNCTION("""COMPUTED_VALUE"""),"3092211203 / 242510274")</f>
        <v>3092211203 / 242510274</v>
      </c>
      <c r="B612" s="3" t="str">
        <f>IFERROR(__xludf.DUMMYFUNCTION("""COMPUTED_VALUE"""),"Muhammad Rizki Salim")</f>
        <v>Muhammad Rizki Salim</v>
      </c>
      <c r="C612" s="3" t="str">
        <f>IFERROR(__xludf.DUMMYFUNCTION("""COMPUTED_VALUE"""),"L")</f>
        <v>L</v>
      </c>
      <c r="D612" s="3">
        <f>IFERROR(__xludf.DUMMYFUNCTION("""COMPUTED_VALUE"""),32.0)</f>
        <v>32</v>
      </c>
      <c r="E612" s="3" t="str">
        <f>IFERROR(__xludf.DUMMYFUNCTION("""COMPUTED_VALUE"""),"XI A-2")</f>
        <v>XI A-2</v>
      </c>
      <c r="F612" s="11" t="str">
        <f>IFERROR(__xludf.DUMMYFUNCTION("""COMPUTED_VALUE"""),"32 - XI A-2 - Muhammad Rizki Salim")</f>
        <v>32 - XI A-2 - Muhammad Rizki Salim</v>
      </c>
    </row>
    <row r="613">
      <c r="A613" s="3" t="str">
        <f>IFERROR(__xludf.DUMMYFUNCTION("""COMPUTED_VALUE"""),"0095657800 / 242510283")</f>
        <v>0095657800 / 242510283</v>
      </c>
      <c r="B613" s="3" t="str">
        <f>IFERROR(__xludf.DUMMYFUNCTION("""COMPUTED_VALUE"""),"Muthia Jasmine Muthma Innah")</f>
        <v>Muthia Jasmine Muthma Innah</v>
      </c>
      <c r="C613" s="3" t="str">
        <f>IFERROR(__xludf.DUMMYFUNCTION("""COMPUTED_VALUE"""),"P")</f>
        <v>P</v>
      </c>
      <c r="D613" s="3">
        <f>IFERROR(__xludf.DUMMYFUNCTION("""COMPUTED_VALUE"""),32.0)</f>
        <v>32</v>
      </c>
      <c r="E613" s="3" t="str">
        <f>IFERROR(__xludf.DUMMYFUNCTION("""COMPUTED_VALUE"""),"XI A-2")</f>
        <v>XI A-2</v>
      </c>
      <c r="F613" s="11" t="str">
        <f>IFERROR(__xludf.DUMMYFUNCTION("""COMPUTED_VALUE"""),"32 - XI A-2 - Muthia Jasmine Muthma Innah")</f>
        <v>32 - XI A-2 - Muthia Jasmine Muthma Innah</v>
      </c>
    </row>
    <row r="614">
      <c r="A614" s="3" t="str">
        <f>IFERROR(__xludf.DUMMYFUNCTION("""COMPUTED_VALUE"""),"0082650076 / 242510304")</f>
        <v>0082650076 / 242510304</v>
      </c>
      <c r="B614" s="3" t="str">
        <f>IFERROR(__xludf.DUMMYFUNCTION("""COMPUTED_VALUE"""),"Ni Made Nazela")</f>
        <v>Ni Made Nazela</v>
      </c>
      <c r="C614" s="3" t="str">
        <f>IFERROR(__xludf.DUMMYFUNCTION("""COMPUTED_VALUE"""),"P")</f>
        <v>P</v>
      </c>
      <c r="D614" s="3">
        <f>IFERROR(__xludf.DUMMYFUNCTION("""COMPUTED_VALUE"""),32.0)</f>
        <v>32</v>
      </c>
      <c r="E614" s="3" t="str">
        <f>IFERROR(__xludf.DUMMYFUNCTION("""COMPUTED_VALUE"""),"XI A-2")</f>
        <v>XI A-2</v>
      </c>
      <c r="F614" s="11" t="str">
        <f>IFERROR(__xludf.DUMMYFUNCTION("""COMPUTED_VALUE"""),"32 - XI A-2 - Ni Made Nazela")</f>
        <v>32 - XI A-2 - Ni Made Nazela</v>
      </c>
    </row>
    <row r="615">
      <c r="A615" s="3" t="str">
        <f>IFERROR(__xludf.DUMMYFUNCTION("""COMPUTED_VALUE"""),"0095420383 / 242510306")</f>
        <v>0095420383 / 242510306</v>
      </c>
      <c r="B615" s="3" t="str">
        <f>IFERROR(__xludf.DUMMYFUNCTION("""COMPUTED_VALUE"""),"Niken Zahrothul Sita")</f>
        <v>Niken Zahrothul Sita</v>
      </c>
      <c r="C615" s="3" t="str">
        <f>IFERROR(__xludf.DUMMYFUNCTION("""COMPUTED_VALUE"""),"P")</f>
        <v>P</v>
      </c>
      <c r="D615" s="3">
        <f>IFERROR(__xludf.DUMMYFUNCTION("""COMPUTED_VALUE"""),32.0)</f>
        <v>32</v>
      </c>
      <c r="E615" s="3" t="str">
        <f>IFERROR(__xludf.DUMMYFUNCTION("""COMPUTED_VALUE"""),"XI A-2")</f>
        <v>XI A-2</v>
      </c>
      <c r="F615" s="11" t="str">
        <f>IFERROR(__xludf.DUMMYFUNCTION("""COMPUTED_VALUE"""),"32 - XI A-2 - Niken Zahrothul Sita")</f>
        <v>32 - XI A-2 - Niken Zahrothul Sita</v>
      </c>
    </row>
    <row r="616">
      <c r="A616" s="3" t="str">
        <f>IFERROR(__xludf.DUMMYFUNCTION("""COMPUTED_VALUE"""),"3097669813 / 242510308")</f>
        <v>3097669813 / 242510308</v>
      </c>
      <c r="B616" s="3" t="str">
        <f>IFERROR(__xludf.DUMMYFUNCTION("""COMPUTED_VALUE"""),"Nurafni Maisa")</f>
        <v>Nurafni Maisa</v>
      </c>
      <c r="C616" s="3" t="str">
        <f>IFERROR(__xludf.DUMMYFUNCTION("""COMPUTED_VALUE"""),"P")</f>
        <v>P</v>
      </c>
      <c r="D616" s="3">
        <f>IFERROR(__xludf.DUMMYFUNCTION("""COMPUTED_VALUE"""),32.0)</f>
        <v>32</v>
      </c>
      <c r="E616" s="3" t="str">
        <f>IFERROR(__xludf.DUMMYFUNCTION("""COMPUTED_VALUE"""),"XI A-2")</f>
        <v>XI A-2</v>
      </c>
      <c r="F616" s="11" t="str">
        <f>IFERROR(__xludf.DUMMYFUNCTION("""COMPUTED_VALUE"""),"32 - XI A-2 - Nurafni Maisa")</f>
        <v>32 - XI A-2 - Nurafni Maisa</v>
      </c>
    </row>
    <row r="617">
      <c r="A617" s="3" t="str">
        <f>IFERROR(__xludf.DUMMYFUNCTION("""COMPUTED_VALUE"""),"0086704012 / 242510310")</f>
        <v>0086704012 / 242510310</v>
      </c>
      <c r="B617" s="3" t="str">
        <f>IFERROR(__xludf.DUMMYFUNCTION("""COMPUTED_VALUE"""),"Nurisya Aulia Shabiira")</f>
        <v>Nurisya Aulia Shabiira</v>
      </c>
      <c r="C617" s="3" t="str">
        <f>IFERROR(__xludf.DUMMYFUNCTION("""COMPUTED_VALUE"""),"P")</f>
        <v>P</v>
      </c>
      <c r="D617" s="3">
        <f>IFERROR(__xludf.DUMMYFUNCTION("""COMPUTED_VALUE"""),32.0)</f>
        <v>32</v>
      </c>
      <c r="E617" s="3" t="str">
        <f>IFERROR(__xludf.DUMMYFUNCTION("""COMPUTED_VALUE"""),"XI A-2")</f>
        <v>XI A-2</v>
      </c>
      <c r="F617" s="11" t="str">
        <f>IFERROR(__xludf.DUMMYFUNCTION("""COMPUTED_VALUE"""),"32 - XI A-2 - Nurisya Aulia Shabiira")</f>
        <v>32 - XI A-2 - Nurisya Aulia Shabiira</v>
      </c>
    </row>
    <row r="618">
      <c r="A618" s="3" t="str">
        <f>IFERROR(__xludf.DUMMYFUNCTION("""COMPUTED_VALUE"""),"0095788052 / 242510329")</f>
        <v>0095788052 / 242510329</v>
      </c>
      <c r="B618" s="3" t="str">
        <f>IFERROR(__xludf.DUMMYFUNCTION("""COMPUTED_VALUE"""),"Rachmat Saidi Koes Mulyana")</f>
        <v>Rachmat Saidi Koes Mulyana</v>
      </c>
      <c r="C618" s="3" t="str">
        <f>IFERROR(__xludf.DUMMYFUNCTION("""COMPUTED_VALUE"""),"L")</f>
        <v>L</v>
      </c>
      <c r="D618" s="3">
        <f>IFERROR(__xludf.DUMMYFUNCTION("""COMPUTED_VALUE"""),32.0)</f>
        <v>32</v>
      </c>
      <c r="E618" s="3" t="str">
        <f>IFERROR(__xludf.DUMMYFUNCTION("""COMPUTED_VALUE"""),"XI A-2")</f>
        <v>XI A-2</v>
      </c>
      <c r="F618" s="11" t="str">
        <f>IFERROR(__xludf.DUMMYFUNCTION("""COMPUTED_VALUE"""),"32 - XI A-2 - Rachmat Saidi Koes Mulyana")</f>
        <v>32 - XI A-2 - Rachmat Saidi Koes Mulyana</v>
      </c>
    </row>
    <row r="619">
      <c r="A619" s="3" t="str">
        <f>IFERROR(__xludf.DUMMYFUNCTION("""COMPUTED_VALUE"""),"0094946777 / 242510338")</f>
        <v>0094946777 / 242510338</v>
      </c>
      <c r="B619" s="3" t="str">
        <f>IFERROR(__xludf.DUMMYFUNCTION("""COMPUTED_VALUE"""),"Raissa Zahra Hidayat")</f>
        <v>Raissa Zahra Hidayat</v>
      </c>
      <c r="C619" s="3" t="str">
        <f>IFERROR(__xludf.DUMMYFUNCTION("""COMPUTED_VALUE"""),"P")</f>
        <v>P</v>
      </c>
      <c r="D619" s="3">
        <f>IFERROR(__xludf.DUMMYFUNCTION("""COMPUTED_VALUE"""),32.0)</f>
        <v>32</v>
      </c>
      <c r="E619" s="3" t="str">
        <f>IFERROR(__xludf.DUMMYFUNCTION("""COMPUTED_VALUE"""),"XI A-2")</f>
        <v>XI A-2</v>
      </c>
      <c r="F619" s="11" t="str">
        <f>IFERROR(__xludf.DUMMYFUNCTION("""COMPUTED_VALUE"""),"32 - XI A-2 - Raissa Zahra Hidayat")</f>
        <v>32 - XI A-2 - Raissa Zahra Hidayat</v>
      </c>
    </row>
    <row r="620">
      <c r="A620" s="3" t="str">
        <f>IFERROR(__xludf.DUMMYFUNCTION("""COMPUTED_VALUE"""),"0097830870 / 242510354")</f>
        <v>0097830870 / 242510354</v>
      </c>
      <c r="B620" s="3" t="str">
        <f>IFERROR(__xludf.DUMMYFUNCTION("""COMPUTED_VALUE"""),"Rizieq Zidan Rizal")</f>
        <v>Rizieq Zidan Rizal</v>
      </c>
      <c r="C620" s="3" t="str">
        <f>IFERROR(__xludf.DUMMYFUNCTION("""COMPUTED_VALUE"""),"L")</f>
        <v>L</v>
      </c>
      <c r="D620" s="3">
        <f>IFERROR(__xludf.DUMMYFUNCTION("""COMPUTED_VALUE"""),32.0)</f>
        <v>32</v>
      </c>
      <c r="E620" s="3" t="str">
        <f>IFERROR(__xludf.DUMMYFUNCTION("""COMPUTED_VALUE"""),"XI A-2")</f>
        <v>XI A-2</v>
      </c>
      <c r="F620" s="11" t="str">
        <f>IFERROR(__xludf.DUMMYFUNCTION("""COMPUTED_VALUE"""),"32 - XI A-2 - Rizieq Zidan Rizal")</f>
        <v>32 - XI A-2 - Rizieq Zidan Rizal</v>
      </c>
    </row>
    <row r="621">
      <c r="A621" s="3" t="str">
        <f>IFERROR(__xludf.DUMMYFUNCTION("""COMPUTED_VALUE"""),"0092343794 / 242510355")</f>
        <v>0092343794 / 242510355</v>
      </c>
      <c r="B621" s="3" t="str">
        <f>IFERROR(__xludf.DUMMYFUNCTION("""COMPUTED_VALUE"""),"Rizka Rana Naila")</f>
        <v>Rizka Rana Naila</v>
      </c>
      <c r="C621" s="3" t="str">
        <f>IFERROR(__xludf.DUMMYFUNCTION("""COMPUTED_VALUE"""),"P")</f>
        <v>P</v>
      </c>
      <c r="D621" s="3">
        <f>IFERROR(__xludf.DUMMYFUNCTION("""COMPUTED_VALUE"""),32.0)</f>
        <v>32</v>
      </c>
      <c r="E621" s="3" t="str">
        <f>IFERROR(__xludf.DUMMYFUNCTION("""COMPUTED_VALUE"""),"XI A-2")</f>
        <v>XI A-2</v>
      </c>
      <c r="F621" s="11" t="str">
        <f>IFERROR(__xludf.DUMMYFUNCTION("""COMPUTED_VALUE"""),"32 - XI A-2 - Rizka Rana Naila")</f>
        <v>32 - XI A-2 - Rizka Rana Naila</v>
      </c>
    </row>
    <row r="622">
      <c r="A622" s="3" t="str">
        <f>IFERROR(__xludf.DUMMYFUNCTION("""COMPUTED_VALUE"""),"0095556013 / 242510366")</f>
        <v>0095556013 / 242510366</v>
      </c>
      <c r="B622" s="3" t="str">
        <f>IFERROR(__xludf.DUMMYFUNCTION("""COMPUTED_VALUE"""),"Salsabila Maulani")</f>
        <v>Salsabila Maulani</v>
      </c>
      <c r="C622" s="3" t="str">
        <f>IFERROR(__xludf.DUMMYFUNCTION("""COMPUTED_VALUE"""),"P")</f>
        <v>P</v>
      </c>
      <c r="D622" s="3">
        <f>IFERROR(__xludf.DUMMYFUNCTION("""COMPUTED_VALUE"""),32.0)</f>
        <v>32</v>
      </c>
      <c r="E622" s="3" t="str">
        <f>IFERROR(__xludf.DUMMYFUNCTION("""COMPUTED_VALUE"""),"XI A-2")</f>
        <v>XI A-2</v>
      </c>
      <c r="F622" s="11" t="str">
        <f>IFERROR(__xludf.DUMMYFUNCTION("""COMPUTED_VALUE"""),"32 - XI A-2 - Salsabila Maulani")</f>
        <v>32 - XI A-2 - Salsabila Maulani</v>
      </c>
    </row>
    <row r="623">
      <c r="A623" s="3" t="str">
        <f>IFERROR(__xludf.DUMMYFUNCTION("""COMPUTED_VALUE"""),"0094079262 / 242510374")</f>
        <v>0094079262 / 242510374</v>
      </c>
      <c r="B623" s="3" t="str">
        <f>IFERROR(__xludf.DUMMYFUNCTION("""COMPUTED_VALUE"""),"Santika Febyanti")</f>
        <v>Santika Febyanti</v>
      </c>
      <c r="C623" s="3" t="str">
        <f>IFERROR(__xludf.DUMMYFUNCTION("""COMPUTED_VALUE"""),"P")</f>
        <v>P</v>
      </c>
      <c r="D623" s="3">
        <f>IFERROR(__xludf.DUMMYFUNCTION("""COMPUTED_VALUE"""),32.0)</f>
        <v>32</v>
      </c>
      <c r="E623" s="3" t="str">
        <f>IFERROR(__xludf.DUMMYFUNCTION("""COMPUTED_VALUE"""),"XI A-2")</f>
        <v>XI A-2</v>
      </c>
      <c r="F623" s="11" t="str">
        <f>IFERROR(__xludf.DUMMYFUNCTION("""COMPUTED_VALUE"""),"32 - XI A-2 - Santika Febyanti")</f>
        <v>32 - XI A-2 - Santika Febyanti</v>
      </c>
    </row>
    <row r="624">
      <c r="A624" s="3" t="str">
        <f>IFERROR(__xludf.DUMMYFUNCTION("""COMPUTED_VALUE"""),"0072787144 / 242510377")</f>
        <v>0072787144 / 242510377</v>
      </c>
      <c r="B624" s="3" t="str">
        <f>IFERROR(__xludf.DUMMYFUNCTION("""COMPUTED_VALUE"""),"Savira Oktavia Prasetyo")</f>
        <v>Savira Oktavia Prasetyo</v>
      </c>
      <c r="C624" s="3" t="str">
        <f>IFERROR(__xludf.DUMMYFUNCTION("""COMPUTED_VALUE"""),"P")</f>
        <v>P</v>
      </c>
      <c r="D624" s="3">
        <f>IFERROR(__xludf.DUMMYFUNCTION("""COMPUTED_VALUE"""),32.0)</f>
        <v>32</v>
      </c>
      <c r="E624" s="3" t="str">
        <f>IFERROR(__xludf.DUMMYFUNCTION("""COMPUTED_VALUE"""),"XI A-2")</f>
        <v>XI A-2</v>
      </c>
      <c r="F624" s="11" t="str">
        <f>IFERROR(__xludf.DUMMYFUNCTION("""COMPUTED_VALUE"""),"32 - XI A-2 - Savira Oktavia Prasetyo")</f>
        <v>32 - XI A-2 - Savira Oktavia Prasetyo</v>
      </c>
    </row>
    <row r="625">
      <c r="A625" s="3" t="str">
        <f>IFERROR(__xludf.DUMMYFUNCTION("""COMPUTED_VALUE"""),"0096304229 / 242510387")</f>
        <v>0096304229 / 242510387</v>
      </c>
      <c r="B625" s="3" t="str">
        <f>IFERROR(__xludf.DUMMYFUNCTION("""COMPUTED_VALUE"""),"Syadien Kamillia Agustin")</f>
        <v>Syadien Kamillia Agustin</v>
      </c>
      <c r="C625" s="3" t="str">
        <f>IFERROR(__xludf.DUMMYFUNCTION("""COMPUTED_VALUE"""),"P")</f>
        <v>P</v>
      </c>
      <c r="D625" s="3">
        <f>IFERROR(__xludf.DUMMYFUNCTION("""COMPUTED_VALUE"""),32.0)</f>
        <v>32</v>
      </c>
      <c r="E625" s="3" t="str">
        <f>IFERROR(__xludf.DUMMYFUNCTION("""COMPUTED_VALUE"""),"XI A-2")</f>
        <v>XI A-2</v>
      </c>
      <c r="F625" s="11" t="str">
        <f>IFERROR(__xludf.DUMMYFUNCTION("""COMPUTED_VALUE"""),"32 - XI A-2 - Syadien Kamillia Agustin")</f>
        <v>32 - XI A-2 - Syadien Kamillia Agustin</v>
      </c>
    </row>
    <row r="626">
      <c r="A626" s="3" t="str">
        <f>IFERROR(__xludf.DUMMYFUNCTION("""COMPUTED_VALUE"""),"0093907013 / 242510390")</f>
        <v>0093907013 / 242510390</v>
      </c>
      <c r="B626" s="3" t="str">
        <f>IFERROR(__xludf.DUMMYFUNCTION("""COMPUTED_VALUE"""),"Syaikhah Anbar")</f>
        <v>Syaikhah Anbar</v>
      </c>
      <c r="C626" s="3" t="str">
        <f>IFERROR(__xludf.DUMMYFUNCTION("""COMPUTED_VALUE"""),"P")</f>
        <v>P</v>
      </c>
      <c r="D626" s="3">
        <f>IFERROR(__xludf.DUMMYFUNCTION("""COMPUTED_VALUE"""),32.0)</f>
        <v>32</v>
      </c>
      <c r="E626" s="3" t="str">
        <f>IFERROR(__xludf.DUMMYFUNCTION("""COMPUTED_VALUE"""),"XI A-2")</f>
        <v>XI A-2</v>
      </c>
      <c r="F626" s="11" t="str">
        <f>IFERROR(__xludf.DUMMYFUNCTION("""COMPUTED_VALUE"""),"32 - XI A-2 - Syaikhah Anbar")</f>
        <v>32 - XI A-2 - Syaikhah Anbar</v>
      </c>
    </row>
    <row r="627">
      <c r="A627" s="3" t="str">
        <f>IFERROR(__xludf.DUMMYFUNCTION("""COMPUTED_VALUE"""),"0084548048 / 242510404")</f>
        <v>0084548048 / 242510404</v>
      </c>
      <c r="B627" s="3" t="str">
        <f>IFERROR(__xludf.DUMMYFUNCTION("""COMPUTED_VALUE"""),"Tumpal David Hotbonardo Napitupulu")</f>
        <v>Tumpal David Hotbonardo Napitupulu</v>
      </c>
      <c r="C627" s="3" t="str">
        <f>IFERROR(__xludf.DUMMYFUNCTION("""COMPUTED_VALUE"""),"L")</f>
        <v>L</v>
      </c>
      <c r="D627" s="3">
        <f>IFERROR(__xludf.DUMMYFUNCTION("""COMPUTED_VALUE"""),32.0)</f>
        <v>32</v>
      </c>
      <c r="E627" s="3" t="str">
        <f>IFERROR(__xludf.DUMMYFUNCTION("""COMPUTED_VALUE"""),"XI A-2")</f>
        <v>XI A-2</v>
      </c>
      <c r="F627" s="11" t="str">
        <f>IFERROR(__xludf.DUMMYFUNCTION("""COMPUTED_VALUE"""),"32 - XI A-2 - Tumpal David Hotbonardo Napitupulu")</f>
        <v>32 - XI A-2 - Tumpal David Hotbonardo Napitupulu</v>
      </c>
    </row>
    <row r="628">
      <c r="A628" s="3" t="str">
        <f>IFERROR(__xludf.DUMMYFUNCTION("""COMPUTED_VALUE"""),"0094935892 / 242510412")</f>
        <v>0094935892 / 242510412</v>
      </c>
      <c r="B628" s="3" t="str">
        <f>IFERROR(__xludf.DUMMYFUNCTION("""COMPUTED_VALUE"""),"Wanda Zhafirah")</f>
        <v>Wanda Zhafirah</v>
      </c>
      <c r="C628" s="3" t="str">
        <f>IFERROR(__xludf.DUMMYFUNCTION("""COMPUTED_VALUE"""),"P")</f>
        <v>P</v>
      </c>
      <c r="D628" s="3">
        <f>IFERROR(__xludf.DUMMYFUNCTION("""COMPUTED_VALUE"""),32.0)</f>
        <v>32</v>
      </c>
      <c r="E628" s="3" t="str">
        <f>IFERROR(__xludf.DUMMYFUNCTION("""COMPUTED_VALUE"""),"XI A-2")</f>
        <v>XI A-2</v>
      </c>
      <c r="F628" s="11" t="str">
        <f>IFERROR(__xludf.DUMMYFUNCTION("""COMPUTED_VALUE"""),"32 - XI A-2 - Wanda Zhafirah")</f>
        <v>32 - XI A-2 - Wanda Zhafirah</v>
      </c>
    </row>
    <row r="629">
      <c r="A629" s="3" t="str">
        <f>IFERROR(__xludf.DUMMYFUNCTION("""COMPUTED_VALUE"""),"0085027044 / 242510010")</f>
        <v>0085027044 / 242510010</v>
      </c>
      <c r="B629" s="3" t="str">
        <f>IFERROR(__xludf.DUMMYFUNCTION("""COMPUTED_VALUE"""),"Ahmad Humam Rifqi")</f>
        <v>Ahmad Humam Rifqi</v>
      </c>
      <c r="C629" s="3" t="str">
        <f>IFERROR(__xludf.DUMMYFUNCTION("""COMPUTED_VALUE"""),"L")</f>
        <v>L</v>
      </c>
      <c r="D629" s="3">
        <f>IFERROR(__xludf.DUMMYFUNCTION("""COMPUTED_VALUE"""),32.0)</f>
        <v>32</v>
      </c>
      <c r="E629" s="3" t="str">
        <f>IFERROR(__xludf.DUMMYFUNCTION("""COMPUTED_VALUE"""),"XI B-1")</f>
        <v>XI B-1</v>
      </c>
      <c r="F629" s="11" t="str">
        <f>IFERROR(__xludf.DUMMYFUNCTION("""COMPUTED_VALUE"""),"32 - XI B-1 - Ahmad Humam Rifqi")</f>
        <v>32 - XI B-1 - Ahmad Humam Rifqi</v>
      </c>
    </row>
    <row r="630">
      <c r="A630" s="3" t="str">
        <f>IFERROR(__xludf.DUMMYFUNCTION("""COMPUTED_VALUE"""),"0081265372 / 242510027")</f>
        <v>0081265372 / 242510027</v>
      </c>
      <c r="B630" s="3" t="str">
        <f>IFERROR(__xludf.DUMMYFUNCTION("""COMPUTED_VALUE"""),"Allayda Cindy Addrian")</f>
        <v>Allayda Cindy Addrian</v>
      </c>
      <c r="C630" s="3" t="str">
        <f>IFERROR(__xludf.DUMMYFUNCTION("""COMPUTED_VALUE"""),"P")</f>
        <v>P</v>
      </c>
      <c r="D630" s="3">
        <f>IFERROR(__xludf.DUMMYFUNCTION("""COMPUTED_VALUE"""),32.0)</f>
        <v>32</v>
      </c>
      <c r="E630" s="3" t="str">
        <f>IFERROR(__xludf.DUMMYFUNCTION("""COMPUTED_VALUE"""),"XI B-1")</f>
        <v>XI B-1</v>
      </c>
      <c r="F630" s="11" t="str">
        <f>IFERROR(__xludf.DUMMYFUNCTION("""COMPUTED_VALUE"""),"32 - XI B-1 - Allayda Cindy Addrian")</f>
        <v>32 - XI B-1 - Allayda Cindy Addrian</v>
      </c>
    </row>
    <row r="631">
      <c r="A631" s="3" t="str">
        <f>IFERROR(__xludf.DUMMYFUNCTION("""COMPUTED_VALUE"""),"0092697249 / 242510041")</f>
        <v>0092697249 / 242510041</v>
      </c>
      <c r="B631" s="3" t="str">
        <f>IFERROR(__xludf.DUMMYFUNCTION("""COMPUTED_VALUE"""),"Anandio Alfathir Suherman")</f>
        <v>Anandio Alfathir Suherman</v>
      </c>
      <c r="C631" s="3" t="str">
        <f>IFERROR(__xludf.DUMMYFUNCTION("""COMPUTED_VALUE"""),"L")</f>
        <v>L</v>
      </c>
      <c r="D631" s="3">
        <f>IFERROR(__xludf.DUMMYFUNCTION("""COMPUTED_VALUE"""),32.0)</f>
        <v>32</v>
      </c>
      <c r="E631" s="3" t="str">
        <f>IFERROR(__xludf.DUMMYFUNCTION("""COMPUTED_VALUE"""),"XI B-1")</f>
        <v>XI B-1</v>
      </c>
      <c r="F631" s="11" t="str">
        <f>IFERROR(__xludf.DUMMYFUNCTION("""COMPUTED_VALUE"""),"32 - XI B-1 - Anandio Alfathir Suherman")</f>
        <v>32 - XI B-1 - Anandio Alfathir Suherman</v>
      </c>
    </row>
    <row r="632">
      <c r="A632" s="3" t="str">
        <f>IFERROR(__xludf.DUMMYFUNCTION("""COMPUTED_VALUE"""),"0085437129 / 242510070")</f>
        <v>0085437129 / 242510070</v>
      </c>
      <c r="B632" s="3" t="str">
        <f>IFERROR(__xludf.DUMMYFUNCTION("""COMPUTED_VALUE"""),"Aura Humaira Putri Gunawan")</f>
        <v>Aura Humaira Putri Gunawan</v>
      </c>
      <c r="C632" s="3" t="str">
        <f>IFERROR(__xludf.DUMMYFUNCTION("""COMPUTED_VALUE"""),"P")</f>
        <v>P</v>
      </c>
      <c r="D632" s="3">
        <f>IFERROR(__xludf.DUMMYFUNCTION("""COMPUTED_VALUE"""),32.0)</f>
        <v>32</v>
      </c>
      <c r="E632" s="3" t="str">
        <f>IFERROR(__xludf.DUMMYFUNCTION("""COMPUTED_VALUE"""),"XI B-1")</f>
        <v>XI B-1</v>
      </c>
      <c r="F632" s="11" t="str">
        <f>IFERROR(__xludf.DUMMYFUNCTION("""COMPUTED_VALUE"""),"32 - XI B-1 - Aura Humaira Putri Gunawan")</f>
        <v>32 - XI B-1 - Aura Humaira Putri Gunawan</v>
      </c>
    </row>
    <row r="633">
      <c r="A633" s="3" t="str">
        <f>IFERROR(__xludf.DUMMYFUNCTION("""COMPUTED_VALUE"""),"0098656322 / 242510113")</f>
        <v>0098656322 / 242510113</v>
      </c>
      <c r="B633" s="3" t="str">
        <f>IFERROR(__xludf.DUMMYFUNCTION("""COMPUTED_VALUE"""),"Dinda Syafana Alfatiha .N .R .K")</f>
        <v>Dinda Syafana Alfatiha .N .R .K</v>
      </c>
      <c r="C633" s="3" t="str">
        <f>IFERROR(__xludf.DUMMYFUNCTION("""COMPUTED_VALUE"""),"P")</f>
        <v>P</v>
      </c>
      <c r="D633" s="3">
        <f>IFERROR(__xludf.DUMMYFUNCTION("""COMPUTED_VALUE"""),32.0)</f>
        <v>32</v>
      </c>
      <c r="E633" s="3" t="str">
        <f>IFERROR(__xludf.DUMMYFUNCTION("""COMPUTED_VALUE"""),"XI B-1")</f>
        <v>XI B-1</v>
      </c>
      <c r="F633" s="11" t="str">
        <f>IFERROR(__xludf.DUMMYFUNCTION("""COMPUTED_VALUE"""),"32 - XI B-1 - Dinda Syafana Alfatiha .N .R .K")</f>
        <v>32 - XI B-1 - Dinda Syafana Alfatiha .N .R .K</v>
      </c>
    </row>
    <row r="634">
      <c r="A634" s="3" t="str">
        <f>IFERROR(__xludf.DUMMYFUNCTION("""COMPUTED_VALUE"""),"0096763243 / 242510120")</f>
        <v>0096763243 / 242510120</v>
      </c>
      <c r="B634" s="3" t="str">
        <f>IFERROR(__xludf.DUMMYFUNCTION("""COMPUTED_VALUE"""),"Elizabeth Fransiska Siregar")</f>
        <v>Elizabeth Fransiska Siregar</v>
      </c>
      <c r="C634" s="3" t="str">
        <f>IFERROR(__xludf.DUMMYFUNCTION("""COMPUTED_VALUE"""),"P")</f>
        <v>P</v>
      </c>
      <c r="D634" s="3">
        <f>IFERROR(__xludf.DUMMYFUNCTION("""COMPUTED_VALUE"""),32.0)</f>
        <v>32</v>
      </c>
      <c r="E634" s="3" t="str">
        <f>IFERROR(__xludf.DUMMYFUNCTION("""COMPUTED_VALUE"""),"XI B-1")</f>
        <v>XI B-1</v>
      </c>
      <c r="F634" s="11" t="str">
        <f>IFERROR(__xludf.DUMMYFUNCTION("""COMPUTED_VALUE"""),"32 - XI B-1 - Elizabeth Fransiska Siregar")</f>
        <v>32 - XI B-1 - Elizabeth Fransiska Siregar</v>
      </c>
    </row>
    <row r="635">
      <c r="A635" s="3" t="str">
        <f>IFERROR(__xludf.DUMMYFUNCTION("""COMPUTED_VALUE"""),"0098951883 / 242510136")</f>
        <v>0098951883 / 242510136</v>
      </c>
      <c r="B635" s="3" t="str">
        <f>IFERROR(__xludf.DUMMYFUNCTION("""COMPUTED_VALUE"""),"Fariha Tiara Jinaani")</f>
        <v>Fariha Tiara Jinaani</v>
      </c>
      <c r="C635" s="3" t="str">
        <f>IFERROR(__xludf.DUMMYFUNCTION("""COMPUTED_VALUE"""),"P")</f>
        <v>P</v>
      </c>
      <c r="D635" s="3">
        <f>IFERROR(__xludf.DUMMYFUNCTION("""COMPUTED_VALUE"""),32.0)</f>
        <v>32</v>
      </c>
      <c r="E635" s="3" t="str">
        <f>IFERROR(__xludf.DUMMYFUNCTION("""COMPUTED_VALUE"""),"XI B-1")</f>
        <v>XI B-1</v>
      </c>
      <c r="F635" s="11" t="str">
        <f>IFERROR(__xludf.DUMMYFUNCTION("""COMPUTED_VALUE"""),"32 - XI B-1 - Fariha Tiara Jinaani")</f>
        <v>32 - XI B-1 - Fariha Tiara Jinaani</v>
      </c>
    </row>
    <row r="636">
      <c r="A636" s="3" t="str">
        <f>IFERROR(__xludf.DUMMYFUNCTION("""COMPUTED_VALUE"""),"0094722345 / 242510180")</f>
        <v>0094722345 / 242510180</v>
      </c>
      <c r="B636" s="3" t="str">
        <f>IFERROR(__xludf.DUMMYFUNCTION("""COMPUTED_VALUE"""),"Juan Tri Alexandro Immanuel")</f>
        <v>Juan Tri Alexandro Immanuel</v>
      </c>
      <c r="C636" s="3" t="str">
        <f>IFERROR(__xludf.DUMMYFUNCTION("""COMPUTED_VALUE"""),"L")</f>
        <v>L</v>
      </c>
      <c r="D636" s="3">
        <f>IFERROR(__xludf.DUMMYFUNCTION("""COMPUTED_VALUE"""),32.0)</f>
        <v>32</v>
      </c>
      <c r="E636" s="3" t="str">
        <f>IFERROR(__xludf.DUMMYFUNCTION("""COMPUTED_VALUE"""),"XI B-1")</f>
        <v>XI B-1</v>
      </c>
      <c r="F636" s="11" t="str">
        <f>IFERROR(__xludf.DUMMYFUNCTION("""COMPUTED_VALUE"""),"32 - XI B-1 - Juan Tri Alexandro Immanuel")</f>
        <v>32 - XI B-1 - Juan Tri Alexandro Immanuel</v>
      </c>
    </row>
    <row r="637">
      <c r="A637" s="3" t="str">
        <f>IFERROR(__xludf.DUMMYFUNCTION("""COMPUTED_VALUE"""),"0097193046 / 242510184")</f>
        <v>0097193046 / 242510184</v>
      </c>
      <c r="B637" s="3" t="str">
        <f>IFERROR(__xludf.DUMMYFUNCTION("""COMPUTED_VALUE"""),"Karimah Bassam Faris Sawaftah")</f>
        <v>Karimah Bassam Faris Sawaftah</v>
      </c>
      <c r="C637" s="3" t="str">
        <f>IFERROR(__xludf.DUMMYFUNCTION("""COMPUTED_VALUE"""),"P")</f>
        <v>P</v>
      </c>
      <c r="D637" s="3">
        <f>IFERROR(__xludf.DUMMYFUNCTION("""COMPUTED_VALUE"""),32.0)</f>
        <v>32</v>
      </c>
      <c r="E637" s="3" t="str">
        <f>IFERROR(__xludf.DUMMYFUNCTION("""COMPUTED_VALUE"""),"XI B-1")</f>
        <v>XI B-1</v>
      </c>
      <c r="F637" s="11" t="str">
        <f>IFERROR(__xludf.DUMMYFUNCTION("""COMPUTED_VALUE"""),"32 - XI B-1 - Karimah Bassam Faris Sawaftah")</f>
        <v>32 - XI B-1 - Karimah Bassam Faris Sawaftah</v>
      </c>
    </row>
    <row r="638">
      <c r="A638" s="3" t="str">
        <f>IFERROR(__xludf.DUMMYFUNCTION("""COMPUTED_VALUE"""),"0093505380 / 242510187")</f>
        <v>0093505380 / 242510187</v>
      </c>
      <c r="B638" s="3" t="str">
        <f>IFERROR(__xludf.DUMMYFUNCTION("""COMPUTED_VALUE"""),"Kayla Rahmah Mumtazah")</f>
        <v>Kayla Rahmah Mumtazah</v>
      </c>
      <c r="C638" s="3" t="str">
        <f>IFERROR(__xludf.DUMMYFUNCTION("""COMPUTED_VALUE"""),"P")</f>
        <v>P</v>
      </c>
      <c r="D638" s="3">
        <f>IFERROR(__xludf.DUMMYFUNCTION("""COMPUTED_VALUE"""),32.0)</f>
        <v>32</v>
      </c>
      <c r="E638" s="3" t="str">
        <f>IFERROR(__xludf.DUMMYFUNCTION("""COMPUTED_VALUE"""),"XI B-1")</f>
        <v>XI B-1</v>
      </c>
      <c r="F638" s="11" t="str">
        <f>IFERROR(__xludf.DUMMYFUNCTION("""COMPUTED_VALUE"""),"32 - XI B-1 - Kayla Rahmah Mumtazah")</f>
        <v>32 - XI B-1 - Kayla Rahmah Mumtazah</v>
      </c>
    </row>
    <row r="639">
      <c r="A639" s="3" t="str">
        <f>IFERROR(__xludf.DUMMYFUNCTION("""COMPUTED_VALUE"""),"0084361496 / 242510193")</f>
        <v>0084361496 / 242510193</v>
      </c>
      <c r="B639" s="3" t="str">
        <f>IFERROR(__xludf.DUMMYFUNCTION("""COMPUTED_VALUE"""),"Kesya Rashan Syilbiyy Firdaus")</f>
        <v>Kesya Rashan Syilbiyy Firdaus</v>
      </c>
      <c r="C639" s="3" t="str">
        <f>IFERROR(__xludf.DUMMYFUNCTION("""COMPUTED_VALUE"""),"P")</f>
        <v>P</v>
      </c>
      <c r="D639" s="3">
        <f>IFERROR(__xludf.DUMMYFUNCTION("""COMPUTED_VALUE"""),32.0)</f>
        <v>32</v>
      </c>
      <c r="E639" s="3" t="str">
        <f>IFERROR(__xludf.DUMMYFUNCTION("""COMPUTED_VALUE"""),"XI B-1")</f>
        <v>XI B-1</v>
      </c>
      <c r="F639" s="11" t="str">
        <f>IFERROR(__xludf.DUMMYFUNCTION("""COMPUTED_VALUE"""),"32 - XI B-1 - Kesya Rashan Syilbiyy Firdaus")</f>
        <v>32 - XI B-1 - Kesya Rashan Syilbiyy Firdaus</v>
      </c>
    </row>
    <row r="640">
      <c r="A640" s="3" t="str">
        <f>IFERROR(__xludf.DUMMYFUNCTION("""COMPUTED_VALUE"""),"0093778675 / 242510197")</f>
        <v>0093778675 / 242510197</v>
      </c>
      <c r="B640" s="3" t="str">
        <f>IFERROR(__xludf.DUMMYFUNCTION("""COMPUTED_VALUE"""),"Kezia Feodora Simarnala Ciberro")</f>
        <v>Kezia Feodora Simarnala Ciberro</v>
      </c>
      <c r="C640" s="3" t="str">
        <f>IFERROR(__xludf.DUMMYFUNCTION("""COMPUTED_VALUE"""),"P")</f>
        <v>P</v>
      </c>
      <c r="D640" s="3">
        <f>IFERROR(__xludf.DUMMYFUNCTION("""COMPUTED_VALUE"""),32.0)</f>
        <v>32</v>
      </c>
      <c r="E640" s="3" t="str">
        <f>IFERROR(__xludf.DUMMYFUNCTION("""COMPUTED_VALUE"""),"XI B-1")</f>
        <v>XI B-1</v>
      </c>
      <c r="F640" s="11" t="str">
        <f>IFERROR(__xludf.DUMMYFUNCTION("""COMPUTED_VALUE"""),"32 - XI B-1 - Kezia Feodora Simarnala Ciberro")</f>
        <v>32 - XI B-1 - Kezia Feodora Simarnala Ciberro</v>
      </c>
    </row>
    <row r="641">
      <c r="A641" s="3" t="str">
        <f>IFERROR(__xludf.DUMMYFUNCTION("""COMPUTED_VALUE"""),"0094698679 / 242510213")</f>
        <v>0094698679 / 242510213</v>
      </c>
      <c r="B641" s="3" t="str">
        <f>IFERROR(__xludf.DUMMYFUNCTION("""COMPUTED_VALUE"""),"Lina Amelia Dwi Anjani")</f>
        <v>Lina Amelia Dwi Anjani</v>
      </c>
      <c r="C641" s="3" t="str">
        <f>IFERROR(__xludf.DUMMYFUNCTION("""COMPUTED_VALUE"""),"P")</f>
        <v>P</v>
      </c>
      <c r="D641" s="3">
        <f>IFERROR(__xludf.DUMMYFUNCTION("""COMPUTED_VALUE"""),32.0)</f>
        <v>32</v>
      </c>
      <c r="E641" s="3" t="str">
        <f>IFERROR(__xludf.DUMMYFUNCTION("""COMPUTED_VALUE"""),"XI B-1")</f>
        <v>XI B-1</v>
      </c>
      <c r="F641" s="11" t="str">
        <f>IFERROR(__xludf.DUMMYFUNCTION("""COMPUTED_VALUE"""),"32 - XI B-1 - Lina Amelia Dwi Anjani")</f>
        <v>32 - XI B-1 - Lina Amelia Dwi Anjani</v>
      </c>
    </row>
    <row r="642">
      <c r="A642" s="3" t="str">
        <f>IFERROR(__xludf.DUMMYFUNCTION("""COMPUTED_VALUE"""),"3095285309 / 242510216")</f>
        <v>3095285309 / 242510216</v>
      </c>
      <c r="B642" s="3" t="str">
        <f>IFERROR(__xludf.DUMMYFUNCTION("""COMPUTED_VALUE"""),"Luviyani")</f>
        <v>Luviyani</v>
      </c>
      <c r="C642" s="3" t="str">
        <f>IFERROR(__xludf.DUMMYFUNCTION("""COMPUTED_VALUE"""),"P")</f>
        <v>P</v>
      </c>
      <c r="D642" s="3">
        <f>IFERROR(__xludf.DUMMYFUNCTION("""COMPUTED_VALUE"""),32.0)</f>
        <v>32</v>
      </c>
      <c r="E642" s="3" t="str">
        <f>IFERROR(__xludf.DUMMYFUNCTION("""COMPUTED_VALUE"""),"XI B-1")</f>
        <v>XI B-1</v>
      </c>
      <c r="F642" s="11" t="str">
        <f>IFERROR(__xludf.DUMMYFUNCTION("""COMPUTED_VALUE"""),"32 - XI B-1 - Luviyani")</f>
        <v>32 - XI B-1 - Luviyani</v>
      </c>
    </row>
    <row r="643">
      <c r="A643" s="3" t="str">
        <f>IFERROR(__xludf.DUMMYFUNCTION("""COMPUTED_VALUE"""),"0081476668 / 242510222")</f>
        <v>0081476668 / 242510222</v>
      </c>
      <c r="B643" s="3" t="str">
        <f>IFERROR(__xludf.DUMMYFUNCTION("""COMPUTED_VALUE"""),"Malika Nurzahira")</f>
        <v>Malika Nurzahira</v>
      </c>
      <c r="C643" s="3" t="str">
        <f>IFERROR(__xludf.DUMMYFUNCTION("""COMPUTED_VALUE"""),"P")</f>
        <v>P</v>
      </c>
      <c r="D643" s="3">
        <f>IFERROR(__xludf.DUMMYFUNCTION("""COMPUTED_VALUE"""),32.0)</f>
        <v>32</v>
      </c>
      <c r="E643" s="3" t="str">
        <f>IFERROR(__xludf.DUMMYFUNCTION("""COMPUTED_VALUE"""),"XI B-1")</f>
        <v>XI B-1</v>
      </c>
      <c r="F643" s="11" t="str">
        <f>IFERROR(__xludf.DUMMYFUNCTION("""COMPUTED_VALUE"""),"32 - XI B-1 - Malika Nurzahira")</f>
        <v>32 - XI B-1 - Malika Nurzahira</v>
      </c>
    </row>
    <row r="644">
      <c r="A644" s="3" t="str">
        <f>IFERROR(__xludf.DUMMYFUNCTION("""COMPUTED_VALUE"""),"0098908539 / 242510230")</f>
        <v>0098908539 / 242510230</v>
      </c>
      <c r="B644" s="3" t="str">
        <f>IFERROR(__xludf.DUMMYFUNCTION("""COMPUTED_VALUE"""),"Maysa Khumaira")</f>
        <v>Maysa Khumaira</v>
      </c>
      <c r="C644" s="3" t="str">
        <f>IFERROR(__xludf.DUMMYFUNCTION("""COMPUTED_VALUE"""),"P")</f>
        <v>P</v>
      </c>
      <c r="D644" s="3">
        <f>IFERROR(__xludf.DUMMYFUNCTION("""COMPUTED_VALUE"""),32.0)</f>
        <v>32</v>
      </c>
      <c r="E644" s="3" t="str">
        <f>IFERROR(__xludf.DUMMYFUNCTION("""COMPUTED_VALUE"""),"XI B-1")</f>
        <v>XI B-1</v>
      </c>
      <c r="F644" s="11" t="str">
        <f>IFERROR(__xludf.DUMMYFUNCTION("""COMPUTED_VALUE"""),"32 - XI B-1 - Maysa Khumaira")</f>
        <v>32 - XI B-1 - Maysa Khumaira</v>
      </c>
    </row>
    <row r="645">
      <c r="A645" s="3" t="str">
        <f>IFERROR(__xludf.DUMMYFUNCTION("""COMPUTED_VALUE"""),"3095174589 / 242510231")</f>
        <v>3095174589 / 242510231</v>
      </c>
      <c r="B645" s="3" t="str">
        <f>IFERROR(__xludf.DUMMYFUNCTION("""COMPUTED_VALUE"""),"Mazaya Kamilah Manik")</f>
        <v>Mazaya Kamilah Manik</v>
      </c>
      <c r="C645" s="3" t="str">
        <f>IFERROR(__xludf.DUMMYFUNCTION("""COMPUTED_VALUE"""),"P")</f>
        <v>P</v>
      </c>
      <c r="D645" s="3">
        <f>IFERROR(__xludf.DUMMYFUNCTION("""COMPUTED_VALUE"""),32.0)</f>
        <v>32</v>
      </c>
      <c r="E645" s="3" t="str">
        <f>IFERROR(__xludf.DUMMYFUNCTION("""COMPUTED_VALUE"""),"XI B-1")</f>
        <v>XI B-1</v>
      </c>
      <c r="F645" s="11" t="str">
        <f>IFERROR(__xludf.DUMMYFUNCTION("""COMPUTED_VALUE"""),"32 - XI B-1 - Mazaya Kamilah Manik")</f>
        <v>32 - XI B-1 - Mazaya Kamilah Manik</v>
      </c>
    </row>
    <row r="646">
      <c r="A646" s="3" t="str">
        <f>IFERROR(__xludf.DUMMYFUNCTION("""COMPUTED_VALUE"""),"0099030651 / 242510232")</f>
        <v>0099030651 / 242510232</v>
      </c>
      <c r="B646" s="3" t="str">
        <f>IFERROR(__xludf.DUMMYFUNCTION("""COMPUTED_VALUE"""),"Meydina Khaliilah Bramantya")</f>
        <v>Meydina Khaliilah Bramantya</v>
      </c>
      <c r="C646" s="3" t="str">
        <f>IFERROR(__xludf.DUMMYFUNCTION("""COMPUTED_VALUE"""),"P")</f>
        <v>P</v>
      </c>
      <c r="D646" s="3">
        <f>IFERROR(__xludf.DUMMYFUNCTION("""COMPUTED_VALUE"""),32.0)</f>
        <v>32</v>
      </c>
      <c r="E646" s="3" t="str">
        <f>IFERROR(__xludf.DUMMYFUNCTION("""COMPUTED_VALUE"""),"XI B-1")</f>
        <v>XI B-1</v>
      </c>
      <c r="F646" s="11" t="str">
        <f>IFERROR(__xludf.DUMMYFUNCTION("""COMPUTED_VALUE"""),"32 - XI B-1 - Meydina Khaliilah Bramantya")</f>
        <v>32 - XI B-1 - Meydina Khaliilah Bramantya</v>
      </c>
    </row>
    <row r="647">
      <c r="A647" s="3" t="str">
        <f>IFERROR(__xludf.DUMMYFUNCTION("""COMPUTED_VALUE"""),"0098437864 / 242510233")</f>
        <v>0098437864 / 242510233</v>
      </c>
      <c r="B647" s="3" t="str">
        <f>IFERROR(__xludf.DUMMYFUNCTION("""COMPUTED_VALUE"""),"Meysa Yosi Salsabila")</f>
        <v>Meysa Yosi Salsabila</v>
      </c>
      <c r="C647" s="3" t="str">
        <f>IFERROR(__xludf.DUMMYFUNCTION("""COMPUTED_VALUE"""),"P")</f>
        <v>P</v>
      </c>
      <c r="D647" s="3">
        <f>IFERROR(__xludf.DUMMYFUNCTION("""COMPUTED_VALUE"""),32.0)</f>
        <v>32</v>
      </c>
      <c r="E647" s="3" t="str">
        <f>IFERROR(__xludf.DUMMYFUNCTION("""COMPUTED_VALUE"""),"XI B-1")</f>
        <v>XI B-1</v>
      </c>
      <c r="F647" s="11" t="str">
        <f>IFERROR(__xludf.DUMMYFUNCTION("""COMPUTED_VALUE"""),"32 - XI B-1 - Meysa Yosi Salsabila")</f>
        <v>32 - XI B-1 - Meysa Yosi Salsabila</v>
      </c>
    </row>
    <row r="648">
      <c r="A648" s="3" t="str">
        <f>IFERROR(__xludf.DUMMYFUNCTION("""COMPUTED_VALUE"""),"0088976294 / 242510244")</f>
        <v>0088976294 / 242510244</v>
      </c>
      <c r="B648" s="3" t="str">
        <f>IFERROR(__xludf.DUMMYFUNCTION("""COMPUTED_VALUE"""),"Muhamad Riski Aditiya")</f>
        <v>Muhamad Riski Aditiya</v>
      </c>
      <c r="C648" s="3" t="str">
        <f>IFERROR(__xludf.DUMMYFUNCTION("""COMPUTED_VALUE"""),"L")</f>
        <v>L</v>
      </c>
      <c r="D648" s="3">
        <f>IFERROR(__xludf.DUMMYFUNCTION("""COMPUTED_VALUE"""),32.0)</f>
        <v>32</v>
      </c>
      <c r="E648" s="3" t="str">
        <f>IFERROR(__xludf.DUMMYFUNCTION("""COMPUTED_VALUE"""),"XI B-1")</f>
        <v>XI B-1</v>
      </c>
      <c r="F648" s="11" t="str">
        <f>IFERROR(__xludf.DUMMYFUNCTION("""COMPUTED_VALUE"""),"32 - XI B-1 - Muhamad Riski Aditiya")</f>
        <v>32 - XI B-1 - Muhamad Riski Aditiya</v>
      </c>
    </row>
    <row r="649">
      <c r="A649" s="3" t="str">
        <f>IFERROR(__xludf.DUMMYFUNCTION("""COMPUTED_VALUE"""),"0094412664 / 242510278")</f>
        <v>0094412664 / 242510278</v>
      </c>
      <c r="B649" s="3" t="str">
        <f>IFERROR(__xludf.DUMMYFUNCTION("""COMPUTED_VALUE"""),"Muhammad Shafa")</f>
        <v>Muhammad Shafa</v>
      </c>
      <c r="C649" s="3" t="str">
        <f>IFERROR(__xludf.DUMMYFUNCTION("""COMPUTED_VALUE"""),"L")</f>
        <v>L</v>
      </c>
      <c r="D649" s="3">
        <f>IFERROR(__xludf.DUMMYFUNCTION("""COMPUTED_VALUE"""),32.0)</f>
        <v>32</v>
      </c>
      <c r="E649" s="3" t="str">
        <f>IFERROR(__xludf.DUMMYFUNCTION("""COMPUTED_VALUE"""),"XI B-1")</f>
        <v>XI B-1</v>
      </c>
      <c r="F649" s="11" t="str">
        <f>IFERROR(__xludf.DUMMYFUNCTION("""COMPUTED_VALUE"""),"32 - XI B-1 - Muhammad Shafa")</f>
        <v>32 - XI B-1 - Muhammad Shafa</v>
      </c>
    </row>
    <row r="650">
      <c r="A650" s="3" t="str">
        <f>IFERROR(__xludf.DUMMYFUNCTION("""COMPUTED_VALUE"""),"0091524851 / 242510286")</f>
        <v>0091524851 / 242510286</v>
      </c>
      <c r="B650" s="3" t="str">
        <f>IFERROR(__xludf.DUMMYFUNCTION("""COMPUTED_VALUE"""),"Nadian Putri Syafina")</f>
        <v>Nadian Putri Syafina</v>
      </c>
      <c r="C650" s="3" t="str">
        <f>IFERROR(__xludf.DUMMYFUNCTION("""COMPUTED_VALUE"""),"P")</f>
        <v>P</v>
      </c>
      <c r="D650" s="3">
        <f>IFERROR(__xludf.DUMMYFUNCTION("""COMPUTED_VALUE"""),32.0)</f>
        <v>32</v>
      </c>
      <c r="E650" s="3" t="str">
        <f>IFERROR(__xludf.DUMMYFUNCTION("""COMPUTED_VALUE"""),"XI B-1")</f>
        <v>XI B-1</v>
      </c>
      <c r="F650" s="11" t="str">
        <f>IFERROR(__xludf.DUMMYFUNCTION("""COMPUTED_VALUE"""),"32 - XI B-1 - Nadian Putri Syafina")</f>
        <v>32 - XI B-1 - Nadian Putri Syafina</v>
      </c>
    </row>
    <row r="651">
      <c r="A651" s="3" t="str">
        <f>IFERROR(__xludf.DUMMYFUNCTION("""COMPUTED_VALUE"""),"3099271994 / 242510297")</f>
        <v>3099271994 / 242510297</v>
      </c>
      <c r="B651" s="3" t="str">
        <f>IFERROR(__xludf.DUMMYFUNCTION("""COMPUTED_VALUE"""),"Nayshila Dhiya Adzkia")</f>
        <v>Nayshila Dhiya Adzkia</v>
      </c>
      <c r="C651" s="3" t="str">
        <f>IFERROR(__xludf.DUMMYFUNCTION("""COMPUTED_VALUE"""),"P")</f>
        <v>P</v>
      </c>
      <c r="D651" s="3">
        <f>IFERROR(__xludf.DUMMYFUNCTION("""COMPUTED_VALUE"""),32.0)</f>
        <v>32</v>
      </c>
      <c r="E651" s="3" t="str">
        <f>IFERROR(__xludf.DUMMYFUNCTION("""COMPUTED_VALUE"""),"XI B-1")</f>
        <v>XI B-1</v>
      </c>
      <c r="F651" s="11" t="str">
        <f>IFERROR(__xludf.DUMMYFUNCTION("""COMPUTED_VALUE"""),"32 - XI B-1 - Nayshila Dhiya Adzkia")</f>
        <v>32 - XI B-1 - Nayshila Dhiya Adzkia</v>
      </c>
    </row>
    <row r="652">
      <c r="A652" s="3" t="str">
        <f>IFERROR(__xludf.DUMMYFUNCTION("""COMPUTED_VALUE"""),"0083974334 / 242510298")</f>
        <v>0083974334 / 242510298</v>
      </c>
      <c r="B652" s="3" t="str">
        <f>IFERROR(__xludf.DUMMYFUNCTION("""COMPUTED_VALUE"""),"Nazhera Irba Iwel")</f>
        <v>Nazhera Irba Iwel</v>
      </c>
      <c r="C652" s="3" t="str">
        <f>IFERROR(__xludf.DUMMYFUNCTION("""COMPUTED_VALUE"""),"P")</f>
        <v>P</v>
      </c>
      <c r="D652" s="3">
        <f>IFERROR(__xludf.DUMMYFUNCTION("""COMPUTED_VALUE"""),32.0)</f>
        <v>32</v>
      </c>
      <c r="E652" s="3" t="str">
        <f>IFERROR(__xludf.DUMMYFUNCTION("""COMPUTED_VALUE"""),"XI B-1")</f>
        <v>XI B-1</v>
      </c>
      <c r="F652" s="11" t="str">
        <f>IFERROR(__xludf.DUMMYFUNCTION("""COMPUTED_VALUE"""),"32 - XI B-1 - Nazhera Irba Iwel")</f>
        <v>32 - XI B-1 - Nazhera Irba Iwel</v>
      </c>
    </row>
    <row r="653">
      <c r="A653" s="3" t="str">
        <f>IFERROR(__xludf.DUMMYFUNCTION("""COMPUTED_VALUE"""),"0084584228 / 242510313")</f>
        <v>0084584228 / 242510313</v>
      </c>
      <c r="B653" s="3" t="str">
        <f>IFERROR(__xludf.DUMMYFUNCTION("""COMPUTED_VALUE"""),"Piona Abigail Zamar Sinaga")</f>
        <v>Piona Abigail Zamar Sinaga</v>
      </c>
      <c r="C653" s="3" t="str">
        <f>IFERROR(__xludf.DUMMYFUNCTION("""COMPUTED_VALUE"""),"P")</f>
        <v>P</v>
      </c>
      <c r="D653" s="3">
        <f>IFERROR(__xludf.DUMMYFUNCTION("""COMPUTED_VALUE"""),32.0)</f>
        <v>32</v>
      </c>
      <c r="E653" s="3" t="str">
        <f>IFERROR(__xludf.DUMMYFUNCTION("""COMPUTED_VALUE"""),"XI B-1")</f>
        <v>XI B-1</v>
      </c>
      <c r="F653" s="11" t="str">
        <f>IFERROR(__xludf.DUMMYFUNCTION("""COMPUTED_VALUE"""),"32 - XI B-1 - Piona Abigail Zamar Sinaga")</f>
        <v>32 - XI B-1 - Piona Abigail Zamar Sinaga</v>
      </c>
    </row>
    <row r="654">
      <c r="A654" s="3" t="str">
        <f>IFERROR(__xludf.DUMMYFUNCTION("""COMPUTED_VALUE"""),"0093556204 / 242510328")</f>
        <v>0093556204 / 242510328</v>
      </c>
      <c r="B654" s="3" t="str">
        <f>IFERROR(__xludf.DUMMYFUNCTION("""COMPUTED_VALUE"""),"Quintania Aura Putri")</f>
        <v>Quintania Aura Putri</v>
      </c>
      <c r="C654" s="3" t="str">
        <f>IFERROR(__xludf.DUMMYFUNCTION("""COMPUTED_VALUE"""),"P")</f>
        <v>P</v>
      </c>
      <c r="D654" s="3">
        <f>IFERROR(__xludf.DUMMYFUNCTION("""COMPUTED_VALUE"""),32.0)</f>
        <v>32</v>
      </c>
      <c r="E654" s="3" t="str">
        <f>IFERROR(__xludf.DUMMYFUNCTION("""COMPUTED_VALUE"""),"XI B-1")</f>
        <v>XI B-1</v>
      </c>
      <c r="F654" s="11" t="str">
        <f>IFERROR(__xludf.DUMMYFUNCTION("""COMPUTED_VALUE"""),"32 - XI B-1 - Quintania Aura Putri")</f>
        <v>32 - XI B-1 - Quintania Aura Putri</v>
      </c>
    </row>
    <row r="655">
      <c r="A655" s="3" t="str">
        <f>IFERROR(__xludf.DUMMYFUNCTION("""COMPUTED_VALUE"""),"0099332666 / 242510343")</f>
        <v>0099332666 / 242510343</v>
      </c>
      <c r="B655" s="3" t="str">
        <f>IFERROR(__xludf.DUMMYFUNCTION("""COMPUTED_VALUE"""),"Rania Salsabilla")</f>
        <v>Rania Salsabilla</v>
      </c>
      <c r="C655" s="3" t="str">
        <f>IFERROR(__xludf.DUMMYFUNCTION("""COMPUTED_VALUE"""),"P")</f>
        <v>P</v>
      </c>
      <c r="D655" s="3">
        <f>IFERROR(__xludf.DUMMYFUNCTION("""COMPUTED_VALUE"""),32.0)</f>
        <v>32</v>
      </c>
      <c r="E655" s="3" t="str">
        <f>IFERROR(__xludf.DUMMYFUNCTION("""COMPUTED_VALUE"""),"XI B-1")</f>
        <v>XI B-1</v>
      </c>
      <c r="F655" s="11" t="str">
        <f>IFERROR(__xludf.DUMMYFUNCTION("""COMPUTED_VALUE"""),"32 - XI B-1 - Rania Salsabilla")</f>
        <v>32 - XI B-1 - Rania Salsabilla</v>
      </c>
    </row>
    <row r="656">
      <c r="A656" s="3" t="str">
        <f>IFERROR(__xludf.DUMMYFUNCTION("""COMPUTED_VALUE"""),"0087745551 / 242510350")</f>
        <v>0087745551 / 242510350</v>
      </c>
      <c r="B656" s="3" t="str">
        <f>IFERROR(__xludf.DUMMYFUNCTION("""COMPUTED_VALUE"""),"Rhaditia Fajar Kasyahvani")</f>
        <v>Rhaditia Fajar Kasyahvani</v>
      </c>
      <c r="C656" s="3" t="str">
        <f>IFERROR(__xludf.DUMMYFUNCTION("""COMPUTED_VALUE"""),"L")</f>
        <v>L</v>
      </c>
      <c r="D656" s="3">
        <f>IFERROR(__xludf.DUMMYFUNCTION("""COMPUTED_VALUE"""),32.0)</f>
        <v>32</v>
      </c>
      <c r="E656" s="3" t="str">
        <f>IFERROR(__xludf.DUMMYFUNCTION("""COMPUTED_VALUE"""),"XI B-1")</f>
        <v>XI B-1</v>
      </c>
      <c r="F656" s="11" t="str">
        <f>IFERROR(__xludf.DUMMYFUNCTION("""COMPUTED_VALUE"""),"32 - XI B-1 - Rhaditia Fajar Kasyahvani")</f>
        <v>32 - XI B-1 - Rhaditia Fajar Kasyahvani</v>
      </c>
    </row>
    <row r="657">
      <c r="A657" s="3" t="str">
        <f>IFERROR(__xludf.DUMMYFUNCTION("""COMPUTED_VALUE"""),"0085930059 / 242510371")</f>
        <v>0085930059 / 242510371</v>
      </c>
      <c r="B657" s="3" t="str">
        <f>IFERROR(__xludf.DUMMYFUNCTION("""COMPUTED_VALUE"""),"Samy Abdurrahman Romdhony")</f>
        <v>Samy Abdurrahman Romdhony</v>
      </c>
      <c r="C657" s="3" t="str">
        <f>IFERROR(__xludf.DUMMYFUNCTION("""COMPUTED_VALUE"""),"L")</f>
        <v>L</v>
      </c>
      <c r="D657" s="3">
        <f>IFERROR(__xludf.DUMMYFUNCTION("""COMPUTED_VALUE"""),32.0)</f>
        <v>32</v>
      </c>
      <c r="E657" s="3" t="str">
        <f>IFERROR(__xludf.DUMMYFUNCTION("""COMPUTED_VALUE"""),"XI B-1")</f>
        <v>XI B-1</v>
      </c>
      <c r="F657" s="11" t="str">
        <f>IFERROR(__xludf.DUMMYFUNCTION("""COMPUTED_VALUE"""),"32 - XI B-1 - Samy Abdurrahman Romdhony")</f>
        <v>32 - XI B-1 - Samy Abdurrahman Romdhony</v>
      </c>
    </row>
    <row r="658">
      <c r="A658" s="3" t="str">
        <f>IFERROR(__xludf.DUMMYFUNCTION("""COMPUTED_VALUE"""),"0096344538 / 242510373")</f>
        <v>0096344538 / 242510373</v>
      </c>
      <c r="B658" s="3" t="str">
        <f>IFERROR(__xludf.DUMMYFUNCTION("""COMPUTED_VALUE"""),"Sanlia Moranda Br Silaban")</f>
        <v>Sanlia Moranda Br Silaban</v>
      </c>
      <c r="C658" s="3" t="str">
        <f>IFERROR(__xludf.DUMMYFUNCTION("""COMPUTED_VALUE"""),"P")</f>
        <v>P</v>
      </c>
      <c r="D658" s="3">
        <f>IFERROR(__xludf.DUMMYFUNCTION("""COMPUTED_VALUE"""),32.0)</f>
        <v>32</v>
      </c>
      <c r="E658" s="3" t="str">
        <f>IFERROR(__xludf.DUMMYFUNCTION("""COMPUTED_VALUE"""),"XI B-1")</f>
        <v>XI B-1</v>
      </c>
      <c r="F658" s="11" t="str">
        <f>IFERROR(__xludf.DUMMYFUNCTION("""COMPUTED_VALUE"""),"32 - XI B-1 - Sanlia Moranda Br Silaban")</f>
        <v>32 - XI B-1 - Sanlia Moranda Br Silaban</v>
      </c>
    </row>
    <row r="659">
      <c r="A659" s="3" t="str">
        <f>IFERROR(__xludf.DUMMYFUNCTION("""COMPUTED_VALUE"""),"0096480588 / 242510395")</f>
        <v>0096480588 / 242510395</v>
      </c>
      <c r="B659" s="3" t="str">
        <f>IFERROR(__xludf.DUMMYFUNCTION("""COMPUTED_VALUE"""),"Syifa Aprilia")</f>
        <v>Syifa Aprilia</v>
      </c>
      <c r="C659" s="3" t="str">
        <f>IFERROR(__xludf.DUMMYFUNCTION("""COMPUTED_VALUE"""),"P")</f>
        <v>P</v>
      </c>
      <c r="D659" s="3">
        <f>IFERROR(__xludf.DUMMYFUNCTION("""COMPUTED_VALUE"""),32.0)</f>
        <v>32</v>
      </c>
      <c r="E659" s="3" t="str">
        <f>IFERROR(__xludf.DUMMYFUNCTION("""COMPUTED_VALUE"""),"XI B-1")</f>
        <v>XI B-1</v>
      </c>
      <c r="F659" s="11" t="str">
        <f>IFERROR(__xludf.DUMMYFUNCTION("""COMPUTED_VALUE"""),"32 - XI B-1 - Syifa Aprilia")</f>
        <v>32 - XI B-1 - Syifa Aprilia</v>
      </c>
    </row>
    <row r="660">
      <c r="A660" s="3" t="str">
        <f>IFERROR(__xludf.DUMMYFUNCTION("""COMPUTED_VALUE"""),"0094958254 / 242510405")</f>
        <v>0094958254 / 242510405</v>
      </c>
      <c r="B660" s="3" t="str">
        <f>IFERROR(__xludf.DUMMYFUNCTION("""COMPUTED_VALUE"""),"Valentino Azka Febrian Putra")</f>
        <v>Valentino Azka Febrian Putra</v>
      </c>
      <c r="C660" s="3" t="str">
        <f>IFERROR(__xludf.DUMMYFUNCTION("""COMPUTED_VALUE"""),"L")</f>
        <v>L</v>
      </c>
      <c r="D660" s="3">
        <f>IFERROR(__xludf.DUMMYFUNCTION("""COMPUTED_VALUE"""),32.0)</f>
        <v>32</v>
      </c>
      <c r="E660" s="3" t="str">
        <f>IFERROR(__xludf.DUMMYFUNCTION("""COMPUTED_VALUE"""),"XI B-1")</f>
        <v>XI B-1</v>
      </c>
      <c r="F660" s="11" t="str">
        <f>IFERROR(__xludf.DUMMYFUNCTION("""COMPUTED_VALUE"""),"32 - XI B-1 - Valentino Azka Febrian Putra")</f>
        <v>32 - XI B-1 - Valentino Azka Febrian Putra</v>
      </c>
    </row>
    <row r="661">
      <c r="A661" s="3" t="str">
        <f>IFERROR(__xludf.DUMMYFUNCTION("""COMPUTED_VALUE"""),"0085108715 / 242510408")</f>
        <v>0085108715 / 242510408</v>
      </c>
      <c r="B661" s="3" t="str">
        <f>IFERROR(__xludf.DUMMYFUNCTION("""COMPUTED_VALUE"""),"Vinny Vionita")</f>
        <v>Vinny Vionita</v>
      </c>
      <c r="C661" s="3" t="str">
        <f>IFERROR(__xludf.DUMMYFUNCTION("""COMPUTED_VALUE"""),"P")</f>
        <v>P</v>
      </c>
      <c r="D661" s="3">
        <f>IFERROR(__xludf.DUMMYFUNCTION("""COMPUTED_VALUE"""),32.0)</f>
        <v>32</v>
      </c>
      <c r="E661" s="3" t="str">
        <f>IFERROR(__xludf.DUMMYFUNCTION("""COMPUTED_VALUE"""),"XI B-1")</f>
        <v>XI B-1</v>
      </c>
      <c r="F661" s="11" t="str">
        <f>IFERROR(__xludf.DUMMYFUNCTION("""COMPUTED_VALUE"""),"32 - XI B-1 - Vinny Vionita")</f>
        <v>32 - XI B-1 - Vinny Vionita</v>
      </c>
    </row>
    <row r="662">
      <c r="A662" s="3" t="str">
        <f>IFERROR(__xludf.DUMMYFUNCTION("""COMPUTED_VALUE"""),"0089237233 / 242510409")</f>
        <v>0089237233 / 242510409</v>
      </c>
      <c r="B662" s="3" t="str">
        <f>IFERROR(__xludf.DUMMYFUNCTION("""COMPUTED_VALUE"""),"Viola Anindita Kurniawan")</f>
        <v>Viola Anindita Kurniawan</v>
      </c>
      <c r="C662" s="3" t="str">
        <f>IFERROR(__xludf.DUMMYFUNCTION("""COMPUTED_VALUE"""),"P")</f>
        <v>P</v>
      </c>
      <c r="D662" s="3">
        <f>IFERROR(__xludf.DUMMYFUNCTION("""COMPUTED_VALUE"""),32.0)</f>
        <v>32</v>
      </c>
      <c r="E662" s="3" t="str">
        <f>IFERROR(__xludf.DUMMYFUNCTION("""COMPUTED_VALUE"""),"XI B-1")</f>
        <v>XI B-1</v>
      </c>
      <c r="F662" s="11" t="str">
        <f>IFERROR(__xludf.DUMMYFUNCTION("""COMPUTED_VALUE"""),"32 - XI B-1 - Viola Anindita Kurniawan")</f>
        <v>32 - XI B-1 - Viola Anindita Kurniawan</v>
      </c>
    </row>
    <row r="663">
      <c r="A663" s="3" t="str">
        <f>IFERROR(__xludf.DUMMYFUNCTION("""COMPUTED_VALUE"""),"0098438052 / 242510417")</f>
        <v>0098438052 / 242510417</v>
      </c>
      <c r="B663" s="3" t="str">
        <f>IFERROR(__xludf.DUMMYFUNCTION("""COMPUTED_VALUE"""),"Yasmin Diva Nurfiqra")</f>
        <v>Yasmin Diva Nurfiqra</v>
      </c>
      <c r="C663" s="3" t="str">
        <f>IFERROR(__xludf.DUMMYFUNCTION("""COMPUTED_VALUE"""),"P")</f>
        <v>P</v>
      </c>
      <c r="D663" s="3">
        <f>IFERROR(__xludf.DUMMYFUNCTION("""COMPUTED_VALUE"""),32.0)</f>
        <v>32</v>
      </c>
      <c r="E663" s="3" t="str">
        <f>IFERROR(__xludf.DUMMYFUNCTION("""COMPUTED_VALUE"""),"XI B-1")</f>
        <v>XI B-1</v>
      </c>
      <c r="F663" s="11" t="str">
        <f>IFERROR(__xludf.DUMMYFUNCTION("""COMPUTED_VALUE"""),"32 - XI B-1 - Yasmin Diva Nurfiqra")</f>
        <v>32 - XI B-1 - Yasmin Diva Nurfiqra</v>
      </c>
    </row>
    <row r="664">
      <c r="A664" s="3" t="str">
        <f>IFERROR(__xludf.DUMMYFUNCTION("""COMPUTED_VALUE"""),"0082801587 / 242510421")</f>
        <v>0082801587 / 242510421</v>
      </c>
      <c r="B664" s="3" t="str">
        <f>IFERROR(__xludf.DUMMYFUNCTION("""COMPUTED_VALUE"""),"Zahisa Raudhatul Jannah")</f>
        <v>Zahisa Raudhatul Jannah</v>
      </c>
      <c r="C664" s="3" t="str">
        <f>IFERROR(__xludf.DUMMYFUNCTION("""COMPUTED_VALUE"""),"P")</f>
        <v>P</v>
      </c>
      <c r="D664" s="3">
        <f>IFERROR(__xludf.DUMMYFUNCTION("""COMPUTED_VALUE"""),32.0)</f>
        <v>32</v>
      </c>
      <c r="E664" s="3" t="str">
        <f>IFERROR(__xludf.DUMMYFUNCTION("""COMPUTED_VALUE"""),"XI B-1")</f>
        <v>XI B-1</v>
      </c>
      <c r="F664" s="11" t="str">
        <f>IFERROR(__xludf.DUMMYFUNCTION("""COMPUTED_VALUE"""),"32 - XI B-1 - Zahisa Raudhatul Jannah")</f>
        <v>32 - XI B-1 - Zahisa Raudhatul Jannah</v>
      </c>
    </row>
    <row r="665">
      <c r="A665" s="3" t="str">
        <f>IFERROR(__xludf.DUMMYFUNCTION("""COMPUTED_VALUE"""),"0091989218 / 242510017")</f>
        <v>0091989218 / 242510017</v>
      </c>
      <c r="B665" s="3" t="str">
        <f>IFERROR(__xludf.DUMMYFUNCTION("""COMPUTED_VALUE"""),"Aisyah Nur Izzah")</f>
        <v>Aisyah Nur Izzah</v>
      </c>
      <c r="C665" s="3" t="str">
        <f>IFERROR(__xludf.DUMMYFUNCTION("""COMPUTED_VALUE"""),"P")</f>
        <v>P</v>
      </c>
      <c r="D665" s="3">
        <f>IFERROR(__xludf.DUMMYFUNCTION("""COMPUTED_VALUE"""),32.0)</f>
        <v>32</v>
      </c>
      <c r="E665" s="3" t="str">
        <f>IFERROR(__xludf.DUMMYFUNCTION("""COMPUTED_VALUE"""),"XI B-2")</f>
        <v>XI B-2</v>
      </c>
      <c r="F665" s="11" t="str">
        <f>IFERROR(__xludf.DUMMYFUNCTION("""COMPUTED_VALUE"""),"32 - XI B-2 - Aisyah Nur Izzah")</f>
        <v>32 - XI B-2 - Aisyah Nur Izzah</v>
      </c>
    </row>
    <row r="666">
      <c r="A666" s="3" t="str">
        <f>IFERROR(__xludf.DUMMYFUNCTION("""COMPUTED_VALUE"""),"0087766031 / 252611568")</f>
        <v>0087766031 / 252611568</v>
      </c>
      <c r="B666" s="3" t="str">
        <f>IFERROR(__xludf.DUMMYFUNCTION("""COMPUTED_VALUE"""),"Alexandria Prameswari Prawira")</f>
        <v>Alexandria Prameswari Prawira</v>
      </c>
      <c r="C666" s="3" t="str">
        <f>IFERROR(__xludf.DUMMYFUNCTION("""COMPUTED_VALUE"""),"P")</f>
        <v>P</v>
      </c>
      <c r="D666" s="3">
        <f>IFERROR(__xludf.DUMMYFUNCTION("""COMPUTED_VALUE"""),32.0)</f>
        <v>32</v>
      </c>
      <c r="E666" s="3" t="str">
        <f>IFERROR(__xludf.DUMMYFUNCTION("""COMPUTED_VALUE"""),"XI B-2")</f>
        <v>XI B-2</v>
      </c>
      <c r="F666" s="11" t="str">
        <f>IFERROR(__xludf.DUMMYFUNCTION("""COMPUTED_VALUE"""),"32 - XI B-2 - Alexandria Prameswari Prawira")</f>
        <v>32 - XI B-2 - Alexandria Prameswari Prawira</v>
      </c>
    </row>
    <row r="667">
      <c r="A667" s="3" t="str">
        <f>IFERROR(__xludf.DUMMYFUNCTION("""COMPUTED_VALUE"""),"0098715904 / 242510023")</f>
        <v>0098715904 / 242510023</v>
      </c>
      <c r="B667" s="3" t="str">
        <f>IFERROR(__xludf.DUMMYFUNCTION("""COMPUTED_VALUE"""),"Alexia Luigi Lian")</f>
        <v>Alexia Luigi Lian</v>
      </c>
      <c r="C667" s="3" t="str">
        <f>IFERROR(__xludf.DUMMYFUNCTION("""COMPUTED_VALUE"""),"P")</f>
        <v>P</v>
      </c>
      <c r="D667" s="3">
        <f>IFERROR(__xludf.DUMMYFUNCTION("""COMPUTED_VALUE"""),32.0)</f>
        <v>32</v>
      </c>
      <c r="E667" s="3" t="str">
        <f>IFERROR(__xludf.DUMMYFUNCTION("""COMPUTED_VALUE"""),"XI B-2")</f>
        <v>XI B-2</v>
      </c>
      <c r="F667" s="11" t="str">
        <f>IFERROR(__xludf.DUMMYFUNCTION("""COMPUTED_VALUE"""),"32 - XI B-2 - Alexia Luigi Lian")</f>
        <v>32 - XI B-2 - Alexia Luigi Lian</v>
      </c>
    </row>
    <row r="668">
      <c r="A668" s="3" t="str">
        <f>IFERROR(__xludf.DUMMYFUNCTION("""COMPUTED_VALUE"""),"0081501338 / 242510042")</f>
        <v>0081501338 / 242510042</v>
      </c>
      <c r="B668" s="3" t="str">
        <f>IFERROR(__xludf.DUMMYFUNCTION("""COMPUTED_VALUE"""),"Andi Almaghfira Shabila Sawerigading")</f>
        <v>Andi Almaghfira Shabila Sawerigading</v>
      </c>
      <c r="C668" s="3" t="str">
        <f>IFERROR(__xludf.DUMMYFUNCTION("""COMPUTED_VALUE"""),"L")</f>
        <v>L</v>
      </c>
      <c r="D668" s="3">
        <f>IFERROR(__xludf.DUMMYFUNCTION("""COMPUTED_VALUE"""),32.0)</f>
        <v>32</v>
      </c>
      <c r="E668" s="3" t="str">
        <f>IFERROR(__xludf.DUMMYFUNCTION("""COMPUTED_VALUE"""),"XI B-2")</f>
        <v>XI B-2</v>
      </c>
      <c r="F668" s="11" t="str">
        <f>IFERROR(__xludf.DUMMYFUNCTION("""COMPUTED_VALUE"""),"32 - XI B-2 - Andi Almaghfira Shabila Sawerigading")</f>
        <v>32 - XI B-2 - Andi Almaghfira Shabila Sawerigading</v>
      </c>
    </row>
    <row r="669">
      <c r="A669" s="3" t="str">
        <f>IFERROR(__xludf.DUMMYFUNCTION("""COMPUTED_VALUE"""),"0085534034 / 242510086")</f>
        <v>0085534034 / 242510086</v>
      </c>
      <c r="B669" s="3" t="str">
        <f>IFERROR(__xludf.DUMMYFUNCTION("""COMPUTED_VALUE"""),"Bintang Alif Putra Satriya")</f>
        <v>Bintang Alif Putra Satriya</v>
      </c>
      <c r="C669" s="3" t="str">
        <f>IFERROR(__xludf.DUMMYFUNCTION("""COMPUTED_VALUE"""),"P")</f>
        <v>P</v>
      </c>
      <c r="D669" s="3">
        <f>IFERROR(__xludf.DUMMYFUNCTION("""COMPUTED_VALUE"""),32.0)</f>
        <v>32</v>
      </c>
      <c r="E669" s="3" t="str">
        <f>IFERROR(__xludf.DUMMYFUNCTION("""COMPUTED_VALUE"""),"XI B-2")</f>
        <v>XI B-2</v>
      </c>
      <c r="F669" s="11" t="str">
        <f>IFERROR(__xludf.DUMMYFUNCTION("""COMPUTED_VALUE"""),"32 - XI B-2 - Bintang Alif Putra Satriya")</f>
        <v>32 - XI B-2 - Bintang Alif Putra Satriya</v>
      </c>
    </row>
    <row r="670">
      <c r="A670" s="3" t="str">
        <f>IFERROR(__xludf.DUMMYFUNCTION("""COMPUTED_VALUE"""),"0084745418 / 242510091")</f>
        <v>0084745418 / 242510091</v>
      </c>
      <c r="B670" s="3" t="str">
        <f>IFERROR(__xludf.DUMMYFUNCTION("""COMPUTED_VALUE"""),"Chaerani Yulianti")</f>
        <v>Chaerani Yulianti</v>
      </c>
      <c r="C670" s="3" t="str">
        <f>IFERROR(__xludf.DUMMYFUNCTION("""COMPUTED_VALUE"""),"P")</f>
        <v>P</v>
      </c>
      <c r="D670" s="3">
        <f>IFERROR(__xludf.DUMMYFUNCTION("""COMPUTED_VALUE"""),32.0)</f>
        <v>32</v>
      </c>
      <c r="E670" s="3" t="str">
        <f>IFERROR(__xludf.DUMMYFUNCTION("""COMPUTED_VALUE"""),"XI B-2")</f>
        <v>XI B-2</v>
      </c>
      <c r="F670" s="11" t="str">
        <f>IFERROR(__xludf.DUMMYFUNCTION("""COMPUTED_VALUE"""),"32 - XI B-2 - Chaerani Yulianti")</f>
        <v>32 - XI B-2 - Chaerani Yulianti</v>
      </c>
    </row>
    <row r="671">
      <c r="A671" s="3" t="str">
        <f>IFERROR(__xludf.DUMMYFUNCTION("""COMPUTED_VALUE"""),"0095136014 / 242510102")</f>
        <v>0095136014 / 242510102</v>
      </c>
      <c r="B671" s="3" t="str">
        <f>IFERROR(__xludf.DUMMYFUNCTION("""COMPUTED_VALUE"""),"Davina Mutiara Arfi")</f>
        <v>Davina Mutiara Arfi</v>
      </c>
      <c r="C671" s="3" t="str">
        <f>IFERROR(__xludf.DUMMYFUNCTION("""COMPUTED_VALUE"""),"P")</f>
        <v>P</v>
      </c>
      <c r="D671" s="3">
        <f>IFERROR(__xludf.DUMMYFUNCTION("""COMPUTED_VALUE"""),32.0)</f>
        <v>32</v>
      </c>
      <c r="E671" s="3" t="str">
        <f>IFERROR(__xludf.DUMMYFUNCTION("""COMPUTED_VALUE"""),"XI B-2")</f>
        <v>XI B-2</v>
      </c>
      <c r="F671" s="11" t="str">
        <f>IFERROR(__xludf.DUMMYFUNCTION("""COMPUTED_VALUE"""),"32 - XI B-2 - Davina Mutiara Arfi")</f>
        <v>32 - XI B-2 - Davina Mutiara Arfi</v>
      </c>
    </row>
    <row r="672">
      <c r="A672" s="3" t="str">
        <f>IFERROR(__xludf.DUMMYFUNCTION("""COMPUTED_VALUE"""),"0098889247 / 242510133")</f>
        <v>0098889247 / 242510133</v>
      </c>
      <c r="B672" s="3" t="str">
        <f>IFERROR(__xludf.DUMMYFUNCTION("""COMPUTED_VALUE"""),"Faiza Zalfa Nadifa")</f>
        <v>Faiza Zalfa Nadifa</v>
      </c>
      <c r="C672" s="3" t="str">
        <f>IFERROR(__xludf.DUMMYFUNCTION("""COMPUTED_VALUE"""),"P")</f>
        <v>P</v>
      </c>
      <c r="D672" s="3">
        <f>IFERROR(__xludf.DUMMYFUNCTION("""COMPUTED_VALUE"""),32.0)</f>
        <v>32</v>
      </c>
      <c r="E672" s="3" t="str">
        <f>IFERROR(__xludf.DUMMYFUNCTION("""COMPUTED_VALUE"""),"XI B-2")</f>
        <v>XI B-2</v>
      </c>
      <c r="F672" s="11" t="str">
        <f>IFERROR(__xludf.DUMMYFUNCTION("""COMPUTED_VALUE"""),"32 - XI B-2 - Faiza Zalfa Nadifa")</f>
        <v>32 - XI B-2 - Faiza Zalfa Nadifa</v>
      </c>
    </row>
    <row r="673">
      <c r="A673" s="3" t="str">
        <f>IFERROR(__xludf.DUMMYFUNCTION("""COMPUTED_VALUE"""),"0094252138 / 242510134")</f>
        <v>0094252138 / 242510134</v>
      </c>
      <c r="B673" s="3" t="str">
        <f>IFERROR(__xludf.DUMMYFUNCTION("""COMPUTED_VALUE"""),"Fajra Aniq Khalisha")</f>
        <v>Fajra Aniq Khalisha</v>
      </c>
      <c r="C673" s="3" t="str">
        <f>IFERROR(__xludf.DUMMYFUNCTION("""COMPUTED_VALUE"""),"P")</f>
        <v>P</v>
      </c>
      <c r="D673" s="3">
        <f>IFERROR(__xludf.DUMMYFUNCTION("""COMPUTED_VALUE"""),32.0)</f>
        <v>32</v>
      </c>
      <c r="E673" s="3" t="str">
        <f>IFERROR(__xludf.DUMMYFUNCTION("""COMPUTED_VALUE"""),"XI B-2")</f>
        <v>XI B-2</v>
      </c>
      <c r="F673" s="11" t="str">
        <f>IFERROR(__xludf.DUMMYFUNCTION("""COMPUTED_VALUE"""),"32 - XI B-2 - Fajra Aniq Khalisha")</f>
        <v>32 - XI B-2 - Fajra Aniq Khalisha</v>
      </c>
    </row>
    <row r="674">
      <c r="A674" s="3" t="str">
        <f>IFERROR(__xludf.DUMMYFUNCTION("""COMPUTED_VALUE"""),"0086688060 / 242510135")</f>
        <v>0086688060 / 242510135</v>
      </c>
      <c r="B674" s="3" t="str">
        <f>IFERROR(__xludf.DUMMYFUNCTION("""COMPUTED_VALUE"""),"Faliqa Haq Hasanah")</f>
        <v>Faliqa Haq Hasanah</v>
      </c>
      <c r="C674" s="3" t="str">
        <f>IFERROR(__xludf.DUMMYFUNCTION("""COMPUTED_VALUE"""),"P")</f>
        <v>P</v>
      </c>
      <c r="D674" s="3">
        <f>IFERROR(__xludf.DUMMYFUNCTION("""COMPUTED_VALUE"""),32.0)</f>
        <v>32</v>
      </c>
      <c r="E674" s="3" t="str">
        <f>IFERROR(__xludf.DUMMYFUNCTION("""COMPUTED_VALUE"""),"XI B-2")</f>
        <v>XI B-2</v>
      </c>
      <c r="F674" s="11" t="str">
        <f>IFERROR(__xludf.DUMMYFUNCTION("""COMPUTED_VALUE"""),"32 - XI B-2 - Faliqa Haq Hasanah")</f>
        <v>32 - XI B-2 - Faliqa Haq Hasanah</v>
      </c>
    </row>
    <row r="675">
      <c r="A675" s="3" t="str">
        <f>IFERROR(__xludf.DUMMYFUNCTION("""COMPUTED_VALUE"""),"0092223653 / 242510142")</f>
        <v>0092223653 / 242510142</v>
      </c>
      <c r="B675" s="3" t="str">
        <f>IFERROR(__xludf.DUMMYFUNCTION("""COMPUTED_VALUE"""),"Feyza Alya Mukhbita")</f>
        <v>Feyza Alya Mukhbita</v>
      </c>
      <c r="C675" s="3" t="str">
        <f>IFERROR(__xludf.DUMMYFUNCTION("""COMPUTED_VALUE"""),"P")</f>
        <v>P</v>
      </c>
      <c r="D675" s="3">
        <f>IFERROR(__xludf.DUMMYFUNCTION("""COMPUTED_VALUE"""),32.0)</f>
        <v>32</v>
      </c>
      <c r="E675" s="3" t="str">
        <f>IFERROR(__xludf.DUMMYFUNCTION("""COMPUTED_VALUE"""),"XI B-2")</f>
        <v>XI B-2</v>
      </c>
      <c r="F675" s="11" t="str">
        <f>IFERROR(__xludf.DUMMYFUNCTION("""COMPUTED_VALUE"""),"32 - XI B-2 - Feyza Alya Mukhbita")</f>
        <v>32 - XI B-2 - Feyza Alya Mukhbita</v>
      </c>
    </row>
    <row r="676">
      <c r="A676" s="3" t="str">
        <f>IFERROR(__xludf.DUMMYFUNCTION("""COMPUTED_VALUE"""),"0085278931 / 242510165")</f>
        <v>0085278931 / 242510165</v>
      </c>
      <c r="B676" s="3" t="str">
        <f>IFERROR(__xludf.DUMMYFUNCTION("""COMPUTED_VALUE"""),"Hilma Sandria")</f>
        <v>Hilma Sandria</v>
      </c>
      <c r="C676" s="3" t="str">
        <f>IFERROR(__xludf.DUMMYFUNCTION("""COMPUTED_VALUE"""),"P")</f>
        <v>P</v>
      </c>
      <c r="D676" s="3">
        <f>IFERROR(__xludf.DUMMYFUNCTION("""COMPUTED_VALUE"""),32.0)</f>
        <v>32</v>
      </c>
      <c r="E676" s="3" t="str">
        <f>IFERROR(__xludf.DUMMYFUNCTION("""COMPUTED_VALUE"""),"XI B-2")</f>
        <v>XI B-2</v>
      </c>
      <c r="F676" s="11" t="str">
        <f>IFERROR(__xludf.DUMMYFUNCTION("""COMPUTED_VALUE"""),"32 - XI B-2 - Hilma Sandria")</f>
        <v>32 - XI B-2 - Hilma Sandria</v>
      </c>
    </row>
    <row r="677">
      <c r="A677" s="3" t="str">
        <f>IFERROR(__xludf.DUMMYFUNCTION("""COMPUTED_VALUE"""),"0084614966 / 242510167")</f>
        <v>0084614966 / 242510167</v>
      </c>
      <c r="B677" s="3" t="str">
        <f>IFERROR(__xludf.DUMMYFUNCTION("""COMPUTED_VALUE"""),"Hinezta Nailah Sanmaghfirah")</f>
        <v>Hinezta Nailah Sanmaghfirah</v>
      </c>
      <c r="C677" s="3" t="str">
        <f>IFERROR(__xludf.DUMMYFUNCTION("""COMPUTED_VALUE"""),"P")</f>
        <v>P</v>
      </c>
      <c r="D677" s="3">
        <f>IFERROR(__xludf.DUMMYFUNCTION("""COMPUTED_VALUE"""),32.0)</f>
        <v>32</v>
      </c>
      <c r="E677" s="3" t="str">
        <f>IFERROR(__xludf.DUMMYFUNCTION("""COMPUTED_VALUE"""),"XI B-2")</f>
        <v>XI B-2</v>
      </c>
      <c r="F677" s="11" t="str">
        <f>IFERROR(__xludf.DUMMYFUNCTION("""COMPUTED_VALUE"""),"32 - XI B-2 - Hinezta Nailah Sanmaghfirah")</f>
        <v>32 - XI B-2 - Hinezta Nailah Sanmaghfirah</v>
      </c>
    </row>
    <row r="678">
      <c r="A678" s="3" t="str">
        <f>IFERROR(__xludf.DUMMYFUNCTION("""COMPUTED_VALUE"""),"0097408336 / 242510169")</f>
        <v>0097408336 / 242510169</v>
      </c>
      <c r="B678" s="3" t="str">
        <f>IFERROR(__xludf.DUMMYFUNCTION("""COMPUTED_VALUE"""),"Ilma Nur Agnia")</f>
        <v>Ilma Nur Agnia</v>
      </c>
      <c r="C678" s="3" t="str">
        <f>IFERROR(__xludf.DUMMYFUNCTION("""COMPUTED_VALUE"""),"P")</f>
        <v>P</v>
      </c>
      <c r="D678" s="3">
        <f>IFERROR(__xludf.DUMMYFUNCTION("""COMPUTED_VALUE"""),32.0)</f>
        <v>32</v>
      </c>
      <c r="E678" s="3" t="str">
        <f>IFERROR(__xludf.DUMMYFUNCTION("""COMPUTED_VALUE"""),"XI B-2")</f>
        <v>XI B-2</v>
      </c>
      <c r="F678" s="11" t="str">
        <f>IFERROR(__xludf.DUMMYFUNCTION("""COMPUTED_VALUE"""),"32 - XI B-2 - Ilma Nur Agnia")</f>
        <v>32 - XI B-2 - Ilma Nur Agnia</v>
      </c>
    </row>
    <row r="679">
      <c r="A679" s="3" t="str">
        <f>IFERROR(__xludf.DUMMYFUNCTION("""COMPUTED_VALUE"""),"3094028221 / 242510171")</f>
        <v>3094028221 / 242510171</v>
      </c>
      <c r="B679" s="3" t="str">
        <f>IFERROR(__xludf.DUMMYFUNCTION("""COMPUTED_VALUE"""),"Intan Tania")</f>
        <v>Intan Tania</v>
      </c>
      <c r="C679" s="3" t="str">
        <f>IFERROR(__xludf.DUMMYFUNCTION("""COMPUTED_VALUE"""),"L")</f>
        <v>L</v>
      </c>
      <c r="D679" s="3">
        <f>IFERROR(__xludf.DUMMYFUNCTION("""COMPUTED_VALUE"""),32.0)</f>
        <v>32</v>
      </c>
      <c r="E679" s="3" t="str">
        <f>IFERROR(__xludf.DUMMYFUNCTION("""COMPUTED_VALUE"""),"XI B-2")</f>
        <v>XI B-2</v>
      </c>
      <c r="F679" s="11" t="str">
        <f>IFERROR(__xludf.DUMMYFUNCTION("""COMPUTED_VALUE"""),"32 - XI B-2 - Intan Tania")</f>
        <v>32 - XI B-2 - Intan Tania</v>
      </c>
    </row>
    <row r="680">
      <c r="A680" s="3" t="str">
        <f>IFERROR(__xludf.DUMMYFUNCTION("""COMPUTED_VALUE"""),"0094995394 / 242510176")</f>
        <v>0094995394 / 242510176</v>
      </c>
      <c r="B680" s="3" t="str">
        <f>IFERROR(__xludf.DUMMYFUNCTION("""COMPUTED_VALUE"""),"Januar Obed Holand Sitopu")</f>
        <v>Januar Obed Holand Sitopu</v>
      </c>
      <c r="C680" s="3" t="str">
        <f>IFERROR(__xludf.DUMMYFUNCTION("""COMPUTED_VALUE"""),"P")</f>
        <v>P</v>
      </c>
      <c r="D680" s="3">
        <f>IFERROR(__xludf.DUMMYFUNCTION("""COMPUTED_VALUE"""),32.0)</f>
        <v>32</v>
      </c>
      <c r="E680" s="3" t="str">
        <f>IFERROR(__xludf.DUMMYFUNCTION("""COMPUTED_VALUE"""),"XI B-2")</f>
        <v>XI B-2</v>
      </c>
      <c r="F680" s="11" t="str">
        <f>IFERROR(__xludf.DUMMYFUNCTION("""COMPUTED_VALUE"""),"32 - XI B-2 - Januar Obed Holand Sitopu")</f>
        <v>32 - XI B-2 - Januar Obed Holand Sitopu</v>
      </c>
    </row>
    <row r="681">
      <c r="A681" s="3" t="str">
        <f>IFERROR(__xludf.DUMMYFUNCTION("""COMPUTED_VALUE"""),"0081936585 / 242510185")</f>
        <v>0081936585 / 242510185</v>
      </c>
      <c r="B681" s="3" t="str">
        <f>IFERROR(__xludf.DUMMYFUNCTION("""COMPUTED_VALUE"""),"Kayla Dhea Nurma Fauziah")</f>
        <v>Kayla Dhea Nurma Fauziah</v>
      </c>
      <c r="C681" s="3" t="str">
        <f>IFERROR(__xludf.DUMMYFUNCTION("""COMPUTED_VALUE"""),"P")</f>
        <v>P</v>
      </c>
      <c r="D681" s="3">
        <f>IFERROR(__xludf.DUMMYFUNCTION("""COMPUTED_VALUE"""),32.0)</f>
        <v>32</v>
      </c>
      <c r="E681" s="3" t="str">
        <f>IFERROR(__xludf.DUMMYFUNCTION("""COMPUTED_VALUE"""),"XI B-2")</f>
        <v>XI B-2</v>
      </c>
      <c r="F681" s="11" t="str">
        <f>IFERROR(__xludf.DUMMYFUNCTION("""COMPUTED_VALUE"""),"32 - XI B-2 - Kayla Dhea Nurma Fauziah")</f>
        <v>32 - XI B-2 - Kayla Dhea Nurma Fauziah</v>
      </c>
    </row>
    <row r="682">
      <c r="A682" s="3" t="str">
        <f>IFERROR(__xludf.DUMMYFUNCTION("""COMPUTED_VALUE"""),"0098191015 / 242510191")</f>
        <v>0098191015 / 242510191</v>
      </c>
      <c r="B682" s="3" t="str">
        <f>IFERROR(__xludf.DUMMYFUNCTION("""COMPUTED_VALUE"""),"Kesya Ardelia Kusuma")</f>
        <v>Kesya Ardelia Kusuma</v>
      </c>
      <c r="C682" s="3" t="str">
        <f>IFERROR(__xludf.DUMMYFUNCTION("""COMPUTED_VALUE"""),"P")</f>
        <v>P</v>
      </c>
      <c r="D682" s="3">
        <f>IFERROR(__xludf.DUMMYFUNCTION("""COMPUTED_VALUE"""),32.0)</f>
        <v>32</v>
      </c>
      <c r="E682" s="3" t="str">
        <f>IFERROR(__xludf.DUMMYFUNCTION("""COMPUTED_VALUE"""),"XI B-2")</f>
        <v>XI B-2</v>
      </c>
      <c r="F682" s="11" t="str">
        <f>IFERROR(__xludf.DUMMYFUNCTION("""COMPUTED_VALUE"""),"32 - XI B-2 - Kesya Ardelia Kusuma")</f>
        <v>32 - XI B-2 - Kesya Ardelia Kusuma</v>
      </c>
    </row>
    <row r="683">
      <c r="A683" s="3" t="str">
        <f>IFERROR(__xludf.DUMMYFUNCTION("""COMPUTED_VALUE"""),"0094057771 / 242510199")</f>
        <v>0094057771 / 242510199</v>
      </c>
      <c r="B683" s="3" t="str">
        <f>IFERROR(__xludf.DUMMYFUNCTION("""COMPUTED_VALUE"""),"Khairunnisa Rahadatul Aisy")</f>
        <v>Khairunnisa Rahadatul Aisy</v>
      </c>
      <c r="C683" s="3" t="str">
        <f>IFERROR(__xludf.DUMMYFUNCTION("""COMPUTED_VALUE"""),"P")</f>
        <v>P</v>
      </c>
      <c r="D683" s="3">
        <f>IFERROR(__xludf.DUMMYFUNCTION("""COMPUTED_VALUE"""),32.0)</f>
        <v>32</v>
      </c>
      <c r="E683" s="3" t="str">
        <f>IFERROR(__xludf.DUMMYFUNCTION("""COMPUTED_VALUE"""),"XI B-2")</f>
        <v>XI B-2</v>
      </c>
      <c r="F683" s="11" t="str">
        <f>IFERROR(__xludf.DUMMYFUNCTION("""COMPUTED_VALUE"""),"32 - XI B-2 - Khairunnisa Rahadatul Aisy")</f>
        <v>32 - XI B-2 - Khairunnisa Rahadatul Aisy</v>
      </c>
    </row>
    <row r="684">
      <c r="A684" s="3" t="str">
        <f>IFERROR(__xludf.DUMMYFUNCTION("""COMPUTED_VALUE"""),"0095872117 / 242510207")</f>
        <v>0095872117 / 242510207</v>
      </c>
      <c r="B684" s="3" t="str">
        <f>IFERROR(__xludf.DUMMYFUNCTION("""COMPUTED_VALUE"""),"Kirana Nur'Aini")</f>
        <v>Kirana Nur'Aini</v>
      </c>
      <c r="C684" s="3" t="str">
        <f>IFERROR(__xludf.DUMMYFUNCTION("""COMPUTED_VALUE"""),"L")</f>
        <v>L</v>
      </c>
      <c r="D684" s="3">
        <f>IFERROR(__xludf.DUMMYFUNCTION("""COMPUTED_VALUE"""),32.0)</f>
        <v>32</v>
      </c>
      <c r="E684" s="3" t="str">
        <f>IFERROR(__xludf.DUMMYFUNCTION("""COMPUTED_VALUE"""),"XI B-2")</f>
        <v>XI B-2</v>
      </c>
      <c r="F684" s="11" t="str">
        <f>IFERROR(__xludf.DUMMYFUNCTION("""COMPUTED_VALUE"""),"32 - XI B-2 - Kirana Nur'Aini")</f>
        <v>32 - XI B-2 - Kirana Nur'Aini</v>
      </c>
    </row>
    <row r="685">
      <c r="A685" s="3" t="str">
        <f>IFERROR(__xludf.DUMMYFUNCTION("""COMPUTED_VALUE"""),"0098268916 / 242510239")</f>
        <v>0098268916 / 242510239</v>
      </c>
      <c r="B685" s="3" t="str">
        <f>IFERROR(__xludf.DUMMYFUNCTION("""COMPUTED_VALUE"""),"Mohammed Alvaro Fauzan Purnomo")</f>
        <v>Mohammed Alvaro Fauzan Purnomo</v>
      </c>
      <c r="C685" s="3" t="str">
        <f>IFERROR(__xludf.DUMMYFUNCTION("""COMPUTED_VALUE"""),"L")</f>
        <v>L</v>
      </c>
      <c r="D685" s="3">
        <f>IFERROR(__xludf.DUMMYFUNCTION("""COMPUTED_VALUE"""),32.0)</f>
        <v>32</v>
      </c>
      <c r="E685" s="3" t="str">
        <f>IFERROR(__xludf.DUMMYFUNCTION("""COMPUTED_VALUE"""),"XI B-2")</f>
        <v>XI B-2</v>
      </c>
      <c r="F685" s="11" t="str">
        <f>IFERROR(__xludf.DUMMYFUNCTION("""COMPUTED_VALUE"""),"32 - XI B-2 - Mohammed Alvaro Fauzan Purnomo")</f>
        <v>32 - XI B-2 - Mohammed Alvaro Fauzan Purnomo</v>
      </c>
    </row>
    <row r="686">
      <c r="A686" s="3" t="str">
        <f>IFERROR(__xludf.DUMMYFUNCTION("""COMPUTED_VALUE"""),"0086508497 / 242510241")</f>
        <v>0086508497 / 242510241</v>
      </c>
      <c r="B686" s="3" t="str">
        <f>IFERROR(__xludf.DUMMYFUNCTION("""COMPUTED_VALUE"""),"Muhamad Daffa Sugianto")</f>
        <v>Muhamad Daffa Sugianto</v>
      </c>
      <c r="C686" s="3" t="str">
        <f>IFERROR(__xludf.DUMMYFUNCTION("""COMPUTED_VALUE"""),"L")</f>
        <v>L</v>
      </c>
      <c r="D686" s="3">
        <f>IFERROR(__xludf.DUMMYFUNCTION("""COMPUTED_VALUE"""),32.0)</f>
        <v>32</v>
      </c>
      <c r="E686" s="3" t="str">
        <f>IFERROR(__xludf.DUMMYFUNCTION("""COMPUTED_VALUE"""),"XI B-2")</f>
        <v>XI B-2</v>
      </c>
      <c r="F686" s="11" t="str">
        <f>IFERROR(__xludf.DUMMYFUNCTION("""COMPUTED_VALUE"""),"32 - XI B-2 - Muhamad Daffa Sugianto")</f>
        <v>32 - XI B-2 - Muhamad Daffa Sugianto</v>
      </c>
    </row>
    <row r="687">
      <c r="A687" s="3" t="str">
        <f>IFERROR(__xludf.DUMMYFUNCTION("""COMPUTED_VALUE"""),"0091626296 / 242510254")</f>
        <v>0091626296 / 242510254</v>
      </c>
      <c r="B687" s="3" t="str">
        <f>IFERROR(__xludf.DUMMYFUNCTION("""COMPUTED_VALUE"""),"Muhammad Daffa Khairy Mufid")</f>
        <v>Muhammad Daffa Khairy Mufid</v>
      </c>
      <c r="C687" s="3" t="str">
        <f>IFERROR(__xludf.DUMMYFUNCTION("""COMPUTED_VALUE"""),"L")</f>
        <v>L</v>
      </c>
      <c r="D687" s="3">
        <f>IFERROR(__xludf.DUMMYFUNCTION("""COMPUTED_VALUE"""),32.0)</f>
        <v>32</v>
      </c>
      <c r="E687" s="3" t="str">
        <f>IFERROR(__xludf.DUMMYFUNCTION("""COMPUTED_VALUE"""),"XI B-2")</f>
        <v>XI B-2</v>
      </c>
      <c r="F687" s="11" t="str">
        <f>IFERROR(__xludf.DUMMYFUNCTION("""COMPUTED_VALUE"""),"32 - XI B-2 - Muhammad Daffa Khairy Mufid")</f>
        <v>32 - XI B-2 - Muhammad Daffa Khairy Mufid</v>
      </c>
    </row>
    <row r="688">
      <c r="A688" s="3" t="str">
        <f>IFERROR(__xludf.DUMMYFUNCTION("""COMPUTED_VALUE"""),"3092559431 / 242510282")</f>
        <v>3092559431 / 242510282</v>
      </c>
      <c r="B688" s="3" t="str">
        <f>IFERROR(__xludf.DUMMYFUNCTION("""COMPUTED_VALUE"""),"Musyaffa Nureshan Pahlevi")</f>
        <v>Musyaffa Nureshan Pahlevi</v>
      </c>
      <c r="C688" s="3" t="str">
        <f>IFERROR(__xludf.DUMMYFUNCTION("""COMPUTED_VALUE"""),"P")</f>
        <v>P</v>
      </c>
      <c r="D688" s="3">
        <f>IFERROR(__xludf.DUMMYFUNCTION("""COMPUTED_VALUE"""),32.0)</f>
        <v>32</v>
      </c>
      <c r="E688" s="3" t="str">
        <f>IFERROR(__xludf.DUMMYFUNCTION("""COMPUTED_VALUE"""),"XI B-2")</f>
        <v>XI B-2</v>
      </c>
      <c r="F688" s="11" t="str">
        <f>IFERROR(__xludf.DUMMYFUNCTION("""COMPUTED_VALUE"""),"32 - XI B-2 - Musyaffa Nureshan Pahlevi")</f>
        <v>32 - XI B-2 - Musyaffa Nureshan Pahlevi</v>
      </c>
    </row>
    <row r="689">
      <c r="A689" s="3" t="str">
        <f>IFERROR(__xludf.DUMMYFUNCTION("""COMPUTED_VALUE"""),"0083634869 / 242510301")</f>
        <v>0083634869 / 242510301</v>
      </c>
      <c r="B689" s="3" t="str">
        <f>IFERROR(__xludf.DUMMYFUNCTION("""COMPUTED_VALUE"""),"Nazwa Mufida")</f>
        <v>Nazwa Mufida</v>
      </c>
      <c r="C689" s="3" t="str">
        <f>IFERROR(__xludf.DUMMYFUNCTION("""COMPUTED_VALUE"""),"P")</f>
        <v>P</v>
      </c>
      <c r="D689" s="3">
        <f>IFERROR(__xludf.DUMMYFUNCTION("""COMPUTED_VALUE"""),32.0)</f>
        <v>32</v>
      </c>
      <c r="E689" s="3" t="str">
        <f>IFERROR(__xludf.DUMMYFUNCTION("""COMPUTED_VALUE"""),"XI B-2")</f>
        <v>XI B-2</v>
      </c>
      <c r="F689" s="11" t="str">
        <f>IFERROR(__xludf.DUMMYFUNCTION("""COMPUTED_VALUE"""),"32 - XI B-2 - Nazwa Mufida")</f>
        <v>32 - XI B-2 - Nazwa Mufida</v>
      </c>
    </row>
    <row r="690">
      <c r="A690" s="3" t="str">
        <f>IFERROR(__xludf.DUMMYFUNCTION("""COMPUTED_VALUE"""),"0091257095 / 242510312")</f>
        <v>0091257095 / 242510312</v>
      </c>
      <c r="B690" s="3" t="str">
        <f>IFERROR(__xludf.DUMMYFUNCTION("""COMPUTED_VALUE"""),"Oshe Bilqis Nadhifah")</f>
        <v>Oshe Bilqis Nadhifah</v>
      </c>
      <c r="C690" s="3" t="str">
        <f>IFERROR(__xludf.DUMMYFUNCTION("""COMPUTED_VALUE"""),"P")</f>
        <v>P</v>
      </c>
      <c r="D690" s="3">
        <f>IFERROR(__xludf.DUMMYFUNCTION("""COMPUTED_VALUE"""),32.0)</f>
        <v>32</v>
      </c>
      <c r="E690" s="3" t="str">
        <f>IFERROR(__xludf.DUMMYFUNCTION("""COMPUTED_VALUE"""),"XI B-2")</f>
        <v>XI B-2</v>
      </c>
      <c r="F690" s="11" t="str">
        <f>IFERROR(__xludf.DUMMYFUNCTION("""COMPUTED_VALUE"""),"32 - XI B-2 - Oshe Bilqis Nadhifah")</f>
        <v>32 - XI B-2 - Oshe Bilqis Nadhifah</v>
      </c>
    </row>
    <row r="691">
      <c r="A691" s="3" t="str">
        <f>IFERROR(__xludf.DUMMYFUNCTION("""COMPUTED_VALUE"""),"0093570911 / 242510321")</f>
        <v>0093570911 / 242510321</v>
      </c>
      <c r="B691" s="3" t="str">
        <f>IFERROR(__xludf.DUMMYFUNCTION("""COMPUTED_VALUE"""),"Putri Khaila Azzahra")</f>
        <v>Putri Khaila Azzahra</v>
      </c>
      <c r="C691" s="3" t="str">
        <f>IFERROR(__xludf.DUMMYFUNCTION("""COMPUTED_VALUE"""),"P")</f>
        <v>P</v>
      </c>
      <c r="D691" s="3">
        <f>IFERROR(__xludf.DUMMYFUNCTION("""COMPUTED_VALUE"""),32.0)</f>
        <v>32</v>
      </c>
      <c r="E691" s="3" t="str">
        <f>IFERROR(__xludf.DUMMYFUNCTION("""COMPUTED_VALUE"""),"XI B-2")</f>
        <v>XI B-2</v>
      </c>
      <c r="F691" s="11" t="str">
        <f>IFERROR(__xludf.DUMMYFUNCTION("""COMPUTED_VALUE"""),"32 - XI B-2 - Putri Khaila Azzahra")</f>
        <v>32 - XI B-2 - Putri Khaila Azzahra</v>
      </c>
    </row>
    <row r="692">
      <c r="A692" s="3" t="str">
        <f>IFERROR(__xludf.DUMMYFUNCTION("""COMPUTED_VALUE"""),"0099524653 / 242510324")</f>
        <v>0099524653 / 242510324</v>
      </c>
      <c r="B692" s="3" t="str">
        <f>IFERROR(__xludf.DUMMYFUNCTION("""COMPUTED_VALUE"""),"Queen Aqila Althafunnisa")</f>
        <v>Queen Aqila Althafunnisa</v>
      </c>
      <c r="C692" s="3" t="str">
        <f>IFERROR(__xludf.DUMMYFUNCTION("""COMPUTED_VALUE"""),"L")</f>
        <v>L</v>
      </c>
      <c r="D692" s="3">
        <f>IFERROR(__xludf.DUMMYFUNCTION("""COMPUTED_VALUE"""),32.0)</f>
        <v>32</v>
      </c>
      <c r="E692" s="3" t="str">
        <f>IFERROR(__xludf.DUMMYFUNCTION("""COMPUTED_VALUE"""),"XI B-2")</f>
        <v>XI B-2</v>
      </c>
      <c r="F692" s="11" t="str">
        <f>IFERROR(__xludf.DUMMYFUNCTION("""COMPUTED_VALUE"""),"32 - XI B-2 - Queen Aqila Althafunnisa")</f>
        <v>32 - XI B-2 - Queen Aqila Althafunnisa</v>
      </c>
    </row>
    <row r="693">
      <c r="A693" s="3" t="str">
        <f>IFERROR(__xludf.DUMMYFUNCTION("""COMPUTED_VALUE"""),"0096689975 / 242510341")</f>
        <v>0096689975 / 242510341</v>
      </c>
      <c r="B693" s="3" t="str">
        <f>IFERROR(__xludf.DUMMYFUNCTION("""COMPUTED_VALUE"""),"Ramaditya Tangguh Alfian")</f>
        <v>Ramaditya Tangguh Alfian</v>
      </c>
      <c r="C693" s="3" t="str">
        <f>IFERROR(__xludf.DUMMYFUNCTION("""COMPUTED_VALUE"""),"P")</f>
        <v>P</v>
      </c>
      <c r="D693" s="3">
        <f>IFERROR(__xludf.DUMMYFUNCTION("""COMPUTED_VALUE"""),32.0)</f>
        <v>32</v>
      </c>
      <c r="E693" s="3" t="str">
        <f>IFERROR(__xludf.DUMMYFUNCTION("""COMPUTED_VALUE"""),"XI B-2")</f>
        <v>XI B-2</v>
      </c>
      <c r="F693" s="11" t="str">
        <f>IFERROR(__xludf.DUMMYFUNCTION("""COMPUTED_VALUE"""),"32 - XI B-2 - Ramaditya Tangguh Alfian")</f>
        <v>32 - XI B-2 - Ramaditya Tangguh Alfian</v>
      </c>
    </row>
    <row r="694">
      <c r="A694" s="3" t="str">
        <f>IFERROR(__xludf.DUMMYFUNCTION("""COMPUTED_VALUE"""),"0087172262 / 242510346")</f>
        <v>0087172262 / 242510346</v>
      </c>
      <c r="B694" s="3" t="str">
        <f>IFERROR(__xludf.DUMMYFUNCTION("""COMPUTED_VALUE"""),"Raya Fitri Anjaini")</f>
        <v>Raya Fitri Anjaini</v>
      </c>
      <c r="C694" s="3" t="str">
        <f>IFERROR(__xludf.DUMMYFUNCTION("""COMPUTED_VALUE"""),"P")</f>
        <v>P</v>
      </c>
      <c r="D694" s="3">
        <f>IFERROR(__xludf.DUMMYFUNCTION("""COMPUTED_VALUE"""),32.0)</f>
        <v>32</v>
      </c>
      <c r="E694" s="3" t="str">
        <f>IFERROR(__xludf.DUMMYFUNCTION("""COMPUTED_VALUE"""),"XI B-2")</f>
        <v>XI B-2</v>
      </c>
      <c r="F694" s="11" t="str">
        <f>IFERROR(__xludf.DUMMYFUNCTION("""COMPUTED_VALUE"""),"32 - XI B-2 - Raya Fitri Anjaini")</f>
        <v>32 - XI B-2 - Raya Fitri Anjaini</v>
      </c>
    </row>
    <row r="695">
      <c r="A695" s="3" t="str">
        <f>IFERROR(__xludf.DUMMYFUNCTION("""COMPUTED_VALUE"""),"0089992734 / 242510348")</f>
        <v>0089992734 / 242510348</v>
      </c>
      <c r="B695" s="3" t="str">
        <f>IFERROR(__xludf.DUMMYFUNCTION("""COMPUTED_VALUE"""),"Revalia Sabrina Safa")</f>
        <v>Revalia Sabrina Safa</v>
      </c>
      <c r="C695" s="3" t="str">
        <f>IFERROR(__xludf.DUMMYFUNCTION("""COMPUTED_VALUE"""),"L")</f>
        <v>L</v>
      </c>
      <c r="D695" s="3">
        <f>IFERROR(__xludf.DUMMYFUNCTION("""COMPUTED_VALUE"""),32.0)</f>
        <v>32</v>
      </c>
      <c r="E695" s="3" t="str">
        <f>IFERROR(__xludf.DUMMYFUNCTION("""COMPUTED_VALUE"""),"XI B-2")</f>
        <v>XI B-2</v>
      </c>
      <c r="F695" s="11" t="str">
        <f>IFERROR(__xludf.DUMMYFUNCTION("""COMPUTED_VALUE"""),"32 - XI B-2 - Revalia Sabrina Safa")</f>
        <v>32 - XI B-2 - Revalia Sabrina Safa</v>
      </c>
    </row>
    <row r="696">
      <c r="A696" s="3" t="str">
        <f>IFERROR(__xludf.DUMMYFUNCTION("""COMPUTED_VALUE"""),"0094272879 / 242510349")</f>
        <v>0094272879 / 242510349</v>
      </c>
      <c r="B696" s="3" t="str">
        <f>IFERROR(__xludf.DUMMYFUNCTION("""COMPUTED_VALUE"""),"Reyhan Saputra")</f>
        <v>Reyhan Saputra</v>
      </c>
      <c r="C696" s="3" t="str">
        <f>IFERROR(__xludf.DUMMYFUNCTION("""COMPUTED_VALUE"""),"P")</f>
        <v>P</v>
      </c>
      <c r="D696" s="3">
        <f>IFERROR(__xludf.DUMMYFUNCTION("""COMPUTED_VALUE"""),32.0)</f>
        <v>32</v>
      </c>
      <c r="E696" s="3" t="str">
        <f>IFERROR(__xludf.DUMMYFUNCTION("""COMPUTED_VALUE"""),"XI B-2")</f>
        <v>XI B-2</v>
      </c>
      <c r="F696" s="11" t="str">
        <f>IFERROR(__xludf.DUMMYFUNCTION("""COMPUTED_VALUE"""),"32 - XI B-2 - Reyhan Saputra")</f>
        <v>32 - XI B-2 - Reyhan Saputra</v>
      </c>
    </row>
    <row r="697">
      <c r="A697" s="3" t="str">
        <f>IFERROR(__xludf.DUMMYFUNCTION("""COMPUTED_VALUE"""),"0094686903 / 242510362")</f>
        <v>0094686903 / 242510362</v>
      </c>
      <c r="B697" s="3" t="str">
        <f>IFERROR(__xludf.DUMMYFUNCTION("""COMPUTED_VALUE"""),"Safa Adalia")</f>
        <v>Safa Adalia</v>
      </c>
      <c r="C697" s="3" t="str">
        <f>IFERROR(__xludf.DUMMYFUNCTION("""COMPUTED_VALUE"""),"P")</f>
        <v>P</v>
      </c>
      <c r="D697" s="3">
        <f>IFERROR(__xludf.DUMMYFUNCTION("""COMPUTED_VALUE"""),32.0)</f>
        <v>32</v>
      </c>
      <c r="E697" s="3" t="str">
        <f>IFERROR(__xludf.DUMMYFUNCTION("""COMPUTED_VALUE"""),"XI B-2")</f>
        <v>XI B-2</v>
      </c>
      <c r="F697" s="11" t="str">
        <f>IFERROR(__xludf.DUMMYFUNCTION("""COMPUTED_VALUE"""),"32 - XI B-2 - Safa Adalia")</f>
        <v>32 - XI B-2 - Safa Adalia</v>
      </c>
    </row>
    <row r="698">
      <c r="A698" s="3" t="str">
        <f>IFERROR(__xludf.DUMMYFUNCTION("""COMPUTED_VALUE"""),"0096820534 / 242510382")</f>
        <v>0096820534 / 242510382</v>
      </c>
      <c r="B698" s="3" t="str">
        <f>IFERROR(__xludf.DUMMYFUNCTION("""COMPUTED_VALUE"""),"Sheryn Valentia")</f>
        <v>Sheryn Valentia</v>
      </c>
      <c r="C698" s="3" t="str">
        <f>IFERROR(__xludf.DUMMYFUNCTION("""COMPUTED_VALUE"""),"P")</f>
        <v>P</v>
      </c>
      <c r="D698" s="3">
        <f>IFERROR(__xludf.DUMMYFUNCTION("""COMPUTED_VALUE"""),32.0)</f>
        <v>32</v>
      </c>
      <c r="E698" s="3" t="str">
        <f>IFERROR(__xludf.DUMMYFUNCTION("""COMPUTED_VALUE"""),"XI B-2")</f>
        <v>XI B-2</v>
      </c>
      <c r="F698" s="11" t="str">
        <f>IFERROR(__xludf.DUMMYFUNCTION("""COMPUTED_VALUE"""),"32 - XI B-2 - Sheryn Valentia")</f>
        <v>32 - XI B-2 - Sheryn Valentia</v>
      </c>
    </row>
    <row r="699">
      <c r="A699" s="3" t="str">
        <f>IFERROR(__xludf.DUMMYFUNCTION("""COMPUTED_VALUE"""),"0091356987 / 242510392")</f>
        <v>0091356987 / 242510392</v>
      </c>
      <c r="B699" s="3" t="str">
        <f>IFERROR(__xludf.DUMMYFUNCTION("""COMPUTED_VALUE"""),"Syakira")</f>
        <v>Syakira</v>
      </c>
      <c r="C699" s="3" t="str">
        <f>IFERROR(__xludf.DUMMYFUNCTION("""COMPUTED_VALUE"""),"P")</f>
        <v>P</v>
      </c>
      <c r="D699" s="3">
        <f>IFERROR(__xludf.DUMMYFUNCTION("""COMPUTED_VALUE"""),32.0)</f>
        <v>32</v>
      </c>
      <c r="E699" s="3" t="str">
        <f>IFERROR(__xludf.DUMMYFUNCTION("""COMPUTED_VALUE"""),"XI B-2")</f>
        <v>XI B-2</v>
      </c>
      <c r="F699" s="11" t="str">
        <f>IFERROR(__xludf.DUMMYFUNCTION("""COMPUTED_VALUE"""),"32 - XI B-2 - Syakira")</f>
        <v>32 - XI B-2 - Syakira</v>
      </c>
    </row>
    <row r="700">
      <c r="A700" s="3" t="str">
        <f>IFERROR(__xludf.DUMMYFUNCTION("""COMPUTED_VALUE"""),"0084616257 / 242510420")</f>
        <v>0084616257 / 242510420</v>
      </c>
      <c r="B700" s="3" t="str">
        <f>IFERROR(__xludf.DUMMYFUNCTION("""COMPUTED_VALUE"""),"Zahara Romadhona")</f>
        <v>Zahara Romadhona</v>
      </c>
      <c r="C700" s="3" t="str">
        <f>IFERROR(__xludf.DUMMYFUNCTION("""COMPUTED_VALUE"""),"P")</f>
        <v>P</v>
      </c>
      <c r="D700" s="3">
        <f>IFERROR(__xludf.DUMMYFUNCTION("""COMPUTED_VALUE"""),32.0)</f>
        <v>32</v>
      </c>
      <c r="E700" s="3" t="str">
        <f>IFERROR(__xludf.DUMMYFUNCTION("""COMPUTED_VALUE"""),"XI B-2")</f>
        <v>XI B-2</v>
      </c>
      <c r="F700" s="11" t="str">
        <f>IFERROR(__xludf.DUMMYFUNCTION("""COMPUTED_VALUE"""),"32 - XI B-2 - Zahara Romadhona")</f>
        <v>32 - XI B-2 - Zahara Romadhona</v>
      </c>
    </row>
    <row r="701">
      <c r="A701" s="3" t="str">
        <f>IFERROR(__xludf.DUMMYFUNCTION("""COMPUTED_VALUE"""),"0097029152 / 242510001")</f>
        <v>0097029152 / 242510001</v>
      </c>
      <c r="B701" s="3" t="str">
        <f>IFERROR(__xludf.DUMMYFUNCTION("""COMPUTED_VALUE"""),"Abdurrahman Syauqi")</f>
        <v>Abdurrahman Syauqi</v>
      </c>
      <c r="C701" s="3" t="str">
        <f>IFERROR(__xludf.DUMMYFUNCTION("""COMPUTED_VALUE"""),"L")</f>
        <v>L</v>
      </c>
      <c r="D701" s="3">
        <f>IFERROR(__xludf.DUMMYFUNCTION("""COMPUTED_VALUE"""),32.0)</f>
        <v>32</v>
      </c>
      <c r="E701" s="3" t="str">
        <f>IFERROR(__xludf.DUMMYFUNCTION("""COMPUTED_VALUE"""),"XI C")</f>
        <v>XI C</v>
      </c>
      <c r="F701" s="11" t="str">
        <f>IFERROR(__xludf.DUMMYFUNCTION("""COMPUTED_VALUE"""),"32 - XI C - Abdurrahman Syauqi")</f>
        <v>32 - XI C - Abdurrahman Syauqi</v>
      </c>
    </row>
    <row r="702">
      <c r="A702" s="3" t="str">
        <f>IFERROR(__xludf.DUMMYFUNCTION("""COMPUTED_VALUE"""),"0096738562 / 242510014")</f>
        <v>0096738562 / 242510014</v>
      </c>
      <c r="B702" s="3" t="str">
        <f>IFERROR(__xludf.DUMMYFUNCTION("""COMPUTED_VALUE"""),"Aira Eva Fajarina")</f>
        <v>Aira Eva Fajarina</v>
      </c>
      <c r="C702" s="3" t="str">
        <f>IFERROR(__xludf.DUMMYFUNCTION("""COMPUTED_VALUE"""),"P")</f>
        <v>P</v>
      </c>
      <c r="D702" s="3">
        <f>IFERROR(__xludf.DUMMYFUNCTION("""COMPUTED_VALUE"""),32.0)</f>
        <v>32</v>
      </c>
      <c r="E702" s="3" t="str">
        <f>IFERROR(__xludf.DUMMYFUNCTION("""COMPUTED_VALUE"""),"XI C")</f>
        <v>XI C</v>
      </c>
      <c r="F702" s="11" t="str">
        <f>IFERROR(__xludf.DUMMYFUNCTION("""COMPUTED_VALUE"""),"32 - XI C - Aira Eva Fajarina")</f>
        <v>32 - XI C - Aira Eva Fajarina</v>
      </c>
    </row>
    <row r="703">
      <c r="A703" s="3" t="str">
        <f>IFERROR(__xludf.DUMMYFUNCTION("""COMPUTED_VALUE"""),"0099375029 / 242510019")</f>
        <v>0099375029 / 242510019</v>
      </c>
      <c r="B703" s="3" t="str">
        <f>IFERROR(__xludf.DUMMYFUNCTION("""COMPUTED_VALUE"""),"Akram Dika Setiawan")</f>
        <v>Akram Dika Setiawan</v>
      </c>
      <c r="C703" s="3" t="str">
        <f>IFERROR(__xludf.DUMMYFUNCTION("""COMPUTED_VALUE"""),"L")</f>
        <v>L</v>
      </c>
      <c r="D703" s="3">
        <f>IFERROR(__xludf.DUMMYFUNCTION("""COMPUTED_VALUE"""),32.0)</f>
        <v>32</v>
      </c>
      <c r="E703" s="3" t="str">
        <f>IFERROR(__xludf.DUMMYFUNCTION("""COMPUTED_VALUE"""),"XI C")</f>
        <v>XI C</v>
      </c>
      <c r="F703" s="11" t="str">
        <f>IFERROR(__xludf.DUMMYFUNCTION("""COMPUTED_VALUE"""),"32 - XI C - Akram Dika Setiawan")</f>
        <v>32 - XI C - Akram Dika Setiawan</v>
      </c>
    </row>
    <row r="704">
      <c r="A704" s="3" t="str">
        <f>IFERROR(__xludf.DUMMYFUNCTION("""COMPUTED_VALUE"""),"0085348468 / 242510024")</f>
        <v>0085348468 / 242510024</v>
      </c>
      <c r="B704" s="3" t="str">
        <f>IFERROR(__xludf.DUMMYFUNCTION("""COMPUTED_VALUE"""),"Al-Habi Syehar Irawan")</f>
        <v>Al-Habi Syehar Irawan</v>
      </c>
      <c r="C704" s="3" t="str">
        <f>IFERROR(__xludf.DUMMYFUNCTION("""COMPUTED_VALUE"""),"L")</f>
        <v>L</v>
      </c>
      <c r="D704" s="3">
        <f>IFERROR(__xludf.DUMMYFUNCTION("""COMPUTED_VALUE"""),32.0)</f>
        <v>32</v>
      </c>
      <c r="E704" s="3" t="str">
        <f>IFERROR(__xludf.DUMMYFUNCTION("""COMPUTED_VALUE"""),"XI C")</f>
        <v>XI C</v>
      </c>
      <c r="F704" s="11" t="str">
        <f>IFERROR(__xludf.DUMMYFUNCTION("""COMPUTED_VALUE"""),"32 - XI C - Al-Habi Syehar Irawan")</f>
        <v>32 - XI C - Al-Habi Syehar Irawan</v>
      </c>
    </row>
    <row r="705">
      <c r="A705" s="3" t="str">
        <f>IFERROR(__xludf.DUMMYFUNCTION("""COMPUTED_VALUE"""),"0095154966 / 242510036")</f>
        <v>0095154966 / 242510036</v>
      </c>
      <c r="B705" s="3" t="str">
        <f>IFERROR(__xludf.DUMMYFUNCTION("""COMPUTED_VALUE"""),"Alya Atifa Edfiyanti")</f>
        <v>Alya Atifa Edfiyanti</v>
      </c>
      <c r="C705" s="3" t="str">
        <f>IFERROR(__xludf.DUMMYFUNCTION("""COMPUTED_VALUE"""),"P")</f>
        <v>P</v>
      </c>
      <c r="D705" s="3">
        <f>IFERROR(__xludf.DUMMYFUNCTION("""COMPUTED_VALUE"""),32.0)</f>
        <v>32</v>
      </c>
      <c r="E705" s="3" t="str">
        <f>IFERROR(__xludf.DUMMYFUNCTION("""COMPUTED_VALUE"""),"XI C")</f>
        <v>XI C</v>
      </c>
      <c r="F705" s="11" t="str">
        <f>IFERROR(__xludf.DUMMYFUNCTION("""COMPUTED_VALUE"""),"32 - XI C - Alya Atifa Edfiyanti")</f>
        <v>32 - XI C - Alya Atifa Edfiyanti</v>
      </c>
    </row>
    <row r="706">
      <c r="A706" s="3" t="str">
        <f>IFERROR(__xludf.DUMMYFUNCTION("""COMPUTED_VALUE"""),"0096990480 / 242510044")</f>
        <v>0096990480 / 242510044</v>
      </c>
      <c r="B706" s="3" t="str">
        <f>IFERROR(__xludf.DUMMYFUNCTION("""COMPUTED_VALUE"""),"Andrea Kaira Nezza")</f>
        <v>Andrea Kaira Nezza</v>
      </c>
      <c r="C706" s="3" t="str">
        <f>IFERROR(__xludf.DUMMYFUNCTION("""COMPUTED_VALUE"""),"P")</f>
        <v>P</v>
      </c>
      <c r="D706" s="3">
        <f>IFERROR(__xludf.DUMMYFUNCTION("""COMPUTED_VALUE"""),32.0)</f>
        <v>32</v>
      </c>
      <c r="E706" s="3" t="str">
        <f>IFERROR(__xludf.DUMMYFUNCTION("""COMPUTED_VALUE"""),"XI C")</f>
        <v>XI C</v>
      </c>
      <c r="F706" s="11" t="str">
        <f>IFERROR(__xludf.DUMMYFUNCTION("""COMPUTED_VALUE"""),"32 - XI C - Andrea Kaira Nezza")</f>
        <v>32 - XI C - Andrea Kaira Nezza</v>
      </c>
    </row>
    <row r="707">
      <c r="A707" s="3" t="str">
        <f>IFERROR(__xludf.DUMMYFUNCTION("""COMPUTED_VALUE"""),"0081271561 / 242510054")</f>
        <v>0081271561 / 242510054</v>
      </c>
      <c r="B707" s="3" t="str">
        <f>IFERROR(__xludf.DUMMYFUNCTION("""COMPUTED_VALUE"""),"Ardhito Himawan Dwantara")</f>
        <v>Ardhito Himawan Dwantara</v>
      </c>
      <c r="C707" s="3" t="str">
        <f>IFERROR(__xludf.DUMMYFUNCTION("""COMPUTED_VALUE"""),"L")</f>
        <v>L</v>
      </c>
      <c r="D707" s="3">
        <f>IFERROR(__xludf.DUMMYFUNCTION("""COMPUTED_VALUE"""),32.0)</f>
        <v>32</v>
      </c>
      <c r="E707" s="3" t="str">
        <f>IFERROR(__xludf.DUMMYFUNCTION("""COMPUTED_VALUE"""),"XI C")</f>
        <v>XI C</v>
      </c>
      <c r="F707" s="11" t="str">
        <f>IFERROR(__xludf.DUMMYFUNCTION("""COMPUTED_VALUE"""),"32 - XI C - Ardhito Himawan Dwantara")</f>
        <v>32 - XI C - Ardhito Himawan Dwantara</v>
      </c>
    </row>
    <row r="708">
      <c r="A708" s="3" t="str">
        <f>IFERROR(__xludf.DUMMYFUNCTION("""COMPUTED_VALUE"""),"0099561898 / 242510071")</f>
        <v>0099561898 / 242510071</v>
      </c>
      <c r="B708" s="3" t="str">
        <f>IFERROR(__xludf.DUMMYFUNCTION("""COMPUTED_VALUE"""),"Aureli Valency Achiles")</f>
        <v>Aureli Valency Achiles</v>
      </c>
      <c r="C708" s="3" t="str">
        <f>IFERROR(__xludf.DUMMYFUNCTION("""COMPUTED_VALUE"""),"P")</f>
        <v>P</v>
      </c>
      <c r="D708" s="3">
        <f>IFERROR(__xludf.DUMMYFUNCTION("""COMPUTED_VALUE"""),32.0)</f>
        <v>32</v>
      </c>
      <c r="E708" s="3" t="str">
        <f>IFERROR(__xludf.DUMMYFUNCTION("""COMPUTED_VALUE"""),"XI C")</f>
        <v>XI C</v>
      </c>
      <c r="F708" s="11" t="str">
        <f>IFERROR(__xludf.DUMMYFUNCTION("""COMPUTED_VALUE"""),"32 - XI C - Aureli Valency Achiles")</f>
        <v>32 - XI C - Aureli Valency Achiles</v>
      </c>
    </row>
    <row r="709">
      <c r="A709" s="3" t="str">
        <f>IFERROR(__xludf.DUMMYFUNCTION("""COMPUTED_VALUE"""),"0091681862 / 242510088")</f>
        <v>0091681862 / 242510088</v>
      </c>
      <c r="B709" s="3" t="str">
        <f>IFERROR(__xludf.DUMMYFUNCTION("""COMPUTED_VALUE"""),"Caesy Aprilia Bausir")</f>
        <v>Caesy Aprilia Bausir</v>
      </c>
      <c r="C709" s="3" t="str">
        <f>IFERROR(__xludf.DUMMYFUNCTION("""COMPUTED_VALUE"""),"P")</f>
        <v>P</v>
      </c>
      <c r="D709" s="3">
        <f>IFERROR(__xludf.DUMMYFUNCTION("""COMPUTED_VALUE"""),32.0)</f>
        <v>32</v>
      </c>
      <c r="E709" s="3" t="str">
        <f>IFERROR(__xludf.DUMMYFUNCTION("""COMPUTED_VALUE"""),"XI C")</f>
        <v>XI C</v>
      </c>
      <c r="F709" s="11" t="str">
        <f>IFERROR(__xludf.DUMMYFUNCTION("""COMPUTED_VALUE"""),"32 - XI C - Caesy Aprilia Bausir")</f>
        <v>32 - XI C - Caesy Aprilia Bausir</v>
      </c>
    </row>
    <row r="710">
      <c r="A710" s="3" t="str">
        <f>IFERROR(__xludf.DUMMYFUNCTION("""COMPUTED_VALUE"""),"0098451979 / 242510161")</f>
        <v>0098451979 / 242510161</v>
      </c>
      <c r="B710" s="3" t="str">
        <f>IFERROR(__xludf.DUMMYFUNCTION("""COMPUTED_VALUE"""),"Hasna Azmalea Radhina Santosa")</f>
        <v>Hasna Azmalea Radhina Santosa</v>
      </c>
      <c r="C710" s="3" t="str">
        <f>IFERROR(__xludf.DUMMYFUNCTION("""COMPUTED_VALUE"""),"P")</f>
        <v>P</v>
      </c>
      <c r="D710" s="3">
        <f>IFERROR(__xludf.DUMMYFUNCTION("""COMPUTED_VALUE"""),32.0)</f>
        <v>32</v>
      </c>
      <c r="E710" s="3" t="str">
        <f>IFERROR(__xludf.DUMMYFUNCTION("""COMPUTED_VALUE"""),"XI C")</f>
        <v>XI C</v>
      </c>
      <c r="F710" s="11" t="str">
        <f>IFERROR(__xludf.DUMMYFUNCTION("""COMPUTED_VALUE"""),"32 - XI C - Hasna Azmalea Radhina Santosa")</f>
        <v>32 - XI C - Hasna Azmalea Radhina Santosa</v>
      </c>
    </row>
    <row r="711">
      <c r="A711" s="3" t="str">
        <f>IFERROR(__xludf.DUMMYFUNCTION("""COMPUTED_VALUE"""),"0084845522 / 242510200")</f>
        <v>0084845522 / 242510200</v>
      </c>
      <c r="B711" s="3" t="str">
        <f>IFERROR(__xludf.DUMMYFUNCTION("""COMPUTED_VALUE"""),"Khalista Bisi Elmyra")</f>
        <v>Khalista Bisi Elmyra</v>
      </c>
      <c r="C711" s="3" t="str">
        <f>IFERROR(__xludf.DUMMYFUNCTION("""COMPUTED_VALUE"""),"P")</f>
        <v>P</v>
      </c>
      <c r="D711" s="3">
        <f>IFERROR(__xludf.DUMMYFUNCTION("""COMPUTED_VALUE"""),32.0)</f>
        <v>32</v>
      </c>
      <c r="E711" s="3" t="str">
        <f>IFERROR(__xludf.DUMMYFUNCTION("""COMPUTED_VALUE"""),"XI C")</f>
        <v>XI C</v>
      </c>
      <c r="F711" s="11" t="str">
        <f>IFERROR(__xludf.DUMMYFUNCTION("""COMPUTED_VALUE"""),"32 - XI C - Khalista Bisi Elmyra")</f>
        <v>32 - XI C - Khalista Bisi Elmyra</v>
      </c>
    </row>
    <row r="712">
      <c r="A712" s="3" t="str">
        <f>IFERROR(__xludf.DUMMYFUNCTION("""COMPUTED_VALUE"""),"0083434779 / 252611571")</f>
        <v>0083434779 / 252611571</v>
      </c>
      <c r="B712" s="3" t="str">
        <f>IFERROR(__xludf.DUMMYFUNCTION("""COMPUTED_VALUE"""),"Khansa Nadya Rahman")</f>
        <v>Khansa Nadya Rahman</v>
      </c>
      <c r="C712" s="3" t="str">
        <f>IFERROR(__xludf.DUMMYFUNCTION("""COMPUTED_VALUE"""),"P")</f>
        <v>P</v>
      </c>
      <c r="D712" s="3">
        <f>IFERROR(__xludf.DUMMYFUNCTION("""COMPUTED_VALUE"""),32.0)</f>
        <v>32</v>
      </c>
      <c r="E712" s="3" t="str">
        <f>IFERROR(__xludf.DUMMYFUNCTION("""COMPUTED_VALUE"""),"XI C")</f>
        <v>XI C</v>
      </c>
      <c r="F712" s="11" t="str">
        <f>IFERROR(__xludf.DUMMYFUNCTION("""COMPUTED_VALUE"""),"32 - XI C - Khansa Nadya Rahman")</f>
        <v>32 - XI C - Khansa Nadya Rahman</v>
      </c>
    </row>
    <row r="713">
      <c r="A713" s="3" t="str">
        <f>IFERROR(__xludf.DUMMYFUNCTION("""COMPUTED_VALUE"""),"0094551974 / 242510212")</f>
        <v>0094551974 / 242510212</v>
      </c>
      <c r="B713" s="3" t="str">
        <f>IFERROR(__xludf.DUMMYFUNCTION("""COMPUTED_VALUE"""),"Lexa El Sohbia")</f>
        <v>Lexa El Sohbia</v>
      </c>
      <c r="C713" s="3" t="str">
        <f>IFERROR(__xludf.DUMMYFUNCTION("""COMPUTED_VALUE"""),"P")</f>
        <v>P</v>
      </c>
      <c r="D713" s="3">
        <f>IFERROR(__xludf.DUMMYFUNCTION("""COMPUTED_VALUE"""),32.0)</f>
        <v>32</v>
      </c>
      <c r="E713" s="3" t="str">
        <f>IFERROR(__xludf.DUMMYFUNCTION("""COMPUTED_VALUE"""),"XI C")</f>
        <v>XI C</v>
      </c>
      <c r="F713" s="11" t="str">
        <f>IFERROR(__xludf.DUMMYFUNCTION("""COMPUTED_VALUE"""),"32 - XI C - Lexa El Sohbia")</f>
        <v>32 - XI C - Lexa El Sohbia</v>
      </c>
    </row>
    <row r="714">
      <c r="A714" s="3" t="str">
        <f>IFERROR(__xludf.DUMMYFUNCTION("""COMPUTED_VALUE"""),"0081855086 / 242510220")</f>
        <v>0081855086 / 242510220</v>
      </c>
      <c r="B714" s="3" t="str">
        <f>IFERROR(__xludf.DUMMYFUNCTION("""COMPUTED_VALUE"""),"Madina Silvana Dewi")</f>
        <v>Madina Silvana Dewi</v>
      </c>
      <c r="C714" s="3" t="str">
        <f>IFERROR(__xludf.DUMMYFUNCTION("""COMPUTED_VALUE"""),"P")</f>
        <v>P</v>
      </c>
      <c r="D714" s="3">
        <f>IFERROR(__xludf.DUMMYFUNCTION("""COMPUTED_VALUE"""),32.0)</f>
        <v>32</v>
      </c>
      <c r="E714" s="3" t="str">
        <f>IFERROR(__xludf.DUMMYFUNCTION("""COMPUTED_VALUE"""),"XI C")</f>
        <v>XI C</v>
      </c>
      <c r="F714" s="11" t="str">
        <f>IFERROR(__xludf.DUMMYFUNCTION("""COMPUTED_VALUE"""),"32 - XI C - Madina Silvana Dewi")</f>
        <v>32 - XI C - Madina Silvana Dewi</v>
      </c>
    </row>
    <row r="715">
      <c r="A715" s="3" t="str">
        <f>IFERROR(__xludf.DUMMYFUNCTION("""COMPUTED_VALUE"""),"0083951567 / 242510221")</f>
        <v>0083951567 / 242510221</v>
      </c>
      <c r="B715" s="3" t="str">
        <f>IFERROR(__xludf.DUMMYFUNCTION("""COMPUTED_VALUE"""),"Mala Nirmala")</f>
        <v>Mala Nirmala</v>
      </c>
      <c r="C715" s="3" t="str">
        <f>IFERROR(__xludf.DUMMYFUNCTION("""COMPUTED_VALUE"""),"P")</f>
        <v>P</v>
      </c>
      <c r="D715" s="3">
        <f>IFERROR(__xludf.DUMMYFUNCTION("""COMPUTED_VALUE"""),32.0)</f>
        <v>32</v>
      </c>
      <c r="E715" s="3" t="str">
        <f>IFERROR(__xludf.DUMMYFUNCTION("""COMPUTED_VALUE"""),"XI C")</f>
        <v>XI C</v>
      </c>
      <c r="F715" s="11" t="str">
        <f>IFERROR(__xludf.DUMMYFUNCTION("""COMPUTED_VALUE"""),"32 - XI C - Mala Nirmala")</f>
        <v>32 - XI C - Mala Nirmala</v>
      </c>
    </row>
    <row r="716">
      <c r="A716" s="3" t="str">
        <f>IFERROR(__xludf.DUMMYFUNCTION("""COMPUTED_VALUE"""),"0093504759 / 242510251")</f>
        <v>0093504759 / 242510251</v>
      </c>
      <c r="B716" s="3" t="str">
        <f>IFERROR(__xludf.DUMMYFUNCTION("""COMPUTED_VALUE"""),"Muhammad Aqila Zhafran Khair")</f>
        <v>Muhammad Aqila Zhafran Khair</v>
      </c>
      <c r="C716" s="3" t="str">
        <f>IFERROR(__xludf.DUMMYFUNCTION("""COMPUTED_VALUE"""),"L")</f>
        <v>L</v>
      </c>
      <c r="D716" s="3">
        <f>IFERROR(__xludf.DUMMYFUNCTION("""COMPUTED_VALUE"""),32.0)</f>
        <v>32</v>
      </c>
      <c r="E716" s="3" t="str">
        <f>IFERROR(__xludf.DUMMYFUNCTION("""COMPUTED_VALUE"""),"XI C")</f>
        <v>XI C</v>
      </c>
      <c r="F716" s="11" t="str">
        <f>IFERROR(__xludf.DUMMYFUNCTION("""COMPUTED_VALUE"""),"32 - XI C - Muhammad Aqila Zhafran Khair")</f>
        <v>32 - XI C - Muhammad Aqila Zhafran Khair</v>
      </c>
    </row>
    <row r="717">
      <c r="A717" s="3" t="str">
        <f>IFERROR(__xludf.DUMMYFUNCTION("""COMPUTED_VALUE"""),"0086270372 / 242510271")</f>
        <v>0086270372 / 242510271</v>
      </c>
      <c r="B717" s="3" t="str">
        <f>IFERROR(__xludf.DUMMYFUNCTION("""COMPUTED_VALUE"""),"Muhammad Noval Irfandi")</f>
        <v>Muhammad Noval Irfandi</v>
      </c>
      <c r="C717" s="3" t="str">
        <f>IFERROR(__xludf.DUMMYFUNCTION("""COMPUTED_VALUE"""),"L")</f>
        <v>L</v>
      </c>
      <c r="D717" s="3">
        <f>IFERROR(__xludf.DUMMYFUNCTION("""COMPUTED_VALUE"""),32.0)</f>
        <v>32</v>
      </c>
      <c r="E717" s="3" t="str">
        <f>IFERROR(__xludf.DUMMYFUNCTION("""COMPUTED_VALUE"""),"XI C")</f>
        <v>XI C</v>
      </c>
      <c r="F717" s="11" t="str">
        <f>IFERROR(__xludf.DUMMYFUNCTION("""COMPUTED_VALUE"""),"32 - XI C - Muhammad Noval Irfandi")</f>
        <v>32 - XI C - Muhammad Noval Irfandi</v>
      </c>
    </row>
    <row r="718">
      <c r="A718" s="3" t="str">
        <f>IFERROR(__xludf.DUMMYFUNCTION("""COMPUTED_VALUE"""),"0096643467 / 242510272")</f>
        <v>0096643467 / 242510272</v>
      </c>
      <c r="B718" s="3" t="str">
        <f>IFERROR(__xludf.DUMMYFUNCTION("""COMPUTED_VALUE"""),"Muhammad Rayza Ijudin")</f>
        <v>Muhammad Rayza Ijudin</v>
      </c>
      <c r="C718" s="3" t="str">
        <f>IFERROR(__xludf.DUMMYFUNCTION("""COMPUTED_VALUE"""),"L")</f>
        <v>L</v>
      </c>
      <c r="D718" s="3">
        <f>IFERROR(__xludf.DUMMYFUNCTION("""COMPUTED_VALUE"""),32.0)</f>
        <v>32</v>
      </c>
      <c r="E718" s="3" t="str">
        <f>IFERROR(__xludf.DUMMYFUNCTION("""COMPUTED_VALUE"""),"XI C")</f>
        <v>XI C</v>
      </c>
      <c r="F718" s="11" t="str">
        <f>IFERROR(__xludf.DUMMYFUNCTION("""COMPUTED_VALUE"""),"32 - XI C - Muhammad Rayza Ijudin")</f>
        <v>32 - XI C - Muhammad Rayza Ijudin</v>
      </c>
    </row>
    <row r="719">
      <c r="A719" s="3" t="str">
        <f>IFERROR(__xludf.DUMMYFUNCTION("""COMPUTED_VALUE"""),"0091089933 / 242510284")</f>
        <v>0091089933 / 242510284</v>
      </c>
      <c r="B719" s="3" t="str">
        <f>IFERROR(__xludf.DUMMYFUNCTION("""COMPUTED_VALUE"""),"Nabilah Khoirunnisaa")</f>
        <v>Nabilah Khoirunnisaa</v>
      </c>
      <c r="C719" s="3" t="str">
        <f>IFERROR(__xludf.DUMMYFUNCTION("""COMPUTED_VALUE"""),"P")</f>
        <v>P</v>
      </c>
      <c r="D719" s="3">
        <f>IFERROR(__xludf.DUMMYFUNCTION("""COMPUTED_VALUE"""),32.0)</f>
        <v>32</v>
      </c>
      <c r="E719" s="3" t="str">
        <f>IFERROR(__xludf.DUMMYFUNCTION("""COMPUTED_VALUE"""),"XI C")</f>
        <v>XI C</v>
      </c>
      <c r="F719" s="11" t="str">
        <f>IFERROR(__xludf.DUMMYFUNCTION("""COMPUTED_VALUE"""),"32 - XI C - Nabilah Khoirunnisaa")</f>
        <v>32 - XI C - Nabilah Khoirunnisaa</v>
      </c>
    </row>
    <row r="720">
      <c r="A720" s="3" t="str">
        <f>IFERROR(__xludf.DUMMYFUNCTION("""COMPUTED_VALUE"""),"0096304188 / 242510289")</f>
        <v>0096304188 / 242510289</v>
      </c>
      <c r="B720" s="3" t="str">
        <f>IFERROR(__xludf.DUMMYFUNCTION("""COMPUTED_VALUE"""),"Nadya Putri")</f>
        <v>Nadya Putri</v>
      </c>
      <c r="C720" s="3" t="str">
        <f>IFERROR(__xludf.DUMMYFUNCTION("""COMPUTED_VALUE"""),"P")</f>
        <v>P</v>
      </c>
      <c r="D720" s="3">
        <f>IFERROR(__xludf.DUMMYFUNCTION("""COMPUTED_VALUE"""),32.0)</f>
        <v>32</v>
      </c>
      <c r="E720" s="3" t="str">
        <f>IFERROR(__xludf.DUMMYFUNCTION("""COMPUTED_VALUE"""),"XI C")</f>
        <v>XI C</v>
      </c>
      <c r="F720" s="11" t="str">
        <f>IFERROR(__xludf.DUMMYFUNCTION("""COMPUTED_VALUE"""),"32 - XI C - Nadya Putri")</f>
        <v>32 - XI C - Nadya Putri</v>
      </c>
    </row>
    <row r="721">
      <c r="A721" s="3" t="str">
        <f>IFERROR(__xludf.DUMMYFUNCTION("""COMPUTED_VALUE"""),"0097295872 / 242510292")</f>
        <v>0097295872 / 242510292</v>
      </c>
      <c r="B721" s="3" t="str">
        <f>IFERROR(__xludf.DUMMYFUNCTION("""COMPUTED_VALUE"""),"Nasywa Neno Fauziah")</f>
        <v>Nasywa Neno Fauziah</v>
      </c>
      <c r="C721" s="3" t="str">
        <f>IFERROR(__xludf.DUMMYFUNCTION("""COMPUTED_VALUE"""),"P")</f>
        <v>P</v>
      </c>
      <c r="D721" s="3">
        <f>IFERROR(__xludf.DUMMYFUNCTION("""COMPUTED_VALUE"""),32.0)</f>
        <v>32</v>
      </c>
      <c r="E721" s="3" t="str">
        <f>IFERROR(__xludf.DUMMYFUNCTION("""COMPUTED_VALUE"""),"XI C")</f>
        <v>XI C</v>
      </c>
      <c r="F721" s="11" t="str">
        <f>IFERROR(__xludf.DUMMYFUNCTION("""COMPUTED_VALUE"""),"32 - XI C - Nasywa Neno Fauziah")</f>
        <v>32 - XI C - Nasywa Neno Fauziah</v>
      </c>
    </row>
    <row r="722">
      <c r="A722" s="3" t="str">
        <f>IFERROR(__xludf.DUMMYFUNCTION("""COMPUTED_VALUE"""),"0096224183 / 242510299")</f>
        <v>0096224183 / 242510299</v>
      </c>
      <c r="B722" s="3" t="str">
        <f>IFERROR(__xludf.DUMMYFUNCTION("""COMPUTED_VALUE"""),"Nazira Meisa")</f>
        <v>Nazira Meisa</v>
      </c>
      <c r="C722" s="3" t="str">
        <f>IFERROR(__xludf.DUMMYFUNCTION("""COMPUTED_VALUE"""),"P")</f>
        <v>P</v>
      </c>
      <c r="D722" s="3">
        <f>IFERROR(__xludf.DUMMYFUNCTION("""COMPUTED_VALUE"""),32.0)</f>
        <v>32</v>
      </c>
      <c r="E722" s="3" t="str">
        <f>IFERROR(__xludf.DUMMYFUNCTION("""COMPUTED_VALUE"""),"XI C")</f>
        <v>XI C</v>
      </c>
      <c r="F722" s="11" t="str">
        <f>IFERROR(__xludf.DUMMYFUNCTION("""COMPUTED_VALUE"""),"32 - XI C - Nazira Meisa")</f>
        <v>32 - XI C - Nazira Meisa</v>
      </c>
    </row>
    <row r="723">
      <c r="A723" s="3" t="str">
        <f>IFERROR(__xludf.DUMMYFUNCTION("""COMPUTED_VALUE"""),"0083048491 / 242510303")</f>
        <v>0083048491 / 242510303</v>
      </c>
      <c r="B723" s="3" t="str">
        <f>IFERROR(__xludf.DUMMYFUNCTION("""COMPUTED_VALUE"""),"Ni Kadek Masayu Savitar Handayani")</f>
        <v>Ni Kadek Masayu Savitar Handayani</v>
      </c>
      <c r="C723" s="3" t="str">
        <f>IFERROR(__xludf.DUMMYFUNCTION("""COMPUTED_VALUE"""),"P")</f>
        <v>P</v>
      </c>
      <c r="D723" s="3">
        <f>IFERROR(__xludf.DUMMYFUNCTION("""COMPUTED_VALUE"""),32.0)</f>
        <v>32</v>
      </c>
      <c r="E723" s="3" t="str">
        <f>IFERROR(__xludf.DUMMYFUNCTION("""COMPUTED_VALUE"""),"XI C")</f>
        <v>XI C</v>
      </c>
      <c r="F723" s="11" t="str">
        <f>IFERROR(__xludf.DUMMYFUNCTION("""COMPUTED_VALUE"""),"32 - XI C - Ni Kadek Masayu Savitar Handayani")</f>
        <v>32 - XI C - Ni Kadek Masayu Savitar Handayani</v>
      </c>
    </row>
    <row r="724">
      <c r="A724" s="3" t="str">
        <f>IFERROR(__xludf.DUMMYFUNCTION("""COMPUTED_VALUE"""),"0094414485 / 242510315")</f>
        <v>0094414485 / 242510315</v>
      </c>
      <c r="B724" s="3" t="str">
        <f>IFERROR(__xludf.DUMMYFUNCTION("""COMPUTED_VALUE"""),"Prita Seliana")</f>
        <v>Prita Seliana</v>
      </c>
      <c r="C724" s="3" t="str">
        <f>IFERROR(__xludf.DUMMYFUNCTION("""COMPUTED_VALUE"""),"P")</f>
        <v>P</v>
      </c>
      <c r="D724" s="3">
        <f>IFERROR(__xludf.DUMMYFUNCTION("""COMPUTED_VALUE"""),32.0)</f>
        <v>32</v>
      </c>
      <c r="E724" s="3" t="str">
        <f>IFERROR(__xludf.DUMMYFUNCTION("""COMPUTED_VALUE"""),"XI C")</f>
        <v>XI C</v>
      </c>
      <c r="F724" s="11" t="str">
        <f>IFERROR(__xludf.DUMMYFUNCTION("""COMPUTED_VALUE"""),"32 - XI C - Prita Seliana")</f>
        <v>32 - XI C - Prita Seliana</v>
      </c>
    </row>
    <row r="725">
      <c r="A725" s="3" t="str">
        <f>IFERROR(__xludf.DUMMYFUNCTION("""COMPUTED_VALUE"""),"0095501589 / 242510318")</f>
        <v>0095501589 / 242510318</v>
      </c>
      <c r="B725" s="3" t="str">
        <f>IFERROR(__xludf.DUMMYFUNCTION("""COMPUTED_VALUE"""),"Putri Allysia Yusup")</f>
        <v>Putri Allysia Yusup</v>
      </c>
      <c r="C725" s="3" t="str">
        <f>IFERROR(__xludf.DUMMYFUNCTION("""COMPUTED_VALUE"""),"P")</f>
        <v>P</v>
      </c>
      <c r="D725" s="3">
        <f>IFERROR(__xludf.DUMMYFUNCTION("""COMPUTED_VALUE"""),32.0)</f>
        <v>32</v>
      </c>
      <c r="E725" s="3" t="str">
        <f>IFERROR(__xludf.DUMMYFUNCTION("""COMPUTED_VALUE"""),"XI C")</f>
        <v>XI C</v>
      </c>
      <c r="F725" s="11" t="str">
        <f>IFERROR(__xludf.DUMMYFUNCTION("""COMPUTED_VALUE"""),"32 - XI C - Putri Allysia Yusup")</f>
        <v>32 - XI C - Putri Allysia Yusup</v>
      </c>
    </row>
    <row r="726">
      <c r="A726" s="3" t="str">
        <f>IFERROR(__xludf.DUMMYFUNCTION("""COMPUTED_VALUE"""),"0093298242 / 242510319")</f>
        <v>0093298242 / 242510319</v>
      </c>
      <c r="B726" s="3" t="str">
        <f>IFERROR(__xludf.DUMMYFUNCTION("""COMPUTED_VALUE"""),"Putri Dita Apriliya")</f>
        <v>Putri Dita Apriliya</v>
      </c>
      <c r="C726" s="3" t="str">
        <f>IFERROR(__xludf.DUMMYFUNCTION("""COMPUTED_VALUE"""),"P")</f>
        <v>P</v>
      </c>
      <c r="D726" s="3">
        <f>IFERROR(__xludf.DUMMYFUNCTION("""COMPUTED_VALUE"""),32.0)</f>
        <v>32</v>
      </c>
      <c r="E726" s="3" t="str">
        <f>IFERROR(__xludf.DUMMYFUNCTION("""COMPUTED_VALUE"""),"XI C")</f>
        <v>XI C</v>
      </c>
      <c r="F726" s="11" t="str">
        <f>IFERROR(__xludf.DUMMYFUNCTION("""COMPUTED_VALUE"""),"32 - XI C - Putri Dita Apriliya")</f>
        <v>32 - XI C - Putri Dita Apriliya</v>
      </c>
    </row>
    <row r="727">
      <c r="A727" s="3" t="str">
        <f>IFERROR(__xludf.DUMMYFUNCTION("""COMPUTED_VALUE"""),"0093266742 / 242510320")</f>
        <v>0093266742 / 242510320</v>
      </c>
      <c r="B727" s="3" t="str">
        <f>IFERROR(__xludf.DUMMYFUNCTION("""COMPUTED_VALUE"""),"Putri Keysha M. C")</f>
        <v>Putri Keysha M. C</v>
      </c>
      <c r="C727" s="3" t="str">
        <f>IFERROR(__xludf.DUMMYFUNCTION("""COMPUTED_VALUE"""),"P")</f>
        <v>P</v>
      </c>
      <c r="D727" s="3">
        <f>IFERROR(__xludf.DUMMYFUNCTION("""COMPUTED_VALUE"""),32.0)</f>
        <v>32</v>
      </c>
      <c r="E727" s="3" t="str">
        <f>IFERROR(__xludf.DUMMYFUNCTION("""COMPUTED_VALUE"""),"XI C")</f>
        <v>XI C</v>
      </c>
      <c r="F727" s="11" t="str">
        <f>IFERROR(__xludf.DUMMYFUNCTION("""COMPUTED_VALUE"""),"32 - XI C - Putri Keysha M. C")</f>
        <v>32 - XI C - Putri Keysha M. C</v>
      </c>
    </row>
    <row r="728">
      <c r="A728" s="3" t="str">
        <f>IFERROR(__xludf.DUMMYFUNCTION("""COMPUTED_VALUE"""),"0092205557 / 242510345")</f>
        <v>0092205557 / 242510345</v>
      </c>
      <c r="B728" s="3" t="str">
        <f>IFERROR(__xludf.DUMMYFUNCTION("""COMPUTED_VALUE"""),"Ray Anita Natasya")</f>
        <v>Ray Anita Natasya</v>
      </c>
      <c r="C728" s="3" t="str">
        <f>IFERROR(__xludf.DUMMYFUNCTION("""COMPUTED_VALUE"""),"P")</f>
        <v>P</v>
      </c>
      <c r="D728" s="3">
        <f>IFERROR(__xludf.DUMMYFUNCTION("""COMPUTED_VALUE"""),32.0)</f>
        <v>32</v>
      </c>
      <c r="E728" s="3" t="str">
        <f>IFERROR(__xludf.DUMMYFUNCTION("""COMPUTED_VALUE"""),"XI C")</f>
        <v>XI C</v>
      </c>
      <c r="F728" s="11" t="str">
        <f>IFERROR(__xludf.DUMMYFUNCTION("""COMPUTED_VALUE"""),"32 - XI C - Ray Anita Natasya")</f>
        <v>32 - XI C - Ray Anita Natasya</v>
      </c>
    </row>
    <row r="729">
      <c r="A729" s="3" t="str">
        <f>IFERROR(__xludf.DUMMYFUNCTION("""COMPUTED_VALUE"""),"0073027831 / 242510356")</f>
        <v>0073027831 / 242510356</v>
      </c>
      <c r="B729" s="3" t="str">
        <f>IFERROR(__xludf.DUMMYFUNCTION("""COMPUTED_VALUE"""),"Rizki Maulana Fadillah")</f>
        <v>Rizki Maulana Fadillah</v>
      </c>
      <c r="C729" s="3" t="str">
        <f>IFERROR(__xludf.DUMMYFUNCTION("""COMPUTED_VALUE"""),"L")</f>
        <v>L</v>
      </c>
      <c r="D729" s="3">
        <f>IFERROR(__xludf.DUMMYFUNCTION("""COMPUTED_VALUE"""),32.0)</f>
        <v>32</v>
      </c>
      <c r="E729" s="3" t="str">
        <f>IFERROR(__xludf.DUMMYFUNCTION("""COMPUTED_VALUE"""),"XI C")</f>
        <v>XI C</v>
      </c>
      <c r="F729" s="11" t="str">
        <f>IFERROR(__xludf.DUMMYFUNCTION("""COMPUTED_VALUE"""),"32 - XI C - Rizki Maulana Fadillah")</f>
        <v>32 - XI C - Rizki Maulana Fadillah</v>
      </c>
    </row>
    <row r="730">
      <c r="A730" s="3" t="str">
        <f>IFERROR(__xludf.DUMMYFUNCTION("""COMPUTED_VALUE"""),"0091228007 / 242510363")</f>
        <v>0091228007 / 242510363</v>
      </c>
      <c r="B730" s="3" t="str">
        <f>IFERROR(__xludf.DUMMYFUNCTION("""COMPUTED_VALUE"""),"Sakila Nasution")</f>
        <v>Sakila Nasution</v>
      </c>
      <c r="C730" s="3" t="str">
        <f>IFERROR(__xludf.DUMMYFUNCTION("""COMPUTED_VALUE"""),"P")</f>
        <v>P</v>
      </c>
      <c r="D730" s="3">
        <f>IFERROR(__xludf.DUMMYFUNCTION("""COMPUTED_VALUE"""),32.0)</f>
        <v>32</v>
      </c>
      <c r="E730" s="3" t="str">
        <f>IFERROR(__xludf.DUMMYFUNCTION("""COMPUTED_VALUE"""),"XI C")</f>
        <v>XI C</v>
      </c>
      <c r="F730" s="11" t="str">
        <f>IFERROR(__xludf.DUMMYFUNCTION("""COMPUTED_VALUE"""),"32 - XI C - Sakila Nasution")</f>
        <v>32 - XI C - Sakila Nasution</v>
      </c>
    </row>
    <row r="731">
      <c r="A731" s="3" t="str">
        <f>IFERROR(__xludf.DUMMYFUNCTION("""COMPUTED_VALUE"""),"0089954401 / 242510367")</f>
        <v>0089954401 / 242510367</v>
      </c>
      <c r="B731" s="3" t="str">
        <f>IFERROR(__xludf.DUMMYFUNCTION("""COMPUTED_VALUE"""),"Salsabila Putri")</f>
        <v>Salsabila Putri</v>
      </c>
      <c r="C731" s="3" t="str">
        <f>IFERROR(__xludf.DUMMYFUNCTION("""COMPUTED_VALUE"""),"P")</f>
        <v>P</v>
      </c>
      <c r="D731" s="3">
        <f>IFERROR(__xludf.DUMMYFUNCTION("""COMPUTED_VALUE"""),32.0)</f>
        <v>32</v>
      </c>
      <c r="E731" s="3" t="str">
        <f>IFERROR(__xludf.DUMMYFUNCTION("""COMPUTED_VALUE"""),"XI C")</f>
        <v>XI C</v>
      </c>
      <c r="F731" s="11" t="str">
        <f>IFERROR(__xludf.DUMMYFUNCTION("""COMPUTED_VALUE"""),"32 - XI C - Salsabila Putri")</f>
        <v>32 - XI C - Salsabila Putri</v>
      </c>
    </row>
    <row r="732">
      <c r="A732" s="3" t="str">
        <f>IFERROR(__xludf.DUMMYFUNCTION("""COMPUTED_VALUE"""),"0089191714 / 242510372")</f>
        <v>0089191714 / 242510372</v>
      </c>
      <c r="B732" s="3" t="str">
        <f>IFERROR(__xludf.DUMMYFUNCTION("""COMPUTED_VALUE"""),"Sandria Salsalina Sembiring Kembaren")</f>
        <v>Sandria Salsalina Sembiring Kembaren</v>
      </c>
      <c r="C732" s="3" t="str">
        <f>IFERROR(__xludf.DUMMYFUNCTION("""COMPUTED_VALUE"""),"P")</f>
        <v>P</v>
      </c>
      <c r="D732" s="3">
        <f>IFERROR(__xludf.DUMMYFUNCTION("""COMPUTED_VALUE"""),32.0)</f>
        <v>32</v>
      </c>
      <c r="E732" s="3" t="str">
        <f>IFERROR(__xludf.DUMMYFUNCTION("""COMPUTED_VALUE"""),"XI C")</f>
        <v>XI C</v>
      </c>
      <c r="F732" s="11" t="str">
        <f>IFERROR(__xludf.DUMMYFUNCTION("""COMPUTED_VALUE"""),"32 - XI C - Sandria Salsalina Sembiring Kembaren")</f>
        <v>32 - XI C - Sandria Salsalina Sembiring Kembaren</v>
      </c>
    </row>
    <row r="733">
      <c r="A733" s="3" t="str">
        <f>IFERROR(__xludf.DUMMYFUNCTION("""COMPUTED_VALUE"""),"0095117423 / 242510380")</f>
        <v>0095117423 / 242510380</v>
      </c>
      <c r="B733" s="3" t="str">
        <f>IFERROR(__xludf.DUMMYFUNCTION("""COMPUTED_VALUE"""),"Shanaz Mufida")</f>
        <v>Shanaz Mufida</v>
      </c>
      <c r="C733" s="3" t="str">
        <f>IFERROR(__xludf.DUMMYFUNCTION("""COMPUTED_VALUE"""),"P")</f>
        <v>P</v>
      </c>
      <c r="D733" s="3">
        <f>IFERROR(__xludf.DUMMYFUNCTION("""COMPUTED_VALUE"""),32.0)</f>
        <v>32</v>
      </c>
      <c r="E733" s="3" t="str">
        <f>IFERROR(__xludf.DUMMYFUNCTION("""COMPUTED_VALUE"""),"XI C")</f>
        <v>XI C</v>
      </c>
      <c r="F733" s="11" t="str">
        <f>IFERROR(__xludf.DUMMYFUNCTION("""COMPUTED_VALUE"""),"32 - XI C - Shanaz Mufida")</f>
        <v>32 - XI C - Shanaz Mufida</v>
      </c>
    </row>
    <row r="734">
      <c r="A734" s="3" t="str">
        <f>IFERROR(__xludf.DUMMYFUNCTION("""COMPUTED_VALUE"""),"0088535031 / 242510391")</f>
        <v>0088535031 / 242510391</v>
      </c>
      <c r="B734" s="3" t="str">
        <f>IFERROR(__xludf.DUMMYFUNCTION("""COMPUTED_VALUE"""),"Syaira Fakhrudina Putri")</f>
        <v>Syaira Fakhrudina Putri</v>
      </c>
      <c r="C734" s="3" t="str">
        <f>IFERROR(__xludf.DUMMYFUNCTION("""COMPUTED_VALUE"""),"P")</f>
        <v>P</v>
      </c>
      <c r="D734" s="3">
        <f>IFERROR(__xludf.DUMMYFUNCTION("""COMPUTED_VALUE"""),32.0)</f>
        <v>32</v>
      </c>
      <c r="E734" s="3" t="str">
        <f>IFERROR(__xludf.DUMMYFUNCTION("""COMPUTED_VALUE"""),"XI C")</f>
        <v>XI C</v>
      </c>
      <c r="F734" s="11" t="str">
        <f>IFERROR(__xludf.DUMMYFUNCTION("""COMPUTED_VALUE"""),"32 - XI C - Syaira Fakhrudina Putri")</f>
        <v>32 - XI C - Syaira Fakhrudina Putri</v>
      </c>
    </row>
    <row r="735">
      <c r="A735" s="3" t="str">
        <f>IFERROR(__xludf.DUMMYFUNCTION("""COMPUTED_VALUE"""),"0087500688 / 242510399")</f>
        <v>0087500688 / 242510399</v>
      </c>
      <c r="B735" s="3" t="str">
        <f>IFERROR(__xludf.DUMMYFUNCTION("""COMPUTED_VALUE"""),"Tegar Hermawan Anggoro")</f>
        <v>Tegar Hermawan Anggoro</v>
      </c>
      <c r="C735" s="3" t="str">
        <f>IFERROR(__xludf.DUMMYFUNCTION("""COMPUTED_VALUE"""),"L")</f>
        <v>L</v>
      </c>
      <c r="D735" s="3">
        <f>IFERROR(__xludf.DUMMYFUNCTION("""COMPUTED_VALUE"""),32.0)</f>
        <v>32</v>
      </c>
      <c r="E735" s="3" t="str">
        <f>IFERROR(__xludf.DUMMYFUNCTION("""COMPUTED_VALUE"""),"XI C")</f>
        <v>XI C</v>
      </c>
      <c r="F735" s="11" t="str">
        <f>IFERROR(__xludf.DUMMYFUNCTION("""COMPUTED_VALUE"""),"32 - XI C - Tegar Hermawan Anggoro")</f>
        <v>32 - XI C - Tegar Hermawan Anggoro</v>
      </c>
    </row>
    <row r="736">
      <c r="A736" s="3" t="str">
        <f>IFERROR(__xludf.DUMMYFUNCTION("""COMPUTED_VALUE"""),"0092434039 / 242510410")</f>
        <v>0092434039 / 242510410</v>
      </c>
      <c r="B736" s="3" t="str">
        <f>IFERROR(__xludf.DUMMYFUNCTION("""COMPUTED_VALUE"""),"Vira Aprilia Putri")</f>
        <v>Vira Aprilia Putri</v>
      </c>
      <c r="C736" s="3" t="str">
        <f>IFERROR(__xludf.DUMMYFUNCTION("""COMPUTED_VALUE"""),"P")</f>
        <v>P</v>
      </c>
      <c r="D736" s="3">
        <f>IFERROR(__xludf.DUMMYFUNCTION("""COMPUTED_VALUE"""),32.0)</f>
        <v>32</v>
      </c>
      <c r="E736" s="3" t="str">
        <f>IFERROR(__xludf.DUMMYFUNCTION("""COMPUTED_VALUE"""),"XI C")</f>
        <v>XI C</v>
      </c>
      <c r="F736" s="11" t="str">
        <f>IFERROR(__xludf.DUMMYFUNCTION("""COMPUTED_VALUE"""),"32 - XI C - Vira Aprilia Putri")</f>
        <v>32 - XI C - Vira Aprilia Putri</v>
      </c>
    </row>
    <row r="737">
      <c r="A737" s="3" t="str">
        <f>IFERROR(__xludf.DUMMYFUNCTION("""COMPUTED_VALUE"""),"0098762657 / 242510048")</f>
        <v>0098762657 / 242510048</v>
      </c>
      <c r="B737" s="3" t="str">
        <f>IFERROR(__xludf.DUMMYFUNCTION("""COMPUTED_VALUE"""),"Anindya Zhafira Sani")</f>
        <v>Anindya Zhafira Sani</v>
      </c>
      <c r="C737" s="3" t="str">
        <f>IFERROR(__xludf.DUMMYFUNCTION("""COMPUTED_VALUE"""),"P")</f>
        <v>P</v>
      </c>
      <c r="D737" s="3">
        <f>IFERROR(__xludf.DUMMYFUNCTION("""COMPUTED_VALUE"""),32.0)</f>
        <v>32</v>
      </c>
      <c r="E737" s="3" t="str">
        <f>IFERROR(__xludf.DUMMYFUNCTION("""COMPUTED_VALUE"""),"XI D-1")</f>
        <v>XI D-1</v>
      </c>
      <c r="F737" s="11" t="str">
        <f>IFERROR(__xludf.DUMMYFUNCTION("""COMPUTED_VALUE"""),"32 - XI D-1 - Anindya Zhafira Sani")</f>
        <v>32 - XI D-1 - Anindya Zhafira Sani</v>
      </c>
    </row>
    <row r="738">
      <c r="A738" s="3" t="str">
        <f>IFERROR(__xludf.DUMMYFUNCTION("""COMPUTED_VALUE"""),"0089202112 / 242510055")</f>
        <v>0089202112 / 242510055</v>
      </c>
      <c r="B738" s="3" t="str">
        <f>IFERROR(__xludf.DUMMYFUNCTION("""COMPUTED_VALUE"""),"Ariij Arriyad")</f>
        <v>Ariij Arriyad</v>
      </c>
      <c r="C738" s="3" t="str">
        <f>IFERROR(__xludf.DUMMYFUNCTION("""COMPUTED_VALUE"""),"P")</f>
        <v>P</v>
      </c>
      <c r="D738" s="3">
        <f>IFERROR(__xludf.DUMMYFUNCTION("""COMPUTED_VALUE"""),32.0)</f>
        <v>32</v>
      </c>
      <c r="E738" s="3" t="str">
        <f>IFERROR(__xludf.DUMMYFUNCTION("""COMPUTED_VALUE"""),"XI D-1")</f>
        <v>XI D-1</v>
      </c>
      <c r="F738" s="11" t="str">
        <f>IFERROR(__xludf.DUMMYFUNCTION("""COMPUTED_VALUE"""),"32 - XI D-1 - Ariij Arriyad")</f>
        <v>32 - XI D-1 - Ariij Arriyad</v>
      </c>
    </row>
    <row r="739">
      <c r="A739" s="3" t="str">
        <f>IFERROR(__xludf.DUMMYFUNCTION("""COMPUTED_VALUE"""),"0088260272 / 242510056")</f>
        <v>0088260272 / 242510056</v>
      </c>
      <c r="B739" s="3" t="str">
        <f>IFERROR(__xludf.DUMMYFUNCTION("""COMPUTED_VALUE"""),"Arinda Khalisha Pambudi")</f>
        <v>Arinda Khalisha Pambudi</v>
      </c>
      <c r="C739" s="3" t="str">
        <f>IFERROR(__xludf.DUMMYFUNCTION("""COMPUTED_VALUE"""),"P")</f>
        <v>P</v>
      </c>
      <c r="D739" s="3">
        <f>IFERROR(__xludf.DUMMYFUNCTION("""COMPUTED_VALUE"""),32.0)</f>
        <v>32</v>
      </c>
      <c r="E739" s="3" t="str">
        <f>IFERROR(__xludf.DUMMYFUNCTION("""COMPUTED_VALUE"""),"XI D-1")</f>
        <v>XI D-1</v>
      </c>
      <c r="F739" s="11" t="str">
        <f>IFERROR(__xludf.DUMMYFUNCTION("""COMPUTED_VALUE"""),"32 - XI D-1 - Arinda Khalisha Pambudi")</f>
        <v>32 - XI D-1 - Arinda Khalisha Pambudi</v>
      </c>
    </row>
    <row r="740">
      <c r="A740" s="3" t="str">
        <f>IFERROR(__xludf.DUMMYFUNCTION("""COMPUTED_VALUE"""),"0097111779 / 242510058")</f>
        <v>0097111779 / 242510058</v>
      </c>
      <c r="B740" s="3" t="str">
        <f>IFERROR(__xludf.DUMMYFUNCTION("""COMPUTED_VALUE"""),"Arya Muhammad Raihan")</f>
        <v>Arya Muhammad Raihan</v>
      </c>
      <c r="C740" s="3" t="str">
        <f>IFERROR(__xludf.DUMMYFUNCTION("""COMPUTED_VALUE"""),"L")</f>
        <v>L</v>
      </c>
      <c r="D740" s="3">
        <f>IFERROR(__xludf.DUMMYFUNCTION("""COMPUTED_VALUE"""),32.0)</f>
        <v>32</v>
      </c>
      <c r="E740" s="3" t="str">
        <f>IFERROR(__xludf.DUMMYFUNCTION("""COMPUTED_VALUE"""),"XI D-1")</f>
        <v>XI D-1</v>
      </c>
      <c r="F740" s="11" t="str">
        <f>IFERROR(__xludf.DUMMYFUNCTION("""COMPUTED_VALUE"""),"32 - XI D-1 - Arya Muhammad Raihan")</f>
        <v>32 - XI D-1 - Arya Muhammad Raihan</v>
      </c>
    </row>
    <row r="741">
      <c r="A741" s="3" t="str">
        <f>IFERROR(__xludf.DUMMYFUNCTION("""COMPUTED_VALUE"""),"0093831279 / 242510066")</f>
        <v>0093831279 / 242510066</v>
      </c>
      <c r="B741" s="3" t="str">
        <f>IFERROR(__xludf.DUMMYFUNCTION("""COMPUTED_VALUE"""),"Aulia Erlin Mummaizah")</f>
        <v>Aulia Erlin Mummaizah</v>
      </c>
      <c r="C741" s="3" t="str">
        <f>IFERROR(__xludf.DUMMYFUNCTION("""COMPUTED_VALUE"""),"P")</f>
        <v>P</v>
      </c>
      <c r="D741" s="3">
        <f>IFERROR(__xludf.DUMMYFUNCTION("""COMPUTED_VALUE"""),32.0)</f>
        <v>32</v>
      </c>
      <c r="E741" s="3" t="str">
        <f>IFERROR(__xludf.DUMMYFUNCTION("""COMPUTED_VALUE"""),"XI D-1")</f>
        <v>XI D-1</v>
      </c>
      <c r="F741" s="11" t="str">
        <f>IFERROR(__xludf.DUMMYFUNCTION("""COMPUTED_VALUE"""),"32 - XI D-1 - Aulia Erlin Mummaizah")</f>
        <v>32 - XI D-1 - Aulia Erlin Mummaizah</v>
      </c>
    </row>
    <row r="742">
      <c r="A742" s="3" t="str">
        <f>IFERROR(__xludf.DUMMYFUNCTION("""COMPUTED_VALUE"""),"0096065165 / 242510072")</f>
        <v>0096065165 / 242510072</v>
      </c>
      <c r="B742" s="3" t="str">
        <f>IFERROR(__xludf.DUMMYFUNCTION("""COMPUTED_VALUE"""),"Aurelia Syifa Fiandra")</f>
        <v>Aurelia Syifa Fiandra</v>
      </c>
      <c r="C742" s="3" t="str">
        <f>IFERROR(__xludf.DUMMYFUNCTION("""COMPUTED_VALUE"""),"P")</f>
        <v>P</v>
      </c>
      <c r="D742" s="3">
        <f>IFERROR(__xludf.DUMMYFUNCTION("""COMPUTED_VALUE"""),32.0)</f>
        <v>32</v>
      </c>
      <c r="E742" s="3" t="str">
        <f>IFERROR(__xludf.DUMMYFUNCTION("""COMPUTED_VALUE"""),"XI D-1")</f>
        <v>XI D-1</v>
      </c>
      <c r="F742" s="11" t="str">
        <f>IFERROR(__xludf.DUMMYFUNCTION("""COMPUTED_VALUE"""),"32 - XI D-1 - Aurelia Syifa Fiandra")</f>
        <v>32 - XI D-1 - Aurelia Syifa Fiandra</v>
      </c>
    </row>
    <row r="743">
      <c r="A743" s="3" t="str">
        <f>IFERROR(__xludf.DUMMYFUNCTION("""COMPUTED_VALUE"""),"0099851224 / 242510085")</f>
        <v>0099851224 / 242510085</v>
      </c>
      <c r="B743" s="3" t="str">
        <f>IFERROR(__xludf.DUMMYFUNCTION("""COMPUTED_VALUE"""),"Bilqist Ayu Wulandari")</f>
        <v>Bilqist Ayu Wulandari</v>
      </c>
      <c r="C743" s="3" t="str">
        <f>IFERROR(__xludf.DUMMYFUNCTION("""COMPUTED_VALUE"""),"P")</f>
        <v>P</v>
      </c>
      <c r="D743" s="3">
        <f>IFERROR(__xludf.DUMMYFUNCTION("""COMPUTED_VALUE"""),32.0)</f>
        <v>32</v>
      </c>
      <c r="E743" s="3" t="str">
        <f>IFERROR(__xludf.DUMMYFUNCTION("""COMPUTED_VALUE"""),"XI D-1")</f>
        <v>XI D-1</v>
      </c>
      <c r="F743" s="11" t="str">
        <f>IFERROR(__xludf.DUMMYFUNCTION("""COMPUTED_VALUE"""),"32 - XI D-1 - Bilqist Ayu Wulandari")</f>
        <v>32 - XI D-1 - Bilqist Ayu Wulandari</v>
      </c>
    </row>
    <row r="744">
      <c r="A744" s="3" t="str">
        <f>IFERROR(__xludf.DUMMYFUNCTION("""COMPUTED_VALUE"""),"0092348709 / 242510096")</f>
        <v>0092348709 / 242510096</v>
      </c>
      <c r="B744" s="3" t="str">
        <f>IFERROR(__xludf.DUMMYFUNCTION("""COMPUTED_VALUE"""),"Cintia Zahfirah Asyiah Siregar")</f>
        <v>Cintia Zahfirah Asyiah Siregar</v>
      </c>
      <c r="C744" s="3" t="str">
        <f>IFERROR(__xludf.DUMMYFUNCTION("""COMPUTED_VALUE"""),"P")</f>
        <v>P</v>
      </c>
      <c r="D744" s="3">
        <f>IFERROR(__xludf.DUMMYFUNCTION("""COMPUTED_VALUE"""),32.0)</f>
        <v>32</v>
      </c>
      <c r="E744" s="3" t="str">
        <f>IFERROR(__xludf.DUMMYFUNCTION("""COMPUTED_VALUE"""),"XI D-1")</f>
        <v>XI D-1</v>
      </c>
      <c r="F744" s="11" t="str">
        <f>IFERROR(__xludf.DUMMYFUNCTION("""COMPUTED_VALUE"""),"32 - XI D-1 - Cintia Zahfirah Asyiah Siregar")</f>
        <v>32 - XI D-1 - Cintia Zahfirah Asyiah Siregar</v>
      </c>
    </row>
    <row r="745">
      <c r="A745" s="3" t="str">
        <f>IFERROR(__xludf.DUMMYFUNCTION("""COMPUTED_VALUE"""),"0099087317 / 242510099")</f>
        <v>0099087317 / 242510099</v>
      </c>
      <c r="B745" s="3" t="str">
        <f>IFERROR(__xludf.DUMMYFUNCTION("""COMPUTED_VALUE"""),"Dania Anindita Tunggadewi")</f>
        <v>Dania Anindita Tunggadewi</v>
      </c>
      <c r="C745" s="3" t="str">
        <f>IFERROR(__xludf.DUMMYFUNCTION("""COMPUTED_VALUE"""),"P")</f>
        <v>P</v>
      </c>
      <c r="D745" s="3">
        <f>IFERROR(__xludf.DUMMYFUNCTION("""COMPUTED_VALUE"""),32.0)</f>
        <v>32</v>
      </c>
      <c r="E745" s="3" t="str">
        <f>IFERROR(__xludf.DUMMYFUNCTION("""COMPUTED_VALUE"""),"XI D-1")</f>
        <v>XI D-1</v>
      </c>
      <c r="F745" s="11" t="str">
        <f>IFERROR(__xludf.DUMMYFUNCTION("""COMPUTED_VALUE"""),"32 - XI D-1 - Dania Anindita Tunggadewi")</f>
        <v>32 - XI D-1 - Dania Anindita Tunggadewi</v>
      </c>
    </row>
    <row r="746">
      <c r="A746" s="3" t="str">
        <f>IFERROR(__xludf.DUMMYFUNCTION("""COMPUTED_VALUE"""),"0098666843 / 242510101")</f>
        <v>0098666843 / 242510101</v>
      </c>
      <c r="B746" s="3" t="str">
        <f>IFERROR(__xludf.DUMMYFUNCTION("""COMPUTED_VALUE"""),"Danisy Nahdhan Pratama")</f>
        <v>Danisy Nahdhan Pratama</v>
      </c>
      <c r="C746" s="3" t="str">
        <f>IFERROR(__xludf.DUMMYFUNCTION("""COMPUTED_VALUE"""),"L")</f>
        <v>L</v>
      </c>
      <c r="D746" s="3">
        <f>IFERROR(__xludf.DUMMYFUNCTION("""COMPUTED_VALUE"""),32.0)</f>
        <v>32</v>
      </c>
      <c r="E746" s="3" t="str">
        <f>IFERROR(__xludf.DUMMYFUNCTION("""COMPUTED_VALUE"""),"XI D-1")</f>
        <v>XI D-1</v>
      </c>
      <c r="F746" s="11" t="str">
        <f>IFERROR(__xludf.DUMMYFUNCTION("""COMPUTED_VALUE"""),"32 - XI D-1 - Danisy Nahdhan Pratama")</f>
        <v>32 - XI D-1 - Danisy Nahdhan Pratama</v>
      </c>
    </row>
    <row r="747">
      <c r="A747" s="3" t="str">
        <f>IFERROR(__xludf.DUMMYFUNCTION("""COMPUTED_VALUE"""),"0087242368 / 242510112")</f>
        <v>0087242368 / 242510112</v>
      </c>
      <c r="B747" s="3" t="str">
        <f>IFERROR(__xludf.DUMMYFUNCTION("""COMPUTED_VALUE"""),"Dicky Maulana")</f>
        <v>Dicky Maulana</v>
      </c>
      <c r="C747" s="3" t="str">
        <f>IFERROR(__xludf.DUMMYFUNCTION("""COMPUTED_VALUE"""),"L")</f>
        <v>L</v>
      </c>
      <c r="D747" s="3">
        <f>IFERROR(__xludf.DUMMYFUNCTION("""COMPUTED_VALUE"""),32.0)</f>
        <v>32</v>
      </c>
      <c r="E747" s="3" t="str">
        <f>IFERROR(__xludf.DUMMYFUNCTION("""COMPUTED_VALUE"""),"XI D-1")</f>
        <v>XI D-1</v>
      </c>
      <c r="F747" s="11" t="str">
        <f>IFERROR(__xludf.DUMMYFUNCTION("""COMPUTED_VALUE"""),"32 - XI D-1 - Dicky Maulana")</f>
        <v>32 - XI D-1 - Dicky Maulana</v>
      </c>
    </row>
    <row r="748">
      <c r="A748" s="3" t="str">
        <f>IFERROR(__xludf.DUMMYFUNCTION("""COMPUTED_VALUE"""),"0087777223 / 242510130")</f>
        <v>0087777223 / 242510130</v>
      </c>
      <c r="B748" s="3" t="str">
        <f>IFERROR(__xludf.DUMMYFUNCTION("""COMPUTED_VALUE"""),"Faida Annaila Zahra")</f>
        <v>Faida Annaila Zahra</v>
      </c>
      <c r="C748" s="3" t="str">
        <f>IFERROR(__xludf.DUMMYFUNCTION("""COMPUTED_VALUE"""),"P")</f>
        <v>P</v>
      </c>
      <c r="D748" s="3">
        <f>IFERROR(__xludf.DUMMYFUNCTION("""COMPUTED_VALUE"""),32.0)</f>
        <v>32</v>
      </c>
      <c r="E748" s="3" t="str">
        <f>IFERROR(__xludf.DUMMYFUNCTION("""COMPUTED_VALUE"""),"XI D-1")</f>
        <v>XI D-1</v>
      </c>
      <c r="F748" s="11" t="str">
        <f>IFERROR(__xludf.DUMMYFUNCTION("""COMPUTED_VALUE"""),"32 - XI D-1 - Faida Annaila Zahra")</f>
        <v>32 - XI D-1 - Faida Annaila Zahra</v>
      </c>
    </row>
    <row r="749">
      <c r="A749" s="3" t="str">
        <f>IFERROR(__xludf.DUMMYFUNCTION("""COMPUTED_VALUE"""),"0096321568 / 242510148")</f>
        <v>0096321568 / 242510148</v>
      </c>
      <c r="B749" s="3" t="str">
        <f>IFERROR(__xludf.DUMMYFUNCTION("""COMPUTED_VALUE"""),"Gan Muhammad Rizky")</f>
        <v>Gan Muhammad Rizky</v>
      </c>
      <c r="C749" s="3" t="str">
        <f>IFERROR(__xludf.DUMMYFUNCTION("""COMPUTED_VALUE"""),"L")</f>
        <v>L</v>
      </c>
      <c r="D749" s="3">
        <f>IFERROR(__xludf.DUMMYFUNCTION("""COMPUTED_VALUE"""),32.0)</f>
        <v>32</v>
      </c>
      <c r="E749" s="3" t="str">
        <f>IFERROR(__xludf.DUMMYFUNCTION("""COMPUTED_VALUE"""),"XI D-1")</f>
        <v>XI D-1</v>
      </c>
      <c r="F749" s="11" t="str">
        <f>IFERROR(__xludf.DUMMYFUNCTION("""COMPUTED_VALUE"""),"32 - XI D-1 - Gan Muhammad Rizky")</f>
        <v>32 - XI D-1 - Gan Muhammad Rizky</v>
      </c>
    </row>
    <row r="750">
      <c r="A750" s="3" t="str">
        <f>IFERROR(__xludf.DUMMYFUNCTION("""COMPUTED_VALUE"""),"0084693493 / 242510158")</f>
        <v>0084693493 / 242510158</v>
      </c>
      <c r="B750" s="3" t="str">
        <f>IFERROR(__xludf.DUMMYFUNCTION("""COMPUTED_VALUE"""),"Haidar Al Fathin")</f>
        <v>Haidar Al Fathin</v>
      </c>
      <c r="C750" s="3" t="str">
        <f>IFERROR(__xludf.DUMMYFUNCTION("""COMPUTED_VALUE"""),"L")</f>
        <v>L</v>
      </c>
      <c r="D750" s="3">
        <f>IFERROR(__xludf.DUMMYFUNCTION("""COMPUTED_VALUE"""),32.0)</f>
        <v>32</v>
      </c>
      <c r="E750" s="3" t="str">
        <f>IFERROR(__xludf.DUMMYFUNCTION("""COMPUTED_VALUE"""),"XI D-1")</f>
        <v>XI D-1</v>
      </c>
      <c r="F750" s="11" t="str">
        <f>IFERROR(__xludf.DUMMYFUNCTION("""COMPUTED_VALUE"""),"32 - XI D-1 - Haidar Al Fathin")</f>
        <v>32 - XI D-1 - Haidar Al Fathin</v>
      </c>
    </row>
    <row r="751">
      <c r="A751" s="3" t="str">
        <f>IFERROR(__xludf.DUMMYFUNCTION("""COMPUTED_VALUE"""),"0088791024 / 242510172")</f>
        <v>0088791024 / 242510172</v>
      </c>
      <c r="B751" s="3" t="str">
        <f>IFERROR(__xludf.DUMMYFUNCTION("""COMPUTED_VALUE"""),"Intan Zahira Aulia")</f>
        <v>Intan Zahira Aulia</v>
      </c>
      <c r="C751" s="3" t="str">
        <f>IFERROR(__xludf.DUMMYFUNCTION("""COMPUTED_VALUE"""),"P")</f>
        <v>P</v>
      </c>
      <c r="D751" s="3">
        <f>IFERROR(__xludf.DUMMYFUNCTION("""COMPUTED_VALUE"""),32.0)</f>
        <v>32</v>
      </c>
      <c r="E751" s="3" t="str">
        <f>IFERROR(__xludf.DUMMYFUNCTION("""COMPUTED_VALUE"""),"XI D-1")</f>
        <v>XI D-1</v>
      </c>
      <c r="F751" s="11" t="str">
        <f>IFERROR(__xludf.DUMMYFUNCTION("""COMPUTED_VALUE"""),"32 - XI D-1 - Intan Zahira Aulia")</f>
        <v>32 - XI D-1 - Intan Zahira Aulia</v>
      </c>
    </row>
    <row r="752">
      <c r="A752" s="3" t="str">
        <f>IFERROR(__xludf.DUMMYFUNCTION("""COMPUTED_VALUE"""),"0083440916 / 242510182")</f>
        <v>0083440916 / 242510182</v>
      </c>
      <c r="B752" s="3" t="str">
        <f>IFERROR(__xludf.DUMMYFUNCTION("""COMPUTED_VALUE"""),"Kahla Mulia")</f>
        <v>Kahla Mulia</v>
      </c>
      <c r="C752" s="3" t="str">
        <f>IFERROR(__xludf.DUMMYFUNCTION("""COMPUTED_VALUE"""),"P")</f>
        <v>P</v>
      </c>
      <c r="D752" s="3">
        <f>IFERROR(__xludf.DUMMYFUNCTION("""COMPUTED_VALUE"""),32.0)</f>
        <v>32</v>
      </c>
      <c r="E752" s="3" t="str">
        <f>IFERROR(__xludf.DUMMYFUNCTION("""COMPUTED_VALUE"""),"XI D-1")</f>
        <v>XI D-1</v>
      </c>
      <c r="F752" s="11" t="str">
        <f>IFERROR(__xludf.DUMMYFUNCTION("""COMPUTED_VALUE"""),"32 - XI D-1 - Kahla Mulia")</f>
        <v>32 - XI D-1 - Kahla Mulia</v>
      </c>
    </row>
    <row r="753">
      <c r="A753" s="3" t="str">
        <f>IFERROR(__xludf.DUMMYFUNCTION("""COMPUTED_VALUE"""),"0097101002 / 242510186")</f>
        <v>0097101002 / 242510186</v>
      </c>
      <c r="B753" s="3" t="str">
        <f>IFERROR(__xludf.DUMMYFUNCTION("""COMPUTED_VALUE"""),"Kayla Pelangi Harupi")</f>
        <v>Kayla Pelangi Harupi</v>
      </c>
      <c r="C753" s="3" t="str">
        <f>IFERROR(__xludf.DUMMYFUNCTION("""COMPUTED_VALUE"""),"P")</f>
        <v>P</v>
      </c>
      <c r="D753" s="3">
        <f>IFERROR(__xludf.DUMMYFUNCTION("""COMPUTED_VALUE"""),32.0)</f>
        <v>32</v>
      </c>
      <c r="E753" s="3" t="str">
        <f>IFERROR(__xludf.DUMMYFUNCTION("""COMPUTED_VALUE"""),"XI D-1")</f>
        <v>XI D-1</v>
      </c>
      <c r="F753" s="11" t="str">
        <f>IFERROR(__xludf.DUMMYFUNCTION("""COMPUTED_VALUE"""),"32 - XI D-1 - Kayla Pelangi Harupi")</f>
        <v>32 - XI D-1 - Kayla Pelangi Harupi</v>
      </c>
    </row>
    <row r="754">
      <c r="A754" s="3" t="str">
        <f>IFERROR(__xludf.DUMMYFUNCTION("""COMPUTED_VALUE"""),"0083510857 / 242510205")</f>
        <v>0083510857 / 242510205</v>
      </c>
      <c r="B754" s="3" t="str">
        <f>IFERROR(__xludf.DUMMYFUNCTION("""COMPUTED_VALUE"""),"Khomairah")</f>
        <v>Khomairah</v>
      </c>
      <c r="C754" s="3" t="str">
        <f>IFERROR(__xludf.DUMMYFUNCTION("""COMPUTED_VALUE"""),"P")</f>
        <v>P</v>
      </c>
      <c r="D754" s="3">
        <f>IFERROR(__xludf.DUMMYFUNCTION("""COMPUTED_VALUE"""),32.0)</f>
        <v>32</v>
      </c>
      <c r="E754" s="3" t="str">
        <f>IFERROR(__xludf.DUMMYFUNCTION("""COMPUTED_VALUE"""),"XI D-1")</f>
        <v>XI D-1</v>
      </c>
      <c r="F754" s="11" t="str">
        <f>IFERROR(__xludf.DUMMYFUNCTION("""COMPUTED_VALUE"""),"32 - XI D-1 - Khomairah")</f>
        <v>32 - XI D-1 - Khomairah</v>
      </c>
    </row>
    <row r="755">
      <c r="A755" s="3" t="str">
        <f>IFERROR(__xludf.DUMMYFUNCTION("""COMPUTED_VALUE"""),"0099224342 / 242510214")</f>
        <v>0099224342 / 242510214</v>
      </c>
      <c r="B755" s="3" t="str">
        <f>IFERROR(__xludf.DUMMYFUNCTION("""COMPUTED_VALUE"""),"Lingga Argan Zinggara")</f>
        <v>Lingga Argan Zinggara</v>
      </c>
      <c r="C755" s="3" t="str">
        <f>IFERROR(__xludf.DUMMYFUNCTION("""COMPUTED_VALUE"""),"L")</f>
        <v>L</v>
      </c>
      <c r="D755" s="3">
        <f>IFERROR(__xludf.DUMMYFUNCTION("""COMPUTED_VALUE"""),32.0)</f>
        <v>32</v>
      </c>
      <c r="E755" s="3" t="str">
        <f>IFERROR(__xludf.DUMMYFUNCTION("""COMPUTED_VALUE"""),"XI D-1")</f>
        <v>XI D-1</v>
      </c>
      <c r="F755" s="11" t="str">
        <f>IFERROR(__xludf.DUMMYFUNCTION("""COMPUTED_VALUE"""),"32 - XI D-1 - Lingga Argan Zinggara")</f>
        <v>32 - XI D-1 - Lingga Argan Zinggara</v>
      </c>
    </row>
    <row r="756">
      <c r="A756" s="3" t="str">
        <f>IFERROR(__xludf.DUMMYFUNCTION("""COMPUTED_VALUE"""),"0087441371 / 242510226")</f>
        <v>0087441371 / 242510226</v>
      </c>
      <c r="B756" s="3" t="str">
        <f>IFERROR(__xludf.DUMMYFUNCTION("""COMPUTED_VALUE"""),"Maulana Yusuf Purnama")</f>
        <v>Maulana Yusuf Purnama</v>
      </c>
      <c r="C756" s="3" t="str">
        <f>IFERROR(__xludf.DUMMYFUNCTION("""COMPUTED_VALUE"""),"L")</f>
        <v>L</v>
      </c>
      <c r="D756" s="3">
        <f>IFERROR(__xludf.DUMMYFUNCTION("""COMPUTED_VALUE"""),32.0)</f>
        <v>32</v>
      </c>
      <c r="E756" s="3" t="str">
        <f>IFERROR(__xludf.DUMMYFUNCTION("""COMPUTED_VALUE"""),"XI D-1")</f>
        <v>XI D-1</v>
      </c>
      <c r="F756" s="11" t="str">
        <f>IFERROR(__xludf.DUMMYFUNCTION("""COMPUTED_VALUE"""),"32 - XI D-1 - Maulana Yusuf Purnama")</f>
        <v>32 - XI D-1 - Maulana Yusuf Purnama</v>
      </c>
    </row>
    <row r="757">
      <c r="A757" s="3" t="str">
        <f>IFERROR(__xludf.DUMMYFUNCTION("""COMPUTED_VALUE"""),"0092053150 / 242510248")</f>
        <v>0092053150 / 242510248</v>
      </c>
      <c r="B757" s="3" t="str">
        <f>IFERROR(__xludf.DUMMYFUNCTION("""COMPUTED_VALUE"""),"Muhammad Abidzar")</f>
        <v>Muhammad Abidzar</v>
      </c>
      <c r="C757" s="3" t="str">
        <f>IFERROR(__xludf.DUMMYFUNCTION("""COMPUTED_VALUE"""),"L")</f>
        <v>L</v>
      </c>
      <c r="D757" s="3">
        <f>IFERROR(__xludf.DUMMYFUNCTION("""COMPUTED_VALUE"""),32.0)</f>
        <v>32</v>
      </c>
      <c r="E757" s="3" t="str">
        <f>IFERROR(__xludf.DUMMYFUNCTION("""COMPUTED_VALUE"""),"XI D-1")</f>
        <v>XI D-1</v>
      </c>
      <c r="F757" s="11" t="str">
        <f>IFERROR(__xludf.DUMMYFUNCTION("""COMPUTED_VALUE"""),"32 - XI D-1 - Muhammad Abidzar")</f>
        <v>32 - XI D-1 - Muhammad Abidzar</v>
      </c>
    </row>
    <row r="758">
      <c r="A758" s="3" t="str">
        <f>IFERROR(__xludf.DUMMYFUNCTION("""COMPUTED_VALUE"""),"0099674979 / 242510268")</f>
        <v>0099674979 / 242510268</v>
      </c>
      <c r="B758" s="3" t="str">
        <f>IFERROR(__xludf.DUMMYFUNCTION("""COMPUTED_VALUE"""),"Muhammad Irgi Avicenna Fachridho Putra")</f>
        <v>Muhammad Irgi Avicenna Fachridho Putra</v>
      </c>
      <c r="C758" s="3" t="str">
        <f>IFERROR(__xludf.DUMMYFUNCTION("""COMPUTED_VALUE"""),"L")</f>
        <v>L</v>
      </c>
      <c r="D758" s="3">
        <f>IFERROR(__xludf.DUMMYFUNCTION("""COMPUTED_VALUE"""),32.0)</f>
        <v>32</v>
      </c>
      <c r="E758" s="3" t="str">
        <f>IFERROR(__xludf.DUMMYFUNCTION("""COMPUTED_VALUE"""),"XI D-1")</f>
        <v>XI D-1</v>
      </c>
      <c r="F758" s="11" t="str">
        <f>IFERROR(__xludf.DUMMYFUNCTION("""COMPUTED_VALUE"""),"32 - XI D-1 - Muhammad Irgi Avicenna Fachridho Putra")</f>
        <v>32 - XI D-1 - Muhammad Irgi Avicenna Fachridho Putra</v>
      </c>
    </row>
    <row r="759">
      <c r="A759" s="3" t="str">
        <f>IFERROR(__xludf.DUMMYFUNCTION("""COMPUTED_VALUE"""),"0094087712 / 242510287")</f>
        <v>0094087712 / 242510287</v>
      </c>
      <c r="B759" s="3" t="str">
        <f>IFERROR(__xludf.DUMMYFUNCTION("""COMPUTED_VALUE"""),"Nadine Kirana Saraswati")</f>
        <v>Nadine Kirana Saraswati</v>
      </c>
      <c r="C759" s="3" t="str">
        <f>IFERROR(__xludf.DUMMYFUNCTION("""COMPUTED_VALUE"""),"P")</f>
        <v>P</v>
      </c>
      <c r="D759" s="3">
        <f>IFERROR(__xludf.DUMMYFUNCTION("""COMPUTED_VALUE"""),32.0)</f>
        <v>32</v>
      </c>
      <c r="E759" s="3" t="str">
        <f>IFERROR(__xludf.DUMMYFUNCTION("""COMPUTED_VALUE"""),"XI D-1")</f>
        <v>XI D-1</v>
      </c>
      <c r="F759" s="11" t="str">
        <f>IFERROR(__xludf.DUMMYFUNCTION("""COMPUTED_VALUE"""),"32 - XI D-1 - Nadine Kirana Saraswati")</f>
        <v>32 - XI D-1 - Nadine Kirana Saraswati</v>
      </c>
    </row>
    <row r="760">
      <c r="A760" s="3" t="str">
        <f>IFERROR(__xludf.DUMMYFUNCTION("""COMPUTED_VALUE"""),"0096704827 / 242510295")</f>
        <v>0096704827 / 242510295</v>
      </c>
      <c r="B760" s="3" t="str">
        <f>IFERROR(__xludf.DUMMYFUNCTION("""COMPUTED_VALUE"""),"Naura Praprincess Ananda Anbiya")</f>
        <v>Naura Praprincess Ananda Anbiya</v>
      </c>
      <c r="C760" s="3" t="str">
        <f>IFERROR(__xludf.DUMMYFUNCTION("""COMPUTED_VALUE"""),"P")</f>
        <v>P</v>
      </c>
      <c r="D760" s="3">
        <f>IFERROR(__xludf.DUMMYFUNCTION("""COMPUTED_VALUE"""),32.0)</f>
        <v>32</v>
      </c>
      <c r="E760" s="3" t="str">
        <f>IFERROR(__xludf.DUMMYFUNCTION("""COMPUTED_VALUE"""),"XI D-1")</f>
        <v>XI D-1</v>
      </c>
      <c r="F760" s="11" t="str">
        <f>IFERROR(__xludf.DUMMYFUNCTION("""COMPUTED_VALUE"""),"32 - XI D-1 - Naura Praprincess Ananda Anbiya")</f>
        <v>32 - XI D-1 - Naura Praprincess Ananda Anbiya</v>
      </c>
    </row>
    <row r="761">
      <c r="A761" s="3" t="str">
        <f>IFERROR(__xludf.DUMMYFUNCTION("""COMPUTED_VALUE"""),"0082766789 / 242510317")</f>
        <v>0082766789 / 242510317</v>
      </c>
      <c r="B761" s="3" t="str">
        <f>IFERROR(__xludf.DUMMYFUNCTION("""COMPUTED_VALUE"""),"Puti Pelangi Maharani")</f>
        <v>Puti Pelangi Maharani</v>
      </c>
      <c r="C761" s="3" t="str">
        <f>IFERROR(__xludf.DUMMYFUNCTION("""COMPUTED_VALUE"""),"P")</f>
        <v>P</v>
      </c>
      <c r="D761" s="3">
        <f>IFERROR(__xludf.DUMMYFUNCTION("""COMPUTED_VALUE"""),32.0)</f>
        <v>32</v>
      </c>
      <c r="E761" s="3" t="str">
        <f>IFERROR(__xludf.DUMMYFUNCTION("""COMPUTED_VALUE"""),"XI D-1")</f>
        <v>XI D-1</v>
      </c>
      <c r="F761" s="11" t="str">
        <f>IFERROR(__xludf.DUMMYFUNCTION("""COMPUTED_VALUE"""),"32 - XI D-1 - Puti Pelangi Maharani")</f>
        <v>32 - XI D-1 - Puti Pelangi Maharani</v>
      </c>
    </row>
    <row r="762">
      <c r="A762" s="3" t="str">
        <f>IFERROR(__xludf.DUMMYFUNCTION("""COMPUTED_VALUE"""),"0087189022 / 242510326")</f>
        <v>0087189022 / 242510326</v>
      </c>
      <c r="B762" s="3" t="str">
        <f>IFERROR(__xludf.DUMMYFUNCTION("""COMPUTED_VALUE"""),"Quenna Valencia")</f>
        <v>Quenna Valencia</v>
      </c>
      <c r="C762" s="3" t="str">
        <f>IFERROR(__xludf.DUMMYFUNCTION("""COMPUTED_VALUE"""),"P")</f>
        <v>P</v>
      </c>
      <c r="D762" s="3">
        <f>IFERROR(__xludf.DUMMYFUNCTION("""COMPUTED_VALUE"""),32.0)</f>
        <v>32</v>
      </c>
      <c r="E762" s="3" t="str">
        <f>IFERROR(__xludf.DUMMYFUNCTION("""COMPUTED_VALUE"""),"XI D-1")</f>
        <v>XI D-1</v>
      </c>
      <c r="F762" s="11" t="str">
        <f>IFERROR(__xludf.DUMMYFUNCTION("""COMPUTED_VALUE"""),"32 - XI D-1 - Quenna Valencia")</f>
        <v>32 - XI D-1 - Quenna Valencia</v>
      </c>
    </row>
    <row r="763">
      <c r="A763" s="3" t="str">
        <f>IFERROR(__xludf.DUMMYFUNCTION("""COMPUTED_VALUE"""),"0083216448 / 242510340")</f>
        <v>0083216448 / 242510340</v>
      </c>
      <c r="B763" s="3" t="str">
        <f>IFERROR(__xludf.DUMMYFUNCTION("""COMPUTED_VALUE"""),"Rama Ar Rifatul Anbiya")</f>
        <v>Rama Ar Rifatul Anbiya</v>
      </c>
      <c r="C763" s="3" t="str">
        <f>IFERROR(__xludf.DUMMYFUNCTION("""COMPUTED_VALUE"""),"L")</f>
        <v>L</v>
      </c>
      <c r="D763" s="3">
        <f>IFERROR(__xludf.DUMMYFUNCTION("""COMPUTED_VALUE"""),32.0)</f>
        <v>32</v>
      </c>
      <c r="E763" s="3" t="str">
        <f>IFERROR(__xludf.DUMMYFUNCTION("""COMPUTED_VALUE"""),"XI D-1")</f>
        <v>XI D-1</v>
      </c>
      <c r="F763" s="11" t="str">
        <f>IFERROR(__xludf.DUMMYFUNCTION("""COMPUTED_VALUE"""),"32 - XI D-1 - Rama Ar Rifatul Anbiya")</f>
        <v>32 - XI D-1 - Rama Ar Rifatul Anbiya</v>
      </c>
    </row>
    <row r="764">
      <c r="A764" s="3" t="str">
        <f>IFERROR(__xludf.DUMMYFUNCTION("""COMPUTED_VALUE"""),"0081976297 / 242510351")</f>
        <v>0081976297 / 242510351</v>
      </c>
      <c r="B764" s="3" t="str">
        <f>IFERROR(__xludf.DUMMYFUNCTION("""COMPUTED_VALUE"""),"Rifky Akbar Maulana")</f>
        <v>Rifky Akbar Maulana</v>
      </c>
      <c r="C764" s="3" t="str">
        <f>IFERROR(__xludf.DUMMYFUNCTION("""COMPUTED_VALUE"""),"L")</f>
        <v>L</v>
      </c>
      <c r="D764" s="3">
        <f>IFERROR(__xludf.DUMMYFUNCTION("""COMPUTED_VALUE"""),32.0)</f>
        <v>32</v>
      </c>
      <c r="E764" s="3" t="str">
        <f>IFERROR(__xludf.DUMMYFUNCTION("""COMPUTED_VALUE"""),"XI D-1")</f>
        <v>XI D-1</v>
      </c>
      <c r="F764" s="11" t="str">
        <f>IFERROR(__xludf.DUMMYFUNCTION("""COMPUTED_VALUE"""),"32 - XI D-1 - Rifky Akbar Maulana")</f>
        <v>32 - XI D-1 - Rifky Akbar Maulana</v>
      </c>
    </row>
    <row r="765">
      <c r="A765" s="3" t="str">
        <f>IFERROR(__xludf.DUMMYFUNCTION("""COMPUTED_VALUE"""),"0087374524 / 242510358")</f>
        <v>0087374524 / 242510358</v>
      </c>
      <c r="B765" s="3" t="str">
        <f>IFERROR(__xludf.DUMMYFUNCTION("""COMPUTED_VALUE"""),"Rizky Baihaqi")</f>
        <v>Rizky Baihaqi</v>
      </c>
      <c r="C765" s="3" t="str">
        <f>IFERROR(__xludf.DUMMYFUNCTION("""COMPUTED_VALUE"""),"L")</f>
        <v>L</v>
      </c>
      <c r="D765" s="3">
        <f>IFERROR(__xludf.DUMMYFUNCTION("""COMPUTED_VALUE"""),32.0)</f>
        <v>32</v>
      </c>
      <c r="E765" s="3" t="str">
        <f>IFERROR(__xludf.DUMMYFUNCTION("""COMPUTED_VALUE"""),"XI D-1")</f>
        <v>XI D-1</v>
      </c>
      <c r="F765" s="11" t="str">
        <f>IFERROR(__xludf.DUMMYFUNCTION("""COMPUTED_VALUE"""),"32 - XI D-1 - Rizky Baihaqi")</f>
        <v>32 - XI D-1 - Rizky Baihaqi</v>
      </c>
    </row>
    <row r="766">
      <c r="A766" s="3" t="str">
        <f>IFERROR(__xludf.DUMMYFUNCTION("""COMPUTED_VALUE"""),"0095610000 / 242510359")</f>
        <v>0095610000 / 242510359</v>
      </c>
      <c r="B766" s="3" t="str">
        <f>IFERROR(__xludf.DUMMYFUNCTION("""COMPUTED_VALUE"""),"Rosliani Sarrah")</f>
        <v>Rosliani Sarrah</v>
      </c>
      <c r="C766" s="3" t="str">
        <f>IFERROR(__xludf.DUMMYFUNCTION("""COMPUTED_VALUE"""),"P")</f>
        <v>P</v>
      </c>
      <c r="D766" s="3">
        <f>IFERROR(__xludf.DUMMYFUNCTION("""COMPUTED_VALUE"""),32.0)</f>
        <v>32</v>
      </c>
      <c r="E766" s="3" t="str">
        <f>IFERROR(__xludf.DUMMYFUNCTION("""COMPUTED_VALUE"""),"XI D-1")</f>
        <v>XI D-1</v>
      </c>
      <c r="F766" s="11" t="str">
        <f>IFERROR(__xludf.DUMMYFUNCTION("""COMPUTED_VALUE"""),"32 - XI D-1 - Rosliani Sarrah")</f>
        <v>32 - XI D-1 - Rosliani Sarrah</v>
      </c>
    </row>
    <row r="767">
      <c r="A767" s="3" t="str">
        <f>IFERROR(__xludf.DUMMYFUNCTION("""COMPUTED_VALUE"""),"3108459157 / 242510368")</f>
        <v>3108459157 / 242510368</v>
      </c>
      <c r="B767" s="3" t="str">
        <f>IFERROR(__xludf.DUMMYFUNCTION("""COMPUTED_VALUE"""),"Salwa Aisya Putri")</f>
        <v>Salwa Aisya Putri</v>
      </c>
      <c r="C767" s="3" t="str">
        <f>IFERROR(__xludf.DUMMYFUNCTION("""COMPUTED_VALUE"""),"P")</f>
        <v>P</v>
      </c>
      <c r="D767" s="3">
        <f>IFERROR(__xludf.DUMMYFUNCTION("""COMPUTED_VALUE"""),32.0)</f>
        <v>32</v>
      </c>
      <c r="E767" s="3" t="str">
        <f>IFERROR(__xludf.DUMMYFUNCTION("""COMPUTED_VALUE"""),"XI D-1")</f>
        <v>XI D-1</v>
      </c>
      <c r="F767" s="11" t="str">
        <f>IFERROR(__xludf.DUMMYFUNCTION("""COMPUTED_VALUE"""),"32 - XI D-1 - Salwa Aisya Putri")</f>
        <v>32 - XI D-1 - Salwa Aisya Putri</v>
      </c>
    </row>
    <row r="768">
      <c r="A768" s="3" t="str">
        <f>IFERROR(__xludf.DUMMYFUNCTION("""COMPUTED_VALUE"""),"0092184814 / 242510369")</f>
        <v>0092184814 / 242510369</v>
      </c>
      <c r="B768" s="3" t="str">
        <f>IFERROR(__xludf.DUMMYFUNCTION("""COMPUTED_VALUE"""),"Salwa Amanda Putri")</f>
        <v>Salwa Amanda Putri</v>
      </c>
      <c r="C768" s="3" t="str">
        <f>IFERROR(__xludf.DUMMYFUNCTION("""COMPUTED_VALUE"""),"P")</f>
        <v>P</v>
      </c>
      <c r="D768" s="3">
        <f>IFERROR(__xludf.DUMMYFUNCTION("""COMPUTED_VALUE"""),32.0)</f>
        <v>32</v>
      </c>
      <c r="E768" s="3" t="str">
        <f>IFERROR(__xludf.DUMMYFUNCTION("""COMPUTED_VALUE"""),"XI D-1")</f>
        <v>XI D-1</v>
      </c>
      <c r="F768" s="11" t="str">
        <f>IFERROR(__xludf.DUMMYFUNCTION("""COMPUTED_VALUE"""),"32 - XI D-1 - Salwa Amanda Putri")</f>
        <v>32 - XI D-1 - Salwa Amanda Putri</v>
      </c>
    </row>
    <row r="769">
      <c r="A769" s="3" t="str">
        <f>IFERROR(__xludf.DUMMYFUNCTION("""COMPUTED_VALUE"""),"0093513380 / 242510383")</f>
        <v>0093513380 / 242510383</v>
      </c>
      <c r="B769" s="3" t="str">
        <f>IFERROR(__xludf.DUMMYFUNCTION("""COMPUTED_VALUE"""),"Shinta Aulia")</f>
        <v>Shinta Aulia</v>
      </c>
      <c r="C769" s="3" t="str">
        <f>IFERROR(__xludf.DUMMYFUNCTION("""COMPUTED_VALUE"""),"P")</f>
        <v>P</v>
      </c>
      <c r="D769" s="3">
        <f>IFERROR(__xludf.DUMMYFUNCTION("""COMPUTED_VALUE"""),32.0)</f>
        <v>32</v>
      </c>
      <c r="E769" s="3" t="str">
        <f>IFERROR(__xludf.DUMMYFUNCTION("""COMPUTED_VALUE"""),"XI D-1")</f>
        <v>XI D-1</v>
      </c>
      <c r="F769" s="11" t="str">
        <f>IFERROR(__xludf.DUMMYFUNCTION("""COMPUTED_VALUE"""),"32 - XI D-1 - Shinta Aulia")</f>
        <v>32 - XI D-1 - Shinta Aulia</v>
      </c>
    </row>
    <row r="770">
      <c r="A770" s="3" t="str">
        <f>IFERROR(__xludf.DUMMYFUNCTION("""COMPUTED_VALUE"""),"0094484878 / 242510403")</f>
        <v>0094484878 / 242510403</v>
      </c>
      <c r="B770" s="3" t="str">
        <f>IFERROR(__xludf.DUMMYFUNCTION("""COMPUTED_VALUE"""),"Troy Rhezky Lembong")</f>
        <v>Troy Rhezky Lembong</v>
      </c>
      <c r="C770" s="3" t="str">
        <f>IFERROR(__xludf.DUMMYFUNCTION("""COMPUTED_VALUE"""),"L")</f>
        <v>L</v>
      </c>
      <c r="D770" s="3">
        <f>IFERROR(__xludf.DUMMYFUNCTION("""COMPUTED_VALUE"""),32.0)</f>
        <v>32</v>
      </c>
      <c r="E770" s="3" t="str">
        <f>IFERROR(__xludf.DUMMYFUNCTION("""COMPUTED_VALUE"""),"XI D-1")</f>
        <v>XI D-1</v>
      </c>
      <c r="F770" s="11" t="str">
        <f>IFERROR(__xludf.DUMMYFUNCTION("""COMPUTED_VALUE"""),"32 - XI D-1 - Troy Rhezky Lembong")</f>
        <v>32 - XI D-1 - Troy Rhezky Lembong</v>
      </c>
    </row>
    <row r="771">
      <c r="A771" s="3" t="str">
        <f>IFERROR(__xludf.DUMMYFUNCTION("""COMPUTED_VALUE"""),"0094008926 / 242510425")</f>
        <v>0094008926 / 242510425</v>
      </c>
      <c r="B771" s="3" t="str">
        <f>IFERROR(__xludf.DUMMYFUNCTION("""COMPUTED_VALUE"""),"Zalfa Anaya Putri")</f>
        <v>Zalfa Anaya Putri</v>
      </c>
      <c r="C771" s="3" t="str">
        <f>IFERROR(__xludf.DUMMYFUNCTION("""COMPUTED_VALUE"""),"P")</f>
        <v>P</v>
      </c>
      <c r="D771" s="3">
        <f>IFERROR(__xludf.DUMMYFUNCTION("""COMPUTED_VALUE"""),32.0)</f>
        <v>32</v>
      </c>
      <c r="E771" s="3" t="str">
        <f>IFERROR(__xludf.DUMMYFUNCTION("""COMPUTED_VALUE"""),"XI D-1")</f>
        <v>XI D-1</v>
      </c>
      <c r="F771" s="11" t="str">
        <f>IFERROR(__xludf.DUMMYFUNCTION("""COMPUTED_VALUE"""),"32 - XI D-1 - Zalfa Anaya Putri")</f>
        <v>32 - XI D-1 - Zalfa Anaya Putri</v>
      </c>
    </row>
    <row r="772">
      <c r="A772" s="3" t="str">
        <f>IFERROR(__xludf.DUMMYFUNCTION("""COMPUTED_VALUE"""),"0096998389 / 242510428")</f>
        <v>0096998389 / 242510428</v>
      </c>
      <c r="B772" s="3" t="str">
        <f>IFERROR(__xludf.DUMMYFUNCTION("""COMPUTED_VALUE"""),"Zhafira Fathin Ilmira")</f>
        <v>Zhafira Fathin Ilmira</v>
      </c>
      <c r="C772" s="3" t="str">
        <f>IFERROR(__xludf.DUMMYFUNCTION("""COMPUTED_VALUE"""),"P")</f>
        <v>P</v>
      </c>
      <c r="D772" s="3">
        <f>IFERROR(__xludf.DUMMYFUNCTION("""COMPUTED_VALUE"""),32.0)</f>
        <v>32</v>
      </c>
      <c r="E772" s="3" t="str">
        <f>IFERROR(__xludf.DUMMYFUNCTION("""COMPUTED_VALUE"""),"XI D-1")</f>
        <v>XI D-1</v>
      </c>
      <c r="F772" s="11" t="str">
        <f>IFERROR(__xludf.DUMMYFUNCTION("""COMPUTED_VALUE"""),"32 - XI D-1 - Zhafira Fathin Ilmira")</f>
        <v>32 - XI D-1 - Zhafira Fathin Ilmira</v>
      </c>
    </row>
    <row r="773">
      <c r="A773" s="3" t="str">
        <f>IFERROR(__xludf.DUMMYFUNCTION("""COMPUTED_VALUE"""),"0099205215 / 242510002")</f>
        <v>0099205215 / 242510002</v>
      </c>
      <c r="B773" s="3" t="str">
        <f>IFERROR(__xludf.DUMMYFUNCTION("""COMPUTED_VALUE"""),"Abhipraya Fahim Ghazal Adhiatma")</f>
        <v>Abhipraya Fahim Ghazal Adhiatma</v>
      </c>
      <c r="C773" s="3" t="str">
        <f>IFERROR(__xludf.DUMMYFUNCTION("""COMPUTED_VALUE"""),"L")</f>
        <v>L</v>
      </c>
      <c r="D773" s="3">
        <f>IFERROR(__xludf.DUMMYFUNCTION("""COMPUTED_VALUE"""),32.0)</f>
        <v>32</v>
      </c>
      <c r="E773" s="3" t="str">
        <f>IFERROR(__xludf.DUMMYFUNCTION("""COMPUTED_VALUE"""),"XI D-2")</f>
        <v>XI D-2</v>
      </c>
      <c r="F773" s="11" t="str">
        <f>IFERROR(__xludf.DUMMYFUNCTION("""COMPUTED_VALUE"""),"32 - XI D-2 - Abhipraya Fahim Ghazal Adhiatma")</f>
        <v>32 - XI D-2 - Abhipraya Fahim Ghazal Adhiatma</v>
      </c>
    </row>
    <row r="774">
      <c r="A774" s="3" t="str">
        <f>IFERROR(__xludf.DUMMYFUNCTION("""COMPUTED_VALUE"""),"0096176025 / 242510004")</f>
        <v>0096176025 / 242510004</v>
      </c>
      <c r="B774" s="3" t="str">
        <f>IFERROR(__xludf.DUMMYFUNCTION("""COMPUTED_VALUE"""),"Abimanyu Cakraningrat")</f>
        <v>Abimanyu Cakraningrat</v>
      </c>
      <c r="C774" s="3" t="str">
        <f>IFERROR(__xludf.DUMMYFUNCTION("""COMPUTED_VALUE"""),"L")</f>
        <v>L</v>
      </c>
      <c r="D774" s="3">
        <f>IFERROR(__xludf.DUMMYFUNCTION("""COMPUTED_VALUE"""),32.0)</f>
        <v>32</v>
      </c>
      <c r="E774" s="3" t="str">
        <f>IFERROR(__xludf.DUMMYFUNCTION("""COMPUTED_VALUE"""),"XI D-2")</f>
        <v>XI D-2</v>
      </c>
      <c r="F774" s="11" t="str">
        <f>IFERROR(__xludf.DUMMYFUNCTION("""COMPUTED_VALUE"""),"32 - XI D-2 - Abimanyu Cakraningrat")</f>
        <v>32 - XI D-2 - Abimanyu Cakraningrat</v>
      </c>
    </row>
    <row r="775">
      <c r="A775" s="3" t="str">
        <f>IFERROR(__xludf.DUMMYFUNCTION("""COMPUTED_VALUE"""),"0083691625 / 242510013")</f>
        <v>0083691625 / 242510013</v>
      </c>
      <c r="B775" s="3" t="str">
        <f>IFERROR(__xludf.DUMMYFUNCTION("""COMPUTED_VALUE"""),"Aini Nur Fauziah Gunawan")</f>
        <v>Aini Nur Fauziah Gunawan</v>
      </c>
      <c r="C775" s="3" t="str">
        <f>IFERROR(__xludf.DUMMYFUNCTION("""COMPUTED_VALUE"""),"P")</f>
        <v>P</v>
      </c>
      <c r="D775" s="3">
        <f>IFERROR(__xludf.DUMMYFUNCTION("""COMPUTED_VALUE"""),32.0)</f>
        <v>32</v>
      </c>
      <c r="E775" s="3" t="str">
        <f>IFERROR(__xludf.DUMMYFUNCTION("""COMPUTED_VALUE"""),"XI D-2")</f>
        <v>XI D-2</v>
      </c>
      <c r="F775" s="11" t="str">
        <f>IFERROR(__xludf.DUMMYFUNCTION("""COMPUTED_VALUE"""),"32 - XI D-2 - Aini Nur Fauziah Gunawan")</f>
        <v>32 - XI D-2 - Aini Nur Fauziah Gunawan</v>
      </c>
    </row>
    <row r="776">
      <c r="A776" s="3" t="str">
        <f>IFERROR(__xludf.DUMMYFUNCTION("""COMPUTED_VALUE"""),"0093555544 / 242510030")</f>
        <v>0093555544 / 242510030</v>
      </c>
      <c r="B776" s="3" t="str">
        <f>IFERROR(__xludf.DUMMYFUNCTION("""COMPUTED_VALUE"""),"Almira Dian Pratiwi")</f>
        <v>Almira Dian Pratiwi</v>
      </c>
      <c r="C776" s="3" t="str">
        <f>IFERROR(__xludf.DUMMYFUNCTION("""COMPUTED_VALUE"""),"P")</f>
        <v>P</v>
      </c>
      <c r="D776" s="3">
        <f>IFERROR(__xludf.DUMMYFUNCTION("""COMPUTED_VALUE"""),32.0)</f>
        <v>32</v>
      </c>
      <c r="E776" s="3" t="str">
        <f>IFERROR(__xludf.DUMMYFUNCTION("""COMPUTED_VALUE"""),"XI D-2")</f>
        <v>XI D-2</v>
      </c>
      <c r="F776" s="11" t="str">
        <f>IFERROR(__xludf.DUMMYFUNCTION("""COMPUTED_VALUE"""),"32 - XI D-2 - Almira Dian Pratiwi")</f>
        <v>32 - XI D-2 - Almira Dian Pratiwi</v>
      </c>
    </row>
    <row r="777">
      <c r="A777" s="3" t="str">
        <f>IFERROR(__xludf.DUMMYFUNCTION("""COMPUTED_VALUE"""),"0093240247 / 242510049")</f>
        <v>0093240247 / 242510049</v>
      </c>
      <c r="B777" s="3" t="str">
        <f>IFERROR(__xludf.DUMMYFUNCTION("""COMPUTED_VALUE"""),"Anjar Rauf Fahrizal")</f>
        <v>Anjar Rauf Fahrizal</v>
      </c>
      <c r="C777" s="3" t="str">
        <f>IFERROR(__xludf.DUMMYFUNCTION("""COMPUTED_VALUE"""),"L")</f>
        <v>L</v>
      </c>
      <c r="D777" s="3">
        <f>IFERROR(__xludf.DUMMYFUNCTION("""COMPUTED_VALUE"""),32.0)</f>
        <v>32</v>
      </c>
      <c r="E777" s="3" t="str">
        <f>IFERROR(__xludf.DUMMYFUNCTION("""COMPUTED_VALUE"""),"XI D-2")</f>
        <v>XI D-2</v>
      </c>
      <c r="F777" s="11" t="str">
        <f>IFERROR(__xludf.DUMMYFUNCTION("""COMPUTED_VALUE"""),"32 - XI D-2 - Anjar Rauf Fahrizal")</f>
        <v>32 - XI D-2 - Anjar Rauf Fahrizal</v>
      </c>
    </row>
    <row r="778">
      <c r="A778" s="3" t="str">
        <f>IFERROR(__xludf.DUMMYFUNCTION("""COMPUTED_VALUE"""),"0081177343 / 242510057")</f>
        <v>0081177343 / 242510057</v>
      </c>
      <c r="B778" s="3" t="str">
        <f>IFERROR(__xludf.DUMMYFUNCTION("""COMPUTED_VALUE"""),"Arsyila Kayyisah Biyanto")</f>
        <v>Arsyila Kayyisah Biyanto</v>
      </c>
      <c r="C778" s="3" t="str">
        <f>IFERROR(__xludf.DUMMYFUNCTION("""COMPUTED_VALUE"""),"P")</f>
        <v>P</v>
      </c>
      <c r="D778" s="3">
        <f>IFERROR(__xludf.DUMMYFUNCTION("""COMPUTED_VALUE"""),32.0)</f>
        <v>32</v>
      </c>
      <c r="E778" s="3" t="str">
        <f>IFERROR(__xludf.DUMMYFUNCTION("""COMPUTED_VALUE"""),"XI D-2")</f>
        <v>XI D-2</v>
      </c>
      <c r="F778" s="11" t="str">
        <f>IFERROR(__xludf.DUMMYFUNCTION("""COMPUTED_VALUE"""),"32 - XI D-2 - Arsyila Kayyisah Biyanto")</f>
        <v>32 - XI D-2 - Arsyila Kayyisah Biyanto</v>
      </c>
    </row>
    <row r="779">
      <c r="A779" s="3" t="str">
        <f>IFERROR(__xludf.DUMMYFUNCTION("""COMPUTED_VALUE"""),"0097044189 / 242510065")</f>
        <v>0097044189 / 242510065</v>
      </c>
      <c r="B779" s="3" t="str">
        <f>IFERROR(__xludf.DUMMYFUNCTION("""COMPUTED_VALUE"""),"Aufa Syafiq Disastra")</f>
        <v>Aufa Syafiq Disastra</v>
      </c>
      <c r="C779" s="3" t="str">
        <f>IFERROR(__xludf.DUMMYFUNCTION("""COMPUTED_VALUE"""),"P")</f>
        <v>P</v>
      </c>
      <c r="D779" s="3">
        <f>IFERROR(__xludf.DUMMYFUNCTION("""COMPUTED_VALUE"""),32.0)</f>
        <v>32</v>
      </c>
      <c r="E779" s="3" t="str">
        <f>IFERROR(__xludf.DUMMYFUNCTION("""COMPUTED_VALUE"""),"XI D-2")</f>
        <v>XI D-2</v>
      </c>
      <c r="F779" s="11" t="str">
        <f>IFERROR(__xludf.DUMMYFUNCTION("""COMPUTED_VALUE"""),"32 - XI D-2 - Aufa Syafiq Disastra")</f>
        <v>32 - XI D-2 - Aufa Syafiq Disastra</v>
      </c>
    </row>
    <row r="780">
      <c r="A780" s="3" t="str">
        <f>IFERROR(__xludf.DUMMYFUNCTION("""COMPUTED_VALUE"""),"0094015905 / 242510074")</f>
        <v>0094015905 / 242510074</v>
      </c>
      <c r="B780" s="3" t="str">
        <f>IFERROR(__xludf.DUMMYFUNCTION("""COMPUTED_VALUE"""),"Aurellia Syifa Hafianti")</f>
        <v>Aurellia Syifa Hafianti</v>
      </c>
      <c r="C780" s="3" t="str">
        <f>IFERROR(__xludf.DUMMYFUNCTION("""COMPUTED_VALUE"""),"P")</f>
        <v>P</v>
      </c>
      <c r="D780" s="3">
        <f>IFERROR(__xludf.DUMMYFUNCTION("""COMPUTED_VALUE"""),32.0)</f>
        <v>32</v>
      </c>
      <c r="E780" s="3" t="str">
        <f>IFERROR(__xludf.DUMMYFUNCTION("""COMPUTED_VALUE"""),"XI D-2")</f>
        <v>XI D-2</v>
      </c>
      <c r="F780" s="11" t="str">
        <f>IFERROR(__xludf.DUMMYFUNCTION("""COMPUTED_VALUE"""),"32 - XI D-2 - Aurellia Syifa Hafianti")</f>
        <v>32 - XI D-2 - Aurellia Syifa Hafianti</v>
      </c>
    </row>
    <row r="781">
      <c r="A781" s="3" t="str">
        <f>IFERROR(__xludf.DUMMYFUNCTION("""COMPUTED_VALUE"""),"0099056940 / 242510077")</f>
        <v>0099056940 / 242510077</v>
      </c>
      <c r="B781" s="3" t="str">
        <f>IFERROR(__xludf.DUMMYFUNCTION("""COMPUTED_VALUE"""),"Ayuki Nirwasita Saputro")</f>
        <v>Ayuki Nirwasita Saputro</v>
      </c>
      <c r="C781" s="3" t="str">
        <f>IFERROR(__xludf.DUMMYFUNCTION("""COMPUTED_VALUE"""),"P")</f>
        <v>P</v>
      </c>
      <c r="D781" s="3">
        <f>IFERROR(__xludf.DUMMYFUNCTION("""COMPUTED_VALUE"""),32.0)</f>
        <v>32</v>
      </c>
      <c r="E781" s="3" t="str">
        <f>IFERROR(__xludf.DUMMYFUNCTION("""COMPUTED_VALUE"""),"XI D-2")</f>
        <v>XI D-2</v>
      </c>
      <c r="F781" s="11" t="str">
        <f>IFERROR(__xludf.DUMMYFUNCTION("""COMPUTED_VALUE"""),"32 - XI D-2 - Ayuki Nirwasita Saputro")</f>
        <v>32 - XI D-2 - Ayuki Nirwasita Saputro</v>
      </c>
    </row>
    <row r="782">
      <c r="A782" s="3" t="str">
        <f>IFERROR(__xludf.DUMMYFUNCTION("""COMPUTED_VALUE"""),"0083503418 / 242510092")</f>
        <v>0083503418 / 242510092</v>
      </c>
      <c r="B782" s="3" t="str">
        <f>IFERROR(__xludf.DUMMYFUNCTION("""COMPUTED_VALUE"""),"Chelsy Ashyla Nafiza")</f>
        <v>Chelsy Ashyla Nafiza</v>
      </c>
      <c r="C782" s="3" t="str">
        <f>IFERROR(__xludf.DUMMYFUNCTION("""COMPUTED_VALUE"""),"P")</f>
        <v>P</v>
      </c>
      <c r="D782" s="3">
        <f>IFERROR(__xludf.DUMMYFUNCTION("""COMPUTED_VALUE"""),32.0)</f>
        <v>32</v>
      </c>
      <c r="E782" s="3" t="str">
        <f>IFERROR(__xludf.DUMMYFUNCTION("""COMPUTED_VALUE"""),"XI D-2")</f>
        <v>XI D-2</v>
      </c>
      <c r="F782" s="11" t="str">
        <f>IFERROR(__xludf.DUMMYFUNCTION("""COMPUTED_VALUE"""),"32 - XI D-2 - Chelsy Ashyla Nafiza")</f>
        <v>32 - XI D-2 - Chelsy Ashyla Nafiza</v>
      </c>
    </row>
    <row r="783">
      <c r="A783" s="3" t="str">
        <f>IFERROR(__xludf.DUMMYFUNCTION("""COMPUTED_VALUE"""),"0082910392 / 242510119")</f>
        <v>0082910392 / 242510119</v>
      </c>
      <c r="B783" s="3" t="str">
        <f>IFERROR(__xludf.DUMMYFUNCTION("""COMPUTED_VALUE"""),"Echa Putri Ramadhani")</f>
        <v>Echa Putri Ramadhani</v>
      </c>
      <c r="C783" s="3" t="str">
        <f>IFERROR(__xludf.DUMMYFUNCTION("""COMPUTED_VALUE"""),"P")</f>
        <v>P</v>
      </c>
      <c r="D783" s="3">
        <f>IFERROR(__xludf.DUMMYFUNCTION("""COMPUTED_VALUE"""),32.0)</f>
        <v>32</v>
      </c>
      <c r="E783" s="3" t="str">
        <f>IFERROR(__xludf.DUMMYFUNCTION("""COMPUTED_VALUE"""),"XI D-2")</f>
        <v>XI D-2</v>
      </c>
      <c r="F783" s="11" t="str">
        <f>IFERROR(__xludf.DUMMYFUNCTION("""COMPUTED_VALUE"""),"32 - XI D-2 - Echa Putri Ramadhani")</f>
        <v>32 - XI D-2 - Echa Putri Ramadhani</v>
      </c>
    </row>
    <row r="784">
      <c r="A784" s="3" t="str">
        <f>IFERROR(__xludf.DUMMYFUNCTION("""COMPUTED_VALUE"""),"0092889165 / 242510121")</f>
        <v>0092889165 / 242510121</v>
      </c>
      <c r="B784" s="3" t="str">
        <f>IFERROR(__xludf.DUMMYFUNCTION("""COMPUTED_VALUE"""),"Ello Sasmitha Jati")</f>
        <v>Ello Sasmitha Jati</v>
      </c>
      <c r="C784" s="3" t="str">
        <f>IFERROR(__xludf.DUMMYFUNCTION("""COMPUTED_VALUE"""),"P")</f>
        <v>P</v>
      </c>
      <c r="D784" s="3">
        <f>IFERROR(__xludf.DUMMYFUNCTION("""COMPUTED_VALUE"""),32.0)</f>
        <v>32</v>
      </c>
      <c r="E784" s="3" t="str">
        <f>IFERROR(__xludf.DUMMYFUNCTION("""COMPUTED_VALUE"""),"XI D-2")</f>
        <v>XI D-2</v>
      </c>
      <c r="F784" s="11" t="str">
        <f>IFERROR(__xludf.DUMMYFUNCTION("""COMPUTED_VALUE"""),"32 - XI D-2 - Ello Sasmitha Jati")</f>
        <v>32 - XI D-2 - Ello Sasmitha Jati</v>
      </c>
    </row>
    <row r="785">
      <c r="A785" s="3" t="str">
        <f>IFERROR(__xludf.DUMMYFUNCTION("""COMPUTED_VALUE"""),"0089925170 / 242510124")</f>
        <v>0089925170 / 242510124</v>
      </c>
      <c r="B785" s="3" t="str">
        <f>IFERROR(__xludf.DUMMYFUNCTION("""COMPUTED_VALUE"""),"Eskisan Oktri Femista")</f>
        <v>Eskisan Oktri Femista</v>
      </c>
      <c r="C785" s="3" t="str">
        <f>IFERROR(__xludf.DUMMYFUNCTION("""COMPUTED_VALUE"""),"L")</f>
        <v>L</v>
      </c>
      <c r="D785" s="3">
        <f>IFERROR(__xludf.DUMMYFUNCTION("""COMPUTED_VALUE"""),32.0)</f>
        <v>32</v>
      </c>
      <c r="E785" s="3" t="str">
        <f>IFERROR(__xludf.DUMMYFUNCTION("""COMPUTED_VALUE"""),"XI D-2")</f>
        <v>XI D-2</v>
      </c>
      <c r="F785" s="11" t="str">
        <f>IFERROR(__xludf.DUMMYFUNCTION("""COMPUTED_VALUE"""),"32 - XI D-2 - Eskisan Oktri Femista")</f>
        <v>32 - XI D-2 - Eskisan Oktri Femista</v>
      </c>
    </row>
    <row r="786">
      <c r="A786" s="3" t="str">
        <f>IFERROR(__xludf.DUMMYFUNCTION("""COMPUTED_VALUE"""),"0097500016 / 242510138")</f>
        <v>0097500016 / 242510138</v>
      </c>
      <c r="B786" s="3" t="str">
        <f>IFERROR(__xludf.DUMMYFUNCTION("""COMPUTED_VALUE"""),"Fathan Mubina")</f>
        <v>Fathan Mubina</v>
      </c>
      <c r="C786" s="3" t="str">
        <f>IFERROR(__xludf.DUMMYFUNCTION("""COMPUTED_VALUE"""),"L")</f>
        <v>L</v>
      </c>
      <c r="D786" s="3">
        <f>IFERROR(__xludf.DUMMYFUNCTION("""COMPUTED_VALUE"""),32.0)</f>
        <v>32</v>
      </c>
      <c r="E786" s="3" t="str">
        <f>IFERROR(__xludf.DUMMYFUNCTION("""COMPUTED_VALUE"""),"XI D-2")</f>
        <v>XI D-2</v>
      </c>
      <c r="F786" s="11" t="str">
        <f>IFERROR(__xludf.DUMMYFUNCTION("""COMPUTED_VALUE"""),"32 - XI D-2 - Fathan Mubina")</f>
        <v>32 - XI D-2 - Fathan Mubina</v>
      </c>
    </row>
    <row r="787">
      <c r="A787" s="3" t="str">
        <f>IFERROR(__xludf.DUMMYFUNCTION("""COMPUTED_VALUE"""),"0091736459 / 242510143")</f>
        <v>0091736459 / 242510143</v>
      </c>
      <c r="B787" s="3" t="str">
        <f>IFERROR(__xludf.DUMMYFUNCTION("""COMPUTED_VALUE"""),"Fiona Wahidah Salsabila")</f>
        <v>Fiona Wahidah Salsabila</v>
      </c>
      <c r="C787" s="3" t="str">
        <f>IFERROR(__xludf.DUMMYFUNCTION("""COMPUTED_VALUE"""),"P")</f>
        <v>P</v>
      </c>
      <c r="D787" s="3">
        <f>IFERROR(__xludf.DUMMYFUNCTION("""COMPUTED_VALUE"""),32.0)</f>
        <v>32</v>
      </c>
      <c r="E787" s="3" t="str">
        <f>IFERROR(__xludf.DUMMYFUNCTION("""COMPUTED_VALUE"""),"XI D-2")</f>
        <v>XI D-2</v>
      </c>
      <c r="F787" s="11" t="str">
        <f>IFERROR(__xludf.DUMMYFUNCTION("""COMPUTED_VALUE"""),"32 - XI D-2 - Fiona Wahidah Salsabila")</f>
        <v>32 - XI D-2 - Fiona Wahidah Salsabila</v>
      </c>
    </row>
    <row r="788">
      <c r="A788" s="3" t="str">
        <f>IFERROR(__xludf.DUMMYFUNCTION("""COMPUTED_VALUE"""),"0083473619 / 242510151")</f>
        <v>0083473619 / 242510151</v>
      </c>
      <c r="B788" s="3" t="str">
        <f>IFERROR(__xludf.DUMMYFUNCTION("""COMPUTED_VALUE"""),"Gian Fabrizio")</f>
        <v>Gian Fabrizio</v>
      </c>
      <c r="C788" s="3" t="str">
        <f>IFERROR(__xludf.DUMMYFUNCTION("""COMPUTED_VALUE"""),"L")</f>
        <v>L</v>
      </c>
      <c r="D788" s="3">
        <f>IFERROR(__xludf.DUMMYFUNCTION("""COMPUTED_VALUE"""),32.0)</f>
        <v>32</v>
      </c>
      <c r="E788" s="3" t="str">
        <f>IFERROR(__xludf.DUMMYFUNCTION("""COMPUTED_VALUE"""),"XI D-2")</f>
        <v>XI D-2</v>
      </c>
      <c r="F788" s="11" t="str">
        <f>IFERROR(__xludf.DUMMYFUNCTION("""COMPUTED_VALUE"""),"32 - XI D-2 - Gian Fabrizio")</f>
        <v>32 - XI D-2 - Gian Fabrizio</v>
      </c>
    </row>
    <row r="789">
      <c r="A789" s="3" t="str">
        <f>IFERROR(__xludf.DUMMYFUNCTION("""COMPUTED_VALUE"""),"0095965332 / 242510202")</f>
        <v>0095965332 / 242510202</v>
      </c>
      <c r="B789" s="3" t="str">
        <f>IFERROR(__xludf.DUMMYFUNCTION("""COMPUTED_VALUE"""),"Khansa Nabilah Fatin")</f>
        <v>Khansa Nabilah Fatin</v>
      </c>
      <c r="C789" s="3" t="str">
        <f>IFERROR(__xludf.DUMMYFUNCTION("""COMPUTED_VALUE"""),"P")</f>
        <v>P</v>
      </c>
      <c r="D789" s="3">
        <f>IFERROR(__xludf.DUMMYFUNCTION("""COMPUTED_VALUE"""),32.0)</f>
        <v>32</v>
      </c>
      <c r="E789" s="3" t="str">
        <f>IFERROR(__xludf.DUMMYFUNCTION("""COMPUTED_VALUE"""),"XI D-2")</f>
        <v>XI D-2</v>
      </c>
      <c r="F789" s="11" t="str">
        <f>IFERROR(__xludf.DUMMYFUNCTION("""COMPUTED_VALUE"""),"32 - XI D-2 - Khansa Nabilah Fatin")</f>
        <v>32 - XI D-2 - Khansa Nabilah Fatin</v>
      </c>
    </row>
    <row r="790">
      <c r="A790" s="3" t="str">
        <f>IFERROR(__xludf.DUMMYFUNCTION("""COMPUTED_VALUE"""),"3089802088 / 242510204")</f>
        <v>3089802088 / 242510204</v>
      </c>
      <c r="B790" s="3" t="str">
        <f>IFERROR(__xludf.DUMMYFUNCTION("""COMPUTED_VALUE"""),"Khofifah Asrining Pangastuti")</f>
        <v>Khofifah Asrining Pangastuti</v>
      </c>
      <c r="C790" s="3" t="str">
        <f>IFERROR(__xludf.DUMMYFUNCTION("""COMPUTED_VALUE"""),"P")</f>
        <v>P</v>
      </c>
      <c r="D790" s="3">
        <f>IFERROR(__xludf.DUMMYFUNCTION("""COMPUTED_VALUE"""),32.0)</f>
        <v>32</v>
      </c>
      <c r="E790" s="3" t="str">
        <f>IFERROR(__xludf.DUMMYFUNCTION("""COMPUTED_VALUE"""),"XI D-2")</f>
        <v>XI D-2</v>
      </c>
      <c r="F790" s="11" t="str">
        <f>IFERROR(__xludf.DUMMYFUNCTION("""COMPUTED_VALUE"""),"32 - XI D-2 - Khofifah Asrining Pangastuti")</f>
        <v>32 - XI D-2 - Khofifah Asrining Pangastuti</v>
      </c>
    </row>
    <row r="791">
      <c r="A791" s="3" t="str">
        <f>IFERROR(__xludf.DUMMYFUNCTION("""COMPUTED_VALUE"""),"0083558880 / 242510215")</f>
        <v>0083558880 / 242510215</v>
      </c>
      <c r="B791" s="3" t="str">
        <f>IFERROR(__xludf.DUMMYFUNCTION("""COMPUTED_VALUE"""),"Lukman Harun Aditya")</f>
        <v>Lukman Harun Aditya</v>
      </c>
      <c r="C791" s="3" t="str">
        <f>IFERROR(__xludf.DUMMYFUNCTION("""COMPUTED_VALUE"""),"L")</f>
        <v>L</v>
      </c>
      <c r="D791" s="3">
        <f>IFERROR(__xludf.DUMMYFUNCTION("""COMPUTED_VALUE"""),32.0)</f>
        <v>32</v>
      </c>
      <c r="E791" s="3" t="str">
        <f>IFERROR(__xludf.DUMMYFUNCTION("""COMPUTED_VALUE"""),"XI D-2")</f>
        <v>XI D-2</v>
      </c>
      <c r="F791" s="11" t="str">
        <f>IFERROR(__xludf.DUMMYFUNCTION("""COMPUTED_VALUE"""),"32 - XI D-2 - Lukman Harun Aditya")</f>
        <v>32 - XI D-2 - Lukman Harun Aditya</v>
      </c>
    </row>
    <row r="792">
      <c r="A792" s="3" t="str">
        <f>IFERROR(__xludf.DUMMYFUNCTION("""COMPUTED_VALUE"""),"0087939718 / 242510217")</f>
        <v>0087939718 / 242510217</v>
      </c>
      <c r="B792" s="3" t="str">
        <f>IFERROR(__xludf.DUMMYFUNCTION("""COMPUTED_VALUE"""),"M. Bintang Aliansyah Tukuboya")</f>
        <v>M. Bintang Aliansyah Tukuboya</v>
      </c>
      <c r="C792" s="3" t="str">
        <f>IFERROR(__xludf.DUMMYFUNCTION("""COMPUTED_VALUE"""),"L")</f>
        <v>L</v>
      </c>
      <c r="D792" s="3">
        <f>IFERROR(__xludf.DUMMYFUNCTION("""COMPUTED_VALUE"""),32.0)</f>
        <v>32</v>
      </c>
      <c r="E792" s="3" t="str">
        <f>IFERROR(__xludf.DUMMYFUNCTION("""COMPUTED_VALUE"""),"XI D-2")</f>
        <v>XI D-2</v>
      </c>
      <c r="F792" s="11" t="str">
        <f>IFERROR(__xludf.DUMMYFUNCTION("""COMPUTED_VALUE"""),"32 - XI D-2 - M. Bintang Aliansyah Tukuboya")</f>
        <v>32 - XI D-2 - M. Bintang Aliansyah Tukuboya</v>
      </c>
    </row>
    <row r="793">
      <c r="A793" s="3" t="str">
        <f>IFERROR(__xludf.DUMMYFUNCTION("""COMPUTED_VALUE"""),"3086429713 / 242510256")</f>
        <v>3086429713 / 242510256</v>
      </c>
      <c r="B793" s="3" t="str">
        <f>IFERROR(__xludf.DUMMYFUNCTION("""COMPUTED_VALUE"""),"Muhammad Dalfin Syawaldi Putra Setiawan")</f>
        <v>Muhammad Dalfin Syawaldi Putra Setiawan</v>
      </c>
      <c r="C793" s="3" t="str">
        <f>IFERROR(__xludf.DUMMYFUNCTION("""COMPUTED_VALUE"""),"L")</f>
        <v>L</v>
      </c>
      <c r="D793" s="3">
        <f>IFERROR(__xludf.DUMMYFUNCTION("""COMPUTED_VALUE"""),32.0)</f>
        <v>32</v>
      </c>
      <c r="E793" s="3" t="str">
        <f>IFERROR(__xludf.DUMMYFUNCTION("""COMPUTED_VALUE"""),"XI D-2")</f>
        <v>XI D-2</v>
      </c>
      <c r="F793" s="11" t="str">
        <f>IFERROR(__xludf.DUMMYFUNCTION("""COMPUTED_VALUE"""),"32 - XI D-2 - Muhammad Dalfin Syawaldi Putra Setiawan")</f>
        <v>32 - XI D-2 - Muhammad Dalfin Syawaldi Putra Setiawan</v>
      </c>
    </row>
    <row r="794">
      <c r="A794" s="3" t="str">
        <f>IFERROR(__xludf.DUMMYFUNCTION("""COMPUTED_VALUE"""),"0082222599 / 242510270")</f>
        <v>0082222599 / 242510270</v>
      </c>
      <c r="B794" s="3" t="str">
        <f>IFERROR(__xludf.DUMMYFUNCTION("""COMPUTED_VALUE"""),"Muhammad Naufal Suryadi")</f>
        <v>Muhammad Naufal Suryadi</v>
      </c>
      <c r="C794" s="3" t="str">
        <f>IFERROR(__xludf.DUMMYFUNCTION("""COMPUTED_VALUE"""),"L")</f>
        <v>L</v>
      </c>
      <c r="D794" s="3">
        <f>IFERROR(__xludf.DUMMYFUNCTION("""COMPUTED_VALUE"""),32.0)</f>
        <v>32</v>
      </c>
      <c r="E794" s="3" t="str">
        <f>IFERROR(__xludf.DUMMYFUNCTION("""COMPUTED_VALUE"""),"XI D-2")</f>
        <v>XI D-2</v>
      </c>
      <c r="F794" s="11" t="str">
        <f>IFERROR(__xludf.DUMMYFUNCTION("""COMPUTED_VALUE"""),"32 - XI D-2 - Muhammad Naufal Suryadi")</f>
        <v>32 - XI D-2 - Muhammad Naufal Suryadi</v>
      </c>
    </row>
    <row r="795">
      <c r="A795" s="3" t="str">
        <f>IFERROR(__xludf.DUMMYFUNCTION("""COMPUTED_VALUE"""),"0096947097 / 242510277")</f>
        <v>0096947097 / 242510277</v>
      </c>
      <c r="B795" s="3" t="str">
        <f>IFERROR(__xludf.DUMMYFUNCTION("""COMPUTED_VALUE"""),"Muhammad Salman Iriansar")</f>
        <v>Muhammad Salman Iriansar</v>
      </c>
      <c r="C795" s="3" t="str">
        <f>IFERROR(__xludf.DUMMYFUNCTION("""COMPUTED_VALUE"""),"L")</f>
        <v>L</v>
      </c>
      <c r="D795" s="3">
        <f>IFERROR(__xludf.DUMMYFUNCTION("""COMPUTED_VALUE"""),32.0)</f>
        <v>32</v>
      </c>
      <c r="E795" s="3" t="str">
        <f>IFERROR(__xludf.DUMMYFUNCTION("""COMPUTED_VALUE"""),"XI D-2")</f>
        <v>XI D-2</v>
      </c>
      <c r="F795" s="11" t="str">
        <f>IFERROR(__xludf.DUMMYFUNCTION("""COMPUTED_VALUE"""),"32 - XI D-2 - Muhammad Salman Iriansar")</f>
        <v>32 - XI D-2 - Muhammad Salman Iriansar</v>
      </c>
    </row>
    <row r="796">
      <c r="A796" s="3" t="str">
        <f>IFERROR(__xludf.DUMMYFUNCTION("""COMPUTED_VALUE"""),"0088243290 / 242510285")</f>
        <v>0088243290 / 242510285</v>
      </c>
      <c r="B796" s="3" t="str">
        <f>IFERROR(__xludf.DUMMYFUNCTION("""COMPUTED_VALUE"""),"Nabilla Alya Rohhadi")</f>
        <v>Nabilla Alya Rohhadi</v>
      </c>
      <c r="C796" s="3" t="str">
        <f>IFERROR(__xludf.DUMMYFUNCTION("""COMPUTED_VALUE"""),"P")</f>
        <v>P</v>
      </c>
      <c r="D796" s="3">
        <f>IFERROR(__xludf.DUMMYFUNCTION("""COMPUTED_VALUE"""),32.0)</f>
        <v>32</v>
      </c>
      <c r="E796" s="3" t="str">
        <f>IFERROR(__xludf.DUMMYFUNCTION("""COMPUTED_VALUE"""),"XI D-2")</f>
        <v>XI D-2</v>
      </c>
      <c r="F796" s="11" t="str">
        <f>IFERROR(__xludf.DUMMYFUNCTION("""COMPUTED_VALUE"""),"32 - XI D-2 - Nabilla Alya Rohhadi")</f>
        <v>32 - XI D-2 - Nabilla Alya Rohhadi</v>
      </c>
    </row>
    <row r="797">
      <c r="A797" s="3" t="str">
        <f>IFERROR(__xludf.DUMMYFUNCTION("""COMPUTED_VALUE"""),"0083111399 / 242510305")</f>
        <v>0083111399 / 242510305</v>
      </c>
      <c r="B797" s="3" t="str">
        <f>IFERROR(__xludf.DUMMYFUNCTION("""COMPUTED_VALUE"""),"Ni Putu Nayaka Prakasayati Pasek")</f>
        <v>Ni Putu Nayaka Prakasayati Pasek</v>
      </c>
      <c r="C797" s="3" t="str">
        <f>IFERROR(__xludf.DUMMYFUNCTION("""COMPUTED_VALUE"""),"P")</f>
        <v>P</v>
      </c>
      <c r="D797" s="3">
        <f>IFERROR(__xludf.DUMMYFUNCTION("""COMPUTED_VALUE"""),32.0)</f>
        <v>32</v>
      </c>
      <c r="E797" s="3" t="str">
        <f>IFERROR(__xludf.DUMMYFUNCTION("""COMPUTED_VALUE"""),"XI D-2")</f>
        <v>XI D-2</v>
      </c>
      <c r="F797" s="11" t="str">
        <f>IFERROR(__xludf.DUMMYFUNCTION("""COMPUTED_VALUE"""),"32 - XI D-2 - Ni Putu Nayaka Prakasayati Pasek")</f>
        <v>32 - XI D-2 - Ni Putu Nayaka Prakasayati Pasek</v>
      </c>
    </row>
    <row r="798">
      <c r="A798" s="3" t="str">
        <f>IFERROR(__xludf.DUMMYFUNCTION("""COMPUTED_VALUE"""),"0098495672 / 242510327")</f>
        <v>0098495672 / 242510327</v>
      </c>
      <c r="B798" s="3" t="str">
        <f>IFERROR(__xludf.DUMMYFUNCTION("""COMPUTED_VALUE"""),"Quinsha Naura Adity")</f>
        <v>Quinsha Naura Adity</v>
      </c>
      <c r="C798" s="3" t="str">
        <f>IFERROR(__xludf.DUMMYFUNCTION("""COMPUTED_VALUE"""),"P")</f>
        <v>P</v>
      </c>
      <c r="D798" s="3">
        <f>IFERROR(__xludf.DUMMYFUNCTION("""COMPUTED_VALUE"""),32.0)</f>
        <v>32</v>
      </c>
      <c r="E798" s="3" t="str">
        <f>IFERROR(__xludf.DUMMYFUNCTION("""COMPUTED_VALUE"""),"XI D-2")</f>
        <v>XI D-2</v>
      </c>
      <c r="F798" s="11" t="str">
        <f>IFERROR(__xludf.DUMMYFUNCTION("""COMPUTED_VALUE"""),"32 - XI D-2 - Quinsha Naura Adity")</f>
        <v>32 - XI D-2 - Quinsha Naura Adity</v>
      </c>
    </row>
    <row r="799">
      <c r="A799" s="3" t="str">
        <f>IFERROR(__xludf.DUMMYFUNCTION("""COMPUTED_VALUE"""),"0087033208 / 242510335")</f>
        <v>0087033208 / 242510335</v>
      </c>
      <c r="B799" s="3" t="str">
        <f>IFERROR(__xludf.DUMMYFUNCTION("""COMPUTED_VALUE"""),"Rahel Esra Ratua Manurung")</f>
        <v>Rahel Esra Ratua Manurung</v>
      </c>
      <c r="C799" s="3" t="str">
        <f>IFERROR(__xludf.DUMMYFUNCTION("""COMPUTED_VALUE"""),"P")</f>
        <v>P</v>
      </c>
      <c r="D799" s="3">
        <f>IFERROR(__xludf.DUMMYFUNCTION("""COMPUTED_VALUE"""),32.0)</f>
        <v>32</v>
      </c>
      <c r="E799" s="3" t="str">
        <f>IFERROR(__xludf.DUMMYFUNCTION("""COMPUTED_VALUE"""),"XI D-2")</f>
        <v>XI D-2</v>
      </c>
      <c r="F799" s="11" t="str">
        <f>IFERROR(__xludf.DUMMYFUNCTION("""COMPUTED_VALUE"""),"32 - XI D-2 - Rahel Esra Ratua Manurung")</f>
        <v>32 - XI D-2 - Rahel Esra Ratua Manurung</v>
      </c>
    </row>
    <row r="800">
      <c r="A800" s="3" t="str">
        <f>IFERROR(__xludf.DUMMYFUNCTION("""COMPUTED_VALUE"""),"0087540462 / 242510365")</f>
        <v>0087540462 / 242510365</v>
      </c>
      <c r="B800" s="3" t="str">
        <f>IFERROR(__xludf.DUMMYFUNCTION("""COMPUTED_VALUE"""),"Salsabila Alfeeansyah Putri")</f>
        <v>Salsabila Alfeeansyah Putri</v>
      </c>
      <c r="C800" s="3" t="str">
        <f>IFERROR(__xludf.DUMMYFUNCTION("""COMPUTED_VALUE"""),"P")</f>
        <v>P</v>
      </c>
      <c r="D800" s="3">
        <f>IFERROR(__xludf.DUMMYFUNCTION("""COMPUTED_VALUE"""),32.0)</f>
        <v>32</v>
      </c>
      <c r="E800" s="3" t="str">
        <f>IFERROR(__xludf.DUMMYFUNCTION("""COMPUTED_VALUE"""),"XI D-2")</f>
        <v>XI D-2</v>
      </c>
      <c r="F800" s="11" t="str">
        <f>IFERROR(__xludf.DUMMYFUNCTION("""COMPUTED_VALUE"""),"32 - XI D-2 - Salsabila Alfeeansyah Putri")</f>
        <v>32 - XI D-2 - Salsabila Alfeeansyah Putri</v>
      </c>
    </row>
    <row r="801">
      <c r="A801" s="3" t="str">
        <f>IFERROR(__xludf.DUMMYFUNCTION("""COMPUTED_VALUE"""),"0098177122 / 242510370")</f>
        <v>0098177122 / 242510370</v>
      </c>
      <c r="B801" s="3" t="str">
        <f>IFERROR(__xludf.DUMMYFUNCTION("""COMPUTED_VALUE"""),"Samuel Sahat Vito Siregar")</f>
        <v>Samuel Sahat Vito Siregar</v>
      </c>
      <c r="C801" s="3" t="str">
        <f>IFERROR(__xludf.DUMMYFUNCTION("""COMPUTED_VALUE"""),"L")</f>
        <v>L</v>
      </c>
      <c r="D801" s="3">
        <f>IFERROR(__xludf.DUMMYFUNCTION("""COMPUTED_VALUE"""),32.0)</f>
        <v>32</v>
      </c>
      <c r="E801" s="3" t="str">
        <f>IFERROR(__xludf.DUMMYFUNCTION("""COMPUTED_VALUE"""),"XI D-2")</f>
        <v>XI D-2</v>
      </c>
      <c r="F801" s="11" t="str">
        <f>IFERROR(__xludf.DUMMYFUNCTION("""COMPUTED_VALUE"""),"32 - XI D-2 - Samuel Sahat Vito Siregar")</f>
        <v>32 - XI D-2 - Samuel Sahat Vito Siregar</v>
      </c>
    </row>
    <row r="802">
      <c r="A802" s="3" t="str">
        <f>IFERROR(__xludf.DUMMYFUNCTION("""COMPUTED_VALUE"""),"0084182636 / 242510376")</f>
        <v>0084182636 / 242510376</v>
      </c>
      <c r="B802" s="3" t="str">
        <f>IFERROR(__xludf.DUMMYFUNCTION("""COMPUTED_VALUE"""),"Satria Andhika Raissa")</f>
        <v>Satria Andhika Raissa</v>
      </c>
      <c r="C802" s="3" t="str">
        <f>IFERROR(__xludf.DUMMYFUNCTION("""COMPUTED_VALUE"""),"L")</f>
        <v>L</v>
      </c>
      <c r="D802" s="3">
        <f>IFERROR(__xludf.DUMMYFUNCTION("""COMPUTED_VALUE"""),32.0)</f>
        <v>32</v>
      </c>
      <c r="E802" s="3" t="str">
        <f>IFERROR(__xludf.DUMMYFUNCTION("""COMPUTED_VALUE"""),"XI D-2")</f>
        <v>XI D-2</v>
      </c>
      <c r="F802" s="11" t="str">
        <f>IFERROR(__xludf.DUMMYFUNCTION("""COMPUTED_VALUE"""),"32 - XI D-2 - Satria Andhika Raissa")</f>
        <v>32 - XI D-2 - Satria Andhika Raissa</v>
      </c>
    </row>
    <row r="803">
      <c r="A803" s="3" t="str">
        <f>IFERROR(__xludf.DUMMYFUNCTION("""COMPUTED_VALUE"""),"0092533632 / 242510397")</f>
        <v>0092533632 / 242510397</v>
      </c>
      <c r="B803" s="3" t="str">
        <f>IFERROR(__xludf.DUMMYFUNCTION("""COMPUTED_VALUE"""),"Talita Putria Cahyani")</f>
        <v>Talita Putria Cahyani</v>
      </c>
      <c r="C803" s="3" t="str">
        <f>IFERROR(__xludf.DUMMYFUNCTION("""COMPUTED_VALUE"""),"P")</f>
        <v>P</v>
      </c>
      <c r="D803" s="3">
        <f>IFERROR(__xludf.DUMMYFUNCTION("""COMPUTED_VALUE"""),32.0)</f>
        <v>32</v>
      </c>
      <c r="E803" s="3" t="str">
        <f>IFERROR(__xludf.DUMMYFUNCTION("""COMPUTED_VALUE"""),"XI D-2")</f>
        <v>XI D-2</v>
      </c>
      <c r="F803" s="11" t="str">
        <f>IFERROR(__xludf.DUMMYFUNCTION("""COMPUTED_VALUE"""),"32 - XI D-2 - Talita Putria Cahyani")</f>
        <v>32 - XI D-2 - Talita Putria Cahyani</v>
      </c>
    </row>
    <row r="804">
      <c r="A804" s="3" t="str">
        <f>IFERROR(__xludf.DUMMYFUNCTION("""COMPUTED_VALUE"""),"0089659957 / 242510418")</f>
        <v>0089659957 / 242510418</v>
      </c>
      <c r="B804" s="3" t="str">
        <f>IFERROR(__xludf.DUMMYFUNCTION("""COMPUTED_VALUE"""),"Yasmin Sakura Armawan")</f>
        <v>Yasmin Sakura Armawan</v>
      </c>
      <c r="C804" s="3" t="str">
        <f>IFERROR(__xludf.DUMMYFUNCTION("""COMPUTED_VALUE"""),"P")</f>
        <v>P</v>
      </c>
      <c r="D804" s="3">
        <f>IFERROR(__xludf.DUMMYFUNCTION("""COMPUTED_VALUE"""),32.0)</f>
        <v>32</v>
      </c>
      <c r="E804" s="3" t="str">
        <f>IFERROR(__xludf.DUMMYFUNCTION("""COMPUTED_VALUE"""),"XI D-2")</f>
        <v>XI D-2</v>
      </c>
      <c r="F804" s="11" t="str">
        <f>IFERROR(__xludf.DUMMYFUNCTION("""COMPUTED_VALUE"""),"32 - XI D-2 - Yasmin Sakura Armawan")</f>
        <v>32 - XI D-2 - Yasmin Sakura Armawan</v>
      </c>
    </row>
    <row r="805">
      <c r="A805" s="3" t="str">
        <f>IFERROR(__xludf.DUMMYFUNCTION("""COMPUTED_VALUE"""),"0094494926 / 242510419")</f>
        <v>0094494926 / 242510419</v>
      </c>
      <c r="B805" s="3" t="str">
        <f>IFERROR(__xludf.DUMMYFUNCTION("""COMPUTED_VALUE"""),"Zafarani Amalia Putri")</f>
        <v>Zafarani Amalia Putri</v>
      </c>
      <c r="C805" s="3" t="str">
        <f>IFERROR(__xludf.DUMMYFUNCTION("""COMPUTED_VALUE"""),"P")</f>
        <v>P</v>
      </c>
      <c r="D805" s="3">
        <f>IFERROR(__xludf.DUMMYFUNCTION("""COMPUTED_VALUE"""),32.0)</f>
        <v>32</v>
      </c>
      <c r="E805" s="3" t="str">
        <f>IFERROR(__xludf.DUMMYFUNCTION("""COMPUTED_VALUE"""),"XI D-2")</f>
        <v>XI D-2</v>
      </c>
      <c r="F805" s="11" t="str">
        <f>IFERROR(__xludf.DUMMYFUNCTION("""COMPUTED_VALUE"""),"32 - XI D-2 - Zafarani Amalia Putri")</f>
        <v>32 - XI D-2 - Zafarani Amalia Putri</v>
      </c>
    </row>
    <row r="806">
      <c r="A806" s="3" t="str">
        <f>IFERROR(__xludf.DUMMYFUNCTION("""COMPUTED_VALUE"""),"0083550559 / 242510422")</f>
        <v>0083550559 / 242510422</v>
      </c>
      <c r="B806" s="3" t="str">
        <f>IFERROR(__xludf.DUMMYFUNCTION("""COMPUTED_VALUE"""),"Zahra Talita Dzakira")</f>
        <v>Zahra Talita Dzakira</v>
      </c>
      <c r="C806" s="3" t="str">
        <f>IFERROR(__xludf.DUMMYFUNCTION("""COMPUTED_VALUE"""),"P")</f>
        <v>P</v>
      </c>
      <c r="D806" s="3">
        <f>IFERROR(__xludf.DUMMYFUNCTION("""COMPUTED_VALUE"""),32.0)</f>
        <v>32</v>
      </c>
      <c r="E806" s="3" t="str">
        <f>IFERROR(__xludf.DUMMYFUNCTION("""COMPUTED_VALUE"""),"XI D-2")</f>
        <v>XI D-2</v>
      </c>
      <c r="F806" s="11" t="str">
        <f>IFERROR(__xludf.DUMMYFUNCTION("""COMPUTED_VALUE"""),"32 - XI D-2 - Zahra Talita Dzakira")</f>
        <v>32 - XI D-2 - Zahra Talita Dzakira</v>
      </c>
    </row>
    <row r="807">
      <c r="A807" s="3" t="str">
        <f>IFERROR(__xludf.DUMMYFUNCTION("""COMPUTED_VALUE"""),"0086771046 / 242510427")</f>
        <v>0086771046 / 242510427</v>
      </c>
      <c r="B807" s="3" t="str">
        <f>IFERROR(__xludf.DUMMYFUNCTION("""COMPUTED_VALUE"""),"Zaskya Risqita Andriani")</f>
        <v>Zaskya Risqita Andriani</v>
      </c>
      <c r="C807" s="3" t="str">
        <f>IFERROR(__xludf.DUMMYFUNCTION("""COMPUTED_VALUE"""),"P")</f>
        <v>P</v>
      </c>
      <c r="D807" s="3">
        <f>IFERROR(__xludf.DUMMYFUNCTION("""COMPUTED_VALUE"""),32.0)</f>
        <v>32</v>
      </c>
      <c r="E807" s="3" t="str">
        <f>IFERROR(__xludf.DUMMYFUNCTION("""COMPUTED_VALUE"""),"XI D-2")</f>
        <v>XI D-2</v>
      </c>
      <c r="F807" s="11" t="str">
        <f>IFERROR(__xludf.DUMMYFUNCTION("""COMPUTED_VALUE"""),"32 - XI D-2 - Zaskya Risqita Andriani")</f>
        <v>32 - XI D-2 - Zaskya Risqita Andriani</v>
      </c>
    </row>
    <row r="808">
      <c r="A808" s="3" t="str">
        <f>IFERROR(__xludf.DUMMYFUNCTION("""COMPUTED_VALUE"""),"0098965422 / 242510431")</f>
        <v>0098965422 / 242510431</v>
      </c>
      <c r="B808" s="3" t="str">
        <f>IFERROR(__xludf.DUMMYFUNCTION("""COMPUTED_VALUE"""),"Zikra Arib Rozaan")</f>
        <v>Zikra Arib Rozaan</v>
      </c>
      <c r="C808" s="3" t="str">
        <f>IFERROR(__xludf.DUMMYFUNCTION("""COMPUTED_VALUE"""),"L")</f>
        <v>L</v>
      </c>
      <c r="D808" s="3">
        <f>IFERROR(__xludf.DUMMYFUNCTION("""COMPUTED_VALUE"""),32.0)</f>
        <v>32</v>
      </c>
      <c r="E808" s="3" t="str">
        <f>IFERROR(__xludf.DUMMYFUNCTION("""COMPUTED_VALUE"""),"XI D-2")</f>
        <v>XI D-2</v>
      </c>
      <c r="F808" s="11" t="str">
        <f>IFERROR(__xludf.DUMMYFUNCTION("""COMPUTED_VALUE"""),"32 - XI D-2 - Zikra Arib Rozaan")</f>
        <v>32 - XI D-2 - Zikra Arib Rozaan</v>
      </c>
    </row>
    <row r="809">
      <c r="A809" s="3" t="str">
        <f>IFERROR(__xludf.DUMMYFUNCTION("""COMPUTED_VALUE"""),"0091972857 / 242510003")</f>
        <v>0091972857 / 242510003</v>
      </c>
      <c r="B809" s="3" t="str">
        <f>IFERROR(__xludf.DUMMYFUNCTION("""COMPUTED_VALUE"""),"Abhista Anggoro Purnomo")</f>
        <v>Abhista Anggoro Purnomo</v>
      </c>
      <c r="C809" s="3" t="str">
        <f>IFERROR(__xludf.DUMMYFUNCTION("""COMPUTED_VALUE"""),"L")</f>
        <v>L</v>
      </c>
      <c r="D809" s="3">
        <f>IFERROR(__xludf.DUMMYFUNCTION("""COMPUTED_VALUE"""),32.0)</f>
        <v>32</v>
      </c>
      <c r="E809" s="3" t="str">
        <f>IFERROR(__xludf.DUMMYFUNCTION("""COMPUTED_VALUE"""),"XI D-3")</f>
        <v>XI D-3</v>
      </c>
      <c r="F809" s="11" t="str">
        <f>IFERROR(__xludf.DUMMYFUNCTION("""COMPUTED_VALUE"""),"32 - XI D-3 - Abhista Anggoro Purnomo")</f>
        <v>32 - XI D-3 - Abhista Anggoro Purnomo</v>
      </c>
    </row>
    <row r="810">
      <c r="A810" s="3" t="str">
        <f>IFERROR(__xludf.DUMMYFUNCTION("""COMPUTED_VALUE"""),"0099463036 / 242510012")</f>
        <v>0099463036 / 242510012</v>
      </c>
      <c r="B810" s="3" t="str">
        <f>IFERROR(__xludf.DUMMYFUNCTION("""COMPUTED_VALUE"""),"Aina Nisa Asyifa")</f>
        <v>Aina Nisa Asyifa</v>
      </c>
      <c r="C810" s="3" t="str">
        <f>IFERROR(__xludf.DUMMYFUNCTION("""COMPUTED_VALUE"""),"P")</f>
        <v>P</v>
      </c>
      <c r="D810" s="3">
        <f>IFERROR(__xludf.DUMMYFUNCTION("""COMPUTED_VALUE"""),32.0)</f>
        <v>32</v>
      </c>
      <c r="E810" s="3" t="str">
        <f>IFERROR(__xludf.DUMMYFUNCTION("""COMPUTED_VALUE"""),"XI D-3")</f>
        <v>XI D-3</v>
      </c>
      <c r="F810" s="11" t="str">
        <f>IFERROR(__xludf.DUMMYFUNCTION("""COMPUTED_VALUE"""),"32 - XI D-3 - Aina Nisa Asyifa")</f>
        <v>32 - XI D-3 - Aina Nisa Asyifa</v>
      </c>
    </row>
    <row r="811">
      <c r="A811" s="3" t="str">
        <f>IFERROR(__xludf.DUMMYFUNCTION("""COMPUTED_VALUE"""),"0084373144 / 242510032")</f>
        <v>0084373144 / 242510032</v>
      </c>
      <c r="B811" s="3" t="str">
        <f>IFERROR(__xludf.DUMMYFUNCTION("""COMPUTED_VALUE"""),"Aloysius Arthur Sinurat")</f>
        <v>Aloysius Arthur Sinurat</v>
      </c>
      <c r="C811" s="3" t="str">
        <f>IFERROR(__xludf.DUMMYFUNCTION("""COMPUTED_VALUE"""),"L")</f>
        <v>L</v>
      </c>
      <c r="D811" s="3">
        <f>IFERROR(__xludf.DUMMYFUNCTION("""COMPUTED_VALUE"""),32.0)</f>
        <v>32</v>
      </c>
      <c r="E811" s="3" t="str">
        <f>IFERROR(__xludf.DUMMYFUNCTION("""COMPUTED_VALUE"""),"XI D-3")</f>
        <v>XI D-3</v>
      </c>
      <c r="F811" s="11" t="str">
        <f>IFERROR(__xludf.DUMMYFUNCTION("""COMPUTED_VALUE"""),"32 - XI D-3 - Aloysius Arthur Sinurat")</f>
        <v>32 - XI D-3 - Aloysius Arthur Sinurat</v>
      </c>
    </row>
    <row r="812">
      <c r="A812" s="3" t="str">
        <f>IFERROR(__xludf.DUMMYFUNCTION("""COMPUTED_VALUE"""),"0092027940 / 242510034")</f>
        <v>0092027940 / 242510034</v>
      </c>
      <c r="B812" s="3" t="str">
        <f>IFERROR(__xludf.DUMMYFUNCTION("""COMPUTED_VALUE"""),"Aluna Kalila Fauzan")</f>
        <v>Aluna Kalila Fauzan</v>
      </c>
      <c r="C812" s="3" t="str">
        <f>IFERROR(__xludf.DUMMYFUNCTION("""COMPUTED_VALUE"""),"P")</f>
        <v>P</v>
      </c>
      <c r="D812" s="3">
        <f>IFERROR(__xludf.DUMMYFUNCTION("""COMPUTED_VALUE"""),32.0)</f>
        <v>32</v>
      </c>
      <c r="E812" s="3" t="str">
        <f>IFERROR(__xludf.DUMMYFUNCTION("""COMPUTED_VALUE"""),"XI D-3")</f>
        <v>XI D-3</v>
      </c>
      <c r="F812" s="11" t="str">
        <f>IFERROR(__xludf.DUMMYFUNCTION("""COMPUTED_VALUE"""),"32 - XI D-3 - Aluna Kalila Fauzan")</f>
        <v>32 - XI D-3 - Aluna Kalila Fauzan</v>
      </c>
    </row>
    <row r="813">
      <c r="A813" s="3" t="str">
        <f>IFERROR(__xludf.DUMMYFUNCTION("""COMPUTED_VALUE"""),"0097798929 / 242510045")</f>
        <v>0097798929 / 242510045</v>
      </c>
      <c r="B813" s="3" t="str">
        <f>IFERROR(__xludf.DUMMYFUNCTION("""COMPUTED_VALUE"""),"Anida Dewi Anjani")</f>
        <v>Anida Dewi Anjani</v>
      </c>
      <c r="C813" s="3" t="str">
        <f>IFERROR(__xludf.DUMMYFUNCTION("""COMPUTED_VALUE"""),"P")</f>
        <v>P</v>
      </c>
      <c r="D813" s="3">
        <f>IFERROR(__xludf.DUMMYFUNCTION("""COMPUTED_VALUE"""),32.0)</f>
        <v>32</v>
      </c>
      <c r="E813" s="3" t="str">
        <f>IFERROR(__xludf.DUMMYFUNCTION("""COMPUTED_VALUE"""),"XI D-3")</f>
        <v>XI D-3</v>
      </c>
      <c r="F813" s="11" t="str">
        <f>IFERROR(__xludf.DUMMYFUNCTION("""COMPUTED_VALUE"""),"32 - XI D-3 - Anida Dewi Anjani")</f>
        <v>32 - XI D-3 - Anida Dewi Anjani</v>
      </c>
    </row>
    <row r="814">
      <c r="A814" s="3" t="str">
        <f>IFERROR(__xludf.DUMMYFUNCTION("""COMPUTED_VALUE"""),"0092388902 / 242510053")</f>
        <v>0092388902 / 242510053</v>
      </c>
      <c r="B814" s="3" t="str">
        <f>IFERROR(__xludf.DUMMYFUNCTION("""COMPUTED_VALUE"""),"Aqila Khairunnisa Putri")</f>
        <v>Aqila Khairunnisa Putri</v>
      </c>
      <c r="C814" s="3" t="str">
        <f>IFERROR(__xludf.DUMMYFUNCTION("""COMPUTED_VALUE"""),"P")</f>
        <v>P</v>
      </c>
      <c r="D814" s="3">
        <f>IFERROR(__xludf.DUMMYFUNCTION("""COMPUTED_VALUE"""),32.0)</f>
        <v>32</v>
      </c>
      <c r="E814" s="3" t="str">
        <f>IFERROR(__xludf.DUMMYFUNCTION("""COMPUTED_VALUE"""),"XI D-3")</f>
        <v>XI D-3</v>
      </c>
      <c r="F814" s="11" t="str">
        <f>IFERROR(__xludf.DUMMYFUNCTION("""COMPUTED_VALUE"""),"32 - XI D-3 - Aqila Khairunnisa Putri")</f>
        <v>32 - XI D-3 - Aqila Khairunnisa Putri</v>
      </c>
    </row>
    <row r="815">
      <c r="A815" s="3" t="str">
        <f>IFERROR(__xludf.DUMMYFUNCTION("""COMPUTED_VALUE"""),"0092260536 / 242510063")</f>
        <v>0092260536 / 242510063</v>
      </c>
      <c r="B815" s="3" t="str">
        <f>IFERROR(__xludf.DUMMYFUNCTION("""COMPUTED_VALUE"""),"Athalia Mayrossa Kenzie")</f>
        <v>Athalia Mayrossa Kenzie</v>
      </c>
      <c r="C815" s="3" t="str">
        <f>IFERROR(__xludf.DUMMYFUNCTION("""COMPUTED_VALUE"""),"P")</f>
        <v>P</v>
      </c>
      <c r="D815" s="3">
        <f>IFERROR(__xludf.DUMMYFUNCTION("""COMPUTED_VALUE"""),32.0)</f>
        <v>32</v>
      </c>
      <c r="E815" s="3" t="str">
        <f>IFERROR(__xludf.DUMMYFUNCTION("""COMPUTED_VALUE"""),"XI D-3")</f>
        <v>XI D-3</v>
      </c>
      <c r="F815" s="11" t="str">
        <f>IFERROR(__xludf.DUMMYFUNCTION("""COMPUTED_VALUE"""),"32 - XI D-3 - Athalia Mayrossa Kenzie")</f>
        <v>32 - XI D-3 - Athalia Mayrossa Kenzie</v>
      </c>
    </row>
    <row r="816">
      <c r="A816" s="3" t="str">
        <f>IFERROR(__xludf.DUMMYFUNCTION("""COMPUTED_VALUE"""),"0092404259 / 242510067")</f>
        <v>0092404259 / 242510067</v>
      </c>
      <c r="B816" s="3" t="str">
        <f>IFERROR(__xludf.DUMMYFUNCTION("""COMPUTED_VALUE"""),"Aulia Putri Syafira")</f>
        <v>Aulia Putri Syafira</v>
      </c>
      <c r="C816" s="3" t="str">
        <f>IFERROR(__xludf.DUMMYFUNCTION("""COMPUTED_VALUE"""),"P")</f>
        <v>P</v>
      </c>
      <c r="D816" s="3">
        <f>IFERROR(__xludf.DUMMYFUNCTION("""COMPUTED_VALUE"""),32.0)</f>
        <v>32</v>
      </c>
      <c r="E816" s="3" t="str">
        <f>IFERROR(__xludf.DUMMYFUNCTION("""COMPUTED_VALUE"""),"XI D-3")</f>
        <v>XI D-3</v>
      </c>
      <c r="F816" s="11" t="str">
        <f>IFERROR(__xludf.DUMMYFUNCTION("""COMPUTED_VALUE"""),"32 - XI D-3 - Aulia Putri Syafira")</f>
        <v>32 - XI D-3 - Aulia Putri Syafira</v>
      </c>
    </row>
    <row r="817">
      <c r="A817" s="3" t="str">
        <f>IFERROR(__xludf.DUMMYFUNCTION("""COMPUTED_VALUE"""),"0086475767 / 242510068")</f>
        <v>0086475767 / 242510068</v>
      </c>
      <c r="B817" s="3" t="str">
        <f>IFERROR(__xludf.DUMMYFUNCTION("""COMPUTED_VALUE"""),"Aulia Rahmaditia Danang")</f>
        <v>Aulia Rahmaditia Danang</v>
      </c>
      <c r="C817" s="3" t="str">
        <f>IFERROR(__xludf.DUMMYFUNCTION("""COMPUTED_VALUE"""),"P")</f>
        <v>P</v>
      </c>
      <c r="D817" s="3">
        <f>IFERROR(__xludf.DUMMYFUNCTION("""COMPUTED_VALUE"""),32.0)</f>
        <v>32</v>
      </c>
      <c r="E817" s="3" t="str">
        <f>IFERROR(__xludf.DUMMYFUNCTION("""COMPUTED_VALUE"""),"XI D-3")</f>
        <v>XI D-3</v>
      </c>
      <c r="F817" s="11" t="str">
        <f>IFERROR(__xludf.DUMMYFUNCTION("""COMPUTED_VALUE"""),"32 - XI D-3 - Aulia Rahmaditia Danang")</f>
        <v>32 - XI D-3 - Aulia Rahmaditia Danang</v>
      </c>
    </row>
    <row r="818">
      <c r="A818" s="3" t="str">
        <f>IFERROR(__xludf.DUMMYFUNCTION("""COMPUTED_VALUE"""),"0099130384 / 242510073")</f>
        <v>0099130384 / 242510073</v>
      </c>
      <c r="B818" s="3" t="str">
        <f>IFERROR(__xludf.DUMMYFUNCTION("""COMPUTED_VALUE"""),"Aurellia Odelina Askanah Han")</f>
        <v>Aurellia Odelina Askanah Han</v>
      </c>
      <c r="C818" s="3" t="str">
        <f>IFERROR(__xludf.DUMMYFUNCTION("""COMPUTED_VALUE"""),"P")</f>
        <v>P</v>
      </c>
      <c r="D818" s="3">
        <f>IFERROR(__xludf.DUMMYFUNCTION("""COMPUTED_VALUE"""),32.0)</f>
        <v>32</v>
      </c>
      <c r="E818" s="3" t="str">
        <f>IFERROR(__xludf.DUMMYFUNCTION("""COMPUTED_VALUE"""),"XI D-3")</f>
        <v>XI D-3</v>
      </c>
      <c r="F818" s="11" t="str">
        <f>IFERROR(__xludf.DUMMYFUNCTION("""COMPUTED_VALUE"""),"32 - XI D-3 - Aurellia Odelina Askanah Han")</f>
        <v>32 - XI D-3 - Aurellia Odelina Askanah Han</v>
      </c>
    </row>
    <row r="819">
      <c r="A819" s="3" t="str">
        <f>IFERROR(__xludf.DUMMYFUNCTION("""COMPUTED_VALUE"""),"0097660827 / 242510081")</f>
        <v>0097660827 / 242510081</v>
      </c>
      <c r="B819" s="3" t="str">
        <f>IFERROR(__xludf.DUMMYFUNCTION("""COMPUTED_VALUE"""),"Banuwarman")</f>
        <v>Banuwarman</v>
      </c>
      <c r="C819" s="3" t="str">
        <f>IFERROR(__xludf.DUMMYFUNCTION("""COMPUTED_VALUE"""),"L")</f>
        <v>L</v>
      </c>
      <c r="D819" s="3">
        <f>IFERROR(__xludf.DUMMYFUNCTION("""COMPUTED_VALUE"""),32.0)</f>
        <v>32</v>
      </c>
      <c r="E819" s="3" t="str">
        <f>IFERROR(__xludf.DUMMYFUNCTION("""COMPUTED_VALUE"""),"XI D-3")</f>
        <v>XI D-3</v>
      </c>
      <c r="F819" s="11" t="str">
        <f>IFERROR(__xludf.DUMMYFUNCTION("""COMPUTED_VALUE"""),"32 - XI D-3 - Banuwarman")</f>
        <v>32 - XI D-3 - Banuwarman</v>
      </c>
    </row>
    <row r="820">
      <c r="A820" s="3" t="str">
        <f>IFERROR(__xludf.DUMMYFUNCTION("""COMPUTED_VALUE"""),"0096109567 / 242510084")</f>
        <v>0096109567 / 242510084</v>
      </c>
      <c r="B820" s="3" t="str">
        <f>IFERROR(__xludf.DUMMYFUNCTION("""COMPUTED_VALUE"""),"Bilqis Khumairah Putri")</f>
        <v>Bilqis Khumairah Putri</v>
      </c>
      <c r="C820" s="3" t="str">
        <f>IFERROR(__xludf.DUMMYFUNCTION("""COMPUTED_VALUE"""),"P")</f>
        <v>P</v>
      </c>
      <c r="D820" s="3">
        <f>IFERROR(__xludf.DUMMYFUNCTION("""COMPUTED_VALUE"""),32.0)</f>
        <v>32</v>
      </c>
      <c r="E820" s="3" t="str">
        <f>IFERROR(__xludf.DUMMYFUNCTION("""COMPUTED_VALUE"""),"XI D-3")</f>
        <v>XI D-3</v>
      </c>
      <c r="F820" s="11" t="str">
        <f>IFERROR(__xludf.DUMMYFUNCTION("""COMPUTED_VALUE"""),"32 - XI D-3 - Bilqis Khumairah Putri")</f>
        <v>32 - XI D-3 - Bilqis Khumairah Putri</v>
      </c>
    </row>
    <row r="821">
      <c r="A821" s="3" t="str">
        <f>IFERROR(__xludf.DUMMYFUNCTION("""COMPUTED_VALUE"""),"0095745176 / 242510087")</f>
        <v>0095745176 / 242510087</v>
      </c>
      <c r="B821" s="3" t="str">
        <f>IFERROR(__xludf.DUMMYFUNCTION("""COMPUTED_VALUE"""),"Bumi Raffah Al Islahi")</f>
        <v>Bumi Raffah Al Islahi</v>
      </c>
      <c r="C821" s="3" t="str">
        <f>IFERROR(__xludf.DUMMYFUNCTION("""COMPUTED_VALUE"""),"P")</f>
        <v>P</v>
      </c>
      <c r="D821" s="3">
        <f>IFERROR(__xludf.DUMMYFUNCTION("""COMPUTED_VALUE"""),32.0)</f>
        <v>32</v>
      </c>
      <c r="E821" s="3" t="str">
        <f>IFERROR(__xludf.DUMMYFUNCTION("""COMPUTED_VALUE"""),"XI D-3")</f>
        <v>XI D-3</v>
      </c>
      <c r="F821" s="11" t="str">
        <f>IFERROR(__xludf.DUMMYFUNCTION("""COMPUTED_VALUE"""),"32 - XI D-3 - Bumi Raffah Al Islahi")</f>
        <v>32 - XI D-3 - Bumi Raffah Al Islahi</v>
      </c>
    </row>
    <row r="822">
      <c r="A822" s="3" t="str">
        <f>IFERROR(__xludf.DUMMYFUNCTION("""COMPUTED_VALUE"""),"0091234811 / 242510090")</f>
        <v>0091234811 / 242510090</v>
      </c>
      <c r="B822" s="3" t="str">
        <f>IFERROR(__xludf.DUMMYFUNCTION("""COMPUTED_VALUE"""),"Cemara Anggraeny")</f>
        <v>Cemara Anggraeny</v>
      </c>
      <c r="C822" s="3" t="str">
        <f>IFERROR(__xludf.DUMMYFUNCTION("""COMPUTED_VALUE"""),"P")</f>
        <v>P</v>
      </c>
      <c r="D822" s="3">
        <f>IFERROR(__xludf.DUMMYFUNCTION("""COMPUTED_VALUE"""),32.0)</f>
        <v>32</v>
      </c>
      <c r="E822" s="3" t="str">
        <f>IFERROR(__xludf.DUMMYFUNCTION("""COMPUTED_VALUE"""),"XI D-3")</f>
        <v>XI D-3</v>
      </c>
      <c r="F822" s="11" t="str">
        <f>IFERROR(__xludf.DUMMYFUNCTION("""COMPUTED_VALUE"""),"32 - XI D-3 - Cemara Anggraeny")</f>
        <v>32 - XI D-3 - Cemara Anggraeny</v>
      </c>
    </row>
    <row r="823">
      <c r="A823" s="3" t="str">
        <f>IFERROR(__xludf.DUMMYFUNCTION("""COMPUTED_VALUE"""),"0091342789 / 242510094")</f>
        <v>0091342789 / 242510094</v>
      </c>
      <c r="B823" s="3" t="str">
        <f>IFERROR(__xludf.DUMMYFUNCTION("""COMPUTED_VALUE"""),"Chiara Anggun Dameyanti Sirait")</f>
        <v>Chiara Anggun Dameyanti Sirait</v>
      </c>
      <c r="C823" s="3" t="str">
        <f>IFERROR(__xludf.DUMMYFUNCTION("""COMPUTED_VALUE"""),"P")</f>
        <v>P</v>
      </c>
      <c r="D823" s="3">
        <f>IFERROR(__xludf.DUMMYFUNCTION("""COMPUTED_VALUE"""),32.0)</f>
        <v>32</v>
      </c>
      <c r="E823" s="3" t="str">
        <f>IFERROR(__xludf.DUMMYFUNCTION("""COMPUTED_VALUE"""),"XI D-3")</f>
        <v>XI D-3</v>
      </c>
      <c r="F823" s="11" t="str">
        <f>IFERROR(__xludf.DUMMYFUNCTION("""COMPUTED_VALUE"""),"32 - XI D-3 - Chiara Anggun Dameyanti Sirait")</f>
        <v>32 - XI D-3 - Chiara Anggun Dameyanti Sirait</v>
      </c>
    </row>
    <row r="824">
      <c r="A824" s="3" t="str">
        <f>IFERROR(__xludf.DUMMYFUNCTION("""COMPUTED_VALUE"""),"0082284975 / 242510115")</f>
        <v>0082284975 / 242510115</v>
      </c>
      <c r="B824" s="3" t="str">
        <f>IFERROR(__xludf.DUMMYFUNCTION("""COMPUTED_VALUE"""),"Disya Cahaya Carrisa")</f>
        <v>Disya Cahaya Carrisa</v>
      </c>
      <c r="C824" s="3" t="str">
        <f>IFERROR(__xludf.DUMMYFUNCTION("""COMPUTED_VALUE"""),"P")</f>
        <v>P</v>
      </c>
      <c r="D824" s="3">
        <f>IFERROR(__xludf.DUMMYFUNCTION("""COMPUTED_VALUE"""),32.0)</f>
        <v>32</v>
      </c>
      <c r="E824" s="3" t="str">
        <f>IFERROR(__xludf.DUMMYFUNCTION("""COMPUTED_VALUE"""),"XI D-3")</f>
        <v>XI D-3</v>
      </c>
      <c r="F824" s="11" t="str">
        <f>IFERROR(__xludf.DUMMYFUNCTION("""COMPUTED_VALUE"""),"32 - XI D-3 - Disya Cahaya Carrisa")</f>
        <v>32 - XI D-3 - Disya Cahaya Carrisa</v>
      </c>
    </row>
    <row r="825">
      <c r="A825" s="3" t="str">
        <f>IFERROR(__xludf.DUMMYFUNCTION("""COMPUTED_VALUE"""),"0096026876 / 242510137")</f>
        <v>0096026876 / 242510137</v>
      </c>
      <c r="B825" s="3" t="str">
        <f>IFERROR(__xludf.DUMMYFUNCTION("""COMPUTED_VALUE"""),"Farrel Luthfi Arviansyah")</f>
        <v>Farrel Luthfi Arviansyah</v>
      </c>
      <c r="C825" s="3" t="str">
        <f>IFERROR(__xludf.DUMMYFUNCTION("""COMPUTED_VALUE"""),"L")</f>
        <v>L</v>
      </c>
      <c r="D825" s="3">
        <f>IFERROR(__xludf.DUMMYFUNCTION("""COMPUTED_VALUE"""),32.0)</f>
        <v>32</v>
      </c>
      <c r="E825" s="3" t="str">
        <f>IFERROR(__xludf.DUMMYFUNCTION("""COMPUTED_VALUE"""),"XI D-3")</f>
        <v>XI D-3</v>
      </c>
      <c r="F825" s="11" t="str">
        <f>IFERROR(__xludf.DUMMYFUNCTION("""COMPUTED_VALUE"""),"32 - XI D-3 - Farrel Luthfi Arviansyah")</f>
        <v>32 - XI D-3 - Farrel Luthfi Arviansyah</v>
      </c>
    </row>
    <row r="826">
      <c r="A826" s="3" t="str">
        <f>IFERROR(__xludf.DUMMYFUNCTION("""COMPUTED_VALUE"""),"0097494303 / 242510150")</f>
        <v>0097494303 / 242510150</v>
      </c>
      <c r="B826" s="3" t="str">
        <f>IFERROR(__xludf.DUMMYFUNCTION("""COMPUTED_VALUE"""),"Ghina Yumna")</f>
        <v>Ghina Yumna</v>
      </c>
      <c r="C826" s="3" t="str">
        <f>IFERROR(__xludf.DUMMYFUNCTION("""COMPUTED_VALUE"""),"P")</f>
        <v>P</v>
      </c>
      <c r="D826" s="3">
        <f>IFERROR(__xludf.DUMMYFUNCTION("""COMPUTED_VALUE"""),32.0)</f>
        <v>32</v>
      </c>
      <c r="E826" s="3" t="str">
        <f>IFERROR(__xludf.DUMMYFUNCTION("""COMPUTED_VALUE"""),"XI D-3")</f>
        <v>XI D-3</v>
      </c>
      <c r="F826" s="11" t="str">
        <f>IFERROR(__xludf.DUMMYFUNCTION("""COMPUTED_VALUE"""),"32 - XI D-3 - Ghina Yumna")</f>
        <v>32 - XI D-3 - Ghina Yumna</v>
      </c>
    </row>
    <row r="827">
      <c r="A827" s="3" t="str">
        <f>IFERROR(__xludf.DUMMYFUNCTION("""COMPUTED_VALUE"""),"0091325828 / 242510155")</f>
        <v>0091325828 / 242510155</v>
      </c>
      <c r="B827" s="3" t="str">
        <f>IFERROR(__xludf.DUMMYFUNCTION("""COMPUTED_VALUE"""),"Grasela Riyanti")</f>
        <v>Grasela Riyanti</v>
      </c>
      <c r="C827" s="3" t="str">
        <f>IFERROR(__xludf.DUMMYFUNCTION("""COMPUTED_VALUE"""),"P")</f>
        <v>P</v>
      </c>
      <c r="D827" s="3">
        <f>IFERROR(__xludf.DUMMYFUNCTION("""COMPUTED_VALUE"""),32.0)</f>
        <v>32</v>
      </c>
      <c r="E827" s="3" t="str">
        <f>IFERROR(__xludf.DUMMYFUNCTION("""COMPUTED_VALUE"""),"XI D-3")</f>
        <v>XI D-3</v>
      </c>
      <c r="F827" s="11" t="str">
        <f>IFERROR(__xludf.DUMMYFUNCTION("""COMPUTED_VALUE"""),"32 - XI D-3 - Grasela Riyanti")</f>
        <v>32 - XI D-3 - Grasela Riyanti</v>
      </c>
    </row>
    <row r="828">
      <c r="A828" s="3" t="str">
        <f>IFERROR(__xludf.DUMMYFUNCTION("""COMPUTED_VALUE"""),"0099418331 / 242510190")</f>
        <v>0099418331 / 242510190</v>
      </c>
      <c r="B828" s="3" t="str">
        <f>IFERROR(__xludf.DUMMYFUNCTION("""COMPUTED_VALUE"""),"Keisya Nurmaulida")</f>
        <v>Keisya Nurmaulida</v>
      </c>
      <c r="C828" s="3" t="str">
        <f>IFERROR(__xludf.DUMMYFUNCTION("""COMPUTED_VALUE"""),"P")</f>
        <v>P</v>
      </c>
      <c r="D828" s="3">
        <f>IFERROR(__xludf.DUMMYFUNCTION("""COMPUTED_VALUE"""),32.0)</f>
        <v>32</v>
      </c>
      <c r="E828" s="3" t="str">
        <f>IFERROR(__xludf.DUMMYFUNCTION("""COMPUTED_VALUE"""),"XI D-3")</f>
        <v>XI D-3</v>
      </c>
      <c r="F828" s="11" t="str">
        <f>IFERROR(__xludf.DUMMYFUNCTION("""COMPUTED_VALUE"""),"32 - XI D-3 - Keisya Nurmaulida")</f>
        <v>32 - XI D-3 - Keisya Nurmaulida</v>
      </c>
    </row>
    <row r="829">
      <c r="A829" s="3" t="str">
        <f>IFERROR(__xludf.DUMMYFUNCTION("""COMPUTED_VALUE"""),"0098415432 / 242510196")</f>
        <v>0098415432 / 242510196</v>
      </c>
      <c r="B829" s="3" t="str">
        <f>IFERROR(__xludf.DUMMYFUNCTION("""COMPUTED_VALUE"""),"Kezia Aulia Hattalaibessij")</f>
        <v>Kezia Aulia Hattalaibessij</v>
      </c>
      <c r="C829" s="3" t="str">
        <f>IFERROR(__xludf.DUMMYFUNCTION("""COMPUTED_VALUE"""),"P")</f>
        <v>P</v>
      </c>
      <c r="D829" s="3">
        <f>IFERROR(__xludf.DUMMYFUNCTION("""COMPUTED_VALUE"""),32.0)</f>
        <v>32</v>
      </c>
      <c r="E829" s="3" t="str">
        <f>IFERROR(__xludf.DUMMYFUNCTION("""COMPUTED_VALUE"""),"XI D-3")</f>
        <v>XI D-3</v>
      </c>
      <c r="F829" s="11" t="str">
        <f>IFERROR(__xludf.DUMMYFUNCTION("""COMPUTED_VALUE"""),"32 - XI D-3 - Kezia Aulia Hattalaibessij")</f>
        <v>32 - XI D-3 - Kezia Aulia Hattalaibessij</v>
      </c>
    </row>
    <row r="830">
      <c r="A830" s="3" t="str">
        <f>IFERROR(__xludf.DUMMYFUNCTION("""COMPUTED_VALUE"""),"3082881499 / 242510243")</f>
        <v>3082881499 / 242510243</v>
      </c>
      <c r="B830" s="3" t="str">
        <f>IFERROR(__xludf.DUMMYFUNCTION("""COMPUTED_VALUE"""),"Muhamad Ikmal")</f>
        <v>Muhamad Ikmal</v>
      </c>
      <c r="C830" s="3" t="str">
        <f>IFERROR(__xludf.DUMMYFUNCTION("""COMPUTED_VALUE"""),"L")</f>
        <v>L</v>
      </c>
      <c r="D830" s="3">
        <f>IFERROR(__xludf.DUMMYFUNCTION("""COMPUTED_VALUE"""),32.0)</f>
        <v>32</v>
      </c>
      <c r="E830" s="3" t="str">
        <f>IFERROR(__xludf.DUMMYFUNCTION("""COMPUTED_VALUE"""),"XI D-3")</f>
        <v>XI D-3</v>
      </c>
      <c r="F830" s="11" t="str">
        <f>IFERROR(__xludf.DUMMYFUNCTION("""COMPUTED_VALUE"""),"32 - XI D-3 - Muhamad Ikmal")</f>
        <v>32 - XI D-3 - Muhamad Ikmal</v>
      </c>
    </row>
    <row r="831">
      <c r="A831" s="3" t="str">
        <f>IFERROR(__xludf.DUMMYFUNCTION("""COMPUTED_VALUE"""),"0084468197 / 242510246")</f>
        <v>0084468197 / 242510246</v>
      </c>
      <c r="B831" s="3" t="str">
        <f>IFERROR(__xludf.DUMMYFUNCTION("""COMPUTED_VALUE"""),"Muhamad Zahran Ramadhan")</f>
        <v>Muhamad Zahran Ramadhan</v>
      </c>
      <c r="C831" s="3" t="str">
        <f>IFERROR(__xludf.DUMMYFUNCTION("""COMPUTED_VALUE"""),"L")</f>
        <v>L</v>
      </c>
      <c r="D831" s="3">
        <f>IFERROR(__xludf.DUMMYFUNCTION("""COMPUTED_VALUE"""),32.0)</f>
        <v>32</v>
      </c>
      <c r="E831" s="3" t="str">
        <f>IFERROR(__xludf.DUMMYFUNCTION("""COMPUTED_VALUE"""),"XI D-3")</f>
        <v>XI D-3</v>
      </c>
      <c r="F831" s="11" t="str">
        <f>IFERROR(__xludf.DUMMYFUNCTION("""COMPUTED_VALUE"""),"32 - XI D-3 - Muhamad Zahran Ramadhan")</f>
        <v>32 - XI D-3 - Muhamad Zahran Ramadhan</v>
      </c>
    </row>
    <row r="832">
      <c r="A832" s="3" t="str">
        <f>IFERROR(__xludf.DUMMYFUNCTION("""COMPUTED_VALUE"""),"0095554126 / 242510253")</f>
        <v>0095554126 / 242510253</v>
      </c>
      <c r="B832" s="3" t="str">
        <f>IFERROR(__xludf.DUMMYFUNCTION("""COMPUTED_VALUE"""),"Muhammad Bagus Haryo Pratama")</f>
        <v>Muhammad Bagus Haryo Pratama</v>
      </c>
      <c r="C832" s="3" t="str">
        <f>IFERROR(__xludf.DUMMYFUNCTION("""COMPUTED_VALUE"""),"L")</f>
        <v>L</v>
      </c>
      <c r="D832" s="3">
        <f>IFERROR(__xludf.DUMMYFUNCTION("""COMPUTED_VALUE"""),32.0)</f>
        <v>32</v>
      </c>
      <c r="E832" s="3" t="str">
        <f>IFERROR(__xludf.DUMMYFUNCTION("""COMPUTED_VALUE"""),"XI D-3")</f>
        <v>XI D-3</v>
      </c>
      <c r="F832" s="11" t="str">
        <f>IFERROR(__xludf.DUMMYFUNCTION("""COMPUTED_VALUE"""),"32 - XI D-3 - Muhammad Bagus Haryo Pratama")</f>
        <v>32 - XI D-3 - Muhammad Bagus Haryo Pratama</v>
      </c>
    </row>
    <row r="833">
      <c r="A833" s="3" t="str">
        <f>IFERROR(__xludf.DUMMYFUNCTION("""COMPUTED_VALUE"""),"0095029451 / 242510255")</f>
        <v>0095029451 / 242510255</v>
      </c>
      <c r="B833" s="3" t="str">
        <f>IFERROR(__xludf.DUMMYFUNCTION("""COMPUTED_VALUE"""),"Muhammad Daffa Rifai")</f>
        <v>Muhammad Daffa Rifai</v>
      </c>
      <c r="C833" s="3" t="str">
        <f>IFERROR(__xludf.DUMMYFUNCTION("""COMPUTED_VALUE"""),"L")</f>
        <v>L</v>
      </c>
      <c r="D833" s="3">
        <f>IFERROR(__xludf.DUMMYFUNCTION("""COMPUTED_VALUE"""),32.0)</f>
        <v>32</v>
      </c>
      <c r="E833" s="3" t="str">
        <f>IFERROR(__xludf.DUMMYFUNCTION("""COMPUTED_VALUE"""),"XI D-3")</f>
        <v>XI D-3</v>
      </c>
      <c r="F833" s="11" t="str">
        <f>IFERROR(__xludf.DUMMYFUNCTION("""COMPUTED_VALUE"""),"32 - XI D-3 - Muhammad Daffa Rifai")</f>
        <v>32 - XI D-3 - Muhammad Daffa Rifai</v>
      </c>
    </row>
    <row r="834">
      <c r="A834" s="3" t="str">
        <f>IFERROR(__xludf.DUMMYFUNCTION("""COMPUTED_VALUE"""),"0084998907 / 242510273")</f>
        <v>0084998907 / 242510273</v>
      </c>
      <c r="B834" s="3" t="str">
        <f>IFERROR(__xludf.DUMMYFUNCTION("""COMPUTED_VALUE"""),"Muhammad Rifqi Hadzami")</f>
        <v>Muhammad Rifqi Hadzami</v>
      </c>
      <c r="C834" s="3" t="str">
        <f>IFERROR(__xludf.DUMMYFUNCTION("""COMPUTED_VALUE"""),"L")</f>
        <v>L</v>
      </c>
      <c r="D834" s="3">
        <f>IFERROR(__xludf.DUMMYFUNCTION("""COMPUTED_VALUE"""),32.0)</f>
        <v>32</v>
      </c>
      <c r="E834" s="3" t="str">
        <f>IFERROR(__xludf.DUMMYFUNCTION("""COMPUTED_VALUE"""),"XI D-3")</f>
        <v>XI D-3</v>
      </c>
      <c r="F834" s="11" t="str">
        <f>IFERROR(__xludf.DUMMYFUNCTION("""COMPUTED_VALUE"""),"32 - XI D-3 - Muhammad Rifqi Hadzami")</f>
        <v>32 - XI D-3 - Muhammad Rifqi Hadzami</v>
      </c>
    </row>
    <row r="835">
      <c r="A835" s="3" t="str">
        <f>IFERROR(__xludf.DUMMYFUNCTION("""COMPUTED_VALUE"""),"3097947979 / 242510280")</f>
        <v>3097947979 / 242510280</v>
      </c>
      <c r="B835" s="3" t="str">
        <f>IFERROR(__xludf.DUMMYFUNCTION("""COMPUTED_VALUE"""),"Muhammad Yusril Ihza Bustomi")</f>
        <v>Muhammad Yusril Ihza Bustomi</v>
      </c>
      <c r="C835" s="3" t="str">
        <f>IFERROR(__xludf.DUMMYFUNCTION("""COMPUTED_VALUE"""),"L")</f>
        <v>L</v>
      </c>
      <c r="D835" s="3">
        <f>IFERROR(__xludf.DUMMYFUNCTION("""COMPUTED_VALUE"""),32.0)</f>
        <v>32</v>
      </c>
      <c r="E835" s="3" t="str">
        <f>IFERROR(__xludf.DUMMYFUNCTION("""COMPUTED_VALUE"""),"XI D-3")</f>
        <v>XI D-3</v>
      </c>
      <c r="F835" s="11" t="str">
        <f>IFERROR(__xludf.DUMMYFUNCTION("""COMPUTED_VALUE"""),"32 - XI D-3 - Muhammad Yusril Ihza Bustomi")</f>
        <v>32 - XI D-3 - Muhammad Yusril Ihza Bustomi</v>
      </c>
    </row>
    <row r="836">
      <c r="A836" s="3" t="str">
        <f>IFERROR(__xludf.DUMMYFUNCTION("""COMPUTED_VALUE"""),"0091225757 / 242510288")</f>
        <v>0091225757 / 242510288</v>
      </c>
      <c r="B836" s="3" t="str">
        <f>IFERROR(__xludf.DUMMYFUNCTION("""COMPUTED_VALUE"""),"Nadya Fayza Aulia")</f>
        <v>Nadya Fayza Aulia</v>
      </c>
      <c r="C836" s="3" t="str">
        <f>IFERROR(__xludf.DUMMYFUNCTION("""COMPUTED_VALUE"""),"P")</f>
        <v>P</v>
      </c>
      <c r="D836" s="3">
        <f>IFERROR(__xludf.DUMMYFUNCTION("""COMPUTED_VALUE"""),32.0)</f>
        <v>32</v>
      </c>
      <c r="E836" s="3" t="str">
        <f>IFERROR(__xludf.DUMMYFUNCTION("""COMPUTED_VALUE"""),"XI D-3")</f>
        <v>XI D-3</v>
      </c>
      <c r="F836" s="11" t="str">
        <f>IFERROR(__xludf.DUMMYFUNCTION("""COMPUTED_VALUE"""),"32 - XI D-3 - Nadya Fayza Aulia")</f>
        <v>32 - XI D-3 - Nadya Fayza Aulia</v>
      </c>
    </row>
    <row r="837">
      <c r="A837" s="3" t="str">
        <f>IFERROR(__xludf.DUMMYFUNCTION("""COMPUTED_VALUE"""),"0099551790 / 242510296")</f>
        <v>0099551790 / 242510296</v>
      </c>
      <c r="B837" s="3" t="str">
        <f>IFERROR(__xludf.DUMMYFUNCTION("""COMPUTED_VALUE"""),"Naurah Khansa Wibawa")</f>
        <v>Naurah Khansa Wibawa</v>
      </c>
      <c r="C837" s="3" t="str">
        <f>IFERROR(__xludf.DUMMYFUNCTION("""COMPUTED_VALUE"""),"P")</f>
        <v>P</v>
      </c>
      <c r="D837" s="3">
        <f>IFERROR(__xludf.DUMMYFUNCTION("""COMPUTED_VALUE"""),32.0)</f>
        <v>32</v>
      </c>
      <c r="E837" s="3" t="str">
        <f>IFERROR(__xludf.DUMMYFUNCTION("""COMPUTED_VALUE"""),"XI D-3")</f>
        <v>XI D-3</v>
      </c>
      <c r="F837" s="11" t="str">
        <f>IFERROR(__xludf.DUMMYFUNCTION("""COMPUTED_VALUE"""),"32 - XI D-3 - Naurah Khansa Wibawa")</f>
        <v>32 - XI D-3 - Naurah Khansa Wibawa</v>
      </c>
    </row>
    <row r="838">
      <c r="A838" s="3" t="str">
        <f>IFERROR(__xludf.DUMMYFUNCTION("""COMPUTED_VALUE"""),"0089608543 / 242510309")</f>
        <v>0089608543 / 242510309</v>
      </c>
      <c r="B838" s="3" t="str">
        <f>IFERROR(__xludf.DUMMYFUNCTION("""COMPUTED_VALUE"""),"Nuri Sabilatul Aspiya")</f>
        <v>Nuri Sabilatul Aspiya</v>
      </c>
      <c r="C838" s="3" t="str">
        <f>IFERROR(__xludf.DUMMYFUNCTION("""COMPUTED_VALUE"""),"P")</f>
        <v>P</v>
      </c>
      <c r="D838" s="3">
        <f>IFERROR(__xludf.DUMMYFUNCTION("""COMPUTED_VALUE"""),32.0)</f>
        <v>32</v>
      </c>
      <c r="E838" s="3" t="str">
        <f>IFERROR(__xludf.DUMMYFUNCTION("""COMPUTED_VALUE"""),"XI D-3")</f>
        <v>XI D-3</v>
      </c>
      <c r="F838" s="11" t="str">
        <f>IFERROR(__xludf.DUMMYFUNCTION("""COMPUTED_VALUE"""),"32 - XI D-3 - Nuri Sabilatul Aspiya")</f>
        <v>32 - XI D-3 - Nuri Sabilatul Aspiya</v>
      </c>
    </row>
    <row r="839">
      <c r="A839" s="3" t="str">
        <f>IFERROR(__xludf.DUMMYFUNCTION("""COMPUTED_VALUE"""),"0098835028 / 242510334")</f>
        <v>0098835028 / 242510334</v>
      </c>
      <c r="B839" s="3" t="str">
        <f>IFERROR(__xludf.DUMMYFUNCTION("""COMPUTED_VALUE"""),"Raffa Meyzaidan")</f>
        <v>Raffa Meyzaidan</v>
      </c>
      <c r="C839" s="3" t="str">
        <f>IFERROR(__xludf.DUMMYFUNCTION("""COMPUTED_VALUE"""),"L")</f>
        <v>L</v>
      </c>
      <c r="D839" s="3">
        <f>IFERROR(__xludf.DUMMYFUNCTION("""COMPUTED_VALUE"""),32.0)</f>
        <v>32</v>
      </c>
      <c r="E839" s="3" t="str">
        <f>IFERROR(__xludf.DUMMYFUNCTION("""COMPUTED_VALUE"""),"XI D-3")</f>
        <v>XI D-3</v>
      </c>
      <c r="F839" s="11" t="str">
        <f>IFERROR(__xludf.DUMMYFUNCTION("""COMPUTED_VALUE"""),"32 - XI D-3 - Raffa Meyzaidan")</f>
        <v>32 - XI D-3 - Raffa Meyzaidan</v>
      </c>
    </row>
    <row r="840">
      <c r="A840" s="3" t="str">
        <f>IFERROR(__xludf.DUMMYFUNCTION("""COMPUTED_VALUE"""),"3097356141 / 242510353")</f>
        <v>3097356141 / 242510353</v>
      </c>
      <c r="B840" s="3" t="str">
        <f>IFERROR(__xludf.DUMMYFUNCTION("""COMPUTED_VALUE"""),"Rifzki Yusrin")</f>
        <v>Rifzki Yusrin</v>
      </c>
      <c r="C840" s="3" t="str">
        <f>IFERROR(__xludf.DUMMYFUNCTION("""COMPUTED_VALUE"""),"L")</f>
        <v>L</v>
      </c>
      <c r="D840" s="3">
        <f>IFERROR(__xludf.DUMMYFUNCTION("""COMPUTED_VALUE"""),32.0)</f>
        <v>32</v>
      </c>
      <c r="E840" s="3" t="str">
        <f>IFERROR(__xludf.DUMMYFUNCTION("""COMPUTED_VALUE"""),"XI D-3")</f>
        <v>XI D-3</v>
      </c>
      <c r="F840" s="11" t="str">
        <f>IFERROR(__xludf.DUMMYFUNCTION("""COMPUTED_VALUE"""),"32 - XI D-3 - Rifzki Yusrin")</f>
        <v>32 - XI D-3 - Rifzki Yusrin</v>
      </c>
    </row>
    <row r="841">
      <c r="A841" s="3" t="str">
        <f>IFERROR(__xludf.DUMMYFUNCTION("""COMPUTED_VALUE"""),"0097311898 / 242510379")</f>
        <v>0097311898 / 242510379</v>
      </c>
      <c r="B841" s="3" t="str">
        <f>IFERROR(__xludf.DUMMYFUNCTION("""COMPUTED_VALUE"""),"Shafira Ghassani")</f>
        <v>Shafira Ghassani</v>
      </c>
      <c r="C841" s="3" t="str">
        <f>IFERROR(__xludf.DUMMYFUNCTION("""COMPUTED_VALUE"""),"P")</f>
        <v>P</v>
      </c>
      <c r="D841" s="3">
        <f>IFERROR(__xludf.DUMMYFUNCTION("""COMPUTED_VALUE"""),32.0)</f>
        <v>32</v>
      </c>
      <c r="E841" s="3" t="str">
        <f>IFERROR(__xludf.DUMMYFUNCTION("""COMPUTED_VALUE"""),"XI D-3")</f>
        <v>XI D-3</v>
      </c>
      <c r="F841" s="11" t="str">
        <f>IFERROR(__xludf.DUMMYFUNCTION("""COMPUTED_VALUE"""),"32 - XI D-3 - Shafira Ghassani")</f>
        <v>32 - XI D-3 - Shafira Ghassani</v>
      </c>
    </row>
    <row r="842">
      <c r="A842" s="3" t="str">
        <f>IFERROR(__xludf.DUMMYFUNCTION("""COMPUTED_VALUE"""),"0099130256 / 242510385")</f>
        <v>0099130256 / 242510385</v>
      </c>
      <c r="B842" s="3" t="str">
        <f>IFERROR(__xludf.DUMMYFUNCTION("""COMPUTED_VALUE"""),"Sulaim Apenino Abdulhaq")</f>
        <v>Sulaim Apenino Abdulhaq</v>
      </c>
      <c r="C842" s="3" t="str">
        <f>IFERROR(__xludf.DUMMYFUNCTION("""COMPUTED_VALUE"""),"L")</f>
        <v>L</v>
      </c>
      <c r="D842" s="3">
        <f>IFERROR(__xludf.DUMMYFUNCTION("""COMPUTED_VALUE"""),32.0)</f>
        <v>32</v>
      </c>
      <c r="E842" s="3" t="str">
        <f>IFERROR(__xludf.DUMMYFUNCTION("""COMPUTED_VALUE"""),"XI D-3")</f>
        <v>XI D-3</v>
      </c>
      <c r="F842" s="11" t="str">
        <f>IFERROR(__xludf.DUMMYFUNCTION("""COMPUTED_VALUE"""),"32 - XI D-3 - Sulaim Apenino Abdulhaq")</f>
        <v>32 - XI D-3 - Sulaim Apenino Abdulhaq</v>
      </c>
    </row>
    <row r="843">
      <c r="A843" s="3" t="str">
        <f>IFERROR(__xludf.DUMMYFUNCTION("""COMPUTED_VALUE"""),"0082646713 / 242510398")</f>
        <v>0082646713 / 242510398</v>
      </c>
      <c r="B843" s="3" t="str">
        <f>IFERROR(__xludf.DUMMYFUNCTION("""COMPUTED_VALUE"""),"Talita Shaki Aulia")</f>
        <v>Talita Shaki Aulia</v>
      </c>
      <c r="C843" s="3" t="str">
        <f>IFERROR(__xludf.DUMMYFUNCTION("""COMPUTED_VALUE"""),"P")</f>
        <v>P</v>
      </c>
      <c r="D843" s="3">
        <f>IFERROR(__xludf.DUMMYFUNCTION("""COMPUTED_VALUE"""),32.0)</f>
        <v>32</v>
      </c>
      <c r="E843" s="3" t="str">
        <f>IFERROR(__xludf.DUMMYFUNCTION("""COMPUTED_VALUE"""),"XI D-3")</f>
        <v>XI D-3</v>
      </c>
      <c r="F843" s="11" t="str">
        <f>IFERROR(__xludf.DUMMYFUNCTION("""COMPUTED_VALUE"""),"32 - XI D-3 - Talita Shaki Aulia")</f>
        <v>32 - XI D-3 - Talita Shaki Aulia</v>
      </c>
    </row>
    <row r="844">
      <c r="A844" s="3" t="str">
        <f>IFERROR(__xludf.DUMMYFUNCTION("""COMPUTED_VALUE"""),"0091537746 / 242510407")</f>
        <v>0091537746 / 242510407</v>
      </c>
      <c r="B844" s="3" t="str">
        <f>IFERROR(__xludf.DUMMYFUNCTION("""COMPUTED_VALUE"""),"Vindy Aprilia Khanaya")</f>
        <v>Vindy Aprilia Khanaya</v>
      </c>
      <c r="C844" s="3" t="str">
        <f>IFERROR(__xludf.DUMMYFUNCTION("""COMPUTED_VALUE"""),"P")</f>
        <v>P</v>
      </c>
      <c r="D844" s="3">
        <f>IFERROR(__xludf.DUMMYFUNCTION("""COMPUTED_VALUE"""),32.0)</f>
        <v>32</v>
      </c>
      <c r="E844" s="3" t="str">
        <f>IFERROR(__xludf.DUMMYFUNCTION("""COMPUTED_VALUE"""),"XI D-3")</f>
        <v>XI D-3</v>
      </c>
      <c r="F844" s="11" t="str">
        <f>IFERROR(__xludf.DUMMYFUNCTION("""COMPUTED_VALUE"""),"32 - XI D-3 - Vindy Aprilia Khanaya")</f>
        <v>32 - XI D-3 - Vindy Aprilia Khanaya</v>
      </c>
    </row>
    <row r="845">
      <c r="A845" s="3" t="str">
        <f>IFERROR(__xludf.DUMMYFUNCTION("""COMPUTED_VALUE"""),"0093390743 / 242510006")</f>
        <v>0093390743 / 242510006</v>
      </c>
      <c r="B845" s="3" t="str">
        <f>IFERROR(__xludf.DUMMYFUNCTION("""COMPUTED_VALUE"""),"Adinda Queena Maheswari")</f>
        <v>Adinda Queena Maheswari</v>
      </c>
      <c r="C845" s="3" t="str">
        <f>IFERROR(__xludf.DUMMYFUNCTION("""COMPUTED_VALUE"""),"P")</f>
        <v>P</v>
      </c>
      <c r="D845" s="3">
        <f>IFERROR(__xludf.DUMMYFUNCTION("""COMPUTED_VALUE"""),32.0)</f>
        <v>32</v>
      </c>
      <c r="E845" s="3" t="str">
        <f>IFERROR(__xludf.DUMMYFUNCTION("""COMPUTED_VALUE"""),"XI E-1")</f>
        <v>XI E-1</v>
      </c>
      <c r="F845" s="11" t="str">
        <f>IFERROR(__xludf.DUMMYFUNCTION("""COMPUTED_VALUE"""),"32 - XI E-1 - Adinda Queena Maheswari")</f>
        <v>32 - XI E-1 - Adinda Queena Maheswari</v>
      </c>
    </row>
    <row r="846">
      <c r="A846" s="3" t="str">
        <f>IFERROR(__xludf.DUMMYFUNCTION("""COMPUTED_VALUE"""),"0099505768 / 242510022")</f>
        <v>0099505768 / 242510022</v>
      </c>
      <c r="B846" s="3" t="str">
        <f>IFERROR(__xludf.DUMMYFUNCTION("""COMPUTED_VALUE"""),"Alex Saputra Suranta Tarigan")</f>
        <v>Alex Saputra Suranta Tarigan</v>
      </c>
      <c r="C846" s="3" t="str">
        <f>IFERROR(__xludf.DUMMYFUNCTION("""COMPUTED_VALUE"""),"L")</f>
        <v>L</v>
      </c>
      <c r="D846" s="3">
        <f>IFERROR(__xludf.DUMMYFUNCTION("""COMPUTED_VALUE"""),32.0)</f>
        <v>32</v>
      </c>
      <c r="E846" s="3" t="str">
        <f>IFERROR(__xludf.DUMMYFUNCTION("""COMPUTED_VALUE"""),"XI E-1")</f>
        <v>XI E-1</v>
      </c>
      <c r="F846" s="11" t="str">
        <f>IFERROR(__xludf.DUMMYFUNCTION("""COMPUTED_VALUE"""),"32 - XI E-1 - Alex Saputra Suranta Tarigan")</f>
        <v>32 - XI E-1 - Alex Saputra Suranta Tarigan</v>
      </c>
    </row>
    <row r="847">
      <c r="A847" s="3" t="str">
        <f>IFERROR(__xludf.DUMMYFUNCTION("""COMPUTED_VALUE"""),"0093801090 / 242510035")</f>
        <v>0093801090 / 242510035</v>
      </c>
      <c r="B847" s="3" t="str">
        <f>IFERROR(__xludf.DUMMYFUNCTION("""COMPUTED_VALUE"""),"Alwinsa Sugiharto")</f>
        <v>Alwinsa Sugiharto</v>
      </c>
      <c r="C847" s="3" t="str">
        <f>IFERROR(__xludf.DUMMYFUNCTION("""COMPUTED_VALUE"""),"P")</f>
        <v>P</v>
      </c>
      <c r="D847" s="3">
        <f>IFERROR(__xludf.DUMMYFUNCTION("""COMPUTED_VALUE"""),32.0)</f>
        <v>32</v>
      </c>
      <c r="E847" s="3" t="str">
        <f>IFERROR(__xludf.DUMMYFUNCTION("""COMPUTED_VALUE"""),"XI E-1")</f>
        <v>XI E-1</v>
      </c>
      <c r="F847" s="11" t="str">
        <f>IFERROR(__xludf.DUMMYFUNCTION("""COMPUTED_VALUE"""),"32 - XI E-1 - Alwinsa Sugiharto")</f>
        <v>32 - XI E-1 - Alwinsa Sugiharto</v>
      </c>
    </row>
    <row r="848">
      <c r="A848" s="3" t="str">
        <f>IFERROR(__xludf.DUMMYFUNCTION("""COMPUTED_VALUE"""),"0097959305 / 242510047")</f>
        <v>0097959305 / 242510047</v>
      </c>
      <c r="B848" s="3" t="str">
        <f>IFERROR(__xludf.DUMMYFUNCTION("""COMPUTED_VALUE"""),"Anindito Pandu Fahrinugroho")</f>
        <v>Anindito Pandu Fahrinugroho</v>
      </c>
      <c r="C848" s="3" t="str">
        <f>IFERROR(__xludf.DUMMYFUNCTION("""COMPUTED_VALUE"""),"L")</f>
        <v>L</v>
      </c>
      <c r="D848" s="3">
        <f>IFERROR(__xludf.DUMMYFUNCTION("""COMPUTED_VALUE"""),32.0)</f>
        <v>32</v>
      </c>
      <c r="E848" s="3" t="str">
        <f>IFERROR(__xludf.DUMMYFUNCTION("""COMPUTED_VALUE"""),"XI E-1")</f>
        <v>XI E-1</v>
      </c>
      <c r="F848" s="11" t="str">
        <f>IFERROR(__xludf.DUMMYFUNCTION("""COMPUTED_VALUE"""),"32 - XI E-1 - Anindito Pandu Fahrinugroho")</f>
        <v>32 - XI E-1 - Anindito Pandu Fahrinugroho</v>
      </c>
    </row>
    <row r="849">
      <c r="A849" s="3" t="str">
        <f>IFERROR(__xludf.DUMMYFUNCTION("""COMPUTED_VALUE"""),"0084789093 / 242510051")</f>
        <v>0084789093 / 242510051</v>
      </c>
      <c r="B849" s="3" t="str">
        <f>IFERROR(__xludf.DUMMYFUNCTION("""COMPUTED_VALUE"""),"Annida Khairunnisa")</f>
        <v>Annida Khairunnisa</v>
      </c>
      <c r="C849" s="3" t="str">
        <f>IFERROR(__xludf.DUMMYFUNCTION("""COMPUTED_VALUE"""),"P")</f>
        <v>P</v>
      </c>
      <c r="D849" s="3">
        <f>IFERROR(__xludf.DUMMYFUNCTION("""COMPUTED_VALUE"""),32.0)</f>
        <v>32</v>
      </c>
      <c r="E849" s="3" t="str">
        <f>IFERROR(__xludf.DUMMYFUNCTION("""COMPUTED_VALUE"""),"XI E-1")</f>
        <v>XI E-1</v>
      </c>
      <c r="F849" s="11" t="str">
        <f>IFERROR(__xludf.DUMMYFUNCTION("""COMPUTED_VALUE"""),"32 - XI E-1 - Annida Khairunnisa")</f>
        <v>32 - XI E-1 - Annida Khairunnisa</v>
      </c>
    </row>
    <row r="850">
      <c r="A850" s="3" t="str">
        <f>IFERROR(__xludf.DUMMYFUNCTION("""COMPUTED_VALUE"""),"2081404817 / 242510059")</f>
        <v>2081404817 / 242510059</v>
      </c>
      <c r="B850" s="3" t="str">
        <f>IFERROR(__xludf.DUMMYFUNCTION("""COMPUTED_VALUE"""),"Aryasatya Tridaya Alam")</f>
        <v>Aryasatya Tridaya Alam</v>
      </c>
      <c r="C850" s="3" t="str">
        <f>IFERROR(__xludf.DUMMYFUNCTION("""COMPUTED_VALUE"""),"L")</f>
        <v>L</v>
      </c>
      <c r="D850" s="3">
        <f>IFERROR(__xludf.DUMMYFUNCTION("""COMPUTED_VALUE"""),32.0)</f>
        <v>32</v>
      </c>
      <c r="E850" s="3" t="str">
        <f>IFERROR(__xludf.DUMMYFUNCTION("""COMPUTED_VALUE"""),"XI E-1")</f>
        <v>XI E-1</v>
      </c>
      <c r="F850" s="11" t="str">
        <f>IFERROR(__xludf.DUMMYFUNCTION("""COMPUTED_VALUE"""),"32 - XI E-1 - Aryasatya Tridaya Alam")</f>
        <v>32 - XI E-1 - Aryasatya Tridaya Alam</v>
      </c>
    </row>
    <row r="851">
      <c r="A851" s="3" t="str">
        <f>IFERROR(__xludf.DUMMYFUNCTION("""COMPUTED_VALUE"""),"0098812831 / 242510083")</f>
        <v>0098812831 / 242510083</v>
      </c>
      <c r="B851" s="3" t="str">
        <f>IFERROR(__xludf.DUMMYFUNCTION("""COMPUTED_VALUE"""),"Bilal Kaka Pratama Hartoyo")</f>
        <v>Bilal Kaka Pratama Hartoyo</v>
      </c>
      <c r="C851" s="3" t="str">
        <f>IFERROR(__xludf.DUMMYFUNCTION("""COMPUTED_VALUE"""),"L")</f>
        <v>L</v>
      </c>
      <c r="D851" s="3">
        <f>IFERROR(__xludf.DUMMYFUNCTION("""COMPUTED_VALUE"""),32.0)</f>
        <v>32</v>
      </c>
      <c r="E851" s="3" t="str">
        <f>IFERROR(__xludf.DUMMYFUNCTION("""COMPUTED_VALUE"""),"XI E-1")</f>
        <v>XI E-1</v>
      </c>
      <c r="F851" s="11" t="str">
        <f>IFERROR(__xludf.DUMMYFUNCTION("""COMPUTED_VALUE"""),"32 - XI E-1 - Bilal Kaka Pratama Hartoyo")</f>
        <v>32 - XI E-1 - Bilal Kaka Pratama Hartoyo</v>
      </c>
    </row>
    <row r="852">
      <c r="A852" s="3" t="str">
        <f>IFERROR(__xludf.DUMMYFUNCTION("""COMPUTED_VALUE"""),"0083352872 / 242510098")</f>
        <v>0083352872 / 242510098</v>
      </c>
      <c r="B852" s="3" t="str">
        <f>IFERROR(__xludf.DUMMYFUNCTION("""COMPUTED_VALUE"""),"Daffa Iqram Al Fachreza")</f>
        <v>Daffa Iqram Al Fachreza</v>
      </c>
      <c r="C852" s="3" t="str">
        <f>IFERROR(__xludf.DUMMYFUNCTION("""COMPUTED_VALUE"""),"L")</f>
        <v>L</v>
      </c>
      <c r="D852" s="3">
        <f>IFERROR(__xludf.DUMMYFUNCTION("""COMPUTED_VALUE"""),32.0)</f>
        <v>32</v>
      </c>
      <c r="E852" s="3" t="str">
        <f>IFERROR(__xludf.DUMMYFUNCTION("""COMPUTED_VALUE"""),"XI E-1")</f>
        <v>XI E-1</v>
      </c>
      <c r="F852" s="11" t="str">
        <f>IFERROR(__xludf.DUMMYFUNCTION("""COMPUTED_VALUE"""),"32 - XI E-1 - Daffa Iqram Al Fachreza")</f>
        <v>32 - XI E-1 - Daffa Iqram Al Fachreza</v>
      </c>
    </row>
    <row r="853">
      <c r="A853" s="3" t="str">
        <f>IFERROR(__xludf.DUMMYFUNCTION("""COMPUTED_VALUE"""),"0086078004 / 242510103")</f>
        <v>0086078004 / 242510103</v>
      </c>
      <c r="B853" s="3" t="str">
        <f>IFERROR(__xludf.DUMMYFUNCTION("""COMPUTED_VALUE"""),"Deandra Nashwan Danish")</f>
        <v>Deandra Nashwan Danish</v>
      </c>
      <c r="C853" s="3" t="str">
        <f>IFERROR(__xludf.DUMMYFUNCTION("""COMPUTED_VALUE"""),"L")</f>
        <v>L</v>
      </c>
      <c r="D853" s="3">
        <f>IFERROR(__xludf.DUMMYFUNCTION("""COMPUTED_VALUE"""),32.0)</f>
        <v>32</v>
      </c>
      <c r="E853" s="3" t="str">
        <f>IFERROR(__xludf.DUMMYFUNCTION("""COMPUTED_VALUE"""),"XI E-1")</f>
        <v>XI E-1</v>
      </c>
      <c r="F853" s="11" t="str">
        <f>IFERROR(__xludf.DUMMYFUNCTION("""COMPUTED_VALUE"""),"32 - XI E-1 - Deandra Nashwan Danish")</f>
        <v>32 - XI E-1 - Deandra Nashwan Danish</v>
      </c>
    </row>
    <row r="854">
      <c r="A854" s="3" t="str">
        <f>IFERROR(__xludf.DUMMYFUNCTION("""COMPUTED_VALUE"""),"0098775856 / 242510123")</f>
        <v>0098775856 / 242510123</v>
      </c>
      <c r="B854" s="3" t="str">
        <f>IFERROR(__xludf.DUMMYFUNCTION("""COMPUTED_VALUE"""),"Erzan Fauzy Zulkarnaen")</f>
        <v>Erzan Fauzy Zulkarnaen</v>
      </c>
      <c r="C854" s="3" t="str">
        <f>IFERROR(__xludf.DUMMYFUNCTION("""COMPUTED_VALUE"""),"L")</f>
        <v>L</v>
      </c>
      <c r="D854" s="3">
        <f>IFERROR(__xludf.DUMMYFUNCTION("""COMPUTED_VALUE"""),32.0)</f>
        <v>32</v>
      </c>
      <c r="E854" s="3" t="str">
        <f>IFERROR(__xludf.DUMMYFUNCTION("""COMPUTED_VALUE"""),"XI E-1")</f>
        <v>XI E-1</v>
      </c>
      <c r="F854" s="11" t="str">
        <f>IFERROR(__xludf.DUMMYFUNCTION("""COMPUTED_VALUE"""),"32 - XI E-1 - Erzan Fauzy Zulkarnaen")</f>
        <v>32 - XI E-1 - Erzan Fauzy Zulkarnaen</v>
      </c>
    </row>
    <row r="855">
      <c r="A855" s="3" t="str">
        <f>IFERROR(__xludf.DUMMYFUNCTION("""COMPUTED_VALUE"""),"0093969715 / 242510128")</f>
        <v>0093969715 / 242510128</v>
      </c>
      <c r="B855" s="3" t="str">
        <f>IFERROR(__xludf.DUMMYFUNCTION("""COMPUTED_VALUE"""),"Fadel Maliq Fathani")</f>
        <v>Fadel Maliq Fathani</v>
      </c>
      <c r="C855" s="3" t="str">
        <f>IFERROR(__xludf.DUMMYFUNCTION("""COMPUTED_VALUE"""),"L")</f>
        <v>L</v>
      </c>
      <c r="D855" s="3">
        <f>IFERROR(__xludf.DUMMYFUNCTION("""COMPUTED_VALUE"""),32.0)</f>
        <v>32</v>
      </c>
      <c r="E855" s="3" t="str">
        <f>IFERROR(__xludf.DUMMYFUNCTION("""COMPUTED_VALUE"""),"XI E-1")</f>
        <v>XI E-1</v>
      </c>
      <c r="F855" s="11" t="str">
        <f>IFERROR(__xludf.DUMMYFUNCTION("""COMPUTED_VALUE"""),"32 - XI E-1 - Fadel Maliq Fathani")</f>
        <v>32 - XI E-1 - Fadel Maliq Fathani</v>
      </c>
    </row>
    <row r="856">
      <c r="A856" s="3" t="str">
        <f>IFERROR(__xludf.DUMMYFUNCTION("""COMPUTED_VALUE"""),"0097062478 / 242510175")</f>
        <v>0097062478 / 242510175</v>
      </c>
      <c r="B856" s="3" t="str">
        <f>IFERROR(__xludf.DUMMYFUNCTION("""COMPUTED_VALUE"""),"Islamian Ikhsa Firmawan")</f>
        <v>Islamian Ikhsa Firmawan</v>
      </c>
      <c r="C856" s="3" t="str">
        <f>IFERROR(__xludf.DUMMYFUNCTION("""COMPUTED_VALUE"""),"L")</f>
        <v>L</v>
      </c>
      <c r="D856" s="3">
        <f>IFERROR(__xludf.DUMMYFUNCTION("""COMPUTED_VALUE"""),32.0)</f>
        <v>32</v>
      </c>
      <c r="E856" s="3" t="str">
        <f>IFERROR(__xludf.DUMMYFUNCTION("""COMPUTED_VALUE"""),"XI E-1")</f>
        <v>XI E-1</v>
      </c>
      <c r="F856" s="11" t="str">
        <f>IFERROR(__xludf.DUMMYFUNCTION("""COMPUTED_VALUE"""),"32 - XI E-1 - Islamian Ikhsa Firmawan")</f>
        <v>32 - XI E-1 - Islamian Ikhsa Firmawan</v>
      </c>
    </row>
    <row r="857">
      <c r="A857" s="3" t="str">
        <f>IFERROR(__xludf.DUMMYFUNCTION("""COMPUTED_VALUE"""),"0082185766 / 242510181")</f>
        <v>0082185766 / 242510181</v>
      </c>
      <c r="B857" s="3" t="str">
        <f>IFERROR(__xludf.DUMMYFUNCTION("""COMPUTED_VALUE"""),"Juwinsyah Dwi Arga")</f>
        <v>Juwinsyah Dwi Arga</v>
      </c>
      <c r="C857" s="3" t="str">
        <f>IFERROR(__xludf.DUMMYFUNCTION("""COMPUTED_VALUE"""),"P")</f>
        <v>P</v>
      </c>
      <c r="D857" s="3">
        <f>IFERROR(__xludf.DUMMYFUNCTION("""COMPUTED_VALUE"""),32.0)</f>
        <v>32</v>
      </c>
      <c r="E857" s="3" t="str">
        <f>IFERROR(__xludf.DUMMYFUNCTION("""COMPUTED_VALUE"""),"XI E-1")</f>
        <v>XI E-1</v>
      </c>
      <c r="F857" s="11" t="str">
        <f>IFERROR(__xludf.DUMMYFUNCTION("""COMPUTED_VALUE"""),"32 - XI E-1 - Juwinsyah Dwi Arga")</f>
        <v>32 - XI E-1 - Juwinsyah Dwi Arga</v>
      </c>
    </row>
    <row r="858">
      <c r="A858" s="3" t="str">
        <f>IFERROR(__xludf.DUMMYFUNCTION("""COMPUTED_VALUE"""),"0087551275 / 242510211")</f>
        <v>0087551275 / 242510211</v>
      </c>
      <c r="B858" s="3" t="str">
        <f>IFERROR(__xludf.DUMMYFUNCTION("""COMPUTED_VALUE"""),"Langlang Syahadat Pulung Jati")</f>
        <v>Langlang Syahadat Pulung Jati</v>
      </c>
      <c r="C858" s="3" t="str">
        <f>IFERROR(__xludf.DUMMYFUNCTION("""COMPUTED_VALUE"""),"L")</f>
        <v>L</v>
      </c>
      <c r="D858" s="3">
        <f>IFERROR(__xludf.DUMMYFUNCTION("""COMPUTED_VALUE"""),32.0)</f>
        <v>32</v>
      </c>
      <c r="E858" s="3" t="str">
        <f>IFERROR(__xludf.DUMMYFUNCTION("""COMPUTED_VALUE"""),"XI E-1")</f>
        <v>XI E-1</v>
      </c>
      <c r="F858" s="11" t="str">
        <f>IFERROR(__xludf.DUMMYFUNCTION("""COMPUTED_VALUE"""),"32 - XI E-1 - Langlang Syahadat Pulung Jati")</f>
        <v>32 - XI E-1 - Langlang Syahadat Pulung Jati</v>
      </c>
    </row>
    <row r="859">
      <c r="A859" s="3" t="str">
        <f>IFERROR(__xludf.DUMMYFUNCTION("""COMPUTED_VALUE"""),"0093479168 / 242510225")</f>
        <v>0093479168 / 242510225</v>
      </c>
      <c r="B859" s="3" t="str">
        <f>IFERROR(__xludf.DUMMYFUNCTION("""COMPUTED_VALUE"""),"Maritza Alisha Fathi")</f>
        <v>Maritza Alisha Fathi</v>
      </c>
      <c r="C859" s="3" t="str">
        <f>IFERROR(__xludf.DUMMYFUNCTION("""COMPUTED_VALUE"""),"P")</f>
        <v>P</v>
      </c>
      <c r="D859" s="3">
        <f>IFERROR(__xludf.DUMMYFUNCTION("""COMPUTED_VALUE"""),32.0)</f>
        <v>32</v>
      </c>
      <c r="E859" s="3" t="str">
        <f>IFERROR(__xludf.DUMMYFUNCTION("""COMPUTED_VALUE"""),"XI E-1")</f>
        <v>XI E-1</v>
      </c>
      <c r="F859" s="11" t="str">
        <f>IFERROR(__xludf.DUMMYFUNCTION("""COMPUTED_VALUE"""),"32 - XI E-1 - Maritza Alisha Fathi")</f>
        <v>32 - XI E-1 - Maritza Alisha Fathi</v>
      </c>
    </row>
    <row r="860">
      <c r="A860" s="3" t="str">
        <f>IFERROR(__xludf.DUMMYFUNCTION("""COMPUTED_VALUE"""),"0092786372 / 242510234")</f>
        <v>0092786372 / 242510234</v>
      </c>
      <c r="B860" s="3" t="str">
        <f>IFERROR(__xludf.DUMMYFUNCTION("""COMPUTED_VALUE"""),"Mirza Faiz Al Razak")</f>
        <v>Mirza Faiz Al Razak</v>
      </c>
      <c r="C860" s="3" t="str">
        <f>IFERROR(__xludf.DUMMYFUNCTION("""COMPUTED_VALUE"""),"L")</f>
        <v>L</v>
      </c>
      <c r="D860" s="3">
        <f>IFERROR(__xludf.DUMMYFUNCTION("""COMPUTED_VALUE"""),32.0)</f>
        <v>32</v>
      </c>
      <c r="E860" s="3" t="str">
        <f>IFERROR(__xludf.DUMMYFUNCTION("""COMPUTED_VALUE"""),"XI E-1")</f>
        <v>XI E-1</v>
      </c>
      <c r="F860" s="11" t="str">
        <f>IFERROR(__xludf.DUMMYFUNCTION("""COMPUTED_VALUE"""),"32 - XI E-1 - Mirza Faiz Al Razak")</f>
        <v>32 - XI E-1 - Mirza Faiz Al Razak</v>
      </c>
    </row>
    <row r="861">
      <c r="A861" s="3" t="str">
        <f>IFERROR(__xludf.DUMMYFUNCTION("""COMPUTED_VALUE"""),"0091530728 / 242510235")</f>
        <v>0091530728 / 242510235</v>
      </c>
      <c r="B861" s="3" t="str">
        <f>IFERROR(__xludf.DUMMYFUNCTION("""COMPUTED_VALUE"""),"Mirza Muhammad Rafi Hanifaldin")</f>
        <v>Mirza Muhammad Rafi Hanifaldin</v>
      </c>
      <c r="C861" s="3" t="str">
        <f>IFERROR(__xludf.DUMMYFUNCTION("""COMPUTED_VALUE"""),"L")</f>
        <v>L</v>
      </c>
      <c r="D861" s="3">
        <f>IFERROR(__xludf.DUMMYFUNCTION("""COMPUTED_VALUE"""),32.0)</f>
        <v>32</v>
      </c>
      <c r="E861" s="3" t="str">
        <f>IFERROR(__xludf.DUMMYFUNCTION("""COMPUTED_VALUE"""),"XI E-1")</f>
        <v>XI E-1</v>
      </c>
      <c r="F861" s="11" t="str">
        <f>IFERROR(__xludf.DUMMYFUNCTION("""COMPUTED_VALUE"""),"32 - XI E-1 - Mirza Muhammad Rafi Hanifaldin")</f>
        <v>32 - XI E-1 - Mirza Muhammad Rafi Hanifaldin</v>
      </c>
    </row>
    <row r="862">
      <c r="A862" s="3" t="str">
        <f>IFERROR(__xludf.DUMMYFUNCTION("""COMPUTED_VALUE"""),"0085378932 / 242510240")</f>
        <v>0085378932 / 242510240</v>
      </c>
      <c r="B862" s="3" t="str">
        <f>IFERROR(__xludf.DUMMYFUNCTION("""COMPUTED_VALUE"""),"Muhamad Akbar")</f>
        <v>Muhamad Akbar</v>
      </c>
      <c r="C862" s="3" t="str">
        <f>IFERROR(__xludf.DUMMYFUNCTION("""COMPUTED_VALUE"""),"L")</f>
        <v>L</v>
      </c>
      <c r="D862" s="3">
        <f>IFERROR(__xludf.DUMMYFUNCTION("""COMPUTED_VALUE"""),32.0)</f>
        <v>32</v>
      </c>
      <c r="E862" s="3" t="str">
        <f>IFERROR(__xludf.DUMMYFUNCTION("""COMPUTED_VALUE"""),"XI E-1")</f>
        <v>XI E-1</v>
      </c>
      <c r="F862" s="11" t="str">
        <f>IFERROR(__xludf.DUMMYFUNCTION("""COMPUTED_VALUE"""),"32 - XI E-1 - Muhamad Akbar")</f>
        <v>32 - XI E-1 - Muhamad Akbar</v>
      </c>
    </row>
    <row r="863">
      <c r="A863" s="3" t="str">
        <f>IFERROR(__xludf.DUMMYFUNCTION("""COMPUTED_VALUE"""),"0086404055 / 242510242")</f>
        <v>0086404055 / 242510242</v>
      </c>
      <c r="B863" s="3" t="str">
        <f>IFERROR(__xludf.DUMMYFUNCTION("""COMPUTED_VALUE"""),"Muhamad Gatfan Suryabakti")</f>
        <v>Muhamad Gatfan Suryabakti</v>
      </c>
      <c r="C863" s="3" t="str">
        <f>IFERROR(__xludf.DUMMYFUNCTION("""COMPUTED_VALUE"""),"L")</f>
        <v>L</v>
      </c>
      <c r="D863" s="3">
        <f>IFERROR(__xludf.DUMMYFUNCTION("""COMPUTED_VALUE"""),32.0)</f>
        <v>32</v>
      </c>
      <c r="E863" s="3" t="str">
        <f>IFERROR(__xludf.DUMMYFUNCTION("""COMPUTED_VALUE"""),"XI E-1")</f>
        <v>XI E-1</v>
      </c>
      <c r="F863" s="11" t="str">
        <f>IFERROR(__xludf.DUMMYFUNCTION("""COMPUTED_VALUE"""),"32 - XI E-1 - Muhamad Gatfan Suryabakti")</f>
        <v>32 - XI E-1 - Muhamad Gatfan Suryabakti</v>
      </c>
    </row>
    <row r="864">
      <c r="A864" s="3" t="str">
        <f>IFERROR(__xludf.DUMMYFUNCTION("""COMPUTED_VALUE"""),"0086360763 / 242510252")</f>
        <v>0086360763 / 242510252</v>
      </c>
      <c r="B864" s="3" t="str">
        <f>IFERROR(__xludf.DUMMYFUNCTION("""COMPUTED_VALUE"""),"Muhammad Atha Fauzansyah")</f>
        <v>Muhammad Atha Fauzansyah</v>
      </c>
      <c r="C864" s="3" t="str">
        <f>IFERROR(__xludf.DUMMYFUNCTION("""COMPUTED_VALUE"""),"L")</f>
        <v>L</v>
      </c>
      <c r="D864" s="3">
        <f>IFERROR(__xludf.DUMMYFUNCTION("""COMPUTED_VALUE"""),32.0)</f>
        <v>32</v>
      </c>
      <c r="E864" s="3" t="str">
        <f>IFERROR(__xludf.DUMMYFUNCTION("""COMPUTED_VALUE"""),"XI E-1")</f>
        <v>XI E-1</v>
      </c>
      <c r="F864" s="11" t="str">
        <f>IFERROR(__xludf.DUMMYFUNCTION("""COMPUTED_VALUE"""),"32 - XI E-1 - Muhammad Atha Fauzansyah")</f>
        <v>32 - XI E-1 - Muhammad Atha Fauzansyah</v>
      </c>
    </row>
    <row r="865">
      <c r="A865" s="3" t="str">
        <f>IFERROR(__xludf.DUMMYFUNCTION("""COMPUTED_VALUE"""),"0088924007 / 242510259")</f>
        <v>0088924007 / 242510259</v>
      </c>
      <c r="B865" s="3" t="str">
        <f>IFERROR(__xludf.DUMMYFUNCTION("""COMPUTED_VALUE"""),"Muhammad Fairuz Pratama")</f>
        <v>Muhammad Fairuz Pratama</v>
      </c>
      <c r="C865" s="3" t="str">
        <f>IFERROR(__xludf.DUMMYFUNCTION("""COMPUTED_VALUE"""),"L")</f>
        <v>L</v>
      </c>
      <c r="D865" s="3">
        <f>IFERROR(__xludf.DUMMYFUNCTION("""COMPUTED_VALUE"""),32.0)</f>
        <v>32</v>
      </c>
      <c r="E865" s="3" t="str">
        <f>IFERROR(__xludf.DUMMYFUNCTION("""COMPUTED_VALUE"""),"XI E-1")</f>
        <v>XI E-1</v>
      </c>
      <c r="F865" s="11" t="str">
        <f>IFERROR(__xludf.DUMMYFUNCTION("""COMPUTED_VALUE"""),"32 - XI E-1 - Muhammad Fairuz Pratama")</f>
        <v>32 - XI E-1 - Muhammad Fairuz Pratama</v>
      </c>
    </row>
    <row r="866">
      <c r="A866" s="3" t="str">
        <f>IFERROR(__xludf.DUMMYFUNCTION("""COMPUTED_VALUE"""),"0091944011 / 242510260")</f>
        <v>0091944011 / 242510260</v>
      </c>
      <c r="B866" s="3" t="str">
        <f>IFERROR(__xludf.DUMMYFUNCTION("""COMPUTED_VALUE"""),"Muhammad Faisal Ghani")</f>
        <v>Muhammad Faisal Ghani</v>
      </c>
      <c r="C866" s="3" t="str">
        <f>IFERROR(__xludf.DUMMYFUNCTION("""COMPUTED_VALUE"""),"L")</f>
        <v>L</v>
      </c>
      <c r="D866" s="3">
        <f>IFERROR(__xludf.DUMMYFUNCTION("""COMPUTED_VALUE"""),32.0)</f>
        <v>32</v>
      </c>
      <c r="E866" s="3" t="str">
        <f>IFERROR(__xludf.DUMMYFUNCTION("""COMPUTED_VALUE"""),"XI E-1")</f>
        <v>XI E-1</v>
      </c>
      <c r="F866" s="11" t="str">
        <f>IFERROR(__xludf.DUMMYFUNCTION("""COMPUTED_VALUE"""),"32 - XI E-1 - Muhammad Faisal Ghani")</f>
        <v>32 - XI E-1 - Muhammad Faisal Ghani</v>
      </c>
    </row>
    <row r="867">
      <c r="A867" s="3" t="str">
        <f>IFERROR(__xludf.DUMMYFUNCTION("""COMPUTED_VALUE"""),"0094596470 / 242510262")</f>
        <v>0094596470 / 242510262</v>
      </c>
      <c r="B867" s="3" t="str">
        <f>IFERROR(__xludf.DUMMYFUNCTION("""COMPUTED_VALUE"""),"Muhammad Fatih Rayyan Niago")</f>
        <v>Muhammad Fatih Rayyan Niago</v>
      </c>
      <c r="C867" s="3" t="str">
        <f>IFERROR(__xludf.DUMMYFUNCTION("""COMPUTED_VALUE"""),"L")</f>
        <v>L</v>
      </c>
      <c r="D867" s="3">
        <f>IFERROR(__xludf.DUMMYFUNCTION("""COMPUTED_VALUE"""),32.0)</f>
        <v>32</v>
      </c>
      <c r="E867" s="3" t="str">
        <f>IFERROR(__xludf.DUMMYFUNCTION("""COMPUTED_VALUE"""),"XI E-1")</f>
        <v>XI E-1</v>
      </c>
      <c r="F867" s="11" t="str">
        <f>IFERROR(__xludf.DUMMYFUNCTION("""COMPUTED_VALUE"""),"32 - XI E-1 - Muhammad Fatih Rayyan Niago")</f>
        <v>32 - XI E-1 - Muhammad Fatih Rayyan Niago</v>
      </c>
    </row>
    <row r="868">
      <c r="A868" s="3" t="str">
        <f>IFERROR(__xludf.DUMMYFUNCTION("""COMPUTED_VALUE"""),"0092404318 / 242510265")</f>
        <v>0092404318 / 242510265</v>
      </c>
      <c r="B868" s="3" t="str">
        <f>IFERROR(__xludf.DUMMYFUNCTION("""COMPUTED_VALUE"""),"Muhammad Ghifaraidosata Suwondo")</f>
        <v>Muhammad Ghifaraidosata Suwondo</v>
      </c>
      <c r="C868" s="3" t="str">
        <f>IFERROR(__xludf.DUMMYFUNCTION("""COMPUTED_VALUE"""),"L")</f>
        <v>L</v>
      </c>
      <c r="D868" s="3">
        <f>IFERROR(__xludf.DUMMYFUNCTION("""COMPUTED_VALUE"""),32.0)</f>
        <v>32</v>
      </c>
      <c r="E868" s="3" t="str">
        <f>IFERROR(__xludf.DUMMYFUNCTION("""COMPUTED_VALUE"""),"XI E-1")</f>
        <v>XI E-1</v>
      </c>
      <c r="F868" s="11" t="str">
        <f>IFERROR(__xludf.DUMMYFUNCTION("""COMPUTED_VALUE"""),"32 - XI E-1 - Muhammad Ghifaraidosata Suwondo")</f>
        <v>32 - XI E-1 - Muhammad Ghifaraidosata Suwondo</v>
      </c>
    </row>
    <row r="869">
      <c r="A869" s="3" t="str">
        <f>IFERROR(__xludf.DUMMYFUNCTION("""COMPUTED_VALUE"""),"0095059901 / 242510266")</f>
        <v>0095059901 / 242510266</v>
      </c>
      <c r="B869" s="3" t="str">
        <f>IFERROR(__xludf.DUMMYFUNCTION("""COMPUTED_VALUE"""),"Muhammad Habil Mulyana")</f>
        <v>Muhammad Habil Mulyana</v>
      </c>
      <c r="C869" s="3" t="str">
        <f>IFERROR(__xludf.DUMMYFUNCTION("""COMPUTED_VALUE"""),"L")</f>
        <v>L</v>
      </c>
      <c r="D869" s="3">
        <f>IFERROR(__xludf.DUMMYFUNCTION("""COMPUTED_VALUE"""),32.0)</f>
        <v>32</v>
      </c>
      <c r="E869" s="3" t="str">
        <f>IFERROR(__xludf.DUMMYFUNCTION("""COMPUTED_VALUE"""),"XI E-1")</f>
        <v>XI E-1</v>
      </c>
      <c r="F869" s="11" t="str">
        <f>IFERROR(__xludf.DUMMYFUNCTION("""COMPUTED_VALUE"""),"32 - XI E-1 - Muhammad Habil Mulyana")</f>
        <v>32 - XI E-1 - Muhammad Habil Mulyana</v>
      </c>
    </row>
    <row r="870">
      <c r="A870" s="3" t="str">
        <f>IFERROR(__xludf.DUMMYFUNCTION("""COMPUTED_VALUE"""),"0098122055 / 242510275")</f>
        <v>0098122055 / 242510275</v>
      </c>
      <c r="B870" s="3" t="str">
        <f>IFERROR(__xludf.DUMMYFUNCTION("""COMPUTED_VALUE"""),"Muhammad Rizqullah Salim Wibowo")</f>
        <v>Muhammad Rizqullah Salim Wibowo</v>
      </c>
      <c r="C870" s="3" t="str">
        <f>IFERROR(__xludf.DUMMYFUNCTION("""COMPUTED_VALUE"""),"L")</f>
        <v>L</v>
      </c>
      <c r="D870" s="3">
        <f>IFERROR(__xludf.DUMMYFUNCTION("""COMPUTED_VALUE"""),32.0)</f>
        <v>32</v>
      </c>
      <c r="E870" s="3" t="str">
        <f>IFERROR(__xludf.DUMMYFUNCTION("""COMPUTED_VALUE"""),"XI E-1")</f>
        <v>XI E-1</v>
      </c>
      <c r="F870" s="11" t="str">
        <f>IFERROR(__xludf.DUMMYFUNCTION("""COMPUTED_VALUE"""),"32 - XI E-1 - Muhammad Rizqullah Salim Wibowo")</f>
        <v>32 - XI E-1 - Muhammad Rizqullah Salim Wibowo</v>
      </c>
    </row>
    <row r="871">
      <c r="A871" s="3" t="str">
        <f>IFERROR(__xludf.DUMMYFUNCTION("""COMPUTED_VALUE"""),"0086863385 / 242510300")</f>
        <v>0086863385 / 242510300</v>
      </c>
      <c r="B871" s="3" t="str">
        <f>IFERROR(__xludf.DUMMYFUNCTION("""COMPUTED_VALUE"""),"Nazua Ristiyana Viragupti")</f>
        <v>Nazua Ristiyana Viragupti</v>
      </c>
      <c r="C871" s="3" t="str">
        <f>IFERROR(__xludf.DUMMYFUNCTION("""COMPUTED_VALUE"""),"P")</f>
        <v>P</v>
      </c>
      <c r="D871" s="3">
        <f>IFERROR(__xludf.DUMMYFUNCTION("""COMPUTED_VALUE"""),32.0)</f>
        <v>32</v>
      </c>
      <c r="E871" s="3" t="str">
        <f>IFERROR(__xludf.DUMMYFUNCTION("""COMPUTED_VALUE"""),"XI E-1")</f>
        <v>XI E-1</v>
      </c>
      <c r="F871" s="11" t="str">
        <f>IFERROR(__xludf.DUMMYFUNCTION("""COMPUTED_VALUE"""),"32 - XI E-1 - Nazua Ristiyana Viragupti")</f>
        <v>32 - XI E-1 - Nazua Ristiyana Viragupti</v>
      </c>
    </row>
    <row r="872">
      <c r="A872" s="3" t="str">
        <f>IFERROR(__xludf.DUMMYFUNCTION("""COMPUTED_VALUE"""),"0085675402 / 242510302")</f>
        <v>0085675402 / 242510302</v>
      </c>
      <c r="B872" s="3" t="str">
        <f>IFERROR(__xludf.DUMMYFUNCTION("""COMPUTED_VALUE"""),"Neisha Arinta Putri Sarjana")</f>
        <v>Neisha Arinta Putri Sarjana</v>
      </c>
      <c r="C872" s="3" t="str">
        <f>IFERROR(__xludf.DUMMYFUNCTION("""COMPUTED_VALUE"""),"P")</f>
        <v>P</v>
      </c>
      <c r="D872" s="3">
        <f>IFERROR(__xludf.DUMMYFUNCTION("""COMPUTED_VALUE"""),32.0)</f>
        <v>32</v>
      </c>
      <c r="E872" s="3" t="str">
        <f>IFERROR(__xludf.DUMMYFUNCTION("""COMPUTED_VALUE"""),"XI E-1")</f>
        <v>XI E-1</v>
      </c>
      <c r="F872" s="11" t="str">
        <f>IFERROR(__xludf.DUMMYFUNCTION("""COMPUTED_VALUE"""),"32 - XI E-1 - Neisha Arinta Putri Sarjana")</f>
        <v>32 - XI E-1 - Neisha Arinta Putri Sarjana</v>
      </c>
    </row>
    <row r="873">
      <c r="A873" s="3" t="str">
        <f>IFERROR(__xludf.DUMMYFUNCTION("""COMPUTED_VALUE"""),"0096488875 / 242510333")</f>
        <v>0096488875 / 242510333</v>
      </c>
      <c r="B873" s="3" t="str">
        <f>IFERROR(__xludf.DUMMYFUNCTION("""COMPUTED_VALUE"""),"Rafa Ibnu Kanaka")</f>
        <v>Rafa Ibnu Kanaka</v>
      </c>
      <c r="C873" s="3" t="str">
        <f>IFERROR(__xludf.DUMMYFUNCTION("""COMPUTED_VALUE"""),"L")</f>
        <v>L</v>
      </c>
      <c r="D873" s="3">
        <f>IFERROR(__xludf.DUMMYFUNCTION("""COMPUTED_VALUE"""),32.0)</f>
        <v>32</v>
      </c>
      <c r="E873" s="3" t="str">
        <f>IFERROR(__xludf.DUMMYFUNCTION("""COMPUTED_VALUE"""),"XI E-1")</f>
        <v>XI E-1</v>
      </c>
      <c r="F873" s="11" t="str">
        <f>IFERROR(__xludf.DUMMYFUNCTION("""COMPUTED_VALUE"""),"32 - XI E-1 - Rafa Ibnu Kanaka")</f>
        <v>32 - XI E-1 - Rafa Ibnu Kanaka</v>
      </c>
    </row>
    <row r="874">
      <c r="A874" s="3" t="str">
        <f>IFERROR(__xludf.DUMMYFUNCTION("""COMPUTED_VALUE"""),"0091126559 / 242510337")</f>
        <v>0091126559 / 242510337</v>
      </c>
      <c r="B874" s="3" t="str">
        <f>IFERROR(__xludf.DUMMYFUNCTION("""COMPUTED_VALUE"""),"Rais Aliyan")</f>
        <v>Rais Aliyan</v>
      </c>
      <c r="C874" s="3" t="str">
        <f>IFERROR(__xludf.DUMMYFUNCTION("""COMPUTED_VALUE"""),"L")</f>
        <v>L</v>
      </c>
      <c r="D874" s="3">
        <f>IFERROR(__xludf.DUMMYFUNCTION("""COMPUTED_VALUE"""),32.0)</f>
        <v>32</v>
      </c>
      <c r="E874" s="3" t="str">
        <f>IFERROR(__xludf.DUMMYFUNCTION("""COMPUTED_VALUE"""),"XI E-1")</f>
        <v>XI E-1</v>
      </c>
      <c r="F874" s="11" t="str">
        <f>IFERROR(__xludf.DUMMYFUNCTION("""COMPUTED_VALUE"""),"32 - XI E-1 - Rais Aliyan")</f>
        <v>32 - XI E-1 - Rais Aliyan</v>
      </c>
    </row>
    <row r="875">
      <c r="A875" s="3" t="str">
        <f>IFERROR(__xludf.DUMMYFUNCTION("""COMPUTED_VALUE"""),"0094232336 / 242510347")</f>
        <v>0094232336 / 242510347</v>
      </c>
      <c r="B875" s="3" t="str">
        <f>IFERROR(__xludf.DUMMYFUNCTION("""COMPUTED_VALUE"""),"Razan Muhammad Ihsan Solihin")</f>
        <v>Razan Muhammad Ihsan Solihin</v>
      </c>
      <c r="C875" s="3" t="str">
        <f>IFERROR(__xludf.DUMMYFUNCTION("""COMPUTED_VALUE"""),"L")</f>
        <v>L</v>
      </c>
      <c r="D875" s="3">
        <f>IFERROR(__xludf.DUMMYFUNCTION("""COMPUTED_VALUE"""),32.0)</f>
        <v>32</v>
      </c>
      <c r="E875" s="3" t="str">
        <f>IFERROR(__xludf.DUMMYFUNCTION("""COMPUTED_VALUE"""),"XI E-1")</f>
        <v>XI E-1</v>
      </c>
      <c r="F875" s="11" t="str">
        <f>IFERROR(__xludf.DUMMYFUNCTION("""COMPUTED_VALUE"""),"32 - XI E-1 - Razan Muhammad Ihsan Solihin")</f>
        <v>32 - XI E-1 - Razan Muhammad Ihsan Solihin</v>
      </c>
    </row>
    <row r="876">
      <c r="A876" s="3" t="str">
        <f>IFERROR(__xludf.DUMMYFUNCTION("""COMPUTED_VALUE"""),"0099920490 / 242510352")</f>
        <v>0099920490 / 242510352</v>
      </c>
      <c r="B876" s="3" t="str">
        <f>IFERROR(__xludf.DUMMYFUNCTION("""COMPUTED_VALUE"""),"Rifqi Anindya Putra")</f>
        <v>Rifqi Anindya Putra</v>
      </c>
      <c r="C876" s="3" t="str">
        <f>IFERROR(__xludf.DUMMYFUNCTION("""COMPUTED_VALUE"""),"L")</f>
        <v>L</v>
      </c>
      <c r="D876" s="3">
        <f>IFERROR(__xludf.DUMMYFUNCTION("""COMPUTED_VALUE"""),32.0)</f>
        <v>32</v>
      </c>
      <c r="E876" s="3" t="str">
        <f>IFERROR(__xludf.DUMMYFUNCTION("""COMPUTED_VALUE"""),"XI E-1")</f>
        <v>XI E-1</v>
      </c>
      <c r="F876" s="11" t="str">
        <f>IFERROR(__xludf.DUMMYFUNCTION("""COMPUTED_VALUE"""),"32 - XI E-1 - Rifqi Anindya Putra")</f>
        <v>32 - XI E-1 - Rifqi Anindya Putra</v>
      </c>
    </row>
    <row r="877">
      <c r="A877" s="3" t="str">
        <f>IFERROR(__xludf.DUMMYFUNCTION("""COMPUTED_VALUE"""),"0094865307 / 242510360")</f>
        <v>0094865307 / 242510360</v>
      </c>
      <c r="B877" s="3" t="str">
        <f>IFERROR(__xludf.DUMMYFUNCTION("""COMPUTED_VALUE"""),"Sabika Zaura Khumairo")</f>
        <v>Sabika Zaura Khumairo</v>
      </c>
      <c r="C877" s="3" t="str">
        <f>IFERROR(__xludf.DUMMYFUNCTION("""COMPUTED_VALUE"""),"P")</f>
        <v>P</v>
      </c>
      <c r="D877" s="3">
        <f>IFERROR(__xludf.DUMMYFUNCTION("""COMPUTED_VALUE"""),32.0)</f>
        <v>32</v>
      </c>
      <c r="E877" s="3" t="str">
        <f>IFERROR(__xludf.DUMMYFUNCTION("""COMPUTED_VALUE"""),"XI E-1")</f>
        <v>XI E-1</v>
      </c>
      <c r="F877" s="11" t="str">
        <f>IFERROR(__xludf.DUMMYFUNCTION("""COMPUTED_VALUE"""),"32 - XI E-1 - Sabika Zaura Khumairo")</f>
        <v>32 - XI E-1 - Sabika Zaura Khumairo</v>
      </c>
    </row>
    <row r="878">
      <c r="A878" s="3" t="str">
        <f>IFERROR(__xludf.DUMMYFUNCTION("""COMPUTED_VALUE"""),"0093523017 / 242510378")</f>
        <v>0093523017 / 242510378</v>
      </c>
      <c r="B878" s="3" t="str">
        <f>IFERROR(__xludf.DUMMYFUNCTION("""COMPUTED_VALUE"""),"Savrya Alwi Amani")</f>
        <v>Savrya Alwi Amani</v>
      </c>
      <c r="C878" s="3" t="str">
        <f>IFERROR(__xludf.DUMMYFUNCTION("""COMPUTED_VALUE"""),"L")</f>
        <v>L</v>
      </c>
      <c r="D878" s="3">
        <f>IFERROR(__xludf.DUMMYFUNCTION("""COMPUTED_VALUE"""),32.0)</f>
        <v>32</v>
      </c>
      <c r="E878" s="3" t="str">
        <f>IFERROR(__xludf.DUMMYFUNCTION("""COMPUTED_VALUE"""),"XI E-1")</f>
        <v>XI E-1</v>
      </c>
      <c r="F878" s="11" t="str">
        <f>IFERROR(__xludf.DUMMYFUNCTION("""COMPUTED_VALUE"""),"32 - XI E-1 - Savrya Alwi Amani")</f>
        <v>32 - XI E-1 - Savrya Alwi Amani</v>
      </c>
    </row>
    <row r="879">
      <c r="A879" s="3" t="str">
        <f>IFERROR(__xludf.DUMMYFUNCTION("""COMPUTED_VALUE"""),"0094426892 / 242510424")</f>
        <v>0094426892 / 242510424</v>
      </c>
      <c r="B879" s="3" t="str">
        <f>IFERROR(__xludf.DUMMYFUNCTION("""COMPUTED_VALUE"""),"Zaina Husniyati Hamdani")</f>
        <v>Zaina Husniyati Hamdani</v>
      </c>
      <c r="C879" s="3" t="str">
        <f>IFERROR(__xludf.DUMMYFUNCTION("""COMPUTED_VALUE"""),"P")</f>
        <v>P</v>
      </c>
      <c r="D879" s="3">
        <f>IFERROR(__xludf.DUMMYFUNCTION("""COMPUTED_VALUE"""),32.0)</f>
        <v>32</v>
      </c>
      <c r="E879" s="3" t="str">
        <f>IFERROR(__xludf.DUMMYFUNCTION("""COMPUTED_VALUE"""),"XI E-1")</f>
        <v>XI E-1</v>
      </c>
      <c r="F879" s="11" t="str">
        <f>IFERROR(__xludf.DUMMYFUNCTION("""COMPUTED_VALUE"""),"32 - XI E-1 - Zaina Husniyati Hamdani")</f>
        <v>32 - XI E-1 - Zaina Husniyati Hamdani</v>
      </c>
    </row>
    <row r="880">
      <c r="A880" s="3" t="str">
        <f>IFERROR(__xludf.DUMMYFUNCTION("""COMPUTED_VALUE"""),"0082670071 / 242510429")</f>
        <v>0082670071 / 242510429</v>
      </c>
      <c r="B880" s="3" t="str">
        <f>IFERROR(__xludf.DUMMYFUNCTION("""COMPUTED_VALUE"""),"Zhafran Ramadhan Drajat Sukma")</f>
        <v>Zhafran Ramadhan Drajat Sukma</v>
      </c>
      <c r="C880" s="3" t="str">
        <f>IFERROR(__xludf.DUMMYFUNCTION("""COMPUTED_VALUE"""),"L")</f>
        <v>L</v>
      </c>
      <c r="D880" s="3">
        <f>IFERROR(__xludf.DUMMYFUNCTION("""COMPUTED_VALUE"""),32.0)</f>
        <v>32</v>
      </c>
      <c r="E880" s="3" t="str">
        <f>IFERROR(__xludf.DUMMYFUNCTION("""COMPUTED_VALUE"""),"XI E-1")</f>
        <v>XI E-1</v>
      </c>
      <c r="F880" s="11" t="str">
        <f>IFERROR(__xludf.DUMMYFUNCTION("""COMPUTED_VALUE"""),"32 - XI E-1 - Zhafran Ramadhan Drajat Sukma")</f>
        <v>32 - XI E-1 - Zhafran Ramadhan Drajat Sukma</v>
      </c>
    </row>
    <row r="881">
      <c r="A881" s="3" t="str">
        <f>IFERROR(__xludf.DUMMYFUNCTION("""COMPUTED_VALUE"""),"0098441334 / 242510029")</f>
        <v>0098441334 / 242510029</v>
      </c>
      <c r="B881" s="3" t="str">
        <f>IFERROR(__xludf.DUMMYFUNCTION("""COMPUTED_VALUE"""),"Almira Chairunnisa Imawan")</f>
        <v>Almira Chairunnisa Imawan</v>
      </c>
      <c r="C881" s="3" t="str">
        <f>IFERROR(__xludf.DUMMYFUNCTION("""COMPUTED_VALUE"""),"P")</f>
        <v>P</v>
      </c>
      <c r="D881" s="3">
        <f>IFERROR(__xludf.DUMMYFUNCTION("""COMPUTED_VALUE"""),32.0)</f>
        <v>32</v>
      </c>
      <c r="E881" s="3" t="str">
        <f>IFERROR(__xludf.DUMMYFUNCTION("""COMPUTED_VALUE"""),"XI E-2")</f>
        <v>XI E-2</v>
      </c>
      <c r="F881" s="11" t="str">
        <f>IFERROR(__xludf.DUMMYFUNCTION("""COMPUTED_VALUE"""),"32 - XI E-2 - Almira Chairunnisa Imawan")</f>
        <v>32 - XI E-2 - Almira Chairunnisa Imawan</v>
      </c>
    </row>
    <row r="882">
      <c r="A882" s="3" t="str">
        <f>IFERROR(__xludf.DUMMYFUNCTION("""COMPUTED_VALUE"""),"0095916190 / 242510033")</f>
        <v>0095916190 / 242510033</v>
      </c>
      <c r="B882" s="3" t="str">
        <f>IFERROR(__xludf.DUMMYFUNCTION("""COMPUTED_VALUE"""),"Althafunisa Radisty Samiadji")</f>
        <v>Althafunisa Radisty Samiadji</v>
      </c>
      <c r="C882" s="3" t="str">
        <f>IFERROR(__xludf.DUMMYFUNCTION("""COMPUTED_VALUE"""),"P")</f>
        <v>P</v>
      </c>
      <c r="D882" s="3">
        <f>IFERROR(__xludf.DUMMYFUNCTION("""COMPUTED_VALUE"""),32.0)</f>
        <v>32</v>
      </c>
      <c r="E882" s="3" t="str">
        <f>IFERROR(__xludf.DUMMYFUNCTION("""COMPUTED_VALUE"""),"XI E-2")</f>
        <v>XI E-2</v>
      </c>
      <c r="F882" s="11" t="str">
        <f>IFERROR(__xludf.DUMMYFUNCTION("""COMPUTED_VALUE"""),"32 - XI E-2 - Althafunisa Radisty Samiadji")</f>
        <v>32 - XI E-2 - Althafunisa Radisty Samiadji</v>
      </c>
    </row>
    <row r="883">
      <c r="A883" s="3" t="str">
        <f>IFERROR(__xludf.DUMMYFUNCTION("""COMPUTED_VALUE"""),"0093270004 / 242510040")</f>
        <v>0093270004 / 242510040</v>
      </c>
      <c r="B883" s="3" t="str">
        <f>IFERROR(__xludf.DUMMYFUNCTION("""COMPUTED_VALUE"""),"Amora Romadearni Sinaga")</f>
        <v>Amora Romadearni Sinaga</v>
      </c>
      <c r="C883" s="3" t="str">
        <f>IFERROR(__xludf.DUMMYFUNCTION("""COMPUTED_VALUE"""),"P")</f>
        <v>P</v>
      </c>
      <c r="D883" s="3">
        <f>IFERROR(__xludf.DUMMYFUNCTION("""COMPUTED_VALUE"""),32.0)</f>
        <v>32</v>
      </c>
      <c r="E883" s="3" t="str">
        <f>IFERROR(__xludf.DUMMYFUNCTION("""COMPUTED_VALUE"""),"XI E-2")</f>
        <v>XI E-2</v>
      </c>
      <c r="F883" s="11" t="str">
        <f>IFERROR(__xludf.DUMMYFUNCTION("""COMPUTED_VALUE"""),"32 - XI E-2 - Amora Romadearni Sinaga")</f>
        <v>32 - XI E-2 - Amora Romadearni Sinaga</v>
      </c>
    </row>
    <row r="884">
      <c r="A884" s="3" t="str">
        <f>IFERROR(__xludf.DUMMYFUNCTION("""COMPUTED_VALUE"""),"0081317101 / 242510043")</f>
        <v>0081317101 / 242510043</v>
      </c>
      <c r="B884" s="3" t="str">
        <f>IFERROR(__xludf.DUMMYFUNCTION("""COMPUTED_VALUE"""),"Andika Artha Kusuma")</f>
        <v>Andika Artha Kusuma</v>
      </c>
      <c r="C884" s="3" t="str">
        <f>IFERROR(__xludf.DUMMYFUNCTION("""COMPUTED_VALUE"""),"L")</f>
        <v>L</v>
      </c>
      <c r="D884" s="3">
        <f>IFERROR(__xludf.DUMMYFUNCTION("""COMPUTED_VALUE"""),32.0)</f>
        <v>32</v>
      </c>
      <c r="E884" s="3" t="str">
        <f>IFERROR(__xludf.DUMMYFUNCTION("""COMPUTED_VALUE"""),"XI E-2")</f>
        <v>XI E-2</v>
      </c>
      <c r="F884" s="11" t="str">
        <f>IFERROR(__xludf.DUMMYFUNCTION("""COMPUTED_VALUE"""),"32 - XI E-2 - Andika Artha Kusuma")</f>
        <v>32 - XI E-2 - Andika Artha Kusuma</v>
      </c>
    </row>
    <row r="885">
      <c r="A885" s="3" t="str">
        <f>IFERROR(__xludf.DUMMYFUNCTION("""COMPUTED_VALUE"""),"0088625335 / 242510062")</f>
        <v>0088625335 / 242510062</v>
      </c>
      <c r="B885" s="3" t="str">
        <f>IFERROR(__xludf.DUMMYFUNCTION("""COMPUTED_VALUE"""),"Atha Rezky Riyansyah")</f>
        <v>Atha Rezky Riyansyah</v>
      </c>
      <c r="C885" s="3" t="str">
        <f>IFERROR(__xludf.DUMMYFUNCTION("""COMPUTED_VALUE"""),"L")</f>
        <v>L</v>
      </c>
      <c r="D885" s="3">
        <f>IFERROR(__xludf.DUMMYFUNCTION("""COMPUTED_VALUE"""),32.0)</f>
        <v>32</v>
      </c>
      <c r="E885" s="3" t="str">
        <f>IFERROR(__xludf.DUMMYFUNCTION("""COMPUTED_VALUE"""),"XI E-2")</f>
        <v>XI E-2</v>
      </c>
      <c r="F885" s="11" t="str">
        <f>IFERROR(__xludf.DUMMYFUNCTION("""COMPUTED_VALUE"""),"32 - XI E-2 - Atha Rezky Riyansyah")</f>
        <v>32 - XI E-2 - Atha Rezky Riyansyah</v>
      </c>
    </row>
    <row r="886">
      <c r="A886" s="3" t="str">
        <f>IFERROR(__xludf.DUMMYFUNCTION("""COMPUTED_VALUE"""),"0084865750 / 242510075")</f>
        <v>0084865750 / 242510075</v>
      </c>
      <c r="B886" s="3" t="str">
        <f>IFERROR(__xludf.DUMMYFUNCTION("""COMPUTED_VALUE"""),"Ayu Widyaningsih")</f>
        <v>Ayu Widyaningsih</v>
      </c>
      <c r="C886" s="3" t="str">
        <f>IFERROR(__xludf.DUMMYFUNCTION("""COMPUTED_VALUE"""),"P")</f>
        <v>P</v>
      </c>
      <c r="D886" s="3">
        <f>IFERROR(__xludf.DUMMYFUNCTION("""COMPUTED_VALUE"""),32.0)</f>
        <v>32</v>
      </c>
      <c r="E886" s="3" t="str">
        <f>IFERROR(__xludf.DUMMYFUNCTION("""COMPUTED_VALUE"""),"XI E-2")</f>
        <v>XI E-2</v>
      </c>
      <c r="F886" s="11" t="str">
        <f>IFERROR(__xludf.DUMMYFUNCTION("""COMPUTED_VALUE"""),"32 - XI E-2 - Ayu Widyaningsih")</f>
        <v>32 - XI E-2 - Ayu Widyaningsih</v>
      </c>
    </row>
    <row r="887">
      <c r="A887" s="3" t="str">
        <f>IFERROR(__xludf.DUMMYFUNCTION("""COMPUTED_VALUE"""),"0089373986 / 242510076")</f>
        <v>0089373986 / 242510076</v>
      </c>
      <c r="B887" s="3" t="str">
        <f>IFERROR(__xludf.DUMMYFUNCTION("""COMPUTED_VALUE"""),"Ayudias Raina Zara")</f>
        <v>Ayudias Raina Zara</v>
      </c>
      <c r="C887" s="3" t="str">
        <f>IFERROR(__xludf.DUMMYFUNCTION("""COMPUTED_VALUE"""),"P")</f>
        <v>P</v>
      </c>
      <c r="D887" s="3">
        <f>IFERROR(__xludf.DUMMYFUNCTION("""COMPUTED_VALUE"""),32.0)</f>
        <v>32</v>
      </c>
      <c r="E887" s="3" t="str">
        <f>IFERROR(__xludf.DUMMYFUNCTION("""COMPUTED_VALUE"""),"XI E-2")</f>
        <v>XI E-2</v>
      </c>
      <c r="F887" s="11" t="str">
        <f>IFERROR(__xludf.DUMMYFUNCTION("""COMPUTED_VALUE"""),"32 - XI E-2 - Ayudias Raina Zara")</f>
        <v>32 - XI E-2 - Ayudias Raina Zara</v>
      </c>
    </row>
    <row r="888">
      <c r="A888" s="3" t="str">
        <f>IFERROR(__xludf.DUMMYFUNCTION("""COMPUTED_VALUE"""),"0094394514 / 242510082")</f>
        <v>0094394514 / 242510082</v>
      </c>
      <c r="B888" s="3" t="str">
        <f>IFERROR(__xludf.DUMMYFUNCTION("""COMPUTED_VALUE"""),"Barep Agha Rioyo")</f>
        <v>Barep Agha Rioyo</v>
      </c>
      <c r="C888" s="3" t="str">
        <f>IFERROR(__xludf.DUMMYFUNCTION("""COMPUTED_VALUE"""),"L")</f>
        <v>L</v>
      </c>
      <c r="D888" s="3">
        <f>IFERROR(__xludf.DUMMYFUNCTION("""COMPUTED_VALUE"""),32.0)</f>
        <v>32</v>
      </c>
      <c r="E888" s="3" t="str">
        <f>IFERROR(__xludf.DUMMYFUNCTION("""COMPUTED_VALUE"""),"XI E-2")</f>
        <v>XI E-2</v>
      </c>
      <c r="F888" s="11" t="str">
        <f>IFERROR(__xludf.DUMMYFUNCTION("""COMPUTED_VALUE"""),"32 - XI E-2 - Barep Agha Rioyo")</f>
        <v>32 - XI E-2 - Barep Agha Rioyo</v>
      </c>
    </row>
    <row r="889">
      <c r="A889" s="3" t="str">
        <f>IFERROR(__xludf.DUMMYFUNCTION("""COMPUTED_VALUE"""),"0093616890 / 242510097")</f>
        <v>0093616890 / 242510097</v>
      </c>
      <c r="B889" s="3" t="str">
        <f>IFERROR(__xludf.DUMMYFUNCTION("""COMPUTED_VALUE"""),"Daffa Diaz Arsya Bashari")</f>
        <v>Daffa Diaz Arsya Bashari</v>
      </c>
      <c r="C889" s="3" t="str">
        <f>IFERROR(__xludf.DUMMYFUNCTION("""COMPUTED_VALUE"""),"L")</f>
        <v>L</v>
      </c>
      <c r="D889" s="3">
        <f>IFERROR(__xludf.DUMMYFUNCTION("""COMPUTED_VALUE"""),32.0)</f>
        <v>32</v>
      </c>
      <c r="E889" s="3" t="str">
        <f>IFERROR(__xludf.DUMMYFUNCTION("""COMPUTED_VALUE"""),"XI E-2")</f>
        <v>XI E-2</v>
      </c>
      <c r="F889" s="11" t="str">
        <f>IFERROR(__xludf.DUMMYFUNCTION("""COMPUTED_VALUE"""),"32 - XI E-2 - Daffa Diaz Arsya Bashari")</f>
        <v>32 - XI E-2 - Daffa Diaz Arsya Bashari</v>
      </c>
    </row>
    <row r="890">
      <c r="A890" s="3" t="str">
        <f>IFERROR(__xludf.DUMMYFUNCTION("""COMPUTED_VALUE"""),"0092463348 / 242510100")</f>
        <v>0092463348 / 242510100</v>
      </c>
      <c r="B890" s="3" t="str">
        <f>IFERROR(__xludf.DUMMYFUNCTION("""COMPUTED_VALUE"""),"Danish Alghifari")</f>
        <v>Danish Alghifari</v>
      </c>
      <c r="C890" s="3" t="str">
        <f>IFERROR(__xludf.DUMMYFUNCTION("""COMPUTED_VALUE"""),"L")</f>
        <v>L</v>
      </c>
      <c r="D890" s="3">
        <f>IFERROR(__xludf.DUMMYFUNCTION("""COMPUTED_VALUE"""),32.0)</f>
        <v>32</v>
      </c>
      <c r="E890" s="3" t="str">
        <f>IFERROR(__xludf.DUMMYFUNCTION("""COMPUTED_VALUE"""),"XI E-2")</f>
        <v>XI E-2</v>
      </c>
      <c r="F890" s="11" t="str">
        <f>IFERROR(__xludf.DUMMYFUNCTION("""COMPUTED_VALUE"""),"32 - XI E-2 - Danish Alghifari")</f>
        <v>32 - XI E-2 - Danish Alghifari</v>
      </c>
    </row>
    <row r="891">
      <c r="A891" s="3" t="str">
        <f>IFERROR(__xludf.DUMMYFUNCTION("""COMPUTED_VALUE"""),"0087035501 / 242510131")</f>
        <v>0087035501 / 242510131</v>
      </c>
      <c r="B891" s="3" t="str">
        <f>IFERROR(__xludf.DUMMYFUNCTION("""COMPUTED_VALUE"""),"Faiz Alfariz")</f>
        <v>Faiz Alfariz</v>
      </c>
      <c r="C891" s="3" t="str">
        <f>IFERROR(__xludf.DUMMYFUNCTION("""COMPUTED_VALUE"""),"L")</f>
        <v>L</v>
      </c>
      <c r="D891" s="3">
        <f>IFERROR(__xludf.DUMMYFUNCTION("""COMPUTED_VALUE"""),32.0)</f>
        <v>32</v>
      </c>
      <c r="E891" s="3" t="str">
        <f>IFERROR(__xludf.DUMMYFUNCTION("""COMPUTED_VALUE"""),"XI E-2")</f>
        <v>XI E-2</v>
      </c>
      <c r="F891" s="11" t="str">
        <f>IFERROR(__xludf.DUMMYFUNCTION("""COMPUTED_VALUE"""),"32 - XI E-2 - Faiz Alfariz")</f>
        <v>32 - XI E-2 - Faiz Alfariz</v>
      </c>
    </row>
    <row r="892">
      <c r="A892" s="3" t="str">
        <f>IFERROR(__xludf.DUMMYFUNCTION("""COMPUTED_VALUE"""),"0097179421 / 242510163")</f>
        <v>0097179421 / 242510163</v>
      </c>
      <c r="B892" s="3" t="str">
        <f>IFERROR(__xludf.DUMMYFUNCTION("""COMPUTED_VALUE"""),"Heru Kurnia")</f>
        <v>Heru Kurnia</v>
      </c>
      <c r="C892" s="3" t="str">
        <f>IFERROR(__xludf.DUMMYFUNCTION("""COMPUTED_VALUE"""),"L")</f>
        <v>L</v>
      </c>
      <c r="D892" s="3">
        <f>IFERROR(__xludf.DUMMYFUNCTION("""COMPUTED_VALUE"""),32.0)</f>
        <v>32</v>
      </c>
      <c r="E892" s="3" t="str">
        <f>IFERROR(__xludf.DUMMYFUNCTION("""COMPUTED_VALUE"""),"XI E-2")</f>
        <v>XI E-2</v>
      </c>
      <c r="F892" s="11" t="str">
        <f>IFERROR(__xludf.DUMMYFUNCTION("""COMPUTED_VALUE"""),"32 - XI E-2 - Heru Kurnia")</f>
        <v>32 - XI E-2 - Heru Kurnia</v>
      </c>
    </row>
    <row r="893">
      <c r="A893" s="3" t="str">
        <f>IFERROR(__xludf.DUMMYFUNCTION("""COMPUTED_VALUE"""),"0084853605 / 242510164")</f>
        <v>0084853605 / 242510164</v>
      </c>
      <c r="B893" s="3" t="str">
        <f>IFERROR(__xludf.DUMMYFUNCTION("""COMPUTED_VALUE"""),"Hibban Abdurrahman")</f>
        <v>Hibban Abdurrahman</v>
      </c>
      <c r="C893" s="3" t="str">
        <f>IFERROR(__xludf.DUMMYFUNCTION("""COMPUTED_VALUE"""),"L")</f>
        <v>L</v>
      </c>
      <c r="D893" s="3">
        <f>IFERROR(__xludf.DUMMYFUNCTION("""COMPUTED_VALUE"""),32.0)</f>
        <v>32</v>
      </c>
      <c r="E893" s="3" t="str">
        <f>IFERROR(__xludf.DUMMYFUNCTION("""COMPUTED_VALUE"""),"XI E-2")</f>
        <v>XI E-2</v>
      </c>
      <c r="F893" s="11" t="str">
        <f>IFERROR(__xludf.DUMMYFUNCTION("""COMPUTED_VALUE"""),"32 - XI E-2 - Hibban Abdurrahman")</f>
        <v>32 - XI E-2 - Hibban Abdurrahman</v>
      </c>
    </row>
    <row r="894">
      <c r="A894" s="3" t="str">
        <f>IFERROR(__xludf.DUMMYFUNCTION("""COMPUTED_VALUE"""),"3092618789 / 242510170")</f>
        <v>3092618789 / 242510170</v>
      </c>
      <c r="B894" s="3" t="str">
        <f>IFERROR(__xludf.DUMMYFUNCTION("""COMPUTED_VALUE"""),"Imam Al Ashfia Prastomo")</f>
        <v>Imam Al Ashfia Prastomo</v>
      </c>
      <c r="C894" s="3" t="str">
        <f>IFERROR(__xludf.DUMMYFUNCTION("""COMPUTED_VALUE"""),"L")</f>
        <v>L</v>
      </c>
      <c r="D894" s="3">
        <f>IFERROR(__xludf.DUMMYFUNCTION("""COMPUTED_VALUE"""),32.0)</f>
        <v>32</v>
      </c>
      <c r="E894" s="3" t="str">
        <f>IFERROR(__xludf.DUMMYFUNCTION("""COMPUTED_VALUE"""),"XI E-2")</f>
        <v>XI E-2</v>
      </c>
      <c r="F894" s="11" t="str">
        <f>IFERROR(__xludf.DUMMYFUNCTION("""COMPUTED_VALUE"""),"32 - XI E-2 - Imam Al Ashfia Prastomo")</f>
        <v>32 - XI E-2 - Imam Al Ashfia Prastomo</v>
      </c>
    </row>
    <row r="895">
      <c r="A895" s="3" t="str">
        <f>IFERROR(__xludf.DUMMYFUNCTION("""COMPUTED_VALUE"""),"0092821103 / 242510174")</f>
        <v>0092821103 / 242510174</v>
      </c>
      <c r="B895" s="3" t="str">
        <f>IFERROR(__xludf.DUMMYFUNCTION("""COMPUTED_VALUE"""),"Irsyad Nabihan")</f>
        <v>Irsyad Nabihan</v>
      </c>
      <c r="C895" s="3" t="str">
        <f>IFERROR(__xludf.DUMMYFUNCTION("""COMPUTED_VALUE"""),"L")</f>
        <v>L</v>
      </c>
      <c r="D895" s="3">
        <f>IFERROR(__xludf.DUMMYFUNCTION("""COMPUTED_VALUE"""),32.0)</f>
        <v>32</v>
      </c>
      <c r="E895" s="3" t="str">
        <f>IFERROR(__xludf.DUMMYFUNCTION("""COMPUTED_VALUE"""),"XI E-2")</f>
        <v>XI E-2</v>
      </c>
      <c r="F895" s="11" t="str">
        <f>IFERROR(__xludf.DUMMYFUNCTION("""COMPUTED_VALUE"""),"32 - XI E-2 - Irsyad Nabihan")</f>
        <v>32 - XI E-2 - Irsyad Nabihan</v>
      </c>
    </row>
    <row r="896">
      <c r="A896" s="3" t="str">
        <f>IFERROR(__xludf.DUMMYFUNCTION("""COMPUTED_VALUE"""),"0082472809 / 242510177")</f>
        <v>0082472809 / 242510177</v>
      </c>
      <c r="B896" s="3" t="str">
        <f>IFERROR(__xludf.DUMMYFUNCTION("""COMPUTED_VALUE"""),"Javasanda Putra Perdana")</f>
        <v>Javasanda Putra Perdana</v>
      </c>
      <c r="C896" s="3" t="str">
        <f>IFERROR(__xludf.DUMMYFUNCTION("""COMPUTED_VALUE"""),"L")</f>
        <v>L</v>
      </c>
      <c r="D896" s="3">
        <f>IFERROR(__xludf.DUMMYFUNCTION("""COMPUTED_VALUE"""),32.0)</f>
        <v>32</v>
      </c>
      <c r="E896" s="3" t="str">
        <f>IFERROR(__xludf.DUMMYFUNCTION("""COMPUTED_VALUE"""),"XI E-2")</f>
        <v>XI E-2</v>
      </c>
      <c r="F896" s="11" t="str">
        <f>IFERROR(__xludf.DUMMYFUNCTION("""COMPUTED_VALUE"""),"32 - XI E-2 - Javasanda Putra Perdana")</f>
        <v>32 - XI E-2 - Javasanda Putra Perdana</v>
      </c>
    </row>
    <row r="897">
      <c r="A897" s="3" t="str">
        <f>IFERROR(__xludf.DUMMYFUNCTION("""COMPUTED_VALUE"""),"3091944997 / 242510210")</f>
        <v>3091944997 / 242510210</v>
      </c>
      <c r="B897" s="3" t="str">
        <f>IFERROR(__xludf.DUMMYFUNCTION("""COMPUTED_VALUE"""),"Lais Yusuf Ghazali")</f>
        <v>Lais Yusuf Ghazali</v>
      </c>
      <c r="C897" s="3" t="str">
        <f>IFERROR(__xludf.DUMMYFUNCTION("""COMPUTED_VALUE"""),"L")</f>
        <v>L</v>
      </c>
      <c r="D897" s="3">
        <f>IFERROR(__xludf.DUMMYFUNCTION("""COMPUTED_VALUE"""),32.0)</f>
        <v>32</v>
      </c>
      <c r="E897" s="3" t="str">
        <f>IFERROR(__xludf.DUMMYFUNCTION("""COMPUTED_VALUE"""),"XI E-2")</f>
        <v>XI E-2</v>
      </c>
      <c r="F897" s="11" t="str">
        <f>IFERROR(__xludf.DUMMYFUNCTION("""COMPUTED_VALUE"""),"32 - XI E-2 - Lais Yusuf Ghazali")</f>
        <v>32 - XI E-2 - Lais Yusuf Ghazali</v>
      </c>
    </row>
    <row r="898">
      <c r="A898" s="3" t="str">
        <f>IFERROR(__xludf.DUMMYFUNCTION("""COMPUTED_VALUE"""),"0081087411 / 242510224")</f>
        <v>0081087411 / 242510224</v>
      </c>
      <c r="B898" s="3" t="str">
        <f>IFERROR(__xludf.DUMMYFUNCTION("""COMPUTED_VALUE"""),"Marcel Tri Hermawan")</f>
        <v>Marcel Tri Hermawan</v>
      </c>
      <c r="C898" s="3" t="str">
        <f>IFERROR(__xludf.DUMMYFUNCTION("""COMPUTED_VALUE"""),"L")</f>
        <v>L</v>
      </c>
      <c r="D898" s="3">
        <f>IFERROR(__xludf.DUMMYFUNCTION("""COMPUTED_VALUE"""),32.0)</f>
        <v>32</v>
      </c>
      <c r="E898" s="3" t="str">
        <f>IFERROR(__xludf.DUMMYFUNCTION("""COMPUTED_VALUE"""),"XI E-2")</f>
        <v>XI E-2</v>
      </c>
      <c r="F898" s="11" t="str">
        <f>IFERROR(__xludf.DUMMYFUNCTION("""COMPUTED_VALUE"""),"32 - XI E-2 - Marcel Tri Hermawan")</f>
        <v>32 - XI E-2 - Marcel Tri Hermawan</v>
      </c>
    </row>
    <row r="899">
      <c r="A899" s="3" t="str">
        <f>IFERROR(__xludf.DUMMYFUNCTION("""COMPUTED_VALUE"""),"0094864081 / 242510250")</f>
        <v>0094864081 / 242510250</v>
      </c>
      <c r="B899" s="3" t="str">
        <f>IFERROR(__xludf.DUMMYFUNCTION("""COMPUTED_VALUE"""),"Muhammad Ammar Firdaus Putra")</f>
        <v>Muhammad Ammar Firdaus Putra</v>
      </c>
      <c r="C899" s="3" t="str">
        <f>IFERROR(__xludf.DUMMYFUNCTION("""COMPUTED_VALUE"""),"L")</f>
        <v>L</v>
      </c>
      <c r="D899" s="3">
        <f>IFERROR(__xludf.DUMMYFUNCTION("""COMPUTED_VALUE"""),32.0)</f>
        <v>32</v>
      </c>
      <c r="E899" s="3" t="str">
        <f>IFERROR(__xludf.DUMMYFUNCTION("""COMPUTED_VALUE"""),"XI E-2")</f>
        <v>XI E-2</v>
      </c>
      <c r="F899" s="11" t="str">
        <f>IFERROR(__xludf.DUMMYFUNCTION("""COMPUTED_VALUE"""),"32 - XI E-2 - Muhammad Ammar Firdaus Putra")</f>
        <v>32 - XI E-2 - Muhammad Ammar Firdaus Putra</v>
      </c>
    </row>
    <row r="900">
      <c r="A900" s="3" t="str">
        <f>IFERROR(__xludf.DUMMYFUNCTION("""COMPUTED_VALUE"""),"0095937371 / 242510263")</f>
        <v>0095937371 / 242510263</v>
      </c>
      <c r="B900" s="3" t="str">
        <f>IFERROR(__xludf.DUMMYFUNCTION("""COMPUTED_VALUE"""),"Muhammad Fikra Burhamzah")</f>
        <v>Muhammad Fikra Burhamzah</v>
      </c>
      <c r="C900" s="3" t="str">
        <f>IFERROR(__xludf.DUMMYFUNCTION("""COMPUTED_VALUE"""),"L")</f>
        <v>L</v>
      </c>
      <c r="D900" s="3">
        <f>IFERROR(__xludf.DUMMYFUNCTION("""COMPUTED_VALUE"""),32.0)</f>
        <v>32</v>
      </c>
      <c r="E900" s="3" t="str">
        <f>IFERROR(__xludf.DUMMYFUNCTION("""COMPUTED_VALUE"""),"XI E-2")</f>
        <v>XI E-2</v>
      </c>
      <c r="F900" s="11" t="str">
        <f>IFERROR(__xludf.DUMMYFUNCTION("""COMPUTED_VALUE"""),"32 - XI E-2 - Muhammad Fikra Burhamzah")</f>
        <v>32 - XI E-2 - Muhammad Fikra Burhamzah</v>
      </c>
    </row>
    <row r="901">
      <c r="A901" s="3" t="str">
        <f>IFERROR(__xludf.DUMMYFUNCTION("""COMPUTED_VALUE"""),"0088807404 / 242510264")</f>
        <v>0088807404 / 242510264</v>
      </c>
      <c r="B901" s="3" t="str">
        <f>IFERROR(__xludf.DUMMYFUNCTION("""COMPUTED_VALUE"""),"Muhammad Ghaizyan Athar")</f>
        <v>Muhammad Ghaizyan Athar</v>
      </c>
      <c r="C901" s="3" t="str">
        <f>IFERROR(__xludf.DUMMYFUNCTION("""COMPUTED_VALUE"""),"L")</f>
        <v>L</v>
      </c>
      <c r="D901" s="3">
        <f>IFERROR(__xludf.DUMMYFUNCTION("""COMPUTED_VALUE"""),32.0)</f>
        <v>32</v>
      </c>
      <c r="E901" s="3" t="str">
        <f>IFERROR(__xludf.DUMMYFUNCTION("""COMPUTED_VALUE"""),"XI E-2")</f>
        <v>XI E-2</v>
      </c>
      <c r="F901" s="11" t="str">
        <f>IFERROR(__xludf.DUMMYFUNCTION("""COMPUTED_VALUE"""),"32 - XI E-2 - Muhammad Ghaizyan Athar")</f>
        <v>32 - XI E-2 - Muhammad Ghaizyan Athar</v>
      </c>
    </row>
    <row r="902">
      <c r="A902" s="3" t="str">
        <f>IFERROR(__xludf.DUMMYFUNCTION("""COMPUTED_VALUE"""),"0085810407 / 242510279")</f>
        <v>0085810407 / 242510279</v>
      </c>
      <c r="B902" s="3" t="str">
        <f>IFERROR(__xludf.DUMMYFUNCTION("""COMPUTED_VALUE"""),"Muhammad Syawal")</f>
        <v>Muhammad Syawal</v>
      </c>
      <c r="C902" s="3" t="str">
        <f>IFERROR(__xludf.DUMMYFUNCTION("""COMPUTED_VALUE"""),"L")</f>
        <v>L</v>
      </c>
      <c r="D902" s="3">
        <f>IFERROR(__xludf.DUMMYFUNCTION("""COMPUTED_VALUE"""),32.0)</f>
        <v>32</v>
      </c>
      <c r="E902" s="3" t="str">
        <f>IFERROR(__xludf.DUMMYFUNCTION("""COMPUTED_VALUE"""),"XI E-2")</f>
        <v>XI E-2</v>
      </c>
      <c r="F902" s="11" t="str">
        <f>IFERROR(__xludf.DUMMYFUNCTION("""COMPUTED_VALUE"""),"32 - XI E-2 - Muhammad Syawal")</f>
        <v>32 - XI E-2 - Muhammad Syawal</v>
      </c>
    </row>
    <row r="903">
      <c r="A903" s="3" t="str">
        <f>IFERROR(__xludf.DUMMYFUNCTION("""COMPUTED_VALUE"""),"0082898817 / 242510293")</f>
        <v>0082898817 / 242510293</v>
      </c>
      <c r="B903" s="3" t="str">
        <f>IFERROR(__xludf.DUMMYFUNCTION("""COMPUTED_VALUE"""),"Natanael Nadapdap")</f>
        <v>Natanael Nadapdap</v>
      </c>
      <c r="C903" s="3" t="str">
        <f>IFERROR(__xludf.DUMMYFUNCTION("""COMPUTED_VALUE"""),"L")</f>
        <v>L</v>
      </c>
      <c r="D903" s="3">
        <f>IFERROR(__xludf.DUMMYFUNCTION("""COMPUTED_VALUE"""),32.0)</f>
        <v>32</v>
      </c>
      <c r="E903" s="3" t="str">
        <f>IFERROR(__xludf.DUMMYFUNCTION("""COMPUTED_VALUE"""),"XI E-2")</f>
        <v>XI E-2</v>
      </c>
      <c r="F903" s="11" t="str">
        <f>IFERROR(__xludf.DUMMYFUNCTION("""COMPUTED_VALUE"""),"32 - XI E-2 - Natanael Nadapdap")</f>
        <v>32 - XI E-2 - Natanael Nadapdap</v>
      </c>
    </row>
    <row r="904">
      <c r="A904" s="3" t="str">
        <f>IFERROR(__xludf.DUMMYFUNCTION("""COMPUTED_VALUE"""),"0094465097 / 242510294")</f>
        <v>0094465097 / 242510294</v>
      </c>
      <c r="B904" s="3" t="str">
        <f>IFERROR(__xludf.DUMMYFUNCTION("""COMPUTED_VALUE"""),"Naufal Alghifary Zulya")</f>
        <v>Naufal Alghifary Zulya</v>
      </c>
      <c r="C904" s="3" t="str">
        <f>IFERROR(__xludf.DUMMYFUNCTION("""COMPUTED_VALUE"""),"L")</f>
        <v>L</v>
      </c>
      <c r="D904" s="3">
        <f>IFERROR(__xludf.DUMMYFUNCTION("""COMPUTED_VALUE"""),32.0)</f>
        <v>32</v>
      </c>
      <c r="E904" s="3" t="str">
        <f>IFERROR(__xludf.DUMMYFUNCTION("""COMPUTED_VALUE"""),"XI E-2")</f>
        <v>XI E-2</v>
      </c>
      <c r="F904" s="11" t="str">
        <f>IFERROR(__xludf.DUMMYFUNCTION("""COMPUTED_VALUE"""),"32 - XI E-2 - Naufal Alghifary Zulya")</f>
        <v>32 - XI E-2 - Naufal Alghifary Zulya</v>
      </c>
    </row>
    <row r="905">
      <c r="A905" s="3" t="str">
        <f>IFERROR(__xludf.DUMMYFUNCTION("""COMPUTED_VALUE"""),"0084114869 / 242510322")</f>
        <v>0084114869 / 242510322</v>
      </c>
      <c r="B905" s="3" t="str">
        <f>IFERROR(__xludf.DUMMYFUNCTION("""COMPUTED_VALUE"""),"Putri Wida Az-Zahra")</f>
        <v>Putri Wida Az-Zahra</v>
      </c>
      <c r="C905" s="3" t="str">
        <f>IFERROR(__xludf.DUMMYFUNCTION("""COMPUTED_VALUE"""),"P")</f>
        <v>P</v>
      </c>
      <c r="D905" s="3">
        <f>IFERROR(__xludf.DUMMYFUNCTION("""COMPUTED_VALUE"""),32.0)</f>
        <v>32</v>
      </c>
      <c r="E905" s="3" t="str">
        <f>IFERROR(__xludf.DUMMYFUNCTION("""COMPUTED_VALUE"""),"XI E-2")</f>
        <v>XI E-2</v>
      </c>
      <c r="F905" s="11" t="str">
        <f>IFERROR(__xludf.DUMMYFUNCTION("""COMPUTED_VALUE"""),"32 - XI E-2 - Putri Wida Az-Zahra")</f>
        <v>32 - XI E-2 - Putri Wida Az-Zahra</v>
      </c>
    </row>
    <row r="906">
      <c r="A906" s="3" t="str">
        <f>IFERROR(__xludf.DUMMYFUNCTION("""COMPUTED_VALUE"""),"0092577014 / 242510330")</f>
        <v>0092577014 / 242510330</v>
      </c>
      <c r="B906" s="3" t="str">
        <f>IFERROR(__xludf.DUMMYFUNCTION("""COMPUTED_VALUE"""),"Raden Devan Alanzulfian")</f>
        <v>Raden Devan Alanzulfian</v>
      </c>
      <c r="C906" s="3" t="str">
        <f>IFERROR(__xludf.DUMMYFUNCTION("""COMPUTED_VALUE"""),"L")</f>
        <v>L</v>
      </c>
      <c r="D906" s="3">
        <f>IFERROR(__xludf.DUMMYFUNCTION("""COMPUTED_VALUE"""),32.0)</f>
        <v>32</v>
      </c>
      <c r="E906" s="3" t="str">
        <f>IFERROR(__xludf.DUMMYFUNCTION("""COMPUTED_VALUE"""),"XI E-2")</f>
        <v>XI E-2</v>
      </c>
      <c r="F906" s="11" t="str">
        <f>IFERROR(__xludf.DUMMYFUNCTION("""COMPUTED_VALUE"""),"32 - XI E-2 - Raden Devan Alanzulfian")</f>
        <v>32 - XI E-2 - Raden Devan Alanzulfian</v>
      </c>
    </row>
    <row r="907">
      <c r="A907" s="3" t="str">
        <f>IFERROR(__xludf.DUMMYFUNCTION("""COMPUTED_VALUE"""),"3083166460 / 242510344")</f>
        <v>3083166460 / 242510344</v>
      </c>
      <c r="B907" s="3" t="str">
        <f>IFERROR(__xludf.DUMMYFUNCTION("""COMPUTED_VALUE"""),"Raufan Nabih Firmansyah")</f>
        <v>Raufan Nabih Firmansyah</v>
      </c>
      <c r="C907" s="3" t="str">
        <f>IFERROR(__xludf.DUMMYFUNCTION("""COMPUTED_VALUE"""),"L")</f>
        <v>L</v>
      </c>
      <c r="D907" s="3">
        <f>IFERROR(__xludf.DUMMYFUNCTION("""COMPUTED_VALUE"""),32.0)</f>
        <v>32</v>
      </c>
      <c r="E907" s="3" t="str">
        <f>IFERROR(__xludf.DUMMYFUNCTION("""COMPUTED_VALUE"""),"XI E-2")</f>
        <v>XI E-2</v>
      </c>
      <c r="F907" s="11" t="str">
        <f>IFERROR(__xludf.DUMMYFUNCTION("""COMPUTED_VALUE"""),"32 - XI E-2 - Raufan Nabih Firmansyah")</f>
        <v>32 - XI E-2 - Raufan Nabih Firmansyah</v>
      </c>
    </row>
    <row r="908">
      <c r="A908" s="3" t="str">
        <f>IFERROR(__xludf.DUMMYFUNCTION("""COMPUTED_VALUE"""),"3094789704 / 242510357")</f>
        <v>3094789704 / 242510357</v>
      </c>
      <c r="B908" s="3" t="str">
        <f>IFERROR(__xludf.DUMMYFUNCTION("""COMPUTED_VALUE"""),"Rizky Abdul Bashir Tuharea")</f>
        <v>Rizky Abdul Bashir Tuharea</v>
      </c>
      <c r="C908" s="3" t="str">
        <f>IFERROR(__xludf.DUMMYFUNCTION("""COMPUTED_VALUE"""),"L")</f>
        <v>L</v>
      </c>
      <c r="D908" s="3">
        <f>IFERROR(__xludf.DUMMYFUNCTION("""COMPUTED_VALUE"""),32.0)</f>
        <v>32</v>
      </c>
      <c r="E908" s="3" t="str">
        <f>IFERROR(__xludf.DUMMYFUNCTION("""COMPUTED_VALUE"""),"XI E-2")</f>
        <v>XI E-2</v>
      </c>
      <c r="F908" s="11" t="str">
        <f>IFERROR(__xludf.DUMMYFUNCTION("""COMPUTED_VALUE"""),"32 - XI E-2 - Rizky Abdul Bashir Tuharea")</f>
        <v>32 - XI E-2 - Rizky Abdul Bashir Tuharea</v>
      </c>
    </row>
    <row r="909">
      <c r="A909" s="3" t="str">
        <f>IFERROR(__xludf.DUMMYFUNCTION("""COMPUTED_VALUE"""),"0089336981 / 242510361")</f>
        <v>0089336981 / 242510361</v>
      </c>
      <c r="B909" s="3" t="str">
        <f>IFERROR(__xludf.DUMMYFUNCTION("""COMPUTED_VALUE"""),"Sabrina Firdaus Zahratus Zakaria")</f>
        <v>Sabrina Firdaus Zahratus Zakaria</v>
      </c>
      <c r="C909" s="3" t="str">
        <f>IFERROR(__xludf.DUMMYFUNCTION("""COMPUTED_VALUE"""),"P")</f>
        <v>P</v>
      </c>
      <c r="D909" s="3">
        <f>IFERROR(__xludf.DUMMYFUNCTION("""COMPUTED_VALUE"""),32.0)</f>
        <v>32</v>
      </c>
      <c r="E909" s="3" t="str">
        <f>IFERROR(__xludf.DUMMYFUNCTION("""COMPUTED_VALUE"""),"XI E-2")</f>
        <v>XI E-2</v>
      </c>
      <c r="F909" s="11" t="str">
        <f>IFERROR(__xludf.DUMMYFUNCTION("""COMPUTED_VALUE"""),"32 - XI E-2 - Sabrina Firdaus Zahratus Zakaria")</f>
        <v>32 - XI E-2 - Sabrina Firdaus Zahratus Zakaria</v>
      </c>
    </row>
    <row r="910">
      <c r="A910" s="3" t="str">
        <f>IFERROR(__xludf.DUMMYFUNCTION("""COMPUTED_VALUE"""),"0093441573 / 242510381")</f>
        <v>0093441573 / 242510381</v>
      </c>
      <c r="B910" s="3" t="str">
        <f>IFERROR(__xludf.DUMMYFUNCTION("""COMPUTED_VALUE"""),"Shayang Camila Ahsanie")</f>
        <v>Shayang Camila Ahsanie</v>
      </c>
      <c r="C910" s="3" t="str">
        <f>IFERROR(__xludf.DUMMYFUNCTION("""COMPUTED_VALUE"""),"P")</f>
        <v>P</v>
      </c>
      <c r="D910" s="3">
        <f>IFERROR(__xludf.DUMMYFUNCTION("""COMPUTED_VALUE"""),32.0)</f>
        <v>32</v>
      </c>
      <c r="E910" s="3" t="str">
        <f>IFERROR(__xludf.DUMMYFUNCTION("""COMPUTED_VALUE"""),"XI E-2")</f>
        <v>XI E-2</v>
      </c>
      <c r="F910" s="11" t="str">
        <f>IFERROR(__xludf.DUMMYFUNCTION("""COMPUTED_VALUE"""),"32 - XI E-2 - Shayang Camila Ahsanie")</f>
        <v>32 - XI E-2 - Shayang Camila Ahsanie</v>
      </c>
    </row>
    <row r="911">
      <c r="A911" s="3" t="str">
        <f>IFERROR(__xludf.DUMMYFUNCTION("""COMPUTED_VALUE"""),"0089493881 / 242510384")</f>
        <v>0089493881 / 242510384</v>
      </c>
      <c r="B911" s="3" t="str">
        <f>IFERROR(__xludf.DUMMYFUNCTION("""COMPUTED_VALUE"""),"Sila Nur Fauziah")</f>
        <v>Sila Nur Fauziah</v>
      </c>
      <c r="C911" s="3" t="str">
        <f>IFERROR(__xludf.DUMMYFUNCTION("""COMPUTED_VALUE"""),"P")</f>
        <v>P</v>
      </c>
      <c r="D911" s="3">
        <f>IFERROR(__xludf.DUMMYFUNCTION("""COMPUTED_VALUE"""),32.0)</f>
        <v>32</v>
      </c>
      <c r="E911" s="3" t="str">
        <f>IFERROR(__xludf.DUMMYFUNCTION("""COMPUTED_VALUE"""),"XI E-2")</f>
        <v>XI E-2</v>
      </c>
      <c r="F911" s="11" t="str">
        <f>IFERROR(__xludf.DUMMYFUNCTION("""COMPUTED_VALUE"""),"32 - XI E-2 - Sila Nur Fauziah")</f>
        <v>32 - XI E-2 - Sila Nur Fauziah</v>
      </c>
    </row>
    <row r="912">
      <c r="A912" s="3" t="str">
        <f>IFERROR(__xludf.DUMMYFUNCTION("""COMPUTED_VALUE"""),"0086778655 / 242510386")</f>
        <v>0086778655 / 242510386</v>
      </c>
      <c r="B912" s="3" t="str">
        <f>IFERROR(__xludf.DUMMYFUNCTION("""COMPUTED_VALUE"""),"Surya Rangga Wisuta")</f>
        <v>Surya Rangga Wisuta</v>
      </c>
      <c r="C912" s="3" t="str">
        <f>IFERROR(__xludf.DUMMYFUNCTION("""COMPUTED_VALUE"""),"L")</f>
        <v>L</v>
      </c>
      <c r="D912" s="3">
        <f>IFERROR(__xludf.DUMMYFUNCTION("""COMPUTED_VALUE"""),32.0)</f>
        <v>32</v>
      </c>
      <c r="E912" s="3" t="str">
        <f>IFERROR(__xludf.DUMMYFUNCTION("""COMPUTED_VALUE"""),"XI E-2")</f>
        <v>XI E-2</v>
      </c>
      <c r="F912" s="11" t="str">
        <f>IFERROR(__xludf.DUMMYFUNCTION("""COMPUTED_VALUE"""),"32 - XI E-2 - Surya Rangga Wisuta")</f>
        <v>32 - XI E-2 - Surya Rangga Wisuta</v>
      </c>
    </row>
    <row r="913">
      <c r="A913" s="3" t="str">
        <f>IFERROR(__xludf.DUMMYFUNCTION("""COMPUTED_VALUE"""),"0085904748 / 242510401")</f>
        <v>0085904748 / 242510401</v>
      </c>
      <c r="B913" s="3" t="str">
        <f>IFERROR(__xludf.DUMMYFUNCTION("""COMPUTED_VALUE"""),"Tri Andika")</f>
        <v>Tri Andika</v>
      </c>
      <c r="C913" s="3" t="str">
        <f>IFERROR(__xludf.DUMMYFUNCTION("""COMPUTED_VALUE"""),"L")</f>
        <v>L</v>
      </c>
      <c r="D913" s="3">
        <f>IFERROR(__xludf.DUMMYFUNCTION("""COMPUTED_VALUE"""),32.0)</f>
        <v>32</v>
      </c>
      <c r="E913" s="3" t="str">
        <f>IFERROR(__xludf.DUMMYFUNCTION("""COMPUTED_VALUE"""),"XI E-2")</f>
        <v>XI E-2</v>
      </c>
      <c r="F913" s="11" t="str">
        <f>IFERROR(__xludf.DUMMYFUNCTION("""COMPUTED_VALUE"""),"32 - XI E-2 - Tri Andika")</f>
        <v>32 - XI E-2 - Tri Andika</v>
      </c>
    </row>
    <row r="914">
      <c r="A914" s="3" t="str">
        <f>IFERROR(__xludf.DUMMYFUNCTION("""COMPUTED_VALUE"""),"0084316906 / 242510413")</f>
        <v>0084316906 / 242510413</v>
      </c>
      <c r="B914" s="3" t="str">
        <f>IFERROR(__xludf.DUMMYFUNCTION("""COMPUTED_VALUE"""),"Win Mahara Kuswanto")</f>
        <v>Win Mahara Kuswanto</v>
      </c>
      <c r="C914" s="3" t="str">
        <f>IFERROR(__xludf.DUMMYFUNCTION("""COMPUTED_VALUE"""),"L")</f>
        <v>L</v>
      </c>
      <c r="D914" s="3">
        <f>IFERROR(__xludf.DUMMYFUNCTION("""COMPUTED_VALUE"""),32.0)</f>
        <v>32</v>
      </c>
      <c r="E914" s="3" t="str">
        <f>IFERROR(__xludf.DUMMYFUNCTION("""COMPUTED_VALUE"""),"XI E-2")</f>
        <v>XI E-2</v>
      </c>
      <c r="F914" s="11" t="str">
        <f>IFERROR(__xludf.DUMMYFUNCTION("""COMPUTED_VALUE"""),"32 - XI E-2 - Win Mahara Kuswanto")</f>
        <v>32 - XI E-2 - Win Mahara Kuswanto</v>
      </c>
    </row>
    <row r="915">
      <c r="A915" s="3" t="str">
        <f>IFERROR(__xludf.DUMMYFUNCTION("""COMPUTED_VALUE"""),"0095848946 / 242510423")</f>
        <v>0095848946 / 242510423</v>
      </c>
      <c r="B915" s="3" t="str">
        <f>IFERROR(__xludf.DUMMYFUNCTION("""COMPUTED_VALUE"""),"Zaidan Alifahridho Koeswanto")</f>
        <v>Zaidan Alifahridho Koeswanto</v>
      </c>
      <c r="C915" s="3" t="str">
        <f>IFERROR(__xludf.DUMMYFUNCTION("""COMPUTED_VALUE"""),"L")</f>
        <v>L</v>
      </c>
      <c r="D915" s="3">
        <f>IFERROR(__xludf.DUMMYFUNCTION("""COMPUTED_VALUE"""),32.0)</f>
        <v>32</v>
      </c>
      <c r="E915" s="3" t="str">
        <f>IFERROR(__xludf.DUMMYFUNCTION("""COMPUTED_VALUE"""),"XI E-2")</f>
        <v>XI E-2</v>
      </c>
      <c r="F915" s="11" t="str">
        <f>IFERROR(__xludf.DUMMYFUNCTION("""COMPUTED_VALUE"""),"32 - XI E-2 - Zaidan Alifahridho Koeswanto")</f>
        <v>32 - XI E-2 - Zaidan Alifahridho Koeswanto</v>
      </c>
    </row>
    <row r="916">
      <c r="A916" s="3" t="str">
        <f>IFERROR(__xludf.DUMMYFUNCTION("""COMPUTED_VALUE"""),"0099880719 / 242510027")</f>
        <v>0099880719 / 242510027</v>
      </c>
      <c r="B916" s="3" t="str">
        <f>IFERROR(__xludf.DUMMYFUNCTION("""COMPUTED_VALUE"""),"Zihni Falih Safaras")</f>
        <v>Zihni Falih Safaras</v>
      </c>
      <c r="C916" s="3" t="str">
        <f>IFERROR(__xludf.DUMMYFUNCTION("""COMPUTED_VALUE"""),"P")</f>
        <v>P</v>
      </c>
      <c r="D916" s="3">
        <f>IFERROR(__xludf.DUMMYFUNCTION("""COMPUTED_VALUE"""),32.0)</f>
        <v>32</v>
      </c>
      <c r="E916" s="3" t="str">
        <f>IFERROR(__xludf.DUMMYFUNCTION("""COMPUTED_VALUE"""),"XI E-2")</f>
        <v>XI E-2</v>
      </c>
      <c r="F916" s="11" t="str">
        <f>IFERROR(__xludf.DUMMYFUNCTION("""COMPUTED_VALUE"""),"32 - XI E-2 - Zihni Falih Safaras")</f>
        <v>32 - XI E-2 - Zihni Falih Safaras</v>
      </c>
    </row>
    <row r="917">
      <c r="A917" s="3" t="str">
        <f>IFERROR(__xludf.DUMMYFUNCTION("""COMPUTED_VALUE"""),"0099988861 / 242510021")</f>
        <v>0099988861 / 242510021</v>
      </c>
      <c r="B917" s="3" t="str">
        <f>IFERROR(__xludf.DUMMYFUNCTION("""COMPUTED_VALUE"""),"Aldy Pratama")</f>
        <v>Aldy Pratama</v>
      </c>
      <c r="C917" s="3" t="str">
        <f>IFERROR(__xludf.DUMMYFUNCTION("""COMPUTED_VALUE"""),"L")</f>
        <v>L</v>
      </c>
      <c r="D917" s="3">
        <f>IFERROR(__xludf.DUMMYFUNCTION("""COMPUTED_VALUE"""),32.0)</f>
        <v>32</v>
      </c>
      <c r="E917" s="3" t="str">
        <f>IFERROR(__xludf.DUMMYFUNCTION("""COMPUTED_VALUE"""),"XI F-1")</f>
        <v>XI F-1</v>
      </c>
      <c r="F917" s="11" t="str">
        <f>IFERROR(__xludf.DUMMYFUNCTION("""COMPUTED_VALUE"""),"32 - XI F-1 - Aldy Pratama")</f>
        <v>32 - XI F-1 - Aldy Pratama</v>
      </c>
    </row>
    <row r="918">
      <c r="A918" s="3" t="str">
        <f>IFERROR(__xludf.DUMMYFUNCTION("""COMPUTED_VALUE"""),"0082151570 / 242510026")</f>
        <v>0082151570 / 242510026</v>
      </c>
      <c r="B918" s="3" t="str">
        <f>IFERROR(__xludf.DUMMYFUNCTION("""COMPUTED_VALUE"""),"Alifia Radya Pramesti")</f>
        <v>Alifia Radya Pramesti</v>
      </c>
      <c r="C918" s="3" t="str">
        <f>IFERROR(__xludf.DUMMYFUNCTION("""COMPUTED_VALUE"""),"P")</f>
        <v>P</v>
      </c>
      <c r="D918" s="3">
        <f>IFERROR(__xludf.DUMMYFUNCTION("""COMPUTED_VALUE"""),32.0)</f>
        <v>32</v>
      </c>
      <c r="E918" s="3" t="str">
        <f>IFERROR(__xludf.DUMMYFUNCTION("""COMPUTED_VALUE"""),"XI F-1")</f>
        <v>XI F-1</v>
      </c>
      <c r="F918" s="11" t="str">
        <f>IFERROR(__xludf.DUMMYFUNCTION("""COMPUTED_VALUE"""),"32 - XI F-1 - Alifia Radya Pramesti")</f>
        <v>32 - XI F-1 - Alifia Radya Pramesti</v>
      </c>
    </row>
    <row r="919">
      <c r="A919" s="3" t="str">
        <f>IFERROR(__xludf.DUMMYFUNCTION("""COMPUTED_VALUE"""),"0087588818 / 242510050")</f>
        <v>0087588818 / 242510050</v>
      </c>
      <c r="B919" s="3" t="str">
        <f>IFERROR(__xludf.DUMMYFUNCTION("""COMPUTED_VALUE"""),"Anneira Hendryto")</f>
        <v>Anneira Hendryto</v>
      </c>
      <c r="C919" s="3" t="str">
        <f>IFERROR(__xludf.DUMMYFUNCTION("""COMPUTED_VALUE"""),"P")</f>
        <v>P</v>
      </c>
      <c r="D919" s="3">
        <f>IFERROR(__xludf.DUMMYFUNCTION("""COMPUTED_VALUE"""),32.0)</f>
        <v>32</v>
      </c>
      <c r="E919" s="3" t="str">
        <f>IFERROR(__xludf.DUMMYFUNCTION("""COMPUTED_VALUE"""),"XI F-1")</f>
        <v>XI F-1</v>
      </c>
      <c r="F919" s="11" t="str">
        <f>IFERROR(__xludf.DUMMYFUNCTION("""COMPUTED_VALUE"""),"32 - XI F-1 - Anneira Hendryto")</f>
        <v>32 - XI F-1 - Anneira Hendryto</v>
      </c>
    </row>
    <row r="920">
      <c r="A920" s="3" t="str">
        <f>IFERROR(__xludf.DUMMYFUNCTION("""COMPUTED_VALUE"""),"2093857917 / 242510061")</f>
        <v>2093857917 / 242510061</v>
      </c>
      <c r="B920" s="3" t="str">
        <f>IFERROR(__xludf.DUMMYFUNCTION("""COMPUTED_VALUE"""),"Asri Fatima Azzahra")</f>
        <v>Asri Fatima Azzahra</v>
      </c>
      <c r="C920" s="3" t="str">
        <f>IFERROR(__xludf.DUMMYFUNCTION("""COMPUTED_VALUE"""),"P")</f>
        <v>P</v>
      </c>
      <c r="D920" s="3">
        <f>IFERROR(__xludf.DUMMYFUNCTION("""COMPUTED_VALUE"""),32.0)</f>
        <v>32</v>
      </c>
      <c r="E920" s="3" t="str">
        <f>IFERROR(__xludf.DUMMYFUNCTION("""COMPUTED_VALUE"""),"XI F-1")</f>
        <v>XI F-1</v>
      </c>
      <c r="F920" s="11" t="str">
        <f>IFERROR(__xludf.DUMMYFUNCTION("""COMPUTED_VALUE"""),"32 - XI F-1 - Asri Fatima Azzahra")</f>
        <v>32 - XI F-1 - Asri Fatima Azzahra</v>
      </c>
    </row>
    <row r="921">
      <c r="A921" s="3" t="str">
        <f>IFERROR(__xludf.DUMMYFUNCTION("""COMPUTED_VALUE"""),"0087522984 / 252611569")</f>
        <v>0087522984 / 252611569</v>
      </c>
      <c r="B921" s="3" t="str">
        <f>IFERROR(__xludf.DUMMYFUNCTION("""COMPUTED_VALUE"""),"Audi Nur Chantika Putri")</f>
        <v>Audi Nur Chantika Putri</v>
      </c>
      <c r="C921" s="3" t="str">
        <f>IFERROR(__xludf.DUMMYFUNCTION("""COMPUTED_VALUE"""),"P")</f>
        <v>P</v>
      </c>
      <c r="D921" s="3">
        <f>IFERROR(__xludf.DUMMYFUNCTION("""COMPUTED_VALUE"""),32.0)</f>
        <v>32</v>
      </c>
      <c r="E921" s="3" t="str">
        <f>IFERROR(__xludf.DUMMYFUNCTION("""COMPUTED_VALUE"""),"XI F-1")</f>
        <v>XI F-1</v>
      </c>
      <c r="F921" s="11" t="str">
        <f>IFERROR(__xludf.DUMMYFUNCTION("""COMPUTED_VALUE"""),"32 - XI F-1 - Audi Nur Chantika Putri")</f>
        <v>32 - XI F-1 - Audi Nur Chantika Putri</v>
      </c>
    </row>
    <row r="922">
      <c r="A922" s="3" t="str">
        <f>IFERROR(__xludf.DUMMYFUNCTION("""COMPUTED_VALUE"""),"0091072005 / 242510080")</f>
        <v>0091072005 / 242510080</v>
      </c>
      <c r="B922" s="3" t="str">
        <f>IFERROR(__xludf.DUMMYFUNCTION("""COMPUTED_VALUE"""),"Bagus Sugiharto")</f>
        <v>Bagus Sugiharto</v>
      </c>
      <c r="C922" s="3" t="str">
        <f>IFERROR(__xludf.DUMMYFUNCTION("""COMPUTED_VALUE"""),"L")</f>
        <v>L</v>
      </c>
      <c r="D922" s="3">
        <f>IFERROR(__xludf.DUMMYFUNCTION("""COMPUTED_VALUE"""),32.0)</f>
        <v>32</v>
      </c>
      <c r="E922" s="3" t="str">
        <f>IFERROR(__xludf.DUMMYFUNCTION("""COMPUTED_VALUE"""),"XI F-1")</f>
        <v>XI F-1</v>
      </c>
      <c r="F922" s="11" t="str">
        <f>IFERROR(__xludf.DUMMYFUNCTION("""COMPUTED_VALUE"""),"32 - XI F-1 - Bagus Sugiharto")</f>
        <v>32 - XI F-1 - Bagus Sugiharto</v>
      </c>
    </row>
    <row r="923">
      <c r="A923" s="3" t="str">
        <f>IFERROR(__xludf.DUMMYFUNCTION("""COMPUTED_VALUE"""),"0093123066 / 242510105")</f>
        <v>0093123066 / 242510105</v>
      </c>
      <c r="B923" s="3" t="str">
        <f>IFERROR(__xludf.DUMMYFUNCTION("""COMPUTED_VALUE"""),"Della Widya Wati")</f>
        <v>Della Widya Wati</v>
      </c>
      <c r="C923" s="3" t="str">
        <f>IFERROR(__xludf.DUMMYFUNCTION("""COMPUTED_VALUE"""),"P")</f>
        <v>P</v>
      </c>
      <c r="D923" s="3">
        <f>IFERROR(__xludf.DUMMYFUNCTION("""COMPUTED_VALUE"""),32.0)</f>
        <v>32</v>
      </c>
      <c r="E923" s="3" t="str">
        <f>IFERROR(__xludf.DUMMYFUNCTION("""COMPUTED_VALUE"""),"XI F-1")</f>
        <v>XI F-1</v>
      </c>
      <c r="F923" s="11" t="str">
        <f>IFERROR(__xludf.DUMMYFUNCTION("""COMPUTED_VALUE"""),"32 - XI F-1 - Della Widya Wati")</f>
        <v>32 - XI F-1 - Della Widya Wati</v>
      </c>
    </row>
    <row r="924">
      <c r="A924" s="3" t="str">
        <f>IFERROR(__xludf.DUMMYFUNCTION("""COMPUTED_VALUE"""),"0097482971 / 242510118")</f>
        <v>0097482971 / 242510118</v>
      </c>
      <c r="B924" s="3" t="str">
        <f>IFERROR(__xludf.DUMMYFUNCTION("""COMPUTED_VALUE"""),"Dzakira Aftani Herdianto")</f>
        <v>Dzakira Aftani Herdianto</v>
      </c>
      <c r="C924" s="3" t="str">
        <f>IFERROR(__xludf.DUMMYFUNCTION("""COMPUTED_VALUE"""),"P")</f>
        <v>P</v>
      </c>
      <c r="D924" s="3">
        <f>IFERROR(__xludf.DUMMYFUNCTION("""COMPUTED_VALUE"""),32.0)</f>
        <v>32</v>
      </c>
      <c r="E924" s="3" t="str">
        <f>IFERROR(__xludf.DUMMYFUNCTION("""COMPUTED_VALUE"""),"XI F-1")</f>
        <v>XI F-1</v>
      </c>
      <c r="F924" s="11" t="str">
        <f>IFERROR(__xludf.DUMMYFUNCTION("""COMPUTED_VALUE"""),"32 - XI F-1 - Dzakira Aftani Herdianto")</f>
        <v>32 - XI F-1 - Dzakira Aftani Herdianto</v>
      </c>
    </row>
    <row r="925">
      <c r="A925" s="3" t="str">
        <f>IFERROR(__xludf.DUMMYFUNCTION("""COMPUTED_VALUE"""),"0087551985 / 242510122")</f>
        <v>0087551985 / 242510122</v>
      </c>
      <c r="B925" s="3" t="str">
        <f>IFERROR(__xludf.DUMMYFUNCTION("""COMPUTED_VALUE"""),"Elsamonic")</f>
        <v>Elsamonic</v>
      </c>
      <c r="C925" s="3" t="str">
        <f>IFERROR(__xludf.DUMMYFUNCTION("""COMPUTED_VALUE"""),"P")</f>
        <v>P</v>
      </c>
      <c r="D925" s="3">
        <f>IFERROR(__xludf.DUMMYFUNCTION("""COMPUTED_VALUE"""),32.0)</f>
        <v>32</v>
      </c>
      <c r="E925" s="3" t="str">
        <f>IFERROR(__xludf.DUMMYFUNCTION("""COMPUTED_VALUE"""),"XI F-1")</f>
        <v>XI F-1</v>
      </c>
      <c r="F925" s="11" t="str">
        <f>IFERROR(__xludf.DUMMYFUNCTION("""COMPUTED_VALUE"""),"32 - XI F-1 - Elsamonic")</f>
        <v>32 - XI F-1 - Elsamonic</v>
      </c>
    </row>
    <row r="926">
      <c r="A926" s="3" t="str">
        <f>IFERROR(__xludf.DUMMYFUNCTION("""COMPUTED_VALUE"""),"0095657957 / 242510132")</f>
        <v>0095657957 / 242510132</v>
      </c>
      <c r="B926" s="3" t="str">
        <f>IFERROR(__xludf.DUMMYFUNCTION("""COMPUTED_VALUE"""),"Faiza Ramadhani")</f>
        <v>Faiza Ramadhani</v>
      </c>
      <c r="C926" s="3" t="str">
        <f>IFERROR(__xludf.DUMMYFUNCTION("""COMPUTED_VALUE"""),"P")</f>
        <v>P</v>
      </c>
      <c r="D926" s="3">
        <f>IFERROR(__xludf.DUMMYFUNCTION("""COMPUTED_VALUE"""),32.0)</f>
        <v>32</v>
      </c>
      <c r="E926" s="3" t="str">
        <f>IFERROR(__xludf.DUMMYFUNCTION("""COMPUTED_VALUE"""),"XI F-1")</f>
        <v>XI F-1</v>
      </c>
      <c r="F926" s="11" t="str">
        <f>IFERROR(__xludf.DUMMYFUNCTION("""COMPUTED_VALUE"""),"32 - XI F-1 - Faiza Ramadhani")</f>
        <v>32 - XI F-1 - Faiza Ramadhani</v>
      </c>
    </row>
    <row r="927">
      <c r="A927" s="3" t="str">
        <f>IFERROR(__xludf.DUMMYFUNCTION("""COMPUTED_VALUE"""),"0083924202 / 242510139")</f>
        <v>0083924202 / 242510139</v>
      </c>
      <c r="B927" s="3" t="str">
        <f>IFERROR(__xludf.DUMMYFUNCTION("""COMPUTED_VALUE"""),"Fauzan Nur Haidar")</f>
        <v>Fauzan Nur Haidar</v>
      </c>
      <c r="C927" s="3" t="str">
        <f>IFERROR(__xludf.DUMMYFUNCTION("""COMPUTED_VALUE"""),"L")</f>
        <v>L</v>
      </c>
      <c r="D927" s="3">
        <f>IFERROR(__xludf.DUMMYFUNCTION("""COMPUTED_VALUE"""),32.0)</f>
        <v>32</v>
      </c>
      <c r="E927" s="3" t="str">
        <f>IFERROR(__xludf.DUMMYFUNCTION("""COMPUTED_VALUE"""),"XI F-1")</f>
        <v>XI F-1</v>
      </c>
      <c r="F927" s="11" t="str">
        <f>IFERROR(__xludf.DUMMYFUNCTION("""COMPUTED_VALUE"""),"32 - XI F-1 - Fauzan Nur Haidar")</f>
        <v>32 - XI F-1 - Fauzan Nur Haidar</v>
      </c>
    </row>
    <row r="928">
      <c r="A928" s="3" t="str">
        <f>IFERROR(__xludf.DUMMYFUNCTION("""COMPUTED_VALUE"""),"0082690807 / 242510140")</f>
        <v>0082690807 / 242510140</v>
      </c>
      <c r="B928" s="3" t="str">
        <f>IFERROR(__xludf.DUMMYFUNCTION("""COMPUTED_VALUE"""),"Faza Azima Waalidaen")</f>
        <v>Faza Azima Waalidaen</v>
      </c>
      <c r="C928" s="3" t="str">
        <f>IFERROR(__xludf.DUMMYFUNCTION("""COMPUTED_VALUE"""),"P")</f>
        <v>P</v>
      </c>
      <c r="D928" s="3">
        <f>IFERROR(__xludf.DUMMYFUNCTION("""COMPUTED_VALUE"""),32.0)</f>
        <v>32</v>
      </c>
      <c r="E928" s="3" t="str">
        <f>IFERROR(__xludf.DUMMYFUNCTION("""COMPUTED_VALUE"""),"XI F-1")</f>
        <v>XI F-1</v>
      </c>
      <c r="F928" s="11" t="str">
        <f>IFERROR(__xludf.DUMMYFUNCTION("""COMPUTED_VALUE"""),"32 - XI F-1 - Faza Azima Waalidaen")</f>
        <v>32 - XI F-1 - Faza Azima Waalidaen</v>
      </c>
    </row>
    <row r="929">
      <c r="A929" s="3" t="str">
        <f>IFERROR(__xludf.DUMMYFUNCTION("""COMPUTED_VALUE"""),"0082256467 / 242510145")</f>
        <v>0082256467 / 242510145</v>
      </c>
      <c r="B929" s="3" t="str">
        <f>IFERROR(__xludf.DUMMYFUNCTION("""COMPUTED_VALUE"""),"Firas Rizqy Wicaksono")</f>
        <v>Firas Rizqy Wicaksono</v>
      </c>
      <c r="C929" s="3" t="str">
        <f>IFERROR(__xludf.DUMMYFUNCTION("""COMPUTED_VALUE"""),"L")</f>
        <v>L</v>
      </c>
      <c r="D929" s="3">
        <f>IFERROR(__xludf.DUMMYFUNCTION("""COMPUTED_VALUE"""),32.0)</f>
        <v>32</v>
      </c>
      <c r="E929" s="3" t="str">
        <f>IFERROR(__xludf.DUMMYFUNCTION("""COMPUTED_VALUE"""),"XI F-1")</f>
        <v>XI F-1</v>
      </c>
      <c r="F929" s="11" t="str">
        <f>IFERROR(__xludf.DUMMYFUNCTION("""COMPUTED_VALUE"""),"32 - XI F-1 - Firas Rizqy Wicaksono")</f>
        <v>32 - XI F-1 - Firas Rizqy Wicaksono</v>
      </c>
    </row>
    <row r="930">
      <c r="A930" s="3" t="str">
        <f>IFERROR(__xludf.DUMMYFUNCTION("""COMPUTED_VALUE"""),"0087408326 / 242510149")</f>
        <v>0087408326 / 242510149</v>
      </c>
      <c r="B930" s="3" t="str">
        <f>IFERROR(__xludf.DUMMYFUNCTION("""COMPUTED_VALUE"""),"Gede Aira Sagita Putri Ksy")</f>
        <v>Gede Aira Sagita Putri Ksy</v>
      </c>
      <c r="C930" s="3" t="str">
        <f>IFERROR(__xludf.DUMMYFUNCTION("""COMPUTED_VALUE"""),"P")</f>
        <v>P</v>
      </c>
      <c r="D930" s="3">
        <f>IFERROR(__xludf.DUMMYFUNCTION("""COMPUTED_VALUE"""),32.0)</f>
        <v>32</v>
      </c>
      <c r="E930" s="3" t="str">
        <f>IFERROR(__xludf.DUMMYFUNCTION("""COMPUTED_VALUE"""),"XI F-1")</f>
        <v>XI F-1</v>
      </c>
      <c r="F930" s="11" t="str">
        <f>IFERROR(__xludf.DUMMYFUNCTION("""COMPUTED_VALUE"""),"32 - XI F-1 - Gede Aira Sagita Putri Ksy")</f>
        <v>32 - XI F-1 - Gede Aira Sagita Putri Ksy</v>
      </c>
    </row>
    <row r="931">
      <c r="A931" s="3" t="str">
        <f>IFERROR(__xludf.DUMMYFUNCTION("""COMPUTED_VALUE"""),"0096589760 / 242510152")</f>
        <v>0096589760 / 242510152</v>
      </c>
      <c r="B931" s="3" t="str">
        <f>IFERROR(__xludf.DUMMYFUNCTION("""COMPUTED_VALUE"""),"Gizella Anggrietta")</f>
        <v>Gizella Anggrietta</v>
      </c>
      <c r="C931" s="3" t="str">
        <f>IFERROR(__xludf.DUMMYFUNCTION("""COMPUTED_VALUE"""),"P")</f>
        <v>P</v>
      </c>
      <c r="D931" s="3">
        <f>IFERROR(__xludf.DUMMYFUNCTION("""COMPUTED_VALUE"""),32.0)</f>
        <v>32</v>
      </c>
      <c r="E931" s="3" t="str">
        <f>IFERROR(__xludf.DUMMYFUNCTION("""COMPUTED_VALUE"""),"XI F-1")</f>
        <v>XI F-1</v>
      </c>
      <c r="F931" s="11" t="str">
        <f>IFERROR(__xludf.DUMMYFUNCTION("""COMPUTED_VALUE"""),"32 - XI F-1 - Gizella Anggrietta")</f>
        <v>32 - XI F-1 - Gizella Anggrietta</v>
      </c>
    </row>
    <row r="932">
      <c r="A932" s="3" t="str">
        <f>IFERROR(__xludf.DUMMYFUNCTION("""COMPUTED_VALUE"""),"3094653721 / 242510157")</f>
        <v>3094653721 / 242510157</v>
      </c>
      <c r="B932" s="3" t="str">
        <f>IFERROR(__xludf.DUMMYFUNCTION("""COMPUTED_VALUE"""),"Hafizhoh Maryam Az-Zuhaely")</f>
        <v>Hafizhoh Maryam Az-Zuhaely</v>
      </c>
      <c r="C932" s="3" t="str">
        <f>IFERROR(__xludf.DUMMYFUNCTION("""COMPUTED_VALUE"""),"P")</f>
        <v>P</v>
      </c>
      <c r="D932" s="3">
        <f>IFERROR(__xludf.DUMMYFUNCTION("""COMPUTED_VALUE"""),32.0)</f>
        <v>32</v>
      </c>
      <c r="E932" s="3" t="str">
        <f>IFERROR(__xludf.DUMMYFUNCTION("""COMPUTED_VALUE"""),"XI F-1")</f>
        <v>XI F-1</v>
      </c>
      <c r="F932" s="11" t="str">
        <f>IFERROR(__xludf.DUMMYFUNCTION("""COMPUTED_VALUE"""),"32 - XI F-1 - Hafizhoh Maryam Az-Zuhaely")</f>
        <v>32 - XI F-1 - Hafizhoh Maryam Az-Zuhaely</v>
      </c>
    </row>
    <row r="933">
      <c r="A933" s="3" t="str">
        <f>IFERROR(__xludf.DUMMYFUNCTION("""COMPUTED_VALUE"""),"0091633107 / 242510168")</f>
        <v>0091633107 / 242510168</v>
      </c>
      <c r="B933" s="3" t="str">
        <f>IFERROR(__xludf.DUMMYFUNCTION("""COMPUTED_VALUE"""),"Husnaila Kamil")</f>
        <v>Husnaila Kamil</v>
      </c>
      <c r="C933" s="3" t="str">
        <f>IFERROR(__xludf.DUMMYFUNCTION("""COMPUTED_VALUE"""),"P")</f>
        <v>P</v>
      </c>
      <c r="D933" s="3">
        <f>IFERROR(__xludf.DUMMYFUNCTION("""COMPUTED_VALUE"""),32.0)</f>
        <v>32</v>
      </c>
      <c r="E933" s="3" t="str">
        <f>IFERROR(__xludf.DUMMYFUNCTION("""COMPUTED_VALUE"""),"XI F-1")</f>
        <v>XI F-1</v>
      </c>
      <c r="F933" s="11" t="str">
        <f>IFERROR(__xludf.DUMMYFUNCTION("""COMPUTED_VALUE"""),"32 - XI F-1 - Husnaila Kamil")</f>
        <v>32 - XI F-1 - Husnaila Kamil</v>
      </c>
    </row>
    <row r="934">
      <c r="A934" s="3" t="str">
        <f>IFERROR(__xludf.DUMMYFUNCTION("""COMPUTED_VALUE"""),"0092593035 / 242510178")</f>
        <v>0092593035 / 242510178</v>
      </c>
      <c r="B934" s="3" t="str">
        <f>IFERROR(__xludf.DUMMYFUNCTION("""COMPUTED_VALUE"""),"Jesika Nain Cahaya Siringo Ringo")</f>
        <v>Jesika Nain Cahaya Siringo Ringo</v>
      </c>
      <c r="C934" s="3" t="str">
        <f>IFERROR(__xludf.DUMMYFUNCTION("""COMPUTED_VALUE"""),"P")</f>
        <v>P</v>
      </c>
      <c r="D934" s="3">
        <f>IFERROR(__xludf.DUMMYFUNCTION("""COMPUTED_VALUE"""),32.0)</f>
        <v>32</v>
      </c>
      <c r="E934" s="3" t="str">
        <f>IFERROR(__xludf.DUMMYFUNCTION("""COMPUTED_VALUE"""),"XI F-1")</f>
        <v>XI F-1</v>
      </c>
      <c r="F934" s="11" t="str">
        <f>IFERROR(__xludf.DUMMYFUNCTION("""COMPUTED_VALUE"""),"32 - XI F-1 - Jesika Nain Cahaya Siringo Ringo")</f>
        <v>32 - XI F-1 - Jesika Nain Cahaya Siringo Ringo</v>
      </c>
    </row>
    <row r="935">
      <c r="A935" s="3" t="str">
        <f>IFERROR(__xludf.DUMMYFUNCTION("""COMPUTED_VALUE"""),"3084804073 / 252611570")</f>
        <v>3084804073 / 252611570</v>
      </c>
      <c r="B935" s="3" t="str">
        <f>IFERROR(__xludf.DUMMYFUNCTION("""COMPUTED_VALUE"""),"Keizya Zahra Permana")</f>
        <v>Keizya Zahra Permana</v>
      </c>
      <c r="C935" s="3" t="str">
        <f>IFERROR(__xludf.DUMMYFUNCTION("""COMPUTED_VALUE"""),"P")</f>
        <v>P</v>
      </c>
      <c r="D935" s="3">
        <f>IFERROR(__xludf.DUMMYFUNCTION("""COMPUTED_VALUE"""),32.0)</f>
        <v>32</v>
      </c>
      <c r="E935" s="3" t="str">
        <f>IFERROR(__xludf.DUMMYFUNCTION("""COMPUTED_VALUE"""),"XI F-1")</f>
        <v>XI F-1</v>
      </c>
      <c r="F935" s="11" t="str">
        <f>IFERROR(__xludf.DUMMYFUNCTION("""COMPUTED_VALUE"""),"32 - XI F-1 - Keizya Zahra Permana")</f>
        <v>32 - XI F-1 - Keizya Zahra Permana</v>
      </c>
    </row>
    <row r="936">
      <c r="A936" s="3" t="str">
        <f>IFERROR(__xludf.DUMMYFUNCTION("""COMPUTED_VALUE"""),"0085208150 / 242510192")</f>
        <v>0085208150 / 242510192</v>
      </c>
      <c r="B936" s="3" t="str">
        <f>IFERROR(__xludf.DUMMYFUNCTION("""COMPUTED_VALUE"""),"Kesya Larasati")</f>
        <v>Kesya Larasati</v>
      </c>
      <c r="C936" s="3" t="str">
        <f>IFERROR(__xludf.DUMMYFUNCTION("""COMPUTED_VALUE"""),"P")</f>
        <v>P</v>
      </c>
      <c r="D936" s="3">
        <f>IFERROR(__xludf.DUMMYFUNCTION("""COMPUTED_VALUE"""),32.0)</f>
        <v>32</v>
      </c>
      <c r="E936" s="3" t="str">
        <f>IFERROR(__xludf.DUMMYFUNCTION("""COMPUTED_VALUE"""),"XI F-1")</f>
        <v>XI F-1</v>
      </c>
      <c r="F936" s="11" t="str">
        <f>IFERROR(__xludf.DUMMYFUNCTION("""COMPUTED_VALUE"""),"32 - XI F-1 - Kesya Larasati")</f>
        <v>32 - XI F-1 - Kesya Larasati</v>
      </c>
    </row>
    <row r="937">
      <c r="A937" s="3" t="str">
        <f>IFERROR(__xludf.DUMMYFUNCTION("""COMPUTED_VALUE"""),"0089115919 / 242510194")</f>
        <v>0089115919 / 242510194</v>
      </c>
      <c r="B937" s="3" t="str">
        <f>IFERROR(__xludf.DUMMYFUNCTION("""COMPUTED_VALUE"""),"Kevin Sitanggang")</f>
        <v>Kevin Sitanggang</v>
      </c>
      <c r="C937" s="3" t="str">
        <f>IFERROR(__xludf.DUMMYFUNCTION("""COMPUTED_VALUE"""),"L")</f>
        <v>L</v>
      </c>
      <c r="D937" s="3">
        <f>IFERROR(__xludf.DUMMYFUNCTION("""COMPUTED_VALUE"""),32.0)</f>
        <v>32</v>
      </c>
      <c r="E937" s="3" t="str">
        <f>IFERROR(__xludf.DUMMYFUNCTION("""COMPUTED_VALUE"""),"XI F-1")</f>
        <v>XI F-1</v>
      </c>
      <c r="F937" s="11" t="str">
        <f>IFERROR(__xludf.DUMMYFUNCTION("""COMPUTED_VALUE"""),"32 - XI F-1 - Kevin Sitanggang")</f>
        <v>32 - XI F-1 - Kevin Sitanggang</v>
      </c>
    </row>
    <row r="938">
      <c r="A938" s="3" t="str">
        <f>IFERROR(__xludf.DUMMYFUNCTION("""COMPUTED_VALUE"""),"0092834368 / 242510198")</f>
        <v>0092834368 / 242510198</v>
      </c>
      <c r="B938" s="3" t="str">
        <f>IFERROR(__xludf.DUMMYFUNCTION("""COMPUTED_VALUE"""),"Khaira Rabbani Tsalasa")</f>
        <v>Khaira Rabbani Tsalasa</v>
      </c>
      <c r="C938" s="3" t="str">
        <f>IFERROR(__xludf.DUMMYFUNCTION("""COMPUTED_VALUE"""),"P")</f>
        <v>P</v>
      </c>
      <c r="D938" s="3">
        <f>IFERROR(__xludf.DUMMYFUNCTION("""COMPUTED_VALUE"""),32.0)</f>
        <v>32</v>
      </c>
      <c r="E938" s="3" t="str">
        <f>IFERROR(__xludf.DUMMYFUNCTION("""COMPUTED_VALUE"""),"XI F-1")</f>
        <v>XI F-1</v>
      </c>
      <c r="F938" s="11" t="str">
        <f>IFERROR(__xludf.DUMMYFUNCTION("""COMPUTED_VALUE"""),"32 - XI F-1 - Khaira Rabbani Tsalasa")</f>
        <v>32 - XI F-1 - Khaira Rabbani Tsalasa</v>
      </c>
    </row>
    <row r="939">
      <c r="A939" s="3" t="str">
        <f>IFERROR(__xludf.DUMMYFUNCTION("""COMPUTED_VALUE"""),"3099484913 / 242510237")</f>
        <v>3099484913 / 242510237</v>
      </c>
      <c r="B939" s="3" t="str">
        <f>IFERROR(__xludf.DUMMYFUNCTION("""COMPUTED_VALUE"""),"Mochamad Lewis Batmomolin")</f>
        <v>Mochamad Lewis Batmomolin</v>
      </c>
      <c r="C939" s="3" t="str">
        <f>IFERROR(__xludf.DUMMYFUNCTION("""COMPUTED_VALUE"""),"L")</f>
        <v>L</v>
      </c>
      <c r="D939" s="3">
        <f>IFERROR(__xludf.DUMMYFUNCTION("""COMPUTED_VALUE"""),32.0)</f>
        <v>32</v>
      </c>
      <c r="E939" s="3" t="str">
        <f>IFERROR(__xludf.DUMMYFUNCTION("""COMPUTED_VALUE"""),"XI F-1")</f>
        <v>XI F-1</v>
      </c>
      <c r="F939" s="11" t="str">
        <f>IFERROR(__xludf.DUMMYFUNCTION("""COMPUTED_VALUE"""),"32 - XI F-1 - Mochamad Lewis Batmomolin")</f>
        <v>32 - XI F-1 - Mochamad Lewis Batmomolin</v>
      </c>
    </row>
    <row r="940">
      <c r="A940" s="3" t="str">
        <f>IFERROR(__xludf.DUMMYFUNCTION("""COMPUTED_VALUE"""),"0087176231 / 242510218")</f>
        <v>0087176231 / 242510218</v>
      </c>
      <c r="B940" s="3" t="str">
        <f>IFERROR(__xludf.DUMMYFUNCTION("""COMPUTED_VALUE"""),"MUHAMAD FADLY FADILLAH")</f>
        <v>MUHAMAD FADLY FADILLAH</v>
      </c>
      <c r="C940" s="3" t="str">
        <f>IFERROR(__xludf.DUMMYFUNCTION("""COMPUTED_VALUE"""),"L")</f>
        <v>L</v>
      </c>
      <c r="D940" s="3">
        <f>IFERROR(__xludf.DUMMYFUNCTION("""COMPUTED_VALUE"""),32.0)</f>
        <v>32</v>
      </c>
      <c r="E940" s="3" t="str">
        <f>IFERROR(__xludf.DUMMYFUNCTION("""COMPUTED_VALUE"""),"XI F-1")</f>
        <v>XI F-1</v>
      </c>
      <c r="F940" s="11" t="str">
        <f>IFERROR(__xludf.DUMMYFUNCTION("""COMPUTED_VALUE"""),"32 - XI F-1 - MUHAMAD FADLY FADILLAH")</f>
        <v>32 - XI F-1 - MUHAMAD FADLY FADILLAH</v>
      </c>
    </row>
    <row r="941">
      <c r="A941" s="3" t="str">
        <f>IFERROR(__xludf.DUMMYFUNCTION("""COMPUTED_VALUE"""),"3097549496 / 242510258")</f>
        <v>3097549496 / 242510258</v>
      </c>
      <c r="B941" s="3" t="str">
        <f>IFERROR(__xludf.DUMMYFUNCTION("""COMPUTED_VALUE"""),"Muhammad Faiq Abdurrahman")</f>
        <v>Muhammad Faiq Abdurrahman</v>
      </c>
      <c r="C941" s="3" t="str">
        <f>IFERROR(__xludf.DUMMYFUNCTION("""COMPUTED_VALUE"""),"L")</f>
        <v>L</v>
      </c>
      <c r="D941" s="3">
        <f>IFERROR(__xludf.DUMMYFUNCTION("""COMPUTED_VALUE"""),32.0)</f>
        <v>32</v>
      </c>
      <c r="E941" s="3" t="str">
        <f>IFERROR(__xludf.DUMMYFUNCTION("""COMPUTED_VALUE"""),"XI F-1")</f>
        <v>XI F-1</v>
      </c>
      <c r="F941" s="11" t="str">
        <f>IFERROR(__xludf.DUMMYFUNCTION("""COMPUTED_VALUE"""),"32 - XI F-1 - Muhammad Faiq Abdurrahman")</f>
        <v>32 - XI F-1 - Muhammad Faiq Abdurrahman</v>
      </c>
    </row>
    <row r="942">
      <c r="A942" s="3" t="str">
        <f>IFERROR(__xludf.DUMMYFUNCTION("""COMPUTED_VALUE"""),"0096931224 / 242510290")</f>
        <v>0096931224 / 242510290</v>
      </c>
      <c r="B942" s="3" t="str">
        <f>IFERROR(__xludf.DUMMYFUNCTION("""COMPUTED_VALUE"""),"Nafis Syahri Ramadhan")</f>
        <v>Nafis Syahri Ramadhan</v>
      </c>
      <c r="C942" s="3" t="str">
        <f>IFERROR(__xludf.DUMMYFUNCTION("""COMPUTED_VALUE"""),"L")</f>
        <v>L</v>
      </c>
      <c r="D942" s="3">
        <f>IFERROR(__xludf.DUMMYFUNCTION("""COMPUTED_VALUE"""),32.0)</f>
        <v>32</v>
      </c>
      <c r="E942" s="3" t="str">
        <f>IFERROR(__xludf.DUMMYFUNCTION("""COMPUTED_VALUE"""),"XI F-1")</f>
        <v>XI F-1</v>
      </c>
      <c r="F942" s="11" t="str">
        <f>IFERROR(__xludf.DUMMYFUNCTION("""COMPUTED_VALUE"""),"32 - XI F-1 - Nafis Syahri Ramadhan")</f>
        <v>32 - XI F-1 - Nafis Syahri Ramadhan</v>
      </c>
    </row>
    <row r="943">
      <c r="A943" s="3" t="str">
        <f>IFERROR(__xludf.DUMMYFUNCTION("""COMPUTED_VALUE"""),"0107494938 / 242510311")</f>
        <v>0107494938 / 242510311</v>
      </c>
      <c r="B943" s="3" t="str">
        <f>IFERROR(__xludf.DUMMYFUNCTION("""COMPUTED_VALUE"""),"Nurry Qurata'Ayun Mastiar")</f>
        <v>Nurry Qurata'Ayun Mastiar</v>
      </c>
      <c r="C943" s="3" t="str">
        <f>IFERROR(__xludf.DUMMYFUNCTION("""COMPUTED_VALUE"""),"P")</f>
        <v>P</v>
      </c>
      <c r="D943" s="3">
        <f>IFERROR(__xludf.DUMMYFUNCTION("""COMPUTED_VALUE"""),32.0)</f>
        <v>32</v>
      </c>
      <c r="E943" s="3" t="str">
        <f>IFERROR(__xludf.DUMMYFUNCTION("""COMPUTED_VALUE"""),"XI F-1")</f>
        <v>XI F-1</v>
      </c>
      <c r="F943" s="11" t="str">
        <f>IFERROR(__xludf.DUMMYFUNCTION("""COMPUTED_VALUE"""),"32 - XI F-1 - Nurry Qurata'Ayun Mastiar")</f>
        <v>32 - XI F-1 - Nurry Qurata'Ayun Mastiar</v>
      </c>
    </row>
    <row r="944">
      <c r="A944" s="3" t="str">
        <f>IFERROR(__xludf.DUMMYFUNCTION("""COMPUTED_VALUE"""),"0095386380 / 242510314")</f>
        <v>0095386380 / 242510314</v>
      </c>
      <c r="B944" s="3" t="str">
        <f>IFERROR(__xludf.DUMMYFUNCTION("""COMPUTED_VALUE"""),"Pratamayoga Danishwara Lestiyo")</f>
        <v>Pratamayoga Danishwara Lestiyo</v>
      </c>
      <c r="C944" s="3" t="str">
        <f>IFERROR(__xludf.DUMMYFUNCTION("""COMPUTED_VALUE"""),"L")</f>
        <v>L</v>
      </c>
      <c r="D944" s="3">
        <f>IFERROR(__xludf.DUMMYFUNCTION("""COMPUTED_VALUE"""),32.0)</f>
        <v>32</v>
      </c>
      <c r="E944" s="3" t="str">
        <f>IFERROR(__xludf.DUMMYFUNCTION("""COMPUTED_VALUE"""),"XI F-1")</f>
        <v>XI F-1</v>
      </c>
      <c r="F944" s="11" t="str">
        <f>IFERROR(__xludf.DUMMYFUNCTION("""COMPUTED_VALUE"""),"32 - XI F-1 - Pratamayoga Danishwara Lestiyo")</f>
        <v>32 - XI F-1 - Pratamayoga Danishwara Lestiyo</v>
      </c>
    </row>
    <row r="945">
      <c r="A945" s="3" t="str">
        <f>IFERROR(__xludf.DUMMYFUNCTION("""COMPUTED_VALUE"""),"0094807008 / 242510331")</f>
        <v>0094807008 / 242510331</v>
      </c>
      <c r="B945" s="3" t="str">
        <f>IFERROR(__xludf.DUMMYFUNCTION("""COMPUTED_VALUE"""),"Radhwa Kadzia Salsabila")</f>
        <v>Radhwa Kadzia Salsabila</v>
      </c>
      <c r="C945" s="3" t="str">
        <f>IFERROR(__xludf.DUMMYFUNCTION("""COMPUTED_VALUE"""),"P")</f>
        <v>P</v>
      </c>
      <c r="D945" s="3">
        <f>IFERROR(__xludf.DUMMYFUNCTION("""COMPUTED_VALUE"""),32.0)</f>
        <v>32</v>
      </c>
      <c r="E945" s="3" t="str">
        <f>IFERROR(__xludf.DUMMYFUNCTION("""COMPUTED_VALUE"""),"XI F-1")</f>
        <v>XI F-1</v>
      </c>
      <c r="F945" s="11" t="str">
        <f>IFERROR(__xludf.DUMMYFUNCTION("""COMPUTED_VALUE"""),"32 - XI F-1 - Radhwa Kadzia Salsabila")</f>
        <v>32 - XI F-1 - Radhwa Kadzia Salsabila</v>
      </c>
    </row>
    <row r="946">
      <c r="A946" s="3" t="str">
        <f>IFERROR(__xludf.DUMMYFUNCTION("""COMPUTED_VALUE"""),"0099423367 / 242510332")</f>
        <v>0099423367 / 242510332</v>
      </c>
      <c r="B946" s="3" t="str">
        <f>IFERROR(__xludf.DUMMYFUNCTION("""COMPUTED_VALUE"""),"Radif Ziyan Maryono")</f>
        <v>Radif Ziyan Maryono</v>
      </c>
      <c r="C946" s="3" t="str">
        <f>IFERROR(__xludf.DUMMYFUNCTION("""COMPUTED_VALUE"""),"L")</f>
        <v>L</v>
      </c>
      <c r="D946" s="3">
        <f>IFERROR(__xludf.DUMMYFUNCTION("""COMPUTED_VALUE"""),32.0)</f>
        <v>32</v>
      </c>
      <c r="E946" s="3" t="str">
        <f>IFERROR(__xludf.DUMMYFUNCTION("""COMPUTED_VALUE"""),"XI F-1")</f>
        <v>XI F-1</v>
      </c>
      <c r="F946" s="11" t="str">
        <f>IFERROR(__xludf.DUMMYFUNCTION("""COMPUTED_VALUE"""),"32 - XI F-1 - Radif Ziyan Maryono")</f>
        <v>32 - XI F-1 - Radif Ziyan Maryono</v>
      </c>
    </row>
    <row r="947">
      <c r="A947" s="3" t="str">
        <f>IFERROR(__xludf.DUMMYFUNCTION("""COMPUTED_VALUE"""),"0094095735 / 242510339")</f>
        <v>0094095735 / 242510339</v>
      </c>
      <c r="B947" s="3" t="str">
        <f>IFERROR(__xludf.DUMMYFUNCTION("""COMPUTED_VALUE"""),"Raisya Maulidhina")</f>
        <v>Raisya Maulidhina</v>
      </c>
      <c r="C947" s="3" t="str">
        <f>IFERROR(__xludf.DUMMYFUNCTION("""COMPUTED_VALUE"""),"P")</f>
        <v>P</v>
      </c>
      <c r="D947" s="3">
        <f>IFERROR(__xludf.DUMMYFUNCTION("""COMPUTED_VALUE"""),32.0)</f>
        <v>32</v>
      </c>
      <c r="E947" s="3" t="str">
        <f>IFERROR(__xludf.DUMMYFUNCTION("""COMPUTED_VALUE"""),"XI F-1")</f>
        <v>XI F-1</v>
      </c>
      <c r="F947" s="11" t="str">
        <f>IFERROR(__xludf.DUMMYFUNCTION("""COMPUTED_VALUE"""),"32 - XI F-1 - Raisya Maulidhina")</f>
        <v>32 - XI F-1 - Raisya Maulidhina</v>
      </c>
    </row>
    <row r="948">
      <c r="A948" s="3" t="str">
        <f>IFERROR(__xludf.DUMMYFUNCTION("""COMPUTED_VALUE"""),"3087304976 / 242510389")</f>
        <v>3087304976 / 242510389</v>
      </c>
      <c r="B948" s="3" t="str">
        <f>IFERROR(__xludf.DUMMYFUNCTION("""COMPUTED_VALUE"""),"Syahrul Ramadhan")</f>
        <v>Syahrul Ramadhan</v>
      </c>
      <c r="C948" s="3" t="str">
        <f>IFERROR(__xludf.DUMMYFUNCTION("""COMPUTED_VALUE"""),"L")</f>
        <v>L</v>
      </c>
      <c r="D948" s="3">
        <f>IFERROR(__xludf.DUMMYFUNCTION("""COMPUTED_VALUE"""),32.0)</f>
        <v>32</v>
      </c>
      <c r="E948" s="3" t="str">
        <f>IFERROR(__xludf.DUMMYFUNCTION("""COMPUTED_VALUE"""),"XI F-1")</f>
        <v>XI F-1</v>
      </c>
      <c r="F948" s="11" t="str">
        <f>IFERROR(__xludf.DUMMYFUNCTION("""COMPUTED_VALUE"""),"32 - XI F-1 - Syahrul Ramadhan")</f>
        <v>32 - XI F-1 - Syahrul Ramadhan</v>
      </c>
    </row>
    <row r="949">
      <c r="A949" s="3" t="str">
        <f>IFERROR(__xludf.DUMMYFUNCTION("""COMPUTED_VALUE"""),"0097734463 / 242510394")</f>
        <v>0097734463 / 242510394</v>
      </c>
      <c r="B949" s="3" t="str">
        <f>IFERROR(__xludf.DUMMYFUNCTION("""COMPUTED_VALUE"""),"Syavira Dinar Handayani")</f>
        <v>Syavira Dinar Handayani</v>
      </c>
      <c r="C949" s="3" t="str">
        <f>IFERROR(__xludf.DUMMYFUNCTION("""COMPUTED_VALUE"""),"P")</f>
        <v>P</v>
      </c>
      <c r="D949" s="3">
        <f>IFERROR(__xludf.DUMMYFUNCTION("""COMPUTED_VALUE"""),32.0)</f>
        <v>32</v>
      </c>
      <c r="E949" s="3" t="str">
        <f>IFERROR(__xludf.DUMMYFUNCTION("""COMPUTED_VALUE"""),"XI F-1")</f>
        <v>XI F-1</v>
      </c>
      <c r="F949" s="11" t="str">
        <f>IFERROR(__xludf.DUMMYFUNCTION("""COMPUTED_VALUE"""),"32 - XI F-1 - Syavira Dinar Handayani")</f>
        <v>32 - XI F-1 - Syavira Dinar Handayani</v>
      </c>
    </row>
    <row r="950">
      <c r="A950" s="3" t="str">
        <f>IFERROR(__xludf.DUMMYFUNCTION("""COMPUTED_VALUE"""),"0094647744 / 242510396")</f>
        <v>0094647744 / 242510396</v>
      </c>
      <c r="B950" s="3" t="str">
        <f>IFERROR(__xludf.DUMMYFUNCTION("""COMPUTED_VALUE"""),"Syifa Septia Putri")</f>
        <v>Syifa Septia Putri</v>
      </c>
      <c r="C950" s="3" t="str">
        <f>IFERROR(__xludf.DUMMYFUNCTION("""COMPUTED_VALUE"""),"P")</f>
        <v>P</v>
      </c>
      <c r="D950" s="3">
        <f>IFERROR(__xludf.DUMMYFUNCTION("""COMPUTED_VALUE"""),32.0)</f>
        <v>32</v>
      </c>
      <c r="E950" s="3" t="str">
        <f>IFERROR(__xludf.DUMMYFUNCTION("""COMPUTED_VALUE"""),"XI F-1")</f>
        <v>XI F-1</v>
      </c>
      <c r="F950" s="11" t="str">
        <f>IFERROR(__xludf.DUMMYFUNCTION("""COMPUTED_VALUE"""),"32 - XI F-1 - Syifa Septia Putri")</f>
        <v>32 - XI F-1 - Syifa Septia Putri</v>
      </c>
    </row>
    <row r="951">
      <c r="A951" s="3" t="str">
        <f>IFERROR(__xludf.DUMMYFUNCTION("""COMPUTED_VALUE"""),"0084357788 / 242510411")</f>
        <v>0084357788 / 242510411</v>
      </c>
      <c r="B951" s="3" t="str">
        <f>IFERROR(__xludf.DUMMYFUNCTION("""COMPUTED_VALUE"""),"Waddia Fazila Permana")</f>
        <v>Waddia Fazila Permana</v>
      </c>
      <c r="C951" s="3" t="str">
        <f>IFERROR(__xludf.DUMMYFUNCTION("""COMPUTED_VALUE"""),"P")</f>
        <v>P</v>
      </c>
      <c r="D951" s="3">
        <f>IFERROR(__xludf.DUMMYFUNCTION("""COMPUTED_VALUE"""),32.0)</f>
        <v>32</v>
      </c>
      <c r="E951" s="3" t="str">
        <f>IFERROR(__xludf.DUMMYFUNCTION("""COMPUTED_VALUE"""),"XI F-1")</f>
        <v>XI F-1</v>
      </c>
      <c r="F951" s="11" t="str">
        <f>IFERROR(__xludf.DUMMYFUNCTION("""COMPUTED_VALUE"""),"32 - XI F-1 - Waddia Fazila Permana")</f>
        <v>32 - XI F-1 - Waddia Fazila Permana</v>
      </c>
    </row>
    <row r="952">
      <c r="A952" s="3" t="str">
        <f>IFERROR(__xludf.DUMMYFUNCTION("""COMPUTED_VALUE"""),"0097253280 / 242510415")</f>
        <v>0097253280 / 242510415</v>
      </c>
      <c r="B952" s="3" t="str">
        <f>IFERROR(__xludf.DUMMYFUNCTION("""COMPUTED_VALUE"""),"Windy Kenez Ayu Pramesty")</f>
        <v>Windy Kenez Ayu Pramesty</v>
      </c>
      <c r="C952" s="3" t="str">
        <f>IFERROR(__xludf.DUMMYFUNCTION("""COMPUTED_VALUE"""),"P")</f>
        <v>P</v>
      </c>
      <c r="D952" s="3">
        <f>IFERROR(__xludf.DUMMYFUNCTION("""COMPUTED_VALUE"""),32.0)</f>
        <v>32</v>
      </c>
      <c r="E952" s="3" t="str">
        <f>IFERROR(__xludf.DUMMYFUNCTION("""COMPUTED_VALUE"""),"XI F-1")</f>
        <v>XI F-1</v>
      </c>
      <c r="F952" s="11" t="str">
        <f>IFERROR(__xludf.DUMMYFUNCTION("""COMPUTED_VALUE"""),"32 - XI F-1 - Windy Kenez Ayu Pramesty")</f>
        <v>32 - XI F-1 - Windy Kenez Ayu Pramesty</v>
      </c>
    </row>
    <row r="953">
      <c r="A953" s="3" t="str">
        <f>IFERROR(__xludf.DUMMYFUNCTION("""COMPUTED_VALUE"""),"0083949375 / 242510009")</f>
        <v>0083949375 / 242510009</v>
      </c>
      <c r="B953" s="3" t="str">
        <f>IFERROR(__xludf.DUMMYFUNCTION("""COMPUTED_VALUE"""),"Agisha Melandri")</f>
        <v>Agisha Melandri</v>
      </c>
      <c r="C953" s="3" t="str">
        <f>IFERROR(__xludf.DUMMYFUNCTION("""COMPUTED_VALUE"""),"P")</f>
        <v>P</v>
      </c>
      <c r="D953" s="3">
        <f>IFERROR(__xludf.DUMMYFUNCTION("""COMPUTED_VALUE"""),32.0)</f>
        <v>32</v>
      </c>
      <c r="E953" s="3" t="str">
        <f>IFERROR(__xludf.DUMMYFUNCTION("""COMPUTED_VALUE"""),"XI F-2")</f>
        <v>XI F-2</v>
      </c>
      <c r="F953" s="11" t="str">
        <f>IFERROR(__xludf.DUMMYFUNCTION("""COMPUTED_VALUE"""),"32 - XI F-2 - Agisha Melandri")</f>
        <v>32 - XI F-2 - Agisha Melandri</v>
      </c>
    </row>
    <row r="954">
      <c r="A954" s="3" t="str">
        <f>IFERROR(__xludf.DUMMYFUNCTION("""COMPUTED_VALUE"""),"3091238165 / 242510015")</f>
        <v>3091238165 / 242510015</v>
      </c>
      <c r="B954" s="3" t="str">
        <f>IFERROR(__xludf.DUMMYFUNCTION("""COMPUTED_VALUE"""),"Aisha Syakira Putri")</f>
        <v>Aisha Syakira Putri</v>
      </c>
      <c r="C954" s="3" t="str">
        <f>IFERROR(__xludf.DUMMYFUNCTION("""COMPUTED_VALUE"""),"P")</f>
        <v>P</v>
      </c>
      <c r="D954" s="3">
        <f>IFERROR(__xludf.DUMMYFUNCTION("""COMPUTED_VALUE"""),32.0)</f>
        <v>32</v>
      </c>
      <c r="E954" s="3" t="str">
        <f>IFERROR(__xludf.DUMMYFUNCTION("""COMPUTED_VALUE"""),"XI F-2")</f>
        <v>XI F-2</v>
      </c>
      <c r="F954" s="11" t="str">
        <f>IFERROR(__xludf.DUMMYFUNCTION("""COMPUTED_VALUE"""),"32 - XI F-2 - Aisha Syakira Putri")</f>
        <v>32 - XI F-2 - Aisha Syakira Putri</v>
      </c>
    </row>
    <row r="955">
      <c r="A955" s="3" t="str">
        <f>IFERROR(__xludf.DUMMYFUNCTION("""COMPUTED_VALUE"""),"0084218795 / 242510016")</f>
        <v>0084218795 / 242510016</v>
      </c>
      <c r="B955" s="3" t="str">
        <f>IFERROR(__xludf.DUMMYFUNCTION("""COMPUTED_VALUE"""),"Aisyah Nara Purusa Ningsa")</f>
        <v>Aisyah Nara Purusa Ningsa</v>
      </c>
      <c r="C955" s="3" t="str">
        <f>IFERROR(__xludf.DUMMYFUNCTION("""COMPUTED_VALUE"""),"P")</f>
        <v>P</v>
      </c>
      <c r="D955" s="3">
        <f>IFERROR(__xludf.DUMMYFUNCTION("""COMPUTED_VALUE"""),32.0)</f>
        <v>32</v>
      </c>
      <c r="E955" s="3" t="str">
        <f>IFERROR(__xludf.DUMMYFUNCTION("""COMPUTED_VALUE"""),"XI F-2")</f>
        <v>XI F-2</v>
      </c>
      <c r="F955" s="11" t="str">
        <f>IFERROR(__xludf.DUMMYFUNCTION("""COMPUTED_VALUE"""),"32 - XI F-2 - Aisyah Nara Purusa Ningsa")</f>
        <v>32 - XI F-2 - Aisyah Nara Purusa Ningsa</v>
      </c>
    </row>
    <row r="956">
      <c r="A956" s="3" t="str">
        <f>IFERROR(__xludf.DUMMYFUNCTION("""COMPUTED_VALUE"""),"0098551657 / 242510020")</f>
        <v>0098551657 / 242510020</v>
      </c>
      <c r="B956" s="3" t="str">
        <f>IFERROR(__xludf.DUMMYFUNCTION("""COMPUTED_VALUE"""),"Al Gofi Patra")</f>
        <v>Al Gofi Patra</v>
      </c>
      <c r="C956" s="3" t="str">
        <f>IFERROR(__xludf.DUMMYFUNCTION("""COMPUTED_VALUE"""),"L")</f>
        <v>L</v>
      </c>
      <c r="D956" s="3">
        <f>IFERROR(__xludf.DUMMYFUNCTION("""COMPUTED_VALUE"""),32.0)</f>
        <v>32</v>
      </c>
      <c r="E956" s="3" t="str">
        <f>IFERROR(__xludf.DUMMYFUNCTION("""COMPUTED_VALUE"""),"XI F-2")</f>
        <v>XI F-2</v>
      </c>
      <c r="F956" s="11" t="str">
        <f>IFERROR(__xludf.DUMMYFUNCTION("""COMPUTED_VALUE"""),"32 - XI F-2 - Al Gofi Patra")</f>
        <v>32 - XI F-2 - Al Gofi Patra</v>
      </c>
    </row>
    <row r="957">
      <c r="A957" s="3" t="str">
        <f>IFERROR(__xludf.DUMMYFUNCTION("""COMPUTED_VALUE"""),"0087718590 / 242510060")</f>
        <v>0087718590 / 242510060</v>
      </c>
      <c r="B957" s="3" t="str">
        <f>IFERROR(__xludf.DUMMYFUNCTION("""COMPUTED_VALUE"""),"Ashya Navisha")</f>
        <v>Ashya Navisha</v>
      </c>
      <c r="C957" s="3" t="str">
        <f>IFERROR(__xludf.DUMMYFUNCTION("""COMPUTED_VALUE"""),"P")</f>
        <v>P</v>
      </c>
      <c r="D957" s="3">
        <f>IFERROR(__xludf.DUMMYFUNCTION("""COMPUTED_VALUE"""),32.0)</f>
        <v>32</v>
      </c>
      <c r="E957" s="3" t="str">
        <f>IFERROR(__xludf.DUMMYFUNCTION("""COMPUTED_VALUE"""),"XI F-2")</f>
        <v>XI F-2</v>
      </c>
      <c r="F957" s="11" t="str">
        <f>IFERROR(__xludf.DUMMYFUNCTION("""COMPUTED_VALUE"""),"32 - XI F-2 - Ashya Navisha")</f>
        <v>32 - XI F-2 - Ashya Navisha</v>
      </c>
    </row>
    <row r="958">
      <c r="A958" s="3" t="str">
        <f>IFERROR(__xludf.DUMMYFUNCTION("""COMPUTED_VALUE"""),"0096418415 / 242510078")</f>
        <v>0096418415 / 242510078</v>
      </c>
      <c r="B958" s="3" t="str">
        <f>IFERROR(__xludf.DUMMYFUNCTION("""COMPUTED_VALUE"""),"Azka  Abidah Sukma Cahyani")</f>
        <v>Azka  Abidah Sukma Cahyani</v>
      </c>
      <c r="C958" s="3" t="str">
        <f>IFERROR(__xludf.DUMMYFUNCTION("""COMPUTED_VALUE"""),"P")</f>
        <v>P</v>
      </c>
      <c r="D958" s="3">
        <f>IFERROR(__xludf.DUMMYFUNCTION("""COMPUTED_VALUE"""),32.0)</f>
        <v>32</v>
      </c>
      <c r="E958" s="3" t="str">
        <f>IFERROR(__xludf.DUMMYFUNCTION("""COMPUTED_VALUE"""),"XI F-2")</f>
        <v>XI F-2</v>
      </c>
      <c r="F958" s="11" t="str">
        <f>IFERROR(__xludf.DUMMYFUNCTION("""COMPUTED_VALUE"""),"32 - XI F-2 - Azka  Abidah Sukma Cahyani")</f>
        <v>32 - XI F-2 - Azka  Abidah Sukma Cahyani</v>
      </c>
    </row>
    <row r="959">
      <c r="A959" s="3" t="str">
        <f>IFERROR(__xludf.DUMMYFUNCTION("""COMPUTED_VALUE"""),"0096383417 / 242510089")</f>
        <v>0096383417 / 242510089</v>
      </c>
      <c r="B959" s="3" t="str">
        <f>IFERROR(__xludf.DUMMYFUNCTION("""COMPUTED_VALUE"""),"Callysta Sadira Rizqullah Khaniza")</f>
        <v>Callysta Sadira Rizqullah Khaniza</v>
      </c>
      <c r="C959" s="3" t="str">
        <f>IFERROR(__xludf.DUMMYFUNCTION("""COMPUTED_VALUE"""),"P")</f>
        <v>P</v>
      </c>
      <c r="D959" s="3">
        <f>IFERROR(__xludf.DUMMYFUNCTION("""COMPUTED_VALUE"""),32.0)</f>
        <v>32</v>
      </c>
      <c r="E959" s="3" t="str">
        <f>IFERROR(__xludf.DUMMYFUNCTION("""COMPUTED_VALUE"""),"XI F-2")</f>
        <v>XI F-2</v>
      </c>
      <c r="F959" s="11" t="str">
        <f>IFERROR(__xludf.DUMMYFUNCTION("""COMPUTED_VALUE"""),"32 - XI F-2 - Callysta Sadira Rizqullah Khaniza")</f>
        <v>32 - XI F-2 - Callysta Sadira Rizqullah Khaniza</v>
      </c>
    </row>
    <row r="960">
      <c r="A960" s="3" t="str">
        <f>IFERROR(__xludf.DUMMYFUNCTION("""COMPUTED_VALUE"""),"0093167605 / 242510093")</f>
        <v>0093167605 / 242510093</v>
      </c>
      <c r="B960" s="3" t="str">
        <f>IFERROR(__xludf.DUMMYFUNCTION("""COMPUTED_VALUE"""),"Cheysa Dara Maharani")</f>
        <v>Cheysa Dara Maharani</v>
      </c>
      <c r="C960" s="3" t="str">
        <f>IFERROR(__xludf.DUMMYFUNCTION("""COMPUTED_VALUE"""),"P")</f>
        <v>P</v>
      </c>
      <c r="D960" s="3">
        <f>IFERROR(__xludf.DUMMYFUNCTION("""COMPUTED_VALUE"""),32.0)</f>
        <v>32</v>
      </c>
      <c r="E960" s="3" t="str">
        <f>IFERROR(__xludf.DUMMYFUNCTION("""COMPUTED_VALUE"""),"XI F-2")</f>
        <v>XI F-2</v>
      </c>
      <c r="F960" s="11" t="str">
        <f>IFERROR(__xludf.DUMMYFUNCTION("""COMPUTED_VALUE"""),"32 - XI F-2 - Cheysa Dara Maharani")</f>
        <v>32 - XI F-2 - Cheysa Dara Maharani</v>
      </c>
    </row>
    <row r="961">
      <c r="A961" s="3" t="str">
        <f>IFERROR(__xludf.DUMMYFUNCTION("""COMPUTED_VALUE"""),"0096872219 / 242510106")</f>
        <v>0096872219 / 242510106</v>
      </c>
      <c r="B961" s="3" t="str">
        <f>IFERROR(__xludf.DUMMYFUNCTION("""COMPUTED_VALUE"""),"Desya Maulida")</f>
        <v>Desya Maulida</v>
      </c>
      <c r="C961" s="3" t="str">
        <f>IFERROR(__xludf.DUMMYFUNCTION("""COMPUTED_VALUE"""),"P")</f>
        <v>P</v>
      </c>
      <c r="D961" s="3">
        <f>IFERROR(__xludf.DUMMYFUNCTION("""COMPUTED_VALUE"""),32.0)</f>
        <v>32</v>
      </c>
      <c r="E961" s="3" t="str">
        <f>IFERROR(__xludf.DUMMYFUNCTION("""COMPUTED_VALUE"""),"XI F-2")</f>
        <v>XI F-2</v>
      </c>
      <c r="F961" s="11" t="str">
        <f>IFERROR(__xludf.DUMMYFUNCTION("""COMPUTED_VALUE"""),"32 - XI F-2 - Desya Maulida")</f>
        <v>32 - XI F-2 - Desya Maulida</v>
      </c>
    </row>
    <row r="962">
      <c r="A962" s="3" t="str">
        <f>IFERROR(__xludf.DUMMYFUNCTION("""COMPUTED_VALUE"""),"0093311941 / 242510107")</f>
        <v>0093311941 / 242510107</v>
      </c>
      <c r="B962" s="3" t="str">
        <f>IFERROR(__xludf.DUMMYFUNCTION("""COMPUTED_VALUE"""),"Devi Nuraini")</f>
        <v>Devi Nuraini</v>
      </c>
      <c r="C962" s="3" t="str">
        <f>IFERROR(__xludf.DUMMYFUNCTION("""COMPUTED_VALUE"""),"P")</f>
        <v>P</v>
      </c>
      <c r="D962" s="3">
        <f>IFERROR(__xludf.DUMMYFUNCTION("""COMPUTED_VALUE"""),32.0)</f>
        <v>32</v>
      </c>
      <c r="E962" s="3" t="str">
        <f>IFERROR(__xludf.DUMMYFUNCTION("""COMPUTED_VALUE"""),"XI F-2")</f>
        <v>XI F-2</v>
      </c>
      <c r="F962" s="11" t="str">
        <f>IFERROR(__xludf.DUMMYFUNCTION("""COMPUTED_VALUE"""),"32 - XI F-2 - Devi Nuraini")</f>
        <v>32 - XI F-2 - Devi Nuraini</v>
      </c>
    </row>
    <row r="963">
      <c r="A963" s="3" t="str">
        <f>IFERROR(__xludf.DUMMYFUNCTION("""COMPUTED_VALUE"""),"0091519291 / 242510109")</f>
        <v>0091519291 / 242510109</v>
      </c>
      <c r="B963" s="3" t="str">
        <f>IFERROR(__xludf.DUMMYFUNCTION("""COMPUTED_VALUE"""),"Dhiyaul Aqlan Abqory")</f>
        <v>Dhiyaul Aqlan Abqory</v>
      </c>
      <c r="C963" s="3" t="str">
        <f>IFERROR(__xludf.DUMMYFUNCTION("""COMPUTED_VALUE"""),"L")</f>
        <v>L</v>
      </c>
      <c r="D963" s="3">
        <f>IFERROR(__xludf.DUMMYFUNCTION("""COMPUTED_VALUE"""),32.0)</f>
        <v>32</v>
      </c>
      <c r="E963" s="3" t="str">
        <f>IFERROR(__xludf.DUMMYFUNCTION("""COMPUTED_VALUE"""),"XI F-2")</f>
        <v>XI F-2</v>
      </c>
      <c r="F963" s="11" t="str">
        <f>IFERROR(__xludf.DUMMYFUNCTION("""COMPUTED_VALUE"""),"32 - XI F-2 - Dhiyaul Aqlan Abqory")</f>
        <v>32 - XI F-2 - Dhiyaul Aqlan Abqory</v>
      </c>
    </row>
    <row r="964">
      <c r="A964" s="3" t="str">
        <f>IFERROR(__xludf.DUMMYFUNCTION("""COMPUTED_VALUE"""),"0093772011 / 242510125")</f>
        <v>0093772011 / 242510125</v>
      </c>
      <c r="B964" s="3" t="str">
        <f>IFERROR(__xludf.DUMMYFUNCTION("""COMPUTED_VALUE"""),"Evandika Juliandi")</f>
        <v>Evandika Juliandi</v>
      </c>
      <c r="C964" s="3" t="str">
        <f>IFERROR(__xludf.DUMMYFUNCTION("""COMPUTED_VALUE"""),"L")</f>
        <v>L</v>
      </c>
      <c r="D964" s="3">
        <f>IFERROR(__xludf.DUMMYFUNCTION("""COMPUTED_VALUE"""),32.0)</f>
        <v>32</v>
      </c>
      <c r="E964" s="3" t="str">
        <f>IFERROR(__xludf.DUMMYFUNCTION("""COMPUTED_VALUE"""),"XI F-2")</f>
        <v>XI F-2</v>
      </c>
      <c r="F964" s="11" t="str">
        <f>IFERROR(__xludf.DUMMYFUNCTION("""COMPUTED_VALUE"""),"32 - XI F-2 - Evandika Juliandi")</f>
        <v>32 - XI F-2 - Evandika Juliandi</v>
      </c>
    </row>
    <row r="965">
      <c r="A965" s="3" t="str">
        <f>IFERROR(__xludf.DUMMYFUNCTION("""COMPUTED_VALUE"""),"0083597126 / 242510127")</f>
        <v>0083597126 / 242510127</v>
      </c>
      <c r="B965" s="3" t="str">
        <f>IFERROR(__xludf.DUMMYFUNCTION("""COMPUTED_VALUE"""),"Excellita Mayda Nurussyfa")</f>
        <v>Excellita Mayda Nurussyfa</v>
      </c>
      <c r="C965" s="3" t="str">
        <f>IFERROR(__xludf.DUMMYFUNCTION("""COMPUTED_VALUE"""),"P")</f>
        <v>P</v>
      </c>
      <c r="D965" s="3">
        <f>IFERROR(__xludf.DUMMYFUNCTION("""COMPUTED_VALUE"""),32.0)</f>
        <v>32</v>
      </c>
      <c r="E965" s="3" t="str">
        <f>IFERROR(__xludf.DUMMYFUNCTION("""COMPUTED_VALUE"""),"XI F-2")</f>
        <v>XI F-2</v>
      </c>
      <c r="F965" s="11" t="str">
        <f>IFERROR(__xludf.DUMMYFUNCTION("""COMPUTED_VALUE"""),"32 - XI F-2 - Excellita Mayda Nurussyfa")</f>
        <v>32 - XI F-2 - Excellita Mayda Nurussyfa</v>
      </c>
    </row>
    <row r="966">
      <c r="A966" s="3" t="str">
        <f>IFERROR(__xludf.DUMMYFUNCTION("""COMPUTED_VALUE"""),"0081527579 / 242510147")</f>
        <v>0081527579 / 242510147</v>
      </c>
      <c r="B966" s="3" t="str">
        <f>IFERROR(__xludf.DUMMYFUNCTION("""COMPUTED_VALUE"""),"Fx Arya Bima Saputra")</f>
        <v>Fx Arya Bima Saputra</v>
      </c>
      <c r="C966" s="3" t="str">
        <f>IFERROR(__xludf.DUMMYFUNCTION("""COMPUTED_VALUE"""),"L")</f>
        <v>L</v>
      </c>
      <c r="D966" s="3">
        <f>IFERROR(__xludf.DUMMYFUNCTION("""COMPUTED_VALUE"""),32.0)</f>
        <v>32</v>
      </c>
      <c r="E966" s="3" t="str">
        <f>IFERROR(__xludf.DUMMYFUNCTION("""COMPUTED_VALUE"""),"XI F-2")</f>
        <v>XI F-2</v>
      </c>
      <c r="F966" s="11" t="str">
        <f>IFERROR(__xludf.DUMMYFUNCTION("""COMPUTED_VALUE"""),"32 - XI F-2 - Fx Arya Bima Saputra")</f>
        <v>32 - XI F-2 - Fx Arya Bima Saputra</v>
      </c>
    </row>
    <row r="967">
      <c r="A967" s="3" t="str">
        <f>IFERROR(__xludf.DUMMYFUNCTION("""COMPUTED_VALUE"""),"3088903236 / 242510154")</f>
        <v>3088903236 / 242510154</v>
      </c>
      <c r="B967" s="3" t="str">
        <f>IFERROR(__xludf.DUMMYFUNCTION("""COMPUTED_VALUE"""),"Graceya Felisya Sinurat")</f>
        <v>Graceya Felisya Sinurat</v>
      </c>
      <c r="C967" s="3" t="str">
        <f>IFERROR(__xludf.DUMMYFUNCTION("""COMPUTED_VALUE"""),"P")</f>
        <v>P</v>
      </c>
      <c r="D967" s="3">
        <f>IFERROR(__xludf.DUMMYFUNCTION("""COMPUTED_VALUE"""),32.0)</f>
        <v>32</v>
      </c>
      <c r="E967" s="3" t="str">
        <f>IFERROR(__xludf.DUMMYFUNCTION("""COMPUTED_VALUE"""),"XI F-2")</f>
        <v>XI F-2</v>
      </c>
      <c r="F967" s="11" t="str">
        <f>IFERROR(__xludf.DUMMYFUNCTION("""COMPUTED_VALUE"""),"32 - XI F-2 - Graceya Felisya Sinurat")</f>
        <v>32 - XI F-2 - Graceya Felisya Sinurat</v>
      </c>
    </row>
    <row r="968">
      <c r="A968" s="3" t="str">
        <f>IFERROR(__xludf.DUMMYFUNCTION("""COMPUTED_VALUE"""),"0098700438 / 242510156")</f>
        <v>0098700438 / 242510156</v>
      </c>
      <c r="B968" s="3" t="str">
        <f>IFERROR(__xludf.DUMMYFUNCTION("""COMPUTED_VALUE"""),"Hadaya Bassam Faris Sawaftah")</f>
        <v>Hadaya Bassam Faris Sawaftah</v>
      </c>
      <c r="C968" s="3" t="str">
        <f>IFERROR(__xludf.DUMMYFUNCTION("""COMPUTED_VALUE"""),"P")</f>
        <v>P</v>
      </c>
      <c r="D968" s="3">
        <f>IFERROR(__xludf.DUMMYFUNCTION("""COMPUTED_VALUE"""),32.0)</f>
        <v>32</v>
      </c>
      <c r="E968" s="3" t="str">
        <f>IFERROR(__xludf.DUMMYFUNCTION("""COMPUTED_VALUE"""),"XI F-2")</f>
        <v>XI F-2</v>
      </c>
      <c r="F968" s="11" t="str">
        <f>IFERROR(__xludf.DUMMYFUNCTION("""COMPUTED_VALUE"""),"32 - XI F-2 - Hadaya Bassam Faris Sawaftah")</f>
        <v>32 - XI F-2 - Hadaya Bassam Faris Sawaftah</v>
      </c>
    </row>
    <row r="969">
      <c r="A969" s="3" t="str">
        <f>IFERROR(__xludf.DUMMYFUNCTION("""COMPUTED_VALUE"""),"0095159012 / 242510166")</f>
        <v>0095159012 / 242510166</v>
      </c>
      <c r="B969" s="3" t="str">
        <f>IFERROR(__xludf.DUMMYFUNCTION("""COMPUTED_VALUE"""),"Hilwa Zakiyyah")</f>
        <v>Hilwa Zakiyyah</v>
      </c>
      <c r="C969" s="3" t="str">
        <f>IFERROR(__xludf.DUMMYFUNCTION("""COMPUTED_VALUE"""),"P")</f>
        <v>P</v>
      </c>
      <c r="D969" s="3">
        <f>IFERROR(__xludf.DUMMYFUNCTION("""COMPUTED_VALUE"""),32.0)</f>
        <v>32</v>
      </c>
      <c r="E969" s="3" t="str">
        <f>IFERROR(__xludf.DUMMYFUNCTION("""COMPUTED_VALUE"""),"XI F-2")</f>
        <v>XI F-2</v>
      </c>
      <c r="F969" s="11" t="str">
        <f>IFERROR(__xludf.DUMMYFUNCTION("""COMPUTED_VALUE"""),"32 - XI F-2 - Hilwa Zakiyyah")</f>
        <v>32 - XI F-2 - Hilwa Zakiyyah</v>
      </c>
    </row>
    <row r="970">
      <c r="A970" s="3" t="str">
        <f>IFERROR(__xludf.DUMMYFUNCTION("""COMPUTED_VALUE"""),"0098994125 / 252611567")</f>
        <v>0098994125 / 252611567</v>
      </c>
      <c r="B970" s="3" t="str">
        <f>IFERROR(__xludf.DUMMYFUNCTION("""COMPUTED_VALUE"""),"Akhmad Kevin Ahdiansyah Lesmanu")</f>
        <v>Akhmad Kevin Ahdiansyah Lesmanu</v>
      </c>
      <c r="C970" s="3" t="str">
        <f>IFERROR(__xludf.DUMMYFUNCTION("""COMPUTED_VALUE"""),"L")</f>
        <v>L</v>
      </c>
      <c r="D970" s="3">
        <f>IFERROR(__xludf.DUMMYFUNCTION("""COMPUTED_VALUE"""),32.0)</f>
        <v>32</v>
      </c>
      <c r="E970" s="3" t="str">
        <f>IFERROR(__xludf.DUMMYFUNCTION("""COMPUTED_VALUE"""),"XI F-2")</f>
        <v>XI F-2</v>
      </c>
      <c r="F970" s="11" t="str">
        <f>IFERROR(__xludf.DUMMYFUNCTION("""COMPUTED_VALUE"""),"32 - XI F-2 - Akhmad Kevin Ahdiansyah Lesmanu")</f>
        <v>32 - XI F-2 - Akhmad Kevin Ahdiansyah Lesmanu</v>
      </c>
    </row>
    <row r="971">
      <c r="A971" s="3" t="str">
        <f>IFERROR(__xludf.DUMMYFUNCTION("""COMPUTED_VALUE"""),"0087336074 / 242510195")</f>
        <v>0087336074 / 242510195</v>
      </c>
      <c r="B971" s="3" t="str">
        <f>IFERROR(__xludf.DUMMYFUNCTION("""COMPUTED_VALUE"""),"Keysa Novasari")</f>
        <v>Keysa Novasari</v>
      </c>
      <c r="C971" s="3" t="str">
        <f>IFERROR(__xludf.DUMMYFUNCTION("""COMPUTED_VALUE"""),"P")</f>
        <v>P</v>
      </c>
      <c r="D971" s="3">
        <f>IFERROR(__xludf.DUMMYFUNCTION("""COMPUTED_VALUE"""),32.0)</f>
        <v>32</v>
      </c>
      <c r="E971" s="3" t="str">
        <f>IFERROR(__xludf.DUMMYFUNCTION("""COMPUTED_VALUE"""),"XI F-2")</f>
        <v>XI F-2</v>
      </c>
      <c r="F971" s="11" t="str">
        <f>IFERROR(__xludf.DUMMYFUNCTION("""COMPUTED_VALUE"""),"32 - XI F-2 - Keysa Novasari")</f>
        <v>32 - XI F-2 - Keysa Novasari</v>
      </c>
    </row>
    <row r="972">
      <c r="A972" s="3" t="str">
        <f>IFERROR(__xludf.DUMMYFUNCTION("""COMPUTED_VALUE"""),"0083317171 / 242510203")</f>
        <v>0083317171 / 242510203</v>
      </c>
      <c r="B972" s="3" t="str">
        <f>IFERROR(__xludf.DUMMYFUNCTION("""COMPUTED_VALUE"""),"Khansaa Dhiyaa Aqiilaa")</f>
        <v>Khansaa Dhiyaa Aqiilaa</v>
      </c>
      <c r="C972" s="3" t="str">
        <f>IFERROR(__xludf.DUMMYFUNCTION("""COMPUTED_VALUE"""),"P")</f>
        <v>P</v>
      </c>
      <c r="D972" s="3">
        <f>IFERROR(__xludf.DUMMYFUNCTION("""COMPUTED_VALUE"""),32.0)</f>
        <v>32</v>
      </c>
      <c r="E972" s="3" t="str">
        <f>IFERROR(__xludf.DUMMYFUNCTION("""COMPUTED_VALUE"""),"XI F-2")</f>
        <v>XI F-2</v>
      </c>
      <c r="F972" s="11" t="str">
        <f>IFERROR(__xludf.DUMMYFUNCTION("""COMPUTED_VALUE"""),"32 - XI F-2 - Khansaa Dhiyaa Aqiilaa")</f>
        <v>32 - XI F-2 - Khansaa Dhiyaa Aqiilaa</v>
      </c>
    </row>
    <row r="973">
      <c r="A973" s="3" t="str">
        <f>IFERROR(__xludf.DUMMYFUNCTION("""COMPUTED_VALUE"""),"3081754398 / 242510219")</f>
        <v>3081754398 / 242510219</v>
      </c>
      <c r="B973" s="3" t="str">
        <f>IFERROR(__xludf.DUMMYFUNCTION("""COMPUTED_VALUE"""),"M. Fauzan Aifa Hafizh")</f>
        <v>M. Fauzan Aifa Hafizh</v>
      </c>
      <c r="C973" s="3" t="str">
        <f>IFERROR(__xludf.DUMMYFUNCTION("""COMPUTED_VALUE"""),"L")</f>
        <v>L</v>
      </c>
      <c r="D973" s="3">
        <f>IFERROR(__xludf.DUMMYFUNCTION("""COMPUTED_VALUE"""),32.0)</f>
        <v>32</v>
      </c>
      <c r="E973" s="3" t="str">
        <f>IFERROR(__xludf.DUMMYFUNCTION("""COMPUTED_VALUE"""),"XI F-2")</f>
        <v>XI F-2</v>
      </c>
      <c r="F973" s="11" t="str">
        <f>IFERROR(__xludf.DUMMYFUNCTION("""COMPUTED_VALUE"""),"32 - XI F-2 - M. Fauzan Aifa Hafizh")</f>
        <v>32 - XI F-2 - M. Fauzan Aifa Hafizh</v>
      </c>
    </row>
    <row r="974">
      <c r="A974" s="3" t="str">
        <f>IFERROR(__xludf.DUMMYFUNCTION("""COMPUTED_VALUE"""),"0098773886 / 242510223")</f>
        <v>0098773886 / 242510223</v>
      </c>
      <c r="B974" s="3" t="str">
        <f>IFERROR(__xludf.DUMMYFUNCTION("""COMPUTED_VALUE"""),"Malikah Putri Rafan")</f>
        <v>Malikah Putri Rafan</v>
      </c>
      <c r="C974" s="3" t="str">
        <f>IFERROR(__xludf.DUMMYFUNCTION("""COMPUTED_VALUE"""),"P")</f>
        <v>P</v>
      </c>
      <c r="D974" s="3">
        <f>IFERROR(__xludf.DUMMYFUNCTION("""COMPUTED_VALUE"""),32.0)</f>
        <v>32</v>
      </c>
      <c r="E974" s="3" t="str">
        <f>IFERROR(__xludf.DUMMYFUNCTION("""COMPUTED_VALUE"""),"XI F-2")</f>
        <v>XI F-2</v>
      </c>
      <c r="F974" s="11" t="str">
        <f>IFERROR(__xludf.DUMMYFUNCTION("""COMPUTED_VALUE"""),"32 - XI F-2 - Malikah Putri Rafan")</f>
        <v>32 - XI F-2 - Malikah Putri Rafan</v>
      </c>
    </row>
    <row r="975">
      <c r="A975" s="3" t="str">
        <f>IFERROR(__xludf.DUMMYFUNCTION("""COMPUTED_VALUE"""),"0098848130 / 242510228")</f>
        <v>0098848130 / 242510228</v>
      </c>
      <c r="B975" s="3" t="str">
        <f>IFERROR(__xludf.DUMMYFUNCTION("""COMPUTED_VALUE"""),"Maulida Maftuhah")</f>
        <v>Maulida Maftuhah</v>
      </c>
      <c r="C975" s="3" t="str">
        <f>IFERROR(__xludf.DUMMYFUNCTION("""COMPUTED_VALUE"""),"P")</f>
        <v>P</v>
      </c>
      <c r="D975" s="3">
        <f>IFERROR(__xludf.DUMMYFUNCTION("""COMPUTED_VALUE"""),32.0)</f>
        <v>32</v>
      </c>
      <c r="E975" s="3" t="str">
        <f>IFERROR(__xludf.DUMMYFUNCTION("""COMPUTED_VALUE"""),"XI F-2")</f>
        <v>XI F-2</v>
      </c>
      <c r="F975" s="11" t="str">
        <f>IFERROR(__xludf.DUMMYFUNCTION("""COMPUTED_VALUE"""),"32 - XI F-2 - Maulida Maftuhah")</f>
        <v>32 - XI F-2 - Maulida Maftuhah</v>
      </c>
    </row>
    <row r="976">
      <c r="A976" s="3" t="str">
        <f>IFERROR(__xludf.DUMMYFUNCTION("""COMPUTED_VALUE"""),"0086293694 / 242510229")</f>
        <v>0086293694 / 242510229</v>
      </c>
      <c r="B976" s="3" t="str">
        <f>IFERROR(__xludf.DUMMYFUNCTION("""COMPUTED_VALUE"""),"Maykaila Aini Suryaningtyas Tamin")</f>
        <v>Maykaila Aini Suryaningtyas Tamin</v>
      </c>
      <c r="C976" s="3" t="str">
        <f>IFERROR(__xludf.DUMMYFUNCTION("""COMPUTED_VALUE"""),"P")</f>
        <v>P</v>
      </c>
      <c r="D976" s="3">
        <f>IFERROR(__xludf.DUMMYFUNCTION("""COMPUTED_VALUE"""),32.0)</f>
        <v>32</v>
      </c>
      <c r="E976" s="3" t="str">
        <f>IFERROR(__xludf.DUMMYFUNCTION("""COMPUTED_VALUE"""),"XI F-2")</f>
        <v>XI F-2</v>
      </c>
      <c r="F976" s="11" t="str">
        <f>IFERROR(__xludf.DUMMYFUNCTION("""COMPUTED_VALUE"""),"32 - XI F-2 - Maykaila Aini Suryaningtyas Tamin")</f>
        <v>32 - XI F-2 - Maykaila Aini Suryaningtyas Tamin</v>
      </c>
    </row>
    <row r="977">
      <c r="A977" s="3" t="str">
        <f>IFERROR(__xludf.DUMMYFUNCTION("""COMPUTED_VALUE"""),"0088667313 / 242510236")</f>
        <v>0088667313 / 242510236</v>
      </c>
      <c r="B977" s="3" t="str">
        <f>IFERROR(__xludf.DUMMYFUNCTION("""COMPUTED_VALUE"""),"Mochamad Farid Reza")</f>
        <v>Mochamad Farid Reza</v>
      </c>
      <c r="C977" s="3" t="str">
        <f>IFERROR(__xludf.DUMMYFUNCTION("""COMPUTED_VALUE"""),"L")</f>
        <v>L</v>
      </c>
      <c r="D977" s="3">
        <f>IFERROR(__xludf.DUMMYFUNCTION("""COMPUTED_VALUE"""),32.0)</f>
        <v>32</v>
      </c>
      <c r="E977" s="3" t="str">
        <f>IFERROR(__xludf.DUMMYFUNCTION("""COMPUTED_VALUE"""),"XI F-2")</f>
        <v>XI F-2</v>
      </c>
      <c r="F977" s="11" t="str">
        <f>IFERROR(__xludf.DUMMYFUNCTION("""COMPUTED_VALUE"""),"32 - XI F-2 - Mochamad Farid Reza")</f>
        <v>32 - XI F-2 - Mochamad Farid Reza</v>
      </c>
    </row>
    <row r="978">
      <c r="A978" s="3" t="str">
        <f>IFERROR(__xludf.DUMMYFUNCTION("""COMPUTED_VALUE"""),"0093423349 / 242510245")</f>
        <v>0093423349 / 242510245</v>
      </c>
      <c r="B978" s="3" t="str">
        <f>IFERROR(__xludf.DUMMYFUNCTION("""COMPUTED_VALUE"""),"Muhamad Rizki Saputra")</f>
        <v>Muhamad Rizki Saputra</v>
      </c>
      <c r="C978" s="3" t="str">
        <f>IFERROR(__xludf.DUMMYFUNCTION("""COMPUTED_VALUE"""),"L")</f>
        <v>L</v>
      </c>
      <c r="D978" s="3">
        <f>IFERROR(__xludf.DUMMYFUNCTION("""COMPUTED_VALUE"""),32.0)</f>
        <v>32</v>
      </c>
      <c r="E978" s="3" t="str">
        <f>IFERROR(__xludf.DUMMYFUNCTION("""COMPUTED_VALUE"""),"XI F-2")</f>
        <v>XI F-2</v>
      </c>
      <c r="F978" s="11" t="str">
        <f>IFERROR(__xludf.DUMMYFUNCTION("""COMPUTED_VALUE"""),"32 - XI F-2 - Muhamad Rizki Saputra")</f>
        <v>32 - XI F-2 - Muhamad Rizki Saputra</v>
      </c>
    </row>
    <row r="979">
      <c r="A979" s="3" t="str">
        <f>IFERROR(__xludf.DUMMYFUNCTION("""COMPUTED_VALUE"""),"0089737965 / 242510247")</f>
        <v>0089737965 / 242510247</v>
      </c>
      <c r="B979" s="3" t="str">
        <f>IFERROR(__xludf.DUMMYFUNCTION("""COMPUTED_VALUE"""),"Muhamad Zidan")</f>
        <v>Muhamad Zidan</v>
      </c>
      <c r="C979" s="3" t="str">
        <f>IFERROR(__xludf.DUMMYFUNCTION("""COMPUTED_VALUE"""),"L")</f>
        <v>L</v>
      </c>
      <c r="D979" s="3">
        <f>IFERROR(__xludf.DUMMYFUNCTION("""COMPUTED_VALUE"""),32.0)</f>
        <v>32</v>
      </c>
      <c r="E979" s="3" t="str">
        <f>IFERROR(__xludf.DUMMYFUNCTION("""COMPUTED_VALUE"""),"XI F-2")</f>
        <v>XI F-2</v>
      </c>
      <c r="F979" s="11" t="str">
        <f>IFERROR(__xludf.DUMMYFUNCTION("""COMPUTED_VALUE"""),"32 - XI F-2 - Muhamad Zidan")</f>
        <v>32 - XI F-2 - Muhamad Zidan</v>
      </c>
    </row>
    <row r="980">
      <c r="A980" s="3" t="str">
        <f>IFERROR(__xludf.DUMMYFUNCTION("""COMPUTED_VALUE"""),"0091624427 / 242510249")</f>
        <v>0091624427 / 242510249</v>
      </c>
      <c r="B980" s="3" t="str">
        <f>IFERROR(__xludf.DUMMYFUNCTION("""COMPUTED_VALUE"""),"Muhammad Alfiansyah")</f>
        <v>Muhammad Alfiansyah</v>
      </c>
      <c r="C980" s="3" t="str">
        <f>IFERROR(__xludf.DUMMYFUNCTION("""COMPUTED_VALUE"""),"L")</f>
        <v>L</v>
      </c>
      <c r="D980" s="3">
        <f>IFERROR(__xludf.DUMMYFUNCTION("""COMPUTED_VALUE"""),32.0)</f>
        <v>32</v>
      </c>
      <c r="E980" s="3" t="str">
        <f>IFERROR(__xludf.DUMMYFUNCTION("""COMPUTED_VALUE"""),"XI F-2")</f>
        <v>XI F-2</v>
      </c>
      <c r="F980" s="11" t="str">
        <f>IFERROR(__xludf.DUMMYFUNCTION("""COMPUTED_VALUE"""),"32 - XI F-2 - Muhammad Alfiansyah")</f>
        <v>32 - XI F-2 - Muhammad Alfiansyah</v>
      </c>
    </row>
    <row r="981">
      <c r="A981" s="3" t="str">
        <f>IFERROR(__xludf.DUMMYFUNCTION("""COMPUTED_VALUE"""),"0083876462 / 242510267")</f>
        <v>0083876462 / 242510267</v>
      </c>
      <c r="B981" s="3" t="str">
        <f>IFERROR(__xludf.DUMMYFUNCTION("""COMPUTED_VALUE"""),"Muhammad Hiroshi Ali Muzaffar")</f>
        <v>Muhammad Hiroshi Ali Muzaffar</v>
      </c>
      <c r="C981" s="3" t="str">
        <f>IFERROR(__xludf.DUMMYFUNCTION("""COMPUTED_VALUE"""),"L")</f>
        <v>L</v>
      </c>
      <c r="D981" s="3">
        <f>IFERROR(__xludf.DUMMYFUNCTION("""COMPUTED_VALUE"""),32.0)</f>
        <v>32</v>
      </c>
      <c r="E981" s="3" t="str">
        <f>IFERROR(__xludf.DUMMYFUNCTION("""COMPUTED_VALUE"""),"XI F-2")</f>
        <v>XI F-2</v>
      </c>
      <c r="F981" s="11" t="str">
        <f>IFERROR(__xludf.DUMMYFUNCTION("""COMPUTED_VALUE"""),"32 - XI F-2 - Muhammad Hiroshi Ali Muzaffar")</f>
        <v>32 - XI F-2 - Muhammad Hiroshi Ali Muzaffar</v>
      </c>
    </row>
    <row r="982">
      <c r="A982" s="3" t="str">
        <f>IFERROR(__xludf.DUMMYFUNCTION("""COMPUTED_VALUE"""),"0082604990 / 242510276")</f>
        <v>0082604990 / 242510276</v>
      </c>
      <c r="B982" s="3" t="str">
        <f>IFERROR(__xludf.DUMMYFUNCTION("""COMPUTED_VALUE"""),"Muhammad Royyan")</f>
        <v>Muhammad Royyan</v>
      </c>
      <c r="C982" s="3" t="str">
        <f>IFERROR(__xludf.DUMMYFUNCTION("""COMPUTED_VALUE"""),"L")</f>
        <v>L</v>
      </c>
      <c r="D982" s="3">
        <f>IFERROR(__xludf.DUMMYFUNCTION("""COMPUTED_VALUE"""),32.0)</f>
        <v>32</v>
      </c>
      <c r="E982" s="3" t="str">
        <f>IFERROR(__xludf.DUMMYFUNCTION("""COMPUTED_VALUE"""),"XI F-2")</f>
        <v>XI F-2</v>
      </c>
      <c r="F982" s="11" t="str">
        <f>IFERROR(__xludf.DUMMYFUNCTION("""COMPUTED_VALUE"""),"32 - XI F-2 - Muhammad Royyan")</f>
        <v>32 - XI F-2 - Muhammad Royyan</v>
      </c>
    </row>
    <row r="983">
      <c r="A983" s="3" t="str">
        <f>IFERROR(__xludf.DUMMYFUNCTION("""COMPUTED_VALUE"""),"0087043705 / 242510307")</f>
        <v>0087043705 / 242510307</v>
      </c>
      <c r="B983" s="3" t="str">
        <f>IFERROR(__xludf.DUMMYFUNCTION("""COMPUTED_VALUE"""),"Nur Syifa Az Zahra")</f>
        <v>Nur Syifa Az Zahra</v>
      </c>
      <c r="C983" s="3" t="str">
        <f>IFERROR(__xludf.DUMMYFUNCTION("""COMPUTED_VALUE"""),"P")</f>
        <v>P</v>
      </c>
      <c r="D983" s="3">
        <f>IFERROR(__xludf.DUMMYFUNCTION("""COMPUTED_VALUE"""),32.0)</f>
        <v>32</v>
      </c>
      <c r="E983" s="3" t="str">
        <f>IFERROR(__xludf.DUMMYFUNCTION("""COMPUTED_VALUE"""),"XI F-2")</f>
        <v>XI F-2</v>
      </c>
      <c r="F983" s="11" t="str">
        <f>IFERROR(__xludf.DUMMYFUNCTION("""COMPUTED_VALUE"""),"32 - XI F-2 - Nur Syifa Az Zahra")</f>
        <v>32 - XI F-2 - Nur Syifa Az Zahra</v>
      </c>
    </row>
    <row r="984">
      <c r="A984" s="3" t="str">
        <f>IFERROR(__xludf.DUMMYFUNCTION("""COMPUTED_VALUE"""),"0081683598 / 242510316")</f>
        <v>0081683598 / 242510316</v>
      </c>
      <c r="B984" s="3" t="str">
        <f>IFERROR(__xludf.DUMMYFUNCTION("""COMPUTED_VALUE"""),"Puteri Kinnayya Saepudin")</f>
        <v>Puteri Kinnayya Saepudin</v>
      </c>
      <c r="C984" s="3" t="str">
        <f>IFERROR(__xludf.DUMMYFUNCTION("""COMPUTED_VALUE"""),"P")</f>
        <v>P</v>
      </c>
      <c r="D984" s="3">
        <f>IFERROR(__xludf.DUMMYFUNCTION("""COMPUTED_VALUE"""),32.0)</f>
        <v>32</v>
      </c>
      <c r="E984" s="3" t="str">
        <f>IFERROR(__xludf.DUMMYFUNCTION("""COMPUTED_VALUE"""),"XI F-2")</f>
        <v>XI F-2</v>
      </c>
      <c r="F984" s="11" t="str">
        <f>IFERROR(__xludf.DUMMYFUNCTION("""COMPUTED_VALUE"""),"32 - XI F-2 - Puteri Kinnayya Saepudin")</f>
        <v>32 - XI F-2 - Puteri Kinnayya Saepudin</v>
      </c>
    </row>
    <row r="985">
      <c r="A985" s="3" t="str">
        <f>IFERROR(__xludf.DUMMYFUNCTION("""COMPUTED_VALUE"""),"0094092301 / 252611572")</f>
        <v>0094092301 / 252611572</v>
      </c>
      <c r="B985" s="3" t="str">
        <f>IFERROR(__xludf.DUMMYFUNCTION("""COMPUTED_VALUE"""),"Raja Gilang Faizin")</f>
        <v>Raja Gilang Faizin</v>
      </c>
      <c r="C985" s="3" t="str">
        <f>IFERROR(__xludf.DUMMYFUNCTION("""COMPUTED_VALUE"""),"L")</f>
        <v>L</v>
      </c>
      <c r="D985" s="3">
        <f>IFERROR(__xludf.DUMMYFUNCTION("""COMPUTED_VALUE"""),32.0)</f>
        <v>32</v>
      </c>
      <c r="E985" s="3" t="str">
        <f>IFERROR(__xludf.DUMMYFUNCTION("""COMPUTED_VALUE"""),"XI F-2")</f>
        <v>XI F-2</v>
      </c>
      <c r="F985" s="11" t="str">
        <f>IFERROR(__xludf.DUMMYFUNCTION("""COMPUTED_VALUE"""),"32 - XI F-2 - Raja Gilang Faizin")</f>
        <v>32 - XI F-2 - Raja Gilang Faizin</v>
      </c>
    </row>
    <row r="986">
      <c r="A986" s="3" t="str">
        <f>IFERROR(__xludf.DUMMYFUNCTION("""COMPUTED_VALUE"""),"0092685479 / 252611573")</f>
        <v>0092685479 / 252611573</v>
      </c>
      <c r="B986" s="3" t="str">
        <f>IFERROR(__xludf.DUMMYFUNCTION("""COMPUTED_VALUE"""),"Randacaya Hada Sangadji")</f>
        <v>Randacaya Hada Sangadji</v>
      </c>
      <c r="C986" s="3" t="str">
        <f>IFERROR(__xludf.DUMMYFUNCTION("""COMPUTED_VALUE"""),"P")</f>
        <v>P</v>
      </c>
      <c r="D986" s="3">
        <f>IFERROR(__xludf.DUMMYFUNCTION("""COMPUTED_VALUE"""),32.0)</f>
        <v>32</v>
      </c>
      <c r="E986" s="3" t="str">
        <f>IFERROR(__xludf.DUMMYFUNCTION("""COMPUTED_VALUE"""),"XI F-2")</f>
        <v>XI F-2</v>
      </c>
      <c r="F986" s="11" t="str">
        <f>IFERROR(__xludf.DUMMYFUNCTION("""COMPUTED_VALUE"""),"32 - XI F-2 - Randacaya Hada Sangadji")</f>
        <v>32 - XI F-2 - Randacaya Hada Sangadji</v>
      </c>
    </row>
    <row r="987">
      <c r="A987" s="3" t="str">
        <f>IFERROR(__xludf.DUMMYFUNCTION("""COMPUTED_VALUE"""),"0095319720 / 242510364")</f>
        <v>0095319720 / 242510364</v>
      </c>
      <c r="B987" s="3" t="str">
        <f>IFERROR(__xludf.DUMMYFUNCTION("""COMPUTED_VALUE"""),"Sakinah Nasution")</f>
        <v>Sakinah Nasution</v>
      </c>
      <c r="C987" s="3" t="str">
        <f>IFERROR(__xludf.DUMMYFUNCTION("""COMPUTED_VALUE"""),"P")</f>
        <v>P</v>
      </c>
      <c r="D987" s="3">
        <f>IFERROR(__xludf.DUMMYFUNCTION("""COMPUTED_VALUE"""),32.0)</f>
        <v>32</v>
      </c>
      <c r="E987" s="3" t="str">
        <f>IFERROR(__xludf.DUMMYFUNCTION("""COMPUTED_VALUE"""),"XI F-2")</f>
        <v>XI F-2</v>
      </c>
      <c r="F987" s="11" t="str">
        <f>IFERROR(__xludf.DUMMYFUNCTION("""COMPUTED_VALUE"""),"32 - XI F-2 - Sakinah Nasution")</f>
        <v>32 - XI F-2 - Sakinah Nasution</v>
      </c>
    </row>
    <row r="988">
      <c r="A988" s="3" t="str">
        <f>IFERROR(__xludf.DUMMYFUNCTION("""COMPUTED_VALUE"""),"0084006956 / 242510400")</f>
        <v>0084006956 / 242510400</v>
      </c>
      <c r="B988" s="3" t="str">
        <f>IFERROR(__xludf.DUMMYFUNCTION("""COMPUTED_VALUE"""),"Tiara Thalita Dzaky")</f>
        <v>Tiara Thalita Dzaky</v>
      </c>
      <c r="C988" s="3" t="str">
        <f>IFERROR(__xludf.DUMMYFUNCTION("""COMPUTED_VALUE"""),"P")</f>
        <v>P</v>
      </c>
      <c r="D988" s="3">
        <f>IFERROR(__xludf.DUMMYFUNCTION("""COMPUTED_VALUE"""),32.0)</f>
        <v>32</v>
      </c>
      <c r="E988" s="3" t="str">
        <f>IFERROR(__xludf.DUMMYFUNCTION("""COMPUTED_VALUE"""),"XI F-2")</f>
        <v>XI F-2</v>
      </c>
      <c r="F988" s="11" t="str">
        <f>IFERROR(__xludf.DUMMYFUNCTION("""COMPUTED_VALUE"""),"32 - XI F-2 - Tiara Thalita Dzaky")</f>
        <v>32 - XI F-2 - Tiara Thalita Dzaky</v>
      </c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autoFilter ref="$A$1:$F$556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</hyperlinks>
  <drawing r:id="rId988"/>
</worksheet>
</file>