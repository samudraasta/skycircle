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firstSheet="1" activeTab="4"/>
  </bookViews>
  <sheets>
    <sheet name="XI A" sheetId="14" r:id="rId1"/>
    <sheet name="XI B1" sheetId="15" r:id="rId2"/>
    <sheet name="XI B2" sheetId="16" r:id="rId3"/>
    <sheet name="XI B3" sheetId="17" r:id="rId4"/>
    <sheet name="XI C1" sheetId="18" r:id="rId5"/>
    <sheet name="XI C2" sheetId="19" r:id="rId6"/>
    <sheet name="XI C3" sheetId="20" r:id="rId7"/>
    <sheet name="XI C4" sheetId="21" r:id="rId8"/>
    <sheet name="XI D1" sheetId="22" r:id="rId9"/>
    <sheet name="XI D2" sheetId="23" r:id="rId10"/>
    <sheet name="XI E1" sheetId="24" r:id="rId11"/>
    <sheet name="XI E2" sheetId="25" r:id="rId12"/>
    <sheet name="REKAP" sheetId="7" state="hidden" r:id="rId13"/>
  </sheets>
  <calcPr calcId="191029"/>
  <customWorkbookViews>
    <customWorkbookView name="Filter 1" guid="{9573A322-2DB1-4401-8350-E3AC03FCD616}" maximized="1" windowWidth="0" windowHeight="0" activeSheetId="0"/>
  </customWorkbookViews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<sst xmlns="http://schemas.openxmlformats.org/spreadsheetml/2006/main" count="1894" uniqueCount="1181">
  <si>
    <r>
      <rPr>
        <sz val="12"/>
        <color theme="1"/>
        <rFont val="Times New Roman"/>
        <charset val="134"/>
      </rPr>
      <t>PEMERINTAH DAERAH PROVINSI JAWA BARAT</t>
    </r>
    <r>
      <rPr>
        <sz val="10"/>
        <color theme="1"/>
        <rFont val="Arial Narrow"/>
        <charset val="134"/>
      </rPr>
      <t xml:space="preserve">
</t>
    </r>
    <r>
      <rPr>
        <sz val="12"/>
        <color theme="1"/>
        <rFont val="Times New Roman"/>
        <charset val="134"/>
      </rPr>
      <t xml:space="preserve">DINAS PENDIDIKAN 
</t>
    </r>
    <r>
      <rPr>
        <b/>
        <sz val="14"/>
        <color theme="1"/>
        <rFont val="Times New Roman"/>
        <charset val="134"/>
      </rPr>
      <t xml:space="preserve">SMA  NEGERI 2 CIBINONG
</t>
    </r>
    <r>
      <rPr>
        <sz val="10"/>
        <color theme="1"/>
        <rFont val="Times New Roman"/>
        <charset val="134"/>
      </rPr>
      <t>Jln. Karadenan No. 5 Cibinong Telp/Fax. ( 0251 ) 8654347 Bogor 16913
http://www.sman2cibinong.sch.id    email: info@sman2cibinong.sch.id</t>
    </r>
  </si>
  <si>
    <t>DAFTAR MURID</t>
  </si>
  <si>
    <t>KELAS XI A</t>
  </si>
  <si>
    <t>TAHUN PELAJARAN 2026-2027</t>
  </si>
  <si>
    <t>Wali Kelas : Teguh Satya Pratama, S.Pd.</t>
  </si>
  <si>
    <t>NO</t>
  </si>
  <si>
    <t>NISN / NIS</t>
  </si>
  <si>
    <t>NAMA</t>
  </si>
  <si>
    <t>L / P</t>
  </si>
  <si>
    <t>0091825991 / 252610009</t>
  </si>
  <si>
    <t>Adi Pati Jaya Prana</t>
  </si>
  <si>
    <t>L</t>
  </si>
  <si>
    <t>0105770130 / 252610021</t>
  </si>
  <si>
    <t>Aik Novitasari</t>
  </si>
  <si>
    <t>P</t>
  </si>
  <si>
    <t>0099540724 / 252610022</t>
  </si>
  <si>
    <t>Aira Alessia Adha</t>
  </si>
  <si>
    <t>0084218795 / 242510016</t>
  </si>
  <si>
    <t>Aisyah Nara Purusa Ningsa</t>
  </si>
  <si>
    <t>0107055406 / 252610032</t>
  </si>
  <si>
    <t>Akram Mubarak</t>
  </si>
  <si>
    <t>0102387971 / 252610059</t>
  </si>
  <si>
    <t>Ananda Bari Al Kausar</t>
  </si>
  <si>
    <t>0099339799 / 252610060</t>
  </si>
  <si>
    <t>Anas Legawa Riyadi</t>
  </si>
  <si>
    <t>0098221239 / 252610079</t>
  </si>
  <si>
    <t>Arman Firmansyah</t>
  </si>
  <si>
    <t>0101396555 / 252610080</t>
  </si>
  <si>
    <t>Arsyad Khaerul Izzan</t>
  </si>
  <si>
    <t>0102307654 / 252610097</t>
  </si>
  <si>
    <t>Aulia Cinta Divia</t>
  </si>
  <si>
    <t>0095522157 / 252610155</t>
  </si>
  <si>
    <t>Dhefa Raditya Putra</t>
  </si>
  <si>
    <t>0105616025 / 252610169</t>
  </si>
  <si>
    <t>Dindin Andini Suryaman</t>
  </si>
  <si>
    <t>0096744611 / 252610176</t>
  </si>
  <si>
    <t>Egi Surjana</t>
  </si>
  <si>
    <t>0091524155 / 252610179</t>
  </si>
  <si>
    <t>Elgiva Damara Sanchia</t>
  </si>
  <si>
    <t>0104532267 / 252610180</t>
  </si>
  <si>
    <t>Elvio Dyahyu Yusanto</t>
  </si>
  <si>
    <t>0097593921 / 252610181</t>
  </si>
  <si>
    <t>Enisye Putri Zeliawati Limpong</t>
  </si>
  <si>
    <t>0099535255 / 252610212</t>
  </si>
  <si>
    <t>Fitri Rahmawati</t>
  </si>
  <si>
    <t>0107948623 / 252610227</t>
  </si>
  <si>
    <t>Hasfa Zulfana Nahdah</t>
  </si>
  <si>
    <t>0095064549 / 252610230</t>
  </si>
  <si>
    <t>Hilmi Ardhana Fuady</t>
  </si>
  <si>
    <t>0104595564 / 252610233</t>
  </si>
  <si>
    <t>Inaya Janeeta</t>
  </si>
  <si>
    <t>0104767807 / 252610237</t>
  </si>
  <si>
    <t>Jaenal Ikhwan</t>
  </si>
  <si>
    <t>0096544983 / 252610268</t>
  </si>
  <si>
    <t>Keisya Andhita Kirana Putri</t>
  </si>
  <si>
    <t>0098772505 / 252610274</t>
  </si>
  <si>
    <t>Keynia Louis Cristin Harianja</t>
  </si>
  <si>
    <t>0107095977 / 252610276</t>
  </si>
  <si>
    <t>Khairani Asri Utami</t>
  </si>
  <si>
    <t>0102208567 / 252610283</t>
  </si>
  <si>
    <t>Khanza Aprillia Risyadi</t>
  </si>
  <si>
    <t>0092212305 / 252610293</t>
  </si>
  <si>
    <t>Luqman Aziz Saputro</t>
  </si>
  <si>
    <t>0102015407 / 252610294</t>
  </si>
  <si>
    <t>Lutfi Dwi Melati</t>
  </si>
  <si>
    <t>0103035193 / 252610298</t>
  </si>
  <si>
    <t>Maheswara Pekik Hanuraga</t>
  </si>
  <si>
    <t>0103468589 / 252610300</t>
  </si>
  <si>
    <t>Manar Abbas Bawazir</t>
  </si>
  <si>
    <t>0092576905 / 252610302</t>
  </si>
  <si>
    <t>Mardiansyah Isman</t>
  </si>
  <si>
    <t>0109522386 / 252610308</t>
  </si>
  <si>
    <t>Mawar Aprilliana</t>
  </si>
  <si>
    <t>0098516941 / 252610327</t>
  </si>
  <si>
    <t>Muhamad Raihan Rizqullah</t>
  </si>
  <si>
    <t>0092600602 / 252610330</t>
  </si>
  <si>
    <t>Muhamad Septian Romadhon</t>
  </si>
  <si>
    <t>0093126257 / 252610343</t>
  </si>
  <si>
    <t>Muhammad Chaerudin Ramdhani</t>
  </si>
  <si>
    <t>3105173369 / 252610378</t>
  </si>
  <si>
    <t>Muhammad Zaidan Aqil</t>
  </si>
  <si>
    <t>3109348901 / 252610395</t>
  </si>
  <si>
    <t>Namira Nur Azkia</t>
  </si>
  <si>
    <t>0092020564 / 252610449</t>
  </si>
  <si>
    <t>Raasyid Zhariif Santoso</t>
  </si>
  <si>
    <t>0097831413 / 252610462</t>
  </si>
  <si>
    <t>Rahmania Azahra</t>
  </si>
  <si>
    <t>0108390462 / 252610472</t>
  </si>
  <si>
    <t>Randy Adiya Pratama Kouw</t>
  </si>
  <si>
    <t>0108451246 / 252610483</t>
  </si>
  <si>
    <t>Reni Apriliani</t>
  </si>
  <si>
    <t>0108540094 / 252610509</t>
  </si>
  <si>
    <t>Salsha Aulia Akbar</t>
  </si>
  <si>
    <t>3096600612 / 252610517</t>
  </si>
  <si>
    <t>Shalomieta Aira Kinaya</t>
  </si>
  <si>
    <t>0108718382 / 252610521</t>
  </si>
  <si>
    <t>Silvya Sri Aprilianti</t>
  </si>
  <si>
    <t>0094680852 / 252610537</t>
  </si>
  <si>
    <t>Syauqi Anandya Putri</t>
  </si>
  <si>
    <t>0107258754 / 252610551</t>
  </si>
  <si>
    <t>Vilvizeeya Hazira Kurnia</t>
  </si>
  <si>
    <t>0094438921 / 252610558</t>
  </si>
  <si>
    <t>Yuzusie Aida Nenat</t>
  </si>
  <si>
    <t>0108505453 / 252610566</t>
  </si>
  <si>
    <t>Zhafirah Dwi Fauziah</t>
  </si>
  <si>
    <t>Laki - laki</t>
  </si>
  <si>
    <t>Perempuan</t>
  </si>
  <si>
    <t>KELAS XI B1</t>
  </si>
  <si>
    <t>Wali Kelas : Hj. Srie Endang Wigati, M.Pd</t>
  </si>
  <si>
    <t>0096128036 / 252610020</t>
  </si>
  <si>
    <t>Ahmad Husein Al Latief</t>
  </si>
  <si>
    <t>3096764634 / 252610025</t>
  </si>
  <si>
    <t>Aira Kirana</t>
  </si>
  <si>
    <t>0087811342 / 252610038</t>
  </si>
  <si>
    <t>Alfian Chaniago</t>
  </si>
  <si>
    <t>3093210071 / 252610042</t>
  </si>
  <si>
    <t>Alisa Putri</t>
  </si>
  <si>
    <t>0094347087 / 252610044</t>
  </si>
  <si>
    <t>Aliya Trianzani Putri</t>
  </si>
  <si>
    <t>0104825356 / 252610057</t>
  </si>
  <si>
    <t>Amirah Khalishah Somoal</t>
  </si>
  <si>
    <t>0104668456 / 252610061</t>
  </si>
  <si>
    <t>Andagita Vilnaira Atha</t>
  </si>
  <si>
    <t>3108667209 / 252610070</t>
  </si>
  <si>
    <t>Aqeela Az Zahra</t>
  </si>
  <si>
    <t>0106376916 / 252610090</t>
  </si>
  <si>
    <t>Atharrayhan Abimanyu Pratama</t>
  </si>
  <si>
    <t>0093343311 / 252610092</t>
  </si>
  <si>
    <t>Attar Palestine Taha</t>
  </si>
  <si>
    <t>0104895570 / 252610099</t>
  </si>
  <si>
    <t>Aura Nabilah Zahirah</t>
  </si>
  <si>
    <t>2099366441 / 252610106</t>
  </si>
  <si>
    <t>Ayi Artadinata</t>
  </si>
  <si>
    <t>0103193565 / 252610116</t>
  </si>
  <si>
    <t>Balqis Jauza Sabreenijka</t>
  </si>
  <si>
    <t>0108974038 / 252610117</t>
  </si>
  <si>
    <t>Balqis Luthfiyah Zahra</t>
  </si>
  <si>
    <t>0096174502 / 252610118</t>
  </si>
  <si>
    <t>Belinda Angelica</t>
  </si>
  <si>
    <t>0104799326 / 252610134</t>
  </si>
  <si>
    <t>Chempaka Balqist Zavira Mentary Misman</t>
  </si>
  <si>
    <t>0102239764 / 252610140</t>
  </si>
  <si>
    <t>Clara Dwi Cahya</t>
  </si>
  <si>
    <t>0099286083 / 252610157</t>
  </si>
  <si>
    <t>Dhia Salsabila</t>
  </si>
  <si>
    <t>0093281671 / 252610159</t>
  </si>
  <si>
    <t>Diajeng Inggil Lintang Aulia</t>
  </si>
  <si>
    <t>3105062394 / 252610166</t>
  </si>
  <si>
    <t>Dinda Aulia</t>
  </si>
  <si>
    <t>0092679798 / 252610239</t>
  </si>
  <si>
    <t>Jasmine Zahira Ramadhani</t>
  </si>
  <si>
    <t>0106443881 / 252610247</t>
  </si>
  <si>
    <t>Jihan Fauziyyah Latifah</t>
  </si>
  <si>
    <t>0101976221 / 252610265</t>
  </si>
  <si>
    <t>Kaysan Umar Azka Setiawan</t>
  </si>
  <si>
    <t>3091107524 / 252610267</t>
  </si>
  <si>
    <t>Keisha Nurazizah</t>
  </si>
  <si>
    <t>0097372379 / 252610289</t>
  </si>
  <si>
    <t>Linggara Anugrah</t>
  </si>
  <si>
    <t>0102160006 / 252610314</t>
  </si>
  <si>
    <t>Mirza Maulana Altamis</t>
  </si>
  <si>
    <t>0099772945 / 252610324</t>
  </si>
  <si>
    <t>Muhamad Ilham Akbar</t>
  </si>
  <si>
    <t>0096882416 / 252610372</t>
  </si>
  <si>
    <t>Muhammad Sayyid Amjad</t>
  </si>
  <si>
    <t>0105755550 / 252610383</t>
  </si>
  <si>
    <t>Myiesha Lunar Wisesa Putri</t>
  </si>
  <si>
    <t>0106828126 / 252610389</t>
  </si>
  <si>
    <t>Nadila Safira</t>
  </si>
  <si>
    <t>0102898760 / 252610411</t>
  </si>
  <si>
    <t>Naywa Dinda Kansana Lubis</t>
  </si>
  <si>
    <t>0095193509 / 252610421</t>
  </si>
  <si>
    <t>Ni'Matul Aulia Ningtyas</t>
  </si>
  <si>
    <t>0093105045 / 252610424</t>
  </si>
  <si>
    <t>Nur Alifah Silvia</t>
  </si>
  <si>
    <t>3099045754 / 252610427</t>
  </si>
  <si>
    <t>Nurul Aulia Ramadhani</t>
  </si>
  <si>
    <t>0102495325 / 252610431</t>
  </si>
  <si>
    <t>Oryza Angelina Sitohang</t>
  </si>
  <si>
    <t>0101902217 / 252610460</t>
  </si>
  <si>
    <t>Rahardian Muhamad Abisiena Koswara</t>
  </si>
  <si>
    <t>0093623051 / 252610479</t>
  </si>
  <si>
    <t>Rayyan Wahyu Ramadhan</t>
  </si>
  <si>
    <t>0092731928 / 252610497</t>
  </si>
  <si>
    <t>Rusvi Putri Ingguan</t>
  </si>
  <si>
    <t>0102698949 / 252610505</t>
  </si>
  <si>
    <t>Salsa Kirana Putri</t>
  </si>
  <si>
    <t>0107182326 / 252610511</t>
  </si>
  <si>
    <t>Sekar Raynaningrum</t>
  </si>
  <si>
    <t>0107731505 / 252610512</t>
  </si>
  <si>
    <t>Shabira Andiani</t>
  </si>
  <si>
    <t>0107936085 / 252610525</t>
  </si>
  <si>
    <t>Sultan Reynard Sabdadika</t>
  </si>
  <si>
    <t>0099775444 / 252610526</t>
  </si>
  <si>
    <t>Syaakhira Fauziah</t>
  </si>
  <si>
    <t>0101659072 / 252610531</t>
  </si>
  <si>
    <t>Syahla Salsabila Ramdani</t>
  </si>
  <si>
    <t>0094714082 / 252610533</t>
  </si>
  <si>
    <t>Syahwa Fatmah</t>
  </si>
  <si>
    <t>0105717177 / 252610545</t>
  </si>
  <si>
    <t>Tiara Zenobia Nafisa</t>
  </si>
  <si>
    <t>0109499801 / 252610559</t>
  </si>
  <si>
    <t>Zafira Salsa Haniah</t>
  </si>
  <si>
    <t>LAKI - LAKI</t>
  </si>
  <si>
    <t>PEREMPUAN</t>
  </si>
  <si>
    <t>KELAS XI B2</t>
  </si>
  <si>
    <t>Wali Kelas : Yanti Kurniati, S.Pd</t>
  </si>
  <si>
    <t>0107760733 / 252610023</t>
  </si>
  <si>
    <t>Aira Aulia Putri</t>
  </si>
  <si>
    <t>0105339420 / 252610027</t>
  </si>
  <si>
    <t>Aishanna Latifa Harjono</t>
  </si>
  <si>
    <t>0102993208 / 252610043</t>
  </si>
  <si>
    <t>Alisya Belva Dhio</t>
  </si>
  <si>
    <t>0094160993 / 252610045</t>
  </si>
  <si>
    <t>Alleandra Kaif Finandita</t>
  </si>
  <si>
    <t>0108561560 / 252610047</t>
  </si>
  <si>
    <t>Almira Aprilia Putri</t>
  </si>
  <si>
    <t>0096963702 / 252610066</t>
  </si>
  <si>
    <t>Anndita</t>
  </si>
  <si>
    <t>0107831985 / 252610068</t>
  </si>
  <si>
    <t>Annisa Salsabilla</t>
  </si>
  <si>
    <t>0108763766 / 252610141</t>
  </si>
  <si>
    <t>Clarisa Meidiana</t>
  </si>
  <si>
    <t>0091254694 / 252610146</t>
  </si>
  <si>
    <t>Dahayu Nadhilah Syafa</t>
  </si>
  <si>
    <t>0103966590 / 252610148</t>
  </si>
  <si>
    <t>Danesh Arrayan Syahreen</t>
  </si>
  <si>
    <t>0103526904 / 252610165</t>
  </si>
  <si>
    <t>Dinara Savina</t>
  </si>
  <si>
    <t>0108673369 / 252610178</t>
  </si>
  <si>
    <t>Elen Vanesyah Wahyudi</t>
  </si>
  <si>
    <t>0095529275 / 252610184</t>
  </si>
  <si>
    <t>Evan Diaz</t>
  </si>
  <si>
    <t>0102866245 / 252610188</t>
  </si>
  <si>
    <t>Fahmi Adilla Pasha</t>
  </si>
  <si>
    <t>0096185979 / 252610198</t>
  </si>
  <si>
    <t>Farhan Benzema</t>
  </si>
  <si>
    <t>0103139137 / 252610205</t>
  </si>
  <si>
    <t>Fathimah Septiani Azahra</t>
  </si>
  <si>
    <t>0101705316 / 252610210</t>
  </si>
  <si>
    <t>Febri Afriani</t>
  </si>
  <si>
    <t>0103695549 / 252610236</t>
  </si>
  <si>
    <t>Izaz Izzatul Islam</t>
  </si>
  <si>
    <t>0105606050 / 252610238</t>
  </si>
  <si>
    <t>Jasmine Makayla Putri Arvani</t>
  </si>
  <si>
    <t>0108537666 / 252610250</t>
  </si>
  <si>
    <t>Johanes Satria Yudha</t>
  </si>
  <si>
    <t>0102372511 / 252610263</t>
  </si>
  <si>
    <t>Kayla Tria Fatarani</t>
  </si>
  <si>
    <t>0097732804 / 252610270</t>
  </si>
  <si>
    <t>Kesyha Ramadhani</t>
  </si>
  <si>
    <t>3093490279 / 252610271</t>
  </si>
  <si>
    <t>Kevin Septian Ramadhan</t>
  </si>
  <si>
    <t>0103261879 / 252610280</t>
  </si>
  <si>
    <t>Khansa Aulia Damtsa Hylmi</t>
  </si>
  <si>
    <t>0097535113 / 252610286</t>
  </si>
  <si>
    <t>Lalitya Namu Wangundahina</t>
  </si>
  <si>
    <t>0091769169 / 252610287</t>
  </si>
  <si>
    <t>Lathika Aulia Althafunnisa</t>
  </si>
  <si>
    <t>0103190164 / 252610301</t>
  </si>
  <si>
    <t>Mandariza Arya Pranata Wijaya</t>
  </si>
  <si>
    <t>0105348604 / 252610315</t>
  </si>
  <si>
    <t>Misykah Adzra Maulida</t>
  </si>
  <si>
    <t>0109769349 / 252610345</t>
  </si>
  <si>
    <t>Muhammad Danish Fathul Ulum</t>
  </si>
  <si>
    <t>0107525738 / 252610349</t>
  </si>
  <si>
    <t>Muhammad Faiz Fathian</t>
  </si>
  <si>
    <t>0093629282 / 252610352</t>
  </si>
  <si>
    <t>Muhammad Fathandra Rizki</t>
  </si>
  <si>
    <t>0092179308 / 252610356</t>
  </si>
  <si>
    <t>Muhammad Ieddzar Haradiya</t>
  </si>
  <si>
    <t>0104716348 / 252610386</t>
  </si>
  <si>
    <t>Nadhifa Farah Falihah</t>
  </si>
  <si>
    <t>0108105659 / 252610396</t>
  </si>
  <si>
    <t>Naqeesyaa Dhanova Al Adzra</t>
  </si>
  <si>
    <t>0091281050 / 252610399</t>
  </si>
  <si>
    <t>Naswa Ramadhani</t>
  </si>
  <si>
    <t>0108065698 / 252610410</t>
  </si>
  <si>
    <t>Nayra Putri Sagita</t>
  </si>
  <si>
    <t>0097910400 / 252610425</t>
  </si>
  <si>
    <t>Nur Azizah</t>
  </si>
  <si>
    <t>0095438030 / 252610436</t>
  </si>
  <si>
    <t>Pungki Yustisia Pertiwi</t>
  </si>
  <si>
    <t>0092103124 / 252610450</t>
  </si>
  <si>
    <t>Raden Chintya Dewi Maharani</t>
  </si>
  <si>
    <t>0108129059 / 252610464</t>
  </si>
  <si>
    <t>Raihana Humairah Budianto</t>
  </si>
  <si>
    <t>0095492963 / 252610467</t>
  </si>
  <si>
    <t>Raisha Puri Lianti</t>
  </si>
  <si>
    <t>0099739465 / 252610470</t>
  </si>
  <si>
    <t>Raka Syabany Amsyah</t>
  </si>
  <si>
    <t>3096816288 / 252610495</t>
  </si>
  <si>
    <t>Rossy Indriyati</t>
  </si>
  <si>
    <t>0092402487 / 252610507</t>
  </si>
  <si>
    <t>Salsabila Kinaya</t>
  </si>
  <si>
    <t>0109344308 / 252610516</t>
  </si>
  <si>
    <t>Shahrazad Aulia Handyanto</t>
  </si>
  <si>
    <t>0106219079 / 252610519</t>
  </si>
  <si>
    <t>Sheika Rizki Ramadanti Aurelia</t>
  </si>
  <si>
    <t>0105183684 / 252610540</t>
  </si>
  <si>
    <t>Tanty Amelia Al Rasyid</t>
  </si>
  <si>
    <t>KELAS XI B3</t>
  </si>
  <si>
    <t>Wali Kelas : Dwi Lestari, S.Pd</t>
  </si>
  <si>
    <t>0109542213 / 252610010</t>
  </si>
  <si>
    <t>Adinda Garnetha Prasistha</t>
  </si>
  <si>
    <t>0104072965 / 252610012</t>
  </si>
  <si>
    <t>Aditya Bayu Sutanto</t>
  </si>
  <si>
    <t>0109597144 / 252610017</t>
  </si>
  <si>
    <t>Ahmad Fahri Hidayat</t>
  </si>
  <si>
    <t>0093866965 / 252610029</t>
  </si>
  <si>
    <t>Aisyah Aqilah Agni</t>
  </si>
  <si>
    <t>0094216872 / 252610036</t>
  </si>
  <si>
    <t>Alfany Himma Roudina</t>
  </si>
  <si>
    <t>0101401010 / 252610051</t>
  </si>
  <si>
    <t>Alya Silvana Sarifah</t>
  </si>
  <si>
    <t>0093799489 / 252610071</t>
  </si>
  <si>
    <t>Aqila Elmohri</t>
  </si>
  <si>
    <t>0102592413 / 252610078</t>
  </si>
  <si>
    <t>Ariyo Raditya Putra</t>
  </si>
  <si>
    <t>0105797314 / 252610102</t>
  </si>
  <si>
    <t>Aurelly Diana Zulkarnaen</t>
  </si>
  <si>
    <t>0099038184 / 252610109</t>
  </si>
  <si>
    <t>Azalia Maheswari Christabel</t>
  </si>
  <si>
    <t>0106995291 / 252610126</t>
  </si>
  <si>
    <t>Bimo Armani Aulia Putra</t>
  </si>
  <si>
    <t>0092794157 / 252610139</t>
  </si>
  <si>
    <t>Cinta Cludia Putri</t>
  </si>
  <si>
    <t>0096201622 / 252610152</t>
  </si>
  <si>
    <t>Delfa Maharani</t>
  </si>
  <si>
    <t>0093558313 / 252610161</t>
  </si>
  <si>
    <t>Diandra Mentari Fazri</t>
  </si>
  <si>
    <t>0095632017 / 252610174</t>
  </si>
  <si>
    <t>Dyshan Attaya Haq Triatno</t>
  </si>
  <si>
    <t>0096662016 / 252610187</t>
  </si>
  <si>
    <t>Fadya Malika</t>
  </si>
  <si>
    <t>3090346201 / 252610214</t>
  </si>
  <si>
    <t>Freja Aira Anindhita</t>
  </si>
  <si>
    <t>0101801767 / 252610223</t>
  </si>
  <si>
    <t>Gracia Valen Manik</t>
  </si>
  <si>
    <t>3098845163 / 252610245</t>
  </si>
  <si>
    <t>Jevelin Ambarep Putri</t>
  </si>
  <si>
    <t>0105199862 / 252610249</t>
  </si>
  <si>
    <t>Joceline Sisca Lumongga Manurung</t>
  </si>
  <si>
    <t>0094047198 / 252610256</t>
  </si>
  <si>
    <t>Kanza Olivia Ramadhani</t>
  </si>
  <si>
    <t>/ 0106754075</t>
  </si>
  <si>
    <t>Keandra Arkana Lingga Huntara</t>
  </si>
  <si>
    <t>0094583694 / 252610285</t>
  </si>
  <si>
    <t>Kharisma Zahra Tiara Putri</t>
  </si>
  <si>
    <t>0098113225 / 252610297</t>
  </si>
  <si>
    <t>Mahera Raisha Davanita Faizal</t>
  </si>
  <si>
    <t>0094686372 / 252610299</t>
  </si>
  <si>
    <t>Mahira Aqila Azra</t>
  </si>
  <si>
    <t>0092985486 / 252610311</t>
  </si>
  <si>
    <t>Melani Putri Triana</t>
  </si>
  <si>
    <t>0099605205 / 252610319</t>
  </si>
  <si>
    <t>Mohammad Haikal</t>
  </si>
  <si>
    <t>0094259451 / 252610326</t>
  </si>
  <si>
    <t>Muhamad Mustakim</t>
  </si>
  <si>
    <t>0109589144 / 252610375</t>
  </si>
  <si>
    <t>Muhammad Tsafiq Ihsan</t>
  </si>
  <si>
    <t>0102148224 / 252610377</t>
  </si>
  <si>
    <t>Muhammad Zahran Rifai</t>
  </si>
  <si>
    <t>0107698921 / 252610409</t>
  </si>
  <si>
    <t>Nayla Widya Cakraprawartana</t>
  </si>
  <si>
    <t>0102114748 / 252610426</t>
  </si>
  <si>
    <t>Nursifa Maulidah</t>
  </si>
  <si>
    <t>0097603092 / 252610432</t>
  </si>
  <si>
    <t>Pramudhio Sawergading Ihsan</t>
  </si>
  <si>
    <t>0091134035 / 252610441</t>
  </si>
  <si>
    <t>Qitrie Anisa Khaeri</t>
  </si>
  <si>
    <t>0102081772 / 252610451</t>
  </si>
  <si>
    <t>Raden Ciara Za Syahluna</t>
  </si>
  <si>
    <t>0092135851 / 252610476</t>
  </si>
  <si>
    <t>Rayhan Ashabi</t>
  </si>
  <si>
    <t>0104171202 / 252610486</t>
  </si>
  <si>
    <t>Revina Apriza</t>
  </si>
  <si>
    <t>0103151970 / 252610489</t>
  </si>
  <si>
    <t>Riffa Nugraha</t>
  </si>
  <si>
    <t>0096444734 / 252610491</t>
  </si>
  <si>
    <t>Rindu Gatari Asmiladi</t>
  </si>
  <si>
    <t>0098050747 / 252610496</t>
  </si>
  <si>
    <t>Ruba Aqeela Hafizha Mecca</t>
  </si>
  <si>
    <t>0091178036 / 252610501</t>
  </si>
  <si>
    <t>Safa Naya Adristi</t>
  </si>
  <si>
    <t>0097644165 / 252610508</t>
  </si>
  <si>
    <t>Salsabila Zahwa Mulana</t>
  </si>
  <si>
    <t>0105775007 / 252610514</t>
  </si>
  <si>
    <t>Shafa Talitha Budiarto</t>
  </si>
  <si>
    <t>0091610224 / 252610518</t>
  </si>
  <si>
    <t>Shaquille Putra Yudira</t>
  </si>
  <si>
    <t>0106044416 / 252610553</t>
  </si>
  <si>
    <t>Weny Meylieneke Sianipar</t>
  </si>
  <si>
    <t>0109721617 / 252610555</t>
  </si>
  <si>
    <t>Yasmin Kirani Affifah</t>
  </si>
  <si>
    <t>0108569165 / 252610557</t>
  </si>
  <si>
    <t>Yoanne Mulin Averina</t>
  </si>
  <si>
    <t>KELAS XI C1</t>
  </si>
  <si>
    <t>Wali Kelas : Dewi Rahmawati, S.Pd</t>
  </si>
  <si>
    <t>0092194625 / 252610004</t>
  </si>
  <si>
    <t>Achmad Ardiansyah</t>
  </si>
  <si>
    <t>0093560012 / 252610007</t>
  </si>
  <si>
    <t>Adelia Niken</t>
  </si>
  <si>
    <t>0092626116 / 252610008</t>
  </si>
  <si>
    <t>Adhie Bramantyo Faqih</t>
  </si>
  <si>
    <t>0105813396 / 252610052</t>
  </si>
  <si>
    <t>Alyya Zahra Kusumadewi</t>
  </si>
  <si>
    <t>0104459637 / 252610055</t>
  </si>
  <si>
    <t>Amira Agni Kayla Raisya</t>
  </si>
  <si>
    <t>0102122161 / 252610096</t>
  </si>
  <si>
    <t>Aulia Azahra</t>
  </si>
  <si>
    <t xml:space="preserve">0097285374 / 262711382 </t>
  </si>
  <si>
    <t>Aulia Tristanti</t>
  </si>
  <si>
    <t>0096394871 / 252610101</t>
  </si>
  <si>
    <t>Aurelia Septiani Putri</t>
  </si>
  <si>
    <t>0091891047 / 252610114</t>
  </si>
  <si>
    <t>Azzalea Sakinah Ayura Putri</t>
  </si>
  <si>
    <t>0092180086 / 252610125</t>
  </si>
  <si>
    <t>Bima Anggareksa Yusiansyah</t>
  </si>
  <si>
    <t>0096103714 / 252610138</t>
  </si>
  <si>
    <t>Cindy Ramadhani Sinulingga</t>
  </si>
  <si>
    <t>0094286208 / 252610142</t>
  </si>
  <si>
    <t>Claudia Dominique Gabriella Torus</t>
  </si>
  <si>
    <t>0106545857 / 252610173</t>
  </si>
  <si>
    <t>Dwi Nailah Azhara</t>
  </si>
  <si>
    <t>0102644442 / 252610193</t>
  </si>
  <si>
    <t>Fakhri Haikal Alvito Rachmat</t>
  </si>
  <si>
    <t>0094782869 / 252610200</t>
  </si>
  <si>
    <t>Faris Razwa Sambega</t>
  </si>
  <si>
    <t>0104985283 / 252610208</t>
  </si>
  <si>
    <t>Fauza Nur Aziema</t>
  </si>
  <si>
    <t>0097946386 / 252610211</t>
  </si>
  <si>
    <t>Fitrah Thirafi</t>
  </si>
  <si>
    <t>0098064041 / 252610215</t>
  </si>
  <si>
    <t>Fricilia Aprilyani Cardoso</t>
  </si>
  <si>
    <t>0092709548 / 252610241</t>
  </si>
  <si>
    <t>Jazirah Rahmah</t>
  </si>
  <si>
    <t>0107943430 / 252610242</t>
  </si>
  <si>
    <t>Jeremia Geraldo Siregar</t>
  </si>
  <si>
    <t>0106852675 / 252610248</t>
  </si>
  <si>
    <t>Jihan Nailatusy Syarafah</t>
  </si>
  <si>
    <t>0106222604 / 252610254</t>
  </si>
  <si>
    <t>Kania Putriana Yaswin</t>
  </si>
  <si>
    <t>0109267722 / 252610260</t>
  </si>
  <si>
    <t>Karunia Dwi Rahmawati</t>
  </si>
  <si>
    <t>0106465537 / 252610295</t>
  </si>
  <si>
    <t>Lutfiana Silva</t>
  </si>
  <si>
    <t>3101402781 / 252610305</t>
  </si>
  <si>
    <t>Maroen Al-Fatih Ibrahimessi</t>
  </si>
  <si>
    <t>0108578906 / 252610322</t>
  </si>
  <si>
    <t>Muhamad Adri Fachry</t>
  </si>
  <si>
    <t>0103777854 / 252610331</t>
  </si>
  <si>
    <t>Muhamad Subkhi</t>
  </si>
  <si>
    <t>3107499493 / 252610350</t>
  </si>
  <si>
    <t>Muhammad Fariz Nuh</t>
  </si>
  <si>
    <t>0111220217 / 252610376</t>
  </si>
  <si>
    <t>Muhammad Yafiargi Simbangando</t>
  </si>
  <si>
    <t>0092479207 / 252610379</t>
  </si>
  <si>
    <t>Muhammad Zaidan Wibowo</t>
  </si>
  <si>
    <t>3107700954 / 252610382</t>
  </si>
  <si>
    <t>Mutiara Geisya Nuraini</t>
  </si>
  <si>
    <t>0095549480 / 252610394</t>
  </si>
  <si>
    <t>Najwa Citra Lestari</t>
  </si>
  <si>
    <t>0105803552 / 252610420</t>
  </si>
  <si>
    <t>Nikesha Nashwa Damara</t>
  </si>
  <si>
    <t>0098514088 / 252610428</t>
  </si>
  <si>
    <t>Nydia Aisyah Allifia</t>
  </si>
  <si>
    <t>262711390 / 0096242967</t>
  </si>
  <si>
    <t>Pradipta Arya Hendrayana</t>
  </si>
  <si>
    <t>0106276801 / 252610434</t>
  </si>
  <si>
    <t>Priscillia Putri Viona</t>
  </si>
  <si>
    <t>262711392 / 0102392266</t>
  </si>
  <si>
    <t>Raffa Achmad Pranata</t>
  </si>
  <si>
    <t>0094238472 / 252610465</t>
  </si>
  <si>
    <t>Raihana Syafiqah Andyni</t>
  </si>
  <si>
    <t>0097864614 / 252610471</t>
  </si>
  <si>
    <t>Rama Andhika</t>
  </si>
  <si>
    <t>3096149866 / 252610473</t>
  </si>
  <si>
    <t>Rassya Faiq Hibatullah</t>
  </si>
  <si>
    <t>0107960365 / 252610475</t>
  </si>
  <si>
    <t>Ravino Abbas Subaga</t>
  </si>
  <si>
    <t>0106462308 / 252610528</t>
  </si>
  <si>
    <t>Syahdan Akbar Mara Putra</t>
  </si>
  <si>
    <t>0092706472 / 252610535</t>
  </si>
  <si>
    <t>Syarafina Nur Alifatuzahro</t>
  </si>
  <si>
    <t>0098348385 / 252610542</t>
  </si>
  <si>
    <t>Tayya Dzulhijjah Mokodompit</t>
  </si>
  <si>
    <t>0099429653 / 252610554</t>
  </si>
  <si>
    <t>Yanza Rizkia Salsabillah</t>
  </si>
  <si>
    <t>0105748224 / 252610565</t>
  </si>
  <si>
    <t>Zelda Hanifah Zaneta</t>
  </si>
  <si>
    <t>KELAS XI C2</t>
  </si>
  <si>
    <t>Wali Kelas :  Eva Fauziah, S.Pd</t>
  </si>
  <si>
    <t>0096033014 / 252610001</t>
  </si>
  <si>
    <t>Abdul Ghofar</t>
  </si>
  <si>
    <t>0096316890 / 252610005</t>
  </si>
  <si>
    <t>Achmad Firza Ghibran</t>
  </si>
  <si>
    <t>0109013664 / 252610033</t>
  </si>
  <si>
    <t>Al Fathdry Rizky Wibowo</t>
  </si>
  <si>
    <t>0097211030 / 252610062</t>
  </si>
  <si>
    <t>Andini Qoriyati Khaerani</t>
  </si>
  <si>
    <t>0109964803 / 252610065</t>
  </si>
  <si>
    <t>Anjani Safira Salma</t>
  </si>
  <si>
    <t>0099344894 / 252610072</t>
  </si>
  <si>
    <t>Aqila Noya Faiza</t>
  </si>
  <si>
    <t>0099452000 / 252610086</t>
  </si>
  <si>
    <t>Asshafa Nur Intan</t>
  </si>
  <si>
    <t>0102924778 / 252610095</t>
  </si>
  <si>
    <t>Aufa Khairunnisa</t>
  </si>
  <si>
    <t>0099138854 / 252610103</t>
  </si>
  <si>
    <t>Aurora Putri Samudra Dwiko</t>
  </si>
  <si>
    <t>0103047499 / 252610129</t>
  </si>
  <si>
    <t>Bumi Byakta Alfian</t>
  </si>
  <si>
    <t>0099675945 / 252610164</t>
  </si>
  <si>
    <t>Dimas Putra Pribadi</t>
  </si>
  <si>
    <t>0093451857 / 252610167</t>
  </si>
  <si>
    <t>Dinda Dyah Pitaloka</t>
  </si>
  <si>
    <t>/ 262711384</t>
  </si>
  <si>
    <t>Fazza Izzuddin Satiri</t>
  </si>
  <si>
    <t>3103220251 / 252610225</t>
  </si>
  <si>
    <t>Hafizh Mumtaz</t>
  </si>
  <si>
    <t>0094626978 / 252610226</t>
  </si>
  <si>
    <t>Haifa Aysha Zahira</t>
  </si>
  <si>
    <t>0118415302 / 252610253</t>
  </si>
  <si>
    <t>Kaira Fatiya Nurfan</t>
  </si>
  <si>
    <t>0104630358 / 252610281</t>
  </si>
  <si>
    <t>Khansa Tabita Aura Sakhi</t>
  </si>
  <si>
    <t>0093335479 / 252610292</t>
  </si>
  <si>
    <t>Luna Majidah Zafira</t>
  </si>
  <si>
    <t>0095778047 / 252610307</t>
  </si>
  <si>
    <t>Maulida Ainnurahma</t>
  </si>
  <si>
    <t>0095079380 / 252610312</t>
  </si>
  <si>
    <t>Mentari Dwi Anggraini</t>
  </si>
  <si>
    <t>0098345742 / 252610338</t>
  </si>
  <si>
    <t>Muhammad Ariza Rizkya Irvan</t>
  </si>
  <si>
    <t>3109116422 / 252610339</t>
  </si>
  <si>
    <t>Muhammad Armanugie Saputra</t>
  </si>
  <si>
    <t>0098897790 / 252610347</t>
  </si>
  <si>
    <t>Muhammad Fadil Ranoval</t>
  </si>
  <si>
    <t>0103242050 / 252610360</t>
  </si>
  <si>
    <t>Muhammad Musyaffa Latief</t>
  </si>
  <si>
    <t>0105902624 / 252610361</t>
  </si>
  <si>
    <t>Muhammad Naufal Rhesa Fernando</t>
  </si>
  <si>
    <t>0092028941 / 252610363</t>
  </si>
  <si>
    <t>Muhammad Rafi Kurniawan</t>
  </si>
  <si>
    <t>0104434944 / 252610401</t>
  </si>
  <si>
    <t>Naufal Aditama</t>
  </si>
  <si>
    <t>0093643944 / 252610403</t>
  </si>
  <si>
    <t>Naura Luvenavita Krisdianto</t>
  </si>
  <si>
    <t>0097673142 / 252610404</t>
  </si>
  <si>
    <t>Naurah Afifah Amaliyah</t>
  </si>
  <si>
    <t>0106941532 / 252610406</t>
  </si>
  <si>
    <t>Nava Marietta Siahaan</t>
  </si>
  <si>
    <t>0107347265 / 252610408</t>
  </si>
  <si>
    <t>Nayla Ulya Taqiyya</t>
  </si>
  <si>
    <t>0106380486 / 252610442</t>
  </si>
  <si>
    <t>Queensha Amiradana Putri Hamka</t>
  </si>
  <si>
    <t>0105462734 / 252610445</t>
  </si>
  <si>
    <t>Quincha Aura Brilliani</t>
  </si>
  <si>
    <t>0107914534 / 252610452</t>
  </si>
  <si>
    <t>Raden Gathan Azaki Soesilo</t>
  </si>
  <si>
    <t>0097882314 / 252610463</t>
  </si>
  <si>
    <t>Raihan Farras Sutisna</t>
  </si>
  <si>
    <t>0107975513 / 262711393</t>
  </si>
  <si>
    <t>Rainnar Dharma Harahap</t>
  </si>
  <si>
    <t>0094690365 / 252610478</t>
  </si>
  <si>
    <t>Raynar Abiyu Diera</t>
  </si>
  <si>
    <t>0093563834 / 252610490</t>
  </si>
  <si>
    <t>Rifqah Ramadhani</t>
  </si>
  <si>
    <t>0097303991 / 252610494</t>
  </si>
  <si>
    <t>Roshan Aidan Juro Aprianto</t>
  </si>
  <si>
    <t>0102414768 / 252610499</t>
  </si>
  <si>
    <t>Ruvita Rinjani</t>
  </si>
  <si>
    <t>094789758 / 262711396</t>
  </si>
  <si>
    <t>Sabrina Ramadhani</t>
  </si>
  <si>
    <t>0106760506 / 252610503</t>
  </si>
  <si>
    <t>Salmaa Saalimah Wibowo</t>
  </si>
  <si>
    <t>0108413702 / 252610510</t>
  </si>
  <si>
    <t>Sashikirana Luvena Maheswari</t>
  </si>
  <si>
    <t>0095899359 / 252610550</t>
  </si>
  <si>
    <t>Velicya Arnelita Zahra Suryana</t>
  </si>
  <si>
    <t>0101188685 / 252610556</t>
  </si>
  <si>
    <t>Yasmine Almira Queen</t>
  </si>
  <si>
    <t>0096087965 / 252610563</t>
  </si>
  <si>
    <t>Zalikhah Rasikhah Putri</t>
  </si>
  <si>
    <t>KELAS XI C3</t>
  </si>
  <si>
    <t>Wali Kelas :  Margaretha Sumartining, S.Pd</t>
  </si>
  <si>
    <t>2107246447 / 252610014</t>
  </si>
  <si>
    <t>Affy Kaew Ni'Mitr Alhanafi</t>
  </si>
  <si>
    <t>3105167232 / 252610040</t>
  </si>
  <si>
    <t>Alifa Taqqiya Zahwa</t>
  </si>
  <si>
    <t>0104084075 / 252610076</t>
  </si>
  <si>
    <t>Ario Bimo Wicaksono</t>
  </si>
  <si>
    <t>0108675973 / 252610081</t>
  </si>
  <si>
    <t>Aruni Khalila Ayu</t>
  </si>
  <si>
    <t>0095992391 / 252610082</t>
  </si>
  <si>
    <t>Arya Aditya Gunawan</t>
  </si>
  <si>
    <t>0091952413 / 252610085</t>
  </si>
  <si>
    <t>Askana Nailazahran Hermansyah</t>
  </si>
  <si>
    <t>0108104548 / 252610087</t>
  </si>
  <si>
    <t>Asyifa Diandra Bayu</t>
  </si>
  <si>
    <t>0097138954 / 252610110</t>
  </si>
  <si>
    <t>Aziz Sakhi Zaidan</t>
  </si>
  <si>
    <t>0101964014 / 252610111</t>
  </si>
  <si>
    <t>Azka Ivano Ananda Hidayat</t>
  </si>
  <si>
    <t>0105133490 / 252610119</t>
  </si>
  <si>
    <t>Belva Thalita Ramadhena</t>
  </si>
  <si>
    <t>0108329102 / 252610121</t>
  </si>
  <si>
    <t>Bianca Aurelia Putri Asari</t>
  </si>
  <si>
    <t>0099900563 / 252610123</t>
  </si>
  <si>
    <t>Bilqis Nikita Aylani</t>
  </si>
  <si>
    <t>262711383 / 0107070508</t>
  </si>
  <si>
    <t>Bima Fikri Yudha Ardana</t>
  </si>
  <si>
    <t>0109682985 / 252610127</t>
  </si>
  <si>
    <t>Bintang Jati Pratama</t>
  </si>
  <si>
    <t>0099153455 / 252610128</t>
  </si>
  <si>
    <t>Bintang Mahardika Abhyoso Ardy</t>
  </si>
  <si>
    <t>0092725675 / 252610143</t>
  </si>
  <si>
    <t>Daffa Hafizh Firdausi</t>
  </si>
  <si>
    <t>0102221985 / 252610149</t>
  </si>
  <si>
    <t>Deana Azalea Belva</t>
  </si>
  <si>
    <t>0108365392 / 252610217</t>
  </si>
  <si>
    <t>Galuh Pria Esa</t>
  </si>
  <si>
    <t>0113691116 / 252610219</t>
  </si>
  <si>
    <t>Gerald Samuel Sitanggang</t>
  </si>
  <si>
    <t>0107335774 / 252610221</t>
  </si>
  <si>
    <t>Ghaniyah Adelia</t>
  </si>
  <si>
    <t>0095770160 / 252610240</t>
  </si>
  <si>
    <t>Jazila Abid Niyaz Chan Lase</t>
  </si>
  <si>
    <t>0107691976 / 252610255</t>
  </si>
  <si>
    <t>Kania Wismar Adnyana</t>
  </si>
  <si>
    <t>3093288409 / 252610291</t>
  </si>
  <si>
    <t>Livia Vidyadhara</t>
  </si>
  <si>
    <t>0103732986 / 252610310</t>
  </si>
  <si>
    <t>Mazaya Marva Mardyanti</t>
  </si>
  <si>
    <t>0092772943 / 252610344</t>
  </si>
  <si>
    <t>Muhammad Daffa Alfarizki</t>
  </si>
  <si>
    <t>0101059940 / 252610358</t>
  </si>
  <si>
    <t>Muhammad In'Amul Aufa</t>
  </si>
  <si>
    <t>0103172803 / 262711387</t>
  </si>
  <si>
    <t>Muhammad Rafi Fadli</t>
  </si>
  <si>
    <t>3094594523 / 252610374</t>
  </si>
  <si>
    <t>Muhammad Tristan Sanjaya</t>
  </si>
  <si>
    <t>0096368920 / 252610387</t>
  </si>
  <si>
    <t>Nadhifa Qeysa Auliani Soehardi</t>
  </si>
  <si>
    <t xml:space="preserve">0093025696 / 262711388 </t>
  </si>
  <si>
    <t>Nadira Khansa Aulia</t>
  </si>
  <si>
    <t>0102300207 / 252610390</t>
  </si>
  <si>
    <t>Nadya Salwa Altiara</t>
  </si>
  <si>
    <t>0094328074 / 252610391</t>
  </si>
  <si>
    <t>Naila</t>
  </si>
  <si>
    <t>0091758520 / 252610402</t>
  </si>
  <si>
    <t>Naufal Arzharel Ibrahimovic</t>
  </si>
  <si>
    <t>0101523916 / 252610414</t>
  </si>
  <si>
    <t>Nazwa Nur Rahmah</t>
  </si>
  <si>
    <t>0104883711 / 252610429</t>
  </si>
  <si>
    <t>Ohan Marhadi Haryono</t>
  </si>
  <si>
    <t>0106292164 / 252610438</t>
  </si>
  <si>
    <t>Putri Eisya</t>
  </si>
  <si>
    <t>3104085681 / 252610439</t>
  </si>
  <si>
    <t>Putri Zaqiyah</t>
  </si>
  <si>
    <t>0109464483 / 252610443</t>
  </si>
  <si>
    <t>Queensha Anindya Azka</t>
  </si>
  <si>
    <t>0109599363 / 252610444</t>
  </si>
  <si>
    <t>Quensha Rahayu Kusuma Agora</t>
  </si>
  <si>
    <t>0109551129 / 252610466</t>
  </si>
  <si>
    <t>Raisa Putri Rahima</t>
  </si>
  <si>
    <t>0091964566 / 252610474</t>
  </si>
  <si>
    <t>Rasya Arkananta Mulya</t>
  </si>
  <si>
    <t>0105816582 / 252610498</t>
  </si>
  <si>
    <t>Ruth Rafanela Syeby Siregar</t>
  </si>
  <si>
    <t>0095542022 / 252610506</t>
  </si>
  <si>
    <t>Salsabil Mulki</t>
  </si>
  <si>
    <t>0107357472 / 252610522</t>
  </si>
  <si>
    <t>Sinta Dwi Nuri Widodo</t>
  </si>
  <si>
    <t>0107096617 / 252610541</t>
  </si>
  <si>
    <t>Taufik Hidayah</t>
  </si>
  <si>
    <t>KELAS XI C4</t>
  </si>
  <si>
    <t>Wali Kelas :  Imania Bidari, S.Pd.</t>
  </si>
  <si>
    <t>0101303057 / 252610006</t>
  </si>
  <si>
    <t>Adara Luthfia Putri</t>
  </si>
  <si>
    <t>0107122505 / 252610041</t>
  </si>
  <si>
    <t>Alifah Hasanah</t>
  </si>
  <si>
    <t>0104406841 / 252610094</t>
  </si>
  <si>
    <t>Attiyah Naila Adza Alifah</t>
  </si>
  <si>
    <t>0099678017 / 252610098</t>
  </si>
  <si>
    <t>Aulia Intan Rhamadhani</t>
  </si>
  <si>
    <t>0109105725 / 252610100</t>
  </si>
  <si>
    <t>Aurelia Langit Callysta</t>
  </si>
  <si>
    <t>0109010502 / 252610107</t>
  </si>
  <si>
    <t>Ayra Jauzaa Viranda</t>
  </si>
  <si>
    <t>0092241333 / 252610113</t>
  </si>
  <si>
    <t>Azri Aditya Amada</t>
  </si>
  <si>
    <t>0092637367 / 252610132</t>
  </si>
  <si>
    <t>Chairani Kanza Wulandaputri</t>
  </si>
  <si>
    <t>0109934428 / 252610137</t>
  </si>
  <si>
    <t>Chintya Serlin Armedta Hia</t>
  </si>
  <si>
    <t>0103120702 / 252610144</t>
  </si>
  <si>
    <t>Daffa Khoirul Fajri</t>
  </si>
  <si>
    <t>0081552525 / 252610150</t>
  </si>
  <si>
    <t>Defrino Viernadi Laitnis Yusfa</t>
  </si>
  <si>
    <t>0103091510 / 252610160</t>
  </si>
  <si>
    <t>Dian Noer Savitri</t>
  </si>
  <si>
    <t>0074430959 / 252610172</t>
  </si>
  <si>
    <t>Dwi Irmawati</t>
  </si>
  <si>
    <t>0092383688 / 252610195</t>
  </si>
  <si>
    <t>Fanisa Nurkamila Hamdani</t>
  </si>
  <si>
    <t>0099446424 / 252610199</t>
  </si>
  <si>
    <t>Farid Pradana</t>
  </si>
  <si>
    <t>0095023834 / 252610206</t>
  </si>
  <si>
    <t>Fatimah Aszahra</t>
  </si>
  <si>
    <t>0107182013 / 252610228</t>
  </si>
  <si>
    <t>Henokh Prada Dhanendra Prasada</t>
  </si>
  <si>
    <t>0109669821 / 252610232</t>
  </si>
  <si>
    <t>Ilham Rizki Pratama</t>
  </si>
  <si>
    <t>0093634061 / 252610266</t>
  </si>
  <si>
    <t>Keisa Wanda Setiawan</t>
  </si>
  <si>
    <t>0094431854 / 252610296</t>
  </si>
  <si>
    <t>Madina Zulfa Aini</t>
  </si>
  <si>
    <t>0106908655 / 252610306</t>
  </si>
  <si>
    <t>Masayu Ganisha Pembayun Putri</t>
  </si>
  <si>
    <t>0108384400 / 252610320</t>
  </si>
  <si>
    <t>Mohammad Irshad Faizanshah</t>
  </si>
  <si>
    <t>0108812130 / 252610328</t>
  </si>
  <si>
    <t>Muhamad Reyhan Nurhakim</t>
  </si>
  <si>
    <t>0098979111 / 252610329</t>
  </si>
  <si>
    <t>Muhamad Rizqi Darmawan</t>
  </si>
  <si>
    <t>0093678218 / 252610333</t>
  </si>
  <si>
    <t>Muhamad Yusuf Zarkasi</t>
  </si>
  <si>
    <t>0108710844 / 252610355</t>
  </si>
  <si>
    <t>Muhammad Hafizh Arrantisi</t>
  </si>
  <si>
    <t>0095937017 / 252610366</t>
  </si>
  <si>
    <t>Muhammad Raya Al Maghfirah</t>
  </si>
  <si>
    <t>0093640113 / 252610397</t>
  </si>
  <si>
    <t>Nararya Hylmi Kenzie</t>
  </si>
  <si>
    <t>0197798879 / 262711389</t>
  </si>
  <si>
    <t>Naufalino Akmal Khairy</t>
  </si>
  <si>
    <t>0102174126 / 252610415</t>
  </si>
  <si>
    <t>Nazwa Savira</t>
  </si>
  <si>
    <t>0105612000 / 252610417</t>
  </si>
  <si>
    <t>Neysha Aurelya Azzahra</t>
  </si>
  <si>
    <t>0103461516 / 252610433</t>
  </si>
  <si>
    <t>Priscilia Michelle Pasau</t>
  </si>
  <si>
    <t>0098833541 / 252610440</t>
  </si>
  <si>
    <t>Qaniah Mardiyah Salsabila</t>
  </si>
  <si>
    <t>0095640564 / 262711391</t>
  </si>
  <si>
    <t>Raden Niesha Fitri Anwarudin</t>
  </si>
  <si>
    <t>0105994913 / 252610455</t>
  </si>
  <si>
    <t>Radinka Alano Hamizan Abqari</t>
  </si>
  <si>
    <t>3103591489 / 252610459</t>
  </si>
  <si>
    <t>Rafael Anhar Armando</t>
  </si>
  <si>
    <t>0105325672 / 262711395</t>
  </si>
  <si>
    <t>Raqilla Almira Fahrudin</t>
  </si>
  <si>
    <t>0092605198 / 252610477</t>
  </si>
  <si>
    <t>Rayhana Rizkya Al-Multazam</t>
  </si>
  <si>
    <t>0101383149 / 252610529</t>
  </si>
  <si>
    <t>Syahla Adzkannisa Vuzela</t>
  </si>
  <si>
    <t>0099107315 / 252610530</t>
  </si>
  <si>
    <t>Syahla Nurul Arisma</t>
  </si>
  <si>
    <t>0093433461 / 252610536</t>
  </si>
  <si>
    <t>Syarifah Nur Salsabila</t>
  </si>
  <si>
    <t>0106490661 / 252610544</t>
  </si>
  <si>
    <t>Tiara Winni Melia</t>
  </si>
  <si>
    <t>0093324313 / 252610552</t>
  </si>
  <si>
    <t>Vincentius Daniel Ornando</t>
  </si>
  <si>
    <t>0104292767 / 252610560</t>
  </si>
  <si>
    <t>Zaidan Riziq Sakha</t>
  </si>
  <si>
    <t>0095810986 / 252610562</t>
  </si>
  <si>
    <t>Zalfa Rizqia Nur Nadhifa</t>
  </si>
  <si>
    <t>KELAS XI D1</t>
  </si>
  <si>
    <t>Wali Kelas :  Ahmad Tirtayasa, M.Pd</t>
  </si>
  <si>
    <t>0094216870 / 252610011</t>
  </si>
  <si>
    <t>Adinda Syahira Hariyadi</t>
  </si>
  <si>
    <t>3108509756 / 252610013</t>
  </si>
  <si>
    <t>Adrian Muhammad Fadillah</t>
  </si>
  <si>
    <t>0097950619 / 252610015</t>
  </si>
  <si>
    <t>Afgan Prima Rizkia Iskandar</t>
  </si>
  <si>
    <t>0098009248 / 252610035</t>
  </si>
  <si>
    <t>Alenka Meisyarofa</t>
  </si>
  <si>
    <t>0108389311 / 252610037</t>
  </si>
  <si>
    <t>Alfi Amalia</t>
  </si>
  <si>
    <t>3103201253 / 252610048</t>
  </si>
  <si>
    <t>Almira Dwi Safira</t>
  </si>
  <si>
    <t>0106941990 / 252610063</t>
  </si>
  <si>
    <t>Andra Rakadityono</t>
  </si>
  <si>
    <t>0102036572 / 252610077</t>
  </si>
  <si>
    <t>Ariqah Putri Nasution</t>
  </si>
  <si>
    <t>0103134538 / 252610091</t>
  </si>
  <si>
    <t>Athaya Muhammad Daffa</t>
  </si>
  <si>
    <t>0093274791 / 252610115</t>
  </si>
  <si>
    <t>Bagaskara Bisma Anoka</t>
  </si>
  <si>
    <t>0106384221 / 252610145</t>
  </si>
  <si>
    <t>Dafsyah Arifa Putra</t>
  </si>
  <si>
    <t>3106961615 / 252610147</t>
  </si>
  <si>
    <t>Damara Dasha Bahi Utomo</t>
  </si>
  <si>
    <t>0097493642 / 252610158</t>
  </si>
  <si>
    <t>Dhyra Putra Pratama</t>
  </si>
  <si>
    <t>0108696681 / 252610183</t>
  </si>
  <si>
    <t>Erlangga Ardiyanto</t>
  </si>
  <si>
    <t>0106157075 / 252610185</t>
  </si>
  <si>
    <t>Fabian Ahza Hidayat</t>
  </si>
  <si>
    <t>0091620147 / 252610189</t>
  </si>
  <si>
    <t>Faiha Raqilla Darmawan</t>
  </si>
  <si>
    <t>0094160236 / 252610209</t>
  </si>
  <si>
    <t>Fauzi Castle Satara</t>
  </si>
  <si>
    <t>0109156472 / 252610213</t>
  </si>
  <si>
    <t>Florencia Ivana</t>
  </si>
  <si>
    <t>0107088869 / 262711385</t>
  </si>
  <si>
    <t>Hafizh Ikraam Ghazali</t>
  </si>
  <si>
    <t>0109256207 / 252610244</t>
  </si>
  <si>
    <t>Jesslyn Quinn Gabrielle Sitorus</t>
  </si>
  <si>
    <t>0107286739 / 252610258</t>
  </si>
  <si>
    <t>Karnizara Ringga Rabbani</t>
  </si>
  <si>
    <t>0103652262 / 252610269</t>
  </si>
  <si>
    <t>Kenzie Dzakwan Ibrahim</t>
  </si>
  <si>
    <t>0098409943 / 252610304</t>
  </si>
  <si>
    <t>Maria Rica Stefany Demu</t>
  </si>
  <si>
    <t>0105918833 / 252610321</t>
  </si>
  <si>
    <t>Mouris Marcha Adisty</t>
  </si>
  <si>
    <t>0098087445 / 252610332</t>
  </si>
  <si>
    <t>Muhamad Thoriq Al Rasyad</t>
  </si>
  <si>
    <t>0113735828 / 252610335</t>
  </si>
  <si>
    <t>Muhammad Akhtar Arkana Ramadhan</t>
  </si>
  <si>
    <t>0095243962 / 252610354</t>
  </si>
  <si>
    <t>Muhammad Gabriel</t>
  </si>
  <si>
    <t>0091031385 / 252610364</t>
  </si>
  <si>
    <t>Muhammad Rafli Ramsha</t>
  </si>
  <si>
    <t>3107410887 / 252610365</t>
  </si>
  <si>
    <t>Muhammad Rasyad Mahdawi</t>
  </si>
  <si>
    <t>0094119764 / 252610368</t>
  </si>
  <si>
    <t>Muhammad Reyhan Alfariky</t>
  </si>
  <si>
    <t>0092154795 / 252610370</t>
  </si>
  <si>
    <t>Muhammad Rizzieq Yusuf Natakusumah</t>
  </si>
  <si>
    <t>3096846304 / 252610381</t>
  </si>
  <si>
    <t>Muhammad Zuhear Alfan</t>
  </si>
  <si>
    <t>0098938532 / 252610392</t>
  </si>
  <si>
    <t>Naila Khansa Rahmawati</t>
  </si>
  <si>
    <t>0097892166 / 252610393</t>
  </si>
  <si>
    <t>Nailah Khoirunisa Arsanti</t>
  </si>
  <si>
    <t>0098429745 / 252610400</t>
  </si>
  <si>
    <t>Natiq Tawqir Muniruzzaman Anandamaya</t>
  </si>
  <si>
    <t>0097540821 / 252610422</t>
  </si>
  <si>
    <t>Nourman Raditia Putra</t>
  </si>
  <si>
    <t>0108699884 / 252610447</t>
  </si>
  <si>
    <t>Quizal Razky Ahmad</t>
  </si>
  <si>
    <t>0107445789 / 252610456</t>
  </si>
  <si>
    <t>Raditya Rafa Abdillah</t>
  </si>
  <si>
    <t>0109258787 / 252610458</t>
  </si>
  <si>
    <t>Rafa Farand Pratama</t>
  </si>
  <si>
    <t>0094313180 / 252610469</t>
  </si>
  <si>
    <t>Raivan Elang Pramono</t>
  </si>
  <si>
    <t>0092263541 / 252610485</t>
  </si>
  <si>
    <t>Revan</t>
  </si>
  <si>
    <t>0106183087 / 252610487</t>
  </si>
  <si>
    <t>Reynaldi</t>
  </si>
  <si>
    <t>0102838068 / 252610500</t>
  </si>
  <si>
    <t>Ryzen Gevandra Wirapratama</t>
  </si>
  <si>
    <t>0092524998 / 252610502</t>
  </si>
  <si>
    <t>Sajna Jerrusalem Kharima Sugeng Putri</t>
  </si>
  <si>
    <t>0107487290 / 252610504</t>
  </si>
  <si>
    <t>Salman Latif Anshari</t>
  </si>
  <si>
    <t>0102630183 / 252610534</t>
  </si>
  <si>
    <t>Syakira Alma Annisa</t>
  </si>
  <si>
    <t>3094664028 / 252610549</t>
  </si>
  <si>
    <t>Tubagus Mochamad Rizki Fauzan Al Faris</t>
  </si>
  <si>
    <t>0111428850 / 252610564</t>
  </si>
  <si>
    <t>Zavier Lamya Arkanowinatha</t>
  </si>
  <si>
    <t>KELAS XI D2</t>
  </si>
  <si>
    <t>Wali Kelas :  Dijah Noeringtyas, M.Pd.</t>
  </si>
  <si>
    <t>0094703204 / 252610002</t>
  </si>
  <si>
    <t>Abhinaya Zaidan Akbar</t>
  </si>
  <si>
    <t>0106681838 / 252610003</t>
  </si>
  <si>
    <t>Abyan Zuka Ibrahim Nasution</t>
  </si>
  <si>
    <t>0106136353 / 252610016</t>
  </si>
  <si>
    <t>Ahmad Azmi Mutaarrofi</t>
  </si>
  <si>
    <t>0092017710 / 252610028</t>
  </si>
  <si>
    <t>Aisyah Agustiani</t>
  </si>
  <si>
    <t>0099668827 / 252610034</t>
  </si>
  <si>
    <t>Al Jadid Syafruddin Lubis</t>
  </si>
  <si>
    <t>0102149444 / 252610053</t>
  </si>
  <si>
    <t>Alzena Juneeta Talisha Theo</t>
  </si>
  <si>
    <t>0107838813 / 252610056</t>
  </si>
  <si>
    <t>Amira Najwa Fauziyah</t>
  </si>
  <si>
    <t>0106758481 / 252610064</t>
  </si>
  <si>
    <t>Anindya Estyana Damayanti</t>
  </si>
  <si>
    <t>0099883843 / 262711381</t>
  </si>
  <si>
    <t>Aqilah Hanun Khairiyah</t>
  </si>
  <si>
    <t>0106142601 / 252610083</t>
  </si>
  <si>
    <t>Aryasatia Pradipta</t>
  </si>
  <si>
    <t>0092171774 / 252610089</t>
  </si>
  <si>
    <t>Ataya Arkan Ramadhan</t>
  </si>
  <si>
    <t>0102731314 / 252610124</t>
  </si>
  <si>
    <t>Bima Adyatma Ilmiawan</t>
  </si>
  <si>
    <t>0094126705 / 252610130</t>
  </si>
  <si>
    <t>Callysta Tuchi Solin</t>
  </si>
  <si>
    <t>0099164493 / 252610156</t>
  </si>
  <si>
    <t>Dhia Devita Ramadhani</t>
  </si>
  <si>
    <t>0093242338 / 252610170</t>
  </si>
  <si>
    <t>Divania Kayla Windu Sabrina</t>
  </si>
  <si>
    <t>0105914504 / 252610171</t>
  </si>
  <si>
    <t>Diwangkara Rizki Rabbani</t>
  </si>
  <si>
    <t>0094004131 / 252610182</t>
  </si>
  <si>
    <t>Enzo Asido Rama Raditya</t>
  </si>
  <si>
    <t>0096892367 / 252610190</t>
  </si>
  <si>
    <t>Fajri Pardomuan Pohan</t>
  </si>
  <si>
    <t>0107425879 / 252610191</t>
  </si>
  <si>
    <t>Fakhi Zulfia Bilqis Nasyifa</t>
  </si>
  <si>
    <t>0107657965 / 252610202</t>
  </si>
  <si>
    <t>Fathi Azzam Hawwari</t>
  </si>
  <si>
    <t>0104987304 / 252610216</t>
  </si>
  <si>
    <t>Friska Feby Aulia</t>
  </si>
  <si>
    <t>0102210036 / 252610243</t>
  </si>
  <si>
    <t>Jerry Dwi Cahyono Putro</t>
  </si>
  <si>
    <t>0103648473 / 252610246</t>
  </si>
  <si>
    <t>Jihan Al Hasya</t>
  </si>
  <si>
    <t>3099544859 / 252610251</t>
  </si>
  <si>
    <t>Jovan Khayru Affandi</t>
  </si>
  <si>
    <t>0093078917 / 252610252</t>
  </si>
  <si>
    <t>Juan Pirlo Benzema</t>
  </si>
  <si>
    <t>0104211640 / 252610259</t>
  </si>
  <si>
    <t>Kartika Larasati</t>
  </si>
  <si>
    <t>3091547533 / 252610275</t>
  </si>
  <si>
    <t>Keyno Nazmi Afham</t>
  </si>
  <si>
    <t>0092150853 / 252610278</t>
  </si>
  <si>
    <t>Khalifi Ramadhan Darmawan Anda</t>
  </si>
  <si>
    <t>0097951249 / 252610282</t>
  </si>
  <si>
    <t>Khansa Vanya Laudya Putri</t>
  </si>
  <si>
    <t>0094677765 / 252610313</t>
  </si>
  <si>
    <t>Michael Mazmur Hatorangan Hutabarat</t>
  </si>
  <si>
    <t>0107959828 / 252610316</t>
  </si>
  <si>
    <t>Mochamad Nayaka Tuharea</t>
  </si>
  <si>
    <t>0104328116 / 252610318</t>
  </si>
  <si>
    <t>Mohammad Arsa Dafansyah</t>
  </si>
  <si>
    <t>0108695912 / 252610334</t>
  </si>
  <si>
    <t>Muhammad Adrian Gianni Adam</t>
  </si>
  <si>
    <t>3104497802 / 252610351</t>
  </si>
  <si>
    <t>Muhammad Fathan Assidiq</t>
  </si>
  <si>
    <t>3108018555 / 252610353</t>
  </si>
  <si>
    <t>Muhammad Fawaz Ali</t>
  </si>
  <si>
    <t>0105497173 / 252610357</t>
  </si>
  <si>
    <t>Muhammad Ihsan Putra Pamungkas</t>
  </si>
  <si>
    <t>0104535464 / 252610362</t>
  </si>
  <si>
    <t>Muhammad Nazam Rizal</t>
  </si>
  <si>
    <t>0097410697 / 252610373</t>
  </si>
  <si>
    <t>Muhammad Sulthon Najib</t>
  </si>
  <si>
    <t>0108592067 / 252610418</t>
  </si>
  <si>
    <t>Ni Putu Anjani Dewi Diningrat</t>
  </si>
  <si>
    <t>0109782055 / 252610435</t>
  </si>
  <si>
    <t>Puffin Rohis Jusup Manurung</t>
  </si>
  <si>
    <t>0104838010 / 252610480</t>
  </si>
  <si>
    <t>Rei Dillan Hartedi</t>
  </si>
  <si>
    <t>3102286552 / 252610523</t>
  </si>
  <si>
    <t>Siti Iklima Sakurani</t>
  </si>
  <si>
    <t>0098052333 / 252610543</t>
  </si>
  <si>
    <t>Teduh Mutiara Hapsari</t>
  </si>
  <si>
    <t>0102751293 / 252610546</t>
  </si>
  <si>
    <t>Titania Dwizita Shahla</t>
  </si>
  <si>
    <t>0105614197 / 252610547</t>
  </si>
  <si>
    <t>Tristan Lovriano Aryasatya</t>
  </si>
  <si>
    <t>0108340159 / 252610548</t>
  </si>
  <si>
    <t>Tsamara Privita Sya'Ban Syahdu</t>
  </si>
  <si>
    <t>0093632849 / 252610561</t>
  </si>
  <si>
    <t>Zaki Arya Wicaksono</t>
  </si>
  <si>
    <t>KELAS XI E1</t>
  </si>
  <si>
    <t>Wali Kelas :  Nur Adillawati, M.Pd</t>
  </si>
  <si>
    <t>0104550133 / 252610039</t>
  </si>
  <si>
    <t>Alifa Safa Salsabila</t>
  </si>
  <si>
    <t>0098197227 / 252610067</t>
  </si>
  <si>
    <t>Annisa Fitriyani</t>
  </si>
  <si>
    <t>0108144208 / 252610069</t>
  </si>
  <si>
    <t>Aphrodyta Aurelia Avrilla</t>
  </si>
  <si>
    <t>3111697965 / 252610073</t>
  </si>
  <si>
    <t>Aqilla Al-Farabi</t>
  </si>
  <si>
    <t>0096853688 / 252610074</t>
  </si>
  <si>
    <t>Aqueena Putri Salimah</t>
  </si>
  <si>
    <t>0096011114 / 252610104</t>
  </si>
  <si>
    <t>Avemarianne Ninetrie Septiane</t>
  </si>
  <si>
    <t>0105089607 / 252610108</t>
  </si>
  <si>
    <t>Aysha Mahira Dewi Tryana</t>
  </si>
  <si>
    <t>3105650741 / 252610112</t>
  </si>
  <si>
    <t>Azkiara Andhita</t>
  </si>
  <si>
    <t>0096477713 / 252610122</t>
  </si>
  <si>
    <t>Bilqis Anwar Thebe</t>
  </si>
  <si>
    <t>0096506746 / 252610131</t>
  </si>
  <si>
    <t>Carissa Alia Andinaputri</t>
  </si>
  <si>
    <t>0104378571 / 252610133</t>
  </si>
  <si>
    <t>Chayra Putri Dwinata</t>
  </si>
  <si>
    <t>0107900663 / 252610135</t>
  </si>
  <si>
    <t>Cheryl Anandiora</t>
  </si>
  <si>
    <t>0102794623 / 252610136</t>
  </si>
  <si>
    <t>Cheryl Faiha Al-Tair</t>
  </si>
  <si>
    <t>0104141415 / 252610186</t>
  </si>
  <si>
    <t>Fadhilah Raisa Kamilati</t>
  </si>
  <si>
    <t>0094686377 / 252610201</t>
  </si>
  <si>
    <t>Farras Putra Zema</t>
  </si>
  <si>
    <t>0094573200 / 252610220</t>
  </si>
  <si>
    <t>Ghaniah Aqilah</t>
  </si>
  <si>
    <t>0094631117 / 252610224</t>
  </si>
  <si>
    <t>Gwenna Irene Winata</t>
  </si>
  <si>
    <t>0091763745 / 252610229</t>
  </si>
  <si>
    <t>Hikmah Septiya</t>
  </si>
  <si>
    <t>0102890859 / 252610235</t>
  </si>
  <si>
    <t>Isnaini Fauziyah Utomo</t>
  </si>
  <si>
    <t>0104574006 / 252610262</t>
  </si>
  <si>
    <t>Kayla Althafunnisa Arrasyid</t>
  </si>
  <si>
    <t>0094564578 / 252610277</t>
  </si>
  <si>
    <t>Khalid Ahmad Ghazali</t>
  </si>
  <si>
    <t>0109221606 / 252610279</t>
  </si>
  <si>
    <t>Khalisa Silmi Jovita Warsito</t>
  </si>
  <si>
    <t>0103272603 / 252610288</t>
  </si>
  <si>
    <t>Laura Aubrey Gracia Lubis</t>
  </si>
  <si>
    <t>0109361118 / 252610290</t>
  </si>
  <si>
    <t>Lionel Boanerges Raffles Simangunsong</t>
  </si>
  <si>
    <t>3107979922 / 252610323</t>
  </si>
  <si>
    <t>Muhamad Gaza Al-Mahdi</t>
  </si>
  <si>
    <t>0095022365 / 252610337</t>
  </si>
  <si>
    <t>Muhammad Ariel Setiawan</t>
  </si>
  <si>
    <t>0093828028 / 252610340</t>
  </si>
  <si>
    <t>Muhammad Arsyal Divo Firmansyah</t>
  </si>
  <si>
    <t>0104557332 / 252610341</t>
  </si>
  <si>
    <t>Muhammad Azka Shahizinda</t>
  </si>
  <si>
    <t>0098849299 / 252610342</t>
  </si>
  <si>
    <t>Muhammad Azzam Ananda Fatahilah</t>
  </si>
  <si>
    <t>0103887571 / 252610359</t>
  </si>
  <si>
    <t>Muhammad Javier</t>
  </si>
  <si>
    <t>0092807405 / 252610371</t>
  </si>
  <si>
    <t>Muhammad Rodzul Amrullah</t>
  </si>
  <si>
    <t>0102000943 / 252610388</t>
  </si>
  <si>
    <t>Nadia Delisa Saefani</t>
  </si>
  <si>
    <t>3102974181 / 252610405</t>
  </si>
  <si>
    <t>Naureen Shabiha Zahira</t>
  </si>
  <si>
    <t>0093768427 / 252610416</t>
  </si>
  <si>
    <t>Neng Rahmi Novianti</t>
  </si>
  <si>
    <t>0103404970 / 252610419</t>
  </si>
  <si>
    <t>Niesha Anindya Firstsaly</t>
  </si>
  <si>
    <t>3099055467 / 252610437</t>
  </si>
  <si>
    <t>Puthik Ramadani</t>
  </si>
  <si>
    <t>0101582567 / 252610446</t>
  </si>
  <si>
    <t>Quinsha Rizkya Irawan</t>
  </si>
  <si>
    <t>0097963483 / 252610454</t>
  </si>
  <si>
    <t>Raden Muhammad Rafi Wiranata</t>
  </si>
  <si>
    <t>0105055522 / 252610461</t>
  </si>
  <si>
    <t>Rahma Marissa</t>
  </si>
  <si>
    <t>/ 262711394</t>
  </si>
  <si>
    <t>Ra'isyah Ra'fa Famawarida Brawijaya</t>
  </si>
  <si>
    <t>0093090773 / 252610481</t>
  </si>
  <si>
    <t>Reisha Azzahra Pramesti</t>
  </si>
  <si>
    <t>0093712588 / 252610482</t>
  </si>
  <si>
    <t>Rendy Gilang Novianto</t>
  </si>
  <si>
    <t>0108406931 / 252610484</t>
  </si>
  <si>
    <t>Reva Aulia Putri</t>
  </si>
  <si>
    <t>0093204066 / 252610493</t>
  </si>
  <si>
    <t>Rizqiyanah Qaysarania Herawan</t>
  </si>
  <si>
    <t>0102657659 / 252610513</t>
  </si>
  <si>
    <t>Shabira Ayatul Husna</t>
  </si>
  <si>
    <t>0106701592 / 252610527</t>
  </si>
  <si>
    <t>Syafiqa Bariq Mahya</t>
  </si>
  <si>
    <t>0104155224 / 252610532</t>
  </si>
  <si>
    <t>Syahluna Ananta Putri</t>
  </si>
  <si>
    <t>KELAS XI E2</t>
  </si>
  <si>
    <t>Wali Kelas :  M. Yusuf, S.Pd.</t>
  </si>
  <si>
    <t>0095491750 / 252610018</t>
  </si>
  <si>
    <t>Ahmad Farely Azriel</t>
  </si>
  <si>
    <t>0108974704 / 252610019</t>
  </si>
  <si>
    <t>Ahmad Hafidz Anwar</t>
  </si>
  <si>
    <t>0107934430 / 252610024</t>
  </si>
  <si>
    <t>Aira Febria Sari</t>
  </si>
  <si>
    <t>3097129671 / 252610030</t>
  </si>
  <si>
    <t>Aisyah Hanifa Redana</t>
  </si>
  <si>
    <t>0103659705 / 252610049</t>
  </si>
  <si>
    <t>Altaira Aqila Myesha Ario</t>
  </si>
  <si>
    <t>0097357764 / 252610054</t>
  </si>
  <si>
    <t>Amelia Nur Zahra</t>
  </si>
  <si>
    <t>0109006152 / 252610058</t>
  </si>
  <si>
    <t>Ammar Raziq Mahdiya</t>
  </si>
  <si>
    <t>0109904498 / 252610075</t>
  </si>
  <si>
    <t>Arfan Kristian Perlindungan Harefa</t>
  </si>
  <si>
    <t>0098513542 / 252610084</t>
  </si>
  <si>
    <t>Ashiila Rindu Dwi Laufli</t>
  </si>
  <si>
    <t>0103045473 / 252610088</t>
  </si>
  <si>
    <t>Asyifa Maulidia Salsabila</t>
  </si>
  <si>
    <t>0104751597 / 252610093</t>
  </si>
  <si>
    <t>Attaya Putri Faslahi</t>
  </si>
  <si>
    <t>0104439014 / 252610105</t>
  </si>
  <si>
    <t>Avrillino Herza Pratama</t>
  </si>
  <si>
    <t>3094942931 / 252610151</t>
  </si>
  <si>
    <t>Dela Ananda Putri</t>
  </si>
  <si>
    <t>3104617391 / 252610153</t>
  </si>
  <si>
    <t>Denisa Azka Putri</t>
  </si>
  <si>
    <t>0098157268 / 252610154</t>
  </si>
  <si>
    <t>Devani Keyla Noris</t>
  </si>
  <si>
    <t>0098223677 / 252610162</t>
  </si>
  <si>
    <t>Diaz Syeza Zivanna</t>
  </si>
  <si>
    <t>0092597384 / 252610163</t>
  </si>
  <si>
    <t>Dilla Novianti Putri</t>
  </si>
  <si>
    <t>0098248691 / 252610168</t>
  </si>
  <si>
    <t>Dinda Syifa Rahmayanti</t>
  </si>
  <si>
    <t>0092097491 / 252610175</t>
  </si>
  <si>
    <t>Dzahra Miftahuljanah</t>
  </si>
  <si>
    <t>0093286261 / 252610194</t>
  </si>
  <si>
    <t>Fanesya Agfrisfidia</t>
  </si>
  <si>
    <t>0103174946 / 252610203</t>
  </si>
  <si>
    <t>Fathia Adilla Ramsha</t>
  </si>
  <si>
    <t>0109768822 / 252610204</t>
  </si>
  <si>
    <t>Fathia Amia Rizqi</t>
  </si>
  <si>
    <t>0102329313 / 252610222</t>
  </si>
  <si>
    <t>Gita Tazkiyatunnisa</t>
  </si>
  <si>
    <t>0105055119 / 252610264</t>
  </si>
  <si>
    <t>Kaysa Maharani Sofyan</t>
  </si>
  <si>
    <t>0094966956 / 252610272</t>
  </si>
  <si>
    <t>Keyla Ananda Safitri</t>
  </si>
  <si>
    <t>0099375007 / 252610273</t>
  </si>
  <si>
    <t>Keyla Putri Saksono</t>
  </si>
  <si>
    <t>0106434110 / 252610303</t>
  </si>
  <si>
    <t>Maria Agatha Cherlin Christiani</t>
  </si>
  <si>
    <t>0092608342 / 252610309</t>
  </si>
  <si>
    <t>Mazaya Aqila Betha Diladena</t>
  </si>
  <si>
    <t>0103979225 / 252610325</t>
  </si>
  <si>
    <t>Muhamad Juan Arkhan</t>
  </si>
  <si>
    <t>0108518402 / 252610336</t>
  </si>
  <si>
    <t>Muhammad Akmaluddin</t>
  </si>
  <si>
    <t>0094912922 / 252610346</t>
  </si>
  <si>
    <t>Muhammad Evan Fadillah</t>
  </si>
  <si>
    <t>0101578446 / 252610348</t>
  </si>
  <si>
    <t>Muhammad Fahry Tyandra</t>
  </si>
  <si>
    <t>0098186648 / 252610367</t>
  </si>
  <si>
    <t>Muhammad Revan Adi Saputra</t>
  </si>
  <si>
    <t>0108107461 / 252610369</t>
  </si>
  <si>
    <t>Muhammad Rizky Aditya Putra Sukmawijayaguna</t>
  </si>
  <si>
    <t>0092223990 / 252610384</t>
  </si>
  <si>
    <t>Nabilah Shakeela Kusuma</t>
  </si>
  <si>
    <t>0096753454 / 252610385</t>
  </si>
  <si>
    <t>Nadhifa Amelia Garjita</t>
  </si>
  <si>
    <t>0108770789 / 252610412</t>
  </si>
  <si>
    <t>Nayyira Ghania Mehnaz</t>
  </si>
  <si>
    <t>0105961239 / 252610413</t>
  </si>
  <si>
    <t>Nazwa Malika Asral</t>
  </si>
  <si>
    <t>0095623487 / 252610430</t>
  </si>
  <si>
    <t>Olivia Desvita Sari</t>
  </si>
  <si>
    <t>0106961567 / 252610448</t>
  </si>
  <si>
    <t>R.A.M. Fakhri Izzuddin Mashur</t>
  </si>
  <si>
    <t>0106245820 / 252610457</t>
  </si>
  <si>
    <t>Radya Camilla Arinda</t>
  </si>
  <si>
    <t>0095160472 / 252610488</t>
  </si>
  <si>
    <t>Rheiska Amelia</t>
  </si>
  <si>
    <t>3104089400 / 252610492</t>
  </si>
  <si>
    <t>Rizky Putra Kunta Ajie</t>
  </si>
  <si>
    <t>0106588309 / 252610515</t>
  </si>
  <si>
    <t>Shahira Hafiza Putri</t>
  </si>
  <si>
    <t>0106930882 / 252610520</t>
  </si>
  <si>
    <t>Shirane Ghaniyya Ramadhani</t>
  </si>
  <si>
    <t>0105010681 / 252610524</t>
  </si>
  <si>
    <t>Siva Muliyanti</t>
  </si>
  <si>
    <t>KLS</t>
  </si>
  <si>
    <t>COUNTA of Pilihan ke 1</t>
  </si>
  <si>
    <t>Pilihan ke 1</t>
  </si>
  <si>
    <t>Pilihan ke 2</t>
  </si>
  <si>
    <t>Pilihan ke 3</t>
  </si>
  <si>
    <t>X-1</t>
  </si>
  <si>
    <t>MENU A (Ekonomi, Geografi, Sosiologi, Bahasa Perancis, PKWU))</t>
  </si>
  <si>
    <t xml:space="preserve">MENU B (Ekonomi, Geografi, Sosiologi, Bahasa Inggris TL, PKWU)) </t>
  </si>
  <si>
    <t>MENU C (Matematika TL, Biologi, Fisika, Kimia, PKWU)</t>
  </si>
  <si>
    <t>MENU C (Matematika TL, Biologi, Fisika, Kimia, PKWU))</t>
  </si>
  <si>
    <t>MENU D (Matematika TL, Fisika, Bahasa Inggris TL, Informatika,PKWU)</t>
  </si>
  <si>
    <t>MENU E (Biologi,Kimia,Bahasa Perancis,Informatika,PKWU) )</t>
  </si>
  <si>
    <t>(blank)</t>
  </si>
  <si>
    <t>Grand Total</t>
  </si>
  <si>
    <t>X-10</t>
  </si>
  <si>
    <t>X-11</t>
  </si>
  <si>
    <t>X-12</t>
  </si>
  <si>
    <t>X-2</t>
  </si>
  <si>
    <t>X-3</t>
  </si>
  <si>
    <t>X-4</t>
  </si>
  <si>
    <t>X-5</t>
  </si>
  <si>
    <t>X-6</t>
  </si>
  <si>
    <t>X-7</t>
  </si>
  <si>
    <t>X-8</t>
  </si>
  <si>
    <t>X-9</t>
  </si>
  <si>
    <t>Rombel</t>
  </si>
  <si>
    <t>Normal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</si>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</sst>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8"/>
      <color theme="1"/>
      <name val="Arial"/>
      <charset val="134"/>
      <scheme val="minor"/>
    </font>
    <font>
      <sz val="10"/>
      <color rgb="FF000000"/>
      <name val="Calibri"/>
      <charset val="134"/>
    </font>
    <font>
      <sz val="10"/>
      <color theme="1"/>
      <name val="Arial Narrow"/>
      <charset val="134"/>
    </font>
    <font>
      <b/>
      <sz val="12"/>
      <color theme="1"/>
      <name val="Arial Narrow"/>
      <charset val="134"/>
    </font>
    <font>
      <sz val="10"/>
      <color indexed="8"/>
      <name val="Calibri"/>
      <charset val="134"/>
    </font>
    <font>
      <sz val="10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0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10" fontId="1" fillId="0" borderId="0" xfId="0" applyNumberFormat="1" applyFont="1"/>
    <xf numFmtId="1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1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1" fontId="8" fillId="0" borderId="12" xfId="0" applyNumberFormat="1" applyFont="1" applyBorder="1" applyAlignment="1">
      <alignment horizontal="left"/>
    </xf>
    <xf numFmtId="0" fontId="0" fillId="0" borderId="12" xfId="0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7" fillId="4" borderId="12" xfId="0" applyFont="1" applyFill="1" applyBorder="1" applyAlignment="1">
      <alignment horizontal="center"/>
    </xf>
    <xf numFmtId="0" fontId="3" fillId="4" borderId="12" xfId="0" applyFont="1" applyFill="1" applyBorder="1"/>
    <xf numFmtId="0" fontId="9" fillId="0" borderId="12" xfId="0" applyFon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7" fillId="4" borderId="12" xfId="0" applyFont="1" applyFill="1" applyBorder="1"/>
    <xf numFmtId="0" fontId="11" fillId="0" borderId="0" xfId="0" applyFont="1"/>
    <xf numFmtId="0" fontId="11" fillId="0" borderId="12" xfId="0" applyFont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1" fontId="6" fillId="0" borderId="12" xfId="0" applyNumberFormat="1" applyFont="1" applyFill="1" applyBorder="1" applyAlignment="1">
      <alignment horizontal="center"/>
    </xf>
    <xf numFmtId="1" fontId="6" fillId="0" borderId="12" xfId="0" applyNumberFormat="1" applyFont="1" applyFill="1" applyBorder="1" applyAlignment="1">
      <alignment horizontal="left"/>
    </xf>
    <xf numFmtId="0" fontId="7" fillId="0" borderId="12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2" xfId="0" applyFont="1" applyBorder="1"/>
    <xf numFmtId="0" fontId="7" fillId="0" borderId="12" xfId="0" applyFont="1" applyBorder="1" applyAlignment="1">
      <alignment horizontal="center" vertical="center"/>
    </xf>
    <xf numFmtId="1" fontId="6" fillId="0" borderId="12" xfId="0" applyNumberFormat="1" applyFont="1" applyBorder="1" applyAlignment="1" quotePrefix="1">
      <alignment horizontal="center"/>
    </xf>
    <xf numFmtId="1" fontId="6" fillId="0" borderId="12" xfId="0" applyNumberFormat="1" applyFont="1" applyBorder="1" applyAlignment="1" quotePrefix="1">
      <alignment horizontal="left"/>
    </xf>
    <xf numFmtId="1" fontId="6" fillId="0" borderId="12" xfId="0" applyNumberFormat="1" applyFont="1" applyFill="1" applyBorder="1" applyAlignment="1" quotePrefix="1">
      <alignment horizontal="center"/>
    </xf>
    <xf numFmtId="1" fontId="6" fillId="0" borderId="12" xfId="0" applyNumberFormat="1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28575</xdr:colOff>
      <xdr:row>0</xdr:row>
      <xdr:rowOff>292100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8575" y="2921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336550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27550" y="336550"/>
          <a:ext cx="452120" cy="5905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44450</xdr:colOff>
      <xdr:row>0</xdr:row>
      <xdr:rowOff>139700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445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44450</xdr:colOff>
      <xdr:row>0</xdr:row>
      <xdr:rowOff>127000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720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31750</xdr:colOff>
      <xdr:row>0</xdr:row>
      <xdr:rowOff>139700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175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7515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12700</xdr:colOff>
      <xdr:row>0</xdr:row>
      <xdr:rowOff>127000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783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31750</xdr:colOff>
      <xdr:row>0</xdr:row>
      <xdr:rowOff>146050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1750" y="14605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2324100</xdr:colOff>
      <xdr:row>0</xdr:row>
      <xdr:rowOff>196850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75150" y="196850"/>
          <a:ext cx="452120" cy="5905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2275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561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672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0</xdr:row>
      <xdr:rowOff>114300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6200" y="1143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152400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33900" y="152400"/>
          <a:ext cx="452120" cy="5905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0055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50800</xdr:colOff>
      <xdr:row>0</xdr:row>
      <xdr:rowOff>127000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053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00600" y="127000"/>
          <a:ext cx="452120" cy="59055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NPUT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Version="8" refreshedDate="46216.5786469907" refreshedBy="user" recordCount="559">
  <cacheSource type="worksheet">
    <worksheetSource ref="A4:K563" sheet="INPUT" r:id="rId2"/>
  </cacheSource>
  <cacheFields count="11">
    <cacheField name="No" numFmtId="0"/>
    <cacheField name=" " numFmtId="0"/>
    <cacheField name="NISN" numFmtId="0"/>
    <cacheField name="KLS" numFmtId="0">
      <sharedItems count="12">
        <s v="X-1"/>
        <s v="X-2"/>
        <s v="X-3"/>
        <s v="X-4"/>
        <s v="X-5"/>
        <s v="X-6"/>
        <s v="X-7"/>
        <s v="X-8"/>
        <s v="X-9"/>
        <s v="X-10"/>
        <s v="X-11"/>
        <s v="X-12"/>
      </sharedItems>
    </cacheField>
    <cacheField name="Nama" numFmtId="0"/>
    <cacheField name="L/P" numFmtId="0"/>
    <cacheField name=" 2" numFmtId="0"/>
    <cacheField name=" 3" numFmtId="0"/>
    <cacheField name="Pilihan ke 1" numFmtId="0">
      <sharedItems containsBlank="1" count="7">
        <s v="MENU C (Matematika TL, Biologi, Fisika, Kimia, PKWU)"/>
        <s v="MENU D (Matematika TL, Fisika, Bahasa Inggris TL, Informatika,PKWU)"/>
        <s v="MENU C (Matematika TL, Biologi, Fisika, Kimia, PKWU))"/>
        <s v="MENU E (Biologi,Kimia,Bahasa Perancis,Informatika,PKWU) )"/>
        <s v="MENU B (Ekonomi, Geografi, Sosiologi, Bahasa Inggris TL, PKWU)) "/>
        <s v="MENU A (Ekonomi, Geografi, Sosiologi, Bahasa Perancis, PKWU))"/>
        <m/>
      </sharedItems>
    </cacheField>
    <cacheField name="Pilihan ke 2" numFmtId="0">
      <sharedItems containsBlank="1" count="6">
        <s v="MENU D (Matematika TL, Fisika, Bahasa Inggris TL, Informatika,PKWU)"/>
        <s v="MENU B (Ekonomi, Geografi, Sosiologi, Bahasa Inggris TL, PKWU)) "/>
        <s v="MENU E (Biologi,Kimia,Bahasa Perancis,Informatika,PKWU) )"/>
        <s v="MENU C (Matematika TL, Biologi, Fisika, Kimia, PKWU))"/>
        <s v="MENU A (Ekonomi, Geografi, Sosiologi, Bahasa Perancis, PKWU))"/>
        <m/>
      </sharedItems>
    </cacheField>
    <cacheField name="Pilihan ke 3" numFmtId="0">
      <sharedItems containsBlank="1" count="6">
        <s v="MENU E (Biologi,Kimia,Bahasa Perancis,Informatika,PKWU) )"/>
        <s v="MENU C (Matematika TL, Biologi, Fisika, Kimia, PKWU))"/>
        <s v="MENU B (Ekonomi, Geografi, Sosiologi, Bahasa Inggris TL, PKWU)) "/>
        <s v="MENU D (Matematika TL, Fisika, Bahasa Inggris TL, Informatika,PKWU)"/>
        <s v="MENU A (Ekonomi, Geografi, Sosiologi, Bahasa Perancis, PKWU))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9">
  <r>
    <n v="1"/>
    <n v="1"/>
    <s v="0092626116"/>
    <x v="0"/>
    <s v="Adhie Bramantyo Faqih"/>
    <s v="L"/>
    <s v="Supply Chain Manager"/>
    <s v="FT UNSOED"/>
    <x v="0"/>
    <x v="0"/>
    <x v="0"/>
  </r>
  <r>
    <n v="2"/>
    <n v="2"/>
    <n v="3103201253"/>
    <x v="0"/>
    <s v="Almira Dwi Safira"/>
    <s v="P"/>
    <s v="Engineer"/>
    <s v="FTTM ITB"/>
    <x v="1"/>
    <x v="1"/>
    <x v="1"/>
  </r>
  <r>
    <n v="3"/>
    <n v="3"/>
    <s v="0102149444"/>
    <x v="0"/>
    <s v="Alzena Juneeta Talisha Theo"/>
    <s v="P"/>
    <s v="Tax Consultant"/>
    <s v="UI (VOKASI)"/>
    <x v="1"/>
    <x v="1"/>
    <x v="1"/>
  </r>
  <r>
    <n v="4"/>
    <n v="4"/>
    <s v="0095992391"/>
    <x v="0"/>
    <s v="Arya Aditya Gunawan"/>
    <s v="L"/>
    <s v="Insinyur"/>
    <s v="FMIPA ITB, FTI ITB"/>
    <x v="2"/>
    <x v="0"/>
    <x v="0"/>
  </r>
  <r>
    <n v="5"/>
    <n v="5"/>
    <s v="0106142601"/>
    <x v="0"/>
    <s v="Aryasatia Pradipta"/>
    <s v="P"/>
    <s v="Engineer"/>
    <s v="ITB"/>
    <x v="1"/>
    <x v="2"/>
    <x v="2"/>
  </r>
  <r>
    <n v="6"/>
    <n v="6"/>
    <s v="0108104548"/>
    <x v="0"/>
    <s v="Asyifa Diandra Bayu"/>
    <s v="P"/>
    <s v="Engineer"/>
    <s v="FT UI"/>
    <x v="2"/>
    <x v="0"/>
    <x v="2"/>
  </r>
  <r>
    <n v="7"/>
    <n v="7"/>
    <s v="0103045473"/>
    <x v="0"/>
    <s v="Asyifa Maulidia Salsabila"/>
    <s v="P"/>
    <s v="Dokter, Epidemiolog, Psikolog klinis/HRD"/>
    <s v="FK UI, FKM UI, FPsi UI"/>
    <x v="3"/>
    <x v="3"/>
    <x v="3"/>
  </r>
  <r>
    <n v="8"/>
    <n v="8"/>
    <s v="0109105725"/>
    <x v="0"/>
    <s v="Aurelia Langit Callysta"/>
    <s v="P"/>
    <s v="Dokter"/>
    <s v="FK UI &amp;  FSRD ITB"/>
    <x v="2"/>
    <x v="2"/>
    <x v="2"/>
  </r>
  <r>
    <n v="9"/>
    <n v="9"/>
    <s v="0096394871"/>
    <x v="0"/>
    <s v="Aurelia Septiani Putri"/>
    <s v="P"/>
    <s v="Dokter "/>
    <s v="FK UI &amp; PKN STAN"/>
    <x v="2"/>
    <x v="2"/>
    <x v="3"/>
  </r>
  <r>
    <n v="10"/>
    <n v="10"/>
    <s v="0099038184"/>
    <x v="0"/>
    <s v="Azalia Maheswari Christabel"/>
    <s v="P"/>
    <s v="Pramugari, Psikologi"/>
    <s v="FIB Pariwisata UGM, FPsi UGM"/>
    <x v="4"/>
    <x v="4"/>
    <x v="3"/>
  </r>
  <r>
    <n v="11"/>
    <n v="11"/>
    <s v="0096477713"/>
    <x v="0"/>
    <s v="Bilqis Anwar Thebe"/>
    <s v="P"/>
    <s v="Dokter "/>
    <s v="fk ui &amp; vokasi ui"/>
    <x v="3"/>
    <x v="1"/>
    <x v="3"/>
  </r>
  <r>
    <n v="12"/>
    <n v="12"/>
    <s v="0106995291"/>
    <x v="0"/>
    <s v="Bimo Armani Aulia Putra"/>
    <s v="L"/>
    <s v="Pengacara"/>
    <s v="FH UNPAD"/>
    <x v="4"/>
    <x v="4"/>
    <x v="0"/>
  </r>
  <r>
    <n v="13"/>
    <n v="13"/>
    <s v="0094126705"/>
    <x v="0"/>
    <s v="Callysta Tuchi Solin"/>
    <s v="P"/>
    <s v="Akuntan"/>
    <s v="FEB UI"/>
    <x v="1"/>
    <x v="3"/>
    <x v="0"/>
  </r>
  <r>
    <n v="14"/>
    <n v="14"/>
    <s v="0105914504"/>
    <x v="0"/>
    <s v="Diwangkara Rizki Rabbani"/>
    <s v="L"/>
    <s v="Arsitek, Property Developer, Computational Designer"/>
    <s v="SAPPK ITB, College of Design and Engineering NUS"/>
    <x v="1"/>
    <x v="3"/>
    <x v="2"/>
  </r>
  <r>
    <n v="15"/>
    <n v="15"/>
    <s v="0092097491"/>
    <x v="0"/>
    <s v="Dzahra Miftahuljanah"/>
    <s v="P"/>
    <s v="Perawat/Bidan"/>
    <s v="Keperawatan/Kebidanan Poltekkes Kemenkes Bandung"/>
    <x v="3"/>
    <x v="3"/>
    <x v="2"/>
  </r>
  <r>
    <n v="16"/>
    <n v="16"/>
    <s v="0102644442"/>
    <x v="0"/>
    <s v="Fakhri Haikal Alvito Rachmat"/>
    <s v="L"/>
    <s v="Dokter bedah saraf"/>
    <s v="FKUI/FK UNPAD / KEHUTANAN IPB"/>
    <x v="2"/>
    <x v="2"/>
    <x v="2"/>
  </r>
  <r>
    <n v="17"/>
    <n v="17"/>
    <s v="0107657965"/>
    <x v="0"/>
    <s v="Fathi Azzam Hawwari"/>
    <s v="L"/>
    <s v="Perencanababgunan"/>
    <s v="   FTSL ITB"/>
    <x v="1"/>
    <x v="3"/>
    <x v="2"/>
  </r>
  <r>
    <n v="18"/>
    <n v="18"/>
    <s v="0095023834"/>
    <x v="0"/>
    <s v="Fatimah Aszahra"/>
    <s v="P"/>
    <s v="R&amp;D, QA/QC Manager, Research Scientist"/>
    <s v="IPB Tekpang/UNAIR Farmasi/ITB Biomedis/JHU Biotechnology"/>
    <x v="2"/>
    <x v="2"/>
    <x v="3"/>
  </r>
  <r>
    <n v="19"/>
    <n v="19"/>
    <s v="0094631117"/>
    <x v="0"/>
    <s v="Gwenna Irene Winata"/>
    <s v="P"/>
    <s v="Concept Artist/Ilustrator, Interpreter/Localization Specialist"/>
    <s v="DKV ISI/ITB, Graphic Design CAA, Chinese Languange and Literature/Digital Media Arts ZJU"/>
    <x v="3"/>
    <x v="1"/>
    <x v="4"/>
  </r>
  <r>
    <n v="20"/>
    <n v="20"/>
    <s v="0092679798"/>
    <x v="0"/>
    <s v="Jasmine Zahira Ramadhani"/>
    <s v="P"/>
    <s v="Psikolog"/>
    <s v="FPsi UI"/>
    <x v="4"/>
    <x v="4"/>
    <x v="0"/>
  </r>
  <r>
    <n v="21"/>
    <n v="21"/>
    <s v="0109256207"/>
    <x v="0"/>
    <s v="Jesslyn Quinn Gabrielle Sitorus"/>
    <s v="P"/>
    <m/>
    <m/>
    <x v="1"/>
    <x v="3"/>
    <x v="2"/>
  </r>
  <r>
    <n v="22"/>
    <n v="22"/>
    <s v="0103648473"/>
    <x v="0"/>
    <s v="Jihan Al Hasya"/>
    <s v="P"/>
    <s v="konsultan manajemen "/>
    <s v="STI-ITB"/>
    <x v="1"/>
    <x v="1"/>
    <x v="1"/>
  </r>
  <r>
    <n v="23"/>
    <n v="23"/>
    <s v="0108537666"/>
    <x v="0"/>
    <s v="Johanes Satria Yudha"/>
    <s v="L"/>
    <s v="Polisi"/>
    <s v="Akpol"/>
    <x v="4"/>
    <x v="4"/>
    <x v="0"/>
  </r>
  <r>
    <n v="24"/>
    <n v="24"/>
    <s v="0098409943"/>
    <x v="0"/>
    <s v="Maria Rica Stefany Demu"/>
    <s v="P"/>
    <s v="Software engineer"/>
    <s v="STEI ITB"/>
    <x v="1"/>
    <x v="3"/>
    <x v="2"/>
  </r>
  <r>
    <n v="25"/>
    <n v="25"/>
    <s v="0092985486"/>
    <x v="0"/>
    <s v="Melani Putri Triana"/>
    <s v="P"/>
    <s v="ceo/content creator"/>
    <s v="Manajemen-UI"/>
    <x v="4"/>
    <x v="4"/>
    <x v="0"/>
  </r>
  <r>
    <n v="26"/>
    <n v="26"/>
    <s v="0094677765"/>
    <x v="0"/>
    <s v="Michael Mazmur Hatorangan Hutabarat"/>
    <s v="L"/>
    <s v="Pengacara/Filsafat"/>
    <s v="FH/FIB-UI"/>
    <x v="1"/>
    <x v="1"/>
    <x v="4"/>
  </r>
  <r>
    <n v="27"/>
    <n v="27"/>
    <s v="0107959828"/>
    <x v="0"/>
    <s v="Mochamad Nayaka Tuharea"/>
    <s v="L"/>
    <s v="Pelayaran"/>
    <s v="STIP"/>
    <x v="1"/>
    <x v="3"/>
    <x v="0"/>
  </r>
  <r>
    <n v="28"/>
    <n v="28"/>
    <s v="0092600602"/>
    <x v="0"/>
    <s v="Muhamad Septian Romadhon"/>
    <s v="L"/>
    <s v="Manajemen"/>
    <s v="FM IPB"/>
    <x v="5"/>
    <x v="1"/>
    <x v="3"/>
  </r>
  <r>
    <n v="29"/>
    <n v="29"/>
    <s v="0108695912"/>
    <x v="0"/>
    <s v="Muhammad Adrian Gianni Adam"/>
    <s v="L"/>
    <s v="Engineer"/>
    <s v="FTTM ITB, FTI ITB"/>
    <x v="1"/>
    <x v="3"/>
    <x v="2"/>
  </r>
  <r>
    <n v="30"/>
    <n v="30"/>
    <s v="0093126257"/>
    <x v="0"/>
    <s v="Muhammad Chaerudin Ramdhani"/>
    <s v="L"/>
    <m/>
    <m/>
    <x v="5"/>
    <x v="1"/>
    <x v="3"/>
  </r>
  <r>
    <n v="31"/>
    <n v="31"/>
    <n v="3104497802"/>
    <x v="0"/>
    <s v="Muhammad Fathan Assidiq"/>
    <s v="L"/>
    <s v="Data scientist"/>
    <s v="FTI-RI ITB"/>
    <x v="1"/>
    <x v="3"/>
    <x v="2"/>
  </r>
  <r>
    <n v="32"/>
    <n v="32"/>
    <s v="0108107461"/>
    <x v="0"/>
    <s v="Muhammad Rizky Aditya Putra Sukmawijayaguna"/>
    <s v="L"/>
    <s v="Polisi"/>
    <s v="Akpol"/>
    <x v="3"/>
    <x v="0"/>
    <x v="2"/>
  </r>
  <r>
    <n v="33"/>
    <n v="33"/>
    <s v="0092807405"/>
    <x v="0"/>
    <s v="Muhammad Rodzul Amrullah"/>
    <s v="L"/>
    <s v="Masinis"/>
    <s v="FT ITB, MTP PPI"/>
    <x v="3"/>
    <x v="0"/>
    <x v="2"/>
  </r>
  <r>
    <n v="34"/>
    <n v="34"/>
    <s v="0102300207"/>
    <x v="0"/>
    <s v="Nadya Salwa Altiara"/>
    <s v="P"/>
    <s v="Metallurgist "/>
    <s v="FTTM, itb"/>
    <x v="2"/>
    <x v="0"/>
    <x v="0"/>
  </r>
  <r>
    <n v="35"/>
    <n v="35"/>
    <s v="0097892166"/>
    <x v="0"/>
    <s v="Nailah Khoirunisa Arsanti"/>
    <s v="P"/>
    <s v="Engineer"/>
    <s v="FT UI"/>
    <x v="1"/>
    <x v="3"/>
    <x v="2"/>
  </r>
  <r>
    <n v="36"/>
    <n v="36"/>
    <s v="0097858274"/>
    <x v="0"/>
    <s v="Novyola Safitri"/>
    <s v="P"/>
    <m/>
    <m/>
    <x v="6"/>
    <x v="5"/>
    <x v="5"/>
  </r>
  <r>
    <n v="37"/>
    <n v="37"/>
    <s v="0093105045"/>
    <x v="0"/>
    <s v="Nur Alifah Silvia"/>
    <s v="P"/>
    <s v="akuntansi,bisnis,HRD"/>
    <s v="D     manajemen"/>
    <x v="4"/>
    <x v="4"/>
    <x v="3"/>
  </r>
  <r>
    <n v="38"/>
    <n v="38"/>
    <s v="0095438030"/>
    <x v="0"/>
    <s v="Pungki Yustisia Pertiwi"/>
    <s v="L"/>
    <s v="Marketing Director/Kewirausahan"/>
    <s v="SB IPB/FH UI"/>
    <x v="4"/>
    <x v="4"/>
    <x v="0"/>
  </r>
  <r>
    <n v="39"/>
    <n v="39"/>
    <s v="0107914534"/>
    <x v="0"/>
    <s v="Raden Gathan Azaki Soesilo"/>
    <s v="L"/>
    <s v="Dokter"/>
    <s v="FK UI"/>
    <x v="2"/>
    <x v="0"/>
    <x v="0"/>
  </r>
  <r>
    <n v="40"/>
    <n v="40"/>
    <s v="0097963483"/>
    <x v="0"/>
    <s v="Raden Muhammad Rafi Wiranata"/>
    <s v="L"/>
    <s v="Dokter militer"/>
    <s v="UNAHN, AKMIL, AKPOL"/>
    <x v="3"/>
    <x v="0"/>
    <x v="2"/>
  </r>
  <r>
    <n v="41"/>
    <n v="41"/>
    <s v="0092135851"/>
    <x v="0"/>
    <s v="Rayhan Ashabi"/>
    <s v="L"/>
    <s v="Kewirausahaan"/>
    <s v="SB IPB"/>
    <x v="4"/>
    <x v="4"/>
    <x v="1"/>
  </r>
  <r>
    <n v="42"/>
    <n v="42"/>
    <s v="0092605198"/>
    <x v="0"/>
    <s v="Rayhana Rizkya Al-Multazam"/>
    <s v="P"/>
    <s v="Peneliti"/>
    <s v="FKM UI"/>
    <x v="2"/>
    <x v="2"/>
    <x v="3"/>
  </r>
  <r>
    <n v="43"/>
    <n v="43"/>
    <s v="0103151970"/>
    <x v="0"/>
    <s v="Riffa Nugraha"/>
    <s v="L"/>
    <s v="Hakim"/>
    <s v="FH UNPAD"/>
    <x v="4"/>
    <x v="4"/>
    <x v="1"/>
  </r>
  <r>
    <n v="44"/>
    <n v="44"/>
    <s v="0097644165"/>
    <x v="0"/>
    <s v="Salsabila Zahwa Mulana"/>
    <s v="P"/>
    <m/>
    <s v="UI ilkom/HI/Psikologi/Bisnis"/>
    <x v="4"/>
    <x v="4"/>
    <x v="0"/>
  </r>
  <r>
    <n v="45"/>
    <n v="45"/>
    <s v="0102657659"/>
    <x v="0"/>
    <s v="Shabira Ayatul Husna"/>
    <s v="P"/>
    <s v=" Guru multibahasa/Tranlator"/>
    <s v="UNJ(pendidikan bahasa inggris) UI(sastra inggris)"/>
    <x v="3"/>
    <x v="1"/>
    <x v="4"/>
  </r>
  <r>
    <n v="46"/>
    <n v="46"/>
    <s v="0111428850"/>
    <x v="0"/>
    <s v="Zavier Lamya Arkanowinatha"/>
    <s v="L"/>
    <s v="English Design Technologists"/>
    <s v="UI Sistem Informasi"/>
    <x v="1"/>
    <x v="3"/>
    <x v="0"/>
  </r>
  <r>
    <n v="47"/>
    <n v="47"/>
    <s v="0108505453"/>
    <x v="0"/>
    <s v="Zhafirah Dwi Fauziah"/>
    <s v="P"/>
    <s v="manajer tim olahraga"/>
    <s v="UNJ ilmu keolahragaan"/>
    <x v="5"/>
    <x v="2"/>
    <x v="2"/>
  </r>
  <r>
    <n v="48"/>
    <n v="1"/>
    <s v="0094216870"/>
    <x v="1"/>
    <s v="Adinda Syahira Hariyadi"/>
    <s v="P"/>
    <s v="Kowad (TNI)"/>
    <s v="UNHAN Fakultas Kedokteran"/>
    <x v="1"/>
    <x v="2"/>
    <x v="1"/>
  </r>
  <r>
    <n v="49"/>
    <n v="2"/>
    <s v="0107760733"/>
    <x v="1"/>
    <s v="Aira Aulia Putri"/>
    <s v="P"/>
    <s v="Psikolog, Manajemen bisnis, bimbingan konseling"/>
    <s v="UNJ (Psikolog &amp; BK), FEM IPB"/>
    <x v="4"/>
    <x v="4"/>
    <x v="0"/>
  </r>
  <r>
    <n v="50"/>
    <n v="3"/>
    <s v="0105130233"/>
    <x v="1"/>
    <s v="Aisha Faiha Dzakiyah"/>
    <s v="P"/>
    <m/>
    <m/>
    <x v="6"/>
    <x v="5"/>
    <x v="5"/>
  </r>
  <r>
    <n v="51"/>
    <n v="4"/>
    <s v="0104550133"/>
    <x v="1"/>
    <s v="Alifa Safa Salsabila"/>
    <s v="P"/>
    <s v="Terapi Okupasi /Fisioterapi "/>
    <s v="UI-VOKASI TERAPI OKUPASI"/>
    <x v="3"/>
    <x v="3"/>
    <x v="2"/>
  </r>
  <r>
    <n v="52"/>
    <n v="5"/>
    <s v="0095372504"/>
    <x v="1"/>
    <s v="Alviana Dwie Putery"/>
    <s v="P"/>
    <m/>
    <m/>
    <x v="6"/>
    <x v="5"/>
    <x v="5"/>
  </r>
  <r>
    <n v="53"/>
    <n v="6"/>
    <s v="0105813396"/>
    <x v="1"/>
    <s v="Alyya Zahra Kusumadewi"/>
    <s v="P"/>
    <s v="Dokter umum"/>
    <s v="KEDOKTERAN - UI"/>
    <x v="2"/>
    <x v="2"/>
    <x v="3"/>
  </r>
  <r>
    <n v="54"/>
    <n v="7"/>
    <s v="0109006152"/>
    <x v="1"/>
    <s v="Ammar Raziq Mahdiya"/>
    <s v="L"/>
    <s v="entrepreneur"/>
    <s v="IPB - SEKOLAH BISNIS"/>
    <x v="3"/>
    <x v="1"/>
    <x v="4"/>
  </r>
  <r>
    <n v="55"/>
    <n v="8"/>
    <s v="0097211030"/>
    <x v="1"/>
    <s v="Andini Qoriyati Khaerani"/>
    <s v="P"/>
    <m/>
    <m/>
    <x v="2"/>
    <x v="2"/>
    <x v="3"/>
  </r>
  <r>
    <n v="56"/>
    <n v="9"/>
    <n v="3108667209"/>
    <x v="1"/>
    <s v="Aqeela Az Zahra"/>
    <s v="P"/>
    <s v="Duta Besar"/>
    <s v="IR Oxford/ HI UI"/>
    <x v="4"/>
    <x v="4"/>
    <x v="3"/>
  </r>
  <r>
    <n v="57"/>
    <n v="10"/>
    <s v="0109904498"/>
    <x v="1"/>
    <s v="Arfan Kristian Perlindungan Harefa"/>
    <s v="L"/>
    <m/>
    <m/>
    <x v="3"/>
    <x v="3"/>
    <x v="4"/>
  </r>
  <r>
    <n v="58"/>
    <n v="11"/>
    <s v="0098513542"/>
    <x v="1"/>
    <s v="Ashiila Rindu Dwi Laufli"/>
    <s v="P"/>
    <m/>
    <m/>
    <x v="3"/>
    <x v="3"/>
    <x v="3"/>
  </r>
  <r>
    <n v="59"/>
    <n v="12"/>
    <s v="0106376916"/>
    <x v="1"/>
    <s v="Atharrayhan Abimanyu Pratama"/>
    <s v="P"/>
    <m/>
    <m/>
    <x v="4"/>
    <x v="3"/>
    <x v="3"/>
  </r>
  <r>
    <n v="60"/>
    <n v="13"/>
    <s v="0105797314"/>
    <x v="1"/>
    <s v="Aurelly Diana Zulkarnaen"/>
    <s v="P"/>
    <m/>
    <m/>
    <x v="4"/>
    <x v="0"/>
    <x v="4"/>
  </r>
  <r>
    <n v="61"/>
    <n v="14"/>
    <s v="0102731314"/>
    <x v="1"/>
    <s v="Bima Adyatma Ilmiawan"/>
    <s v="L"/>
    <s v="Exploration Geologist"/>
    <s v="TG UGM"/>
    <x v="1"/>
    <x v="3"/>
    <x v="4"/>
  </r>
  <r>
    <n v="62"/>
    <n v="15"/>
    <s v="0092794157"/>
    <x v="1"/>
    <s v="Cinta Cludia Putri"/>
    <s v="P"/>
    <m/>
    <m/>
    <x v="4"/>
    <x v="4"/>
    <x v="1"/>
  </r>
  <r>
    <n v="63"/>
    <n v="16"/>
    <s v="0106384221"/>
    <x v="1"/>
    <s v="Dafsyah Arifa Putra"/>
    <s v="L"/>
    <s v="polri "/>
    <s v="ilmu kepolisian "/>
    <x v="1"/>
    <x v="2"/>
    <x v="1"/>
  </r>
  <r>
    <n v="64"/>
    <n v="17"/>
    <n v="3104617391"/>
    <x v="1"/>
    <s v="Denisa Azka Putri"/>
    <s v="P"/>
    <s v="Ahli gizi / Fisioterapis olahraga"/>
    <s v="Program Studi Gizi-FKM-UI / VOKASI Fisioterapi-UI"/>
    <x v="3"/>
    <x v="3"/>
    <x v="2"/>
  </r>
  <r>
    <n v="65"/>
    <n v="18"/>
    <s v="0098157268"/>
    <x v="1"/>
    <s v="Devani Keyla Noris"/>
    <s v="P"/>
    <s v="Marine biologist"/>
    <s v="fpik-undip"/>
    <x v="3"/>
    <x v="3"/>
    <x v="2"/>
  </r>
  <r>
    <n v="66"/>
    <n v="19"/>
    <s v="0099675945"/>
    <x v="1"/>
    <s v="Dimas Putra Pribadi"/>
    <s v="L"/>
    <m/>
    <m/>
    <x v="2"/>
    <x v="2"/>
    <x v="3"/>
  </r>
  <r>
    <n v="67"/>
    <n v="20"/>
    <s v="0104532267"/>
    <x v="1"/>
    <s v="Elvio Dyahyu Yusanto"/>
    <s v="L"/>
    <m/>
    <m/>
    <x v="4"/>
    <x v="4"/>
    <x v="1"/>
  </r>
  <r>
    <n v="68"/>
    <n v="21"/>
    <s v="0097593921"/>
    <x v="1"/>
    <s v="Enisye Putri Zeliawati Limpong"/>
    <s v="P"/>
    <m/>
    <m/>
    <x v="2"/>
    <x v="1"/>
    <x v="4"/>
  </r>
  <r>
    <n v="69"/>
    <n v="22"/>
    <s v="0106157075"/>
    <x v="1"/>
    <s v="Fabian Ahza Hidayat"/>
    <s v="L"/>
    <s v="Arsitektur"/>
    <s v="arsitektur - ITB"/>
    <x v="1"/>
    <x v="3"/>
    <x v="2"/>
  </r>
  <r>
    <n v="70"/>
    <n v="23"/>
    <s v="0104141415"/>
    <x v="1"/>
    <s v="Fadhilah Raisa Kamilati"/>
    <s v="L"/>
    <m/>
    <m/>
    <x v="3"/>
    <x v="3"/>
    <x v="3"/>
  </r>
  <r>
    <n v="71"/>
    <n v="24"/>
    <s v="0105606050"/>
    <x v="1"/>
    <s v="Jasmine Makayla Putri Arvani"/>
    <s v="P"/>
    <s v="Penyidik, Psikolog, Analisis Kriminal"/>
    <s v="Kriminologi - Universitas Indonesia, Hukum - Universitas Padjajaran, Psikologi - Universitas Padjajaran, Hukum - Universitas Sumatera Utara"/>
    <x v="4"/>
    <x v="4"/>
    <x v="0"/>
  </r>
  <r>
    <n v="72"/>
    <n v="25"/>
    <s v="0094564578"/>
    <x v="1"/>
    <s v="Khalid Ahmad Ghazali"/>
    <s v="L"/>
    <s v="Doctor, Full-Time Researcher, Lecturer, "/>
    <s v="Medicine-Universiti Malaya, Pharmacy-Universiti Malaya"/>
    <x v="3"/>
    <x v="3"/>
    <x v="3"/>
  </r>
  <r>
    <n v="73"/>
    <n v="26"/>
    <s v="0103261879"/>
    <x v="1"/>
    <s v="Khansa Aulia Damtsa Hylmi"/>
    <s v="P"/>
    <s v="advokat/business analyst"/>
    <s v="FH UI/FH UNPAD"/>
    <x v="4"/>
    <x v="2"/>
    <x v="1"/>
  </r>
  <r>
    <n v="74"/>
    <n v="27"/>
    <s v="0109361118"/>
    <x v="1"/>
    <s v="Lionel Boanerges Raffles Simangunsong"/>
    <s v="L"/>
    <m/>
    <m/>
    <x v="3"/>
    <x v="3"/>
    <x v="3"/>
  </r>
  <r>
    <n v="75"/>
    <n v="28"/>
    <s v="0092576905"/>
    <x v="1"/>
    <s v="Mardiansyah Isman"/>
    <s v="L"/>
    <s v="Stock trader / investment analyst"/>
    <s v="FEB UI"/>
    <x v="5"/>
    <x v="1"/>
    <x v="0"/>
  </r>
  <r>
    <n v="76"/>
    <n v="29"/>
    <s v="0099605205"/>
    <x v="1"/>
    <s v="Mohammad Haikal"/>
    <s v="L"/>
    <s v="Investor Saham"/>
    <s v="Miliarder Saham"/>
    <x v="4"/>
    <x v="0"/>
    <x v="4"/>
  </r>
  <r>
    <n v="77"/>
    <n v="30"/>
    <s v="0108384400"/>
    <x v="1"/>
    <s v="Mohammad Irshad Faizanshah"/>
    <s v="L"/>
    <s v="Dokter"/>
    <s v="FK UI/FK IPB"/>
    <x v="2"/>
    <x v="2"/>
    <x v="3"/>
  </r>
  <r>
    <n v="78"/>
    <n v="31"/>
    <s v="0098087445"/>
    <x v="1"/>
    <s v="Muhamad Thoriq Al Rasyad"/>
    <s v="L"/>
    <s v="Website Developer, dan Software Engineer"/>
    <s v="Teknik Informatik - ITB"/>
    <x v="1"/>
    <x v="2"/>
    <x v="2"/>
  </r>
  <r>
    <n v="79"/>
    <n v="32"/>
    <s v="0108518402"/>
    <x v="1"/>
    <s v="Muhammad Akmaluddin"/>
    <s v="L"/>
    <s v="Software Developer"/>
    <s v="Ilmu komputer IPB"/>
    <x v="3"/>
    <x v="0"/>
    <x v="2"/>
  </r>
  <r>
    <n v="80"/>
    <n v="33"/>
    <s v="0098345742"/>
    <x v="1"/>
    <s v="Muhammad Ariza Rizkya Irvan"/>
    <s v="L"/>
    <m/>
    <m/>
    <x v="2"/>
    <x v="0"/>
    <x v="4"/>
  </r>
  <r>
    <n v="81"/>
    <n v="34"/>
    <s v="0104535464"/>
    <x v="1"/>
    <s v="Muhammad Nazam Rizal"/>
    <s v="L"/>
    <m/>
    <m/>
    <x v="1"/>
    <x v="3"/>
    <x v="4"/>
  </r>
  <r>
    <n v="82"/>
    <n v="35"/>
    <n v="3107410887"/>
    <x v="1"/>
    <s v="Muhammad Rasyad Mahdawi"/>
    <s v="L"/>
    <s v="Computer Science/Engineering"/>
    <s v="STEI-K ITB/Computer Science and Engineering MIT"/>
    <x v="1"/>
    <x v="2"/>
    <x v="2"/>
  </r>
  <r>
    <n v="83"/>
    <n v="36"/>
    <s v="0093768427"/>
    <x v="1"/>
    <s v="Neng Rahmi Novianti"/>
    <s v="P"/>
    <s v="Imigrasi/Psikolog"/>
    <s v="Kedinasan/FPsi Unpad/UI"/>
    <x v="3"/>
    <x v="3"/>
    <x v="3"/>
  </r>
  <r>
    <n v="84"/>
    <n v="37"/>
    <s v="0103404970"/>
    <x v="1"/>
    <s v="Niesha Anindya Firstsaly"/>
    <s v="P"/>
    <s v="Psikolog/ Psikolog bisnis"/>
    <s v="Psikologi unpad / Ui / Undip"/>
    <x v="3"/>
    <x v="3"/>
    <x v="2"/>
  </r>
  <r>
    <n v="85"/>
    <n v="38"/>
    <s v="0102495325"/>
    <x v="1"/>
    <s v="Oryza Angelina Sitohang"/>
    <s v="P"/>
    <s v="Hakim"/>
    <s v="FH UNAIR"/>
    <x v="4"/>
    <x v="4"/>
    <x v="0"/>
  </r>
  <r>
    <n v="86"/>
    <n v="39"/>
    <s v="0106276801"/>
    <x v="1"/>
    <s v="Priscillia Putri Viona"/>
    <s v="P"/>
    <m/>
    <s v="kedinasan"/>
    <x v="2"/>
    <x v="2"/>
    <x v="3"/>
  </r>
  <r>
    <n v="87"/>
    <n v="40"/>
    <s v="0098833541"/>
    <x v="1"/>
    <s v="Qaniah Mardiyah Salsabila"/>
    <s v="P"/>
    <s v="Supply Chain Manager / Arsitek / Founder / Co-Founder "/>
    <s v="Rekayasa Industri UI/ITB dan Arsitektur UI/ITB"/>
    <x v="2"/>
    <x v="0"/>
    <x v="0"/>
  </r>
  <r>
    <n v="88"/>
    <n v="41"/>
    <s v="0095492963"/>
    <x v="1"/>
    <s v="Raisha Puri Lianti"/>
    <s v="P"/>
    <s v="Hotelier"/>
    <s v="FIB - UGM"/>
    <x v="4"/>
    <x v="4"/>
    <x v="0"/>
  </r>
  <r>
    <n v="89"/>
    <n v="42"/>
    <s v="0091964566"/>
    <x v="1"/>
    <s v="Rasya Arkananta Mulya"/>
    <s v="P"/>
    <s v="Petroleum Engineer"/>
    <s v="FTTM - ITB"/>
    <x v="2"/>
    <x v="0"/>
    <x v="0"/>
  </r>
  <r>
    <n v="90"/>
    <n v="43"/>
    <s v="0092731928"/>
    <x v="1"/>
    <s v="Rusvi Putri Ingguan"/>
    <s v="P"/>
    <s v="Ilustrator"/>
    <s v="FSRD - UPI"/>
    <x v="4"/>
    <x v="0"/>
    <x v="0"/>
  </r>
  <r>
    <n v="91"/>
    <n v="44"/>
    <s v="0105816582"/>
    <x v="1"/>
    <s v="Ruth Rafanela Syeby Siregar"/>
    <s v="P"/>
    <s v="Dokter "/>
    <s v="FK-IPB/FK-UNSRAT/FK-UNAIR"/>
    <x v="2"/>
    <x v="2"/>
    <x v="3"/>
  </r>
  <r>
    <n v="92"/>
    <n v="45"/>
    <s v="0102751293"/>
    <x v="1"/>
    <s v="Titania Dwizita Shahla"/>
    <s v="P"/>
    <m/>
    <s v="Teknik mesin - UNHAN_x000a_FTTM - ITB"/>
    <x v="1"/>
    <x v="1"/>
    <x v="0"/>
  </r>
  <r>
    <n v="93"/>
    <n v="46"/>
    <s v="0104292767"/>
    <x v="1"/>
    <s v="Zaidan Riziq Sakha"/>
    <s v="L"/>
    <s v="Abdi Negara"/>
    <m/>
    <x v="2"/>
    <x v="2"/>
    <x v="3"/>
  </r>
  <r>
    <n v="94"/>
    <n v="47"/>
    <s v="0096087965"/>
    <x v="1"/>
    <s v="Zalikhah Rasikhah Putri"/>
    <s v="P"/>
    <s v="Quality Control / Research and Development"/>
    <s v="Teknologi Pangan -IPB / Supervisor Jaminan Mutu Pangan -IPB Vokasi"/>
    <x v="2"/>
    <x v="2"/>
    <x v="2"/>
  </r>
  <r>
    <n v="95"/>
    <n v="1"/>
    <s v="0094703204"/>
    <x v="2"/>
    <s v="Abhinaya Zaidan Akbar"/>
    <s v="L"/>
    <s v="Astronot"/>
    <s v="KKP (Kementerian Kelautan dan Perikanan) - Kedinasan"/>
    <x v="1"/>
    <x v="3"/>
    <x v="0"/>
  </r>
  <r>
    <n v="96"/>
    <n v="2"/>
    <s v="0106941990"/>
    <x v="2"/>
    <s v="Andra Rakadityono"/>
    <s v="L"/>
    <s v="Aktuaris"/>
    <s v="Ilmu Aktuaria / Actuarial Science - (Kyoto University, University of New South Wales (UNSW Sydney), University of Melbourne, Monash University)"/>
    <x v="1"/>
    <x v="3"/>
    <x v="0"/>
  </r>
  <r>
    <n v="97"/>
    <n v="3"/>
    <s v="0109964803"/>
    <x v="2"/>
    <s v="Anjani Safira Salma"/>
    <s v="P"/>
    <s v="Penata Anestesi"/>
    <s v="STKA - UNS"/>
    <x v="2"/>
    <x v="2"/>
    <x v="2"/>
  </r>
  <r>
    <n v="98"/>
    <n v="4"/>
    <s v="0104084075"/>
    <x v="2"/>
    <s v="Ario Bimo Wicaksono"/>
    <s v="L"/>
    <s v="Industrial Engineer"/>
    <s v="Teknik Industri UI/ITB"/>
    <x v="2"/>
    <x v="0"/>
    <x v="0"/>
  </r>
  <r>
    <n v="99"/>
    <n v="5"/>
    <s v="0098221239"/>
    <x v="2"/>
    <s v="Arman Firmansyah"/>
    <s v="L"/>
    <s v="Wiraswasta"/>
    <s v="kedinasan"/>
    <x v="5"/>
    <x v="1"/>
    <x v="0"/>
  </r>
  <r>
    <n v="100"/>
    <n v="6"/>
    <s v="0104751597"/>
    <x v="2"/>
    <s v="Attaya Putri Faslahi"/>
    <s v="P"/>
    <s v="Dokter Gigi"/>
    <s v="FKG UI/"/>
    <x v="3"/>
    <x v="3"/>
    <x v="3"/>
  </r>
  <r>
    <n v="101"/>
    <n v="7"/>
    <s v="0104406841"/>
    <x v="2"/>
    <s v="Attiyah Naila Adza Alifah"/>
    <s v="P"/>
    <s v="Apoteker"/>
    <s v="Farmasi,STIKES Husada/STTIF Bogor "/>
    <x v="2"/>
    <x v="0"/>
    <x v="0"/>
  </r>
  <r>
    <n v="102"/>
    <n v="8"/>
    <s v="0102122161"/>
    <x v="2"/>
    <s v="Aulia Azahra"/>
    <s v="P"/>
    <s v="Apoteker"/>
    <s v="Farmasi - UI"/>
    <x v="2"/>
    <x v="0"/>
    <x v="0"/>
  </r>
  <r>
    <n v="103"/>
    <n v="9"/>
    <s v="0108329102"/>
    <x v="2"/>
    <s v="Bianca Aurelia Putri Asari"/>
    <s v="P"/>
    <s v="Diplomat / ASN"/>
    <s v="FISIP Unpad"/>
    <x v="2"/>
    <x v="0"/>
    <x v="2"/>
  </r>
  <r>
    <n v="104"/>
    <n v="10"/>
    <s v="0103047499"/>
    <x v="2"/>
    <s v="Bumi Byakta Alfian"/>
    <s v="L"/>
    <s v="Ahli kesling / TNI"/>
    <s v="FKM UI/ FK UGM"/>
    <x v="2"/>
    <x v="0"/>
    <x v="0"/>
  </r>
  <r>
    <n v="105"/>
    <n v="11"/>
    <s v="0102794623"/>
    <x v="2"/>
    <s v="Cheryl Faiha Al-Tair"/>
    <s v="P"/>
    <s v=" Dokter Spesialis"/>
    <s v="Pendidikan Dokter - ui / Unair"/>
    <x v="3"/>
    <x v="3"/>
    <x v="3"/>
  </r>
  <r>
    <n v="106"/>
    <n v="12"/>
    <s v="0096103714"/>
    <x v="2"/>
    <s v="Cindy Ramadhani Sinulingga"/>
    <s v="P"/>
    <s v="Dokter/kebidanan"/>
    <s v="pendidikan dokter/kebidanan- Unair"/>
    <x v="2"/>
    <x v="2"/>
    <x v="3"/>
  </r>
  <r>
    <n v="107"/>
    <n v="13"/>
    <s v="0103966590"/>
    <x v="2"/>
    <s v="Danesh Arrayan Syahreen"/>
    <s v="P"/>
    <s v="Diplomat atau Notaris"/>
    <s v="HI atau Hukum/NUS, UI, dan UNPAD"/>
    <x v="4"/>
    <x v="2"/>
    <x v="4"/>
  </r>
  <r>
    <n v="108"/>
    <n v="14"/>
    <s v="0097493642"/>
    <x v="2"/>
    <s v="Dhyra Putra Pratama"/>
    <s v="P"/>
    <s v="IT / TNI"/>
    <s v="unpad/ITB"/>
    <x v="1"/>
    <x v="3"/>
    <x v="0"/>
  </r>
  <r>
    <n v="109"/>
    <n v="15"/>
    <s v="0096662016"/>
    <x v="2"/>
    <s v="Fadya Malikha"/>
    <s v="P"/>
    <s v="Designer"/>
    <s v="FSRD ITB"/>
    <x v="4"/>
    <x v="4"/>
    <x v="3"/>
  </r>
  <r>
    <n v="110"/>
    <n v="16"/>
    <s v="0096892367"/>
    <x v="2"/>
    <s v="Fajri Pardomuan Pohan"/>
    <s v="L"/>
    <s v=" Pilot,TNI,Damkar, atau Paramedic"/>
    <s v="Teknik mesin atau Ilmu keperawatan/UI atau UB"/>
    <x v="1"/>
    <x v="1"/>
    <x v="1"/>
  </r>
  <r>
    <n v="111"/>
    <n v="17"/>
    <s v="0094686377"/>
    <x v="2"/>
    <s v="Farras Putra Zema"/>
    <s v="L"/>
    <s v="Polis/TNI"/>
    <s v="Kedinasan "/>
    <x v="1"/>
    <x v="2"/>
    <x v="1"/>
  </r>
  <r>
    <n v="112"/>
    <n v="18"/>
    <s v="0109768822"/>
    <x v="2"/>
    <s v="Fathia Amia Rizqi"/>
    <s v="P"/>
    <s v="Desain Interior"/>
    <s v="Desain Interior ITB/ITS"/>
    <x v="3"/>
    <x v="3"/>
    <x v="4"/>
  </r>
  <r>
    <n v="113"/>
    <n v="19"/>
    <s v="0109156472"/>
    <x v="2"/>
    <s v="Florencia Ivana"/>
    <s v="P"/>
    <s v="Engineer"/>
    <s v="FTSL ITB/UI"/>
    <x v="1"/>
    <x v="2"/>
    <x v="4"/>
  </r>
  <r>
    <n v="114"/>
    <n v="20"/>
    <s v="0098064041"/>
    <x v="2"/>
    <s v="Fricilia Aprilyani Cardoso"/>
    <s v="P"/>
    <s v="Menteri Kesehatan"/>
    <s v="Kesehatan Masyarakat - Universitas Indonesia"/>
    <x v="2"/>
    <x v="2"/>
    <x v="3"/>
  </r>
  <r>
    <n v="115"/>
    <n v="21"/>
    <s v="0113691116"/>
    <x v="2"/>
    <s v="Gerald Samuel Sitanggang"/>
    <s v="L"/>
    <m/>
    <s v="STEI-ITB"/>
    <x v="2"/>
    <x v="0"/>
    <x v="0"/>
  </r>
  <r>
    <n v="116"/>
    <n v="22"/>
    <s v="0104767807"/>
    <x v="2"/>
    <s v="Jaenal Ikhwan"/>
    <s v="L"/>
    <s v="Pengusaha"/>
    <s v="FEB - ITB"/>
    <x v="5"/>
    <x v="1"/>
    <x v="0"/>
  </r>
  <r>
    <n v="117"/>
    <n v="23"/>
    <s v="0104211640"/>
    <x v="2"/>
    <s v="Kartika Larasati"/>
    <s v="P"/>
    <s v="Ahli Informatika(IT)"/>
    <s v="Ilmu Komputer UI"/>
    <x v="1"/>
    <x v="3"/>
    <x v="0"/>
  </r>
  <r>
    <n v="118"/>
    <n v="24"/>
    <s v="0098772505"/>
    <x v="2"/>
    <s v="Keynia Louis Cristin Harianja"/>
    <s v="P"/>
    <s v="Dosen Ilmu Keolahragaan"/>
    <s v="Pendidikan Jasmani &amp; keolahragaan - UNJ "/>
    <x v="5"/>
    <x v="3"/>
    <x v="0"/>
  </r>
  <r>
    <n v="119"/>
    <n v="25"/>
    <s v="0107095977"/>
    <x v="2"/>
    <s v="Khairani Asri Utami"/>
    <s v="P"/>
    <s v="Manajemen Bisnis/Ahli Gizi"/>
    <s v="FEB/Ilmu Gizi IPB"/>
    <x v="5"/>
    <x v="1"/>
    <x v="0"/>
  </r>
  <r>
    <n v="120"/>
    <n v="26"/>
    <s v="0092150853"/>
    <x v="2"/>
    <s v="Khalifi Ramadhan Darmawan Anda"/>
    <s v="L"/>
    <s v="ENGINEER "/>
    <s v="Siskal/TPK-STIP/ITS"/>
    <x v="1"/>
    <x v="3"/>
    <x v="0"/>
  </r>
  <r>
    <n v="121"/>
    <n v="27"/>
    <s v="0091769169"/>
    <x v="2"/>
    <s v="Lathika Aulia Althafunnisa"/>
    <s v="P"/>
    <s v="Penulis"/>
    <s v="UI Sastra Indonesia"/>
    <x v="4"/>
    <x v="4"/>
    <x v="0"/>
  </r>
  <r>
    <n v="122"/>
    <n v="28"/>
    <s v="0103272603"/>
    <x v="2"/>
    <s v="Laura Aubrey Gracia Lubis"/>
    <s v="P"/>
    <m/>
    <m/>
    <x v="3"/>
    <x v="1"/>
    <x v="4"/>
  </r>
  <r>
    <n v="123"/>
    <n v="29"/>
    <s v="0103190164"/>
    <x v="2"/>
    <s v="Mandariza Arya Pranata Wijaya"/>
    <s v="P"/>
    <s v="Masinis / Pembisnis"/>
    <s v="Fakultas Bisnis ITB/IPB"/>
    <x v="4"/>
    <x v="4"/>
    <x v="0"/>
  </r>
  <r>
    <n v="124"/>
    <n v="30"/>
    <s v="0092154795"/>
    <x v="2"/>
    <s v="Muhammad Rizzieq Yusuf Natakusumah"/>
    <s v="L"/>
    <s v="Fisioterapi olahraga atau Hardware Engineer"/>
    <s v="Fakultas Teknik Elektro ITB/Tel-U atau Vokasi Fisioterapi UI/UNAIR"/>
    <x v="1"/>
    <x v="3"/>
    <x v="0"/>
  </r>
  <r>
    <n v="125"/>
    <n v="31"/>
    <n v="3096846304"/>
    <x v="2"/>
    <s v="Muhammad Zuhear Alfan"/>
    <s v="L"/>
    <m/>
    <m/>
    <x v="1"/>
    <x v="3"/>
    <x v="0"/>
  </r>
  <r>
    <n v="126"/>
    <n v="32"/>
    <s v="0104716348"/>
    <x v="2"/>
    <s v="Nadhifa Farah Falihah"/>
    <s v="P"/>
    <s v="Akuntan"/>
    <s v="Akuntansi UI"/>
    <x v="4"/>
    <x v="4"/>
    <x v="1"/>
  </r>
  <r>
    <n v="127"/>
    <n v="33"/>
    <s v="0102174126"/>
    <x v="2"/>
    <s v="Nazwa Savira"/>
    <s v="P"/>
    <s v="psikolog / musisi"/>
    <s v="PSIKOLOGI - UNPAD / FTTM — ITB"/>
    <x v="2"/>
    <x v="2"/>
    <x v="3"/>
  </r>
  <r>
    <n v="128"/>
    <n v="34"/>
    <s v="0097540821"/>
    <x v="2"/>
    <s v="Nourman Raditia Putra"/>
    <s v="L"/>
    <s v="Akuntansi"/>
    <s v="Ilmu Ekonomi (UNPAD) "/>
    <x v="1"/>
    <x v="2"/>
    <x v="4"/>
  </r>
  <r>
    <n v="129"/>
    <n v="35"/>
    <s v="0102114748"/>
    <x v="2"/>
    <s v="Nursifa Maulidah"/>
    <s v="P"/>
    <s v="akuntan/manajemen"/>
    <s v="ilmu ekonomi-IPB"/>
    <x v="4"/>
    <x v="4"/>
    <x v="0"/>
  </r>
  <r>
    <n v="130"/>
    <n v="36"/>
    <s v="0097603092"/>
    <x v="2"/>
    <s v="Pramudhio Sawerigading Ihsan"/>
    <s v="L"/>
    <s v="Duta besar / kementrian luar negri"/>
    <s v="Hubungan internasional Ugm"/>
    <x v="4"/>
    <x v="4"/>
    <x v="0"/>
  </r>
  <r>
    <n v="131"/>
    <n v="37"/>
    <s v="0106292164"/>
    <x v="2"/>
    <s v="Putri Eisya"/>
    <s v="P"/>
    <s v="Agricultural Engineer"/>
    <s v="Teknik Pertanian dan Biosistem IPB"/>
    <x v="2"/>
    <x v="2"/>
    <x v="4"/>
  </r>
  <r>
    <n v="132"/>
    <n v="38"/>
    <n v="3104085681"/>
    <x v="2"/>
    <s v="Putri Zaqiyah"/>
    <s v="P"/>
    <s v="Dokter"/>
    <s v="kedokteran UB"/>
    <x v="2"/>
    <x v="2"/>
    <x v="3"/>
  </r>
  <r>
    <n v="133"/>
    <n v="39"/>
    <s v="0105055522"/>
    <x v="2"/>
    <s v="Rahma Marissa"/>
    <s v="P"/>
    <s v="BUMN"/>
    <s v="Tekpang "/>
    <x v="3"/>
    <x v="3"/>
    <x v="3"/>
  </r>
  <r>
    <n v="134"/>
    <n v="40"/>
    <s v="0092263541"/>
    <x v="2"/>
    <s v="Revan"/>
    <s v="L"/>
    <s v="Masinis"/>
    <s v="kedinasan"/>
    <x v="1"/>
    <x v="3"/>
    <x v="0"/>
  </r>
  <r>
    <n v="135"/>
    <n v="41"/>
    <s v="0091178036"/>
    <x v="2"/>
    <s v="Safa Naya Adristi"/>
    <s v="P"/>
    <s v="Coorporate lawyer"/>
    <s v="Hukum UI"/>
    <x v="4"/>
    <x v="4"/>
    <x v="3"/>
  </r>
  <r>
    <n v="136"/>
    <n v="42"/>
    <s v="0106930882"/>
    <x v="2"/>
    <s v="Shirane Ghaniyya Ramadhani"/>
    <s v="P"/>
    <s v="Arsitektur / Hukum"/>
    <s v="Arsitektur (SAPPK) / Hukum (JAKSA BAGIAN PIDANA) ITB/UGM"/>
    <x v="3"/>
    <x v="3"/>
    <x v="4"/>
  </r>
  <r>
    <n v="137"/>
    <n v="43"/>
    <s v="0109721617"/>
    <x v="2"/>
    <s v="Yasmin Kirani Affifah"/>
    <s v="P"/>
    <s v="Akuntan"/>
    <s v="Kedinasan"/>
    <x v="4"/>
    <x v="4"/>
    <x v="0"/>
  </r>
  <r>
    <n v="138"/>
    <n v="44"/>
    <s v="0101188685"/>
    <x v="2"/>
    <s v="Yasmine Almira Queen"/>
    <s v="P"/>
    <s v="Dokter Gigi"/>
    <s v="Kedokteran gigi"/>
    <x v="2"/>
    <x v="2"/>
    <x v="3"/>
  </r>
  <r>
    <n v="139"/>
    <n v="45"/>
    <s v="0106443881"/>
    <x v="2"/>
    <s v="Jihan Fauziyyah Latifah"/>
    <s v="P"/>
    <s v="Dosen bahasa asing"/>
    <s v="Sastra Russia/UI"/>
    <x v="4"/>
    <x v="4"/>
    <x v="0"/>
  </r>
  <r>
    <n v="140"/>
    <n v="1"/>
    <s v="0106136353"/>
    <x v="3"/>
    <s v="Ahmad Azmi Mutaarrofi"/>
    <s v="L"/>
    <s v="OIM, Hedge Fund Manager"/>
    <s v="fakultas teknik pertambangan dan perminyakan ( ITB )"/>
    <x v="1"/>
    <x v="1"/>
    <x v="4"/>
  </r>
  <r>
    <n v="141"/>
    <n v="2"/>
    <s v="0095491750"/>
    <x v="3"/>
    <s v="Ahmad Farely Azriel"/>
    <s v="L"/>
    <s v="Teknologi Pangan"/>
    <s v="Fakultas Teknologi Industri Pertanian UNPAD"/>
    <x v="3"/>
    <x v="1"/>
    <x v="1"/>
  </r>
  <r>
    <n v="142"/>
    <n v="3"/>
    <s v="0087811342"/>
    <x v="3"/>
    <s v="Alfian Chaniago"/>
    <s v="L"/>
    <s v="Manager Proyek"/>
    <s v="Fakultas Teknik Pertambangan (ITB)"/>
    <x v="4"/>
    <x v="4"/>
    <x v="0"/>
  </r>
  <r>
    <n v="143"/>
    <n v="4"/>
    <s v="0094160993"/>
    <x v="3"/>
    <s v="Alleandra Kaif Finandita"/>
    <s v="P"/>
    <s v="Pengacara, Jurnalis, dan Hakim"/>
    <s v="Hukum Bisnis UI, Hukum UNPAD, Hukum UGM"/>
    <x v="4"/>
    <x v="4"/>
    <x v="1"/>
  </r>
  <r>
    <n v="144"/>
    <n v="5"/>
    <s v="0103659705"/>
    <x v="3"/>
    <s v="Altaira Aqila Myesha Ario"/>
    <s v="P"/>
    <s v="Dokter Gigi"/>
    <s v="FKG UI, FKG UNPAD"/>
    <x v="3"/>
    <x v="3"/>
    <x v="2"/>
  </r>
  <r>
    <n v="145"/>
    <n v="6"/>
    <s v="0107838813"/>
    <x v="3"/>
    <s v="Amira Najwa Fauziyah"/>
    <s v="P"/>
    <s v="Insinyur Struktur,_x000a_Manajer Proyek "/>
    <s v="Teknik Sipil UI _x000a_FTSL ITB _x000a_Teknik Sipil UNHAN"/>
    <x v="1"/>
    <x v="3"/>
    <x v="0"/>
  </r>
  <r>
    <n v="146"/>
    <n v="7"/>
    <s v="0108144208"/>
    <x v="3"/>
    <s v="Aphrodyta Aurelia Avrilla"/>
    <s v="P"/>
    <s v="Psikologi, Apoteker"/>
    <s v="PSIKOLOGI -UI_x000a_SF -ITB"/>
    <x v="3"/>
    <x v="3"/>
    <x v="2"/>
  </r>
  <r>
    <n v="147"/>
    <n v="8"/>
    <s v="0096853688"/>
    <x v="3"/>
    <s v="Aqueena Putri Salimah"/>
    <s v="P"/>
    <s v="Dokmil, Dokpol"/>
    <s v="Kedokteran Gigi, UNHAN"/>
    <x v="3"/>
    <x v="3"/>
    <x v="2"/>
  </r>
  <r>
    <n v="148"/>
    <n v="9"/>
    <s v="0092637367"/>
    <x v="3"/>
    <s v="Chairani Kanza Wulandaputri"/>
    <s v="P"/>
    <s v="Keperawatan, Apoteker"/>
    <s v="Keperawatan-UNPAD, Farmasi-UI"/>
    <x v="2"/>
    <x v="2"/>
    <x v="3"/>
  </r>
  <r>
    <n v="149"/>
    <n v="10"/>
    <s v="0095522157"/>
    <x v="3"/>
    <s v="Dhefa Raditya Putra"/>
    <s v="P"/>
    <s v="Psikolog, Diplomat"/>
    <s v="Psikologi UI, HI UI"/>
    <x v="5"/>
    <x v="1"/>
    <x v="0"/>
  </r>
  <r>
    <n v="150"/>
    <n v="11"/>
    <s v="0098223677"/>
    <x v="3"/>
    <s v="Diaz Syeza Zivanna"/>
    <s v="L"/>
    <s v="Kedokteran spesialis bedah umum, Radiologi"/>
    <s v="Kedokteran UI- UGM-UNPAD          Radiologi-Universitas Airlangga"/>
    <x v="3"/>
    <x v="0"/>
    <x v="1"/>
  </r>
  <r>
    <n v="151"/>
    <n v="12"/>
    <s v="0106545857"/>
    <x v="3"/>
    <s v="Dwi Nailah Azhara"/>
    <s v="P"/>
    <s v="Insinyur Teknik Sipil, Dosen, Profesor Teknologi Pangan"/>
    <s v="SIL-IPB, FTSL-ITB, TPJJ-PNJ"/>
    <x v="2"/>
    <x v="0"/>
    <x v="0"/>
  </r>
  <r>
    <n v="152"/>
    <n v="13"/>
    <s v="0108696681"/>
    <x v="3"/>
    <s v="Erlangga Ardiyanto"/>
    <s v="L"/>
    <s v="Enterpreneur, Financial Advisor, Engineering"/>
    <s v="SBM-ITB, FEM IPB, "/>
    <x v="1"/>
    <x v="1"/>
    <x v="4"/>
  </r>
  <r>
    <n v="153"/>
    <n v="14"/>
    <s v="0102866245"/>
    <x v="3"/>
    <s v="Fahmi Adilla Pasha"/>
    <s v="L"/>
    <s v="Ilmuwan, Diplomat, Psikolog"/>
    <s v="Enviromental Science and Public Policy - Harvard University, International Relations - UofT, Ilmu Ekonomi -Unpad, Psikologi - UI"/>
    <x v="4"/>
    <x v="4"/>
    <x v="0"/>
  </r>
  <r>
    <n v="154"/>
    <n v="15"/>
    <s v="0107425878"/>
    <x v="3"/>
    <s v="Fakhi Zulfia Bilqis Nasyifa"/>
    <s v="L"/>
    <s v="Programmer"/>
    <s v="STEI-K ITB"/>
    <x v="1"/>
    <x v="3"/>
    <x v="0"/>
  </r>
  <r>
    <n v="155"/>
    <n v="16"/>
    <s v="0104987304"/>
    <x v="3"/>
    <s v="Friska Feby Aulia"/>
    <s v="P"/>
    <s v="Extractive Metallurgist"/>
    <s v="FTTM-ITB, FTUI-UI"/>
    <x v="1"/>
    <x v="3"/>
    <x v="2"/>
  </r>
  <r>
    <n v="156"/>
    <n v="17"/>
    <s v="0104595564"/>
    <x v="3"/>
    <s v="Inaya Janeeta"/>
    <s v="P"/>
    <s v="Diplomat"/>
    <s v="Hubungan Internasional, Universitas Indonesia"/>
    <x v="5"/>
    <x v="1"/>
    <x v="0"/>
  </r>
  <r>
    <n v="157"/>
    <n v="18"/>
    <s v="0107286739"/>
    <x v="3"/>
    <s v="Karnizara Ringga Rabbani"/>
    <s v="P"/>
    <s v="Konsultan, Dosen/Guru, HRD"/>
    <s v="STIS KEDINASAN, Psikologi UNPAD"/>
    <x v="1"/>
    <x v="3"/>
    <x v="0"/>
  </r>
  <r>
    <n v="158"/>
    <n v="19"/>
    <s v="0109267722"/>
    <x v="3"/>
    <s v="Karunia Dwi Rahmawati"/>
    <s v="P"/>
    <s v="Arsitektur, engineering"/>
    <s v="SAPPK ITB, Teknik sipil UGM"/>
    <x v="2"/>
    <x v="0"/>
    <x v="0"/>
  </r>
  <r>
    <n v="159"/>
    <n v="20"/>
    <s v="0093634061"/>
    <x v="3"/>
    <s v="Keisa Wanda Setiawan"/>
    <s v="P"/>
    <s v="Polwan"/>
    <s v="Hukum UI"/>
    <x v="2"/>
    <x v="0"/>
    <x v="0"/>
  </r>
  <r>
    <n v="160"/>
    <n v="21"/>
    <n v="3091547533"/>
    <x v="3"/>
    <s v="Keyno Nazmi Afham"/>
    <s v="L"/>
    <s v="pengusaha"/>
    <s v="SBM ITB (Sekolah Bisnis dan Manajemen Institut Teknologi Bandung)"/>
    <x v="1"/>
    <x v="3"/>
    <x v="0"/>
  </r>
  <r>
    <n v="161"/>
    <n v="22"/>
    <s v="0097951249"/>
    <x v="3"/>
    <s v="Khansa Vanya Laudya Putri"/>
    <s v="P"/>
    <s v="Engineer"/>
    <s v="FTUI"/>
    <x v="1"/>
    <x v="3"/>
    <x v="0"/>
  </r>
  <r>
    <n v="162"/>
    <n v="23"/>
    <s v="0102015407"/>
    <x v="3"/>
    <s v="Lutfi Dwi Melati"/>
    <s v="P"/>
    <s v="hakim,polwan"/>
    <s v="HUKUM UI"/>
    <x v="5"/>
    <x v="1"/>
    <x v="1"/>
  </r>
  <r>
    <n v="163"/>
    <n v="24"/>
    <s v="0106908655"/>
    <x v="3"/>
    <s v="Masayu Ganisha Pembayun Putri"/>
    <s v="P"/>
    <s v="Dokter anak, Apoteker, Ilmuwan"/>
    <s v="Kedokteran UI, UNSRI, Universitas Jambi, UGM"/>
    <x v="2"/>
    <x v="0"/>
    <x v="0"/>
  </r>
  <r>
    <n v="164"/>
    <n v="25"/>
    <s v="0092608342"/>
    <x v="3"/>
    <s v="Mazaya Aqila Betha Diladena"/>
    <s v="P"/>
    <s v="Kedokteran, Kedokteran Hewan, Hukum, Astronot"/>
    <s v="Kedokteran-UB, Hukum-UGM Aerospace Engineering-UofT"/>
    <x v="3"/>
    <x v="3"/>
    <x v="2"/>
  </r>
  <r>
    <n v="165"/>
    <n v="26"/>
    <s v="0098979111"/>
    <x v="3"/>
    <s v="Muhamad Rizqi Darmawan"/>
    <s v="L"/>
    <s v=" Industrial Pangan Official, Ahli Gizi Olahraga, Pengusaha"/>
    <s v="Teknologi Pangan IPB, Gizi UI, FPOK UPI"/>
    <x v="2"/>
    <x v="0"/>
    <x v="0"/>
  </r>
  <r>
    <n v="166"/>
    <n v="27"/>
    <s v="0105497173"/>
    <x v="3"/>
    <s v="Muhammad Ihsan Putra Pamungkas"/>
    <s v="L"/>
    <s v="AI / Machine Learning Specialist"/>
    <s v="IPB FEB,UI TEKNIK INFORMATIKA"/>
    <x v="1"/>
    <x v="1"/>
    <x v="4"/>
  </r>
  <r>
    <n v="167"/>
    <n v="28"/>
    <s v="0092028941"/>
    <x v="3"/>
    <s v="Muhammad Rafi Kurniawan"/>
    <s v="L"/>
    <s v="TNI "/>
    <s v="AKADEMI MILITER "/>
    <x v="2"/>
    <x v="0"/>
    <x v="0"/>
  </r>
  <r>
    <n v="168"/>
    <n v="29"/>
    <s v="0097410697"/>
    <x v="3"/>
    <s v="Muhammad Sulthon Najib"/>
    <s v="L"/>
    <s v="engineering, diplomat, urban planner"/>
    <s v="FTSL ITB, Teknik Sipil UI, Department of Civil Engineering and Engineering Mechanics (Columbia University)"/>
    <x v="1"/>
    <x v="1"/>
    <x v="0"/>
  </r>
  <r>
    <n v="169"/>
    <n v="30"/>
    <n v="3105173369"/>
    <x v="3"/>
    <s v="Muhammad Zaidan Aqil"/>
    <s v="L"/>
    <s v="Pengusaha, Arkeolog, Dokter hewan"/>
    <s v="Fisip UI, UGM, IPB"/>
    <x v="5"/>
    <x v="1"/>
    <x v="0"/>
  </r>
  <r>
    <n v="170"/>
    <n v="31"/>
    <n v="3107700954"/>
    <x v="3"/>
    <s v="Mutiara Geisya Nuraini"/>
    <s v="P"/>
    <s v="Apoteker, Perawat"/>
    <s v="SF ITB, Keperawatan UI"/>
    <x v="2"/>
    <x v="2"/>
    <x v="3"/>
  </r>
  <r>
    <n v="171"/>
    <n v="32"/>
    <s v="0103461516"/>
    <x v="3"/>
    <s v="Priscilia Michelle Pasau"/>
    <s v="P"/>
    <s v="Dokter Militer, Dokter Bedah, Menkes"/>
    <s v="FK UI, FKM UNHAN"/>
    <x v="2"/>
    <x v="0"/>
    <x v="0"/>
  </r>
  <r>
    <n v="172"/>
    <n v="33"/>
    <s v="0109782055"/>
    <x v="3"/>
    <s v="Puffin Rohis Jusup Manurung"/>
    <s v="L"/>
    <s v="Arsitek, Astronom"/>
    <s v="FTSL ITB, "/>
    <x v="1"/>
    <x v="3"/>
    <x v="0"/>
  </r>
  <r>
    <n v="173"/>
    <n v="34"/>
    <s v="0108699884"/>
    <x v="3"/>
    <s v="Quizal Razky Ahmad"/>
    <s v="L"/>
    <s v="Ilmuwan, Pertambangan, Insinyur "/>
    <s v="FTTM, TEKNIK KIMIA, TEKNIK FISIKA — ITB/IPB/NUS/MIT"/>
    <x v="1"/>
    <x v="3"/>
    <x v="2"/>
  </r>
  <r>
    <n v="174"/>
    <n v="35"/>
    <s v="0108390462"/>
    <x v="3"/>
    <s v="Randy Adiya Pratama Kouw"/>
    <s v="L"/>
    <s v="Psikolog"/>
    <s v="   psikologi - ugm psikologi - unpad"/>
    <x v="5"/>
    <x v="1"/>
    <x v="3"/>
  </r>
  <r>
    <n v="175"/>
    <n v="36"/>
    <s v="0107960365"/>
    <x v="3"/>
    <s v="Ravino Abbas Subaga"/>
    <s v="L"/>
    <s v="Kedokteran, Pertambangan , ilmuwan"/>
    <s v="FK, Tehnik, - ITB/IPB/UI"/>
    <x v="5"/>
    <x v="1"/>
    <x v="3"/>
  </r>
  <r>
    <n v="176"/>
    <n v="37"/>
    <s v="0104838010"/>
    <x v="3"/>
    <s v="Rei Dillan Hartedi"/>
    <s v="L"/>
    <s v="Game Developer"/>
    <s v="Rekayasa Perangkat Lunak"/>
    <x v="1"/>
    <x v="3"/>
    <x v="0"/>
  </r>
  <r>
    <n v="177"/>
    <n v="38"/>
    <s v="0108451246"/>
    <x v="3"/>
    <s v="Reni Apriliani"/>
    <s v="P"/>
    <s v="guru"/>
    <s v="Ilmu Komunikasi - BSI"/>
    <x v="5"/>
    <x v="1"/>
    <x v="3"/>
  </r>
  <r>
    <n v="178"/>
    <n v="39"/>
    <n v="3104089400"/>
    <x v="3"/>
    <s v="Rizky Putra Kunta Ajie"/>
    <s v="L"/>
    <s v="Masinis "/>
    <s v="Politeknik Perkeretaapian Indonesia (PPI)"/>
    <x v="3"/>
    <x v="0"/>
    <x v="4"/>
  </r>
  <r>
    <n v="179"/>
    <n v="40"/>
    <s v="0107731505"/>
    <x v="3"/>
    <s v="Shabira Andiani"/>
    <s v="P"/>
    <s v="Polwan, ASN"/>
    <s v="IPDN Pemerintahan"/>
    <x v="5"/>
    <x v="1"/>
    <x v="3"/>
  </r>
  <r>
    <n v="180"/>
    <n v="41"/>
    <s v="0105775007"/>
    <x v="3"/>
    <s v="Shafa Talitha Budiarto"/>
    <s v="P"/>
    <s v="Hakim"/>
    <s v="Hukum-UI, UGM"/>
    <x v="4"/>
    <x v="4"/>
    <x v="3"/>
  </r>
  <r>
    <n v="181"/>
    <n v="42"/>
    <s v="0106588309"/>
    <x v="3"/>
    <s v="Shahira Hafiza Putri"/>
    <s v="P"/>
    <s v="Kedokteran Forensik, Dokter spesialis, Psikolog"/>
    <s v="Kedokteran-UB-Unsoed, Forensic Biology-UofT, Psikologi-UGM"/>
    <x v="3"/>
    <x v="3"/>
    <x v="2"/>
  </r>
  <r>
    <n v="182"/>
    <n v="43"/>
    <s v="0106219079"/>
    <x v="3"/>
    <s v="Sheika Rizki Ramadanti Aurelia"/>
    <s v="P"/>
    <s v="Psikolog Anak, HRD, International Business Entrepreneur"/>
    <s v="Psikologi-UI, University of Cambridge-Experimental Psychology, Business and Management Studies- University of Melbourne"/>
    <x v="4"/>
    <x v="2"/>
    <x v="4"/>
  </r>
  <r>
    <n v="183"/>
    <n v="44"/>
    <s v="0094714082"/>
    <x v="3"/>
    <s v="Syahwa Fatmah"/>
    <s v="P"/>
    <s v="HRD (Human Resource Development), Psikolog, International Relations Officer, Auditor Pajak, &amp; Financial Analyst."/>
    <s v="Bisnis internasional - UI, Administrasi Bisnis - UI, Psikologi - UNPAD/UI, SBM ITB"/>
    <x v="4"/>
    <x v="3"/>
    <x v="4"/>
  </r>
  <r>
    <n v="184"/>
    <n v="45"/>
    <s v="0102630183"/>
    <x v="3"/>
    <s v="Syakira Alma Annisa"/>
    <s v="P"/>
    <s v="Engineering Manager, Software Developer"/>
    <s v="FT - UI, UGM, UNPAD"/>
    <x v="1"/>
    <x v="3"/>
    <x v="0"/>
  </r>
  <r>
    <n v="185"/>
    <n v="46"/>
    <s v="0106490661"/>
    <x v="3"/>
    <s v="Tiara Winni Melia"/>
    <s v="P"/>
    <s v="Kowad, Dokmil, ASN"/>
    <s v="   FKM Unhan, IPDN"/>
    <x v="2"/>
    <x v="0"/>
    <x v="0"/>
  </r>
  <r>
    <n v="186"/>
    <n v="1"/>
    <s v="0092194625"/>
    <x v="4"/>
    <s v="Achmad Ardiansyah"/>
    <s v="L"/>
    <s v="dokter umum,Akutansi"/>
    <s v="FK IPB ,FK-KMK UGM,Akutansi UGM"/>
    <x v="2"/>
    <x v="1"/>
    <x v="0"/>
  </r>
  <r>
    <n v="187"/>
    <n v="2"/>
    <n v="3108509756"/>
    <x v="4"/>
    <s v="Adrian Muhammad Fadillah"/>
    <s v="L"/>
    <s v="Arsitek"/>
    <s v="Arsitektur"/>
    <x v="1"/>
    <x v="3"/>
    <x v="0"/>
  </r>
  <r>
    <n v="188"/>
    <n v="3"/>
    <s v="0099540724"/>
    <x v="4"/>
    <s v="Aira Alessia Adha"/>
    <s v="P"/>
    <s v="Penerjemah"/>
    <s v="HI UI / Universitas of geneva-swiss"/>
    <x v="5"/>
    <x v="1"/>
    <x v="0"/>
  </r>
  <r>
    <n v="189"/>
    <n v="4"/>
    <s v="0107934430"/>
    <x v="4"/>
    <s v="Aira Febria Sari"/>
    <s v="P"/>
    <s v="Animator &amp; Jurnalis"/>
    <s v="FSRD, FBI UPI &amp; PNJ"/>
    <x v="4"/>
    <x v="4"/>
    <x v="0"/>
  </r>
  <r>
    <n v="190"/>
    <n v="5"/>
    <s v="0099668827"/>
    <x v="4"/>
    <s v="Al Jadid Syafruddin Lubis"/>
    <s v="L"/>
    <s v="Pelayaran"/>
    <s v="STIP"/>
    <x v="1"/>
    <x v="3"/>
    <x v="0"/>
  </r>
  <r>
    <n v="191"/>
    <n v="6"/>
    <s v="0102993208"/>
    <x v="4"/>
    <s v="Alisya Belva Dhio"/>
    <s v="P"/>
    <s v="Pengusaha"/>
    <s v="FEB IPB"/>
    <x v="4"/>
    <x v="4"/>
    <x v="0"/>
  </r>
  <r>
    <n v="192"/>
    <n v="7"/>
    <s v="0104459637"/>
    <x v="4"/>
    <s v="Amira Agni Kayla Raisya"/>
    <s v="P"/>
    <s v="Bioteknolog"/>
    <s v="Rekayasa Hayati (SITH-R ITB) &amp; Bioteknologi UNDIP"/>
    <x v="2"/>
    <x v="2"/>
    <x v="3"/>
  </r>
  <r>
    <n v="193"/>
    <n v="8"/>
    <s v="0104825356"/>
    <x v="4"/>
    <s v="Amirah Khalishah Somoal"/>
    <s v="P"/>
    <s v="Psikolog"/>
    <s v="Psikologi "/>
    <x v="4"/>
    <x v="2"/>
    <x v="4"/>
  </r>
  <r>
    <n v="194"/>
    <n v="9"/>
    <s v="0099339799"/>
    <x v="4"/>
    <s v="Anas Legawa Riyadi"/>
    <s v="L"/>
    <s v="CEO/pengusaha"/>
    <s v="FILSAFAT/FEB"/>
    <x v="5"/>
    <x v="2"/>
    <x v="1"/>
  </r>
  <r>
    <n v="195"/>
    <n v="10"/>
    <s v="0098197227"/>
    <x v="4"/>
    <s v="Annisa Fitriyani"/>
    <s v="P"/>
    <s v="Keperawatan "/>
    <s v="Keperawatan UI"/>
    <x v="3"/>
    <x v="3"/>
    <x v="3"/>
  </r>
  <r>
    <n v="196"/>
    <n v="11"/>
    <s v="0093274791"/>
    <x v="4"/>
    <s v="Bagaskara Bisma Anoka"/>
    <s v="L"/>
    <s v="Cybersecurity Engineer/ software engineer /Vulnerability Management Specialist  /Bug Bounty Hunter"/>
    <s v="Rekayasa Keamanan Siber Poltekssn, Fasilkom UI , cyber security binus"/>
    <x v="1"/>
    <x v="3"/>
    <x v="0"/>
  </r>
  <r>
    <n v="197"/>
    <n v="12"/>
    <s v="0099900563"/>
    <x v="4"/>
    <s v="Bilqis Nikita Aylani"/>
    <s v="P"/>
    <s v="peneliti"/>
    <s v="Teknik Bioproses dan teknik kimia, ITB/UI/IPB"/>
    <x v="2"/>
    <x v="0"/>
    <x v="0"/>
  </r>
  <r>
    <n v="198"/>
    <n v="13"/>
    <s v="0092597384"/>
    <x v="4"/>
    <s v="Dilla Novianti Putri"/>
    <s v="P"/>
    <s v="Psikolog"/>
    <s v="Psikologi UNPAD"/>
    <x v="3"/>
    <x v="1"/>
    <x v="4"/>
  </r>
  <r>
    <n v="199"/>
    <n v="14"/>
    <n v="3105062394"/>
    <x v="4"/>
    <s v="Dinda Aulia"/>
    <s v="P"/>
    <s v="Entrepreneur, Business analyst, Akuntan"/>
    <s v="FEB"/>
    <x v="4"/>
    <x v="4"/>
    <x v="0"/>
  </r>
  <r>
    <n v="200"/>
    <n v="15"/>
    <s v="0102488739"/>
    <x v="4"/>
    <s v="Fakhri Ahza Setiawan"/>
    <s v="L"/>
    <m/>
    <m/>
    <x v="6"/>
    <x v="5"/>
    <x v="5"/>
  </r>
  <r>
    <n v="201"/>
    <n v="16"/>
    <s v="0103139137"/>
    <x v="4"/>
    <s v="Fathimah Septiani Azahra"/>
    <s v="P"/>
    <s v="Government Relations"/>
    <s v="Ilmu Politik Universitas Indonesia"/>
    <x v="4"/>
    <x v="4"/>
    <x v="1"/>
  </r>
  <r>
    <n v="202"/>
    <n v="17"/>
    <s v="0091763745"/>
    <x v="4"/>
    <s v="Hikmah Septiya"/>
    <s v="P"/>
    <s v="Keperawatan"/>
    <s v="Keperawatan"/>
    <x v="3"/>
    <x v="3"/>
    <x v="3"/>
  </r>
  <r>
    <n v="203"/>
    <n v="18"/>
    <s v="0095064549"/>
    <x v="4"/>
    <s v="Hilmi Ardhana Fuady"/>
    <s v="L"/>
    <s v="Psikolog"/>
    <s v="psikologi upn"/>
    <x v="5"/>
    <x v="1"/>
    <x v="3"/>
  </r>
  <r>
    <n v="204"/>
    <n v="19"/>
    <n v="3098845163"/>
    <x v="4"/>
    <s v="Jevelin Ambarep Putri"/>
    <s v="P"/>
    <s v="Berbisnis, budidaya"/>
    <s v="Ilmu tanah (UGM), Kewirausahaan (Brawijaya), Fikom (Unpad) "/>
    <x v="4"/>
    <x v="4"/>
    <x v="0"/>
  </r>
  <r>
    <n v="205"/>
    <n v="20"/>
    <s v="0104630358"/>
    <x v="4"/>
    <s v="Khansa Tabita Aura Sakhi"/>
    <s v="P"/>
    <s v="Dokter Spesialis Bedah"/>
    <s v="Fakultas Kedokteran Unpad"/>
    <x v="2"/>
    <x v="0"/>
    <x v="0"/>
  </r>
  <r>
    <n v="206"/>
    <n v="21"/>
    <s v="0097535113"/>
    <x v="4"/>
    <s v="Lalitya Namu Wangundahina"/>
    <s v="P"/>
    <s v="Graphic designer,Authorized Translator, Librarian"/>
    <s v="Communication Design at Monash University"/>
    <x v="4"/>
    <x v="0"/>
    <x v="0"/>
  </r>
  <r>
    <n v="207"/>
    <n v="22"/>
    <s v="0094686372"/>
    <x v="4"/>
    <s v="Mahira Aqila Azra"/>
    <s v="P"/>
    <s v="Public Relations"/>
    <s v="Ilmu Komunikasi Universitas Padjajaran"/>
    <x v="4"/>
    <x v="4"/>
    <x v="0"/>
  </r>
  <r>
    <n v="208"/>
    <n v="23"/>
    <s v="0108578906"/>
    <x v="4"/>
    <s v="Muhamad Adri Fachry"/>
    <s v="L"/>
    <s v="TNI"/>
    <s v="Akmil"/>
    <x v="1"/>
    <x v="3"/>
    <x v="0"/>
  </r>
  <r>
    <n v="209"/>
    <n v="24"/>
    <n v="3107979922"/>
    <x v="4"/>
    <s v="Muhamad Gaza Al-Mahdi"/>
    <s v="L"/>
    <s v="Dokter,Biologiwan(zoologi/mikrobiologi)"/>
    <s v="Biologi FMIPA UI"/>
    <x v="3"/>
    <x v="3"/>
    <x v="4"/>
  </r>
  <r>
    <n v="210"/>
    <n v="25"/>
    <s v="0105902624"/>
    <x v="4"/>
    <s v="Muhammad Naufal Rhesa Fernando"/>
    <s v="L"/>
    <s v="polisi(pertahanan)"/>
    <s v="Akpol"/>
    <x v="2"/>
    <x v="0"/>
    <x v="0"/>
  </r>
  <r>
    <n v="211"/>
    <n v="26"/>
    <s v="0095937017"/>
    <x v="4"/>
    <s v="Muhammad Raya Al Maghfirah"/>
    <s v="L"/>
    <s v="Dokter specialis"/>
    <s v="Fakultas Kedokteran Unpad"/>
    <x v="2"/>
    <x v="0"/>
    <x v="0"/>
  </r>
  <r>
    <n v="212"/>
    <n v="27"/>
    <n v="3094594523"/>
    <x v="4"/>
    <s v="Muhammad Tristan Sanjaya"/>
    <s v="L"/>
    <s v="Polisi"/>
    <s v="Akpol"/>
    <x v="2"/>
    <x v="0"/>
    <x v="0"/>
  </r>
  <r>
    <n v="213"/>
    <n v="28"/>
    <s v="0092479207"/>
    <x v="4"/>
    <s v="Muhammad Zaidan Wibowo"/>
    <s v="L"/>
    <s v="dokter Spesialis"/>
    <s v="Kedokteran"/>
    <x v="2"/>
    <x v="2"/>
    <x v="3"/>
  </r>
  <r>
    <n v="214"/>
    <n v="29"/>
    <s v="0092223990"/>
    <x v="4"/>
    <s v="Nabilah Shakeela Kusuma"/>
    <s v="P"/>
    <s v="Dokter "/>
    <s v="kedokteran IPB"/>
    <x v="3"/>
    <x v="3"/>
    <x v="3"/>
  </r>
  <r>
    <n v="215"/>
    <n v="30"/>
    <s v="0104434944"/>
    <x v="4"/>
    <s v="Naufal Aditama"/>
    <s v="L"/>
    <s v="Aktuaris dan Dosen"/>
    <s v="Aktuaria UGM dan Matematika UGM"/>
    <x v="2"/>
    <x v="0"/>
    <x v="4"/>
  </r>
  <r>
    <n v="216"/>
    <n v="31"/>
    <s v="0108770789"/>
    <x v="4"/>
    <s v="Nayyira Ghania Mehnaz"/>
    <s v="P"/>
    <s v="Ahli Bioteknologi"/>
    <s v="Bioteknologi "/>
    <x v="3"/>
    <x v="3"/>
    <x v="3"/>
  </r>
  <r>
    <n v="217"/>
    <n v="32"/>
    <s v="0101523916"/>
    <x v="4"/>
    <s v="Nazwa Nur Rahmah"/>
    <s v="P"/>
    <s v="Dokter "/>
    <s v="Kedokteran unpad"/>
    <x v="2"/>
    <x v="2"/>
    <x v="3"/>
  </r>
  <r>
    <n v="218"/>
    <n v="33"/>
    <n v="3099045754"/>
    <x v="4"/>
    <s v="Nurul Aulia Ramadhani"/>
    <s v="P"/>
    <s v="hukum"/>
    <s v="ilmu hukum"/>
    <x v="4"/>
    <x v="4"/>
    <x v="0"/>
  </r>
  <r>
    <n v="219"/>
    <n v="34"/>
    <s v="0104883711"/>
    <x v="4"/>
    <s v="Ohan Marhadi Haryono"/>
    <s v="L"/>
    <s v="polisi "/>
    <s v="Akpol"/>
    <x v="2"/>
    <x v="0"/>
    <x v="0"/>
  </r>
  <r>
    <n v="220"/>
    <n v="35"/>
    <n v="3099055467"/>
    <x v="4"/>
    <s v="Puthik Ramadani"/>
    <s v="P"/>
    <s v="Keperawatan"/>
    <s v="Keperawatan UI"/>
    <x v="3"/>
    <x v="3"/>
    <x v="3"/>
  </r>
  <r>
    <n v="221"/>
    <n v="36"/>
    <s v="0092103124"/>
    <x v="4"/>
    <s v="Raden Chintya Dewi Maharani"/>
    <s v="P"/>
    <s v="Psikolog"/>
    <s v="psikologi ugm"/>
    <x v="4"/>
    <x v="4"/>
    <x v="0"/>
  </r>
  <r>
    <n v="222"/>
    <n v="37"/>
    <s v="0102081772"/>
    <x v="4"/>
    <s v="Raden Ciara Za Syahluna"/>
    <s v="P"/>
    <s v="PNS, Pengusaha"/>
    <s v="Ilmu Komunikasi, Unpad"/>
    <x v="1"/>
    <x v="1"/>
    <x v="0"/>
  </r>
  <r>
    <n v="223"/>
    <n v="38"/>
    <s v="0097864614"/>
    <x v="4"/>
    <s v="Rama Andhika"/>
    <s v="L"/>
    <s v="Pemain Futsal "/>
    <s v="olahraga UNJ"/>
    <x v="2"/>
    <x v="0"/>
    <x v="0"/>
  </r>
  <r>
    <n v="224"/>
    <n v="39"/>
    <s v="0093090773"/>
    <x v="4"/>
    <s v="Reisha Azzahra Pramesti"/>
    <s v="P"/>
    <s v="Keperawatan"/>
    <s v="Keperawatan UI."/>
    <x v="3"/>
    <x v="3"/>
    <x v="2"/>
  </r>
  <r>
    <n v="225"/>
    <n v="40"/>
    <s v="0095160472"/>
    <x v="4"/>
    <s v="Rheiska Amelia"/>
    <s v="P"/>
    <s v="Apoteker "/>
    <s v="Farmasi"/>
    <x v="3"/>
    <x v="3"/>
    <x v="2"/>
  </r>
  <r>
    <n v="226"/>
    <n v="41"/>
    <s v="0092402487"/>
    <x v="4"/>
    <s v="Salsabila Kinaya"/>
    <s v="P"/>
    <s v="Presenter"/>
    <s v="ILMU KOMUNIKASI UI"/>
    <x v="4"/>
    <x v="4"/>
    <x v="3"/>
  </r>
  <r>
    <n v="227"/>
    <n v="42"/>
    <s v="0092706472"/>
    <x v="4"/>
    <s v="Syarafina Nur Alifatuzahro"/>
    <s v="P"/>
    <s v="Ahli Gizi"/>
    <s v="Ilmu Gizi"/>
    <x v="2"/>
    <x v="2"/>
    <x v="3"/>
  </r>
  <r>
    <n v="228"/>
    <n v="43"/>
    <s v="0105183684"/>
    <x v="4"/>
    <s v="Tanty Amelia Al Rasyid"/>
    <s v="P"/>
    <s v="Pengusaha"/>
    <s v="bisnis"/>
    <x v="4"/>
    <x v="4"/>
    <x v="0"/>
  </r>
  <r>
    <n v="229"/>
    <n v="44"/>
    <s v="0098052333"/>
    <x v="4"/>
    <s v="Teduh Mutiara Hapsari"/>
    <s v="P"/>
    <s v="Engineer"/>
    <s v="Teknik Industri"/>
    <x v="1"/>
    <x v="3"/>
    <x v="2"/>
  </r>
  <r>
    <n v="230"/>
    <n v="45"/>
    <n v="3094664028"/>
    <x v="4"/>
    <s v="Tubagus Mochamad Rizki Fauzan Al Faris"/>
    <s v="L"/>
    <s v="Arsitek, Musisi"/>
    <s v="Teknik Sipil ITB"/>
    <x v="1"/>
    <x v="3"/>
    <x v="2"/>
  </r>
  <r>
    <n v="231"/>
    <n v="46"/>
    <s v="0099429653"/>
    <x v="4"/>
    <s v="Yanza Rizkia Salsabillah"/>
    <s v="P"/>
    <s v="System Analyst"/>
    <s v="Teknik Industri ITB"/>
    <x v="2"/>
    <x v="0"/>
    <x v="0"/>
  </r>
  <r>
    <n v="232"/>
    <n v="1"/>
    <s v="0096316890"/>
    <x v="5"/>
    <s v="Achmad Firza Ghibran"/>
    <s v="L"/>
    <s v="Electrical Engineer"/>
    <s v="Teknik Elektro ITB dan Undip"/>
    <x v="2"/>
    <x v="0"/>
    <x v="0"/>
  </r>
  <r>
    <n v="233"/>
    <n v="2"/>
    <s v="0091825991"/>
    <x v="5"/>
    <s v="Adi Pati Jaya Prana"/>
    <s v="L"/>
    <s v="Sutradara, Aktor"/>
    <s v="Filsafat UI"/>
    <x v="5"/>
    <x v="1"/>
    <x v="0"/>
  </r>
  <r>
    <n v="234"/>
    <n v="3"/>
    <s v="0094216872"/>
    <x v="5"/>
    <s v="Alfany Himma Roudina"/>
    <s v="P"/>
    <s v="Auditor"/>
    <s v="Fakultas Ekonomi dan Bisnis, Program Studi Akuntansi "/>
    <x v="4"/>
    <x v="0"/>
    <x v="1"/>
  </r>
  <r>
    <n v="235"/>
    <n v="4"/>
    <n v="3093210071"/>
    <x v="5"/>
    <s v="Alisa Putri"/>
    <s v="P"/>
    <s v="Analis Keuangan dan Ahli Ekonomi"/>
    <s v="Ilmu Ekonomi (FEB UI)"/>
    <x v="4"/>
    <x v="4"/>
    <x v="0"/>
  </r>
  <r>
    <n v="236"/>
    <n v="5"/>
    <s v="0099344894"/>
    <x v="5"/>
    <s v="Aqila Noya Faiza"/>
    <s v="P"/>
    <s v="Land Surveyor, Data Analyst, Konsultan lingkungan, Konsultan Sipil"/>
    <s v="Teknik Lingkungan dan Teknik Sipil UI"/>
    <x v="2"/>
    <x v="0"/>
    <x v="0"/>
  </r>
  <r>
    <n v="237"/>
    <n v="6"/>
    <s v="0109520546"/>
    <x v="5"/>
    <s v="Bernala Baratama Sirait"/>
    <s v="P"/>
    <s v="nahkoda,pilot"/>
    <s v="STIP"/>
    <x v="2"/>
    <x v="0"/>
    <x v="0"/>
  </r>
  <r>
    <n v="238"/>
    <n v="7"/>
    <s v="0104799326"/>
    <x v="5"/>
    <s v="Chempaka Balqist Zavira Mentary Misman"/>
    <s v="P"/>
    <s v="Lawyer, Diplomat, Data Analyst "/>
    <s v="Administrasi Negara, Ilmu Politik/Pemerintahan, Manajemen UB/IPB"/>
    <x v="4"/>
    <x v="4"/>
    <x v="0"/>
  </r>
  <r>
    <n v="239"/>
    <n v="8"/>
    <s v="0081552525"/>
    <x v="5"/>
    <s v="Defrino Viernadi Laitnis Yusfa"/>
    <s v="L"/>
    <s v="Masinis JR East/Teknisi Kereta JR West"/>
    <m/>
    <x v="2"/>
    <x v="0"/>
    <x v="0"/>
  </r>
  <r>
    <n v="240"/>
    <n v="9"/>
    <s v="0099286083"/>
    <x v="5"/>
    <s v="Dhia Salsabila"/>
    <s v="P"/>
    <s v="Pengacara, Pebisnis "/>
    <s v="Hukum ( Universitas Indonesia), Manajemen ( Universitas Indonesia)"/>
    <x v="4"/>
    <x v="4"/>
    <x v="0"/>
  </r>
  <r>
    <n v="241"/>
    <n v="10"/>
    <s v="0093451857"/>
    <x v="5"/>
    <s v="Dinda Dyah Pitaloka"/>
    <s v="P"/>
    <s v="Kowad, DokMil, Apoteker, Diplomat, Data Scientist"/>
    <s v="FKM UNHAN, FK UNPAD, FFM UNHAN, FTI ITB, Aktuaria ITB &amp; UI, TekBio ITB, Psikologi UNPAD &amp; UI, Ilmu Hukum UNJ"/>
    <x v="2"/>
    <x v="0"/>
    <x v="0"/>
  </r>
  <r>
    <n v="242"/>
    <n v="11"/>
    <s v="0074430959"/>
    <x v="5"/>
    <s v="Dwi Irmawati"/>
    <s v="L"/>
    <s v="Dokter"/>
    <s v="Dokter UNAIR"/>
    <x v="2"/>
    <x v="1"/>
    <x v="3"/>
  </r>
  <r>
    <n v="243"/>
    <n v="12"/>
    <s v="0096744611"/>
    <x v="5"/>
    <s v="Egi Surjana"/>
    <s v="L"/>
    <s v="Psikolog"/>
    <s v="User Experience (UX) Researcher:"/>
    <x v="5"/>
    <x v="1"/>
    <x v="1"/>
  </r>
  <r>
    <n v="244"/>
    <n v="13"/>
    <s v="0091620147"/>
    <x v="5"/>
    <s v="Faiha Raqilla Darmawan"/>
    <s v="P"/>
    <s v="PNS, Pengusaha, Akuntan"/>
    <s v="STAN, IPB AKUNTASI"/>
    <x v="1"/>
    <x v="1"/>
    <x v="1"/>
  </r>
  <r>
    <n v="245"/>
    <n v="14"/>
    <s v="0093286261"/>
    <x v="5"/>
    <s v="Fanesya Agfrisfidia"/>
    <s v="P"/>
    <s v="Dokter"/>
    <s v="Kedokteran"/>
    <x v="3"/>
    <x v="3"/>
    <x v="3"/>
  </r>
  <r>
    <n v="246"/>
    <n v="15"/>
    <s v="0092383688"/>
    <x v="5"/>
    <s v="Fanisa Nurkamila Hamdani"/>
    <s v="P"/>
    <s v="Business Development"/>
    <s v="Manajemen UNPAD/UB/UPI"/>
    <x v="2"/>
    <x v="2"/>
    <x v="2"/>
  </r>
  <r>
    <n v="247"/>
    <n v="16"/>
    <s v="0096185979"/>
    <x v="5"/>
    <s v="Farhan Benzema"/>
    <s v="L"/>
    <s v="pengusaha kantoran , bisnis , bisnis digital atau teknik pertambangan"/>
    <s v="manejemen atau bisnis digital "/>
    <x v="4"/>
    <x v="0"/>
    <x v="4"/>
  </r>
  <r>
    <n v="248"/>
    <n v="17"/>
    <s v="0094160236"/>
    <x v="5"/>
    <s v="Fauzi Castle Satara"/>
    <s v="P"/>
    <s v="Illustrator/Arsitektur/Komikus/Storyboard Artist/Designer/"/>
    <s v="DKV/Ilmu Teknologi/Arsitektur - IPB/ITB"/>
    <x v="1"/>
    <x v="3"/>
    <x v="0"/>
  </r>
  <r>
    <n v="249"/>
    <n v="18"/>
    <s v="0101705316"/>
    <x v="5"/>
    <s v="Febri Afriani"/>
    <s v="P"/>
    <s v="Akuntan"/>
    <s v="akuntansi/UNPAD/UNJ"/>
    <x v="4"/>
    <x v="4"/>
    <x v="3"/>
  </r>
  <r>
    <n v="250"/>
    <n v="19"/>
    <n v="3090346201"/>
    <x v="5"/>
    <s v="Freja Aira Anindhita"/>
    <s v="P"/>
    <s v="Sejarah Militer"/>
    <s v="Ilmu Keolahragaan"/>
    <x v="4"/>
    <x v="4"/>
    <x v="1"/>
  </r>
  <r>
    <n v="251"/>
    <n v="20"/>
    <s v="0107948623"/>
    <x v="5"/>
    <s v="Hasfa Zulfana Nahdah"/>
    <s v="P"/>
    <s v="jaksa"/>
    <s v="hukum"/>
    <x v="5"/>
    <x v="1"/>
    <x v="0"/>
  </r>
  <r>
    <n v="252"/>
    <n v="21"/>
    <s v="0105199862"/>
    <x v="5"/>
    <s v="Joceline Sisca Lumongga Manurung"/>
    <s v="P"/>
    <s v="Coorporate Lawyer, Jurnalis, atau Diplomat"/>
    <s v="FH UGM"/>
    <x v="4"/>
    <x v="4"/>
    <x v="0"/>
  </r>
  <r>
    <n v="253"/>
    <n v="22"/>
    <s v="0099375007"/>
    <x v="5"/>
    <s v="Keyla Putri Saksono"/>
    <s v="P"/>
    <s v="Psikolog, Human Resources"/>
    <s v="FPSI UGM/UNPAD"/>
    <x v="3"/>
    <x v="1"/>
    <x v="4"/>
  </r>
  <r>
    <n v="254"/>
    <n v="23"/>
    <s v="0109221606"/>
    <x v="5"/>
    <s v="Khalisa Silmi Jovita Warsito"/>
    <s v="P"/>
    <s v="pengusaha, food scientist"/>
    <s v="FEB atau FTP UGM/UNS"/>
    <x v="3"/>
    <x v="3"/>
    <x v="3"/>
  </r>
  <r>
    <n v="255"/>
    <n v="24"/>
    <s v="0094583694"/>
    <x v="5"/>
    <s v="Kharisma Zahra Tiara Putri"/>
    <s v="P"/>
    <s v="Psikolog Klinis"/>
    <s v="UI Psikologi "/>
    <x v="4"/>
    <x v="2"/>
    <x v="4"/>
  </r>
  <r>
    <n v="256"/>
    <n v="25"/>
    <s v="0109522386"/>
    <x v="5"/>
    <s v="Mawar Aprilliana"/>
    <s v="P"/>
    <s v="hakim"/>
    <s v="UI hukum"/>
    <x v="4"/>
    <x v="4"/>
    <x v="0"/>
  </r>
  <r>
    <n v="257"/>
    <n v="26"/>
    <s v="0095079380"/>
    <x v="5"/>
    <s v="Mentari Dwi Anggraeni"/>
    <s v="P"/>
    <s v="Guru"/>
    <m/>
    <x v="4"/>
    <x v="0"/>
    <x v="1"/>
  </r>
  <r>
    <n v="258"/>
    <n v="27"/>
    <s v="0098849299"/>
    <x v="5"/>
    <s v="Muhammad Azzam Ananda Fatahilah"/>
    <s v="L"/>
    <s v="Dokter"/>
    <s v="FK UNPAD"/>
    <x v="3"/>
    <x v="3"/>
    <x v="3"/>
  </r>
  <r>
    <n v="259"/>
    <n v="28"/>
    <s v="0108710844"/>
    <x v="5"/>
    <s v="Muhammad Hafizh Arrantisi"/>
    <s v="L"/>
    <s v="K3 Oil and Gas"/>
    <s v="FTTM ITB"/>
    <x v="2"/>
    <x v="0"/>
    <x v="0"/>
  </r>
  <r>
    <n v="260"/>
    <n v="29"/>
    <s v="0103242050"/>
    <x v="5"/>
    <s v="Muhammad Musyaffa Latief"/>
    <s v="L"/>
    <s v="Arsitek, PWK"/>
    <s v="Teknik Arsitek, Teknik PWK, Teknik"/>
    <x v="2"/>
    <x v="0"/>
    <x v="0"/>
  </r>
  <r>
    <n v="261"/>
    <n v="30"/>
    <s v="0095549480"/>
    <x v="5"/>
    <s v="Najwa Citra Lestari"/>
    <s v="P"/>
    <s v="Konsulen"/>
    <m/>
    <x v="2"/>
    <x v="2"/>
    <x v="3"/>
  </r>
  <r>
    <n v="262"/>
    <n v="31"/>
    <s v="0108065698"/>
    <x v="5"/>
    <s v="Nayra Putri Sagita"/>
    <s v="P"/>
    <s v="Jaksa, Akuntan"/>
    <s v="FH UNPAD-AKUNTASI SYARIAH PNJ"/>
    <x v="4"/>
    <x v="4"/>
    <x v="3"/>
  </r>
  <r>
    <n v="263"/>
    <n v="32"/>
    <s v="0106380486"/>
    <x v="5"/>
    <s v="Queensha Amiradana Putri Hamka"/>
    <s v="P"/>
    <s v="Ahli Gizi"/>
    <s v="UI Ahli Gizi"/>
    <x v="2"/>
    <x v="2"/>
    <x v="3"/>
  </r>
  <r>
    <n v="264"/>
    <n v="33"/>
    <s v="0101582567"/>
    <x v="5"/>
    <s v="Quinsha Rizkya Irawan"/>
    <s v="P"/>
    <s v="Ahli Gizi"/>
    <s v="UNAIR Ilmu Gizi"/>
    <x v="3"/>
    <x v="3"/>
    <x v="4"/>
  </r>
  <r>
    <n v="265"/>
    <n v="34"/>
    <s v="0092020564"/>
    <x v="5"/>
    <s v="Raasyid Zhariif Santoso"/>
    <s v="L"/>
    <s v="Politikus, Pengusaha "/>
    <s v="Ilmu Politik,Ilmu Bisnis"/>
    <x v="5"/>
    <x v="1"/>
    <x v="0"/>
  </r>
  <r>
    <n v="266"/>
    <n v="35"/>
    <s v="0105446689"/>
    <x v="5"/>
    <s v="Raden Muhamad Zaki"/>
    <s v="L"/>
    <m/>
    <m/>
    <x v="6"/>
    <x v="5"/>
    <x v="5"/>
  </r>
  <r>
    <n v="267"/>
    <n v="36"/>
    <s v="0107445789"/>
    <x v="5"/>
    <s v="Raditya Rafa Abdillah"/>
    <s v="L"/>
    <s v="Akuntan, Aktuaris"/>
    <s v="FEB UI / FMIPA UI"/>
    <x v="1"/>
    <x v="3"/>
    <x v="2"/>
  </r>
  <r>
    <n v="268"/>
    <n v="37"/>
    <s v="0094690365"/>
    <x v="5"/>
    <s v="Raynar Abiyu Diera"/>
    <s v="L"/>
    <s v="Software Engineer,_x000a_Arsitektur"/>
    <s v="Teknik Informatika,_x000a_Teknik Arsitektur"/>
    <x v="2"/>
    <x v="0"/>
    <x v="0"/>
  </r>
  <r>
    <n v="269"/>
    <n v="38"/>
    <s v="0093623051"/>
    <x v="5"/>
    <s v="Rayyan Wahyu Ramadhan"/>
    <s v="L"/>
    <s v="Pengusaha"/>
    <s v="Hubungan Intetnasional atau Manajemen UB atau UNAIR"/>
    <x v="4"/>
    <x v="4"/>
    <x v="3"/>
  </r>
  <r>
    <n v="270"/>
    <n v="39"/>
    <s v="0108406931"/>
    <x v="5"/>
    <s v="Reva Aulia Putri"/>
    <s v="P"/>
    <s v="dokter anak,psikolog"/>
    <s v="FK ITB"/>
    <x v="3"/>
    <x v="3"/>
    <x v="2"/>
  </r>
  <r>
    <n v="271"/>
    <n v="40"/>
    <s v="0104171202"/>
    <x v="5"/>
    <s v="Revina Apriza"/>
    <s v="P"/>
    <s v="Property Developer"/>
    <s v="Management Business-UNPAD/UI"/>
    <x v="4"/>
    <x v="4"/>
    <x v="0"/>
  </r>
  <r>
    <n v="272"/>
    <n v="41"/>
    <n v="3096816288"/>
    <x v="5"/>
    <s v="Rossy Indriyati"/>
    <s v="P"/>
    <s v="Pengusaha sukses "/>
    <s v="menejemen bisnis "/>
    <x v="4"/>
    <x v="4"/>
    <x v="0"/>
  </r>
  <r>
    <n v="273"/>
    <n v="42"/>
    <s v="0102698949"/>
    <x v="5"/>
    <s v="Salsa Kirana Putri"/>
    <s v="P"/>
    <s v="International Journalist"/>
    <s v="Hubungan Internasional, Ilmu Komunikasi, Sastra Inggris -Universitas Indonesia"/>
    <x v="4"/>
    <x v="4"/>
    <x v="0"/>
  </r>
  <r>
    <n v="274"/>
    <n v="43"/>
    <n v="3096600612"/>
    <x v="5"/>
    <s v="Shalomieta Aira Kinaya"/>
    <s v="P"/>
    <s v="International Journalist"/>
    <s v="menejemen bisnis/UI/ITB"/>
    <x v="5"/>
    <x v="1"/>
    <x v="3"/>
  </r>
  <r>
    <n v="275"/>
    <n v="44"/>
    <s v="0106462308"/>
    <x v="5"/>
    <s v="Syahdan Akbar Mara Putra"/>
    <s v="L"/>
    <s v="Data Analyst"/>
    <s v="STIS/Teknik Mesin — UI"/>
    <x v="2"/>
    <x v="0"/>
    <x v="0"/>
  </r>
  <r>
    <n v="276"/>
    <n v="45"/>
    <s v="0101383149"/>
    <x v="5"/>
    <s v="Syahla Adzkannisa Vuzela"/>
    <s v="P"/>
    <s v="Teknisi Laboratorium medis"/>
    <s v="Sains Biomedis IPB"/>
    <x v="2"/>
    <x v="2"/>
    <x v="3"/>
  </r>
  <r>
    <n v="277"/>
    <n v="46"/>
    <s v="0107096617"/>
    <x v="5"/>
    <s v="Taufik Hidayah"/>
    <s v="L"/>
    <s v="Pengusaha"/>
    <s v="teknik pertambangan, teknik industri, hukum"/>
    <x v="2"/>
    <x v="0"/>
    <x v="0"/>
  </r>
  <r>
    <n v="278"/>
    <n v="1"/>
    <s v="0101303057"/>
    <x v="6"/>
    <s v="Adara Luthfia Putri"/>
    <s v="P"/>
    <s v="Human Resources"/>
    <s v="Psikologi/Teknik Industri—Universitas Padjajaran"/>
    <x v="2"/>
    <x v="0"/>
    <x v="0"/>
  </r>
  <r>
    <n v="279"/>
    <n v="2"/>
    <s v="0109597144"/>
    <x v="6"/>
    <s v="Ahmad Fahri Hidayat"/>
    <s v="L"/>
    <s v="Scriptwriter/Screenwriter"/>
    <s v="Televisi dan Film - Universitas Padjadjaran"/>
    <x v="4"/>
    <x v="4"/>
    <x v="0"/>
  </r>
  <r>
    <n v="280"/>
    <n v="3"/>
    <n v="3096764634"/>
    <x v="6"/>
    <s v="Aira Kirana"/>
    <s v="P"/>
    <s v="PR (Public Relation)"/>
    <s v="FISIP — Universitas Padjajaran, UI"/>
    <x v="4"/>
    <x v="4"/>
    <x v="0"/>
  </r>
  <r>
    <n v="281"/>
    <n v="4"/>
    <s v="0094347087"/>
    <x v="6"/>
    <s v="Aliya Trianzani Putri"/>
    <s v="P"/>
    <s v="Pramugari"/>
    <s v="Ilmu Komunikasi — Universitas Padjajaran"/>
    <x v="4"/>
    <x v="4"/>
    <x v="3"/>
  </r>
  <r>
    <n v="282"/>
    <n v="5"/>
    <s v="0101401010"/>
    <x v="6"/>
    <s v="Alya Silvana Sarifah"/>
    <s v="P"/>
    <s v="Manajemen/Ahli gizi"/>
    <s v="Manajemen/Ahli Gizi IPB"/>
    <x v="4"/>
    <x v="3"/>
    <x v="0"/>
  </r>
  <r>
    <n v="283"/>
    <n v="6"/>
    <s v="0106758481"/>
    <x v="6"/>
    <s v="Anindya Estyana Damayanti"/>
    <s v="P"/>
    <s v="PNS"/>
    <s v="Akuntansi-STAN"/>
    <x v="1"/>
    <x v="3"/>
    <x v="0"/>
  </r>
  <r>
    <n v="284"/>
    <n v="7"/>
    <s v="0092241333"/>
    <x v="6"/>
    <s v="Azri Aditya Amada"/>
    <s v="L"/>
    <s v="Urban developer"/>
    <s v="PWK SAPPK-ITB"/>
    <x v="1"/>
    <x v="3"/>
    <x v="0"/>
  </r>
  <r>
    <n v="285"/>
    <n v="8"/>
    <s v="0102239764"/>
    <x v="6"/>
    <s v="Clara Dwi Cahya"/>
    <s v="P"/>
    <s v="Pengusaha"/>
    <s v="Manajemen  — Universitas Padjajaran "/>
    <x v="4"/>
    <x v="4"/>
    <x v="0"/>
  </r>
  <r>
    <n v="286"/>
    <n v="9"/>
    <s v="0108763766"/>
    <x v="6"/>
    <s v="Clarisa Meidiana"/>
    <s v="P"/>
    <s v="Translator"/>
    <s v="Sastra Mandarin — UI"/>
    <x v="4"/>
    <x v="4"/>
    <x v="0"/>
  </r>
  <r>
    <n v="287"/>
    <n v="10"/>
    <s v="0103120702"/>
    <x v="6"/>
    <s v="Daffa Khoirul Fajri"/>
    <s v="L"/>
    <s v="Scientist, Enterpreneur, Psikolog"/>
    <s v="FT - UGM, Psikologi - Unpad, FMIPA -  IPB"/>
    <x v="2"/>
    <x v="0"/>
    <x v="0"/>
  </r>
  <r>
    <n v="288"/>
    <n v="11"/>
    <s v="0099164493"/>
    <x v="6"/>
    <s v="Dhia Devita Ramadhani"/>
    <s v="P"/>
    <s v="Clinical Engineer"/>
    <s v="STEI - ITB"/>
    <x v="1"/>
    <x v="3"/>
    <x v="0"/>
  </r>
  <r>
    <n v="289"/>
    <n v="12"/>
    <s v="0093281671"/>
    <x v="6"/>
    <s v="Diajeng Inggil Lintang Aulia"/>
    <s v="P"/>
    <s v="ASN"/>
    <s v="Administrasi negara-STAN/STIN"/>
    <x v="4"/>
    <x v="0"/>
    <x v="4"/>
  </r>
  <r>
    <n v="290"/>
    <n v="13"/>
    <s v="0091524155"/>
    <x v="6"/>
    <s v="Elgiva Damara Sanchia"/>
    <s v="P"/>
    <s v="Pegawai BUMN"/>
    <s v="Ilmu Pemerintahan - Universitas Indonesia"/>
    <x v="5"/>
    <x v="1"/>
    <x v="0"/>
  </r>
  <r>
    <n v="291"/>
    <n v="14"/>
    <s v="0094004131"/>
    <x v="6"/>
    <s v="Enzo Asido Rama Raditya"/>
    <s v="L"/>
    <s v="Kedinasan Militer"/>
    <s v="Kedinasan- Universitas Pertahanan "/>
    <x v="1"/>
    <x v="1"/>
    <x v="4"/>
  </r>
  <r>
    <n v="292"/>
    <n v="15"/>
    <s v="0107042804"/>
    <x v="6"/>
    <s v="Farhan Abdurrahman Yusuf"/>
    <s v="L"/>
    <s v="Engineering"/>
    <s v="Engineering-ITB"/>
    <x v="2"/>
    <x v="2"/>
    <x v="3"/>
  </r>
  <r>
    <n v="293"/>
    <n v="16"/>
    <s v="0094782869"/>
    <x v="6"/>
    <s v="Faris Razwa Sambega"/>
    <s v="L"/>
    <s v="Insinyur penerbangan"/>
    <s v="FTMD ITB"/>
    <x v="2"/>
    <x v="0"/>
    <x v="0"/>
  </r>
  <r>
    <n v="294"/>
    <n v="17"/>
    <s v="0107335774"/>
    <x v="6"/>
    <s v="Ghaniyah Adelia"/>
    <s v="P"/>
    <s v="Engineering"/>
    <s v="FTTM ITB dan Teknik Sipil UI"/>
    <x v="2"/>
    <x v="0"/>
    <x v="0"/>
  </r>
  <r>
    <n v="295"/>
    <n v="18"/>
    <n v="3103220251"/>
    <x v="6"/>
    <s v="Hafizh Mumtaz"/>
    <s v="L"/>
    <s v="Menteri Kehutanan dan lingkungan, Mining Engineer"/>
    <s v="FTTM ITB dan FAHUTAN IPB"/>
    <x v="2"/>
    <x v="0"/>
    <x v="0"/>
  </r>
  <r>
    <n v="296"/>
    <n v="19"/>
    <s v="0093078917"/>
    <x v="6"/>
    <s v="Juan Pirlo Benzema"/>
    <s v="L"/>
    <s v="Pertambangan"/>
    <s v="Teknik Pertambangan — ITB"/>
    <x v="1"/>
    <x v="3"/>
    <x v="0"/>
  </r>
  <r>
    <n v="297"/>
    <n v="20"/>
    <s v="0106222604"/>
    <x v="6"/>
    <s v="Kania Putriana Yaswin"/>
    <s v="P"/>
    <s v="HSE Specialist, Ahli Gizi"/>
    <s v="Teknik Kimia - UGM, Teknik Kimia - UPN Yogyakarta, Teknik Lingkungan, Ilmu Gizi"/>
    <x v="2"/>
    <x v="2"/>
    <x v="3"/>
  </r>
  <r>
    <n v="298"/>
    <n v="21"/>
    <s v="0105055119"/>
    <x v="6"/>
    <s v="Kaysa Maharani Sofyan"/>
    <s v="P"/>
    <s v="Sekretaris"/>
    <s v="FEB - UNJ"/>
    <x v="3"/>
    <x v="1"/>
    <x v="4"/>
  </r>
  <r>
    <n v="299"/>
    <n v="22"/>
    <s v="0096544983"/>
    <x v="6"/>
    <s v="Keisya Andhita Kirana Putri"/>
    <s v="P"/>
    <s v="Dr. psychology"/>
    <s v="UGM - Dr. psychology"/>
    <x v="5"/>
    <x v="1"/>
    <x v="0"/>
  </r>
  <r>
    <n v="300"/>
    <n v="23"/>
    <s v="0106562767"/>
    <x v="6"/>
    <s v="Kharira P. Pradea"/>
    <s v="P"/>
    <m/>
    <m/>
    <x v="6"/>
    <x v="5"/>
    <x v="5"/>
  </r>
  <r>
    <n v="301"/>
    <n v="24"/>
    <n v="3093288409"/>
    <x v="6"/>
    <s v="Livia Vidyadhara"/>
    <s v="P"/>
    <s v="obgyn"/>
    <s v="- Universitas Kedokteran Gadja Mada, IPDN, STIN"/>
    <x v="2"/>
    <x v="0"/>
    <x v="0"/>
  </r>
  <r>
    <n v="302"/>
    <n v="25"/>
    <s v="0103468589"/>
    <x v="6"/>
    <s v="Manar Abbas Bawazir"/>
    <s v="L"/>
    <s v="Bisnis"/>
    <s v="Manajemen - UI"/>
    <x v="5"/>
    <x v="1"/>
    <x v="0"/>
  </r>
  <r>
    <n v="303"/>
    <n v="26"/>
    <s v="0104328116"/>
    <x v="6"/>
    <s v="Mohammad Arsa Dafansyah"/>
    <s v="L"/>
    <s v="Property Management "/>
    <s v="Teknik Sipil - Universitas Gadjah Mada "/>
    <x v="1"/>
    <x v="2"/>
    <x v="1"/>
  </r>
  <r>
    <n v="304"/>
    <n v="27"/>
    <s v="0093678218"/>
    <x v="6"/>
    <s v="Muhamad Yusuf Zarkasi"/>
    <s v="L"/>
    <s v="TNI"/>
    <s v="Akmil"/>
    <x v="1"/>
    <x v="3"/>
    <x v="0"/>
  </r>
  <r>
    <n v="305"/>
    <n v="28"/>
    <s v="0093828028"/>
    <x v="6"/>
    <s v="Muhammad Arsyal Divo Firmansyah"/>
    <s v="L"/>
    <s v="Marine Biologist, Wildlife Biologist, Lawyer, Psikolog, Marinir (AL), Astronomy Photography, Artist, Fashion Designer, Actor. "/>
    <s v="Biology - Art (DKV) - Law - Psychology - Sastra Inggris (UI - UGM - Cambridge - ITB) "/>
    <x v="3"/>
    <x v="1"/>
    <x v="4"/>
  </r>
  <r>
    <n v="306"/>
    <n v="29"/>
    <s v="0109769349"/>
    <x v="6"/>
    <s v="Muhammad Danish Fathul Ulum"/>
    <s v="L"/>
    <s v="Entrepreneur/Businessman/CEO/Trader/Investor/Game Developer"/>
    <s v="Univ bebas kalo bisa LN Jurusan:Finance/Ekonomi &amp; Bisnis"/>
    <x v="4"/>
    <x v="4"/>
    <x v="3"/>
  </r>
  <r>
    <n v="307"/>
    <n v="30"/>
    <s v="0093629282"/>
    <x v="6"/>
    <s v="Muhammad Fathandra Rizki"/>
    <s v="L"/>
    <s v="Tambang"/>
    <s v="Pertambangan-ITB"/>
    <x v="4"/>
    <x v="4"/>
    <x v="3"/>
  </r>
  <r>
    <n v="308"/>
    <n v="31"/>
    <s v="0095243962"/>
    <x v="6"/>
    <s v="Muhammad Gabriel"/>
    <s v="L"/>
    <s v="Pelaut"/>
    <s v="D4 Nautika (STIP)"/>
    <x v="1"/>
    <x v="2"/>
    <x v="1"/>
  </r>
  <r>
    <n v="309"/>
    <n v="32"/>
    <s v="0105755550"/>
    <x v="6"/>
    <s v="Myiesha Lunar Wisesa Putri"/>
    <s v="P"/>
    <s v="Keguruan dan Ilmu Hukum"/>
    <s v="Hukum Universitas Diponegoro"/>
    <x v="4"/>
    <x v="4"/>
    <x v="0"/>
  </r>
  <r>
    <n v="310"/>
    <n v="33"/>
    <s v="0106828126"/>
    <x v="6"/>
    <s v="Nadila Safira"/>
    <s v="P"/>
    <s v="Psikolog / Konselor"/>
    <s v="Psikologi, Universitas Padjajaran "/>
    <x v="4"/>
    <x v="4"/>
    <x v="0"/>
  </r>
  <r>
    <n v="311"/>
    <n v="34"/>
    <s v="0097673142"/>
    <x v="6"/>
    <s v="Naurah Afifah Amaliyah"/>
    <s v="P"/>
    <s v="Dokter Gigi"/>
    <s v="Kedokteran Gigi — Universitas Padjajaran "/>
    <x v="2"/>
    <x v="2"/>
    <x v="3"/>
  </r>
  <r>
    <n v="312"/>
    <n v="35"/>
    <s v="0107698921"/>
    <x v="6"/>
    <s v="Nayla Widya Cakraprawartana"/>
    <s v="P"/>
    <s v="Diplomat"/>
    <s v="HI,Sastra Inggris, Ilkom "/>
    <x v="4"/>
    <x v="4"/>
    <x v="0"/>
  </r>
  <r>
    <n v="313"/>
    <n v="36"/>
    <s v="0098514088"/>
    <x v="6"/>
    <s v="Nydia Aisyah Allifia"/>
    <s v="P"/>
    <s v="Dokter Gigi"/>
    <s v="Fakultas Kedokteran Gigi - Universitas Gadjah Mada"/>
    <x v="2"/>
    <x v="2"/>
    <x v="3"/>
  </r>
  <r>
    <n v="314"/>
    <n v="37"/>
    <s v="0108129059"/>
    <x v="6"/>
    <s v="Raihana Humairah Budianto"/>
    <s v="P"/>
    <s v="Broadcaster/presenter"/>
    <s v="Ilmu Komunikasi &amp; Media Digital - IPB"/>
    <x v="4"/>
    <x v="4"/>
    <x v="0"/>
  </r>
  <r>
    <n v="315"/>
    <n v="38"/>
    <s v="0109551129"/>
    <x v="6"/>
    <s v="Raisa Putri Rahima"/>
    <s v="P"/>
    <s v="Manajemen rumah sakit, Teknisi Laboratorium"/>
    <s v="Ilmu keperawatan-UI, Teknologi Pangan-IPB"/>
    <x v="2"/>
    <x v="2"/>
    <x v="3"/>
  </r>
  <r>
    <n v="316"/>
    <n v="39"/>
    <s v="0096444734"/>
    <x v="6"/>
    <s v="Rindu Gatari Asmiladi"/>
    <s v="P"/>
    <s v="Psikolog, Ahli Gizi"/>
    <s v="Psikologi - UI, Ilmu Gizi - IPB"/>
    <x v="4"/>
    <x v="4"/>
    <x v="1"/>
  </r>
  <r>
    <n v="317"/>
    <n v="40"/>
    <s v="0107487290"/>
    <x v="6"/>
    <s v="Salman Latif Anshari"/>
    <s v="L"/>
    <s v="Bisnis Analyst"/>
    <s v="Sistem Informasi - UGM"/>
    <x v="1"/>
    <x v="1"/>
    <x v="4"/>
  </r>
  <r>
    <n v="318"/>
    <n v="41"/>
    <n v="3102286552"/>
    <x v="6"/>
    <s v="Siti Iklima Sakurani"/>
    <s v="P"/>
    <s v="Kriminolog, engineer, akuntan, staf keuangan"/>
    <s v="Kriminalogi - Universitas Indonesia"/>
    <x v="1"/>
    <x v="3"/>
    <x v="0"/>
  </r>
  <r>
    <n v="319"/>
    <n v="42"/>
    <s v="0107936085"/>
    <x v="6"/>
    <s v="Sultan Reynard Sabdadika"/>
    <s v="L"/>
    <s v="(BSSN) Badan Siber dan Sandi Negara"/>
    <s v="information security (NUS) National University of Singapore"/>
    <x v="1"/>
    <x v="1"/>
    <x v="1"/>
  </r>
  <r>
    <n v="320"/>
    <n v="43"/>
    <s v="0106701592"/>
    <x v="6"/>
    <s v="Syafiqa Bariq Mahya"/>
    <s v="P"/>
    <s v="Dokter Gigi, Entrepeneur"/>
    <s v="Kedokteran Gigi - Universitas Padjadjaran "/>
    <x v="3"/>
    <x v="3"/>
    <x v="3"/>
  </r>
  <r>
    <n v="321"/>
    <n v="44"/>
    <s v="0104155224"/>
    <x v="6"/>
    <s v="Syahluna Ananta Putri"/>
    <s v="P"/>
    <s v="Ahli gizi dan pangan, ilmuwan, pengusaha"/>
    <s v="Teknologi pangan - IPB, Silvikultur - IPB"/>
    <x v="3"/>
    <x v="4"/>
    <x v="3"/>
  </r>
  <r>
    <n v="322"/>
    <n v="45"/>
    <s v="0097446281"/>
    <x v="6"/>
    <s v="Tabah Rafie Abdillah"/>
    <s v="L"/>
    <m/>
    <m/>
    <x v="6"/>
    <x v="5"/>
    <x v="5"/>
  </r>
  <r>
    <n v="323"/>
    <n v="46"/>
    <s v="0105614197"/>
    <x v="6"/>
    <s v="Tristan Lovriano Aryasatya"/>
    <s v="L"/>
    <s v="POLRI"/>
    <s v="Akademi Kepolisian"/>
    <x v="1"/>
    <x v="3"/>
    <x v="2"/>
  </r>
  <r>
    <n v="324"/>
    <n v="47"/>
    <s v="0109499801"/>
    <x v="6"/>
    <s v="Zafira Salsa Haniah"/>
    <s v="P"/>
    <s v="Diplomat"/>
    <s v="Hubungan Internasional - Universitas Indonesia"/>
    <x v="4"/>
    <x v="4"/>
    <x v="3"/>
  </r>
  <r>
    <n v="325"/>
    <n v="1"/>
    <s v="0093560012"/>
    <x v="7"/>
    <s v="Adelia Niken"/>
    <s v="P"/>
    <s v="Engineering, Kedokteran, Hukum"/>
    <s v="IPB- Teknik Lingkungan, UI- Hukum, UI, FKg / Keperawatan"/>
    <x v="1"/>
    <x v="3"/>
    <x v="0"/>
  </r>
  <r>
    <n v="326"/>
    <n v="2"/>
    <s v="0092017710"/>
    <x v="7"/>
    <s v="Aisyah Agustiani"/>
    <s v="P"/>
    <s v="Engineering"/>
    <s v="FTTM -  ITB"/>
    <x v="1"/>
    <x v="1"/>
    <x v="4"/>
  </r>
  <r>
    <n v="327"/>
    <n v="3"/>
    <s v="0098009248"/>
    <x v="7"/>
    <s v="Alenka Meisyarofa"/>
    <s v="P"/>
    <s v="Arsitektur, Forensik"/>
    <s v="Arsitektur - UI/UGM"/>
    <x v="1"/>
    <x v="3"/>
    <x v="0"/>
  </r>
  <r>
    <n v="328"/>
    <n v="4"/>
    <n v="3105167232"/>
    <x v="7"/>
    <s v="Alifa Taqqiya Zahwa"/>
    <s v="P"/>
    <s v="Dokter Gigi, Ahli Gizi, Kedinasan"/>
    <s v="Ilmu Kedokteran Gigi-UI, Ilmu Gizi-IPB, IPDN"/>
    <x v="3"/>
    <x v="3"/>
    <x v="3"/>
  </r>
  <r>
    <n v="329"/>
    <n v="5"/>
    <s v="0107122505"/>
    <x v="7"/>
    <s v="Alifah Hasannah"/>
    <s v="P"/>
    <s v="Keperawatan"/>
    <s v="Ilmu Keperawatan/Farmasi"/>
    <x v="2"/>
    <x v="2"/>
    <x v="2"/>
  </r>
  <r>
    <n v="330"/>
    <n v="6"/>
    <s v="0104668456"/>
    <x v="7"/>
    <s v="Andagita Vilnaria Atha"/>
    <s v="P"/>
    <s v="Psikolog, Pramugari, Marine Biologist"/>
    <s v="Psikologi - UI/UNPAD"/>
    <x v="4"/>
    <x v="4"/>
    <x v="0"/>
  </r>
  <r>
    <n v="331"/>
    <n v="7"/>
    <s v="0102036572"/>
    <x v="7"/>
    <s v="Ariqah Putri Nasution"/>
    <s v="P"/>
    <s v="Konsultan pajak / bisnis"/>
    <s v="FIA UI / SB-IPB"/>
    <x v="1"/>
    <x v="1"/>
    <x v="4"/>
  </r>
  <r>
    <n v="332"/>
    <n v="8"/>
    <s v="0102307654"/>
    <x v="7"/>
    <s v="Aulia Cinta Divia"/>
    <s v="P"/>
    <s v="Fashion Designer"/>
    <s v="DKV - UPI"/>
    <x v="5"/>
    <x v="1"/>
    <x v="0"/>
  </r>
  <r>
    <n v="333"/>
    <n v="9"/>
    <s v="0105089607"/>
    <x v="7"/>
    <s v="Aysha Mahira Dewi Tryana"/>
    <s v="P"/>
    <s v="Chef"/>
    <s v="Tata Boga - UPI"/>
    <x v="3"/>
    <x v="1"/>
    <x v="4"/>
  </r>
  <r>
    <n v="334"/>
    <n v="10"/>
    <s v="0096174502"/>
    <x v="7"/>
    <s v="Belinda Angelica"/>
    <s v="P"/>
    <s v="Bupati, Menteri, Psikolog"/>
    <s v="Ilmu Hukum - UGM, Psikologi - UI"/>
    <x v="4"/>
    <x v="4"/>
    <x v="0"/>
  </r>
  <r>
    <n v="335"/>
    <n v="11"/>
    <s v="0092180086"/>
    <x v="7"/>
    <s v="Bima Anggareksa Yusiansyah"/>
    <s v="L"/>
    <s v="Ilmuwan, Analis Laboratorium, Chemical Engineer"/>
    <s v="- Kimia Murni, ITB/UI/IPB [] - Teknik Kimia UI/ITB/UNPAD"/>
    <x v="2"/>
    <x v="2"/>
    <x v="3"/>
  </r>
  <r>
    <n v="336"/>
    <n v="12"/>
    <n v="3094942931"/>
    <x v="7"/>
    <s v="Dela Ananda Putri"/>
    <s v="P"/>
    <s v="Jurnalis, Editor Berita"/>
    <s v="Sastra Indonesia - UI"/>
    <x v="3"/>
    <x v="0"/>
    <x v="2"/>
  </r>
  <r>
    <n v="337"/>
    <n v="13"/>
    <s v="0103091510"/>
    <x v="7"/>
    <s v="Dian Noer Savitri"/>
    <s v="P"/>
    <s v="Dokter Hewan, Dokter spesialis jiwa (psikiater), Apoteker, Engineer pabrik industri, Industri Farmasi &amp; Kosmetik"/>
    <s v="Kedokteran - UI, FMIPA - UI, Farmasi - Unpad, Teknik Kimia - ITB"/>
    <x v="2"/>
    <x v="0"/>
    <x v="0"/>
  </r>
  <r>
    <n v="338"/>
    <n v="14"/>
    <s v="0093558313"/>
    <x v="7"/>
    <s v="Diandra Mentari Fazri"/>
    <s v="P"/>
    <s v="Creative Director, Production Crew, Public Relations (PR), Presenter, dan TV Producer "/>
    <s v="Ilmu Komunikasi, Manajemen, Administrasi Bisnis - UNPAD/UI/UB/UM"/>
    <x v="4"/>
    <x v="4"/>
    <x v="0"/>
  </r>
  <r>
    <n v="339"/>
    <n v="15"/>
    <s v="0093242338"/>
    <x v="7"/>
    <s v="Divania Kayla Windu Sabrina"/>
    <s v="P"/>
    <s v="Engineer Pertambangan"/>
    <s v="FTTM ITB"/>
    <x v="1"/>
    <x v="3"/>
    <x v="0"/>
  </r>
  <r>
    <n v="340"/>
    <n v="16"/>
    <s v="0095632017"/>
    <x v="7"/>
    <s v="Dyshan Attaya Haq Triatno"/>
    <s v="P"/>
    <s v="Filmmaker, Media"/>
    <s v="Produksi Media - UI"/>
    <x v="4"/>
    <x v="4"/>
    <x v="3"/>
  </r>
  <r>
    <n v="341"/>
    <n v="17"/>
    <s v="0099446424"/>
    <x v="7"/>
    <s v="Farid Pradana"/>
    <s v="L"/>
    <s v="Astronom, Peneliti"/>
    <s v="FMIPA / FTMD ITB"/>
    <x v="2"/>
    <x v="0"/>
    <x v="0"/>
  </r>
  <r>
    <n v="342"/>
    <n v="18"/>
    <s v="0103174946"/>
    <x v="7"/>
    <s v="Fathia Adilla Ramsha"/>
    <s v="P"/>
    <s v="dokter, perawat, farmasi, "/>
    <s v="kedokteran - UI / IPB, keperawatan - UI"/>
    <x v="3"/>
    <x v="3"/>
    <x v="3"/>
  </r>
  <r>
    <n v="343"/>
    <n v="19"/>
    <s v="0101801767"/>
    <x v="7"/>
    <s v="Gracia Valen Manik"/>
    <s v="P"/>
    <m/>
    <m/>
    <x v="4"/>
    <x v="4"/>
    <x v="1"/>
  </r>
  <r>
    <n v="344"/>
    <n v="20"/>
    <s v="0107691976"/>
    <x v="7"/>
    <s v="Kania Wismar Adnyana"/>
    <s v="P"/>
    <s v="Insinyur"/>
    <s v="Teknik Kimia UNDIP"/>
    <x v="2"/>
    <x v="0"/>
    <x v="0"/>
  </r>
  <r>
    <n v="345"/>
    <n v="21"/>
    <s v="0101976221"/>
    <x v="7"/>
    <s v="Kaysan Umar Azka Setiawan"/>
    <s v="L"/>
    <s v="manajemen, treasury analyst, investor"/>
    <s v="SBM ITB"/>
    <x v="4"/>
    <x v="4"/>
    <x v="1"/>
  </r>
  <r>
    <n v="346"/>
    <n v="22"/>
    <s v="092212305"/>
    <x v="7"/>
    <s v="Luqman Aziz Saputro"/>
    <s v="L"/>
    <s v="Web Developer"/>
    <s v="Teknik Informatika UI / ITB"/>
    <x v="5"/>
    <x v="2"/>
    <x v="3"/>
  </r>
  <r>
    <n v="347"/>
    <n v="23"/>
    <s v="0102160006"/>
    <x v="7"/>
    <s v="Mirza Maulana Altamis"/>
    <s v="L"/>
    <s v="Jurnalis otomotif &amp; pengusaha"/>
    <s v="Teknik otomotif, bisnis, ekonomi"/>
    <x v="4"/>
    <x v="0"/>
    <x v="0"/>
  </r>
  <r>
    <n v="348"/>
    <n v="24"/>
    <s v="0103442868"/>
    <x v="7"/>
    <s v="Mochammad Hafizh Fadlurahman"/>
    <s v="L"/>
    <s v="SUDAH OUT"/>
    <s v="SUDAH OUT"/>
    <x v="6"/>
    <x v="5"/>
    <x v="5"/>
  </r>
  <r>
    <n v="349"/>
    <n v="25"/>
    <s v="0105918833"/>
    <x v="7"/>
    <s v="Mouris Marcha Adisty"/>
    <s v="P"/>
    <s v="Abdi Negara / Bisnis"/>
    <s v="Farmasi UNHAN / Sastra Mandarin / Akuntansi"/>
    <x v="1"/>
    <x v="3"/>
    <x v="2"/>
  </r>
  <r>
    <n v="350"/>
    <n v="26"/>
    <s v="0099772945"/>
    <x v="7"/>
    <s v="Muhamad Ilham Akbar"/>
    <s v="L"/>
    <s v="Konsultan hukum, entrepreneur, lawyer"/>
    <s v="Manajemen/Bisnis: ITB/Binus, Ilmu Hukum: UI/UGM"/>
    <x v="4"/>
    <x v="4"/>
    <x v="1"/>
  </r>
  <r>
    <n v="351"/>
    <n v="27"/>
    <s v="0094259451"/>
    <x v="7"/>
    <s v="Muhamad Mustakim"/>
    <s v="L"/>
    <m/>
    <m/>
    <x v="4"/>
    <x v="3"/>
    <x v="3"/>
  </r>
  <r>
    <n v="352"/>
    <n v="28"/>
    <s v="0107525738"/>
    <x v="7"/>
    <s v="Muhammad Faiz Fathian"/>
    <s v="L"/>
    <s v="pengusaha dibidang pariwisata"/>
    <s v="DKV ITB"/>
    <x v="4"/>
    <x v="4"/>
    <x v="0"/>
  </r>
  <r>
    <n v="353"/>
    <n v="29"/>
    <n v="3107499493"/>
    <x v="7"/>
    <s v="Muhammad Fariz Nuh"/>
    <s v="L"/>
    <s v="Dokter, Engineering Electro"/>
    <s v="Beasiswa PTLN, Kedokteran (UI), Teknik Elektro (UI, ITB)"/>
    <x v="2"/>
    <x v="0"/>
    <x v="0"/>
  </r>
  <r>
    <n v="354"/>
    <n v="30"/>
    <n v="3108018555"/>
    <x v="7"/>
    <s v="Muhammad Fawaz Ali"/>
    <s v="L"/>
    <s v="Masinis, pertambangan"/>
    <s v="FTTM ITB, Sekolah masinis madiun"/>
    <x v="1"/>
    <x v="3"/>
    <x v="0"/>
  </r>
  <r>
    <n v="355"/>
    <n v="31"/>
    <s v="0091031385"/>
    <x v="7"/>
    <s v="Muhammad Rafli Ramsha"/>
    <s v="L"/>
    <s v="Data analyst, Machine Learning engineer, Software engineer"/>
    <s v="Ilmu Komputer UGM"/>
    <x v="1"/>
    <x v="3"/>
    <x v="0"/>
  </r>
  <r>
    <n v="356"/>
    <n v="32"/>
    <s v="0111220217"/>
    <x v="7"/>
    <s v="Muhammad Yafiargi Simbangando"/>
    <s v="L"/>
    <s v="dokter gigi, engineering"/>
    <s v="FKG UGM/UNPAD, FTTM ITB"/>
    <x v="2"/>
    <x v="0"/>
    <x v="0"/>
  </r>
  <r>
    <n v="357"/>
    <n v="33"/>
    <s v="0098938532"/>
    <x v="7"/>
    <s v="Naila Khansa Rahmawati"/>
    <s v="P"/>
    <s v="Programmer atau Konsultan Pajak"/>
    <s v="Teknik Informatika, UI/UGM"/>
    <x v="1"/>
    <x v="3"/>
    <x v="2"/>
  </r>
  <r>
    <n v="358"/>
    <n v="34"/>
    <n v="3109348901"/>
    <x v="7"/>
    <s v="Namira Nur Azkia"/>
    <s v="P"/>
    <s v="Penerjemah, Public Relation, Copywriter, Psikologi"/>
    <s v="Sastra Cina (UI &amp; UB), Sastra Perancis (UI), Psikologi (UI), Sastra Inggris (UB), Ilmu Komunikasi (UI &amp; UNPAD)"/>
    <x v="5"/>
    <x v="1"/>
    <x v="0"/>
  </r>
  <r>
    <n v="359"/>
    <n v="35"/>
    <s v="0091281050"/>
    <x v="7"/>
    <s v="Naswa Ramadhani"/>
    <s v="P"/>
    <s v="Hakim"/>
    <s v="Ilmu Hukum, UNPAD"/>
    <x v="4"/>
    <x v="4"/>
    <x v="1"/>
  </r>
  <r>
    <n v="360"/>
    <n v="36"/>
    <s v="0107347265"/>
    <x v="7"/>
    <s v="Nayla Ulya Taqiyya"/>
    <s v="P"/>
    <s v="Dokter, Farmasi"/>
    <s v="SF ITB atau FK UI"/>
    <x v="2"/>
    <x v="2"/>
    <x v="2"/>
  </r>
  <r>
    <n v="361"/>
    <n v="37"/>
    <s v="0105961239"/>
    <x v="7"/>
    <s v="Nazwa Malika Asral"/>
    <s v="P"/>
    <s v="dokter bedah, ahli gizi, tourgait di luar negri"/>
    <s v="masuk gk ui atau IPB trs masuk sekolah Univ pariwisata internas"/>
    <x v="1"/>
    <x v="2"/>
    <x v="1"/>
  </r>
  <r>
    <n v="362"/>
    <n v="38"/>
    <s v="0105803552"/>
    <x v="7"/>
    <s v="Nikesha Nashwa Damara"/>
    <s v="P"/>
    <s v="dokter gigi "/>
    <s v="fkg ui atau unpad"/>
    <x v="2"/>
    <x v="2"/>
    <x v="2"/>
  </r>
  <r>
    <n v="363"/>
    <n v="39"/>
    <s v="0095193509"/>
    <x v="7"/>
    <s v="Ni'Matul Aulia Ningtias"/>
    <s v="P"/>
    <s v="Diplomat, Ilmu gizi"/>
    <s v="Hubungan Internasional, Ilmu komunikasi, FKM"/>
    <x v="4"/>
    <x v="2"/>
    <x v="4"/>
  </r>
  <r>
    <n v="364"/>
    <n v="40"/>
    <s v="0109599363"/>
    <x v="7"/>
    <s v="Quensha Rahayu Kusuma Agora"/>
    <s v="P"/>
    <s v="Peternakan dan Pertanian"/>
    <s v="kriminologi"/>
    <x v="2"/>
    <x v="2"/>
    <x v="4"/>
  </r>
  <r>
    <n v="365"/>
    <n v="41"/>
    <s v="0105462734"/>
    <x v="7"/>
    <s v="Quincha Aura Brilliani"/>
    <s v="P"/>
    <s v="dr.sp.anak/ahli geofisika"/>
    <s v="kedokteran unpad/teknik geologi unpad/undip"/>
    <x v="2"/>
    <x v="2"/>
    <x v="3"/>
  </r>
  <r>
    <n v="366"/>
    <n v="42"/>
    <s v="0097882314"/>
    <x v="7"/>
    <s v="Raihan Farras Sutisna"/>
    <s v="L"/>
    <s v="Akpol / Bintara polri"/>
    <s v="kedinasan"/>
    <x v="2"/>
    <x v="0"/>
    <x v="0"/>
  </r>
  <r>
    <n v="367"/>
    <n v="43"/>
    <s v="0099739465"/>
    <x v="7"/>
    <s v="Raka Syabany Amsyah"/>
    <s v="L"/>
    <s v="Criminal Analysis"/>
    <s v="Kriminologi UI"/>
    <x v="4"/>
    <x v="4"/>
    <x v="1"/>
  </r>
  <r>
    <n v="368"/>
    <n v="44"/>
    <s v="0102838068"/>
    <x v="7"/>
    <s v="Ryzen Gevandra Wirapratama"/>
    <s v="L"/>
    <s v="insinyur metalurgi"/>
    <s v="teknik metalurgi"/>
    <x v="1"/>
    <x v="3"/>
    <x v="0"/>
  </r>
  <r>
    <n v="369"/>
    <n v="45"/>
    <s v="0107357472"/>
    <x v="7"/>
    <s v="Sinta Dwi Nuri Widodo"/>
    <s v="P"/>
    <s v="pegawai BIG 4, insinyur, akuntan, konsultan manajemen"/>
    <s v="Teknik atau FEB atau pangan. UI/IPB, PTLN, Kedinasan"/>
    <x v="2"/>
    <x v="0"/>
    <x v="2"/>
  </r>
  <r>
    <n v="370"/>
    <n v="46"/>
    <s v="0093433461"/>
    <x v="7"/>
    <s v="Syarifah Nur Salsabila"/>
    <s v="P"/>
    <s v="Project Manager atau Production Engineer"/>
    <s v="Teknik industri UI/UGM"/>
    <x v="2"/>
    <x v="0"/>
    <x v="0"/>
  </r>
  <r>
    <n v="371"/>
    <n v="47"/>
    <s v="0108340159"/>
    <x v="7"/>
    <s v="Tsamara Privita Sya'Ban Syahdu"/>
    <s v="P"/>
    <s v="Desainer interior, Arsitek, Guru olahraga"/>
    <s v="Desain interior - ITS/ITB, Arsitektur - UGM, Olahraga - UPI"/>
    <x v="1"/>
    <x v="3"/>
    <x v="2"/>
  </r>
  <r>
    <n v="372"/>
    <n v="48"/>
    <s v="0094438921"/>
    <x v="7"/>
    <s v="Yuzusie Aida Nenat"/>
    <s v="L"/>
    <s v="Bisnis"/>
    <s v="UGM"/>
    <x v="5"/>
    <x v="1"/>
    <x v="3"/>
  </r>
  <r>
    <n v="373"/>
    <n v="1"/>
    <s v="0106681838"/>
    <x v="8"/>
    <s v="Abyan Zuka Ibrahim Nasution"/>
    <s v="L"/>
    <s v="teknisi listrik, arsitek, dokter saraf"/>
    <s v="fakultas kedokteran UI, teknik elektro ITB, teknik sipil UI"/>
    <x v="1"/>
    <x v="2"/>
    <x v="1"/>
  </r>
  <r>
    <n v="374"/>
    <n v="2"/>
    <s v="0108974704"/>
    <x v="8"/>
    <s v="Ahmad Hafidz Anwar"/>
    <s v="L"/>
    <s v="analis kimia,konsultan lingkungan,food technology "/>
    <s v="IPB JURUSAN ANALISIS KIMIA, TEKNOLOGI PANGAN,MANAJEMEN AGRIBISNIS "/>
    <x v="3"/>
    <x v="3"/>
    <x v="2"/>
  </r>
  <r>
    <n v="375"/>
    <n v="3"/>
    <s v="0105339420"/>
    <x v="8"/>
    <s v="Aishanna Latifa Harjono"/>
    <s v="P"/>
    <s v="Ekonomi Internasional, Diplomat, Bisnis"/>
    <s v="Jurusan Ilmu Ekonomi, Jurusan Manajemen Bisnis, Jurusan Hubungan Internasional, Jurusan Ilmu Komunikasi. PTN : Universitas Indonesia, Institut Pertanian Bogor, Universitas Padjadjaran"/>
    <x v="4"/>
    <x v="4"/>
    <x v="1"/>
  </r>
  <r>
    <n v="376"/>
    <n v="4"/>
    <s v="0093799489"/>
    <x v="8"/>
    <s v="Aqila Elmohri"/>
    <s v="P"/>
    <s v="1. diplomat 2. Artis 3. Model"/>
    <s v="Hubungan Internasional (Universitas Indonesia)"/>
    <x v="4"/>
    <x v="4"/>
    <x v="0"/>
  </r>
  <r>
    <n v="377"/>
    <n v="5"/>
    <n v="3111697965"/>
    <x v="8"/>
    <s v="Aqilla Al-Farabi"/>
    <s v="P"/>
    <s v="Sastrawan, detective, fbi"/>
    <s v="Kriminologi, tokyo university"/>
    <x v="5"/>
    <x v="2"/>
    <x v="2"/>
  </r>
  <r>
    <n v="378"/>
    <n v="6"/>
    <s v="0102592413"/>
    <x v="8"/>
    <s v="Ariyo Raditya Putra"/>
    <s v="L"/>
    <s v="Wirausahawan/Fashion Designer"/>
    <s v="Business/Fashion Business. (Parsons School of Design/Binus University)"/>
    <x v="4"/>
    <x v="4"/>
    <x v="3"/>
  </r>
  <r>
    <n v="379"/>
    <n v="7"/>
    <s v="0099452000"/>
    <x v="8"/>
    <s v="Asshafa Nur Intan"/>
    <s v="P"/>
    <s v="dokter, engineer, psikolog"/>
    <s v="FK, FT UI, ITB, kedinasan STIS, ITS"/>
    <x v="2"/>
    <x v="0"/>
    <x v="2"/>
  </r>
  <r>
    <n v="380"/>
    <n v="8"/>
    <s v="0093343311"/>
    <x v="8"/>
    <s v="Attar Palestine Taha"/>
    <s v="L"/>
    <s v="Animator, desainer digital"/>
    <s v="Jurusan Desain Komunikasi Visual (DKV) di Institut Teknologi Bandung (ITB) atau BINUS University"/>
    <x v="4"/>
    <x v="4"/>
    <x v="0"/>
  </r>
  <r>
    <n v="381"/>
    <n v="9"/>
    <s v="0102924778"/>
    <x v="8"/>
    <s v="Aufa Khairunnisa"/>
    <s v="P"/>
    <s v="Apoteker Industri, Administrator Kesehatan, Psikolog Klinis"/>
    <s v="Farmasi, Kesehatan Masyarakat, Psikologi "/>
    <x v="2"/>
    <x v="2"/>
    <x v="2"/>
  </r>
  <r>
    <n v="382"/>
    <n v="10"/>
    <s v="0108974038"/>
    <x v="8"/>
    <s v="Balqis Luthfiyah Zahra"/>
    <s v="P"/>
    <s v="1. akuntan 2.staf office 3. staf administrasi"/>
    <s v="FEB UI/FIA UNJ "/>
    <x v="4"/>
    <x v="4"/>
    <x v="3"/>
  </r>
  <r>
    <n v="383"/>
    <n v="11"/>
    <s v="0104378571"/>
    <x v="8"/>
    <s v="Chayra Putri Dwinata"/>
    <s v="P"/>
    <s v="pkn stan, BUMN, ITPLN"/>
    <s v="pkn stan, K3 UI, Manajemen IPB, ITPLN"/>
    <x v="3"/>
    <x v="3"/>
    <x v="2"/>
  </r>
  <r>
    <n v="384"/>
    <n v="12"/>
    <s v="0107900663"/>
    <x v="8"/>
    <s v="Cheryl Anandiora"/>
    <s v="L"/>
    <s v="Tenaga Farmasi"/>
    <s v="Farmasi di Universitas Indonesia"/>
    <x v="3"/>
    <x v="3"/>
    <x v="2"/>
  </r>
  <r>
    <n v="385"/>
    <n v="13"/>
    <s v="0091254694"/>
    <x v="8"/>
    <s v="Dahayu Nadhilah Syafa"/>
    <s v="P"/>
    <s v="Kerja di di big there (corporate), dokter"/>
    <s v="FEB (Akuntansi) / FK UI, Unair dan UGM"/>
    <x v="4"/>
    <x v="3"/>
    <x v="4"/>
  </r>
  <r>
    <n v="386"/>
    <n v="14"/>
    <s v="0108673369"/>
    <x v="8"/>
    <s v="Elen Vanesyah Wahyudi"/>
    <s v="P"/>
    <s v="Pegawai Pajak (DJP) dan Konsultan Pajak"/>
    <s v="Ilmu Administrasi Fiskal, Universitas Indonesia"/>
    <x v="4"/>
    <x v="4"/>
    <x v="0"/>
  </r>
  <r>
    <n v="387"/>
    <n v="15"/>
    <s v="0097946386"/>
    <x v="8"/>
    <s v="Fitrah Thirafi"/>
    <s v="L"/>
    <s v="Pengusaha sukses pemilik perusahaan multinasional, ilmuwan, motivator"/>
    <s v="Teknik pertambangan ITB"/>
    <x v="2"/>
    <x v="0"/>
    <x v="0"/>
  </r>
  <r>
    <n v="388"/>
    <n v="16"/>
    <s v="0099535255"/>
    <x v="8"/>
    <s v="Fitri Rahmawati"/>
    <s v="P"/>
    <s v="prmugari pengusaha "/>
    <s v="hukum universitas Indonesia "/>
    <x v="5"/>
    <x v="1"/>
    <x v="0"/>
  </r>
  <r>
    <n v="389"/>
    <n v="17"/>
    <s v="0094573200"/>
    <x v="8"/>
    <s v="Ghaniah Aqilah"/>
    <s v="P"/>
    <s v="1.Apoteker, 2.Human Resources (HR), 3.Staff Kementrian"/>
    <s v="Penjurusan: 1.Kesehatan Masyarakat, 2.Farmasi,3.Manajemen, 4.Ilmu Administrasi. Perguruan Tinggi:1.Universitas Indonesia, 2. Unpad, 3.UGM"/>
    <x v="3"/>
    <x v="3"/>
    <x v="2"/>
  </r>
  <r>
    <n v="390"/>
    <n v="18"/>
    <s v="0114593936"/>
    <x v="8"/>
    <s v="Hizam Kynan Putra Purwanto"/>
    <s v="L"/>
    <s v="TNI AD, Polisi, "/>
    <s v="bin tni polri"/>
    <x v="2"/>
    <x v="2"/>
    <x v="3"/>
  </r>
  <r>
    <n v="391"/>
    <n v="19"/>
    <s v="0109669821"/>
    <x v="8"/>
    <s v="Ilham Rizki Pratama"/>
    <s v="L"/>
    <s v="mekanik, pembalap dan Ceo muda"/>
    <s v="S3 jadi ceo"/>
    <x v="2"/>
    <x v="4"/>
    <x v="2"/>
  </r>
  <r>
    <n v="392"/>
    <n v="20"/>
    <s v="0103695549"/>
    <x v="8"/>
    <s v="Izaz Izzatul Islam"/>
    <s v="P"/>
    <s v="1. Ilmu Sejarah 2. Sastra Jepang 3. GIS"/>
    <s v="Ilmu Sejarah - Universitas Indonesia"/>
    <x v="4"/>
    <x v="4"/>
    <x v="0"/>
  </r>
  <r>
    <n v="393"/>
    <n v="21"/>
    <s v="0095770160"/>
    <x v="8"/>
    <s v="Jazila Abid Niyaz Chan Lase"/>
    <s v="L"/>
    <s v="Teknologi Pangan(Ahli Gizi), Sistem Informasi, Hakim"/>
    <s v="FTI atau FH di UI / UNPAD"/>
    <x v="2"/>
    <x v="1"/>
    <x v="4"/>
  </r>
  <r>
    <n v="394"/>
    <n v="22"/>
    <s v="0106852675"/>
    <x v="8"/>
    <s v="Jihan Nailatusy Syarafah"/>
    <s v="P"/>
    <s v="Event planner, Produser, Dokter"/>
    <s v="ILKOM-UI"/>
    <x v="2"/>
    <x v="2"/>
    <x v="2"/>
  </r>
  <r>
    <n v="395"/>
    <n v="23"/>
    <s v="0094047198"/>
    <x v="8"/>
    <s v="Kanza Olivia Ramadhani"/>
    <s v="P"/>
    <s v="perawat/kedokteran"/>
    <s v="jurusan keperawatan, unpad"/>
    <x v="4"/>
    <x v="4"/>
    <x v="0"/>
  </r>
  <r>
    <n v="396"/>
    <n v="24"/>
    <s v="0102372511"/>
    <x v="8"/>
    <s v="Kayla Tria Fatarani"/>
    <s v="P"/>
    <s v="Financial Analyst, Petugas Bea Cukai, Data Analyst"/>
    <s v="fakultas ilmu administrasi jurusan administrasi fiskal/bisnis"/>
    <x v="4"/>
    <x v="4"/>
    <x v="0"/>
  </r>
  <r>
    <n v="397"/>
    <n v="25"/>
    <s v="0098113225"/>
    <x v="8"/>
    <s v="Mahera Raisha Davanita Faizal"/>
    <s v="P"/>
    <s v="diplomat, translator, guru bahasa "/>
    <s v="hubungan internasional (unpad, unpar)"/>
    <x v="4"/>
    <x v="4"/>
    <x v="0"/>
  </r>
  <r>
    <n v="398"/>
    <n v="26"/>
    <s v="0103979225"/>
    <x v="8"/>
    <s v="Muhamad Juan Arkhan"/>
    <s v="L"/>
    <s v="Analisis Kimia,Ahli Gizi"/>
    <s v="Teknologi Pangan,Institut Pertanian Bogor (IPB),Analisis Kimia,PoltekAkaBogor(Poli Teknik AkaBogor)"/>
    <x v="3"/>
    <x v="3"/>
    <x v="2"/>
  </r>
  <r>
    <n v="399"/>
    <n v="27"/>
    <s v="0095022365"/>
    <x v="8"/>
    <s v="Muhammad Ariel Setiawan"/>
    <s v="L"/>
    <s v="Dokter, Dokter psikolog, farmasi "/>
    <s v="dokter psikolog (UI) "/>
    <x v="3"/>
    <x v="4"/>
    <x v="2"/>
  </r>
  <r>
    <n v="400"/>
    <n v="28"/>
    <s v="0104557332"/>
    <x v="8"/>
    <s v="Muhammad Azka Shahizinda"/>
    <s v="L"/>
    <s v="Ilmuwan dan pemerintah "/>
    <s v="Universitas Indonesia "/>
    <x v="3"/>
    <x v="1"/>
    <x v="0"/>
  </r>
  <r>
    <n v="401"/>
    <n v="29"/>
    <s v="0092772943"/>
    <x v="8"/>
    <s v="Muhammad Daffa Alfarizki"/>
    <s v="L"/>
    <s v="polri"/>
    <s v="akademi kepolisian "/>
    <x v="2"/>
    <x v="0"/>
    <x v="0"/>
  </r>
  <r>
    <n v="402"/>
    <n v="30"/>
    <s v="0098897790"/>
    <x v="8"/>
    <s v="Muhammad Fadil Ranoval"/>
    <s v="L"/>
    <s v="Maintenace Engineer"/>
    <s v="TEKNIK MESIN, INSTITUT TEKNOLOGI BANDUBG (ITB)"/>
    <x v="1"/>
    <x v="3"/>
    <x v="0"/>
  </r>
  <r>
    <n v="403"/>
    <n v="31"/>
    <s v="0101059940"/>
    <x v="8"/>
    <s v="Muhammad In'Amul Aufa"/>
    <s v="L"/>
    <s v="Pertambangan,Perminyakan,dan teknik sipil"/>
    <s v="FTTM (Fakultas Teknik Pertambangan Dan Perminyakan) ITB"/>
    <x v="2"/>
    <x v="0"/>
    <x v="0"/>
  </r>
  <r>
    <n v="404"/>
    <n v="32"/>
    <s v="0094119764"/>
    <x v="8"/>
    <s v="Muhammad Reyhan Alfariky"/>
    <s v="L"/>
    <s v="Usahawan, insinyur mesin bmw, maintenance engineer bmw "/>
    <s v="Jurusan Teknik Mesin ITB, UGM, ITS, UNESA, UNS, UPI"/>
    <x v="1"/>
    <x v="3"/>
    <x v="0"/>
  </r>
  <r>
    <n v="405"/>
    <n v="33"/>
    <s v="0096882416"/>
    <x v="8"/>
    <s v="Muhammad Sayyid Amjad"/>
    <s v="L"/>
    <s v="Hukum : Notaris, Fisip HI : Diplomat, Psikolog : Psikiater "/>
    <s v="UGM (Universitas Gadjah Mada), Hukum, FISIP Hubungan Internasional, Psikologi "/>
    <x v="4"/>
    <x v="4"/>
    <x v="0"/>
  </r>
  <r>
    <n v="406"/>
    <n v="34"/>
    <s v="0093640113"/>
    <x v="8"/>
    <s v="Nararya Hylmi Kenzie"/>
    <s v="P"/>
    <s v="Dokter, Aktuaria, Guru "/>
    <s v="Kedokteran / Universitas Indonesia"/>
    <x v="2"/>
    <x v="0"/>
    <x v="2"/>
  </r>
  <r>
    <n v="407"/>
    <n v="35"/>
    <s v="0097910400"/>
    <x v="8"/>
    <s v="Nur Azizah"/>
    <s v="P"/>
    <s v="Psikologi, hakim, PNS"/>
    <s v="Psikolog, ekonomi, filsafat/UI atau UNAND/psikolog "/>
    <x v="4"/>
    <x v="4"/>
    <x v="0"/>
  </r>
  <r>
    <n v="408"/>
    <n v="36"/>
    <s v="0091134035"/>
    <x v="8"/>
    <s v="Qitrie Anisa Khaeri"/>
    <s v="P"/>
    <s v="Psikolog "/>
    <s v="Jurusan Psikologi, Universitas Indonesia "/>
    <x v="4"/>
    <x v="4"/>
    <x v="0"/>
  </r>
  <r>
    <n v="409"/>
    <n v="37"/>
    <s v="0106245820"/>
    <x v="8"/>
    <s v="Radya Camilla Arinda"/>
    <s v="P"/>
    <s v="Bioinformatika, animator"/>
    <s v="Biologi UGM"/>
    <x v="3"/>
    <x v="3"/>
    <x v="2"/>
  </r>
  <r>
    <n v="410"/>
    <n v="38"/>
    <s v="0101902217"/>
    <x v="8"/>
    <s v="Rahardian Muhamad Abisiena Koeswara"/>
    <s v="L"/>
    <s v="Hukum :Lawyer, Bioteknologi:Research and Development,FEB : PNS"/>
    <s v="Universitas Gadjah Mada "/>
    <x v="4"/>
    <x v="4"/>
    <x v="0"/>
  </r>
  <r>
    <n v="411"/>
    <n v="39"/>
    <s v="0094238472"/>
    <x v="8"/>
    <s v="Raihana Syafiqah Andyni"/>
    <s v="P"/>
    <s v="K3, pengacara korporat, R&amp;D/Product Deveploment"/>
    <s v="Fakultas MIPA Jurusan Biologi - Universitas Indonesia, Bioteknologi ITB, Fakultas Hukum - UI"/>
    <x v="2"/>
    <x v="2"/>
    <x v="2"/>
  </r>
  <r>
    <n v="412"/>
    <n v="40"/>
    <n v="3096149866"/>
    <x v="8"/>
    <s v="Rassya Faiq Hibatullah"/>
    <s v="P"/>
    <s v="Pembuat dan peneliti chip semikonduktor dan kelistrikan arus lemah, Menciptakan alat elektronik, ilmuwan elektro"/>
    <s v="Teknik Elektro Universiti Teknologi Malaysia"/>
    <x v="2"/>
    <x v="0"/>
    <x v="0"/>
  </r>
  <r>
    <n v="413"/>
    <n v="41"/>
    <s v="0106183087"/>
    <x v="8"/>
    <s v="Reynaldi"/>
    <s v="L"/>
    <s v="Ilmuwan bidang elektromagnetik, Data Analis"/>
    <s v="Teknik Elektro ITB atau Teknik Elektro Universitas Indonesia"/>
    <x v="1"/>
    <x v="3"/>
    <x v="2"/>
  </r>
  <r>
    <n v="414"/>
    <n v="42"/>
    <s v="0107182326"/>
    <x v="8"/>
    <s v="Sekar Raynaningrum"/>
    <s v="P"/>
    <s v="seniman, aktris, penyanyi"/>
    <s v="Ilmu Komunikasi, Universitas Indonesia"/>
    <x v="4"/>
    <x v="4"/>
    <x v="1"/>
  </r>
  <r>
    <n v="415"/>
    <n v="43"/>
    <s v="0099107315"/>
    <x v="8"/>
    <s v="Syahla Nurul Arisma"/>
    <s v="P"/>
    <s v="KOWAD, POLWAN"/>
    <s v="UNHAN (KEDOKTERAN MILITER) (FARMASI MILITER) (MIPA MILITER) "/>
    <x v="2"/>
    <x v="0"/>
    <x v="2"/>
  </r>
  <r>
    <n v="416"/>
    <n v="44"/>
    <s v="0094680852"/>
    <x v="8"/>
    <s v="Syauqi Anandya Putri"/>
    <s v="L"/>
    <s v="Pengacara, Jaksa, Psikiater"/>
    <s v="UI HUKUM"/>
    <x v="5"/>
    <x v="1"/>
    <x v="0"/>
  </r>
  <r>
    <n v="417"/>
    <n v="45"/>
    <s v="0098348385"/>
    <x v="8"/>
    <s v="Tayya Dzulhijjah Mokodompit"/>
    <s v="P"/>
    <s v="Dokter, Dokter bedah, hukum"/>
    <s v="kedokteran"/>
    <x v="2"/>
    <x v="2"/>
    <x v="2"/>
  </r>
  <r>
    <n v="418"/>
    <n v="1"/>
    <s v="0096033014"/>
    <x v="9"/>
    <s v="Abdul Ghofar"/>
    <s v="L"/>
    <s v="Dokter"/>
    <s v="kedokteran militer Universitas pertahanan "/>
    <x v="2"/>
    <x v="2"/>
    <x v="3"/>
  </r>
  <r>
    <n v="419"/>
    <n v="2"/>
    <s v="0104072965"/>
    <x v="9"/>
    <s v="Aditya Bayu Sutanto"/>
    <s v="L"/>
    <s v="Pengacara"/>
    <s v="hukum  UGM "/>
    <x v="4"/>
    <x v="4"/>
    <x v="1"/>
  </r>
  <r>
    <n v="420"/>
    <n v="3"/>
    <n v="2107246447"/>
    <x v="9"/>
    <s v="Affy Kaew Ni'Mitr Alhanafi"/>
    <s v="P"/>
    <s v="Mining Engineer "/>
    <s v="Fakultas Teknik Pertambangan ITB"/>
    <x v="1"/>
    <x v="3"/>
    <x v="0"/>
  </r>
  <r>
    <n v="421"/>
    <n v="4"/>
    <s v="0096128036"/>
    <x v="9"/>
    <s v="Ahmad Husein Al Latief"/>
    <s v="L"/>
    <s v="Pengacara"/>
    <s v="Hukum,Unpad,Pemain bola "/>
    <x v="4"/>
    <x v="4"/>
    <x v="0"/>
  </r>
  <r>
    <n v="422"/>
    <n v="5"/>
    <s v="0107055406"/>
    <x v="9"/>
    <s v="Akram Mubarak"/>
    <s v="L"/>
    <s v="Tentara"/>
    <s v="Teknik Sipil Pertahanan"/>
    <x v="5"/>
    <x v="1"/>
    <x v="0"/>
  </r>
  <r>
    <n v="423"/>
    <n v="6"/>
    <s v="0108389311"/>
    <x v="9"/>
    <s v="Alfi Amalia"/>
    <s v="P"/>
    <s v="Manufacturing Engineer"/>
    <s v="Teknik Mesin"/>
    <x v="1"/>
    <x v="3"/>
    <x v="0"/>
  </r>
  <r>
    <n v="424"/>
    <n v="7"/>
    <s v="0097357764"/>
    <x v="9"/>
    <s v="Amelia Nur Zahra"/>
    <s v="P"/>
    <s v="Auditor"/>
    <s v="Akuntansi , UI"/>
    <x v="3"/>
    <x v="0"/>
    <x v="1"/>
  </r>
  <r>
    <n v="425"/>
    <n v="8"/>
    <s v="0102387971"/>
    <x v="9"/>
    <s v="Ananda Bari Al Kausar"/>
    <s v="L"/>
    <s v="Operator alat berat"/>
    <s v="FTTM - ITB"/>
    <x v="4"/>
    <x v="4"/>
    <x v="1"/>
  </r>
  <r>
    <n v="426"/>
    <n v="9"/>
    <s v="0092171774"/>
    <x v="9"/>
    <s v="Ataya Arkan Ramadhan"/>
    <s v="P"/>
    <s v="Mine Engineer"/>
    <s v="FTTM - ITB"/>
    <x v="1"/>
    <x v="3"/>
    <x v="0"/>
  </r>
  <r>
    <n v="427"/>
    <n v="10"/>
    <s v="0103134538"/>
    <x v="9"/>
    <s v="Athaya Muhammad Daffa"/>
    <s v="P"/>
    <s v="IT Engineer"/>
    <s v="Sistem Informasi - UI"/>
    <x v="1"/>
    <x v="3"/>
    <x v="0"/>
  </r>
  <r>
    <n v="428"/>
    <n v="11"/>
    <s v="0104895570"/>
    <x v="9"/>
    <s v="Aura Nabilah Zahirah"/>
    <s v="P"/>
    <s v="Akuntan"/>
    <s v="FEB - Akuntansi UI/UGM, PKN stan"/>
    <x v="4"/>
    <x v="4"/>
    <x v="0"/>
  </r>
  <r>
    <n v="429"/>
    <n v="12"/>
    <s v="0099138854"/>
    <x v="9"/>
    <s v="Aurora Putri Samudra Dwiko"/>
    <s v="P"/>
    <s v="Sustainability Executive Petronas"/>
    <s v="Teknik Kimia"/>
    <x v="2"/>
    <x v="0"/>
    <x v="0"/>
  </r>
  <r>
    <n v="430"/>
    <n v="13"/>
    <s v="0105133490"/>
    <x v="9"/>
    <s v="Belva Thalita Ramadhena"/>
    <s v="P"/>
    <s v="QC/Ahli gizi"/>
    <s v="Teknik Pangan - ITB/IPB"/>
    <x v="2"/>
    <x v="2"/>
    <x v="3"/>
  </r>
  <r>
    <n v="431"/>
    <n v="14"/>
    <s v="0099153455"/>
    <x v="9"/>
    <s v="Bintang Mahardika Abhyoso Ardy"/>
    <s v="L"/>
    <s v="Militer"/>
    <s v="Teknik Sipil Pertahanan, Akademi militer, Tentara"/>
    <x v="2"/>
    <x v="2"/>
    <x v="4"/>
  </r>
  <r>
    <n v="432"/>
    <n v="15"/>
    <s v="0094286208"/>
    <x v="9"/>
    <s v="Claudia Dominique Gabriella Torus"/>
    <s v="P"/>
    <s v="Aktuaris"/>
    <s v="FMIPA - Aktuaria"/>
    <x v="2"/>
    <x v="0"/>
    <x v="0"/>
  </r>
  <r>
    <n v="433"/>
    <n v="16"/>
    <s v="0103526904"/>
    <x v="9"/>
    <s v="Dinara Savina"/>
    <s v="P"/>
    <s v="UI/UX Engineer"/>
    <s v="Teknik Industri - ITB/UI/IPB"/>
    <x v="4"/>
    <x v="0"/>
    <x v="4"/>
  </r>
  <r>
    <n v="434"/>
    <n v="17"/>
    <s v="0098248691"/>
    <x v="9"/>
    <s v="Dinda Syifa Rahmayanti"/>
    <s v="P"/>
    <s v="Dokter Gigi"/>
    <s v="Kedokteran Gigi"/>
    <x v="3"/>
    <x v="3"/>
    <x v="3"/>
  </r>
  <r>
    <n v="435"/>
    <n v="18"/>
    <s v="0105616025"/>
    <x v="9"/>
    <s v="Dindin Andini Suryaman"/>
    <s v="L"/>
    <s v="Psikologi "/>
    <s v="Paikolog - UNJ/UNPAD"/>
    <x v="4"/>
    <x v="4"/>
    <x v="0"/>
  </r>
  <r>
    <n v="436"/>
    <n v="19"/>
    <s v="0102329313"/>
    <x v="9"/>
    <s v="Gita Tazkiyatunnisa"/>
    <s v="P"/>
    <s v="Perwira Polisi"/>
    <s v="Taruni Akpol - Akademik kepolisian"/>
    <x v="3"/>
    <x v="3"/>
    <x v="3"/>
  </r>
  <r>
    <n v="437"/>
    <n v="20"/>
    <s v="0094626978"/>
    <x v="9"/>
    <s v="Haifa Aysha Zahira"/>
    <s v="P"/>
    <s v="Perawat"/>
    <s v="Keperawatan - UNPAD"/>
    <x v="2"/>
    <x v="2"/>
    <x v="3"/>
  </r>
  <r>
    <n v="438"/>
    <n v="21"/>
    <s v="0093849649"/>
    <x v="9"/>
    <s v="Intan Dwi Novianingrum"/>
    <s v="P"/>
    <m/>
    <m/>
    <x v="6"/>
    <x v="5"/>
    <x v="5"/>
  </r>
  <r>
    <n v="439"/>
    <n v="22"/>
    <s v="0102890859"/>
    <x v="9"/>
    <s v="Isnaini Fauziyah Utomo"/>
    <s v="P"/>
    <s v="Dokter Gigi"/>
    <s v="Kedokteran Gigi - UI"/>
    <x v="3"/>
    <x v="3"/>
    <x v="2"/>
  </r>
  <r>
    <n v="440"/>
    <n v="23"/>
    <s v="0107943430"/>
    <x v="9"/>
    <s v="Jeremia Geraldo Siregar"/>
    <s v="L"/>
    <s v="TNI"/>
    <s v="Teknik Sipil-Unhan"/>
    <x v="2"/>
    <x v="2"/>
    <x v="4"/>
  </r>
  <r>
    <n v="441"/>
    <n v="24"/>
    <s v="0102210036"/>
    <x v="9"/>
    <s v="Jerry Dwi Cahyono Putro"/>
    <s v="L"/>
    <s v="Engineering Manager"/>
    <s v="Teknik Sipil - UNDIP"/>
    <x v="1"/>
    <x v="3"/>
    <x v="0"/>
  </r>
  <r>
    <n v="442"/>
    <n v="25"/>
    <n v="3099544859"/>
    <x v="9"/>
    <s v="Jovan Khayru Affandi"/>
    <s v="L"/>
    <s v="Presiden"/>
    <s v="Teknik Sipil FT ITB"/>
    <x v="1"/>
    <x v="2"/>
    <x v="2"/>
  </r>
  <r>
    <n v="443"/>
    <n v="26"/>
    <s v="0104574006"/>
    <x v="9"/>
    <s v="Kayla Althafunnisa Arrasyid"/>
    <s v="P"/>
    <s v="Dokter Spesialis Anak (DSA), Psikologi anak"/>
    <s v="Kedokteran, FK UNPAD"/>
    <x v="3"/>
    <x v="3"/>
    <x v="2"/>
  </r>
  <r>
    <n v="444"/>
    <n v="27"/>
    <s v="0094966956"/>
    <x v="9"/>
    <s v="Keyla Ananda Safitri"/>
    <s v="P"/>
    <s v="Dokter Spesialis Bedah"/>
    <s v="Kedokteran, FK Universitas Pertahanan"/>
    <x v="3"/>
    <x v="3"/>
    <x v="3"/>
  </r>
  <r>
    <n v="445"/>
    <n v="28"/>
    <s v="0102208567"/>
    <x v="9"/>
    <s v="Khanza Aprillia Risyadi"/>
    <s v="P"/>
    <s v="Psikolog (IO)"/>
    <s v="Psikologi (IO)-unpad"/>
    <x v="4"/>
    <x v="4"/>
    <x v="0"/>
  </r>
  <r>
    <n v="446"/>
    <n v="29"/>
    <n v="3101402781"/>
    <x v="9"/>
    <s v="Maroen Al-Fatih Ibrahimessi"/>
    <s v="L"/>
    <s v="insinyur pertambangan"/>
    <s v="ITB-TEKNIK PERTAMBANGAN"/>
    <x v="1"/>
    <x v="3"/>
    <x v="0"/>
  </r>
  <r>
    <n v="447"/>
    <n v="30"/>
    <s v="0098516941"/>
    <x v="9"/>
    <s v="Muhamad Raihan Rizqullah"/>
    <s v="L"/>
    <s v="Cheff"/>
    <s v="politeknik pariwisata NHI bandung "/>
    <x v="4"/>
    <x v="4"/>
    <x v="0"/>
  </r>
  <r>
    <n v="448"/>
    <n v="31"/>
    <s v="0113735828"/>
    <x v="9"/>
    <s v="Muhammad Akhtar Arkana Ramadhan"/>
    <s v="L"/>
    <s v="Insinyur Lingkingan"/>
    <s v="Teknik lingkungan ITB"/>
    <x v="1"/>
    <x v="3"/>
    <x v="2"/>
  </r>
  <r>
    <n v="449"/>
    <n v="32"/>
    <s v="0109589144"/>
    <x v="9"/>
    <s v="Muhammad Tsafiq Ihsan"/>
    <s v="L"/>
    <s v="Financial analyst"/>
    <s v="manager teknologi, ITB "/>
    <x v="4"/>
    <x v="0"/>
    <x v="0"/>
  </r>
  <r>
    <n v="450"/>
    <n v="33"/>
    <s v="0108105659"/>
    <x v="9"/>
    <s v="Naqeesyaa Dhanova Al Adzra"/>
    <s v="P"/>
    <m/>
    <s v="Sastra Inggris UNPAD/IUP UNDIP/IUP UB"/>
    <x v="4"/>
    <x v="4"/>
    <x v="0"/>
  </r>
  <r>
    <n v="451"/>
    <n v="34"/>
    <s v="0091758520"/>
    <x v="9"/>
    <s v="Naufal Arzharel Ibrahimovic"/>
    <s v="L"/>
    <s v="TNI"/>
    <s v="Akademi Militer "/>
    <x v="2"/>
    <x v="0"/>
    <x v="0"/>
  </r>
  <r>
    <n v="452"/>
    <n v="35"/>
    <s v="0093643944"/>
    <x v="9"/>
    <s v="Naura Luvenavita Krisdianto"/>
    <s v="P"/>
    <s v="Ilmuwan"/>
    <s v="TEKNIK KIMIA – ITB"/>
    <x v="2"/>
    <x v="0"/>
    <x v="2"/>
  </r>
  <r>
    <n v="453"/>
    <n v="36"/>
    <s v="0106941532"/>
    <x v="9"/>
    <s v="Nava Marietta Siahaan"/>
    <s v="P"/>
    <s v="Dokter"/>
    <s v="Kedokteran, FK-KMK UGM"/>
    <x v="2"/>
    <x v="2"/>
    <x v="3"/>
  </r>
  <r>
    <n v="454"/>
    <n v="37"/>
    <s v="0109464483"/>
    <x v="9"/>
    <s v="Queensha Anindya Azka"/>
    <s v="P"/>
    <s v="insinyur biomedis"/>
    <s v="TEKNIK BIOMEDIK, FT-UI,STEI ITB, DTETI-UGM"/>
    <x v="2"/>
    <x v="0"/>
    <x v="0"/>
  </r>
  <r>
    <n v="455"/>
    <n v="38"/>
    <n v="3103591489"/>
    <x v="9"/>
    <s v="Rafael Anhar Armando"/>
    <s v="L"/>
    <s v="TNI"/>
    <s v="Akademi Militer"/>
    <x v="2"/>
    <x v="0"/>
    <x v="0"/>
  </r>
  <r>
    <n v="456"/>
    <n v="39"/>
    <s v="0097831413"/>
    <x v="9"/>
    <s v="Rahmania Azahra"/>
    <s v="P"/>
    <s v="Pegawai STAN"/>
    <s v="Manajemen"/>
    <x v="5"/>
    <x v="1"/>
    <x v="0"/>
  </r>
  <r>
    <n v="457"/>
    <n v="40"/>
    <s v="0094313180"/>
    <x v="9"/>
    <s v="Raivan Elang Pramono"/>
    <s v="L"/>
    <s v="Insinyur Alat Utama Sistem Senjata (Alutsista)"/>
    <s v="Teknik Mesin - ITB"/>
    <x v="1"/>
    <x v="3"/>
    <x v="0"/>
  </r>
  <r>
    <n v="458"/>
    <n v="41"/>
    <s v="0093204066"/>
    <x v="9"/>
    <s v="Rizqiyanah Qaysarania Herawan"/>
    <s v="P"/>
    <s v="Dokter Gigi Sp.KGA"/>
    <s v="Fakultas Kedokteran Gigi - UNPAD"/>
    <x v="3"/>
    <x v="1"/>
    <x v="1"/>
  </r>
  <r>
    <n v="459"/>
    <n v="42"/>
    <s v="0108540094"/>
    <x v="9"/>
    <s v="Salsha Aulia Akbar"/>
    <s v="P"/>
    <s v="creative director "/>
    <s v="Fakultas ilmu komunikasi - UI"/>
    <x v="4"/>
    <x v="4"/>
    <x v="0"/>
  </r>
  <r>
    <n v="460"/>
    <n v="43"/>
    <s v="0108413702"/>
    <x v="9"/>
    <s v="Sashikirana Luvena Maheswari"/>
    <s v="P"/>
    <s v="Dokter Sp. Bedah"/>
    <s v="Fakultas Kedokteran, UI"/>
    <x v="2"/>
    <x v="2"/>
    <x v="3"/>
  </r>
  <r>
    <n v="461"/>
    <n v="44"/>
    <s v="0108718382"/>
    <x v="9"/>
    <s v="Silvya Sri Aprilianti"/>
    <s v="P"/>
    <s v="Pengusaha"/>
    <s v="Manajemen Bisnis - ITB"/>
    <x v="5"/>
    <x v="1"/>
    <x v="0"/>
  </r>
  <r>
    <n v="462"/>
    <n v="45"/>
    <s v="0099775444"/>
    <x v="9"/>
    <s v="Syaakhira Fauziah"/>
    <s v="P"/>
    <s v="Diplomat"/>
    <s v="Hubungan Internasional UNPAD"/>
    <x v="4"/>
    <x v="4"/>
    <x v="0"/>
  </r>
  <r>
    <n v="463"/>
    <n v="46"/>
    <s v="0093324313"/>
    <x v="9"/>
    <s v="Vincentius Daniel Ornando"/>
    <s v="L"/>
    <s v="TNI AD"/>
    <s v="Imu Hukum - UI"/>
    <x v="2"/>
    <x v="0"/>
    <x v="2"/>
  </r>
  <r>
    <n v="464"/>
    <n v="1"/>
    <s v="0109542213"/>
    <x v="10"/>
    <s v="Adinda Garnetha Prasistha"/>
    <s v="P"/>
    <s v="Legal Officer"/>
    <s v="Hukum UPNVJ"/>
    <x v="4"/>
    <x v="4"/>
    <x v="1"/>
  </r>
  <r>
    <n v="465"/>
    <n v="2"/>
    <s v="0108324867"/>
    <x v="10"/>
    <s v="Ajeng Adisty Fahira"/>
    <s v="P"/>
    <m/>
    <m/>
    <x v="6"/>
    <x v="5"/>
    <x v="5"/>
  </r>
  <r>
    <n v="466"/>
    <n v="3"/>
    <s v="0109013664"/>
    <x v="10"/>
    <s v="Al Fathdry Rizky Wibowo"/>
    <s v="L"/>
    <s v="PNS"/>
    <s v="Sekolah Dinas"/>
    <x v="2"/>
    <x v="0"/>
    <x v="0"/>
  </r>
  <r>
    <n v="467"/>
    <n v="4"/>
    <s v="0108561560"/>
    <x v="10"/>
    <s v="Almira Aprilia Putri"/>
    <s v="P"/>
    <s v="Konsultan Kebijakan Kriminal, Analis Intelijen, Psikolog"/>
    <s v="Kriminologi (UI), Psikologi, DKV (ITB)"/>
    <x v="4"/>
    <x v="2"/>
    <x v="4"/>
  </r>
  <r>
    <n v="468"/>
    <n v="5"/>
    <s v="0096963702"/>
    <x v="10"/>
    <s v="Anndita"/>
    <s v="P"/>
    <s v="Jurnalis"/>
    <m/>
    <x v="4"/>
    <x v="4"/>
    <x v="0"/>
  </r>
  <r>
    <n v="469"/>
    <n v="6"/>
    <s v="0091952413"/>
    <x v="10"/>
    <s v="Askana Nailazahran Hermansyah"/>
    <s v="P"/>
    <s v="Psikolog Klinis"/>
    <s v="Psikologi UNPAD"/>
    <x v="2"/>
    <x v="2"/>
    <x v="3"/>
  </r>
  <r>
    <n v="470"/>
    <n v="7"/>
    <s v="0099678017"/>
    <x v="10"/>
    <s v="Aulia Intan Rhamadhani"/>
    <s v="P"/>
    <s v="scientist"/>
    <s v="MIT/FMIPA ITB"/>
    <x v="2"/>
    <x v="0"/>
    <x v="0"/>
  </r>
  <r>
    <n v="471"/>
    <n v="8"/>
    <s v="0104439014"/>
    <x v="10"/>
    <s v="Avrillino Herza Pratama"/>
    <s v="L"/>
    <s v="Software engenir/developer"/>
    <s v="Teknik Informatika ITB"/>
    <x v="1"/>
    <x v="2"/>
    <x v="1"/>
  </r>
  <r>
    <n v="472"/>
    <n v="9"/>
    <s v="0097138954"/>
    <x v="10"/>
    <s v="Aziz Sakhi Zaidan"/>
    <s v="L"/>
    <s v="Dokter/Tenaga Kesehatan"/>
    <s v="FK UI"/>
    <x v="2"/>
    <x v="2"/>
    <x v="3"/>
  </r>
  <r>
    <n v="473"/>
    <n v="10"/>
    <s v="0101964014"/>
    <x v="10"/>
    <s v="Azka Ivano Ananda Hidayat"/>
    <s v="L"/>
    <s v="Psikologi Forensik/Klinis"/>
    <s v="Psikologi UI, Stanford "/>
    <x v="2"/>
    <x v="2"/>
    <x v="3"/>
  </r>
  <r>
    <n v="474"/>
    <n v="11"/>
    <n v="3105650741"/>
    <x v="10"/>
    <s v="Azkiara Andhita"/>
    <s v="P"/>
    <s v="Chef"/>
    <s v="Tata Boga UPI"/>
    <x v="3"/>
    <x v="3"/>
    <x v="3"/>
  </r>
  <r>
    <n v="475"/>
    <n v="12"/>
    <s v="0091891047"/>
    <x v="10"/>
    <s v="Azzalea Sakinah Ayura Putri"/>
    <s v="P"/>
    <s v="Promotor Kesehatan/Environmental Enginnering/Pengusaha"/>
    <s v="FKM UI, SBM ITB, FTSL ITB"/>
    <x v="2"/>
    <x v="0"/>
    <x v="2"/>
  </r>
  <r>
    <n v="476"/>
    <n v="13"/>
    <s v="0103193565"/>
    <x v="10"/>
    <s v="Balqis Jauza Sabreenijka"/>
    <s v="P"/>
    <s v="Penerjemah, dosen"/>
    <s v="Sastra Rusia-UI"/>
    <x v="4"/>
    <x v="4"/>
    <x v="1"/>
  </r>
  <r>
    <n v="477"/>
    <n v="14"/>
    <s v="0096506746"/>
    <x v="10"/>
    <s v="Carissa Alia Andinaputri"/>
    <s v="P"/>
    <s v="Ahli Gizi"/>
    <s v="Gizi UGM"/>
    <x v="2"/>
    <x v="2"/>
    <x v="3"/>
  </r>
  <r>
    <n v="478"/>
    <n v="15"/>
    <s v="0109934428"/>
    <x v="10"/>
    <s v="Chntya Serlin Armedta Hia"/>
    <s v="P"/>
    <s v="Dokter"/>
    <s v="Kedokteran UI / UNAIR"/>
    <x v="2"/>
    <x v="2"/>
    <x v="3"/>
  </r>
  <r>
    <n v="479"/>
    <n v="16"/>
    <s v="0095529275"/>
    <x v="10"/>
    <s v="Evan Diaz"/>
    <s v="L"/>
    <s v=" Investigator Kepolisian"/>
    <s v="Kriminologi UI"/>
    <x v="4"/>
    <x v="4"/>
    <x v="3"/>
  </r>
  <r>
    <n v="480"/>
    <n v="17"/>
    <s v="0108527903"/>
    <x v="10"/>
    <s v="Fannan Hoseki Fayyaz"/>
    <s v="P"/>
    <m/>
    <m/>
    <x v="6"/>
    <x v="5"/>
    <x v="5"/>
  </r>
  <r>
    <n v="481"/>
    <n v="18"/>
    <s v="0108365392"/>
    <x v="10"/>
    <s v="Galuh Pria Esa"/>
    <s v="P"/>
    <s v="Akademi Militer"/>
    <s v="Hukum UI"/>
    <x v="3"/>
    <x v="0"/>
    <x v="1"/>
  </r>
  <r>
    <n v="482"/>
    <n v="19"/>
    <s v="0107182013"/>
    <x v="10"/>
    <s v="Henokh Prada Dhanendra Prasada"/>
    <s v="P"/>
    <s v="Pegawai Negeri Sipil"/>
    <m/>
    <x v="2"/>
    <x v="0"/>
    <x v="2"/>
  </r>
  <r>
    <n v="483"/>
    <n v="20"/>
    <s v="0092709548"/>
    <x v="10"/>
    <s v="Jazirah Rahmah"/>
    <s v="P"/>
    <m/>
    <m/>
    <x v="2"/>
    <x v="0"/>
    <x v="0"/>
  </r>
  <r>
    <n v="484"/>
    <n v="21"/>
    <s v="0118415302"/>
    <x v="10"/>
    <s v="Kaira Fatiya Nurfan"/>
    <s v="P"/>
    <s v="Engineer"/>
    <s v="Teknik Industri UI/IPB"/>
    <x v="2"/>
    <x v="2"/>
    <x v="3"/>
  </r>
  <r>
    <n v="485"/>
    <n v="22"/>
    <s v="0097372379"/>
    <x v="10"/>
    <s v="Linggara Anugrah"/>
    <s v="L"/>
    <m/>
    <m/>
    <x v="4"/>
    <x v="4"/>
    <x v="3"/>
  </r>
  <r>
    <n v="486"/>
    <n v="23"/>
    <s v="0093335479"/>
    <x v="10"/>
    <s v="Luna Majidah Zafira"/>
    <s v="P"/>
    <s v="Environmental engineer/analyst"/>
    <s v=" Teknik Lingkungan-UI"/>
    <x v="2"/>
    <x v="2"/>
    <x v="3"/>
  </r>
  <r>
    <n v="487"/>
    <n v="24"/>
    <s v="0106465537"/>
    <x v="10"/>
    <s v="Lutfiana Silva"/>
    <s v="P"/>
    <s v="Polwan/Kebidanan"/>
    <s v="Poltekkes"/>
    <x v="2"/>
    <x v="2"/>
    <x v="3"/>
  </r>
  <r>
    <n v="488"/>
    <n v="25"/>
    <s v="0103732986"/>
    <x v="10"/>
    <s v="Mazaya Marva Mardyanti"/>
    <s v="L"/>
    <s v="Dosen"/>
    <m/>
    <x v="2"/>
    <x v="0"/>
    <x v="0"/>
  </r>
  <r>
    <n v="489"/>
    <n v="26"/>
    <s v="0105348604"/>
    <x v="10"/>
    <s v="Misykah Adzra Maulida"/>
    <s v="L"/>
    <s v="Pengacara"/>
    <s v="Hukum UGM"/>
    <x v="4"/>
    <x v="4"/>
    <x v="1"/>
  </r>
  <r>
    <n v="490"/>
    <n v="27"/>
    <s v="0108812130"/>
    <x v="10"/>
    <s v="Muhamad Reyhan Nurhakim"/>
    <s v="L"/>
    <s v="Mine Engineer"/>
    <s v="FTTM ITB"/>
    <x v="2"/>
    <x v="0"/>
    <x v="0"/>
  </r>
  <r>
    <n v="491"/>
    <n v="28"/>
    <s v="0094912922"/>
    <x v="10"/>
    <s v="Muhammad Evan Fadillah"/>
    <s v="L"/>
    <s v="Akpol/Brimob"/>
    <s v="Teknik Nuklir UGM "/>
    <x v="3"/>
    <x v="0"/>
    <x v="2"/>
  </r>
  <r>
    <n v="492"/>
    <n v="29"/>
    <s v="0101578446"/>
    <x v="10"/>
    <s v="Muhammad Fahry Tyandra"/>
    <s v="L"/>
    <s v="Abdi Negra"/>
    <s v="Akademi Militer/TNI"/>
    <x v="3"/>
    <x v="0"/>
    <x v="1"/>
  </r>
  <r>
    <n v="493"/>
    <n v="30"/>
    <s v="0092179308"/>
    <x v="10"/>
    <s v="Muhammad Ieddzar Haradiya"/>
    <s v="L"/>
    <s v="Diplomat"/>
    <s v="HI Unpad / UI"/>
    <x v="4"/>
    <x v="2"/>
    <x v="4"/>
  </r>
  <r>
    <n v="494"/>
    <n v="31"/>
    <s v="0098186648"/>
    <x v="10"/>
    <s v="Muhammad Revan Adi Saputra"/>
    <s v="L"/>
    <s v="Psikolog Industri dan Organisasi"/>
    <s v="S1 psikologi UGM"/>
    <x v="1"/>
    <x v="2"/>
    <x v="2"/>
  </r>
  <r>
    <n v="495"/>
    <n v="32"/>
    <s v="0092349928"/>
    <x v="10"/>
    <s v="Muhammad Zaky Winata"/>
    <s v="L"/>
    <s v="Nahkoda"/>
    <s v="STIP"/>
    <x v="2"/>
    <x v="0"/>
    <x v="0"/>
  </r>
  <r>
    <n v="496"/>
    <n v="33"/>
    <s v="0096753454"/>
    <x v="10"/>
    <s v="Nadhifa Amelia Garjita"/>
    <s v="P"/>
    <s v="Dokter"/>
    <s v="FK UNAIR"/>
    <x v="3"/>
    <x v="3"/>
    <x v="2"/>
  </r>
  <r>
    <n v="497"/>
    <n v="34"/>
    <s v="0102000943"/>
    <x v="10"/>
    <s v="Nadia Delisa Saefani"/>
    <s v="P"/>
    <s v="Dokter/Apoteker"/>
    <s v="UGM (S1 farmasi) UNS (S1 Kedokteran)"/>
    <x v="3"/>
    <x v="3"/>
    <x v="3"/>
  </r>
  <r>
    <n v="498"/>
    <n v="35"/>
    <s v="0105612000"/>
    <x v="10"/>
    <s v="Neysha Aurelya Azzahra"/>
    <s v="P"/>
    <s v="diplomat, farmasi"/>
    <s v=" HI, ILKOM, FK UGM, UNS"/>
    <x v="2"/>
    <x v="2"/>
    <x v="2"/>
  </r>
  <r>
    <n v="499"/>
    <n v="36"/>
    <s v="0109258787"/>
    <x v="10"/>
    <s v="Rafa Farand Pratama"/>
    <s v="L"/>
    <m/>
    <m/>
    <x v="1"/>
    <x v="4"/>
    <x v="5"/>
  </r>
  <r>
    <n v="500"/>
    <n v="37"/>
    <s v="0093712588"/>
    <x v="10"/>
    <s v="Rendy Gilang Novianto"/>
    <s v="L"/>
    <s v="programmer"/>
    <s v="S1 Informatika UI"/>
    <x v="1"/>
    <x v="2"/>
    <x v="2"/>
  </r>
  <r>
    <n v="501"/>
    <n v="38"/>
    <s v="0102414768"/>
    <x v="10"/>
    <s v="Ruvita Rinjani"/>
    <s v="P"/>
    <s v="Keimigrasian"/>
    <s v="Politeknik Imigrasi (Poltekim) "/>
    <x v="2"/>
    <x v="0"/>
    <x v="0"/>
  </r>
  <r>
    <n v="502"/>
    <n v="39"/>
    <s v="0106760506"/>
    <x v="10"/>
    <s v="Salmaa Saalimah Wibowo"/>
    <s v="P"/>
    <s v="Dokter"/>
    <s v="Kedokteran UI/UGM, Farmasi UI/UGM"/>
    <x v="2"/>
    <x v="2"/>
    <x v="5"/>
  </r>
  <r>
    <n v="503"/>
    <n v="40"/>
    <s v="0095542022"/>
    <x v="10"/>
    <s v="Salsabil Mulki"/>
    <s v="P"/>
    <s v="TNI AL"/>
    <s v="hukum UI "/>
    <x v="3"/>
    <x v="3"/>
    <x v="3"/>
  </r>
  <r>
    <n v="504"/>
    <n v="41"/>
    <s v="0091610224"/>
    <x v="10"/>
    <s v="Shaquille Putra Yudira"/>
    <s v="P"/>
    <s v="Diplomat"/>
    <s v="FISIP HI, UI"/>
    <x v="4"/>
    <x v="2"/>
    <x v="4"/>
  </r>
  <r>
    <n v="505"/>
    <n v="42"/>
    <s v="0105010681"/>
    <x v="10"/>
    <s v="Siva Muliyanti"/>
    <s v="P"/>
    <s v="Dokter"/>
    <s v="kedokteran UNPAD, UNILA"/>
    <x v="3"/>
    <x v="3"/>
    <x v="3"/>
  </r>
  <r>
    <n v="506"/>
    <n v="43"/>
    <s v="0105717177"/>
    <x v="10"/>
    <s v="Tiara Zenobia Nafisa"/>
    <s v="P"/>
    <s v="PNS"/>
    <s v="IPDN"/>
    <x v="4"/>
    <x v="4"/>
    <x v="0"/>
  </r>
  <r>
    <n v="507"/>
    <n v="44"/>
    <s v="0107258754"/>
    <x v="10"/>
    <s v="Vilvizeeya Hazira Kurnia"/>
    <s v="P"/>
    <s v="Jaksa, Diplomat"/>
    <s v="Hukum UI"/>
    <x v="5"/>
    <x v="1"/>
    <x v="0"/>
  </r>
  <r>
    <n v="508"/>
    <n v="45"/>
    <s v="0106044416"/>
    <x v="10"/>
    <s v="Weny Meylieneke Sianipar"/>
    <s v="P"/>
    <s v="Sekretaris Bos"/>
    <s v="Sastra Inggris, Universitas Udayana"/>
    <x v="4"/>
    <x v="4"/>
    <x v="3"/>
  </r>
  <r>
    <n v="509"/>
    <n v="46"/>
    <s v="0108569165"/>
    <x v="10"/>
    <s v="Yoanne Mulin Averina"/>
    <s v="P"/>
    <s v="Penulis "/>
    <s v="FH UI"/>
    <x v="4"/>
    <x v="3"/>
    <x v="0"/>
  </r>
  <r>
    <n v="510"/>
    <n v="47"/>
    <s v="0093632849"/>
    <x v="10"/>
    <s v="Zaki Arya Wicaksono"/>
    <s v="L"/>
    <s v="Electrical Engineering"/>
    <s v="STEI-R ITB"/>
    <x v="1"/>
    <x v="3"/>
    <x v="0"/>
  </r>
  <r>
    <n v="511"/>
    <n v="48"/>
    <s v="0105748224"/>
    <x v="10"/>
    <s v="Zelda Hanifah Zaneta"/>
    <s v="P"/>
    <s v="fakultas kedokteran spesialis anak, Tekpang, Hukum"/>
    <s v="FK UI, FTI UI, FH UI"/>
    <x v="2"/>
    <x v="2"/>
    <x v="2"/>
  </r>
  <r>
    <n v="512"/>
    <n v="1"/>
    <m/>
    <x v="11"/>
    <s v="Afgan Prima Rizkia Iskandar"/>
    <s v="L"/>
    <s v="Bisnis/TNI"/>
    <s v="Teknik/hukum UI"/>
    <x v="1"/>
    <x v="3"/>
    <x v="2"/>
  </r>
  <r>
    <n v="513"/>
    <n v="2"/>
    <s v="00105770130"/>
    <x v="11"/>
    <s v="Aik Novitasari"/>
    <s v="P"/>
    <s v="pegawai pemerintah / bisnis"/>
    <s v="manajemen ( UGM )"/>
    <x v="5"/>
    <x v="1"/>
    <x v="3"/>
  </r>
  <r>
    <n v="514"/>
    <n v="3"/>
    <s v="0097950619"/>
    <x v="11"/>
    <s v="Aisyah Aqilah Agni"/>
    <s v="P"/>
    <s v="Diploma"/>
    <s v="University Of Pennsylvania, University Of Melbourne, London School Of Economic And Political Science "/>
    <x v="4"/>
    <x v="4"/>
    <x v="0"/>
  </r>
  <r>
    <n v="515"/>
    <n v="4"/>
    <n v="3097129671"/>
    <x v="11"/>
    <s v="Aisyah Hanifa Redana"/>
    <s v="P"/>
    <s v="System Analyst"/>
    <s v="Sistem Informasi UGM"/>
    <x v="3"/>
    <x v="1"/>
    <x v="3"/>
  </r>
  <r>
    <n v="516"/>
    <n v="5"/>
    <s v="0093002808"/>
    <x v="11"/>
    <s v="Allya Luthfiah Putri"/>
    <s v="P"/>
    <m/>
    <m/>
    <x v="6"/>
    <x v="5"/>
    <x v="5"/>
  </r>
  <r>
    <n v="517"/>
    <n v="6"/>
    <s v="0107831985"/>
    <x v="11"/>
    <s v="Annisa Salsabilla"/>
    <s v="P"/>
    <s v="Dokter, Psikolog"/>
    <s v="Universitas Padjajaran "/>
    <x v="4"/>
    <x v="2"/>
    <x v="4"/>
  </r>
  <r>
    <n v="518"/>
    <n v="7"/>
    <s v="0101396555"/>
    <x v="11"/>
    <s v="Arsyad Khaerul Izzan"/>
    <s v="L"/>
    <s v="Coach"/>
    <s v="Ilmu Keolahragaan (UNJ)"/>
    <x v="5"/>
    <x v="1"/>
    <x v="0"/>
  </r>
  <r>
    <n v="519"/>
    <n v="8"/>
    <s v="0108675973"/>
    <x v="11"/>
    <s v="Aruni Khalila Ayu"/>
    <s v="P"/>
    <s v="Aktuaris"/>
    <s v="Ilmu Aktuaria - (Universitas Indonesia, IPB)"/>
    <x v="2"/>
    <x v="0"/>
    <x v="0"/>
  </r>
  <r>
    <n v="520"/>
    <n v="9"/>
    <s v="0096011114"/>
    <x v="11"/>
    <s v="Avemarianne Ninetrie Septiane"/>
    <s v="P"/>
    <s v="Perawat"/>
    <s v="Keperawatan (UPH)"/>
    <x v="3"/>
    <x v="4"/>
    <x v="1"/>
  </r>
  <r>
    <n v="521"/>
    <n v="10"/>
    <n v="2099366441"/>
    <x v="11"/>
    <s v="Ayi Artadinata"/>
    <s v="P"/>
    <s v="Kondektur KAI"/>
    <s v="Ilmu komunikasi/Public Relations(IPB)"/>
    <x v="4"/>
    <x v="0"/>
    <x v="4"/>
  </r>
  <r>
    <n v="522"/>
    <n v="11"/>
    <s v="0109010502"/>
    <x v="11"/>
    <s v="Ayra Jauzaa Viranda"/>
    <s v="P"/>
    <s v="Process Engineer"/>
    <s v="Teknik Kimia, Universitas Indonesia"/>
    <x v="2"/>
    <x v="0"/>
    <x v="0"/>
  </r>
  <r>
    <n v="523"/>
    <n v="12"/>
    <s v="0109682985"/>
    <x v="11"/>
    <s v="Bintang Jati Pratama"/>
    <s v="L"/>
    <s v="Bisnis,Akmil"/>
    <s v="Manajemen ,Sekolah Kedinasan"/>
    <x v="4"/>
    <x v="0"/>
    <x v="1"/>
  </r>
  <r>
    <n v="524"/>
    <n v="13"/>
    <s v="0092725675"/>
    <x v="11"/>
    <s v="Daffa Hafizh Firdausi"/>
    <s v="L"/>
    <s v="Dokter dan engineer"/>
    <s v="kedokteran ui, teknik ui"/>
    <x v="2"/>
    <x v="2"/>
    <x v="3"/>
  </r>
  <r>
    <n v="525"/>
    <n v="14"/>
    <n v="3106961615"/>
    <x v="11"/>
    <s v="Damara Dasha Bahi Utomo"/>
    <s v="L"/>
    <s v="Illustrator, Designer"/>
    <s v="DKV FSRD ITB, DKV ITS"/>
    <x v="1"/>
    <x v="3"/>
    <x v="0"/>
  </r>
  <r>
    <n v="526"/>
    <n v="15"/>
    <s v="0102221985"/>
    <x v="11"/>
    <s v="Deana Azalea Belva"/>
    <s v="P"/>
    <s v="Dokter, Tenaga Kesehatan, Graphic Designer, Content Creator"/>
    <s v="Kedokteran Unpad, Tekpang, Ilmu gizi"/>
    <x v="2"/>
    <x v="2"/>
    <x v="3"/>
  </r>
  <r>
    <n v="527"/>
    <n v="16"/>
    <s v="0096201622"/>
    <x v="11"/>
    <s v="Delfa Maharani"/>
    <s v="P"/>
    <s v="Manajemen "/>
    <s v="Ekonomika,dan Bisnis (UGM/UI)"/>
    <x v="4"/>
    <x v="4"/>
    <x v="0"/>
  </r>
  <r>
    <n v="528"/>
    <n v="17"/>
    <s v="0104985283"/>
    <x v="11"/>
    <s v="Fauza Nur Aziema"/>
    <s v="P"/>
    <s v="Engineer"/>
    <s v="Teknik, Universitas Indonesia"/>
    <x v="2"/>
    <x v="0"/>
    <x v="0"/>
  </r>
  <r>
    <n v="529"/>
    <n v="18"/>
    <n v="3086279831"/>
    <x v="11"/>
    <s v="Gefira Azizatul Hasanah/Aisyah Nara"/>
    <s v="P"/>
    <m/>
    <m/>
    <x v="5"/>
    <x v="5"/>
    <x v="5"/>
  </r>
  <r>
    <n v="530"/>
    <n v="19"/>
    <n v="3091107524"/>
    <x v="11"/>
    <s v="Keisha Nurazizah"/>
    <s v="P"/>
    <s v="HRD (Human Resource Development) atau Supervisor "/>
    <s v="Manajemen (UI/UNPAD)"/>
    <x v="4"/>
    <x v="4"/>
    <x v="0"/>
  </r>
  <r>
    <n v="531"/>
    <n v="20"/>
    <s v="0103652262"/>
    <x v="11"/>
    <s v="Kenzie Dzakwan Ibrahim"/>
    <s v="L"/>
    <s v="Engineer, Business Intelligence"/>
    <s v="Institut Teknologi Bandung (ITB):  Konsentrasi Energi Terbarukan di bawah program studi Teknik Tenaga Listrik &amp; Universitas Indonesia (UI) : Fasilkom "/>
    <x v="1"/>
    <x v="1"/>
    <x v="1"/>
  </r>
  <r>
    <n v="532"/>
    <n v="21"/>
    <s v="0097732804"/>
    <x v="11"/>
    <s v="Kesyha Ramadhani"/>
    <s v="P"/>
    <s v="Bisnis"/>
    <s v="Manajemen, Hukum"/>
    <x v="4"/>
    <x v="4"/>
    <x v="0"/>
  </r>
  <r>
    <n v="533"/>
    <n v="22"/>
    <n v="3093490279"/>
    <x v="11"/>
    <s v="Kevin Septian Ramadhan"/>
    <s v="L"/>
    <s v="Bisnis/Departemen Dek"/>
    <s v="Manajemen"/>
    <x v="4"/>
    <x v="4"/>
    <x v="1"/>
  </r>
  <r>
    <n v="534"/>
    <n v="23"/>
    <s v="0094431854"/>
    <x v="11"/>
    <s v="Madina Zulfa Aini"/>
    <s v="P"/>
    <s v="dokter atau apoteker,psikologi"/>
    <s v="kedokteran (UI/UGM),FF(UGM/UNAIR)"/>
    <x v="2"/>
    <x v="2"/>
    <x v="2"/>
  </r>
  <r>
    <n v="535"/>
    <n v="24"/>
    <s v="0103035193"/>
    <x v="11"/>
    <s v="Maheswara Pekik Hanuraga"/>
    <s v="L"/>
    <s v="akuntan dan manajemen "/>
    <s v="ekonomi manajemen UI/UGM"/>
    <x v="5"/>
    <x v="1"/>
    <x v="1"/>
  </r>
  <r>
    <n v="536"/>
    <n v="25"/>
    <s v="0106434110"/>
    <x v="11"/>
    <s v="Maria Agatha Cherlin Christiani"/>
    <s v="P"/>
    <s v="Penulis/Ilustrator/ASN"/>
    <s v="Sastra Indonesia / Faperta (UI/UGM) "/>
    <x v="3"/>
    <x v="4"/>
    <x v="2"/>
  </r>
  <r>
    <n v="537"/>
    <n v="26"/>
    <s v="0095778047"/>
    <x v="11"/>
    <s v="Maulida Ainnurahma"/>
    <s v="P"/>
    <s v="Arsitektur "/>
    <s v="Arsitektur ITB"/>
    <x v="2"/>
    <x v="0"/>
    <x v="0"/>
  </r>
  <r>
    <n v="538"/>
    <n v="27"/>
    <s v="0103777854"/>
    <x v="11"/>
    <s v="Muhamad Subkhi"/>
    <s v="L"/>
    <s v="atlet, pengusaha, pembisnis "/>
    <s v="IPB (silviculture)(FMIPA)(TEKNIK PANGAN)"/>
    <x v="2"/>
    <x v="1"/>
    <x v="4"/>
  </r>
  <r>
    <n v="539"/>
    <n v="28"/>
    <n v="3109116422"/>
    <x v="11"/>
    <s v="Muhammad Armanugie Saputra"/>
    <s v="L"/>
    <s v="Tambang,Pembisnis "/>
    <s v="TEKNIK ITB/IPDN"/>
    <x v="2"/>
    <x v="0"/>
    <x v="2"/>
  </r>
  <r>
    <n v="540"/>
    <n v="29"/>
    <s v="0103887571"/>
    <x v="11"/>
    <s v="Muhammad Javier"/>
    <s v="L"/>
    <s v="Pembisnis "/>
    <s v="Teknik Pangan(IPB)"/>
    <x v="3"/>
    <x v="1"/>
    <x v="3"/>
  </r>
  <r>
    <n v="541"/>
    <n v="30"/>
    <s v="0102148224"/>
    <x v="11"/>
    <s v="Muhammad Zahran Rifai"/>
    <s v="L"/>
    <s v="Pembisnis, Diplomat, Perwira polisi, Lawyer, CEO, Dirut "/>
    <s v="FEB UI, SB ITB/IPB HI UGM"/>
    <x v="4"/>
    <x v="4"/>
    <x v="0"/>
  </r>
  <r>
    <n v="542"/>
    <n v="31"/>
    <s v="0096368920"/>
    <x v="11"/>
    <s v="Nadhifa Qeysa Auliani Soehardi"/>
    <s v="P"/>
    <s v="Dokter"/>
    <s v="Kedokteran Unpad"/>
    <x v="2"/>
    <x v="2"/>
    <x v="3"/>
  </r>
  <r>
    <n v="543"/>
    <n v="32"/>
    <s v="0094328074"/>
    <x v="11"/>
    <s v="Naila"/>
    <s v="P"/>
    <s v="Psikologi, BK atau Guru"/>
    <s v="Psikologi Unpad, "/>
    <x v="2"/>
    <x v="2"/>
    <x v="2"/>
  </r>
  <r>
    <n v="544"/>
    <n v="33"/>
    <s v="0098429745"/>
    <x v="11"/>
    <s v="Natiq Tawqir Muniruzzaman Anandamaya"/>
    <s v="L"/>
    <s v="atlet,Pns,pejabat,"/>
    <s v="Ui Hukum,Ugm Hukum,Itb Teknik"/>
    <x v="1"/>
    <x v="3"/>
    <x v="2"/>
  </r>
  <r>
    <n v="545"/>
    <n v="34"/>
    <n v="3102974181"/>
    <x v="11"/>
    <s v="Naureen Shabiha Zahira"/>
    <s v="P"/>
    <s v="Dokter"/>
    <s v="FK UI/UGM"/>
    <x v="3"/>
    <x v="3"/>
    <x v="3"/>
  </r>
  <r>
    <n v="546"/>
    <n v="35"/>
    <s v="0099622136"/>
    <x v="11"/>
    <s v="Nayla Lyra Sagita"/>
    <s v="P"/>
    <m/>
    <m/>
    <x v="6"/>
    <x v="5"/>
    <x v="5"/>
  </r>
  <r>
    <n v="547"/>
    <n v="36"/>
    <s v="0102898760"/>
    <x v="11"/>
    <s v="Naywa Dinda Kansana Lubis"/>
    <s v="P"/>
    <s v="Digital Marketing Specialist, Presenter"/>
    <s v="Ilmu Komunikasi Unpad"/>
    <x v="4"/>
    <x v="2"/>
    <x v="4"/>
  </r>
  <r>
    <n v="548"/>
    <n v="37"/>
    <s v="0108592067"/>
    <x v="11"/>
    <s v="Ni Putu Anjani Dewi Diningrat"/>
    <s v="P"/>
    <s v="Klimatolog"/>
    <s v="STMKG (prodi Klimatologi)"/>
    <x v="1"/>
    <x v="3"/>
    <x v="0"/>
  </r>
  <r>
    <n v="549"/>
    <n v="38"/>
    <s v="0095623487"/>
    <x v="11"/>
    <s v="Olivia Desvita Sari"/>
    <s v="P"/>
    <s v="Doker, Pegawai bank"/>
    <s v="Fk ugm, akuntasi Unpad"/>
    <x v="3"/>
    <x v="3"/>
    <x v="2"/>
  </r>
  <r>
    <n v="550"/>
    <n v="39"/>
    <s v="0106961567"/>
    <x v="11"/>
    <s v="R.A.M. Fakhri Izzuddin Mashur"/>
    <s v="L"/>
    <s v="polisi, dokter, psikologi"/>
    <s v="Akpol, UI FPsi, UI FH"/>
    <x v="3"/>
    <x v="3"/>
    <x v="2"/>
  </r>
  <r>
    <n v="551"/>
    <n v="40"/>
    <s v="0105994913"/>
    <x v="11"/>
    <s v="Radinka Alano Hamizan Abqari"/>
    <s v="L"/>
    <s v="Ahli kimia/RnD"/>
    <s v="Kimia, ITB/UI"/>
    <x v="2"/>
    <x v="2"/>
    <x v="3"/>
  </r>
  <r>
    <n v="552"/>
    <n v="41"/>
    <s v="0093563834"/>
    <x v="11"/>
    <s v="Rifqah Ramadhani"/>
    <s v="P"/>
    <s v="Guru"/>
    <s v="Fakultas Sains dan Teknologi (Islam), Fakultas Ilmu Tarbiyah dan Keguruan, Fakultas Adab dan Humaniora UIN"/>
    <x v="2"/>
    <x v="0"/>
    <x v="0"/>
  </r>
  <r>
    <n v="553"/>
    <n v="42"/>
    <s v="0097303991"/>
    <x v="11"/>
    <s v="Roshan Aidan Juro Aprianto"/>
    <s v="L"/>
    <s v="Pilot TNI AU"/>
    <s v="Teknik Aeronautika Pertahanan AAU/ Teknik Mesin Pertahanan Akmil"/>
    <x v="2"/>
    <x v="0"/>
    <x v="0"/>
  </r>
  <r>
    <n v="554"/>
    <n v="43"/>
    <s v="0098050747"/>
    <x v="11"/>
    <s v="Ruba Aqeela Hafizha Mecca"/>
    <s v="P"/>
    <s v="Hakim"/>
    <s v="Hukum Universitas Indonesia/ Hukum Universitas Padjajaran "/>
    <x v="4"/>
    <x v="4"/>
    <x v="0"/>
  </r>
  <r>
    <n v="555"/>
    <n v="44"/>
    <s v="0092524998"/>
    <x v="11"/>
    <s v="Sajna Jerrusalem Kharima Sugeng Putri"/>
    <s v="P"/>
    <s v="Ilustrator/Animator"/>
    <s v="FSRD - ITB"/>
    <x v="1"/>
    <x v="3"/>
    <x v="0"/>
  </r>
  <r>
    <n v="556"/>
    <n v="45"/>
    <s v="0109344308"/>
    <x v="11"/>
    <s v="Shahrazad Aulia Handyanto"/>
    <s v="P"/>
    <s v="Ilustrator"/>
    <s v="FSRD - ITB"/>
    <x v="4"/>
    <x v="4"/>
    <x v="1"/>
  </r>
  <r>
    <n v="557"/>
    <n v="46"/>
    <s v="0101659072"/>
    <x v="11"/>
    <s v="Syahla Salsabila Ramdani"/>
    <s v="P"/>
    <s v="akutansi"/>
    <s v="manajemen ( UGM )"/>
    <x v="4"/>
    <x v="4"/>
    <x v="3"/>
  </r>
  <r>
    <n v="558"/>
    <n v="47"/>
    <s v="0095899359"/>
    <x v="11"/>
    <s v="Velicya Arnelita Zahra Suryana"/>
    <s v="P"/>
    <s v="Arsitek"/>
    <s v="UCL - Architectural and interdisciplinary "/>
    <x v="2"/>
    <x v="2"/>
    <x v="3"/>
  </r>
  <r>
    <n v="559"/>
    <n v="48"/>
    <s v="0095810986"/>
    <x v="11"/>
    <s v="Zalfa Rizqia Nur Nadhifa"/>
    <s v="P"/>
    <s v="R&amp;D Scientist"/>
    <s v="Teknik Kimia ITB/Farmasi UI"/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KAP 2" cacheId="0" autoFormatId="1" applyNumberFormats="0" applyBorderFormats="0" applyFontFormats="0" applyPatternFormats="0" applyAlignmentFormats="0" applyWidthHeightFormats="1" dataCaption="" updatedVersion="8" compact="0" compactData="0" showDrill="1">
  <location ref="D1:L15" firstHeaderRow="1" firstDataRow="2" firstDataCol="1"/>
  <pivotFields count="11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Col" dataField="1" compact="0" sortType="ascending" outline="0" multipleItemSelectionAllowed="1" showAll="0">
      <items count="8">
        <item x="5"/>
        <item x="4"/>
        <item x="0"/>
        <item x="2"/>
        <item x="1"/>
        <item x="3"/>
        <item x="6"/>
        <item t="default"/>
      </items>
    </pivotField>
    <pivotField compact="0" outline="0" multipleItemSelectionAllowed="1" showAll="0"/>
    <pivotField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A of Pilihan ke 1" fld="8" subtotal="count" baseField="0" baseItem="0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REKAP 3" cacheId="0" autoFormatId="1" applyNumberFormats="0" applyBorderFormats="0" applyFontFormats="0" applyPatternFormats="0" applyAlignmentFormats="0" applyWidthHeightFormats="1" dataCaption="" updatedVersion="8" compact="0" compactData="0" showDrill="1">
  <location ref="N1:U15" firstHeaderRow="1" firstDataRow="2" firstDataCol="1"/>
  <pivotFields count="11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>
      <items count="8">
        <item x="5"/>
        <item x="4"/>
        <item x="0"/>
        <item x="2"/>
        <item x="1"/>
        <item x="3"/>
        <item x="6"/>
        <item t="default"/>
      </items>
    </pivotField>
    <pivotField axis="axisCol" compact="0" sortType="ascending" outline="0" multipleItemSelectionAllowed="1" showAll="0">
      <items count="7">
        <item x="4"/>
        <item x="1"/>
        <item x="3"/>
        <item x="0"/>
        <item x="2"/>
        <item x="5"/>
        <item t="default"/>
      </items>
    </pivotField>
    <pivotField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A of Pilihan ke 1" fld="8" subtotal="count" baseField="0" baseItem="0"/>
  </dataFields>
  <pivotTableStyleInfo showRowHeaders="1" showColHeaders="1" showLastColumn="1"/>
</pivotTableDefinition>
</file>

<file path=xl/pivotTables/pivotTable3.xml><?xml version="1.0" encoding="utf-8"?>
<pivotTableDefinition xmlns="http://schemas.openxmlformats.org/spreadsheetml/2006/main" name="REKAP 4" cacheId="0" autoFormatId="1" applyNumberFormats="0" applyBorderFormats="0" applyFontFormats="0" applyPatternFormats="0" applyAlignmentFormats="0" applyWidthHeightFormats="1" dataCaption="" updatedVersion="8" compact="0" compactData="0" showDrill="1">
  <location ref="X1:AE15" firstHeaderRow="1" firstDataRow="2" firstDataCol="1"/>
  <pivotFields count="11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>
      <items count="8">
        <item x="5"/>
        <item x="4"/>
        <item x="0"/>
        <item x="2"/>
        <item x="1"/>
        <item x="3"/>
        <item x="6"/>
        <item t="default"/>
      </items>
    </pivotField>
    <pivotField compact="0" outline="0" multipleItemSelectionAllowed="1" showAll="0"/>
    <pivotField axis="axisCol" compact="0" sortType="ascending" outline="0" multipleItemSelectionAllowed="1" showAll="0">
      <items count="7">
        <item x="4"/>
        <item x="2"/>
        <item x="1"/>
        <item x="3"/>
        <item x="0"/>
        <item x="5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A of Pilihan ke 1" fld="8" subtotal="count" baseField="0" baseItem="0"/>
  </dataFields>
  <pivotTableStyleInfo showRowHeaders="1" showColHeaders="1" showLastColumn="1"/>
</pivotTableDefinition>
</file>

<file path=xl/pivotTables/pivotTable4.xml><?xml version="1.0" encoding="utf-8"?>
<pivotTableDefinition xmlns="http://schemas.openxmlformats.org/spreadsheetml/2006/main" name="REKAP" cacheId="0" autoFormatId="1" applyNumberFormats="0" applyBorderFormats="0" applyFontFormats="0" applyPatternFormats="0" applyAlignmentFormats="0" applyWidthHeightFormats="1" dataCaption="" updatedVersion="8" compact="0" compactData="0" showDrill="1">
  <location ref="A1:B14" firstHeaderRow="1" firstDataRow="1" firstDataCol="1"/>
  <pivotFields count="11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>
      <items count="8">
        <item x="5"/>
        <item x="4"/>
        <item x="0"/>
        <item x="2"/>
        <item x="1"/>
        <item x="3"/>
        <item x="6"/>
        <item t="default"/>
      </items>
    </pivotField>
    <pivotField compact="0" outline="0" multipleItemSelectionAllowed="1" showAll="0"/>
    <pivotField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A of Pilihan ke 1" fld="8" subtotal="count" baseField="0" baseItem="0"/>
  </dataFields>
  <pivotTableStyleInfo showRowHeaders="1" showColHeaders="1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workbookViewId="0">
      <selection activeCell="C11" sqref="C11"/>
    </sheetView>
  </sheetViews>
  <sheetFormatPr defaultColWidth="9" defaultRowHeight="12.5" outlineLevelCol="3"/>
  <cols>
    <col min="1" max="1" width="6" customWidth="1"/>
    <col min="2" max="2" width="22.0909090909091" customWidth="1"/>
    <col min="3" max="3" width="35.1818181818182" customWidth="1"/>
  </cols>
  <sheetData>
    <row r="1" ht="77.5" customHeight="1" spans="1:4">
      <c r="A1" s="17" t="s">
        <v>0</v>
      </c>
      <c r="B1" s="17"/>
      <c r="C1" s="17"/>
      <c r="D1" s="17"/>
    </row>
    <row r="2" ht="4" customHeight="1" spans="1:4">
      <c r="A2" s="18"/>
      <c r="B2" s="18"/>
      <c r="C2" s="18"/>
      <c r="D2" s="18"/>
    </row>
    <row r="3" ht="15" customHeight="1" spans="1:4">
      <c r="A3" s="19" t="s">
        <v>1</v>
      </c>
      <c r="B3" s="19"/>
      <c r="C3" s="19"/>
      <c r="D3" s="19"/>
    </row>
    <row r="4" ht="15.5" customHeight="1" spans="1:4">
      <c r="A4" s="19" t="s">
        <v>2</v>
      </c>
      <c r="B4" s="19"/>
      <c r="C4" s="19"/>
      <c r="D4" s="19"/>
    </row>
    <row r="5" ht="15.5" customHeight="1" spans="1:4">
      <c r="A5" s="19" t="s">
        <v>3</v>
      </c>
      <c r="B5" s="19"/>
      <c r="C5" s="19"/>
      <c r="D5" s="19"/>
    </row>
    <row r="6" ht="14" customHeight="1" spans="1:4">
      <c r="A6" s="36" t="s">
        <v>4</v>
      </c>
    </row>
    <row r="7" spans="1:4">
      <c r="A7" s="20" t="s">
        <v>5</v>
      </c>
      <c r="B7" s="20" t="s">
        <v>6</v>
      </c>
      <c r="C7" s="20" t="s">
        <v>7</v>
      </c>
      <c r="D7" s="20" t="s">
        <v>8</v>
      </c>
    </row>
    <row r="8" s="36" customFormat="1" ht="12" customHeight="1" spans="1:4">
      <c r="A8" s="21">
        <v>1</v>
      </c>
      <c r="B8" s="45" t="s">
        <v>9</v>
      </c>
      <c r="C8" s="46" t="s">
        <v>10</v>
      </c>
      <c r="D8" s="42" t="s">
        <v>11</v>
      </c>
    </row>
    <row r="9" s="36" customFormat="1" ht="12" customHeight="1" spans="1:4">
      <c r="A9" s="21">
        <v>2</v>
      </c>
      <c r="B9" s="45" t="s">
        <v>12</v>
      </c>
      <c r="C9" s="46" t="s">
        <v>13</v>
      </c>
      <c r="D9" s="24" t="s">
        <v>14</v>
      </c>
    </row>
    <row r="10" s="36" customFormat="1" ht="12" customHeight="1" spans="1:4">
      <c r="A10" s="21">
        <v>3</v>
      </c>
      <c r="B10" s="45" t="s">
        <v>15</v>
      </c>
      <c r="C10" s="46" t="s">
        <v>16</v>
      </c>
      <c r="D10" s="24" t="s">
        <v>14</v>
      </c>
    </row>
    <row r="11" s="36" customFormat="1" ht="12" customHeight="1" spans="1:4">
      <c r="A11" s="21">
        <v>4</v>
      </c>
      <c r="B11" s="24" t="s">
        <v>17</v>
      </c>
      <c r="C11" s="43" t="s">
        <v>18</v>
      </c>
      <c r="D11" s="24" t="s">
        <v>14</v>
      </c>
    </row>
    <row r="12" s="36" customFormat="1" ht="12" customHeight="1" spans="1:4">
      <c r="A12" s="21">
        <v>5</v>
      </c>
      <c r="B12" s="45" t="s">
        <v>19</v>
      </c>
      <c r="C12" s="46" t="s">
        <v>20</v>
      </c>
      <c r="D12" s="24" t="s">
        <v>11</v>
      </c>
    </row>
    <row r="13" s="36" customFormat="1" ht="12" customHeight="1" spans="1:4">
      <c r="A13" s="21">
        <v>6</v>
      </c>
      <c r="B13" s="45" t="s">
        <v>21</v>
      </c>
      <c r="C13" s="46" t="s">
        <v>22</v>
      </c>
      <c r="D13" s="24" t="s">
        <v>11</v>
      </c>
    </row>
    <row r="14" s="36" customFormat="1" ht="12" customHeight="1" spans="1:4">
      <c r="A14" s="21">
        <v>7</v>
      </c>
      <c r="B14" s="45" t="s">
        <v>23</v>
      </c>
      <c r="C14" s="46" t="s">
        <v>24</v>
      </c>
      <c r="D14" s="24" t="s">
        <v>11</v>
      </c>
    </row>
    <row r="15" s="36" customFormat="1" ht="12" customHeight="1" spans="1:4">
      <c r="A15" s="21">
        <v>8</v>
      </c>
      <c r="B15" s="45" t="s">
        <v>25</v>
      </c>
      <c r="C15" s="46" t="s">
        <v>26</v>
      </c>
      <c r="D15" s="24" t="s">
        <v>11</v>
      </c>
    </row>
    <row r="16" s="36" customFormat="1" ht="12" customHeight="1" spans="1:4">
      <c r="A16" s="21">
        <v>9</v>
      </c>
      <c r="B16" s="45" t="s">
        <v>27</v>
      </c>
      <c r="C16" s="46" t="s">
        <v>28</v>
      </c>
      <c r="D16" s="24" t="s">
        <v>11</v>
      </c>
    </row>
    <row r="17" s="36" customFormat="1" ht="12" customHeight="1" spans="1:4">
      <c r="A17" s="21">
        <v>10</v>
      </c>
      <c r="B17" s="45" t="s">
        <v>29</v>
      </c>
      <c r="C17" s="46" t="s">
        <v>30</v>
      </c>
      <c r="D17" s="24" t="s">
        <v>14</v>
      </c>
    </row>
    <row r="18" s="36" customFormat="1" ht="12" customHeight="1" spans="1:4">
      <c r="A18" s="21">
        <v>11</v>
      </c>
      <c r="B18" s="45" t="s">
        <v>31</v>
      </c>
      <c r="C18" s="46" t="s">
        <v>32</v>
      </c>
      <c r="D18" s="24" t="s">
        <v>14</v>
      </c>
    </row>
    <row r="19" s="36" customFormat="1" ht="12" customHeight="1" spans="1:4">
      <c r="A19" s="21">
        <v>12</v>
      </c>
      <c r="B19" s="45" t="s">
        <v>33</v>
      </c>
      <c r="C19" s="46" t="s">
        <v>34</v>
      </c>
      <c r="D19" s="25" t="s">
        <v>11</v>
      </c>
    </row>
    <row r="20" s="36" customFormat="1" ht="12" customHeight="1" spans="1:4">
      <c r="A20" s="21">
        <v>13</v>
      </c>
      <c r="B20" s="45" t="s">
        <v>35</v>
      </c>
      <c r="C20" s="46" t="s">
        <v>36</v>
      </c>
      <c r="D20" s="24" t="s">
        <v>11</v>
      </c>
    </row>
    <row r="21" s="36" customFormat="1" ht="12" customHeight="1" spans="1:4">
      <c r="A21" s="21">
        <v>14</v>
      </c>
      <c r="B21" s="45" t="s">
        <v>37</v>
      </c>
      <c r="C21" s="46" t="s">
        <v>38</v>
      </c>
      <c r="D21" s="44" t="s">
        <v>14</v>
      </c>
    </row>
    <row r="22" s="36" customFormat="1" ht="12" customHeight="1" spans="1:4">
      <c r="A22" s="21">
        <v>15</v>
      </c>
      <c r="B22" s="45" t="s">
        <v>39</v>
      </c>
      <c r="C22" s="46" t="s">
        <v>40</v>
      </c>
      <c r="D22" s="25" t="s">
        <v>11</v>
      </c>
    </row>
    <row r="23" s="36" customFormat="1" ht="12" customHeight="1" spans="1:4">
      <c r="A23" s="21">
        <v>16</v>
      </c>
      <c r="B23" s="45" t="s">
        <v>41</v>
      </c>
      <c r="C23" s="46" t="s">
        <v>42</v>
      </c>
      <c r="D23" s="24" t="s">
        <v>14</v>
      </c>
    </row>
    <row r="24" s="36" customFormat="1" ht="12" customHeight="1" spans="1:4">
      <c r="A24" s="21">
        <v>17</v>
      </c>
      <c r="B24" s="45" t="s">
        <v>43</v>
      </c>
      <c r="C24" s="46" t="s">
        <v>44</v>
      </c>
      <c r="D24" s="24" t="s">
        <v>14</v>
      </c>
    </row>
    <row r="25" s="36" customFormat="1" ht="12" customHeight="1" spans="1:4">
      <c r="A25" s="21">
        <v>18</v>
      </c>
      <c r="B25" s="45" t="s">
        <v>45</v>
      </c>
      <c r="C25" s="46" t="s">
        <v>46</v>
      </c>
      <c r="D25" s="24" t="s">
        <v>14</v>
      </c>
    </row>
    <row r="26" s="36" customFormat="1" ht="12" customHeight="1" spans="1:4">
      <c r="A26" s="21">
        <v>19</v>
      </c>
      <c r="B26" s="45" t="s">
        <v>47</v>
      </c>
      <c r="C26" s="46" t="s">
        <v>48</v>
      </c>
      <c r="D26" s="24" t="s">
        <v>11</v>
      </c>
    </row>
    <row r="27" s="36" customFormat="1" ht="12" customHeight="1" spans="1:4">
      <c r="A27" s="21">
        <v>20</v>
      </c>
      <c r="B27" s="45" t="s">
        <v>49</v>
      </c>
      <c r="C27" s="46" t="s">
        <v>50</v>
      </c>
      <c r="D27" s="24" t="s">
        <v>14</v>
      </c>
    </row>
    <row r="28" s="36" customFormat="1" ht="12" customHeight="1" spans="1:4">
      <c r="A28" s="21">
        <v>21</v>
      </c>
      <c r="B28" s="45" t="s">
        <v>51</v>
      </c>
      <c r="C28" s="46" t="s">
        <v>52</v>
      </c>
      <c r="D28" s="24" t="s">
        <v>11</v>
      </c>
    </row>
    <row r="29" s="36" customFormat="1" ht="12" customHeight="1" spans="1:4">
      <c r="A29" s="21">
        <v>22</v>
      </c>
      <c r="B29" s="45" t="s">
        <v>53</v>
      </c>
      <c r="C29" s="46" t="s">
        <v>54</v>
      </c>
      <c r="D29" s="24" t="s">
        <v>14</v>
      </c>
    </row>
    <row r="30" s="36" customFormat="1" ht="12" customHeight="1" spans="1:4">
      <c r="A30" s="21">
        <v>23</v>
      </c>
      <c r="B30" s="45" t="s">
        <v>55</v>
      </c>
      <c r="C30" s="46" t="s">
        <v>56</v>
      </c>
      <c r="D30" s="24" t="s">
        <v>14</v>
      </c>
    </row>
    <row r="31" s="36" customFormat="1" ht="12" customHeight="1" spans="1:4">
      <c r="A31" s="21">
        <v>24</v>
      </c>
      <c r="B31" s="45" t="s">
        <v>57</v>
      </c>
      <c r="C31" s="46" t="s">
        <v>58</v>
      </c>
      <c r="D31" s="24" t="s">
        <v>14</v>
      </c>
    </row>
    <row r="32" s="36" customFormat="1" ht="12" customHeight="1" spans="1:4">
      <c r="A32" s="21">
        <v>25</v>
      </c>
      <c r="B32" s="45" t="s">
        <v>59</v>
      </c>
      <c r="C32" s="46" t="s">
        <v>60</v>
      </c>
      <c r="D32" s="24" t="s">
        <v>14</v>
      </c>
    </row>
    <row r="33" s="36" customFormat="1" ht="12" customHeight="1" spans="1:4">
      <c r="A33" s="21">
        <v>26</v>
      </c>
      <c r="B33" s="45" t="s">
        <v>61</v>
      </c>
      <c r="C33" s="46" t="s">
        <v>62</v>
      </c>
      <c r="D33" s="24" t="s">
        <v>11</v>
      </c>
    </row>
    <row r="34" s="36" customFormat="1" ht="12" customHeight="1" spans="1:4">
      <c r="A34" s="21">
        <v>27</v>
      </c>
      <c r="B34" s="45" t="s">
        <v>63</v>
      </c>
      <c r="C34" s="46" t="s">
        <v>64</v>
      </c>
      <c r="D34" s="24" t="s">
        <v>14</v>
      </c>
    </row>
    <row r="35" s="36" customFormat="1" ht="12" customHeight="1" spans="1:4">
      <c r="A35" s="21">
        <v>28</v>
      </c>
      <c r="B35" s="45" t="s">
        <v>65</v>
      </c>
      <c r="C35" s="46" t="s">
        <v>66</v>
      </c>
      <c r="D35" s="25" t="s">
        <v>11</v>
      </c>
    </row>
    <row r="36" s="36" customFormat="1" ht="12" customHeight="1" spans="1:4">
      <c r="A36" s="21">
        <v>29</v>
      </c>
      <c r="B36" s="45" t="s">
        <v>67</v>
      </c>
      <c r="C36" s="46" t="s">
        <v>68</v>
      </c>
      <c r="D36" s="24" t="s">
        <v>11</v>
      </c>
    </row>
    <row r="37" s="36" customFormat="1" ht="12" customHeight="1" spans="1:4">
      <c r="A37" s="21">
        <v>30</v>
      </c>
      <c r="B37" s="45" t="s">
        <v>69</v>
      </c>
      <c r="C37" s="46" t="s">
        <v>70</v>
      </c>
      <c r="D37" s="24" t="s">
        <v>11</v>
      </c>
    </row>
    <row r="38" s="36" customFormat="1" ht="12" customHeight="1" spans="1:4">
      <c r="A38" s="21">
        <v>31</v>
      </c>
      <c r="B38" s="45" t="s">
        <v>71</v>
      </c>
      <c r="C38" s="46" t="s">
        <v>72</v>
      </c>
      <c r="D38" s="25" t="s">
        <v>14</v>
      </c>
    </row>
    <row r="39" s="36" customFormat="1" ht="12" customHeight="1" spans="1:4">
      <c r="A39" s="21">
        <v>32</v>
      </c>
      <c r="B39" s="45" t="s">
        <v>73</v>
      </c>
      <c r="C39" s="46" t="s">
        <v>74</v>
      </c>
      <c r="D39" s="24" t="s">
        <v>11</v>
      </c>
    </row>
    <row r="40" s="36" customFormat="1" ht="12" customHeight="1" spans="1:4">
      <c r="A40" s="21">
        <v>33</v>
      </c>
      <c r="B40" s="45" t="s">
        <v>75</v>
      </c>
      <c r="C40" s="46" t="s">
        <v>76</v>
      </c>
      <c r="D40" s="24" t="s">
        <v>11</v>
      </c>
    </row>
    <row r="41" s="36" customFormat="1" ht="12" customHeight="1" spans="1:4">
      <c r="A41" s="21">
        <v>34</v>
      </c>
      <c r="B41" s="45" t="s">
        <v>77</v>
      </c>
      <c r="C41" s="46" t="s">
        <v>78</v>
      </c>
      <c r="D41" s="24" t="s">
        <v>11</v>
      </c>
    </row>
    <row r="42" s="36" customFormat="1" ht="12" customHeight="1" spans="1:4">
      <c r="A42" s="21">
        <v>35</v>
      </c>
      <c r="B42" s="45" t="s">
        <v>79</v>
      </c>
      <c r="C42" s="46" t="s">
        <v>80</v>
      </c>
      <c r="D42" s="24" t="s">
        <v>11</v>
      </c>
    </row>
    <row r="43" s="36" customFormat="1" ht="12" customHeight="1" spans="1:4">
      <c r="A43" s="21">
        <v>36</v>
      </c>
      <c r="B43" s="45" t="s">
        <v>81</v>
      </c>
      <c r="C43" s="46" t="s">
        <v>82</v>
      </c>
      <c r="D43" s="24" t="s">
        <v>14</v>
      </c>
    </row>
    <row r="44" s="36" customFormat="1" ht="12" customHeight="1" spans="1:4">
      <c r="A44" s="21">
        <v>37</v>
      </c>
      <c r="B44" s="45" t="s">
        <v>83</v>
      </c>
      <c r="C44" s="46" t="s">
        <v>84</v>
      </c>
      <c r="D44" s="24" t="s">
        <v>11</v>
      </c>
    </row>
    <row r="45" s="36" customFormat="1" ht="12" customHeight="1" spans="1:4">
      <c r="A45" s="21">
        <v>38</v>
      </c>
      <c r="B45" s="45" t="s">
        <v>85</v>
      </c>
      <c r="C45" s="46" t="s">
        <v>86</v>
      </c>
      <c r="D45" s="24" t="s">
        <v>14</v>
      </c>
    </row>
    <row r="46" s="36" customFormat="1" ht="12" customHeight="1" spans="1:4">
      <c r="A46" s="21">
        <v>39</v>
      </c>
      <c r="B46" s="45" t="s">
        <v>87</v>
      </c>
      <c r="C46" s="46" t="s">
        <v>88</v>
      </c>
      <c r="D46" s="24" t="s">
        <v>11</v>
      </c>
    </row>
    <row r="47" s="36" customFormat="1" ht="12" customHeight="1" spans="1:4">
      <c r="A47" s="21">
        <v>40</v>
      </c>
      <c r="B47" s="45" t="s">
        <v>89</v>
      </c>
      <c r="C47" s="46" t="s">
        <v>90</v>
      </c>
      <c r="D47" s="24" t="s">
        <v>14</v>
      </c>
    </row>
    <row r="48" s="36" customFormat="1" ht="12" customHeight="1" spans="1:4">
      <c r="A48" s="21">
        <v>41</v>
      </c>
      <c r="B48" s="45" t="s">
        <v>91</v>
      </c>
      <c r="C48" s="46" t="s">
        <v>92</v>
      </c>
      <c r="D48" s="25" t="s">
        <v>14</v>
      </c>
    </row>
    <row r="49" s="36" customFormat="1" ht="12" customHeight="1" spans="1:4">
      <c r="A49" s="21">
        <v>42</v>
      </c>
      <c r="B49" s="45" t="s">
        <v>93</v>
      </c>
      <c r="C49" s="46" t="s">
        <v>94</v>
      </c>
      <c r="D49" s="24" t="s">
        <v>14</v>
      </c>
    </row>
    <row r="50" s="36" customFormat="1" ht="12" customHeight="1" spans="1:4">
      <c r="A50" s="21">
        <v>43</v>
      </c>
      <c r="B50" s="45" t="s">
        <v>95</v>
      </c>
      <c r="C50" s="46" t="s">
        <v>96</v>
      </c>
      <c r="D50" s="24" t="s">
        <v>14</v>
      </c>
    </row>
    <row r="51" s="36" customFormat="1" ht="12" customHeight="1" spans="1:4">
      <c r="A51" s="21">
        <v>44</v>
      </c>
      <c r="B51" s="45" t="s">
        <v>97</v>
      </c>
      <c r="C51" s="46" t="s">
        <v>98</v>
      </c>
      <c r="D51" s="24" t="s">
        <v>11</v>
      </c>
    </row>
    <row r="52" s="36" customFormat="1" ht="12" customHeight="1" spans="1:4">
      <c r="A52" s="21">
        <v>45</v>
      </c>
      <c r="B52" s="45" t="s">
        <v>99</v>
      </c>
      <c r="C52" s="46" t="s">
        <v>100</v>
      </c>
      <c r="D52" s="24" t="s">
        <v>14</v>
      </c>
    </row>
    <row r="53" s="36" customFormat="1" ht="12" customHeight="1" spans="1:4">
      <c r="A53" s="21">
        <v>46</v>
      </c>
      <c r="B53" s="45" t="s">
        <v>101</v>
      </c>
      <c r="C53" s="46" t="s">
        <v>102</v>
      </c>
      <c r="D53" s="24" t="s">
        <v>11</v>
      </c>
    </row>
    <row r="54" s="36" customFormat="1" ht="12" customHeight="1" spans="1:4">
      <c r="A54" s="21">
        <v>47</v>
      </c>
      <c r="B54" s="45" t="s">
        <v>103</v>
      </c>
      <c r="C54" s="46" t="s">
        <v>104</v>
      </c>
      <c r="D54" s="24" t="s">
        <v>14</v>
      </c>
    </row>
    <row r="55" s="36" customFormat="1" ht="12" customHeight="1"/>
    <row r="56" s="36" customFormat="1" ht="12" customHeight="1" spans="1:4">
      <c r="C56" s="23" t="s">
        <v>105</v>
      </c>
      <c r="D56" s="37">
        <f>COUNTIF(D8:D54,"L")</f>
        <v>23</v>
      </c>
    </row>
    <row r="57" s="36" customFormat="1" ht="12" customHeight="1" spans="1:4">
      <c r="C57" s="23" t="s">
        <v>106</v>
      </c>
      <c r="D57" s="37">
        <f>COUNTIF(D8:D54,"P")</f>
        <v>24</v>
      </c>
    </row>
  </sheetData>
  <mergeCells count="4">
    <mergeCell ref="A1:D1"/>
    <mergeCell ref="A3:D3"/>
    <mergeCell ref="A4:D4"/>
    <mergeCell ref="A5:D5"/>
  </mergeCells>
  <printOptions horizontalCentered="1"/>
  <pageMargins left="0.95" right="0.7" top="0.25" bottom="0.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opLeftCell="A4" workbookViewId="0">
      <selection activeCell="B8" sqref="B8:D54"/>
    </sheetView>
  </sheetViews>
  <sheetFormatPr defaultColWidth="9" defaultRowHeight="12.5" outlineLevelCol="3"/>
  <cols>
    <col min="1" max="1" width="5.72727272727273" customWidth="1"/>
    <col min="2" max="2" width="22.0909090909091" customWidth="1"/>
    <col min="3" max="3" width="37" customWidth="1"/>
    <col min="6" max="6" width="19.9090909090909" customWidth="1"/>
  </cols>
  <sheetData>
    <row r="1" ht="75" customHeight="1" spans="1:4">
      <c r="A1" s="17" t="s">
        <v>0</v>
      </c>
      <c r="B1" s="17"/>
      <c r="C1" s="17"/>
      <c r="D1" s="17"/>
    </row>
    <row r="2" ht="4.5" customHeight="1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107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ht="14.5" customHeight="1" spans="1:4">
      <c r="A6" s="36" t="s">
        <v>108</v>
      </c>
    </row>
    <row r="7" ht="16.5" customHeight="1" spans="1:4">
      <c r="A7" s="20" t="s">
        <v>5</v>
      </c>
      <c r="B7" s="20" t="s">
        <v>6</v>
      </c>
      <c r="C7" s="20" t="s">
        <v>7</v>
      </c>
      <c r="D7" s="20" t="s">
        <v>8</v>
      </c>
    </row>
    <row r="8" s="36" customFormat="1" ht="12" customHeight="1" spans="1:4">
      <c r="A8" s="21">
        <v>1</v>
      </c>
      <c r="B8" s="45" t="s">
        <v>109</v>
      </c>
      <c r="C8" s="46" t="s">
        <v>110</v>
      </c>
      <c r="D8" s="24" t="s">
        <v>11</v>
      </c>
    </row>
    <row r="9" s="36" customFormat="1" ht="12" customHeight="1" spans="1:4">
      <c r="A9" s="21">
        <v>2</v>
      </c>
      <c r="B9" s="45" t="s">
        <v>111</v>
      </c>
      <c r="C9" s="46" t="s">
        <v>112</v>
      </c>
      <c r="D9" s="24" t="s">
        <v>14</v>
      </c>
    </row>
    <row r="10" s="36" customFormat="1" ht="12" customHeight="1" spans="1:4">
      <c r="A10" s="21">
        <v>3</v>
      </c>
      <c r="B10" s="45" t="s">
        <v>113</v>
      </c>
      <c r="C10" s="46" t="s">
        <v>114</v>
      </c>
      <c r="D10" s="24" t="s">
        <v>11</v>
      </c>
    </row>
    <row r="11" s="36" customFormat="1" ht="12" customHeight="1" spans="1:4">
      <c r="A11" s="21">
        <v>4</v>
      </c>
      <c r="B11" s="45" t="s">
        <v>115</v>
      </c>
      <c r="C11" s="46" t="s">
        <v>116</v>
      </c>
      <c r="D11" s="24" t="s">
        <v>14</v>
      </c>
    </row>
    <row r="12" s="36" customFormat="1" ht="12" customHeight="1" spans="1:4">
      <c r="A12" s="21">
        <v>5</v>
      </c>
      <c r="B12" s="45" t="s">
        <v>117</v>
      </c>
      <c r="C12" s="46" t="s">
        <v>118</v>
      </c>
      <c r="D12" s="24" t="s">
        <v>14</v>
      </c>
    </row>
    <row r="13" s="36" customFormat="1" ht="12" customHeight="1" spans="1:4">
      <c r="A13" s="21">
        <v>6</v>
      </c>
      <c r="B13" s="45" t="s">
        <v>119</v>
      </c>
      <c r="C13" s="46" t="s">
        <v>120</v>
      </c>
      <c r="D13" s="24" t="s">
        <v>14</v>
      </c>
    </row>
    <row r="14" s="36" customFormat="1" ht="12" customHeight="1" spans="1:4">
      <c r="A14" s="21">
        <v>7</v>
      </c>
      <c r="B14" s="45" t="s">
        <v>121</v>
      </c>
      <c r="C14" s="46" t="s">
        <v>122</v>
      </c>
      <c r="D14" s="24" t="s">
        <v>14</v>
      </c>
    </row>
    <row r="15" s="36" customFormat="1" ht="12" customHeight="1" spans="1:4">
      <c r="A15" s="21">
        <v>8</v>
      </c>
      <c r="B15" s="45" t="s">
        <v>123</v>
      </c>
      <c r="C15" s="46" t="s">
        <v>124</v>
      </c>
      <c r="D15" s="24" t="s">
        <v>14</v>
      </c>
    </row>
    <row r="16" s="36" customFormat="1" ht="12" customHeight="1" spans="1:4">
      <c r="A16" s="21">
        <v>9</v>
      </c>
      <c r="B16" s="45" t="s">
        <v>125</v>
      </c>
      <c r="C16" s="46" t="s">
        <v>126</v>
      </c>
      <c r="D16" s="24" t="s">
        <v>14</v>
      </c>
    </row>
    <row r="17" s="36" customFormat="1" ht="12" customHeight="1" spans="1:4">
      <c r="A17" s="21">
        <v>10</v>
      </c>
      <c r="B17" s="45" t="s">
        <v>127</v>
      </c>
      <c r="C17" s="46" t="s">
        <v>128</v>
      </c>
      <c r="D17" s="24" t="s">
        <v>11</v>
      </c>
    </row>
    <row r="18" s="36" customFormat="1" ht="12" customHeight="1" spans="1:4">
      <c r="A18" s="21">
        <v>11</v>
      </c>
      <c r="B18" s="45" t="s">
        <v>129</v>
      </c>
      <c r="C18" s="46" t="s">
        <v>130</v>
      </c>
      <c r="D18" s="24" t="s">
        <v>14</v>
      </c>
    </row>
    <row r="19" s="36" customFormat="1" ht="12" customHeight="1" spans="1:4">
      <c r="A19" s="21">
        <v>12</v>
      </c>
      <c r="B19" s="45" t="s">
        <v>131</v>
      </c>
      <c r="C19" s="46" t="s">
        <v>132</v>
      </c>
      <c r="D19" s="24" t="s">
        <v>14</v>
      </c>
    </row>
    <row r="20" s="36" customFormat="1" ht="12" customHeight="1" spans="1:4">
      <c r="A20" s="21">
        <v>13</v>
      </c>
      <c r="B20" s="45" t="s">
        <v>133</v>
      </c>
      <c r="C20" s="46" t="s">
        <v>134</v>
      </c>
      <c r="D20" s="24" t="s">
        <v>14</v>
      </c>
    </row>
    <row r="21" s="36" customFormat="1" ht="12" customHeight="1" spans="1:4">
      <c r="A21" s="21">
        <v>14</v>
      </c>
      <c r="B21" s="45" t="s">
        <v>135</v>
      </c>
      <c r="C21" s="46" t="s">
        <v>136</v>
      </c>
      <c r="D21" s="24" t="s">
        <v>14</v>
      </c>
    </row>
    <row r="22" s="36" customFormat="1" ht="12" customHeight="1" spans="1:4">
      <c r="A22" s="21">
        <v>15</v>
      </c>
      <c r="B22" s="45" t="s">
        <v>137</v>
      </c>
      <c r="C22" s="46" t="s">
        <v>138</v>
      </c>
      <c r="D22" s="24" t="s">
        <v>14</v>
      </c>
    </row>
    <row r="23" s="36" customFormat="1" ht="12" customHeight="1" spans="1:4">
      <c r="A23" s="21">
        <v>16</v>
      </c>
      <c r="B23" s="45" t="s">
        <v>139</v>
      </c>
      <c r="C23" s="46" t="s">
        <v>140</v>
      </c>
      <c r="D23" s="24" t="s">
        <v>14</v>
      </c>
    </row>
    <row r="24" s="36" customFormat="1" ht="12" customHeight="1" spans="1:4">
      <c r="A24" s="21">
        <v>17</v>
      </c>
      <c r="B24" s="45" t="s">
        <v>141</v>
      </c>
      <c r="C24" s="46" t="s">
        <v>142</v>
      </c>
      <c r="D24" s="24" t="s">
        <v>14</v>
      </c>
    </row>
    <row r="25" s="36" customFormat="1" ht="12" customHeight="1" spans="1:4">
      <c r="A25" s="21">
        <v>18</v>
      </c>
      <c r="B25" s="45" t="s">
        <v>143</v>
      </c>
      <c r="C25" s="46" t="s">
        <v>144</v>
      </c>
      <c r="D25" s="24" t="s">
        <v>14</v>
      </c>
    </row>
    <row r="26" s="36" customFormat="1" ht="12" customHeight="1" spans="1:4">
      <c r="A26" s="21">
        <v>19</v>
      </c>
      <c r="B26" s="45" t="s">
        <v>145</v>
      </c>
      <c r="C26" s="46" t="s">
        <v>146</v>
      </c>
      <c r="D26" s="24" t="s">
        <v>14</v>
      </c>
    </row>
    <row r="27" s="36" customFormat="1" ht="12" customHeight="1" spans="1:4">
      <c r="A27" s="21">
        <v>20</v>
      </c>
      <c r="B27" s="45" t="s">
        <v>147</v>
      </c>
      <c r="C27" s="46" t="s">
        <v>148</v>
      </c>
      <c r="D27" s="24" t="s">
        <v>14</v>
      </c>
    </row>
    <row r="28" s="36" customFormat="1" ht="12" customHeight="1" spans="1:4">
      <c r="A28" s="21">
        <v>21</v>
      </c>
      <c r="B28" s="45" t="s">
        <v>149</v>
      </c>
      <c r="C28" s="46" t="s">
        <v>150</v>
      </c>
      <c r="D28" s="24" t="s">
        <v>14</v>
      </c>
    </row>
    <row r="29" s="36" customFormat="1" ht="12" customHeight="1" spans="1:4">
      <c r="A29" s="21">
        <v>22</v>
      </c>
      <c r="B29" s="45" t="s">
        <v>151</v>
      </c>
      <c r="C29" s="46" t="s">
        <v>152</v>
      </c>
      <c r="D29" s="24" t="s">
        <v>14</v>
      </c>
    </row>
    <row r="30" s="36" customFormat="1" ht="12" customHeight="1" spans="1:4">
      <c r="A30" s="21">
        <v>23</v>
      </c>
      <c r="B30" s="45" t="s">
        <v>153</v>
      </c>
      <c r="C30" s="46" t="s">
        <v>154</v>
      </c>
      <c r="D30" s="24" t="s">
        <v>11</v>
      </c>
    </row>
    <row r="31" s="36" customFormat="1" ht="12" customHeight="1" spans="1:4">
      <c r="A31" s="38">
        <v>24</v>
      </c>
      <c r="B31" s="47" t="s">
        <v>155</v>
      </c>
      <c r="C31" s="48" t="s">
        <v>156</v>
      </c>
      <c r="D31" s="41" t="s">
        <v>14</v>
      </c>
    </row>
    <row r="32" s="36" customFormat="1" ht="12" customHeight="1" spans="1:4">
      <c r="A32" s="21">
        <v>25</v>
      </c>
      <c r="B32" s="45" t="s">
        <v>157</v>
      </c>
      <c r="C32" s="46" t="s">
        <v>158</v>
      </c>
      <c r="D32" s="24" t="s">
        <v>11</v>
      </c>
    </row>
    <row r="33" s="36" customFormat="1" ht="12" customHeight="1" spans="1:4">
      <c r="A33" s="21">
        <v>26</v>
      </c>
      <c r="B33" s="45" t="s">
        <v>159</v>
      </c>
      <c r="C33" s="46" t="s">
        <v>160</v>
      </c>
      <c r="D33" s="24" t="s">
        <v>11</v>
      </c>
    </row>
    <row r="34" s="36" customFormat="1" ht="12" customHeight="1" spans="1:4">
      <c r="A34" s="21">
        <v>27</v>
      </c>
      <c r="B34" s="45" t="s">
        <v>161</v>
      </c>
      <c r="C34" s="46" t="s">
        <v>162</v>
      </c>
      <c r="D34" s="24" t="s">
        <v>11</v>
      </c>
    </row>
    <row r="35" s="36" customFormat="1" ht="12" customHeight="1" spans="1:4">
      <c r="A35" s="21">
        <v>28</v>
      </c>
      <c r="B35" s="45" t="s">
        <v>163</v>
      </c>
      <c r="C35" s="46" t="s">
        <v>164</v>
      </c>
      <c r="D35" s="24" t="s">
        <v>11</v>
      </c>
    </row>
    <row r="36" s="36" customFormat="1" ht="12" customHeight="1" spans="1:4">
      <c r="A36" s="21">
        <v>29</v>
      </c>
      <c r="B36" s="45" t="s">
        <v>165</v>
      </c>
      <c r="C36" s="46" t="s">
        <v>166</v>
      </c>
      <c r="D36" s="24" t="s">
        <v>14</v>
      </c>
    </row>
    <row r="37" s="36" customFormat="1" ht="12" customHeight="1" spans="1:4">
      <c r="A37" s="21">
        <v>30</v>
      </c>
      <c r="B37" s="45" t="s">
        <v>167</v>
      </c>
      <c r="C37" s="46" t="s">
        <v>168</v>
      </c>
      <c r="D37" s="24" t="s">
        <v>14</v>
      </c>
    </row>
    <row r="38" s="36" customFormat="1" ht="12" customHeight="1" spans="1:4">
      <c r="A38" s="21">
        <v>31</v>
      </c>
      <c r="B38" s="45" t="s">
        <v>169</v>
      </c>
      <c r="C38" s="46" t="s">
        <v>170</v>
      </c>
      <c r="D38" s="24" t="s">
        <v>14</v>
      </c>
    </row>
    <row r="39" s="36" customFormat="1" ht="12" customHeight="1" spans="1:4">
      <c r="A39" s="21">
        <v>32</v>
      </c>
      <c r="B39" s="45" t="s">
        <v>171</v>
      </c>
      <c r="C39" s="46" t="s">
        <v>172</v>
      </c>
      <c r="D39" s="24" t="s">
        <v>14</v>
      </c>
    </row>
    <row r="40" s="36" customFormat="1" ht="12" customHeight="1" spans="1:4">
      <c r="A40" s="21">
        <v>33</v>
      </c>
      <c r="B40" s="45" t="s">
        <v>173</v>
      </c>
      <c r="C40" s="46" t="s">
        <v>174</v>
      </c>
      <c r="D40" s="24" t="s">
        <v>14</v>
      </c>
    </row>
    <row r="41" s="36" customFormat="1" ht="12" customHeight="1" spans="1:4">
      <c r="A41" s="21">
        <v>34</v>
      </c>
      <c r="B41" s="45" t="s">
        <v>175</v>
      </c>
      <c r="C41" s="46" t="s">
        <v>176</v>
      </c>
      <c r="D41" s="24" t="s">
        <v>14</v>
      </c>
    </row>
    <row r="42" s="36" customFormat="1" ht="12" customHeight="1" spans="1:4">
      <c r="A42" s="21">
        <v>35</v>
      </c>
      <c r="B42" s="45" t="s">
        <v>177</v>
      </c>
      <c r="C42" s="46" t="s">
        <v>178</v>
      </c>
      <c r="D42" s="24" t="s">
        <v>14</v>
      </c>
    </row>
    <row r="43" s="36" customFormat="1" ht="12" customHeight="1" spans="1:4">
      <c r="A43" s="21">
        <v>36</v>
      </c>
      <c r="B43" s="45" t="s">
        <v>179</v>
      </c>
      <c r="C43" s="46" t="s">
        <v>180</v>
      </c>
      <c r="D43" s="24" t="s">
        <v>11</v>
      </c>
    </row>
    <row r="44" s="36" customFormat="1" ht="12" customHeight="1" spans="1:4">
      <c r="A44" s="21">
        <v>37</v>
      </c>
      <c r="B44" s="45" t="s">
        <v>181</v>
      </c>
      <c r="C44" s="46" t="s">
        <v>182</v>
      </c>
      <c r="D44" s="24" t="s">
        <v>11</v>
      </c>
    </row>
    <row r="45" s="36" customFormat="1" ht="12" customHeight="1" spans="1:4">
      <c r="A45" s="21">
        <v>38</v>
      </c>
      <c r="B45" s="45" t="s">
        <v>183</v>
      </c>
      <c r="C45" s="46" t="s">
        <v>184</v>
      </c>
      <c r="D45" s="24" t="s">
        <v>14</v>
      </c>
    </row>
    <row r="46" s="36" customFormat="1" ht="12" customHeight="1" spans="1:4">
      <c r="A46" s="21">
        <v>39</v>
      </c>
      <c r="B46" s="45" t="s">
        <v>185</v>
      </c>
      <c r="C46" s="46" t="s">
        <v>186</v>
      </c>
      <c r="D46" s="24" t="s">
        <v>14</v>
      </c>
    </row>
    <row r="47" s="36" customFormat="1" ht="12" customHeight="1" spans="1:4">
      <c r="A47" s="21">
        <v>40</v>
      </c>
      <c r="B47" s="45" t="s">
        <v>187</v>
      </c>
      <c r="C47" s="46" t="s">
        <v>188</v>
      </c>
      <c r="D47" s="24" t="s">
        <v>14</v>
      </c>
    </row>
    <row r="48" s="36" customFormat="1" ht="12" customHeight="1" spans="1:4">
      <c r="A48" s="21">
        <v>41</v>
      </c>
      <c r="B48" s="45" t="s">
        <v>189</v>
      </c>
      <c r="C48" s="46" t="s">
        <v>190</v>
      </c>
      <c r="D48" s="24" t="s">
        <v>14</v>
      </c>
    </row>
    <row r="49" s="36" customFormat="1" ht="12" customHeight="1" spans="1:4">
      <c r="A49" s="21">
        <v>42</v>
      </c>
      <c r="B49" s="45" t="s">
        <v>191</v>
      </c>
      <c r="C49" s="46" t="s">
        <v>192</v>
      </c>
      <c r="D49" s="24" t="s">
        <v>11</v>
      </c>
    </row>
    <row r="50" s="36" customFormat="1" ht="12" customHeight="1" spans="1:4">
      <c r="A50" s="21">
        <v>43</v>
      </c>
      <c r="B50" s="45" t="s">
        <v>193</v>
      </c>
      <c r="C50" s="46" t="s">
        <v>194</v>
      </c>
      <c r="D50" s="24" t="s">
        <v>14</v>
      </c>
    </row>
    <row r="51" s="36" customFormat="1" ht="12" customHeight="1" spans="1:4">
      <c r="A51" s="21">
        <v>44</v>
      </c>
      <c r="B51" s="45" t="s">
        <v>195</v>
      </c>
      <c r="C51" s="46" t="s">
        <v>196</v>
      </c>
      <c r="D51" s="24" t="s">
        <v>14</v>
      </c>
    </row>
    <row r="52" s="36" customFormat="1" ht="12" customHeight="1" spans="1:4">
      <c r="A52" s="21">
        <v>45</v>
      </c>
      <c r="B52" s="45" t="s">
        <v>197</v>
      </c>
      <c r="C52" s="46" t="s">
        <v>198</v>
      </c>
      <c r="D52" s="24" t="s">
        <v>14</v>
      </c>
    </row>
    <row r="53" s="36" customFormat="1" ht="12" customHeight="1" spans="1:4">
      <c r="A53" s="21">
        <v>46</v>
      </c>
      <c r="B53" s="45" t="s">
        <v>199</v>
      </c>
      <c r="C53" s="46" t="s">
        <v>200</v>
      </c>
      <c r="D53" s="24" t="s">
        <v>14</v>
      </c>
    </row>
    <row r="54" s="36" customFormat="1" ht="12" customHeight="1" spans="1:4">
      <c r="A54" s="21">
        <v>47</v>
      </c>
      <c r="B54" s="45" t="s">
        <v>201</v>
      </c>
      <c r="C54" s="46" t="s">
        <v>202</v>
      </c>
      <c r="D54" s="24" t="s">
        <v>14</v>
      </c>
    </row>
    <row r="55" s="36" customFormat="1" ht="12" customHeight="1"/>
    <row r="56" s="36" customFormat="1" ht="12" customHeight="1" spans="1:4">
      <c r="C56" s="23" t="s">
        <v>203</v>
      </c>
      <c r="D56" s="37">
        <f>COUNTIF(D8:D54,"L")</f>
        <v>11</v>
      </c>
    </row>
    <row r="57" s="36" customFormat="1" ht="12" customHeight="1" spans="1:4">
      <c r="C57" s="23" t="s">
        <v>204</v>
      </c>
      <c r="D57" s="37">
        <f>COUNTIF(D8:D54,"P")</f>
        <v>36</v>
      </c>
    </row>
  </sheetData>
  <sortState ref="B8:D54">
    <sortCondition ref="C8:C54"/>
  </sortState>
  <mergeCells count="4">
    <mergeCell ref="A1:D1"/>
    <mergeCell ref="A3:D3"/>
    <mergeCell ref="A4:D4"/>
    <mergeCell ref="A5:D5"/>
  </mergeCells>
  <printOptions horizontalCentered="1"/>
  <pageMargins left="0.95" right="0.45" top="0.5" bottom="0.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opLeftCell="A2" workbookViewId="0">
      <selection activeCell="B8" sqref="B8"/>
    </sheetView>
  </sheetViews>
  <sheetFormatPr defaultColWidth="9" defaultRowHeight="12.5" outlineLevelCol="3"/>
  <cols>
    <col min="1" max="1" width="7.63636363636364" customWidth="1"/>
    <col min="2" max="2" width="21.4545454545455" customWidth="1"/>
    <col min="3" max="3" width="32" customWidth="1"/>
  </cols>
  <sheetData>
    <row r="1" ht="77.5" customHeight="1" spans="1:4">
      <c r="A1" s="17" t="s">
        <v>0</v>
      </c>
      <c r="B1" s="17"/>
      <c r="C1" s="17"/>
      <c r="D1" s="17"/>
    </row>
    <row r="2" ht="4.5" customHeight="1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205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ht="17.5" customHeight="1" spans="1:4">
      <c r="A6" s="36" t="s">
        <v>206</v>
      </c>
    </row>
    <row r="7" ht="17" customHeight="1" spans="1:4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4">
      <c r="A8" s="21">
        <v>1</v>
      </c>
      <c r="B8" s="45" t="s">
        <v>207</v>
      </c>
      <c r="C8" s="46" t="s">
        <v>208</v>
      </c>
      <c r="D8" s="24" t="s">
        <v>14</v>
      </c>
    </row>
    <row r="9" s="16" customFormat="1" ht="12" customHeight="1" spans="1:4">
      <c r="A9" s="21">
        <v>2</v>
      </c>
      <c r="B9" s="45" t="s">
        <v>209</v>
      </c>
      <c r="C9" s="46" t="s">
        <v>210</v>
      </c>
      <c r="D9" s="24" t="s">
        <v>14</v>
      </c>
    </row>
    <row r="10" s="16" customFormat="1" ht="12" customHeight="1" spans="1:4">
      <c r="A10" s="21">
        <v>3</v>
      </c>
      <c r="B10" s="45" t="s">
        <v>211</v>
      </c>
      <c r="C10" s="46" t="s">
        <v>212</v>
      </c>
      <c r="D10" s="24" t="s">
        <v>14</v>
      </c>
    </row>
    <row r="11" s="16" customFormat="1" ht="12" customHeight="1" spans="1:4">
      <c r="A11" s="21">
        <v>4</v>
      </c>
      <c r="B11" s="45" t="s">
        <v>213</v>
      </c>
      <c r="C11" s="46" t="s">
        <v>214</v>
      </c>
      <c r="D11" s="24" t="s">
        <v>14</v>
      </c>
    </row>
    <row r="12" s="16" customFormat="1" ht="12" customHeight="1" spans="1:4">
      <c r="A12" s="21">
        <v>5</v>
      </c>
      <c r="B12" s="45" t="s">
        <v>215</v>
      </c>
      <c r="C12" s="46" t="s">
        <v>216</v>
      </c>
      <c r="D12" s="24" t="s">
        <v>14</v>
      </c>
    </row>
    <row r="13" s="16" customFormat="1" ht="12" customHeight="1" spans="1:4">
      <c r="A13" s="21">
        <v>6</v>
      </c>
      <c r="B13" s="45" t="s">
        <v>217</v>
      </c>
      <c r="C13" s="46" t="s">
        <v>218</v>
      </c>
      <c r="D13" s="24" t="s">
        <v>14</v>
      </c>
    </row>
    <row r="14" s="16" customFormat="1" ht="12" customHeight="1" spans="1:4">
      <c r="A14" s="21">
        <v>7</v>
      </c>
      <c r="B14" s="45" t="s">
        <v>219</v>
      </c>
      <c r="C14" s="46" t="s">
        <v>220</v>
      </c>
      <c r="D14" s="24" t="s">
        <v>14</v>
      </c>
    </row>
    <row r="15" s="16" customFormat="1" ht="12" customHeight="1" spans="1:4">
      <c r="A15" s="21">
        <v>8</v>
      </c>
      <c r="B15" s="45" t="s">
        <v>221</v>
      </c>
      <c r="C15" s="46" t="s">
        <v>222</v>
      </c>
      <c r="D15" s="24" t="s">
        <v>14</v>
      </c>
    </row>
    <row r="16" s="16" customFormat="1" ht="12" customHeight="1" spans="1:4">
      <c r="A16" s="21">
        <v>9</v>
      </c>
      <c r="B16" s="45" t="s">
        <v>223</v>
      </c>
      <c r="C16" s="46" t="s">
        <v>224</v>
      </c>
      <c r="D16" s="24" t="s">
        <v>14</v>
      </c>
    </row>
    <row r="17" s="16" customFormat="1" ht="12" customHeight="1" spans="1:4">
      <c r="A17" s="21">
        <v>10</v>
      </c>
      <c r="B17" s="45" t="s">
        <v>225</v>
      </c>
      <c r="C17" s="46" t="s">
        <v>226</v>
      </c>
      <c r="D17" s="24" t="s">
        <v>14</v>
      </c>
    </row>
    <row r="18" s="16" customFormat="1" ht="12" customHeight="1" spans="1:4">
      <c r="A18" s="21">
        <v>11</v>
      </c>
      <c r="B18" s="45" t="s">
        <v>227</v>
      </c>
      <c r="C18" s="46" t="s">
        <v>228</v>
      </c>
      <c r="D18" s="24" t="s">
        <v>14</v>
      </c>
    </row>
    <row r="19" s="16" customFormat="1" ht="12" customHeight="1" spans="1:4">
      <c r="A19" s="21">
        <v>12</v>
      </c>
      <c r="B19" s="45" t="s">
        <v>229</v>
      </c>
      <c r="C19" s="46" t="s">
        <v>230</v>
      </c>
      <c r="D19" s="24" t="s">
        <v>14</v>
      </c>
    </row>
    <row r="20" s="16" customFormat="1" ht="12" customHeight="1" spans="1:4">
      <c r="A20" s="21">
        <v>13</v>
      </c>
      <c r="B20" s="45" t="s">
        <v>231</v>
      </c>
      <c r="C20" s="46" t="s">
        <v>232</v>
      </c>
      <c r="D20" s="24" t="s">
        <v>11</v>
      </c>
    </row>
    <row r="21" s="16" customFormat="1" ht="12" customHeight="1" spans="1:4">
      <c r="A21" s="21">
        <v>14</v>
      </c>
      <c r="B21" s="45" t="s">
        <v>233</v>
      </c>
      <c r="C21" s="46" t="s">
        <v>234</v>
      </c>
      <c r="D21" s="24" t="s">
        <v>11</v>
      </c>
    </row>
    <row r="22" s="16" customFormat="1" ht="12" customHeight="1" spans="1:4">
      <c r="A22" s="21">
        <v>15</v>
      </c>
      <c r="B22" s="45" t="s">
        <v>235</v>
      </c>
      <c r="C22" s="46" t="s">
        <v>236</v>
      </c>
      <c r="D22" s="24" t="s">
        <v>11</v>
      </c>
    </row>
    <row r="23" s="16" customFormat="1" ht="12" customHeight="1" spans="1:4">
      <c r="A23" s="21">
        <v>16</v>
      </c>
      <c r="B23" s="45" t="s">
        <v>237</v>
      </c>
      <c r="C23" s="46" t="s">
        <v>238</v>
      </c>
      <c r="D23" s="24" t="s">
        <v>14</v>
      </c>
    </row>
    <row r="24" s="16" customFormat="1" ht="12" customHeight="1" spans="1:4">
      <c r="A24" s="21">
        <v>17</v>
      </c>
      <c r="B24" s="45" t="s">
        <v>239</v>
      </c>
      <c r="C24" s="46" t="s">
        <v>240</v>
      </c>
      <c r="D24" s="24" t="s">
        <v>14</v>
      </c>
    </row>
    <row r="25" s="16" customFormat="1" ht="12" customHeight="1" spans="1:4">
      <c r="A25" s="21">
        <v>18</v>
      </c>
      <c r="B25" s="45" t="s">
        <v>241</v>
      </c>
      <c r="C25" s="46" t="s">
        <v>242</v>
      </c>
      <c r="D25" s="24" t="s">
        <v>14</v>
      </c>
    </row>
    <row r="26" s="16" customFormat="1" ht="12" customHeight="1" spans="1:4">
      <c r="A26" s="21">
        <v>19</v>
      </c>
      <c r="B26" s="45" t="s">
        <v>243</v>
      </c>
      <c r="C26" s="46" t="s">
        <v>244</v>
      </c>
      <c r="D26" s="24" t="s">
        <v>14</v>
      </c>
    </row>
    <row r="27" s="16" customFormat="1" ht="12" customHeight="1" spans="1:4">
      <c r="A27" s="21">
        <v>20</v>
      </c>
      <c r="B27" s="45" t="s">
        <v>245</v>
      </c>
      <c r="C27" s="46" t="s">
        <v>246</v>
      </c>
      <c r="D27" s="24" t="s">
        <v>11</v>
      </c>
    </row>
    <row r="28" s="16" customFormat="1" ht="12" customHeight="1" spans="1:4">
      <c r="A28" s="21">
        <v>21</v>
      </c>
      <c r="B28" s="45" t="s">
        <v>247</v>
      </c>
      <c r="C28" s="46" t="s">
        <v>248</v>
      </c>
      <c r="D28" s="24" t="s">
        <v>14</v>
      </c>
    </row>
    <row r="29" s="16" customFormat="1" ht="12" customHeight="1" spans="1:4">
      <c r="A29" s="21">
        <v>22</v>
      </c>
      <c r="B29" s="45" t="s">
        <v>249</v>
      </c>
      <c r="C29" s="46" t="s">
        <v>250</v>
      </c>
      <c r="D29" s="24" t="s">
        <v>14</v>
      </c>
    </row>
    <row r="30" s="16" customFormat="1" ht="12" customHeight="1" spans="1:4">
      <c r="A30" s="21">
        <v>23</v>
      </c>
      <c r="B30" s="45" t="s">
        <v>251</v>
      </c>
      <c r="C30" s="46" t="s">
        <v>252</v>
      </c>
      <c r="D30" s="24" t="s">
        <v>11</v>
      </c>
    </row>
    <row r="31" s="16" customFormat="1" ht="12" customHeight="1" spans="1:4">
      <c r="A31" s="21">
        <v>24</v>
      </c>
      <c r="B31" s="45" t="s">
        <v>253</v>
      </c>
      <c r="C31" s="46" t="s">
        <v>254</v>
      </c>
      <c r="D31" s="24" t="s">
        <v>14</v>
      </c>
    </row>
    <row r="32" s="16" customFormat="1" ht="12" customHeight="1" spans="1:4">
      <c r="A32" s="21">
        <v>25</v>
      </c>
      <c r="B32" s="45" t="s">
        <v>255</v>
      </c>
      <c r="C32" s="46" t="s">
        <v>256</v>
      </c>
      <c r="D32" s="24" t="s">
        <v>14</v>
      </c>
    </row>
    <row r="33" s="16" customFormat="1" ht="12" customHeight="1" spans="1:4">
      <c r="A33" s="21">
        <v>26</v>
      </c>
      <c r="B33" s="45" t="s">
        <v>257</v>
      </c>
      <c r="C33" s="46" t="s">
        <v>258</v>
      </c>
      <c r="D33" s="24" t="s">
        <v>14</v>
      </c>
    </row>
    <row r="34" s="16" customFormat="1" ht="12" customHeight="1" spans="1:4">
      <c r="A34" s="21">
        <v>27</v>
      </c>
      <c r="B34" s="45" t="s">
        <v>259</v>
      </c>
      <c r="C34" s="46" t="s">
        <v>260</v>
      </c>
      <c r="D34" s="24" t="s">
        <v>14</v>
      </c>
    </row>
    <row r="35" s="16" customFormat="1" ht="12" customHeight="1" spans="1:4">
      <c r="A35" s="21">
        <v>28</v>
      </c>
      <c r="B35" s="45" t="s">
        <v>261</v>
      </c>
      <c r="C35" s="46" t="s">
        <v>262</v>
      </c>
      <c r="D35" s="24" t="s">
        <v>11</v>
      </c>
    </row>
    <row r="36" s="16" customFormat="1" ht="12" customHeight="1" spans="1:4">
      <c r="A36" s="21">
        <v>29</v>
      </c>
      <c r="B36" s="45" t="s">
        <v>263</v>
      </c>
      <c r="C36" s="46" t="s">
        <v>264</v>
      </c>
      <c r="D36" s="24" t="s">
        <v>11</v>
      </c>
    </row>
    <row r="37" s="16" customFormat="1" ht="12" customHeight="1" spans="1:4">
      <c r="A37" s="21">
        <v>30</v>
      </c>
      <c r="B37" s="45" t="s">
        <v>265</v>
      </c>
      <c r="C37" s="46" t="s">
        <v>266</v>
      </c>
      <c r="D37" s="24" t="s">
        <v>11</v>
      </c>
    </row>
    <row r="38" s="16" customFormat="1" ht="12" customHeight="1" spans="1:4">
      <c r="A38" s="21">
        <v>31</v>
      </c>
      <c r="B38" s="45" t="s">
        <v>267</v>
      </c>
      <c r="C38" s="46" t="s">
        <v>268</v>
      </c>
      <c r="D38" s="24" t="s">
        <v>11</v>
      </c>
    </row>
    <row r="39" s="16" customFormat="1" ht="12" customHeight="1" spans="1:4">
      <c r="A39" s="21">
        <v>32</v>
      </c>
      <c r="B39" s="45" t="s">
        <v>269</v>
      </c>
      <c r="C39" s="46" t="s">
        <v>270</v>
      </c>
      <c r="D39" s="24" t="s">
        <v>11</v>
      </c>
    </row>
    <row r="40" s="16" customFormat="1" ht="12" customHeight="1" spans="1:4">
      <c r="A40" s="21">
        <v>33</v>
      </c>
      <c r="B40" s="45" t="s">
        <v>271</v>
      </c>
      <c r="C40" s="46" t="s">
        <v>272</v>
      </c>
      <c r="D40" s="24" t="s">
        <v>14</v>
      </c>
    </row>
    <row r="41" s="16" customFormat="1" ht="12" customHeight="1" spans="1:4">
      <c r="A41" s="21">
        <v>34</v>
      </c>
      <c r="B41" s="45" t="s">
        <v>273</v>
      </c>
      <c r="C41" s="46" t="s">
        <v>274</v>
      </c>
      <c r="D41" s="24" t="s">
        <v>14</v>
      </c>
    </row>
    <row r="42" s="16" customFormat="1" ht="12" customHeight="1" spans="1:4">
      <c r="A42" s="21">
        <v>35</v>
      </c>
      <c r="B42" s="45" t="s">
        <v>275</v>
      </c>
      <c r="C42" s="46" t="s">
        <v>276</v>
      </c>
      <c r="D42" s="24" t="s">
        <v>14</v>
      </c>
    </row>
    <row r="43" s="16" customFormat="1" ht="12" customHeight="1" spans="1:4">
      <c r="A43" s="21">
        <v>36</v>
      </c>
      <c r="B43" s="45" t="s">
        <v>277</v>
      </c>
      <c r="C43" s="46" t="s">
        <v>278</v>
      </c>
      <c r="D43" s="24" t="s">
        <v>14</v>
      </c>
    </row>
    <row r="44" s="16" customFormat="1" ht="12" customHeight="1" spans="1:4">
      <c r="A44" s="21">
        <v>37</v>
      </c>
      <c r="B44" s="45" t="s">
        <v>279</v>
      </c>
      <c r="C44" s="46" t="s">
        <v>280</v>
      </c>
      <c r="D44" s="24" t="s">
        <v>14</v>
      </c>
    </row>
    <row r="45" s="16" customFormat="1" ht="12" customHeight="1" spans="1:4">
      <c r="A45" s="21">
        <v>38</v>
      </c>
      <c r="B45" s="45" t="s">
        <v>281</v>
      </c>
      <c r="C45" s="46" t="s">
        <v>282</v>
      </c>
      <c r="D45" s="24" t="s">
        <v>11</v>
      </c>
    </row>
    <row r="46" s="16" customFormat="1" ht="12" customHeight="1" spans="1:4">
      <c r="A46" s="21">
        <v>39</v>
      </c>
      <c r="B46" s="45" t="s">
        <v>283</v>
      </c>
      <c r="C46" s="46" t="s">
        <v>284</v>
      </c>
      <c r="D46" s="24" t="s">
        <v>14</v>
      </c>
    </row>
    <row r="47" s="16" customFormat="1" ht="12" customHeight="1" spans="1:4">
      <c r="A47" s="21">
        <v>40</v>
      </c>
      <c r="B47" s="45" t="s">
        <v>285</v>
      </c>
      <c r="C47" s="46" t="s">
        <v>286</v>
      </c>
      <c r="D47" s="24" t="s">
        <v>14</v>
      </c>
    </row>
    <row r="48" s="16" customFormat="1" ht="12" customHeight="1" spans="1:4">
      <c r="A48" s="21">
        <v>41</v>
      </c>
      <c r="B48" s="45" t="s">
        <v>287</v>
      </c>
      <c r="C48" s="46" t="s">
        <v>288</v>
      </c>
      <c r="D48" s="24" t="s">
        <v>14</v>
      </c>
    </row>
    <row r="49" s="16" customFormat="1" ht="12" customHeight="1" spans="1:4">
      <c r="A49" s="21">
        <v>42</v>
      </c>
      <c r="B49" s="45" t="s">
        <v>289</v>
      </c>
      <c r="C49" s="46" t="s">
        <v>290</v>
      </c>
      <c r="D49" s="24" t="s">
        <v>11</v>
      </c>
    </row>
    <row r="50" s="16" customFormat="1" ht="12" customHeight="1" spans="1:4">
      <c r="A50" s="21">
        <v>43</v>
      </c>
      <c r="B50" s="45" t="s">
        <v>291</v>
      </c>
      <c r="C50" s="46" t="s">
        <v>292</v>
      </c>
      <c r="D50" s="24" t="s">
        <v>14</v>
      </c>
    </row>
    <row r="51" s="16" customFormat="1" ht="12" customHeight="1" spans="1:4">
      <c r="A51" s="21">
        <v>44</v>
      </c>
      <c r="B51" s="45" t="s">
        <v>293</v>
      </c>
      <c r="C51" s="46" t="s">
        <v>294</v>
      </c>
      <c r="D51" s="24" t="s">
        <v>14</v>
      </c>
    </row>
    <row r="52" s="16" customFormat="1" ht="12" customHeight="1" spans="1:4">
      <c r="A52" s="21">
        <v>45</v>
      </c>
      <c r="B52" s="45" t="s">
        <v>295</v>
      </c>
      <c r="C52" s="46" t="s">
        <v>296</v>
      </c>
      <c r="D52" s="24" t="s">
        <v>14</v>
      </c>
    </row>
    <row r="53" s="16" customFormat="1" ht="12" customHeight="1" spans="1:4">
      <c r="A53" s="21">
        <v>46</v>
      </c>
      <c r="B53" s="45" t="s">
        <v>297</v>
      </c>
      <c r="C53" s="46" t="s">
        <v>298</v>
      </c>
      <c r="D53" s="24" t="s">
        <v>14</v>
      </c>
    </row>
    <row r="54" s="16" customFormat="1" ht="12" customHeight="1" spans="1:4">
      <c r="A54" s="21">
        <v>47</v>
      </c>
      <c r="B54" s="45" t="s">
        <v>299</v>
      </c>
      <c r="C54" s="46" t="s">
        <v>300</v>
      </c>
      <c r="D54" s="24" t="s">
        <v>14</v>
      </c>
    </row>
    <row r="55" s="16" customFormat="1" ht="12" customHeight="1"/>
    <row r="56" s="16" customFormat="1" ht="12" customHeight="1" spans="1:4">
      <c r="C56" s="27" t="s">
        <v>203</v>
      </c>
      <c r="D56" s="21">
        <f>COUNTIF(D8:D54,"L")</f>
        <v>12</v>
      </c>
    </row>
    <row r="57" s="16" customFormat="1" ht="12" customHeight="1" spans="1:4">
      <c r="C57" s="27" t="s">
        <v>204</v>
      </c>
      <c r="D57" s="21">
        <f>COUNTIF(D8:D54,"P")</f>
        <v>35</v>
      </c>
    </row>
  </sheetData>
  <mergeCells count="4">
    <mergeCell ref="A1:D1"/>
    <mergeCell ref="A3:D3"/>
    <mergeCell ref="A4:D4"/>
    <mergeCell ref="A5:D5"/>
  </mergeCells>
  <printOptions horizontalCentered="1"/>
  <pageMargins left="0.45" right="0.45" top="0.5" bottom="0.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workbookViewId="0">
      <selection activeCell="A3" sqref="A3:D3"/>
    </sheetView>
  </sheetViews>
  <sheetFormatPr defaultColWidth="9" defaultRowHeight="12.5" outlineLevelCol="3"/>
  <cols>
    <col min="1" max="1" width="6.81818181818182" customWidth="1"/>
    <col min="2" max="2" width="22.2727272727273" customWidth="1"/>
    <col min="3" max="3" width="30.5454545454545" customWidth="1"/>
    <col min="4" max="4" width="6.90909090909091" customWidth="1"/>
  </cols>
  <sheetData>
    <row r="1" ht="76.5" customHeight="1" spans="1:4">
      <c r="A1" s="17" t="s">
        <v>0</v>
      </c>
      <c r="B1" s="17"/>
      <c r="C1" s="17"/>
      <c r="D1" s="17"/>
    </row>
    <row r="2" ht="5" customHeight="1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301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ht="16" customHeight="1" spans="1:4">
      <c r="A6" s="36" t="s">
        <v>302</v>
      </c>
    </row>
    <row r="7" ht="18" customHeight="1" spans="1:4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4">
      <c r="A8" s="21">
        <v>1</v>
      </c>
      <c r="B8" s="45" t="s">
        <v>303</v>
      </c>
      <c r="C8" s="46" t="s">
        <v>304</v>
      </c>
      <c r="D8" s="24" t="s">
        <v>14</v>
      </c>
    </row>
    <row r="9" s="16" customFormat="1" ht="12" customHeight="1" spans="1:4">
      <c r="A9" s="21">
        <v>2</v>
      </c>
      <c r="B9" s="45" t="s">
        <v>305</v>
      </c>
      <c r="C9" s="46" t="s">
        <v>306</v>
      </c>
      <c r="D9" s="24" t="s">
        <v>11</v>
      </c>
    </row>
    <row r="10" s="16" customFormat="1" ht="12" customHeight="1" spans="1:4">
      <c r="A10" s="21">
        <v>3</v>
      </c>
      <c r="B10" s="45" t="s">
        <v>307</v>
      </c>
      <c r="C10" s="46" t="s">
        <v>308</v>
      </c>
      <c r="D10" s="24" t="s">
        <v>11</v>
      </c>
    </row>
    <row r="11" s="16" customFormat="1" ht="12" customHeight="1" spans="1:4">
      <c r="A11" s="21">
        <v>4</v>
      </c>
      <c r="B11" s="45" t="s">
        <v>309</v>
      </c>
      <c r="C11" s="46" t="s">
        <v>310</v>
      </c>
      <c r="D11" s="24" t="s">
        <v>14</v>
      </c>
    </row>
    <row r="12" s="16" customFormat="1" ht="12" customHeight="1" spans="1:4">
      <c r="A12" s="21">
        <v>5</v>
      </c>
      <c r="B12" s="45" t="s">
        <v>311</v>
      </c>
      <c r="C12" s="46" t="s">
        <v>312</v>
      </c>
      <c r="D12" s="24" t="s">
        <v>14</v>
      </c>
    </row>
    <row r="13" s="16" customFormat="1" ht="12" customHeight="1" spans="1:4">
      <c r="A13" s="21">
        <v>6</v>
      </c>
      <c r="B13" s="45" t="s">
        <v>313</v>
      </c>
      <c r="C13" s="46" t="s">
        <v>314</v>
      </c>
      <c r="D13" s="24" t="s">
        <v>14</v>
      </c>
    </row>
    <row r="14" s="16" customFormat="1" ht="12" customHeight="1" spans="1:4">
      <c r="A14" s="21">
        <v>7</v>
      </c>
      <c r="B14" s="45" t="s">
        <v>315</v>
      </c>
      <c r="C14" s="46" t="s">
        <v>316</v>
      </c>
      <c r="D14" s="24" t="s">
        <v>14</v>
      </c>
    </row>
    <row r="15" s="16" customFormat="1" ht="12" customHeight="1" spans="1:4">
      <c r="A15" s="21">
        <v>8</v>
      </c>
      <c r="B15" s="45" t="s">
        <v>317</v>
      </c>
      <c r="C15" s="46" t="s">
        <v>318</v>
      </c>
      <c r="D15" s="24" t="s">
        <v>11</v>
      </c>
    </row>
    <row r="16" s="16" customFormat="1" ht="12" customHeight="1" spans="1:4">
      <c r="A16" s="21">
        <v>9</v>
      </c>
      <c r="B16" s="45" t="s">
        <v>319</v>
      </c>
      <c r="C16" s="46" t="s">
        <v>320</v>
      </c>
      <c r="D16" s="24" t="s">
        <v>14</v>
      </c>
    </row>
    <row r="17" s="16" customFormat="1" ht="12" customHeight="1" spans="1:4">
      <c r="A17" s="21">
        <v>10</v>
      </c>
      <c r="B17" s="45" t="s">
        <v>321</v>
      </c>
      <c r="C17" s="46" t="s">
        <v>322</v>
      </c>
      <c r="D17" s="24" t="s">
        <v>14</v>
      </c>
    </row>
    <row r="18" s="16" customFormat="1" ht="12" customHeight="1" spans="1:4">
      <c r="A18" s="21">
        <v>11</v>
      </c>
      <c r="B18" s="45" t="s">
        <v>323</v>
      </c>
      <c r="C18" s="46" t="s">
        <v>324</v>
      </c>
      <c r="D18" s="24" t="s">
        <v>11</v>
      </c>
    </row>
    <row r="19" s="16" customFormat="1" ht="12" customHeight="1" spans="1:4">
      <c r="A19" s="21">
        <v>12</v>
      </c>
      <c r="B19" s="45" t="s">
        <v>325</v>
      </c>
      <c r="C19" s="46" t="s">
        <v>326</v>
      </c>
      <c r="D19" s="24" t="s">
        <v>14</v>
      </c>
    </row>
    <row r="20" s="16" customFormat="1" ht="12" customHeight="1" spans="1:4">
      <c r="A20" s="21">
        <v>13</v>
      </c>
      <c r="B20" s="45" t="s">
        <v>327</v>
      </c>
      <c r="C20" s="46" t="s">
        <v>328</v>
      </c>
      <c r="D20" s="24" t="s">
        <v>14</v>
      </c>
    </row>
    <row r="21" s="16" customFormat="1" ht="12" customHeight="1" spans="1:4">
      <c r="A21" s="21">
        <v>14</v>
      </c>
      <c r="B21" s="45" t="s">
        <v>329</v>
      </c>
      <c r="C21" s="46" t="s">
        <v>330</v>
      </c>
      <c r="D21" s="24" t="s">
        <v>14</v>
      </c>
    </row>
    <row r="22" s="16" customFormat="1" ht="12" customHeight="1" spans="1:4">
      <c r="A22" s="21">
        <v>15</v>
      </c>
      <c r="B22" s="45" t="s">
        <v>331</v>
      </c>
      <c r="C22" s="46" t="s">
        <v>332</v>
      </c>
      <c r="D22" s="24" t="s">
        <v>14</v>
      </c>
    </row>
    <row r="23" s="16" customFormat="1" ht="12" customHeight="1" spans="1:4">
      <c r="A23" s="21">
        <v>16</v>
      </c>
      <c r="B23" s="45" t="s">
        <v>333</v>
      </c>
      <c r="C23" s="46" t="s">
        <v>334</v>
      </c>
      <c r="D23" s="24" t="s">
        <v>14</v>
      </c>
    </row>
    <row r="24" s="16" customFormat="1" ht="12" customHeight="1" spans="1:4">
      <c r="A24" s="21">
        <v>17</v>
      </c>
      <c r="B24" s="45" t="s">
        <v>335</v>
      </c>
      <c r="C24" s="46" t="s">
        <v>336</v>
      </c>
      <c r="D24" s="24" t="s">
        <v>14</v>
      </c>
    </row>
    <row r="25" s="16" customFormat="1" ht="12" customHeight="1" spans="1:4">
      <c r="A25" s="21">
        <v>18</v>
      </c>
      <c r="B25" s="45" t="s">
        <v>337</v>
      </c>
      <c r="C25" s="46" t="s">
        <v>338</v>
      </c>
      <c r="D25" s="24" t="s">
        <v>14</v>
      </c>
    </row>
    <row r="26" s="16" customFormat="1" ht="12" customHeight="1" spans="1:4">
      <c r="A26" s="21">
        <v>19</v>
      </c>
      <c r="B26" s="45" t="s">
        <v>339</v>
      </c>
      <c r="C26" s="46" t="s">
        <v>340</v>
      </c>
      <c r="D26" s="24" t="s">
        <v>14</v>
      </c>
    </row>
    <row r="27" s="16" customFormat="1" ht="12" customHeight="1" spans="1:4">
      <c r="A27" s="21">
        <v>20</v>
      </c>
      <c r="B27" s="45" t="s">
        <v>341</v>
      </c>
      <c r="C27" s="46" t="s">
        <v>342</v>
      </c>
      <c r="D27" s="24" t="s">
        <v>14</v>
      </c>
    </row>
    <row r="28" s="16" customFormat="1" ht="12" customHeight="1" spans="1:4">
      <c r="A28" s="21">
        <v>21</v>
      </c>
      <c r="B28" s="45" t="s">
        <v>343</v>
      </c>
      <c r="C28" s="46" t="s">
        <v>344</v>
      </c>
      <c r="D28" s="24" t="s">
        <v>14</v>
      </c>
    </row>
    <row r="29" s="16" customFormat="1" ht="12" customHeight="1" spans="1:4">
      <c r="A29" s="21">
        <v>22</v>
      </c>
      <c r="B29" s="33" t="s">
        <v>345</v>
      </c>
      <c r="C29" s="31" t="s">
        <v>346</v>
      </c>
      <c r="D29" s="30" t="s">
        <v>11</v>
      </c>
    </row>
    <row r="30" s="16" customFormat="1" ht="12" customHeight="1" spans="1:4">
      <c r="A30" s="21">
        <v>23</v>
      </c>
      <c r="B30" s="45" t="s">
        <v>347</v>
      </c>
      <c r="C30" s="46" t="s">
        <v>348</v>
      </c>
      <c r="D30" s="24" t="s">
        <v>14</v>
      </c>
    </row>
    <row r="31" s="16" customFormat="1" ht="12" customHeight="1" spans="1:4">
      <c r="A31" s="21">
        <v>24</v>
      </c>
      <c r="B31" s="45" t="s">
        <v>349</v>
      </c>
      <c r="C31" s="46" t="s">
        <v>350</v>
      </c>
      <c r="D31" s="24" t="s">
        <v>14</v>
      </c>
    </row>
    <row r="32" s="16" customFormat="1" ht="12" customHeight="1" spans="1:4">
      <c r="A32" s="21">
        <v>25</v>
      </c>
      <c r="B32" s="45" t="s">
        <v>351</v>
      </c>
      <c r="C32" s="46" t="s">
        <v>352</v>
      </c>
      <c r="D32" s="24" t="s">
        <v>14</v>
      </c>
    </row>
    <row r="33" s="16" customFormat="1" ht="12" customHeight="1" spans="1:4">
      <c r="A33" s="21">
        <v>26</v>
      </c>
      <c r="B33" s="45" t="s">
        <v>353</v>
      </c>
      <c r="C33" s="46" t="s">
        <v>354</v>
      </c>
      <c r="D33" s="24" t="s">
        <v>14</v>
      </c>
    </row>
    <row r="34" s="16" customFormat="1" ht="12" customHeight="1" spans="1:4">
      <c r="A34" s="21">
        <v>27</v>
      </c>
      <c r="B34" s="45" t="s">
        <v>355</v>
      </c>
      <c r="C34" s="46" t="s">
        <v>356</v>
      </c>
      <c r="D34" s="24" t="s">
        <v>11</v>
      </c>
    </row>
    <row r="35" s="16" customFormat="1" ht="12" customHeight="1" spans="1:4">
      <c r="A35" s="21">
        <v>28</v>
      </c>
      <c r="B35" s="45" t="s">
        <v>357</v>
      </c>
      <c r="C35" s="46" t="s">
        <v>358</v>
      </c>
      <c r="D35" s="24" t="s">
        <v>11</v>
      </c>
    </row>
    <row r="36" s="16" customFormat="1" ht="12" customHeight="1" spans="1:4">
      <c r="A36" s="21">
        <v>29</v>
      </c>
      <c r="B36" s="45" t="s">
        <v>359</v>
      </c>
      <c r="C36" s="46" t="s">
        <v>360</v>
      </c>
      <c r="D36" s="24" t="s">
        <v>11</v>
      </c>
    </row>
    <row r="37" s="16" customFormat="1" ht="12" customHeight="1" spans="1:4">
      <c r="A37" s="21">
        <v>30</v>
      </c>
      <c r="B37" s="45" t="s">
        <v>361</v>
      </c>
      <c r="C37" s="46" t="s">
        <v>362</v>
      </c>
      <c r="D37" s="24" t="s">
        <v>11</v>
      </c>
    </row>
    <row r="38" s="16" customFormat="1" ht="12" customHeight="1" spans="1:4">
      <c r="A38" s="21">
        <v>31</v>
      </c>
      <c r="B38" s="45" t="s">
        <v>363</v>
      </c>
      <c r="C38" s="46" t="s">
        <v>364</v>
      </c>
      <c r="D38" s="24" t="s">
        <v>14</v>
      </c>
    </row>
    <row r="39" s="16" customFormat="1" ht="12" customHeight="1" spans="1:4">
      <c r="A39" s="21">
        <v>32</v>
      </c>
      <c r="B39" s="45" t="s">
        <v>365</v>
      </c>
      <c r="C39" s="46" t="s">
        <v>366</v>
      </c>
      <c r="D39" s="24" t="s">
        <v>14</v>
      </c>
    </row>
    <row r="40" s="16" customFormat="1" ht="12" customHeight="1" spans="1:4">
      <c r="A40" s="21">
        <v>33</v>
      </c>
      <c r="B40" s="45" t="s">
        <v>367</v>
      </c>
      <c r="C40" s="46" t="s">
        <v>368</v>
      </c>
      <c r="D40" s="24" t="s">
        <v>11</v>
      </c>
    </row>
    <row r="41" s="16" customFormat="1" ht="12" customHeight="1" spans="1:4">
      <c r="A41" s="21">
        <v>34</v>
      </c>
      <c r="B41" s="45" t="s">
        <v>369</v>
      </c>
      <c r="C41" s="46" t="s">
        <v>370</v>
      </c>
      <c r="D41" s="24" t="s">
        <v>14</v>
      </c>
    </row>
    <row r="42" s="16" customFormat="1" ht="12" customHeight="1" spans="1:4">
      <c r="A42" s="21">
        <v>35</v>
      </c>
      <c r="B42" s="45" t="s">
        <v>371</v>
      </c>
      <c r="C42" s="46" t="s">
        <v>372</v>
      </c>
      <c r="D42" s="24" t="s">
        <v>14</v>
      </c>
    </row>
    <row r="43" s="16" customFormat="1" ht="12" customHeight="1" spans="1:4">
      <c r="A43" s="21">
        <v>36</v>
      </c>
      <c r="B43" s="45" t="s">
        <v>373</v>
      </c>
      <c r="C43" s="46" t="s">
        <v>374</v>
      </c>
      <c r="D43" s="24" t="s">
        <v>11</v>
      </c>
    </row>
    <row r="44" s="16" customFormat="1" ht="12" customHeight="1" spans="1:4">
      <c r="A44" s="21">
        <v>37</v>
      </c>
      <c r="B44" s="45" t="s">
        <v>375</v>
      </c>
      <c r="C44" s="46" t="s">
        <v>376</v>
      </c>
      <c r="D44" s="24" t="s">
        <v>14</v>
      </c>
    </row>
    <row r="45" s="16" customFormat="1" ht="12" customHeight="1" spans="1:4">
      <c r="A45" s="21">
        <v>38</v>
      </c>
      <c r="B45" s="45" t="s">
        <v>377</v>
      </c>
      <c r="C45" s="46" t="s">
        <v>378</v>
      </c>
      <c r="D45" s="24" t="s">
        <v>11</v>
      </c>
    </row>
    <row r="46" s="16" customFormat="1" ht="12" customHeight="1" spans="1:4">
      <c r="A46" s="21">
        <v>39</v>
      </c>
      <c r="B46" s="45" t="s">
        <v>379</v>
      </c>
      <c r="C46" s="46" t="s">
        <v>380</v>
      </c>
      <c r="D46" s="24" t="s">
        <v>14</v>
      </c>
    </row>
    <row r="47" s="16" customFormat="1" ht="12" customHeight="1" spans="1:4">
      <c r="A47" s="21">
        <v>40</v>
      </c>
      <c r="B47" s="45" t="s">
        <v>381</v>
      </c>
      <c r="C47" s="46" t="s">
        <v>382</v>
      </c>
      <c r="D47" s="24" t="s">
        <v>14</v>
      </c>
    </row>
    <row r="48" s="16" customFormat="1" ht="12" customHeight="1" spans="1:4">
      <c r="A48" s="21">
        <v>41</v>
      </c>
      <c r="B48" s="45" t="s">
        <v>383</v>
      </c>
      <c r="C48" s="46" t="s">
        <v>384</v>
      </c>
      <c r="D48" s="24" t="s">
        <v>14</v>
      </c>
    </row>
    <row r="49" s="16" customFormat="1" ht="12" customHeight="1" spans="1:4">
      <c r="A49" s="21">
        <v>42</v>
      </c>
      <c r="B49" s="45" t="s">
        <v>385</v>
      </c>
      <c r="C49" s="46" t="s">
        <v>386</v>
      </c>
      <c r="D49" s="24" t="s">
        <v>14</v>
      </c>
    </row>
    <row r="50" s="16" customFormat="1" ht="12" customHeight="1" spans="1:4">
      <c r="A50" s="21">
        <v>43</v>
      </c>
      <c r="B50" s="45" t="s">
        <v>387</v>
      </c>
      <c r="C50" s="46" t="s">
        <v>388</v>
      </c>
      <c r="D50" s="24" t="s">
        <v>14</v>
      </c>
    </row>
    <row r="51" s="16" customFormat="1" ht="12" customHeight="1" spans="1:4">
      <c r="A51" s="21">
        <v>44</v>
      </c>
      <c r="B51" s="45" t="s">
        <v>389</v>
      </c>
      <c r="C51" s="46" t="s">
        <v>390</v>
      </c>
      <c r="D51" s="24" t="s">
        <v>14</v>
      </c>
    </row>
    <row r="52" s="16" customFormat="1" ht="12" customHeight="1" spans="1:4">
      <c r="A52" s="21">
        <v>45</v>
      </c>
      <c r="B52" s="45" t="s">
        <v>391</v>
      </c>
      <c r="C52" s="46" t="s">
        <v>392</v>
      </c>
      <c r="D52" s="24" t="s">
        <v>14</v>
      </c>
    </row>
    <row r="53" s="16" customFormat="1" ht="12" customHeight="1" spans="1:4">
      <c r="A53" s="21">
        <v>46</v>
      </c>
      <c r="B53" s="45" t="s">
        <v>393</v>
      </c>
      <c r="C53" s="46" t="s">
        <v>394</v>
      </c>
      <c r="D53" s="24" t="s">
        <v>14</v>
      </c>
    </row>
    <row r="54" s="16" customFormat="1" ht="12" customHeight="1" spans="1:4">
      <c r="A54" s="21">
        <v>47</v>
      </c>
      <c r="B54" s="45" t="s">
        <v>395</v>
      </c>
      <c r="C54" s="46" t="s">
        <v>396</v>
      </c>
      <c r="D54" s="24" t="s">
        <v>14</v>
      </c>
    </row>
    <row r="55" ht="3" customHeight="1"/>
    <row r="56" ht="14.5" spans="1:4">
      <c r="C56" s="27" t="s">
        <v>203</v>
      </c>
      <c r="D56" s="28">
        <f>COUNTIF(D8:D53,"L")</f>
        <v>12</v>
      </c>
    </row>
    <row r="57" ht="14.5" spans="1:4">
      <c r="C57" s="27" t="s">
        <v>204</v>
      </c>
      <c r="D57" s="28">
        <f>COUNTIF(D8:D53,"P")</f>
        <v>34</v>
      </c>
    </row>
  </sheetData>
  <sortState ref="B8:D54">
    <sortCondition ref="C8:C54"/>
  </sortState>
  <mergeCells count="4">
    <mergeCell ref="A1:D1"/>
    <mergeCell ref="A3:D3"/>
    <mergeCell ref="A4:D4"/>
    <mergeCell ref="A5:D5"/>
  </mergeCells>
  <printOptions horizontalCentered="1"/>
  <pageMargins left="0.95" right="0.45" top="0.5" bottom="0.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topLeftCell="A34" workbookViewId="0">
      <selection activeCell="C43" sqref="C43"/>
    </sheetView>
  </sheetViews>
  <sheetFormatPr defaultColWidth="9" defaultRowHeight="12.5" outlineLevelCol="3"/>
  <cols>
    <col min="1" max="1" width="6" customWidth="1"/>
    <col min="2" max="2" width="23.3636363636364" customWidth="1"/>
    <col min="3" max="3" width="33.7272727272727" customWidth="1"/>
    <col min="4" max="4" width="6.72727272727273" customWidth="1"/>
  </cols>
  <sheetData>
    <row r="1" ht="78" customHeight="1" spans="1:4">
      <c r="A1" s="17" t="s">
        <v>0</v>
      </c>
      <c r="B1" s="17"/>
      <c r="C1" s="17"/>
      <c r="D1" s="17"/>
    </row>
    <row r="2" ht="13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397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ht="15.5" customHeight="1" spans="1:4">
      <c r="A6" s="36" t="s">
        <v>398</v>
      </c>
    </row>
    <row r="7" ht="16" customHeight="1" spans="1:4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4">
      <c r="A8" s="21">
        <v>1</v>
      </c>
      <c r="B8" s="45" t="s">
        <v>399</v>
      </c>
      <c r="C8" s="46" t="s">
        <v>400</v>
      </c>
      <c r="D8" s="24" t="s">
        <v>11</v>
      </c>
    </row>
    <row r="9" s="16" customFormat="1" ht="12" customHeight="1" spans="1:4">
      <c r="A9" s="21">
        <v>2</v>
      </c>
      <c r="B9" s="45" t="s">
        <v>401</v>
      </c>
      <c r="C9" s="46" t="s">
        <v>402</v>
      </c>
      <c r="D9" s="24" t="s">
        <v>14</v>
      </c>
    </row>
    <row r="10" s="16" customFormat="1" ht="12" customHeight="1" spans="1:4">
      <c r="A10" s="21">
        <v>3</v>
      </c>
      <c r="B10" s="45" t="s">
        <v>403</v>
      </c>
      <c r="C10" s="46" t="s">
        <v>404</v>
      </c>
      <c r="D10" s="24" t="s">
        <v>11</v>
      </c>
    </row>
    <row r="11" s="16" customFormat="1" ht="12" customHeight="1" spans="1:4">
      <c r="A11" s="21">
        <v>4</v>
      </c>
      <c r="B11" s="45" t="s">
        <v>405</v>
      </c>
      <c r="C11" s="46" t="s">
        <v>406</v>
      </c>
      <c r="D11" s="24" t="s">
        <v>14</v>
      </c>
    </row>
    <row r="12" s="16" customFormat="1" ht="12" customHeight="1" spans="1:4">
      <c r="A12" s="21">
        <v>5</v>
      </c>
      <c r="B12" s="45" t="s">
        <v>407</v>
      </c>
      <c r="C12" s="46" t="s">
        <v>408</v>
      </c>
      <c r="D12" s="24" t="s">
        <v>14</v>
      </c>
    </row>
    <row r="13" s="16" customFormat="1" ht="12" customHeight="1" spans="1:4">
      <c r="A13" s="21">
        <v>6</v>
      </c>
      <c r="B13" s="45" t="s">
        <v>409</v>
      </c>
      <c r="C13" s="46" t="s">
        <v>410</v>
      </c>
      <c r="D13" s="24" t="s">
        <v>14</v>
      </c>
    </row>
    <row r="14" s="16" customFormat="1" ht="12" customHeight="1" spans="1:4">
      <c r="A14" s="21">
        <v>7</v>
      </c>
      <c r="B14" s="30" t="s">
        <v>411</v>
      </c>
      <c r="C14" s="31" t="s">
        <v>412</v>
      </c>
      <c r="D14" s="30" t="s">
        <v>14</v>
      </c>
    </row>
    <row r="15" s="16" customFormat="1" ht="12" customHeight="1" spans="1:4">
      <c r="A15" s="21">
        <v>8</v>
      </c>
      <c r="B15" s="45" t="s">
        <v>413</v>
      </c>
      <c r="C15" s="46" t="s">
        <v>414</v>
      </c>
      <c r="D15" s="24" t="s">
        <v>14</v>
      </c>
    </row>
    <row r="16" s="16" customFormat="1" ht="12" customHeight="1" spans="1:4">
      <c r="A16" s="21">
        <v>9</v>
      </c>
      <c r="B16" s="45" t="s">
        <v>415</v>
      </c>
      <c r="C16" s="46" t="s">
        <v>416</v>
      </c>
      <c r="D16" s="24" t="s">
        <v>14</v>
      </c>
    </row>
    <row r="17" s="16" customFormat="1" ht="12" customHeight="1" spans="1:4">
      <c r="A17" s="21">
        <v>10</v>
      </c>
      <c r="B17" s="45" t="s">
        <v>417</v>
      </c>
      <c r="C17" s="46" t="s">
        <v>418</v>
      </c>
      <c r="D17" s="24" t="s">
        <v>11</v>
      </c>
    </row>
    <row r="18" s="16" customFormat="1" ht="12" customHeight="1" spans="1:4">
      <c r="A18" s="21">
        <v>11</v>
      </c>
      <c r="B18" s="45" t="s">
        <v>419</v>
      </c>
      <c r="C18" s="46" t="s">
        <v>420</v>
      </c>
      <c r="D18" s="24" t="s">
        <v>14</v>
      </c>
    </row>
    <row r="19" s="16" customFormat="1" ht="12" customHeight="1" spans="1:4">
      <c r="A19" s="21">
        <v>12</v>
      </c>
      <c r="B19" s="45" t="s">
        <v>421</v>
      </c>
      <c r="C19" s="46" t="s">
        <v>422</v>
      </c>
      <c r="D19" s="24" t="s">
        <v>14</v>
      </c>
    </row>
    <row r="20" s="16" customFormat="1" ht="12" customHeight="1" spans="1:4">
      <c r="A20" s="21">
        <v>13</v>
      </c>
      <c r="B20" s="45" t="s">
        <v>423</v>
      </c>
      <c r="C20" s="46" t="s">
        <v>424</v>
      </c>
      <c r="D20" s="24" t="s">
        <v>14</v>
      </c>
    </row>
    <row r="21" s="16" customFormat="1" ht="12" customHeight="1" spans="1:4">
      <c r="A21" s="21">
        <v>14</v>
      </c>
      <c r="B21" s="45" t="s">
        <v>425</v>
      </c>
      <c r="C21" s="46" t="s">
        <v>426</v>
      </c>
      <c r="D21" s="24" t="s">
        <v>11</v>
      </c>
    </row>
    <row r="22" s="16" customFormat="1" ht="12" customHeight="1" spans="1:4">
      <c r="A22" s="21">
        <v>15</v>
      </c>
      <c r="B22" s="45" t="s">
        <v>427</v>
      </c>
      <c r="C22" s="46" t="s">
        <v>428</v>
      </c>
      <c r="D22" s="24" t="s">
        <v>11</v>
      </c>
    </row>
    <row r="23" s="16" customFormat="1" ht="12" customHeight="1" spans="1:4">
      <c r="A23" s="21">
        <v>16</v>
      </c>
      <c r="B23" s="45" t="s">
        <v>429</v>
      </c>
      <c r="C23" s="46" t="s">
        <v>430</v>
      </c>
      <c r="D23" s="24" t="s">
        <v>14</v>
      </c>
    </row>
    <row r="24" s="16" customFormat="1" ht="12" customHeight="1" spans="1:4">
      <c r="A24" s="21">
        <v>17</v>
      </c>
      <c r="B24" s="45" t="s">
        <v>431</v>
      </c>
      <c r="C24" s="46" t="s">
        <v>432</v>
      </c>
      <c r="D24" s="24" t="s">
        <v>11</v>
      </c>
    </row>
    <row r="25" s="16" customFormat="1" ht="12" customHeight="1" spans="1:4">
      <c r="A25" s="21">
        <v>18</v>
      </c>
      <c r="B25" s="45" t="s">
        <v>433</v>
      </c>
      <c r="C25" s="46" t="s">
        <v>434</v>
      </c>
      <c r="D25" s="24" t="s">
        <v>14</v>
      </c>
    </row>
    <row r="26" s="16" customFormat="1" ht="12" customHeight="1" spans="1:4">
      <c r="A26" s="21">
        <v>19</v>
      </c>
      <c r="B26" s="45" t="s">
        <v>435</v>
      </c>
      <c r="C26" s="46" t="s">
        <v>436</v>
      </c>
      <c r="D26" s="24" t="s">
        <v>14</v>
      </c>
    </row>
    <row r="27" s="16" customFormat="1" ht="12" customHeight="1" spans="1:4">
      <c r="A27" s="21">
        <v>20</v>
      </c>
      <c r="B27" s="45" t="s">
        <v>437</v>
      </c>
      <c r="C27" s="46" t="s">
        <v>438</v>
      </c>
      <c r="D27" s="24" t="s">
        <v>11</v>
      </c>
    </row>
    <row r="28" s="16" customFormat="1" ht="12" customHeight="1" spans="1:4">
      <c r="A28" s="21">
        <v>21</v>
      </c>
      <c r="B28" s="45" t="s">
        <v>439</v>
      </c>
      <c r="C28" s="46" t="s">
        <v>440</v>
      </c>
      <c r="D28" s="24" t="s">
        <v>14</v>
      </c>
    </row>
    <row r="29" s="16" customFormat="1" ht="12" customHeight="1" spans="1:4">
      <c r="A29" s="21">
        <v>22</v>
      </c>
      <c r="B29" s="45" t="s">
        <v>441</v>
      </c>
      <c r="C29" s="46" t="s">
        <v>442</v>
      </c>
      <c r="D29" s="24" t="s">
        <v>14</v>
      </c>
    </row>
    <row r="30" s="16" customFormat="1" ht="12" customHeight="1" spans="1:4">
      <c r="A30" s="21">
        <v>23</v>
      </c>
      <c r="B30" s="45" t="s">
        <v>443</v>
      </c>
      <c r="C30" s="46" t="s">
        <v>444</v>
      </c>
      <c r="D30" s="24" t="s">
        <v>14</v>
      </c>
    </row>
    <row r="31" s="16" customFormat="1" ht="12" customHeight="1" spans="1:4">
      <c r="A31" s="21">
        <v>24</v>
      </c>
      <c r="B31" s="45" t="s">
        <v>445</v>
      </c>
      <c r="C31" s="46" t="s">
        <v>446</v>
      </c>
      <c r="D31" s="24" t="s">
        <v>14</v>
      </c>
    </row>
    <row r="32" s="16" customFormat="1" ht="12" customHeight="1" spans="1:4">
      <c r="A32" s="21">
        <v>25</v>
      </c>
      <c r="B32" s="45" t="s">
        <v>447</v>
      </c>
      <c r="C32" s="46" t="s">
        <v>448</v>
      </c>
      <c r="D32" s="24" t="s">
        <v>11</v>
      </c>
    </row>
    <row r="33" s="16" customFormat="1" ht="12" customHeight="1" spans="1:4">
      <c r="A33" s="21">
        <v>26</v>
      </c>
      <c r="B33" s="45" t="s">
        <v>449</v>
      </c>
      <c r="C33" s="46" t="s">
        <v>450</v>
      </c>
      <c r="D33" s="24" t="s">
        <v>11</v>
      </c>
    </row>
    <row r="34" s="16" customFormat="1" ht="12" customHeight="1" spans="1:4">
      <c r="A34" s="21">
        <v>27</v>
      </c>
      <c r="B34" s="45" t="s">
        <v>451</v>
      </c>
      <c r="C34" s="46" t="s">
        <v>452</v>
      </c>
      <c r="D34" s="24" t="s">
        <v>11</v>
      </c>
    </row>
    <row r="35" s="16" customFormat="1" ht="12" customHeight="1" spans="1:4">
      <c r="A35" s="21">
        <v>28</v>
      </c>
      <c r="B35" s="45" t="s">
        <v>453</v>
      </c>
      <c r="C35" s="46" t="s">
        <v>454</v>
      </c>
      <c r="D35" s="24" t="s">
        <v>11</v>
      </c>
    </row>
    <row r="36" s="16" customFormat="1" ht="12" customHeight="1" spans="1:4">
      <c r="A36" s="21">
        <v>29</v>
      </c>
      <c r="B36" s="45" t="s">
        <v>455</v>
      </c>
      <c r="C36" s="46" t="s">
        <v>456</v>
      </c>
      <c r="D36" s="24" t="s">
        <v>11</v>
      </c>
    </row>
    <row r="37" s="16" customFormat="1" ht="12" customHeight="1" spans="1:4">
      <c r="A37" s="21">
        <v>30</v>
      </c>
      <c r="B37" s="45" t="s">
        <v>457</v>
      </c>
      <c r="C37" s="46" t="s">
        <v>458</v>
      </c>
      <c r="D37" s="24" t="s">
        <v>11</v>
      </c>
    </row>
    <row r="38" s="16" customFormat="1" ht="12" customHeight="1" spans="1:4">
      <c r="A38" s="21">
        <v>31</v>
      </c>
      <c r="B38" s="45" t="s">
        <v>459</v>
      </c>
      <c r="C38" s="46" t="s">
        <v>460</v>
      </c>
      <c r="D38" s="24" t="s">
        <v>11</v>
      </c>
    </row>
    <row r="39" s="16" customFormat="1" ht="12" customHeight="1" spans="1:4">
      <c r="A39" s="21">
        <v>32</v>
      </c>
      <c r="B39" s="45" t="s">
        <v>461</v>
      </c>
      <c r="C39" s="46" t="s">
        <v>462</v>
      </c>
      <c r="D39" s="24" t="s">
        <v>14</v>
      </c>
    </row>
    <row r="40" s="16" customFormat="1" ht="12" customHeight="1" spans="1:4">
      <c r="A40" s="21">
        <v>33</v>
      </c>
      <c r="B40" s="45" t="s">
        <v>463</v>
      </c>
      <c r="C40" s="46" t="s">
        <v>464</v>
      </c>
      <c r="D40" s="24" t="s">
        <v>14</v>
      </c>
    </row>
    <row r="41" s="16" customFormat="1" ht="12" customHeight="1" spans="1:4">
      <c r="A41" s="21">
        <v>34</v>
      </c>
      <c r="B41" s="45" t="s">
        <v>465</v>
      </c>
      <c r="C41" s="46" t="s">
        <v>466</v>
      </c>
      <c r="D41" s="24" t="s">
        <v>14</v>
      </c>
    </row>
    <row r="42" s="16" customFormat="1" ht="12" customHeight="1" spans="1:4">
      <c r="A42" s="21">
        <v>35</v>
      </c>
      <c r="B42" s="30" t="s">
        <v>467</v>
      </c>
      <c r="C42" s="35" t="s">
        <v>468</v>
      </c>
      <c r="D42" s="30" t="s">
        <v>11</v>
      </c>
    </row>
    <row r="43" s="16" customFormat="1" ht="12" customHeight="1" spans="1:4">
      <c r="A43" s="21">
        <v>36</v>
      </c>
      <c r="B43" s="45" t="s">
        <v>469</v>
      </c>
      <c r="C43" s="46" t="s">
        <v>470</v>
      </c>
      <c r="D43" s="24" t="s">
        <v>14</v>
      </c>
    </row>
    <row r="44" s="16" customFormat="1" ht="12" customHeight="1" spans="1:4">
      <c r="A44" s="21">
        <v>37</v>
      </c>
      <c r="B44" s="30" t="s">
        <v>471</v>
      </c>
      <c r="C44" s="31" t="s">
        <v>472</v>
      </c>
      <c r="D44" s="30" t="s">
        <v>11</v>
      </c>
    </row>
    <row r="45" s="16" customFormat="1" ht="12" customHeight="1" spans="1:4">
      <c r="A45" s="21">
        <v>38</v>
      </c>
      <c r="B45" s="45" t="s">
        <v>473</v>
      </c>
      <c r="C45" s="46" t="s">
        <v>474</v>
      </c>
      <c r="D45" s="24" t="s">
        <v>14</v>
      </c>
    </row>
    <row r="46" s="16" customFormat="1" ht="12" customHeight="1" spans="1:4">
      <c r="A46" s="21">
        <v>39</v>
      </c>
      <c r="B46" s="45" t="s">
        <v>475</v>
      </c>
      <c r="C46" s="46" t="s">
        <v>476</v>
      </c>
      <c r="D46" s="24" t="s">
        <v>11</v>
      </c>
    </row>
    <row r="47" s="16" customFormat="1" ht="12" customHeight="1" spans="1:4">
      <c r="A47" s="21">
        <v>40</v>
      </c>
      <c r="B47" s="45" t="s">
        <v>477</v>
      </c>
      <c r="C47" s="46" t="s">
        <v>478</v>
      </c>
      <c r="D47" s="24" t="s">
        <v>11</v>
      </c>
    </row>
    <row r="48" s="16" customFormat="1" ht="12" customHeight="1" spans="1:4">
      <c r="A48" s="21">
        <v>41</v>
      </c>
      <c r="B48" s="45" t="s">
        <v>479</v>
      </c>
      <c r="C48" s="46" t="s">
        <v>480</v>
      </c>
      <c r="D48" s="24" t="s">
        <v>11</v>
      </c>
    </row>
    <row r="49" s="16" customFormat="1" ht="12" customHeight="1" spans="1:4">
      <c r="A49" s="21">
        <v>42</v>
      </c>
      <c r="B49" s="45" t="s">
        <v>481</v>
      </c>
      <c r="C49" s="46" t="s">
        <v>482</v>
      </c>
      <c r="D49" s="24" t="s">
        <v>11</v>
      </c>
    </row>
    <row r="50" s="16" customFormat="1" ht="12" customHeight="1" spans="1:4">
      <c r="A50" s="21">
        <v>43</v>
      </c>
      <c r="B50" s="45" t="s">
        <v>483</v>
      </c>
      <c r="C50" s="46" t="s">
        <v>484</v>
      </c>
      <c r="D50" s="24" t="s">
        <v>14</v>
      </c>
    </row>
    <row r="51" s="16" customFormat="1" ht="12" customHeight="1" spans="1:4">
      <c r="A51" s="21">
        <v>44</v>
      </c>
      <c r="B51" s="45" t="s">
        <v>485</v>
      </c>
      <c r="C51" s="46" t="s">
        <v>486</v>
      </c>
      <c r="D51" s="24" t="s">
        <v>14</v>
      </c>
    </row>
    <row r="52" s="16" customFormat="1" ht="12" customHeight="1" spans="1:4">
      <c r="A52" s="21">
        <v>45</v>
      </c>
      <c r="B52" s="45" t="s">
        <v>487</v>
      </c>
      <c r="C52" s="46" t="s">
        <v>488</v>
      </c>
      <c r="D52" s="24" t="s">
        <v>14</v>
      </c>
    </row>
    <row r="53" s="16" customFormat="1" ht="12" customHeight="1" spans="1:4">
      <c r="A53" s="21">
        <v>46</v>
      </c>
      <c r="B53" s="45" t="s">
        <v>489</v>
      </c>
      <c r="C53" s="46" t="s">
        <v>490</v>
      </c>
      <c r="D53" s="24" t="s">
        <v>14</v>
      </c>
    </row>
    <row r="55" ht="13" spans="1:4">
      <c r="C55" s="23" t="s">
        <v>203</v>
      </c>
      <c r="D55" s="37">
        <f>COUNTIF(D8:D53,"L")</f>
        <v>20</v>
      </c>
    </row>
    <row r="56" ht="13" spans="1:4">
      <c r="C56" s="23" t="s">
        <v>204</v>
      </c>
      <c r="D56" s="37">
        <f>COUNTIF(D8:D53,"P")</f>
        <v>26</v>
      </c>
    </row>
  </sheetData>
  <sortState ref="B8:D53">
    <sortCondition ref="C8:C53"/>
  </sortState>
  <mergeCells count="4">
    <mergeCell ref="A1:D1"/>
    <mergeCell ref="A3:D3"/>
    <mergeCell ref="A4:D4"/>
    <mergeCell ref="A5:D5"/>
  </mergeCells>
  <printOptions horizontalCentered="1"/>
  <pageMargins left="0.95" right="0.45" top="0.5" bottom="0.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workbookViewId="0">
      <selection activeCell="A3" sqref="A3:D3"/>
    </sheetView>
  </sheetViews>
  <sheetFormatPr defaultColWidth="9" defaultRowHeight="12.5" outlineLevelCol="3"/>
  <cols>
    <col min="1" max="1" width="6.36363636363636" customWidth="1"/>
    <col min="2" max="2" width="22.8181818181818" customWidth="1"/>
    <col min="3" max="3" width="29.7272727272727" customWidth="1"/>
  </cols>
  <sheetData>
    <row r="1" ht="77" customHeight="1" spans="1:4">
      <c r="A1" s="17" t="s">
        <v>0</v>
      </c>
      <c r="B1" s="17"/>
      <c r="C1" s="17"/>
      <c r="D1" s="17"/>
    </row>
    <row r="2" ht="5" customHeight="1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491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ht="16" customHeight="1" spans="1:4">
      <c r="A6" s="36" t="s">
        <v>492</v>
      </c>
    </row>
    <row r="7" spans="1:4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4">
      <c r="A8" s="21">
        <v>1</v>
      </c>
      <c r="B8" s="45" t="s">
        <v>493</v>
      </c>
      <c r="C8" s="46" t="s">
        <v>494</v>
      </c>
      <c r="D8" s="24" t="s">
        <v>11</v>
      </c>
    </row>
    <row r="9" s="16" customFormat="1" ht="12" customHeight="1" spans="1:4">
      <c r="A9" s="21">
        <v>2</v>
      </c>
      <c r="B9" s="45" t="s">
        <v>495</v>
      </c>
      <c r="C9" s="46" t="s">
        <v>496</v>
      </c>
      <c r="D9" s="24" t="s">
        <v>11</v>
      </c>
    </row>
    <row r="10" s="16" customFormat="1" ht="12" customHeight="1" spans="1:4">
      <c r="A10" s="21">
        <v>3</v>
      </c>
      <c r="B10" s="45" t="s">
        <v>497</v>
      </c>
      <c r="C10" s="46" t="s">
        <v>498</v>
      </c>
      <c r="D10" s="24" t="s">
        <v>11</v>
      </c>
    </row>
    <row r="11" s="16" customFormat="1" ht="12" customHeight="1" spans="1:4">
      <c r="A11" s="21">
        <v>4</v>
      </c>
      <c r="B11" s="45" t="s">
        <v>499</v>
      </c>
      <c r="C11" s="46" t="s">
        <v>500</v>
      </c>
      <c r="D11" s="24" t="s">
        <v>14</v>
      </c>
    </row>
    <row r="12" s="16" customFormat="1" ht="12" customHeight="1" spans="1:4">
      <c r="A12" s="21">
        <v>5</v>
      </c>
      <c r="B12" s="45" t="s">
        <v>501</v>
      </c>
      <c r="C12" s="46" t="s">
        <v>502</v>
      </c>
      <c r="D12" s="24" t="s">
        <v>14</v>
      </c>
    </row>
    <row r="13" s="16" customFormat="1" ht="12" customHeight="1" spans="1:4">
      <c r="A13" s="21">
        <v>6</v>
      </c>
      <c r="B13" s="45" t="s">
        <v>503</v>
      </c>
      <c r="C13" s="46" t="s">
        <v>504</v>
      </c>
      <c r="D13" s="24" t="s">
        <v>14</v>
      </c>
    </row>
    <row r="14" s="16" customFormat="1" ht="12" customHeight="1" spans="1:4">
      <c r="A14" s="21">
        <v>7</v>
      </c>
      <c r="B14" s="45" t="s">
        <v>505</v>
      </c>
      <c r="C14" s="46" t="s">
        <v>506</v>
      </c>
      <c r="D14" s="24" t="s">
        <v>14</v>
      </c>
    </row>
    <row r="15" s="16" customFormat="1" ht="12" customHeight="1" spans="1:4">
      <c r="A15" s="21">
        <v>8</v>
      </c>
      <c r="B15" s="45" t="s">
        <v>507</v>
      </c>
      <c r="C15" s="46" t="s">
        <v>508</v>
      </c>
      <c r="D15" s="24" t="s">
        <v>14</v>
      </c>
    </row>
    <row r="16" s="16" customFormat="1" ht="12" customHeight="1" spans="1:4">
      <c r="A16" s="21">
        <v>9</v>
      </c>
      <c r="B16" s="45" t="s">
        <v>509</v>
      </c>
      <c r="C16" s="46" t="s">
        <v>510</v>
      </c>
      <c r="D16" s="24" t="s">
        <v>14</v>
      </c>
    </row>
    <row r="17" s="16" customFormat="1" ht="12" customHeight="1" spans="1:4">
      <c r="A17" s="21">
        <v>10</v>
      </c>
      <c r="B17" s="45" t="s">
        <v>511</v>
      </c>
      <c r="C17" s="46" t="s">
        <v>512</v>
      </c>
      <c r="D17" s="24" t="s">
        <v>11</v>
      </c>
    </row>
    <row r="18" s="16" customFormat="1" ht="12" customHeight="1" spans="1:4">
      <c r="A18" s="21">
        <v>11</v>
      </c>
      <c r="B18" s="45" t="s">
        <v>513</v>
      </c>
      <c r="C18" s="46" t="s">
        <v>514</v>
      </c>
      <c r="D18" s="24" t="s">
        <v>11</v>
      </c>
    </row>
    <row r="19" s="16" customFormat="1" ht="12" customHeight="1" spans="1:4">
      <c r="A19" s="21">
        <v>12</v>
      </c>
      <c r="B19" s="45" t="s">
        <v>515</v>
      </c>
      <c r="C19" s="46" t="s">
        <v>516</v>
      </c>
      <c r="D19" s="24" t="s">
        <v>14</v>
      </c>
    </row>
    <row r="20" s="16" customFormat="1" ht="12" customHeight="1" spans="1:4">
      <c r="A20" s="21">
        <v>13</v>
      </c>
      <c r="B20" s="30" t="s">
        <v>517</v>
      </c>
      <c r="C20" s="35" t="s">
        <v>518</v>
      </c>
      <c r="D20" s="30" t="s">
        <v>11</v>
      </c>
    </row>
    <row r="21" s="16" customFormat="1" ht="12" customHeight="1" spans="1:4">
      <c r="A21" s="21">
        <v>14</v>
      </c>
      <c r="B21" s="45" t="s">
        <v>519</v>
      </c>
      <c r="C21" s="46" t="s">
        <v>520</v>
      </c>
      <c r="D21" s="24" t="s">
        <v>11</v>
      </c>
    </row>
    <row r="22" s="16" customFormat="1" ht="12" customHeight="1" spans="1:4">
      <c r="A22" s="21">
        <v>15</v>
      </c>
      <c r="B22" s="45" t="s">
        <v>521</v>
      </c>
      <c r="C22" s="46" t="s">
        <v>522</v>
      </c>
      <c r="D22" s="24" t="s">
        <v>14</v>
      </c>
    </row>
    <row r="23" s="16" customFormat="1" ht="12" customHeight="1" spans="1:4">
      <c r="A23" s="21">
        <v>16</v>
      </c>
      <c r="B23" s="45" t="s">
        <v>523</v>
      </c>
      <c r="C23" s="46" t="s">
        <v>524</v>
      </c>
      <c r="D23" s="24" t="s">
        <v>14</v>
      </c>
    </row>
    <row r="24" s="16" customFormat="1" ht="12" customHeight="1" spans="1:4">
      <c r="A24" s="21">
        <v>17</v>
      </c>
      <c r="B24" s="45" t="s">
        <v>525</v>
      </c>
      <c r="C24" s="46" t="s">
        <v>526</v>
      </c>
      <c r="D24" s="24" t="s">
        <v>14</v>
      </c>
    </row>
    <row r="25" s="16" customFormat="1" ht="12" customHeight="1" spans="1:4">
      <c r="A25" s="21">
        <v>18</v>
      </c>
      <c r="B25" s="45" t="s">
        <v>527</v>
      </c>
      <c r="C25" s="46" t="s">
        <v>528</v>
      </c>
      <c r="D25" s="24" t="s">
        <v>14</v>
      </c>
    </row>
    <row r="26" s="16" customFormat="1" ht="12" customHeight="1" spans="1:4">
      <c r="A26" s="21">
        <v>19</v>
      </c>
      <c r="B26" s="45" t="s">
        <v>529</v>
      </c>
      <c r="C26" s="46" t="s">
        <v>530</v>
      </c>
      <c r="D26" s="24" t="s">
        <v>14</v>
      </c>
    </row>
    <row r="27" s="16" customFormat="1" ht="12" customHeight="1" spans="1:4">
      <c r="A27" s="21">
        <v>20</v>
      </c>
      <c r="B27" s="45" t="s">
        <v>531</v>
      </c>
      <c r="C27" s="46" t="s">
        <v>532</v>
      </c>
      <c r="D27" s="24" t="s">
        <v>14</v>
      </c>
    </row>
    <row r="28" s="16" customFormat="1" ht="12" customHeight="1" spans="1:4">
      <c r="A28" s="21">
        <v>21</v>
      </c>
      <c r="B28" s="45" t="s">
        <v>533</v>
      </c>
      <c r="C28" s="46" t="s">
        <v>534</v>
      </c>
      <c r="D28" s="24" t="s">
        <v>11</v>
      </c>
    </row>
    <row r="29" s="16" customFormat="1" ht="12" customHeight="1" spans="1:4">
      <c r="A29" s="21">
        <v>22</v>
      </c>
      <c r="B29" s="45" t="s">
        <v>535</v>
      </c>
      <c r="C29" s="46" t="s">
        <v>536</v>
      </c>
      <c r="D29" s="24" t="s">
        <v>11</v>
      </c>
    </row>
    <row r="30" s="16" customFormat="1" ht="12" customHeight="1" spans="1:4">
      <c r="A30" s="21">
        <v>23</v>
      </c>
      <c r="B30" s="45" t="s">
        <v>537</v>
      </c>
      <c r="C30" s="46" t="s">
        <v>538</v>
      </c>
      <c r="D30" s="24" t="s">
        <v>11</v>
      </c>
    </row>
    <row r="31" s="16" customFormat="1" ht="12" customHeight="1" spans="1:4">
      <c r="A31" s="21">
        <v>24</v>
      </c>
      <c r="B31" s="45" t="s">
        <v>539</v>
      </c>
      <c r="C31" s="46" t="s">
        <v>540</v>
      </c>
      <c r="D31" s="24" t="s">
        <v>11</v>
      </c>
    </row>
    <row r="32" s="16" customFormat="1" ht="12" customHeight="1" spans="1:4">
      <c r="A32" s="21">
        <v>25</v>
      </c>
      <c r="B32" s="45" t="s">
        <v>541</v>
      </c>
      <c r="C32" s="46" t="s">
        <v>542</v>
      </c>
      <c r="D32" s="24" t="s">
        <v>11</v>
      </c>
    </row>
    <row r="33" s="16" customFormat="1" ht="12" customHeight="1" spans="1:4">
      <c r="A33" s="21">
        <v>26</v>
      </c>
      <c r="B33" s="45" t="s">
        <v>543</v>
      </c>
      <c r="C33" s="46" t="s">
        <v>544</v>
      </c>
      <c r="D33" s="24" t="s">
        <v>11</v>
      </c>
    </row>
    <row r="34" s="16" customFormat="1" ht="12" customHeight="1" spans="1:4">
      <c r="A34" s="21">
        <v>27</v>
      </c>
      <c r="B34" s="45" t="s">
        <v>545</v>
      </c>
      <c r="C34" s="46" t="s">
        <v>546</v>
      </c>
      <c r="D34" s="24" t="s">
        <v>11</v>
      </c>
    </row>
    <row r="35" s="16" customFormat="1" ht="12" customHeight="1" spans="1:4">
      <c r="A35" s="21">
        <v>28</v>
      </c>
      <c r="B35" s="45" t="s">
        <v>547</v>
      </c>
      <c r="C35" s="46" t="s">
        <v>548</v>
      </c>
      <c r="D35" s="24" t="s">
        <v>14</v>
      </c>
    </row>
    <row r="36" s="16" customFormat="1" ht="12" customHeight="1" spans="1:4">
      <c r="A36" s="21">
        <v>29</v>
      </c>
      <c r="B36" s="45" t="s">
        <v>549</v>
      </c>
      <c r="C36" s="46" t="s">
        <v>550</v>
      </c>
      <c r="D36" s="24" t="s">
        <v>14</v>
      </c>
    </row>
    <row r="37" s="16" customFormat="1" ht="12" customHeight="1" spans="1:4">
      <c r="A37" s="21">
        <v>30</v>
      </c>
      <c r="B37" s="45" t="s">
        <v>551</v>
      </c>
      <c r="C37" s="46" t="s">
        <v>552</v>
      </c>
      <c r="D37" s="24" t="s">
        <v>14</v>
      </c>
    </row>
    <row r="38" s="16" customFormat="1" ht="12" customHeight="1" spans="1:4">
      <c r="A38" s="21">
        <v>31</v>
      </c>
      <c r="B38" s="45" t="s">
        <v>553</v>
      </c>
      <c r="C38" s="46" t="s">
        <v>554</v>
      </c>
      <c r="D38" s="24" t="s">
        <v>14</v>
      </c>
    </row>
    <row r="39" s="16" customFormat="1" ht="12" customHeight="1" spans="1:4">
      <c r="A39" s="21">
        <v>32</v>
      </c>
      <c r="B39" s="45" t="s">
        <v>555</v>
      </c>
      <c r="C39" s="46" t="s">
        <v>556</v>
      </c>
      <c r="D39" s="24" t="s">
        <v>14</v>
      </c>
    </row>
    <row r="40" s="16" customFormat="1" ht="12" customHeight="1" spans="1:4">
      <c r="A40" s="21">
        <v>33</v>
      </c>
      <c r="B40" s="45" t="s">
        <v>557</v>
      </c>
      <c r="C40" s="46" t="s">
        <v>558</v>
      </c>
      <c r="D40" s="24" t="s">
        <v>14</v>
      </c>
    </row>
    <row r="41" s="16" customFormat="1" ht="12" customHeight="1" spans="1:4">
      <c r="A41" s="21">
        <v>34</v>
      </c>
      <c r="B41" s="45" t="s">
        <v>559</v>
      </c>
      <c r="C41" s="46" t="s">
        <v>560</v>
      </c>
      <c r="D41" s="24" t="s">
        <v>11</v>
      </c>
    </row>
    <row r="42" s="16" customFormat="1" ht="12" customHeight="1" spans="1:4">
      <c r="A42" s="21">
        <v>35</v>
      </c>
      <c r="B42" s="45" t="s">
        <v>561</v>
      </c>
      <c r="C42" s="46" t="s">
        <v>562</v>
      </c>
      <c r="D42" s="24" t="s">
        <v>11</v>
      </c>
    </row>
    <row r="43" s="16" customFormat="1" ht="12" customHeight="1" spans="1:4">
      <c r="A43" s="21">
        <v>36</v>
      </c>
      <c r="B43" s="33" t="s">
        <v>563</v>
      </c>
      <c r="C43" s="31" t="s">
        <v>564</v>
      </c>
      <c r="D43" s="30" t="s">
        <v>11</v>
      </c>
    </row>
    <row r="44" s="16" customFormat="1" ht="12" customHeight="1" spans="1:4">
      <c r="A44" s="21">
        <v>37</v>
      </c>
      <c r="B44" s="45" t="s">
        <v>565</v>
      </c>
      <c r="C44" s="46" t="s">
        <v>566</v>
      </c>
      <c r="D44" s="24" t="s">
        <v>11</v>
      </c>
    </row>
    <row r="45" s="16" customFormat="1" ht="12" customHeight="1" spans="1:4">
      <c r="A45" s="21">
        <v>38</v>
      </c>
      <c r="B45" s="45" t="s">
        <v>567</v>
      </c>
      <c r="C45" s="46" t="s">
        <v>568</v>
      </c>
      <c r="D45" s="24" t="s">
        <v>14</v>
      </c>
    </row>
    <row r="46" s="16" customFormat="1" ht="12" customHeight="1" spans="1:4">
      <c r="A46" s="21">
        <v>39</v>
      </c>
      <c r="B46" s="45" t="s">
        <v>569</v>
      </c>
      <c r="C46" s="46" t="s">
        <v>570</v>
      </c>
      <c r="D46" s="24" t="s">
        <v>11</v>
      </c>
    </row>
    <row r="47" s="16" customFormat="1" ht="12" customHeight="1" spans="1:4">
      <c r="A47" s="21">
        <v>40</v>
      </c>
      <c r="B47" s="45" t="s">
        <v>571</v>
      </c>
      <c r="C47" s="46" t="s">
        <v>572</v>
      </c>
      <c r="D47" s="24" t="s">
        <v>14</v>
      </c>
    </row>
    <row r="48" s="16" customFormat="1" ht="12" customHeight="1" spans="1:4">
      <c r="A48" s="21">
        <v>41</v>
      </c>
      <c r="B48" s="33" t="s">
        <v>573</v>
      </c>
      <c r="C48" s="31" t="s">
        <v>574</v>
      </c>
      <c r="D48" s="30" t="s">
        <v>14</v>
      </c>
    </row>
    <row r="49" s="16" customFormat="1" ht="12" customHeight="1" spans="1:4">
      <c r="A49" s="21">
        <v>42</v>
      </c>
      <c r="B49" s="45" t="s">
        <v>575</v>
      </c>
      <c r="C49" s="46" t="s">
        <v>576</v>
      </c>
      <c r="D49" s="24" t="s">
        <v>14</v>
      </c>
    </row>
    <row r="50" s="16" customFormat="1" ht="12" customHeight="1" spans="1:4">
      <c r="A50" s="21">
        <v>43</v>
      </c>
      <c r="B50" s="45" t="s">
        <v>577</v>
      </c>
      <c r="C50" s="46" t="s">
        <v>578</v>
      </c>
      <c r="D50" s="24" t="s">
        <v>14</v>
      </c>
    </row>
    <row r="51" s="16" customFormat="1" ht="12" customHeight="1" spans="1:4">
      <c r="A51" s="21">
        <v>44</v>
      </c>
      <c r="B51" s="45" t="s">
        <v>579</v>
      </c>
      <c r="C51" s="46" t="s">
        <v>580</v>
      </c>
      <c r="D51" s="24" t="s">
        <v>14</v>
      </c>
    </row>
    <row r="52" s="16" customFormat="1" ht="12" customHeight="1" spans="1:4">
      <c r="A52" s="21">
        <v>45</v>
      </c>
      <c r="B52" s="45" t="s">
        <v>581</v>
      </c>
      <c r="C52" s="46" t="s">
        <v>582</v>
      </c>
      <c r="D52" s="24" t="s">
        <v>14</v>
      </c>
    </row>
    <row r="53" s="16" customFormat="1" ht="12" customHeight="1" spans="1:4">
      <c r="A53" s="21">
        <v>46</v>
      </c>
      <c r="B53" s="45" t="s">
        <v>583</v>
      </c>
      <c r="C53" s="46" t="s">
        <v>584</v>
      </c>
      <c r="D53" s="24" t="s">
        <v>14</v>
      </c>
    </row>
    <row r="54" ht="9.5" customHeight="1"/>
    <row r="55" ht="14.5" spans="1:4">
      <c r="C55" s="27" t="s">
        <v>203</v>
      </c>
      <c r="D55" s="28">
        <f>COUNTIF(D8:D53,"L")</f>
        <v>19</v>
      </c>
    </row>
    <row r="56" ht="14.5" spans="1:4">
      <c r="C56" s="27" t="s">
        <v>204</v>
      </c>
      <c r="D56" s="28">
        <f>COUNTIF(D8:D53,"P")</f>
        <v>27</v>
      </c>
    </row>
  </sheetData>
  <sortState ref="B8:D53">
    <sortCondition ref="C8:C53"/>
  </sortState>
  <mergeCells count="4">
    <mergeCell ref="A1:D1"/>
    <mergeCell ref="A3:D3"/>
    <mergeCell ref="A4:D4"/>
    <mergeCell ref="A5:D5"/>
  </mergeCells>
  <printOptions horizontalCentered="1"/>
  <pageMargins left="0.7" right="0.45" top="0.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workbookViewId="0">
      <selection activeCell="A6" sqref="A6"/>
    </sheetView>
  </sheetViews>
  <sheetFormatPr defaultColWidth="9" defaultRowHeight="12.5" outlineLevelCol="3"/>
  <cols>
    <col min="1" max="1" width="7.27272727272727" customWidth="1"/>
    <col min="2" max="2" width="22.1818181818182" customWidth="1"/>
    <col min="3" max="3" width="31.3636363636364" customWidth="1"/>
  </cols>
  <sheetData>
    <row r="1" ht="79.5" customHeight="1" spans="1:4">
      <c r="A1" s="17" t="s">
        <v>0</v>
      </c>
      <c r="B1" s="17"/>
      <c r="C1" s="17"/>
      <c r="D1" s="17"/>
    </row>
    <row r="2" ht="3.5" customHeight="1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585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ht="14.5" customHeight="1" spans="1:4">
      <c r="A6" t="s">
        <v>586</v>
      </c>
    </row>
    <row r="7" spans="1:4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4">
      <c r="A8" s="21">
        <v>1</v>
      </c>
      <c r="B8" s="45" t="s">
        <v>587</v>
      </c>
      <c r="C8" s="46" t="s">
        <v>588</v>
      </c>
      <c r="D8" s="24" t="s">
        <v>14</v>
      </c>
    </row>
    <row r="9" s="16" customFormat="1" ht="12" customHeight="1" spans="1:4">
      <c r="A9" s="21">
        <v>2</v>
      </c>
      <c r="B9" s="45" t="s">
        <v>589</v>
      </c>
      <c r="C9" s="46" t="s">
        <v>590</v>
      </c>
      <c r="D9" s="24" t="s">
        <v>14</v>
      </c>
    </row>
    <row r="10" s="16" customFormat="1" ht="12" customHeight="1" spans="1:4">
      <c r="A10" s="21">
        <v>3</v>
      </c>
      <c r="B10" s="45" t="s">
        <v>591</v>
      </c>
      <c r="C10" s="46" t="s">
        <v>592</v>
      </c>
      <c r="D10" s="24" t="s">
        <v>11</v>
      </c>
    </row>
    <row r="11" s="16" customFormat="1" ht="12" customHeight="1" spans="1:4">
      <c r="A11" s="21">
        <v>4</v>
      </c>
      <c r="B11" s="45" t="s">
        <v>593</v>
      </c>
      <c r="C11" s="46" t="s">
        <v>594</v>
      </c>
      <c r="D11" s="24" t="s">
        <v>14</v>
      </c>
    </row>
    <row r="12" s="16" customFormat="1" ht="12" customHeight="1" spans="1:4">
      <c r="A12" s="21">
        <v>5</v>
      </c>
      <c r="B12" s="45" t="s">
        <v>595</v>
      </c>
      <c r="C12" s="46" t="s">
        <v>596</v>
      </c>
      <c r="D12" s="24" t="s">
        <v>11</v>
      </c>
    </row>
    <row r="13" s="16" customFormat="1" ht="12" customHeight="1" spans="1:4">
      <c r="A13" s="21">
        <v>6</v>
      </c>
      <c r="B13" s="45" t="s">
        <v>597</v>
      </c>
      <c r="C13" s="46" t="s">
        <v>598</v>
      </c>
      <c r="D13" s="24" t="s">
        <v>14</v>
      </c>
    </row>
    <row r="14" s="16" customFormat="1" ht="12" customHeight="1" spans="1:4">
      <c r="A14" s="21">
        <v>7</v>
      </c>
      <c r="B14" s="45" t="s">
        <v>599</v>
      </c>
      <c r="C14" s="46" t="s">
        <v>600</v>
      </c>
      <c r="D14" s="24" t="s">
        <v>14</v>
      </c>
    </row>
    <row r="15" s="16" customFormat="1" ht="12" customHeight="1" spans="1:4">
      <c r="A15" s="21">
        <v>8</v>
      </c>
      <c r="B15" s="45" t="s">
        <v>601</v>
      </c>
      <c r="C15" s="46" t="s">
        <v>602</v>
      </c>
      <c r="D15" s="24" t="s">
        <v>11</v>
      </c>
    </row>
    <row r="16" s="16" customFormat="1" ht="12" customHeight="1" spans="1:4">
      <c r="A16" s="21">
        <v>9</v>
      </c>
      <c r="B16" s="45" t="s">
        <v>603</v>
      </c>
      <c r="C16" s="46" t="s">
        <v>604</v>
      </c>
      <c r="D16" s="24" t="s">
        <v>11</v>
      </c>
    </row>
    <row r="17" s="16" customFormat="1" ht="12" customHeight="1" spans="1:4">
      <c r="A17" s="21">
        <v>10</v>
      </c>
      <c r="B17" s="45" t="s">
        <v>605</v>
      </c>
      <c r="C17" s="46" t="s">
        <v>606</v>
      </c>
      <c r="D17" s="24" t="s">
        <v>14</v>
      </c>
    </row>
    <row r="18" s="16" customFormat="1" ht="12" customHeight="1" spans="1:4">
      <c r="A18" s="21">
        <v>11</v>
      </c>
      <c r="B18" s="45" t="s">
        <v>607</v>
      </c>
      <c r="C18" s="46" t="s">
        <v>608</v>
      </c>
      <c r="D18" s="24" t="s">
        <v>14</v>
      </c>
    </row>
    <row r="19" s="16" customFormat="1" ht="12" customHeight="1" spans="1:4">
      <c r="A19" s="21">
        <v>12</v>
      </c>
      <c r="B19" s="45" t="s">
        <v>609</v>
      </c>
      <c r="C19" s="46" t="s">
        <v>610</v>
      </c>
      <c r="D19" s="24" t="s">
        <v>14</v>
      </c>
    </row>
    <row r="20" s="16" customFormat="1" ht="12" customHeight="1" spans="1:4">
      <c r="A20" s="21">
        <v>13</v>
      </c>
      <c r="B20" s="30" t="s">
        <v>611</v>
      </c>
      <c r="C20" s="35" t="s">
        <v>612</v>
      </c>
      <c r="D20" s="30" t="s">
        <v>11</v>
      </c>
    </row>
    <row r="21" s="16" customFormat="1" ht="12" customHeight="1" spans="1:4">
      <c r="A21" s="21">
        <v>14</v>
      </c>
      <c r="B21" s="45" t="s">
        <v>613</v>
      </c>
      <c r="C21" s="46" t="s">
        <v>614</v>
      </c>
      <c r="D21" s="24" t="s">
        <v>11</v>
      </c>
    </row>
    <row r="22" s="16" customFormat="1" ht="12" customHeight="1" spans="1:4">
      <c r="A22" s="21">
        <v>15</v>
      </c>
      <c r="B22" s="45" t="s">
        <v>615</v>
      </c>
      <c r="C22" s="46" t="s">
        <v>616</v>
      </c>
      <c r="D22" s="24" t="s">
        <v>11</v>
      </c>
    </row>
    <row r="23" s="16" customFormat="1" ht="12" customHeight="1" spans="1:4">
      <c r="A23" s="21">
        <v>16</v>
      </c>
      <c r="B23" s="45" t="s">
        <v>617</v>
      </c>
      <c r="C23" s="46" t="s">
        <v>618</v>
      </c>
      <c r="D23" s="24" t="s">
        <v>11</v>
      </c>
    </row>
    <row r="24" s="16" customFormat="1" ht="12" customHeight="1" spans="1:4">
      <c r="A24" s="21">
        <v>17</v>
      </c>
      <c r="B24" s="45" t="s">
        <v>619</v>
      </c>
      <c r="C24" s="46" t="s">
        <v>620</v>
      </c>
      <c r="D24" s="24" t="s">
        <v>14</v>
      </c>
    </row>
    <row r="25" s="16" customFormat="1" ht="12" customHeight="1" spans="1:4">
      <c r="A25" s="21">
        <v>18</v>
      </c>
      <c r="B25" s="45" t="s">
        <v>621</v>
      </c>
      <c r="C25" s="46" t="s">
        <v>622</v>
      </c>
      <c r="D25" s="24" t="s">
        <v>14</v>
      </c>
    </row>
    <row r="26" s="16" customFormat="1" ht="12" customHeight="1" spans="1:4">
      <c r="A26" s="21">
        <v>19</v>
      </c>
      <c r="B26" s="45" t="s">
        <v>623</v>
      </c>
      <c r="C26" s="46" t="s">
        <v>624</v>
      </c>
      <c r="D26" s="24" t="s">
        <v>11</v>
      </c>
    </row>
    <row r="27" s="16" customFormat="1" ht="12" customHeight="1" spans="1:4">
      <c r="A27" s="21">
        <v>20</v>
      </c>
      <c r="B27" s="45" t="s">
        <v>625</v>
      </c>
      <c r="C27" s="46" t="s">
        <v>626</v>
      </c>
      <c r="D27" s="24" t="s">
        <v>14</v>
      </c>
    </row>
    <row r="28" s="16" customFormat="1" ht="12" customHeight="1" spans="1:4">
      <c r="A28" s="21">
        <v>21</v>
      </c>
      <c r="B28" s="45" t="s">
        <v>627</v>
      </c>
      <c r="C28" s="46" t="s">
        <v>628</v>
      </c>
      <c r="D28" s="24" t="s">
        <v>11</v>
      </c>
    </row>
    <row r="29" s="16" customFormat="1" ht="12" customHeight="1" spans="1:4">
      <c r="A29" s="21">
        <v>22</v>
      </c>
      <c r="B29" s="45" t="s">
        <v>629</v>
      </c>
      <c r="C29" s="46" t="s">
        <v>630</v>
      </c>
      <c r="D29" s="24" t="s">
        <v>14</v>
      </c>
    </row>
    <row r="30" s="16" customFormat="1" ht="12" customHeight="1" spans="1:4">
      <c r="A30" s="21">
        <v>23</v>
      </c>
      <c r="B30" s="45" t="s">
        <v>631</v>
      </c>
      <c r="C30" s="46" t="s">
        <v>632</v>
      </c>
      <c r="D30" s="24" t="s">
        <v>14</v>
      </c>
    </row>
    <row r="31" s="16" customFormat="1" ht="12" customHeight="1" spans="1:4">
      <c r="A31" s="21">
        <v>24</v>
      </c>
      <c r="B31" s="45" t="s">
        <v>633</v>
      </c>
      <c r="C31" s="46" t="s">
        <v>634</v>
      </c>
      <c r="D31" s="24" t="s">
        <v>11</v>
      </c>
    </row>
    <row r="32" s="16" customFormat="1" ht="12" customHeight="1" spans="1:4">
      <c r="A32" s="21">
        <v>25</v>
      </c>
      <c r="B32" s="45" t="s">
        <v>635</v>
      </c>
      <c r="C32" s="46" t="s">
        <v>636</v>
      </c>
      <c r="D32" s="24" t="s">
        <v>11</v>
      </c>
    </row>
    <row r="33" s="16" customFormat="1" ht="12" customHeight="1" spans="1:4">
      <c r="A33" s="21">
        <v>26</v>
      </c>
      <c r="B33" s="45" t="s">
        <v>637</v>
      </c>
      <c r="C33" s="46" t="s">
        <v>638</v>
      </c>
      <c r="D33" s="24" t="s">
        <v>11</v>
      </c>
    </row>
    <row r="34" s="16" customFormat="1" ht="12" customHeight="1" spans="1:4">
      <c r="A34" s="21">
        <v>27</v>
      </c>
      <c r="B34" s="30" t="s">
        <v>639</v>
      </c>
      <c r="C34" s="31" t="s">
        <v>640</v>
      </c>
      <c r="D34" s="24" t="s">
        <v>11</v>
      </c>
    </row>
    <row r="35" s="16" customFormat="1" ht="12" customHeight="1" spans="1:4">
      <c r="A35" s="21">
        <v>28</v>
      </c>
      <c r="B35" s="45" t="s">
        <v>641</v>
      </c>
      <c r="C35" s="46" t="s">
        <v>642</v>
      </c>
      <c r="D35" s="24" t="s">
        <v>11</v>
      </c>
    </row>
    <row r="36" s="16" customFormat="1" ht="12" customHeight="1" spans="1:4">
      <c r="A36" s="21">
        <v>29</v>
      </c>
      <c r="B36" s="45" t="s">
        <v>643</v>
      </c>
      <c r="C36" s="46" t="s">
        <v>644</v>
      </c>
      <c r="D36" s="24" t="s">
        <v>14</v>
      </c>
    </row>
    <row r="37" s="16" customFormat="1" ht="12" customHeight="1" spans="1:4">
      <c r="A37" s="21">
        <v>30</v>
      </c>
      <c r="B37" s="33" t="s">
        <v>645</v>
      </c>
      <c r="C37" s="31" t="s">
        <v>646</v>
      </c>
      <c r="D37" s="24" t="s">
        <v>14</v>
      </c>
    </row>
    <row r="38" s="16" customFormat="1" ht="12" customHeight="1" spans="1:4">
      <c r="A38" s="21">
        <v>31</v>
      </c>
      <c r="B38" s="45" t="s">
        <v>647</v>
      </c>
      <c r="C38" s="46" t="s">
        <v>648</v>
      </c>
      <c r="D38" s="24" t="s">
        <v>14</v>
      </c>
    </row>
    <row r="39" s="16" customFormat="1" ht="12" customHeight="1" spans="1:4">
      <c r="A39" s="21">
        <v>32</v>
      </c>
      <c r="B39" s="45" t="s">
        <v>649</v>
      </c>
      <c r="C39" s="46" t="s">
        <v>650</v>
      </c>
      <c r="D39" s="24" t="s">
        <v>14</v>
      </c>
    </row>
    <row r="40" s="16" customFormat="1" ht="12" customHeight="1" spans="1:4">
      <c r="A40" s="21">
        <v>33</v>
      </c>
      <c r="B40" s="45" t="s">
        <v>651</v>
      </c>
      <c r="C40" s="46" t="s">
        <v>652</v>
      </c>
      <c r="D40" s="24" t="s">
        <v>11</v>
      </c>
    </row>
    <row r="41" s="16" customFormat="1" ht="12" customHeight="1" spans="1:4">
      <c r="A41" s="21">
        <v>34</v>
      </c>
      <c r="B41" s="45" t="s">
        <v>653</v>
      </c>
      <c r="C41" s="46" t="s">
        <v>654</v>
      </c>
      <c r="D41" s="24" t="s">
        <v>14</v>
      </c>
    </row>
    <row r="42" s="16" customFormat="1" ht="12" customHeight="1" spans="1:4">
      <c r="A42" s="21">
        <v>35</v>
      </c>
      <c r="B42" s="45" t="s">
        <v>655</v>
      </c>
      <c r="C42" s="46" t="s">
        <v>656</v>
      </c>
      <c r="D42" s="24" t="s">
        <v>11</v>
      </c>
    </row>
    <row r="43" s="16" customFormat="1" ht="12" customHeight="1" spans="1:4">
      <c r="A43" s="21">
        <v>36</v>
      </c>
      <c r="B43" s="45" t="s">
        <v>657</v>
      </c>
      <c r="C43" s="46" t="s">
        <v>658</v>
      </c>
      <c r="D43" s="24" t="s">
        <v>14</v>
      </c>
    </row>
    <row r="44" s="16" customFormat="1" ht="12" customHeight="1" spans="1:4">
      <c r="A44" s="21">
        <v>37</v>
      </c>
      <c r="B44" s="45" t="s">
        <v>659</v>
      </c>
      <c r="C44" s="46" t="s">
        <v>660</v>
      </c>
      <c r="D44" s="24" t="s">
        <v>14</v>
      </c>
    </row>
    <row r="45" s="16" customFormat="1" ht="12" customHeight="1" spans="1:4">
      <c r="A45" s="21">
        <v>38</v>
      </c>
      <c r="B45" s="45" t="s">
        <v>661</v>
      </c>
      <c r="C45" s="46" t="s">
        <v>662</v>
      </c>
      <c r="D45" s="24" t="s">
        <v>14</v>
      </c>
    </row>
    <row r="46" s="16" customFormat="1" ht="12" customHeight="1" spans="1:4">
      <c r="A46" s="21">
        <v>39</v>
      </c>
      <c r="B46" s="45" t="s">
        <v>663</v>
      </c>
      <c r="C46" s="46" t="s">
        <v>664</v>
      </c>
      <c r="D46" s="24" t="s">
        <v>14</v>
      </c>
    </row>
    <row r="47" s="16" customFormat="1" ht="12" customHeight="1" spans="1:4">
      <c r="A47" s="21">
        <v>40</v>
      </c>
      <c r="B47" s="45" t="s">
        <v>665</v>
      </c>
      <c r="C47" s="46" t="s">
        <v>666</v>
      </c>
      <c r="D47" s="24" t="s">
        <v>14</v>
      </c>
    </row>
    <row r="48" s="16" customFormat="1" ht="12" customHeight="1" spans="1:4">
      <c r="A48" s="21">
        <v>41</v>
      </c>
      <c r="B48" s="45" t="s">
        <v>667</v>
      </c>
      <c r="C48" s="46" t="s">
        <v>668</v>
      </c>
      <c r="D48" s="24" t="s">
        <v>14</v>
      </c>
    </row>
    <row r="49" s="16" customFormat="1" ht="12" customHeight="1" spans="1:4">
      <c r="A49" s="21">
        <v>42</v>
      </c>
      <c r="B49" s="45" t="s">
        <v>669</v>
      </c>
      <c r="C49" s="46" t="s">
        <v>670</v>
      </c>
      <c r="D49" s="24" t="s">
        <v>14</v>
      </c>
    </row>
    <row r="50" s="16" customFormat="1" ht="12" customHeight="1" spans="1:4">
      <c r="A50" s="21">
        <v>43</v>
      </c>
      <c r="B50" s="45" t="s">
        <v>671</v>
      </c>
      <c r="C50" s="46" t="s">
        <v>672</v>
      </c>
      <c r="D50" s="24" t="s">
        <v>14</v>
      </c>
    </row>
    <row r="51" s="16" customFormat="1" ht="12" customHeight="1" spans="1:4">
      <c r="A51" s="21">
        <v>44</v>
      </c>
      <c r="B51" s="45" t="s">
        <v>673</v>
      </c>
      <c r="C51" s="46" t="s">
        <v>674</v>
      </c>
      <c r="D51" s="24" t="s">
        <v>14</v>
      </c>
    </row>
    <row r="52" s="16" customFormat="1" ht="12" customHeight="1" spans="1:4">
      <c r="A52" s="21">
        <v>45</v>
      </c>
      <c r="B52" s="45" t="s">
        <v>675</v>
      </c>
      <c r="C52" s="46" t="s">
        <v>676</v>
      </c>
      <c r="D52" s="24" t="s">
        <v>11</v>
      </c>
    </row>
    <row r="54" ht="14.5" spans="1:4">
      <c r="C54" s="27" t="s">
        <v>203</v>
      </c>
      <c r="D54" s="28">
        <f>COUNTIF(D8:D52,"L")</f>
        <v>18</v>
      </c>
    </row>
    <row r="55" ht="14.5" spans="1:4">
      <c r="C55" s="27" t="s">
        <v>204</v>
      </c>
      <c r="D55" s="28">
        <f>COUNTIF(D8:D52,"P")</f>
        <v>27</v>
      </c>
    </row>
  </sheetData>
  <sortState ref="B8:D52">
    <sortCondition ref="C8:C52"/>
  </sortState>
  <mergeCells count="4">
    <mergeCell ref="A1:D1"/>
    <mergeCell ref="A3:D3"/>
    <mergeCell ref="A4:D4"/>
    <mergeCell ref="A5:D5"/>
  </mergeCells>
  <printOptions horizontalCentered="1"/>
  <pageMargins left="0.95" right="0.45" top="0.5" bottom="0.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opLeftCell="A2" workbookViewId="0">
      <selection activeCell="A6" sqref="A6"/>
    </sheetView>
  </sheetViews>
  <sheetFormatPr defaultColWidth="9" defaultRowHeight="12.5" outlineLevelCol="3"/>
  <cols>
    <col min="1" max="1" width="6.36363636363636" customWidth="1"/>
    <col min="2" max="2" width="22.9090909090909" customWidth="1"/>
    <col min="3" max="3" width="30.2727272727273" customWidth="1"/>
  </cols>
  <sheetData>
    <row r="1" ht="78.5" customHeight="1" spans="1:4">
      <c r="A1" s="17" t="s">
        <v>0</v>
      </c>
      <c r="B1" s="17"/>
      <c r="C1" s="17"/>
      <c r="D1" s="17"/>
    </row>
    <row r="2" ht="7.5" customHeight="1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677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ht="18" customHeight="1" spans="1:4">
      <c r="A6" t="s">
        <v>678</v>
      </c>
    </row>
    <row r="7" spans="1:4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4">
      <c r="A8" s="21">
        <v>1</v>
      </c>
      <c r="B8" s="45" t="s">
        <v>679</v>
      </c>
      <c r="C8" s="46" t="s">
        <v>680</v>
      </c>
      <c r="D8" s="24" t="s">
        <v>14</v>
      </c>
    </row>
    <row r="9" s="16" customFormat="1" ht="12" customHeight="1" spans="1:4">
      <c r="A9" s="21">
        <v>2</v>
      </c>
      <c r="B9" s="45" t="s">
        <v>681</v>
      </c>
      <c r="C9" s="46" t="s">
        <v>682</v>
      </c>
      <c r="D9" s="24" t="s">
        <v>14</v>
      </c>
    </row>
    <row r="10" s="16" customFormat="1" ht="12" customHeight="1" spans="1:4">
      <c r="A10" s="21">
        <v>3</v>
      </c>
      <c r="B10" s="45" t="s">
        <v>683</v>
      </c>
      <c r="C10" s="46" t="s">
        <v>684</v>
      </c>
      <c r="D10" s="24" t="s">
        <v>14</v>
      </c>
    </row>
    <row r="11" s="16" customFormat="1" ht="12" customHeight="1" spans="1:4">
      <c r="A11" s="21">
        <v>4</v>
      </c>
      <c r="B11" s="45" t="s">
        <v>685</v>
      </c>
      <c r="C11" s="46" t="s">
        <v>686</v>
      </c>
      <c r="D11" s="24" t="s">
        <v>14</v>
      </c>
    </row>
    <row r="12" s="16" customFormat="1" ht="12" customHeight="1" spans="1:4">
      <c r="A12" s="21">
        <v>5</v>
      </c>
      <c r="B12" s="45" t="s">
        <v>687</v>
      </c>
      <c r="C12" s="46" t="s">
        <v>688</v>
      </c>
      <c r="D12" s="24" t="s">
        <v>14</v>
      </c>
    </row>
    <row r="13" s="16" customFormat="1" ht="12" customHeight="1" spans="1:4">
      <c r="A13" s="21">
        <v>6</v>
      </c>
      <c r="B13" s="45" t="s">
        <v>689</v>
      </c>
      <c r="C13" s="46" t="s">
        <v>690</v>
      </c>
      <c r="D13" s="24" t="s">
        <v>14</v>
      </c>
    </row>
    <row r="14" s="16" customFormat="1" ht="12" customHeight="1" spans="1:4">
      <c r="A14" s="21">
        <v>7</v>
      </c>
      <c r="B14" s="45" t="s">
        <v>691</v>
      </c>
      <c r="C14" s="46" t="s">
        <v>692</v>
      </c>
      <c r="D14" s="24" t="s">
        <v>11</v>
      </c>
    </row>
    <row r="15" s="16" customFormat="1" ht="12" customHeight="1" spans="1:4">
      <c r="A15" s="21">
        <v>8</v>
      </c>
      <c r="B15" s="45" t="s">
        <v>693</v>
      </c>
      <c r="C15" s="46" t="s">
        <v>694</v>
      </c>
      <c r="D15" s="24" t="s">
        <v>14</v>
      </c>
    </row>
    <row r="16" s="16" customFormat="1" ht="12" customHeight="1" spans="1:4">
      <c r="A16" s="21">
        <v>9</v>
      </c>
      <c r="B16" s="45" t="s">
        <v>695</v>
      </c>
      <c r="C16" s="46" t="s">
        <v>696</v>
      </c>
      <c r="D16" s="24" t="s">
        <v>14</v>
      </c>
    </row>
    <row r="17" s="16" customFormat="1" ht="12" customHeight="1" spans="1:4">
      <c r="A17" s="21">
        <v>10</v>
      </c>
      <c r="B17" s="45" t="s">
        <v>697</v>
      </c>
      <c r="C17" s="46" t="s">
        <v>698</v>
      </c>
      <c r="D17" s="24" t="s">
        <v>11</v>
      </c>
    </row>
    <row r="18" s="16" customFormat="1" ht="12" customHeight="1" spans="1:4">
      <c r="A18" s="21">
        <v>11</v>
      </c>
      <c r="B18" s="45" t="s">
        <v>699</v>
      </c>
      <c r="C18" s="46" t="s">
        <v>700</v>
      </c>
      <c r="D18" s="24" t="s">
        <v>11</v>
      </c>
    </row>
    <row r="19" s="16" customFormat="1" ht="12" customHeight="1" spans="1:4">
      <c r="A19" s="21">
        <v>12</v>
      </c>
      <c r="B19" s="45" t="s">
        <v>701</v>
      </c>
      <c r="C19" s="46" t="s">
        <v>702</v>
      </c>
      <c r="D19" s="24" t="s">
        <v>14</v>
      </c>
    </row>
    <row r="20" s="16" customFormat="1" ht="12" customHeight="1" spans="1:4">
      <c r="A20" s="21">
        <v>13</v>
      </c>
      <c r="B20" s="45" t="s">
        <v>703</v>
      </c>
      <c r="C20" s="46" t="s">
        <v>704</v>
      </c>
      <c r="D20" s="24" t="s">
        <v>11</v>
      </c>
    </row>
    <row r="21" s="16" customFormat="1" ht="12" customHeight="1" spans="1:4">
      <c r="A21" s="21">
        <v>14</v>
      </c>
      <c r="B21" s="45" t="s">
        <v>705</v>
      </c>
      <c r="C21" s="46" t="s">
        <v>706</v>
      </c>
      <c r="D21" s="24" t="s">
        <v>14</v>
      </c>
    </row>
    <row r="22" s="16" customFormat="1" ht="12" customHeight="1" spans="1:4">
      <c r="A22" s="21">
        <v>15</v>
      </c>
      <c r="B22" s="45" t="s">
        <v>707</v>
      </c>
      <c r="C22" s="46" t="s">
        <v>708</v>
      </c>
      <c r="D22" s="24" t="s">
        <v>11</v>
      </c>
    </row>
    <row r="23" s="16" customFormat="1" ht="12" customHeight="1" spans="1:4">
      <c r="A23" s="21">
        <v>16</v>
      </c>
      <c r="B23" s="45" t="s">
        <v>709</v>
      </c>
      <c r="C23" s="46" t="s">
        <v>710</v>
      </c>
      <c r="D23" s="24" t="s">
        <v>14</v>
      </c>
    </row>
    <row r="24" s="16" customFormat="1" ht="12" customHeight="1" spans="1:4">
      <c r="A24" s="21">
        <v>17</v>
      </c>
      <c r="B24" s="45" t="s">
        <v>711</v>
      </c>
      <c r="C24" s="46" t="s">
        <v>712</v>
      </c>
      <c r="D24" s="24" t="s">
        <v>14</v>
      </c>
    </row>
    <row r="25" s="16" customFormat="1" ht="12" customHeight="1" spans="1:4">
      <c r="A25" s="21">
        <v>18</v>
      </c>
      <c r="B25" s="45" t="s">
        <v>713</v>
      </c>
      <c r="C25" s="46" t="s">
        <v>714</v>
      </c>
      <c r="D25" s="24" t="s">
        <v>11</v>
      </c>
    </row>
    <row r="26" s="16" customFormat="1" ht="12" customHeight="1" spans="1:4">
      <c r="A26" s="21">
        <v>19</v>
      </c>
      <c r="B26" s="45" t="s">
        <v>715</v>
      </c>
      <c r="C26" s="46" t="s">
        <v>716</v>
      </c>
      <c r="D26" s="24" t="s">
        <v>14</v>
      </c>
    </row>
    <row r="27" s="16" customFormat="1" ht="12" customHeight="1" spans="1:4">
      <c r="A27" s="21">
        <v>20</v>
      </c>
      <c r="B27" s="45" t="s">
        <v>717</v>
      </c>
      <c r="C27" s="46" t="s">
        <v>718</v>
      </c>
      <c r="D27" s="24" t="s">
        <v>14</v>
      </c>
    </row>
    <row r="28" s="16" customFormat="1" ht="12" customHeight="1" spans="1:4">
      <c r="A28" s="21">
        <v>21</v>
      </c>
      <c r="B28" s="45" t="s">
        <v>719</v>
      </c>
      <c r="C28" s="46" t="s">
        <v>720</v>
      </c>
      <c r="D28" s="24" t="s">
        <v>14</v>
      </c>
    </row>
    <row r="29" s="16" customFormat="1" ht="12" customHeight="1" spans="1:4">
      <c r="A29" s="21">
        <v>22</v>
      </c>
      <c r="B29" s="45" t="s">
        <v>721</v>
      </c>
      <c r="C29" s="46" t="s">
        <v>722</v>
      </c>
      <c r="D29" s="24" t="s">
        <v>11</v>
      </c>
    </row>
    <row r="30" s="16" customFormat="1" ht="12" customHeight="1" spans="1:4">
      <c r="A30" s="21">
        <v>23</v>
      </c>
      <c r="B30" s="45" t="s">
        <v>723</v>
      </c>
      <c r="C30" s="46" t="s">
        <v>724</v>
      </c>
      <c r="D30" s="24" t="s">
        <v>11</v>
      </c>
    </row>
    <row r="31" s="16" customFormat="1" ht="12" customHeight="1" spans="1:4">
      <c r="A31" s="21">
        <v>24</v>
      </c>
      <c r="B31" s="45" t="s">
        <v>725</v>
      </c>
      <c r="C31" s="46" t="s">
        <v>726</v>
      </c>
      <c r="D31" s="24" t="s">
        <v>11</v>
      </c>
    </row>
    <row r="32" s="16" customFormat="1" ht="12" customHeight="1" spans="1:4">
      <c r="A32" s="21">
        <v>25</v>
      </c>
      <c r="B32" s="45" t="s">
        <v>727</v>
      </c>
      <c r="C32" s="46" t="s">
        <v>728</v>
      </c>
      <c r="D32" s="24" t="s">
        <v>11</v>
      </c>
    </row>
    <row r="33" s="16" customFormat="1" ht="12" customHeight="1" spans="1:4">
      <c r="A33" s="21">
        <v>26</v>
      </c>
      <c r="B33" s="45" t="s">
        <v>729</v>
      </c>
      <c r="C33" s="46" t="s">
        <v>730</v>
      </c>
      <c r="D33" s="24" t="s">
        <v>11</v>
      </c>
    </row>
    <row r="34" s="16" customFormat="1" ht="12" customHeight="1" spans="1:4">
      <c r="A34" s="21">
        <v>27</v>
      </c>
      <c r="B34" s="45" t="s">
        <v>731</v>
      </c>
      <c r="C34" s="46" t="s">
        <v>732</v>
      </c>
      <c r="D34" s="24" t="s">
        <v>11</v>
      </c>
    </row>
    <row r="35" s="16" customFormat="1" ht="12" customHeight="1" spans="1:4">
      <c r="A35" s="21">
        <v>28</v>
      </c>
      <c r="B35" s="45" t="s">
        <v>733</v>
      </c>
      <c r="C35" s="46" t="s">
        <v>734</v>
      </c>
      <c r="D35" s="24" t="s">
        <v>14</v>
      </c>
    </row>
    <row r="36" s="16" customFormat="1" ht="12" customHeight="1" spans="1:4">
      <c r="A36" s="21">
        <v>29</v>
      </c>
      <c r="B36" s="30" t="s">
        <v>735</v>
      </c>
      <c r="C36" s="31" t="s">
        <v>736</v>
      </c>
      <c r="D36" s="30" t="s">
        <v>11</v>
      </c>
    </row>
    <row r="37" s="16" customFormat="1" ht="12" customHeight="1" spans="1:4">
      <c r="A37" s="21">
        <v>30</v>
      </c>
      <c r="B37" s="45" t="s">
        <v>737</v>
      </c>
      <c r="C37" s="46" t="s">
        <v>738</v>
      </c>
      <c r="D37" s="24" t="s">
        <v>14</v>
      </c>
    </row>
    <row r="38" s="16" customFormat="1" ht="12" customHeight="1" spans="1:4">
      <c r="A38" s="21">
        <v>31</v>
      </c>
      <c r="B38" s="45" t="s">
        <v>739</v>
      </c>
      <c r="C38" s="46" t="s">
        <v>740</v>
      </c>
      <c r="D38" s="24" t="s">
        <v>14</v>
      </c>
    </row>
    <row r="39" s="16" customFormat="1" ht="12" customHeight="1" spans="1:4">
      <c r="A39" s="21">
        <v>32</v>
      </c>
      <c r="B39" s="45" t="s">
        <v>741</v>
      </c>
      <c r="C39" s="46" t="s">
        <v>742</v>
      </c>
      <c r="D39" s="24" t="s">
        <v>14</v>
      </c>
    </row>
    <row r="40" s="16" customFormat="1" ht="12" customHeight="1" spans="1:4">
      <c r="A40" s="21">
        <v>33</v>
      </c>
      <c r="B40" s="45" t="s">
        <v>743</v>
      </c>
      <c r="C40" s="46" t="s">
        <v>744</v>
      </c>
      <c r="D40" s="24" t="s">
        <v>14</v>
      </c>
    </row>
    <row r="41" s="16" customFormat="1" ht="12" customHeight="1" spans="1:4">
      <c r="A41" s="21">
        <v>34</v>
      </c>
      <c r="B41" s="33" t="s">
        <v>745</v>
      </c>
      <c r="C41" s="31" t="s">
        <v>746</v>
      </c>
      <c r="D41" s="30" t="s">
        <v>14</v>
      </c>
    </row>
    <row r="42" s="16" customFormat="1" ht="12" customHeight="1" spans="1:4">
      <c r="A42" s="21">
        <v>35</v>
      </c>
      <c r="B42" s="45" t="s">
        <v>747</v>
      </c>
      <c r="C42" s="46" t="s">
        <v>748</v>
      </c>
      <c r="D42" s="24" t="s">
        <v>11</v>
      </c>
    </row>
    <row r="43" s="16" customFormat="1" ht="12" customHeight="1" spans="1:4">
      <c r="A43" s="21">
        <v>36</v>
      </c>
      <c r="B43" s="45" t="s">
        <v>749</v>
      </c>
      <c r="C43" s="46" t="s">
        <v>750</v>
      </c>
      <c r="D43" s="24" t="s">
        <v>11</v>
      </c>
    </row>
    <row r="44" s="16" customFormat="1" ht="12" customHeight="1" spans="1:4">
      <c r="A44" s="21">
        <v>37</v>
      </c>
      <c r="B44" s="30" t="s">
        <v>751</v>
      </c>
      <c r="C44" s="35" t="s">
        <v>752</v>
      </c>
      <c r="D44" s="30" t="s">
        <v>14</v>
      </c>
    </row>
    <row r="45" s="16" customFormat="1" ht="12" customHeight="1" spans="1:4">
      <c r="A45" s="21">
        <v>38</v>
      </c>
      <c r="B45" s="45" t="s">
        <v>753</v>
      </c>
      <c r="C45" s="46" t="s">
        <v>754</v>
      </c>
      <c r="D45" s="24" t="s">
        <v>14</v>
      </c>
    </row>
    <row r="46" s="16" customFormat="1" ht="12" customHeight="1" spans="1:4">
      <c r="A46" s="21">
        <v>39</v>
      </c>
      <c r="B46" s="45" t="s">
        <v>755</v>
      </c>
      <c r="C46" s="46" t="s">
        <v>756</v>
      </c>
      <c r="D46" s="24" t="s">
        <v>14</v>
      </c>
    </row>
    <row r="47" s="16" customFormat="1" ht="12" customHeight="1" spans="1:4">
      <c r="A47" s="21">
        <v>40</v>
      </c>
      <c r="B47" s="45" t="s">
        <v>757</v>
      </c>
      <c r="C47" s="46" t="s">
        <v>758</v>
      </c>
      <c r="D47" s="24" t="s">
        <v>14</v>
      </c>
    </row>
    <row r="48" s="16" customFormat="1" ht="12" customHeight="1" spans="1:4">
      <c r="A48" s="21">
        <v>41</v>
      </c>
      <c r="B48" s="45" t="s">
        <v>759</v>
      </c>
      <c r="C48" s="46" t="s">
        <v>760</v>
      </c>
      <c r="D48" s="24" t="s">
        <v>14</v>
      </c>
    </row>
    <row r="49" s="16" customFormat="1" ht="12" customHeight="1" spans="1:4">
      <c r="A49" s="21">
        <v>42</v>
      </c>
      <c r="B49" s="45" t="s">
        <v>761</v>
      </c>
      <c r="C49" s="46" t="s">
        <v>762</v>
      </c>
      <c r="D49" s="24" t="s">
        <v>14</v>
      </c>
    </row>
    <row r="50" s="16" customFormat="1" ht="12" customHeight="1" spans="1:4">
      <c r="A50" s="21">
        <v>43</v>
      </c>
      <c r="B50" s="45" t="s">
        <v>763</v>
      </c>
      <c r="C50" s="46" t="s">
        <v>764</v>
      </c>
      <c r="D50" s="24" t="s">
        <v>11</v>
      </c>
    </row>
    <row r="51" s="16" customFormat="1" ht="12" customHeight="1" spans="1:4">
      <c r="A51" s="21">
        <v>44</v>
      </c>
      <c r="B51" s="45" t="s">
        <v>765</v>
      </c>
      <c r="C51" s="46" t="s">
        <v>766</v>
      </c>
      <c r="D51" s="24" t="s">
        <v>11</v>
      </c>
    </row>
    <row r="52" s="16" customFormat="1" ht="12" customHeight="1" spans="1:4">
      <c r="A52" s="21">
        <v>45</v>
      </c>
      <c r="B52" s="45" t="s">
        <v>767</v>
      </c>
      <c r="C52" s="46" t="s">
        <v>768</v>
      </c>
      <c r="D52" s="24" t="s">
        <v>14</v>
      </c>
    </row>
    <row r="54" ht="14.5" spans="1:4">
      <c r="C54" s="27" t="s">
        <v>203</v>
      </c>
      <c r="D54" s="28">
        <f>COUNTIF(D8:D51,"L")</f>
        <v>17</v>
      </c>
    </row>
    <row r="55" ht="14.5" spans="1:4">
      <c r="C55" s="27" t="s">
        <v>204</v>
      </c>
      <c r="D55" s="28">
        <f>COUNTIF(D8:D51,"P")</f>
        <v>27</v>
      </c>
    </row>
  </sheetData>
  <sortState ref="B8:D52">
    <sortCondition ref="C8:C52"/>
  </sortState>
  <mergeCells count="4">
    <mergeCell ref="A1:D1"/>
    <mergeCell ref="A3:D3"/>
    <mergeCell ref="A4:D4"/>
    <mergeCell ref="A5:D5"/>
  </mergeCells>
  <printOptions horizontalCentered="1"/>
  <pageMargins left="0.95" right="0.45" top="0.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opLeftCell="A2" workbookViewId="0">
      <selection activeCell="A6" sqref="A6"/>
    </sheetView>
  </sheetViews>
  <sheetFormatPr defaultColWidth="9" defaultRowHeight="12.5" outlineLevelCol="3"/>
  <cols>
    <col min="1" max="1" width="6.27272727272727" customWidth="1"/>
    <col min="2" max="2" width="22.1818181818182" customWidth="1"/>
    <col min="3" max="3" width="36.4545454545455" customWidth="1"/>
    <col min="4" max="4" width="7.45454545454545" customWidth="1"/>
  </cols>
  <sheetData>
    <row r="1" ht="81" customHeight="1" spans="1:4">
      <c r="A1" s="17" t="s">
        <v>0</v>
      </c>
      <c r="B1" s="17"/>
      <c r="C1" s="17"/>
      <c r="D1" s="17"/>
    </row>
    <row r="2" ht="3" customHeight="1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769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ht="15.5" customHeight="1" spans="1:4">
      <c r="A6" t="s">
        <v>770</v>
      </c>
    </row>
    <row r="7" ht="19.5" customHeight="1" spans="1:4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4">
      <c r="A8" s="21">
        <v>1</v>
      </c>
      <c r="B8" s="45" t="s">
        <v>771</v>
      </c>
      <c r="C8" s="46" t="s">
        <v>772</v>
      </c>
      <c r="D8" s="32" t="s">
        <v>14</v>
      </c>
    </row>
    <row r="9" s="16" customFormat="1" ht="12" customHeight="1" spans="1:4">
      <c r="A9" s="21">
        <v>2</v>
      </c>
      <c r="B9" s="45" t="s">
        <v>773</v>
      </c>
      <c r="C9" s="46" t="s">
        <v>774</v>
      </c>
      <c r="D9" s="32" t="s">
        <v>11</v>
      </c>
    </row>
    <row r="10" s="16" customFormat="1" ht="12" customHeight="1" spans="1:4">
      <c r="A10" s="21">
        <v>3</v>
      </c>
      <c r="B10" s="45" t="s">
        <v>775</v>
      </c>
      <c r="C10" s="46" t="s">
        <v>776</v>
      </c>
      <c r="D10" s="32" t="s">
        <v>11</v>
      </c>
    </row>
    <row r="11" s="16" customFormat="1" ht="12" customHeight="1" spans="1:4">
      <c r="A11" s="21">
        <v>4</v>
      </c>
      <c r="B11" s="45" t="s">
        <v>777</v>
      </c>
      <c r="C11" s="46" t="s">
        <v>778</v>
      </c>
      <c r="D11" s="32" t="s">
        <v>14</v>
      </c>
    </row>
    <row r="12" s="16" customFormat="1" ht="12" customHeight="1" spans="1:4">
      <c r="A12" s="21">
        <v>5</v>
      </c>
      <c r="B12" s="45" t="s">
        <v>779</v>
      </c>
      <c r="C12" s="46" t="s">
        <v>780</v>
      </c>
      <c r="D12" s="32" t="s">
        <v>14</v>
      </c>
    </row>
    <row r="13" s="16" customFormat="1" ht="12" customHeight="1" spans="1:4">
      <c r="A13" s="21">
        <v>6</v>
      </c>
      <c r="B13" s="45" t="s">
        <v>781</v>
      </c>
      <c r="C13" s="46" t="s">
        <v>782</v>
      </c>
      <c r="D13" s="32" t="s">
        <v>14</v>
      </c>
    </row>
    <row r="14" s="16" customFormat="1" ht="12" customHeight="1" spans="1:4">
      <c r="A14" s="21">
        <v>7</v>
      </c>
      <c r="B14" s="45" t="s">
        <v>783</v>
      </c>
      <c r="C14" s="46" t="s">
        <v>784</v>
      </c>
      <c r="D14" s="32" t="s">
        <v>11</v>
      </c>
    </row>
    <row r="15" s="16" customFormat="1" ht="12" customHeight="1" spans="1:4">
      <c r="A15" s="21">
        <v>8</v>
      </c>
      <c r="B15" s="45" t="s">
        <v>785</v>
      </c>
      <c r="C15" s="46" t="s">
        <v>786</v>
      </c>
      <c r="D15" s="32" t="s">
        <v>14</v>
      </c>
    </row>
    <row r="16" s="16" customFormat="1" ht="12" customHeight="1" spans="1:4">
      <c r="A16" s="21">
        <v>9</v>
      </c>
      <c r="B16" s="45" t="s">
        <v>787</v>
      </c>
      <c r="C16" s="46" t="s">
        <v>788</v>
      </c>
      <c r="D16" s="32" t="s">
        <v>14</v>
      </c>
    </row>
    <row r="17" s="16" customFormat="1" ht="12" customHeight="1" spans="1:4">
      <c r="A17" s="21">
        <v>10</v>
      </c>
      <c r="B17" s="45" t="s">
        <v>789</v>
      </c>
      <c r="C17" s="46" t="s">
        <v>790</v>
      </c>
      <c r="D17" s="32" t="s">
        <v>11</v>
      </c>
    </row>
    <row r="18" s="16" customFormat="1" ht="12" customHeight="1" spans="1:4">
      <c r="A18" s="21">
        <v>11</v>
      </c>
      <c r="B18" s="45" t="s">
        <v>791</v>
      </c>
      <c r="C18" s="46" t="s">
        <v>792</v>
      </c>
      <c r="D18" s="32" t="s">
        <v>11</v>
      </c>
    </row>
    <row r="19" s="16" customFormat="1" ht="12" customHeight="1" spans="1:4">
      <c r="A19" s="21">
        <v>12</v>
      </c>
      <c r="B19" s="45" t="s">
        <v>793</v>
      </c>
      <c r="C19" s="46" t="s">
        <v>794</v>
      </c>
      <c r="D19" s="32" t="s">
        <v>11</v>
      </c>
    </row>
    <row r="20" s="16" customFormat="1" ht="12" customHeight="1" spans="1:4">
      <c r="A20" s="21">
        <v>13</v>
      </c>
      <c r="B20" s="45" t="s">
        <v>795</v>
      </c>
      <c r="C20" s="46" t="s">
        <v>796</v>
      </c>
      <c r="D20" s="32" t="s">
        <v>14</v>
      </c>
    </row>
    <row r="21" s="16" customFormat="1" ht="12" customHeight="1" spans="1:4">
      <c r="A21" s="21">
        <v>14</v>
      </c>
      <c r="B21" s="45" t="s">
        <v>797</v>
      </c>
      <c r="C21" s="46" t="s">
        <v>798</v>
      </c>
      <c r="D21" s="32" t="s">
        <v>11</v>
      </c>
    </row>
    <row r="22" s="16" customFormat="1" ht="12" customHeight="1" spans="1:4">
      <c r="A22" s="21">
        <v>15</v>
      </c>
      <c r="B22" s="45" t="s">
        <v>799</v>
      </c>
      <c r="C22" s="46" t="s">
        <v>800</v>
      </c>
      <c r="D22" s="32" t="s">
        <v>11</v>
      </c>
    </row>
    <row r="23" s="16" customFormat="1" ht="12" customHeight="1" spans="1:4">
      <c r="A23" s="21">
        <v>16</v>
      </c>
      <c r="B23" s="45" t="s">
        <v>801</v>
      </c>
      <c r="C23" s="46" t="s">
        <v>802</v>
      </c>
      <c r="D23" s="32" t="s">
        <v>14</v>
      </c>
    </row>
    <row r="24" s="16" customFormat="1" ht="12" customHeight="1" spans="1:4">
      <c r="A24" s="21">
        <v>17</v>
      </c>
      <c r="B24" s="45" t="s">
        <v>803</v>
      </c>
      <c r="C24" s="46" t="s">
        <v>804</v>
      </c>
      <c r="D24" s="32" t="s">
        <v>14</v>
      </c>
    </row>
    <row r="25" s="16" customFormat="1" ht="12" customHeight="1" spans="1:4">
      <c r="A25" s="21">
        <v>18</v>
      </c>
      <c r="B25" s="45" t="s">
        <v>805</v>
      </c>
      <c r="C25" s="46" t="s">
        <v>806</v>
      </c>
      <c r="D25" s="32" t="s">
        <v>14</v>
      </c>
    </row>
    <row r="26" s="16" customFormat="1" ht="12" customHeight="1" spans="1:4">
      <c r="A26" s="21">
        <v>19</v>
      </c>
      <c r="B26" s="33" t="s">
        <v>807</v>
      </c>
      <c r="C26" s="31" t="s">
        <v>808</v>
      </c>
      <c r="D26" s="34" t="s">
        <v>11</v>
      </c>
    </row>
    <row r="27" s="16" customFormat="1" ht="12" customHeight="1" spans="1:4">
      <c r="A27" s="21">
        <v>20</v>
      </c>
      <c r="B27" s="45" t="s">
        <v>809</v>
      </c>
      <c r="C27" s="46" t="s">
        <v>810</v>
      </c>
      <c r="D27" s="32" t="s">
        <v>14</v>
      </c>
    </row>
    <row r="28" s="16" customFormat="1" ht="12" customHeight="1" spans="1:4">
      <c r="A28" s="21">
        <v>21</v>
      </c>
      <c r="B28" s="45" t="s">
        <v>811</v>
      </c>
      <c r="C28" s="46" t="s">
        <v>812</v>
      </c>
      <c r="D28" s="32" t="s">
        <v>14</v>
      </c>
    </row>
    <row r="29" s="16" customFormat="1" ht="12" customHeight="1" spans="1:4">
      <c r="A29" s="21">
        <v>22</v>
      </c>
      <c r="B29" s="45" t="s">
        <v>813</v>
      </c>
      <c r="C29" s="46" t="s">
        <v>814</v>
      </c>
      <c r="D29" s="32" t="s">
        <v>11</v>
      </c>
    </row>
    <row r="30" s="16" customFormat="1" ht="12" customHeight="1" spans="1:4">
      <c r="A30" s="21">
        <v>23</v>
      </c>
      <c r="B30" s="45" t="s">
        <v>815</v>
      </c>
      <c r="C30" s="46" t="s">
        <v>816</v>
      </c>
      <c r="D30" s="32" t="s">
        <v>14</v>
      </c>
    </row>
    <row r="31" s="16" customFormat="1" ht="12" customHeight="1" spans="1:4">
      <c r="A31" s="21">
        <v>24</v>
      </c>
      <c r="B31" s="45" t="s">
        <v>817</v>
      </c>
      <c r="C31" s="46" t="s">
        <v>818</v>
      </c>
      <c r="D31" s="32" t="s">
        <v>14</v>
      </c>
    </row>
    <row r="32" s="16" customFormat="1" ht="12" customHeight="1" spans="1:4">
      <c r="A32" s="21">
        <v>25</v>
      </c>
      <c r="B32" s="45" t="s">
        <v>819</v>
      </c>
      <c r="C32" s="46" t="s">
        <v>820</v>
      </c>
      <c r="D32" s="32" t="s">
        <v>11</v>
      </c>
    </row>
    <row r="33" s="16" customFormat="1" ht="12" customHeight="1" spans="1:4">
      <c r="A33" s="21">
        <v>26</v>
      </c>
      <c r="B33" s="45" t="s">
        <v>821</v>
      </c>
      <c r="C33" s="46" t="s">
        <v>822</v>
      </c>
      <c r="D33" s="32" t="s">
        <v>11</v>
      </c>
    </row>
    <row r="34" s="16" customFormat="1" ht="12" customHeight="1" spans="1:4">
      <c r="A34" s="21">
        <v>27</v>
      </c>
      <c r="B34" s="45" t="s">
        <v>823</v>
      </c>
      <c r="C34" s="46" t="s">
        <v>824</v>
      </c>
      <c r="D34" s="32" t="s">
        <v>11</v>
      </c>
    </row>
    <row r="35" s="16" customFormat="1" ht="12" customHeight="1" spans="1:4">
      <c r="A35" s="21">
        <v>28</v>
      </c>
      <c r="B35" s="45" t="s">
        <v>825</v>
      </c>
      <c r="C35" s="46" t="s">
        <v>826</v>
      </c>
      <c r="D35" s="32" t="s">
        <v>11</v>
      </c>
    </row>
    <row r="36" s="16" customFormat="1" ht="12" customHeight="1" spans="1:4">
      <c r="A36" s="21">
        <v>29</v>
      </c>
      <c r="B36" s="45" t="s">
        <v>827</v>
      </c>
      <c r="C36" s="46" t="s">
        <v>828</v>
      </c>
      <c r="D36" s="32" t="s">
        <v>11</v>
      </c>
    </row>
    <row r="37" s="16" customFormat="1" ht="12" customHeight="1" spans="1:4">
      <c r="A37" s="21">
        <v>30</v>
      </c>
      <c r="B37" s="45" t="s">
        <v>829</v>
      </c>
      <c r="C37" s="46" t="s">
        <v>830</v>
      </c>
      <c r="D37" s="32" t="s">
        <v>11</v>
      </c>
    </row>
    <row r="38" s="16" customFormat="1" ht="12" customHeight="1" spans="1:4">
      <c r="A38" s="21">
        <v>31</v>
      </c>
      <c r="B38" s="45" t="s">
        <v>831</v>
      </c>
      <c r="C38" s="46" t="s">
        <v>832</v>
      </c>
      <c r="D38" s="32" t="s">
        <v>11</v>
      </c>
    </row>
    <row r="39" s="16" customFormat="1" ht="12" customHeight="1" spans="1:4">
      <c r="A39" s="21">
        <v>32</v>
      </c>
      <c r="B39" s="45" t="s">
        <v>833</v>
      </c>
      <c r="C39" s="46" t="s">
        <v>834</v>
      </c>
      <c r="D39" s="32" t="s">
        <v>11</v>
      </c>
    </row>
    <row r="40" s="16" customFormat="1" ht="12" customHeight="1" spans="1:4">
      <c r="A40" s="21">
        <v>33</v>
      </c>
      <c r="B40" s="45" t="s">
        <v>835</v>
      </c>
      <c r="C40" s="46" t="s">
        <v>836</v>
      </c>
      <c r="D40" s="32" t="s">
        <v>14</v>
      </c>
    </row>
    <row r="41" s="16" customFormat="1" ht="12" customHeight="1" spans="1:4">
      <c r="A41" s="21">
        <v>34</v>
      </c>
      <c r="B41" s="45" t="s">
        <v>837</v>
      </c>
      <c r="C41" s="46" t="s">
        <v>838</v>
      </c>
      <c r="D41" s="32" t="s">
        <v>14</v>
      </c>
    </row>
    <row r="42" s="16" customFormat="1" ht="12" customHeight="1" spans="1:4">
      <c r="A42" s="21">
        <v>35</v>
      </c>
      <c r="B42" s="45" t="s">
        <v>839</v>
      </c>
      <c r="C42" s="46" t="s">
        <v>840</v>
      </c>
      <c r="D42" s="32" t="s">
        <v>11</v>
      </c>
    </row>
    <row r="43" s="16" customFormat="1" ht="12" customHeight="1" spans="1:4">
      <c r="A43" s="21">
        <v>36</v>
      </c>
      <c r="B43" s="45" t="s">
        <v>841</v>
      </c>
      <c r="C43" s="46" t="s">
        <v>842</v>
      </c>
      <c r="D43" s="32" t="s">
        <v>11</v>
      </c>
    </row>
    <row r="44" s="16" customFormat="1" ht="12" customHeight="1" spans="1:4">
      <c r="A44" s="21">
        <v>37</v>
      </c>
      <c r="B44" s="45" t="s">
        <v>843</v>
      </c>
      <c r="C44" s="46" t="s">
        <v>844</v>
      </c>
      <c r="D44" s="32" t="s">
        <v>11</v>
      </c>
    </row>
    <row r="45" s="16" customFormat="1" ht="12" customHeight="1" spans="1:4">
      <c r="A45" s="21">
        <v>38</v>
      </c>
      <c r="B45" s="45" t="s">
        <v>845</v>
      </c>
      <c r="C45" s="46" t="s">
        <v>846</v>
      </c>
      <c r="D45" s="32" t="s">
        <v>11</v>
      </c>
    </row>
    <row r="46" s="16" customFormat="1" ht="12" customHeight="1" spans="1:4">
      <c r="A46" s="21">
        <v>39</v>
      </c>
      <c r="B46" s="45" t="s">
        <v>847</v>
      </c>
      <c r="C46" s="46" t="s">
        <v>848</v>
      </c>
      <c r="D46" s="32" t="s">
        <v>11</v>
      </c>
    </row>
    <row r="47" s="16" customFormat="1" ht="12" customHeight="1" spans="1:4">
      <c r="A47" s="21">
        <v>40</v>
      </c>
      <c r="B47" s="45" t="s">
        <v>849</v>
      </c>
      <c r="C47" s="46" t="s">
        <v>850</v>
      </c>
      <c r="D47" s="32" t="s">
        <v>11</v>
      </c>
    </row>
    <row r="48" s="16" customFormat="1" ht="12" customHeight="1" spans="1:4">
      <c r="A48" s="21">
        <v>41</v>
      </c>
      <c r="B48" s="45" t="s">
        <v>851</v>
      </c>
      <c r="C48" s="46" t="s">
        <v>852</v>
      </c>
      <c r="D48" s="32" t="s">
        <v>11</v>
      </c>
    </row>
    <row r="49" s="16" customFormat="1" ht="12" customHeight="1" spans="1:4">
      <c r="A49" s="21">
        <v>42</v>
      </c>
      <c r="B49" s="45" t="s">
        <v>853</v>
      </c>
      <c r="C49" s="46" t="s">
        <v>854</v>
      </c>
      <c r="D49" s="32" t="s">
        <v>11</v>
      </c>
    </row>
    <row r="50" s="16" customFormat="1" ht="12" customHeight="1" spans="1:4">
      <c r="A50" s="21">
        <v>43</v>
      </c>
      <c r="B50" s="45" t="s">
        <v>855</v>
      </c>
      <c r="C50" s="46" t="s">
        <v>856</v>
      </c>
      <c r="D50" s="32" t="s">
        <v>11</v>
      </c>
    </row>
    <row r="51" s="16" customFormat="1" ht="12" customHeight="1" spans="1:4">
      <c r="A51" s="21">
        <v>44</v>
      </c>
      <c r="B51" s="45" t="s">
        <v>857</v>
      </c>
      <c r="C51" s="46" t="s">
        <v>858</v>
      </c>
      <c r="D51" s="32" t="s">
        <v>14</v>
      </c>
    </row>
    <row r="52" s="16" customFormat="1" ht="12" customHeight="1" spans="1:4">
      <c r="A52" s="21">
        <v>45</v>
      </c>
      <c r="B52" s="45" t="s">
        <v>859</v>
      </c>
      <c r="C52" s="46" t="s">
        <v>860</v>
      </c>
      <c r="D52" s="32" t="s">
        <v>11</v>
      </c>
    </row>
    <row r="53" s="16" customFormat="1" ht="12" customHeight="1" spans="1:4">
      <c r="A53" s="21">
        <v>46</v>
      </c>
      <c r="B53" s="45" t="s">
        <v>861</v>
      </c>
      <c r="C53" s="46" t="s">
        <v>862</v>
      </c>
      <c r="D53" s="32" t="s">
        <v>14</v>
      </c>
    </row>
    <row r="54" s="16" customFormat="1" ht="12" customHeight="1" spans="1:4">
      <c r="A54" s="21">
        <v>47</v>
      </c>
      <c r="B54" s="45" t="s">
        <v>863</v>
      </c>
      <c r="C54" s="46" t="s">
        <v>864</v>
      </c>
      <c r="D54" s="32" t="s">
        <v>11</v>
      </c>
    </row>
    <row r="55" s="16" customFormat="1" ht="12" customHeight="1" spans="1:4">
      <c r="A55" s="21">
        <v>48</v>
      </c>
      <c r="B55" s="45" t="s">
        <v>865</v>
      </c>
      <c r="C55" s="46" t="s">
        <v>866</v>
      </c>
      <c r="D55" s="32" t="s">
        <v>11</v>
      </c>
    </row>
    <row r="56" ht="2.5" customHeight="1"/>
    <row r="57" ht="14.5" spans="1:4">
      <c r="C57" s="27" t="s">
        <v>203</v>
      </c>
      <c r="D57" s="28">
        <f>COUNTIF(D8:D54,"L")</f>
        <v>29</v>
      </c>
    </row>
    <row r="58" ht="14.5" spans="1:4">
      <c r="C58" s="27" t="s">
        <v>204</v>
      </c>
      <c r="D58" s="28">
        <f>COUNTIF(D8:D54,"P")</f>
        <v>18</v>
      </c>
    </row>
  </sheetData>
  <sortState ref="B8:D55">
    <sortCondition ref="C8:C55"/>
  </sortState>
  <mergeCells count="4">
    <mergeCell ref="A1:D1"/>
    <mergeCell ref="A3:D3"/>
    <mergeCell ref="A4:D4"/>
    <mergeCell ref="A5:D5"/>
  </mergeCells>
  <printOptions horizontalCentered="1"/>
  <pageMargins left="0.95" right="0.45" top="0.5" bottom="0.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workbookViewId="0">
      <selection activeCell="A6" sqref="A6"/>
    </sheetView>
  </sheetViews>
  <sheetFormatPr defaultColWidth="9" defaultRowHeight="12.5" outlineLevelCol="6"/>
  <cols>
    <col min="1" max="1" width="7.18181818181818" customWidth="1"/>
    <col min="2" max="2" width="23.0909090909091" customWidth="1"/>
    <col min="3" max="3" width="31.1818181818182" customWidth="1"/>
    <col min="4" max="4" width="7.90909090909091" customWidth="1"/>
  </cols>
  <sheetData>
    <row r="1" ht="74" customHeight="1" spans="1:7">
      <c r="A1" s="17" t="s">
        <v>0</v>
      </c>
      <c r="B1" s="17"/>
      <c r="C1" s="17"/>
      <c r="D1" s="17"/>
    </row>
    <row r="2" ht="3.5" customHeight="1" spans="1:7">
      <c r="A2" s="18"/>
      <c r="B2" s="18"/>
      <c r="C2" s="18"/>
      <c r="D2" s="18"/>
    </row>
    <row r="3" ht="14.5" customHeight="1" spans="1:7">
      <c r="A3" s="19" t="s">
        <v>1</v>
      </c>
      <c r="B3" s="19"/>
      <c r="C3" s="19"/>
      <c r="D3" s="19"/>
    </row>
    <row r="4" ht="15.5" spans="1:7">
      <c r="A4" s="19" t="s">
        <v>867</v>
      </c>
      <c r="B4" s="19"/>
      <c r="C4" s="19"/>
      <c r="D4" s="19"/>
    </row>
    <row r="5" ht="15.5" spans="1:7">
      <c r="A5" s="19" t="s">
        <v>3</v>
      </c>
      <c r="B5" s="19"/>
      <c r="C5" s="19"/>
      <c r="D5" s="19"/>
    </row>
    <row r="6" ht="14" customHeight="1" spans="1:7">
      <c r="A6" t="s">
        <v>868</v>
      </c>
    </row>
    <row r="7" spans="1:7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7">
      <c r="A8" s="21">
        <v>1</v>
      </c>
      <c r="B8" s="45" t="s">
        <v>869</v>
      </c>
      <c r="C8" s="46" t="s">
        <v>870</v>
      </c>
      <c r="D8" s="24" t="s">
        <v>11</v>
      </c>
    </row>
    <row r="9" s="16" customFormat="1" ht="12" customHeight="1" spans="1:7">
      <c r="A9" s="21">
        <v>2</v>
      </c>
      <c r="B9" s="45" t="s">
        <v>871</v>
      </c>
      <c r="C9" s="46" t="s">
        <v>872</v>
      </c>
      <c r="D9" s="24" t="s">
        <v>11</v>
      </c>
      <c r="G9"/>
    </row>
    <row r="10" s="16" customFormat="1" ht="12" customHeight="1" spans="1:7">
      <c r="A10" s="21">
        <v>3</v>
      </c>
      <c r="B10" s="45" t="s">
        <v>873</v>
      </c>
      <c r="C10" s="46" t="s">
        <v>874</v>
      </c>
      <c r="D10" s="24" t="s">
        <v>11</v>
      </c>
    </row>
    <row r="11" s="16" customFormat="1" ht="12" customHeight="1" spans="1:7">
      <c r="A11" s="21">
        <v>4</v>
      </c>
      <c r="B11" s="45" t="s">
        <v>875</v>
      </c>
      <c r="C11" s="46" t="s">
        <v>876</v>
      </c>
      <c r="D11" s="24" t="s">
        <v>14</v>
      </c>
    </row>
    <row r="12" s="16" customFormat="1" ht="12" customHeight="1" spans="1:7">
      <c r="A12" s="21">
        <v>5</v>
      </c>
      <c r="B12" s="45" t="s">
        <v>877</v>
      </c>
      <c r="C12" s="46" t="s">
        <v>878</v>
      </c>
      <c r="D12" s="24" t="s">
        <v>11</v>
      </c>
    </row>
    <row r="13" s="16" customFormat="1" ht="12" customHeight="1" spans="1:7">
      <c r="A13" s="21">
        <v>6</v>
      </c>
      <c r="B13" s="45" t="s">
        <v>879</v>
      </c>
      <c r="C13" s="46" t="s">
        <v>880</v>
      </c>
      <c r="D13" s="24" t="s">
        <v>14</v>
      </c>
    </row>
    <row r="14" s="16" customFormat="1" ht="12" customHeight="1" spans="1:7">
      <c r="A14" s="21">
        <v>7</v>
      </c>
      <c r="B14" s="45" t="s">
        <v>881</v>
      </c>
      <c r="C14" s="46" t="s">
        <v>882</v>
      </c>
      <c r="D14" s="24" t="s">
        <v>14</v>
      </c>
    </row>
    <row r="15" s="16" customFormat="1" ht="12" customHeight="1" spans="1:7">
      <c r="A15" s="21">
        <v>8</v>
      </c>
      <c r="B15" s="45" t="s">
        <v>883</v>
      </c>
      <c r="C15" s="46" t="s">
        <v>884</v>
      </c>
      <c r="D15" s="24" t="s">
        <v>14</v>
      </c>
    </row>
    <row r="16" s="16" customFormat="1" ht="12" customHeight="1" spans="1:7">
      <c r="A16" s="21">
        <v>9</v>
      </c>
      <c r="B16" s="24" t="s">
        <v>885</v>
      </c>
      <c r="C16" s="31" t="s">
        <v>886</v>
      </c>
      <c r="D16" s="30" t="s">
        <v>14</v>
      </c>
    </row>
    <row r="17" s="16" customFormat="1" ht="12" customHeight="1" spans="1:4">
      <c r="A17" s="21">
        <v>10</v>
      </c>
      <c r="B17" s="45" t="s">
        <v>887</v>
      </c>
      <c r="C17" s="46" t="s">
        <v>888</v>
      </c>
      <c r="D17" s="24" t="s">
        <v>14</v>
      </c>
    </row>
    <row r="18" s="16" customFormat="1" ht="12" customHeight="1" spans="1:4">
      <c r="A18" s="21">
        <v>11</v>
      </c>
      <c r="B18" s="45" t="s">
        <v>889</v>
      </c>
      <c r="C18" s="46" t="s">
        <v>890</v>
      </c>
      <c r="D18" s="24" t="s">
        <v>14</v>
      </c>
    </row>
    <row r="19" s="16" customFormat="1" ht="12" customHeight="1" spans="1:4">
      <c r="A19" s="21">
        <v>12</v>
      </c>
      <c r="B19" s="45" t="s">
        <v>891</v>
      </c>
      <c r="C19" s="46" t="s">
        <v>892</v>
      </c>
      <c r="D19" s="24" t="s">
        <v>11</v>
      </c>
    </row>
    <row r="20" s="16" customFormat="1" ht="12" customHeight="1" spans="1:4">
      <c r="A20" s="21">
        <v>13</v>
      </c>
      <c r="B20" s="45" t="s">
        <v>893</v>
      </c>
      <c r="C20" s="46" t="s">
        <v>894</v>
      </c>
      <c r="D20" s="24" t="s">
        <v>14</v>
      </c>
    </row>
    <row r="21" s="16" customFormat="1" ht="12" customHeight="1" spans="1:4">
      <c r="A21" s="21">
        <v>14</v>
      </c>
      <c r="B21" s="45" t="s">
        <v>895</v>
      </c>
      <c r="C21" s="46" t="s">
        <v>896</v>
      </c>
      <c r="D21" s="24" t="s">
        <v>14</v>
      </c>
    </row>
    <row r="22" s="16" customFormat="1" ht="12" customHeight="1" spans="1:4">
      <c r="A22" s="21">
        <v>15</v>
      </c>
      <c r="B22" s="45" t="s">
        <v>897</v>
      </c>
      <c r="C22" s="46" t="s">
        <v>898</v>
      </c>
      <c r="D22" s="24" t="s">
        <v>14</v>
      </c>
    </row>
    <row r="23" s="16" customFormat="1" ht="12" customHeight="1" spans="1:4">
      <c r="A23" s="21">
        <v>16</v>
      </c>
      <c r="B23" s="45" t="s">
        <v>899</v>
      </c>
      <c r="C23" s="46" t="s">
        <v>900</v>
      </c>
      <c r="D23" s="24" t="s">
        <v>11</v>
      </c>
    </row>
    <row r="24" s="16" customFormat="1" ht="12" customHeight="1" spans="1:4">
      <c r="A24" s="21">
        <v>17</v>
      </c>
      <c r="B24" s="45" t="s">
        <v>901</v>
      </c>
      <c r="C24" s="46" t="s">
        <v>902</v>
      </c>
      <c r="D24" s="24" t="s">
        <v>11</v>
      </c>
    </row>
    <row r="25" s="16" customFormat="1" ht="12" customHeight="1" spans="1:4">
      <c r="A25" s="21">
        <v>18</v>
      </c>
      <c r="B25" s="45" t="s">
        <v>903</v>
      </c>
      <c r="C25" s="46" t="s">
        <v>904</v>
      </c>
      <c r="D25" s="24" t="s">
        <v>11</v>
      </c>
    </row>
    <row r="26" s="16" customFormat="1" ht="12" customHeight="1" spans="1:4">
      <c r="A26" s="21">
        <v>19</v>
      </c>
      <c r="B26" s="45" t="s">
        <v>905</v>
      </c>
      <c r="C26" s="46" t="s">
        <v>906</v>
      </c>
      <c r="D26" s="24" t="s">
        <v>11</v>
      </c>
    </row>
    <row r="27" s="16" customFormat="1" ht="12" customHeight="1" spans="1:4">
      <c r="A27" s="21">
        <v>20</v>
      </c>
      <c r="B27" s="45" t="s">
        <v>907</v>
      </c>
      <c r="C27" s="46" t="s">
        <v>908</v>
      </c>
      <c r="D27" s="24" t="s">
        <v>11</v>
      </c>
    </row>
    <row r="28" s="16" customFormat="1" ht="12" customHeight="1" spans="1:4">
      <c r="A28" s="21">
        <v>21</v>
      </c>
      <c r="B28" s="45" t="s">
        <v>909</v>
      </c>
      <c r="C28" s="46" t="s">
        <v>910</v>
      </c>
      <c r="D28" s="24" t="s">
        <v>14</v>
      </c>
    </row>
    <row r="29" s="16" customFormat="1" ht="12" customHeight="1" spans="1:4">
      <c r="A29" s="21">
        <v>22</v>
      </c>
      <c r="B29" s="45" t="s">
        <v>911</v>
      </c>
      <c r="C29" s="46" t="s">
        <v>912</v>
      </c>
      <c r="D29" s="24" t="s">
        <v>11</v>
      </c>
    </row>
    <row r="30" s="16" customFormat="1" ht="12" customHeight="1" spans="1:4">
      <c r="A30" s="21">
        <v>23</v>
      </c>
      <c r="B30" s="45" t="s">
        <v>913</v>
      </c>
      <c r="C30" s="46" t="s">
        <v>914</v>
      </c>
      <c r="D30" s="24" t="s">
        <v>14</v>
      </c>
    </row>
    <row r="31" s="16" customFormat="1" ht="12" customHeight="1" spans="1:4">
      <c r="A31" s="21">
        <v>24</v>
      </c>
      <c r="B31" s="45" t="s">
        <v>915</v>
      </c>
      <c r="C31" s="46" t="s">
        <v>916</v>
      </c>
      <c r="D31" s="25" t="s">
        <v>11</v>
      </c>
    </row>
    <row r="32" s="16" customFormat="1" ht="12" customHeight="1" spans="1:4">
      <c r="A32" s="21">
        <v>25</v>
      </c>
      <c r="B32" s="45" t="s">
        <v>917</v>
      </c>
      <c r="C32" s="46" t="s">
        <v>918</v>
      </c>
      <c r="D32" s="24" t="s">
        <v>11</v>
      </c>
    </row>
    <row r="33" s="16" customFormat="1" ht="12" customHeight="1" spans="1:4">
      <c r="A33" s="21">
        <v>26</v>
      </c>
      <c r="B33" s="45" t="s">
        <v>919</v>
      </c>
      <c r="C33" s="46" t="s">
        <v>920</v>
      </c>
      <c r="D33" s="24" t="s">
        <v>14</v>
      </c>
    </row>
    <row r="34" s="16" customFormat="1" ht="12" customHeight="1" spans="1:4">
      <c r="A34" s="21">
        <v>27</v>
      </c>
      <c r="B34" s="45" t="s">
        <v>921</v>
      </c>
      <c r="C34" s="46" t="s">
        <v>922</v>
      </c>
      <c r="D34" s="24" t="s">
        <v>11</v>
      </c>
    </row>
    <row r="35" s="16" customFormat="1" ht="12" customHeight="1" spans="1:4">
      <c r="A35" s="21">
        <v>28</v>
      </c>
      <c r="B35" s="45" t="s">
        <v>923</v>
      </c>
      <c r="C35" s="46" t="s">
        <v>924</v>
      </c>
      <c r="D35" s="24" t="s">
        <v>11</v>
      </c>
    </row>
    <row r="36" s="16" customFormat="1" ht="12" customHeight="1" spans="1:4">
      <c r="A36" s="21">
        <v>29</v>
      </c>
      <c r="B36" s="45" t="s">
        <v>925</v>
      </c>
      <c r="C36" s="46" t="s">
        <v>926</v>
      </c>
      <c r="D36" s="24" t="s">
        <v>14</v>
      </c>
    </row>
    <row r="37" s="16" customFormat="1" ht="12" customHeight="1" spans="1:4">
      <c r="A37" s="21">
        <v>30</v>
      </c>
      <c r="B37" s="45" t="s">
        <v>927</v>
      </c>
      <c r="C37" s="46" t="s">
        <v>928</v>
      </c>
      <c r="D37" s="24" t="s">
        <v>11</v>
      </c>
    </row>
    <row r="38" s="16" customFormat="1" ht="12" customHeight="1" spans="1:4">
      <c r="A38" s="21">
        <v>31</v>
      </c>
      <c r="B38" s="45" t="s">
        <v>929</v>
      </c>
      <c r="C38" s="46" t="s">
        <v>930</v>
      </c>
      <c r="D38" s="24" t="s">
        <v>11</v>
      </c>
    </row>
    <row r="39" s="16" customFormat="1" ht="12" customHeight="1" spans="1:4">
      <c r="A39" s="21">
        <v>32</v>
      </c>
      <c r="B39" s="45" t="s">
        <v>931</v>
      </c>
      <c r="C39" s="46" t="s">
        <v>932</v>
      </c>
      <c r="D39" s="24" t="s">
        <v>11</v>
      </c>
    </row>
    <row r="40" s="16" customFormat="1" ht="12" customHeight="1" spans="1:4">
      <c r="A40" s="21">
        <v>33</v>
      </c>
      <c r="B40" s="45" t="s">
        <v>933</v>
      </c>
      <c r="C40" s="46" t="s">
        <v>934</v>
      </c>
      <c r="D40" s="24" t="s">
        <v>11</v>
      </c>
    </row>
    <row r="41" s="16" customFormat="1" ht="12" customHeight="1" spans="1:4">
      <c r="A41" s="21">
        <v>34</v>
      </c>
      <c r="B41" s="45" t="s">
        <v>935</v>
      </c>
      <c r="C41" s="46" t="s">
        <v>936</v>
      </c>
      <c r="D41" s="24" t="s">
        <v>11</v>
      </c>
    </row>
    <row r="42" s="16" customFormat="1" ht="12" customHeight="1" spans="1:4">
      <c r="A42" s="21">
        <v>35</v>
      </c>
      <c r="B42" s="45" t="s">
        <v>937</v>
      </c>
      <c r="C42" s="46" t="s">
        <v>938</v>
      </c>
      <c r="D42" s="24" t="s">
        <v>11</v>
      </c>
    </row>
    <row r="43" s="16" customFormat="1" ht="12" customHeight="1" spans="1:4">
      <c r="A43" s="21">
        <v>36</v>
      </c>
      <c r="B43" s="45" t="s">
        <v>939</v>
      </c>
      <c r="C43" s="46" t="s">
        <v>940</v>
      </c>
      <c r="D43" s="24" t="s">
        <v>11</v>
      </c>
    </row>
    <row r="44" s="16" customFormat="1" ht="12" customHeight="1" spans="1:4">
      <c r="A44" s="21">
        <v>37</v>
      </c>
      <c r="B44" s="45" t="s">
        <v>941</v>
      </c>
      <c r="C44" s="46" t="s">
        <v>942</v>
      </c>
      <c r="D44" s="24" t="s">
        <v>11</v>
      </c>
    </row>
    <row r="45" s="16" customFormat="1" ht="12" customHeight="1" spans="1:4">
      <c r="A45" s="21">
        <v>38</v>
      </c>
      <c r="B45" s="45" t="s">
        <v>943</v>
      </c>
      <c r="C45" s="46" t="s">
        <v>944</v>
      </c>
      <c r="D45" s="24" t="s">
        <v>11</v>
      </c>
    </row>
    <row r="46" s="16" customFormat="1" ht="12" customHeight="1" spans="1:4">
      <c r="A46" s="21">
        <v>39</v>
      </c>
      <c r="B46" s="45" t="s">
        <v>945</v>
      </c>
      <c r="C46" s="46" t="s">
        <v>946</v>
      </c>
      <c r="D46" s="24" t="s">
        <v>14</v>
      </c>
    </row>
    <row r="47" s="16" customFormat="1" ht="12" customHeight="1" spans="1:4">
      <c r="A47" s="21">
        <v>40</v>
      </c>
      <c r="B47" s="45" t="s">
        <v>947</v>
      </c>
      <c r="C47" s="46" t="s">
        <v>948</v>
      </c>
      <c r="D47" s="24" t="s">
        <v>11</v>
      </c>
    </row>
    <row r="48" s="16" customFormat="1" ht="12" customHeight="1" spans="1:4">
      <c r="A48" s="21">
        <v>41</v>
      </c>
      <c r="B48" s="45" t="s">
        <v>949</v>
      </c>
      <c r="C48" s="46" t="s">
        <v>950</v>
      </c>
      <c r="D48" s="24" t="s">
        <v>11</v>
      </c>
    </row>
    <row r="49" s="16" customFormat="1" ht="12" customHeight="1" spans="1:4">
      <c r="A49" s="21">
        <v>42</v>
      </c>
      <c r="B49" s="45" t="s">
        <v>951</v>
      </c>
      <c r="C49" s="46" t="s">
        <v>952</v>
      </c>
      <c r="D49" s="24" t="s">
        <v>14</v>
      </c>
    </row>
    <row r="50" s="16" customFormat="1" ht="12" customHeight="1" spans="1:4">
      <c r="A50" s="21">
        <v>43</v>
      </c>
      <c r="B50" s="45" t="s">
        <v>953</v>
      </c>
      <c r="C50" s="46" t="s">
        <v>954</v>
      </c>
      <c r="D50" s="24" t="s">
        <v>14</v>
      </c>
    </row>
    <row r="51" s="16" customFormat="1" ht="12" customHeight="1" spans="1:4">
      <c r="A51" s="21">
        <v>44</v>
      </c>
      <c r="B51" s="45" t="s">
        <v>955</v>
      </c>
      <c r="C51" s="46" t="s">
        <v>956</v>
      </c>
      <c r="D51" s="24" t="s">
        <v>14</v>
      </c>
    </row>
    <row r="52" s="16" customFormat="1" ht="12" customHeight="1" spans="1:4">
      <c r="A52" s="21">
        <v>45</v>
      </c>
      <c r="B52" s="45" t="s">
        <v>957</v>
      </c>
      <c r="C52" s="46" t="s">
        <v>958</v>
      </c>
      <c r="D52" s="24" t="s">
        <v>11</v>
      </c>
    </row>
    <row r="53" s="16" customFormat="1" ht="12" customHeight="1" spans="1:4">
      <c r="A53" s="21">
        <v>46</v>
      </c>
      <c r="B53" s="45" t="s">
        <v>959</v>
      </c>
      <c r="C53" s="46" t="s">
        <v>960</v>
      </c>
      <c r="D53" s="24" t="s">
        <v>14</v>
      </c>
    </row>
    <row r="54" s="16" customFormat="1" ht="12" customHeight="1" spans="1:4">
      <c r="A54" s="21">
        <v>47</v>
      </c>
      <c r="B54" s="45" t="s">
        <v>961</v>
      </c>
      <c r="C54" s="46" t="s">
        <v>962</v>
      </c>
      <c r="D54" s="24" t="s">
        <v>11</v>
      </c>
    </row>
    <row r="55" ht="3.5" customHeight="1"/>
    <row r="56" s="16" customFormat="1" ht="12" customHeight="1" spans="1:4">
      <c r="C56" s="27" t="s">
        <v>203</v>
      </c>
      <c r="D56" s="21">
        <f>COUNTIF(D8:D54,"L")</f>
        <v>28</v>
      </c>
    </row>
    <row r="57" s="16" customFormat="1" ht="12" customHeight="1" spans="1:4">
      <c r="C57" s="27" t="s">
        <v>204</v>
      </c>
      <c r="D57" s="21">
        <f>COUNTIF(D8:D54,"P")</f>
        <v>19</v>
      </c>
    </row>
  </sheetData>
  <sortState ref="B8:D54">
    <sortCondition ref="C8:C54"/>
  </sortState>
  <mergeCells count="4">
    <mergeCell ref="A1:D1"/>
    <mergeCell ref="A3:D3"/>
    <mergeCell ref="A4:D4"/>
    <mergeCell ref="A5:D5"/>
  </mergeCells>
  <printOptions horizontalCentered="1"/>
  <pageMargins left="0.95" right="0.45" top="0.5" bottom="0.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opLeftCell="A2" workbookViewId="0">
      <selection activeCell="F7" sqref="F7"/>
    </sheetView>
  </sheetViews>
  <sheetFormatPr defaultColWidth="9" defaultRowHeight="12.5" outlineLevelCol="3"/>
  <cols>
    <col min="1" max="1" width="7.27272727272727" customWidth="1"/>
    <col min="2" max="2" width="22.9090909090909" customWidth="1"/>
    <col min="3" max="3" width="30.7272727272727" customWidth="1"/>
    <col min="4" max="4" width="7" customWidth="1"/>
  </cols>
  <sheetData>
    <row r="1" ht="81.5" customHeight="1" spans="1:4">
      <c r="A1" s="17" t="s">
        <v>0</v>
      </c>
      <c r="B1" s="17"/>
      <c r="C1" s="17"/>
      <c r="D1" s="17"/>
    </row>
    <row r="2" ht="3.5" customHeight="1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963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ht="16.5" customHeight="1" spans="1:4">
      <c r="A6" t="s">
        <v>964</v>
      </c>
    </row>
    <row r="7" spans="1:4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4">
      <c r="A8" s="21">
        <v>1</v>
      </c>
      <c r="B8" s="45" t="s">
        <v>965</v>
      </c>
      <c r="C8" s="46" t="s">
        <v>966</v>
      </c>
      <c r="D8" s="24" t="s">
        <v>14</v>
      </c>
    </row>
    <row r="9" s="16" customFormat="1" ht="12" customHeight="1" spans="1:4">
      <c r="A9" s="21">
        <v>2</v>
      </c>
      <c r="B9" s="45" t="s">
        <v>967</v>
      </c>
      <c r="C9" s="46" t="s">
        <v>968</v>
      </c>
      <c r="D9" s="24" t="s">
        <v>14</v>
      </c>
    </row>
    <row r="10" s="16" customFormat="1" ht="12" customHeight="1" spans="1:4">
      <c r="A10" s="21">
        <v>3</v>
      </c>
      <c r="B10" s="45" t="s">
        <v>969</v>
      </c>
      <c r="C10" s="46" t="s">
        <v>970</v>
      </c>
      <c r="D10" s="24" t="s">
        <v>14</v>
      </c>
    </row>
    <row r="11" s="16" customFormat="1" ht="12" customHeight="1" spans="1:4">
      <c r="A11" s="21">
        <v>4</v>
      </c>
      <c r="B11" s="45" t="s">
        <v>971</v>
      </c>
      <c r="C11" s="46" t="s">
        <v>972</v>
      </c>
      <c r="D11" s="24" t="s">
        <v>14</v>
      </c>
    </row>
    <row r="12" s="16" customFormat="1" ht="12" customHeight="1" spans="1:4">
      <c r="A12" s="21">
        <v>5</v>
      </c>
      <c r="B12" s="45" t="s">
        <v>973</v>
      </c>
      <c r="C12" s="46" t="s">
        <v>974</v>
      </c>
      <c r="D12" s="24" t="s">
        <v>14</v>
      </c>
    </row>
    <row r="13" s="16" customFormat="1" ht="12" customHeight="1" spans="1:4">
      <c r="A13" s="21">
        <v>6</v>
      </c>
      <c r="B13" s="45" t="s">
        <v>975</v>
      </c>
      <c r="C13" s="46" t="s">
        <v>976</v>
      </c>
      <c r="D13" s="24" t="s">
        <v>14</v>
      </c>
    </row>
    <row r="14" s="16" customFormat="1" ht="12" customHeight="1" spans="1:4">
      <c r="A14" s="21">
        <v>7</v>
      </c>
      <c r="B14" s="45" t="s">
        <v>977</v>
      </c>
      <c r="C14" s="46" t="s">
        <v>978</v>
      </c>
      <c r="D14" s="24" t="s">
        <v>14</v>
      </c>
    </row>
    <row r="15" s="16" customFormat="1" ht="12" customHeight="1" spans="1:4">
      <c r="A15" s="21">
        <v>8</v>
      </c>
      <c r="B15" s="45" t="s">
        <v>979</v>
      </c>
      <c r="C15" s="46" t="s">
        <v>980</v>
      </c>
      <c r="D15" s="24" t="s">
        <v>14</v>
      </c>
    </row>
    <row r="16" s="16" customFormat="1" ht="12" customHeight="1" spans="1:4">
      <c r="A16" s="21">
        <v>9</v>
      </c>
      <c r="B16" s="45" t="s">
        <v>981</v>
      </c>
      <c r="C16" s="46" t="s">
        <v>982</v>
      </c>
      <c r="D16" s="24" t="s">
        <v>14</v>
      </c>
    </row>
    <row r="17" s="16" customFormat="1" ht="12" customHeight="1" spans="1:4">
      <c r="A17" s="21">
        <v>10</v>
      </c>
      <c r="B17" s="45" t="s">
        <v>983</v>
      </c>
      <c r="C17" s="46" t="s">
        <v>984</v>
      </c>
      <c r="D17" s="24" t="s">
        <v>14</v>
      </c>
    </row>
    <row r="18" s="16" customFormat="1" ht="12" customHeight="1" spans="1:4">
      <c r="A18" s="21">
        <v>11</v>
      </c>
      <c r="B18" s="45" t="s">
        <v>985</v>
      </c>
      <c r="C18" s="46" t="s">
        <v>986</v>
      </c>
      <c r="D18" s="24" t="s">
        <v>14</v>
      </c>
    </row>
    <row r="19" s="16" customFormat="1" ht="12" customHeight="1" spans="1:4">
      <c r="A19" s="21">
        <v>12</v>
      </c>
      <c r="B19" s="45" t="s">
        <v>987</v>
      </c>
      <c r="C19" s="46" t="s">
        <v>988</v>
      </c>
      <c r="D19" s="24" t="s">
        <v>11</v>
      </c>
    </row>
    <row r="20" s="16" customFormat="1" ht="12" customHeight="1" spans="1:4">
      <c r="A20" s="21">
        <v>13</v>
      </c>
      <c r="B20" s="45" t="s">
        <v>989</v>
      </c>
      <c r="C20" s="46" t="s">
        <v>990</v>
      </c>
      <c r="D20" s="24" t="s">
        <v>14</v>
      </c>
    </row>
    <row r="21" s="16" customFormat="1" ht="12" customHeight="1" spans="1:4">
      <c r="A21" s="21">
        <v>14</v>
      </c>
      <c r="B21" s="45" t="s">
        <v>991</v>
      </c>
      <c r="C21" s="46" t="s">
        <v>992</v>
      </c>
      <c r="D21" s="24" t="s">
        <v>11</v>
      </c>
    </row>
    <row r="22" s="16" customFormat="1" ht="12" customHeight="1" spans="1:4">
      <c r="A22" s="21">
        <v>15</v>
      </c>
      <c r="B22" s="45" t="s">
        <v>993</v>
      </c>
      <c r="C22" s="46" t="s">
        <v>994</v>
      </c>
      <c r="D22" s="24" t="s">
        <v>11</v>
      </c>
    </row>
    <row r="23" s="16" customFormat="1" ht="12" customHeight="1" spans="1:4">
      <c r="A23" s="21">
        <v>16</v>
      </c>
      <c r="B23" s="45" t="s">
        <v>995</v>
      </c>
      <c r="C23" s="46" t="s">
        <v>996</v>
      </c>
      <c r="D23" s="24" t="s">
        <v>14</v>
      </c>
    </row>
    <row r="24" s="16" customFormat="1" ht="12" customHeight="1" spans="1:4">
      <c r="A24" s="21">
        <v>17</v>
      </c>
      <c r="B24" s="45" t="s">
        <v>997</v>
      </c>
      <c r="C24" s="46" t="s">
        <v>998</v>
      </c>
      <c r="D24" s="24" t="s">
        <v>14</v>
      </c>
    </row>
    <row r="25" s="16" customFormat="1" ht="12" customHeight="1" spans="1:4">
      <c r="A25" s="21">
        <v>18</v>
      </c>
      <c r="B25" s="45" t="s">
        <v>999</v>
      </c>
      <c r="C25" s="46" t="s">
        <v>1000</v>
      </c>
      <c r="D25" s="24" t="s">
        <v>14</v>
      </c>
    </row>
    <row r="26" s="16" customFormat="1" ht="12" customHeight="1" spans="1:4">
      <c r="A26" s="21">
        <v>19</v>
      </c>
      <c r="B26" s="45" t="s">
        <v>1001</v>
      </c>
      <c r="C26" s="46" t="s">
        <v>1002</v>
      </c>
      <c r="D26" s="24" t="s">
        <v>14</v>
      </c>
    </row>
    <row r="27" s="16" customFormat="1" ht="12" customHeight="1" spans="1:4">
      <c r="A27" s="21">
        <v>20</v>
      </c>
      <c r="B27" s="45" t="s">
        <v>1003</v>
      </c>
      <c r="C27" s="46" t="s">
        <v>1004</v>
      </c>
      <c r="D27" s="24" t="s">
        <v>14</v>
      </c>
    </row>
    <row r="28" s="16" customFormat="1" ht="12" customHeight="1" spans="1:4">
      <c r="A28" s="21">
        <v>21</v>
      </c>
      <c r="B28" s="45" t="s">
        <v>1005</v>
      </c>
      <c r="C28" s="46" t="s">
        <v>1006</v>
      </c>
      <c r="D28" s="24" t="s">
        <v>11</v>
      </c>
    </row>
    <row r="29" s="16" customFormat="1" ht="12" customHeight="1" spans="1:4">
      <c r="A29" s="21">
        <v>22</v>
      </c>
      <c r="B29" s="45" t="s">
        <v>1007</v>
      </c>
      <c r="C29" s="46" t="s">
        <v>1008</v>
      </c>
      <c r="D29" s="24" t="s">
        <v>14</v>
      </c>
    </row>
    <row r="30" s="16" customFormat="1" ht="12" customHeight="1" spans="1:4">
      <c r="A30" s="21">
        <v>23</v>
      </c>
      <c r="B30" s="45" t="s">
        <v>1009</v>
      </c>
      <c r="C30" s="46" t="s">
        <v>1010</v>
      </c>
      <c r="D30" s="29" t="s">
        <v>14</v>
      </c>
    </row>
    <row r="31" s="16" customFormat="1" ht="12" customHeight="1" spans="1:4">
      <c r="A31" s="21">
        <v>24</v>
      </c>
      <c r="B31" s="45" t="s">
        <v>1011</v>
      </c>
      <c r="C31" s="46" t="s">
        <v>1012</v>
      </c>
      <c r="D31" s="24" t="s">
        <v>11</v>
      </c>
    </row>
    <row r="32" s="16" customFormat="1" ht="12" customHeight="1" spans="1:4">
      <c r="A32" s="21">
        <v>25</v>
      </c>
      <c r="B32" s="45" t="s">
        <v>1013</v>
      </c>
      <c r="C32" s="46" t="s">
        <v>1014</v>
      </c>
      <c r="D32" s="24" t="s">
        <v>11</v>
      </c>
    </row>
    <row r="33" s="16" customFormat="1" ht="12" customHeight="1" spans="1:4">
      <c r="A33" s="21">
        <v>26</v>
      </c>
      <c r="B33" s="45" t="s">
        <v>1015</v>
      </c>
      <c r="C33" s="46" t="s">
        <v>1016</v>
      </c>
      <c r="D33" s="24" t="s">
        <v>11</v>
      </c>
    </row>
    <row r="34" s="16" customFormat="1" ht="12" customHeight="1" spans="1:4">
      <c r="A34" s="21">
        <v>27</v>
      </c>
      <c r="B34" s="45" t="s">
        <v>1017</v>
      </c>
      <c r="C34" s="46" t="s">
        <v>1018</v>
      </c>
      <c r="D34" s="24" t="s">
        <v>11</v>
      </c>
    </row>
    <row r="35" s="16" customFormat="1" ht="12" customHeight="1" spans="1:4">
      <c r="A35" s="21">
        <v>28</v>
      </c>
      <c r="B35" s="45" t="s">
        <v>1019</v>
      </c>
      <c r="C35" s="46" t="s">
        <v>1020</v>
      </c>
      <c r="D35" s="24" t="s">
        <v>11</v>
      </c>
    </row>
    <row r="36" s="16" customFormat="1" ht="12" customHeight="1" spans="1:4">
      <c r="A36" s="21">
        <v>29</v>
      </c>
      <c r="B36" s="45" t="s">
        <v>1021</v>
      </c>
      <c r="C36" s="46" t="s">
        <v>1022</v>
      </c>
      <c r="D36" s="24" t="s">
        <v>11</v>
      </c>
    </row>
    <row r="37" s="16" customFormat="1" ht="12" customHeight="1" spans="1:4">
      <c r="A37" s="21">
        <v>30</v>
      </c>
      <c r="B37" s="45" t="s">
        <v>1023</v>
      </c>
      <c r="C37" s="46" t="s">
        <v>1024</v>
      </c>
      <c r="D37" s="24" t="s">
        <v>11</v>
      </c>
    </row>
    <row r="38" s="16" customFormat="1" ht="12" customHeight="1" spans="1:4">
      <c r="A38" s="21">
        <v>31</v>
      </c>
      <c r="B38" s="45" t="s">
        <v>1025</v>
      </c>
      <c r="C38" s="46" t="s">
        <v>1026</v>
      </c>
      <c r="D38" s="24" t="s">
        <v>11</v>
      </c>
    </row>
    <row r="39" s="16" customFormat="1" ht="12" customHeight="1" spans="1:4">
      <c r="A39" s="21">
        <v>32</v>
      </c>
      <c r="B39" s="45" t="s">
        <v>1027</v>
      </c>
      <c r="C39" s="46" t="s">
        <v>1028</v>
      </c>
      <c r="D39" s="24" t="s">
        <v>14</v>
      </c>
    </row>
    <row r="40" s="16" customFormat="1" ht="12" customHeight="1" spans="1:4">
      <c r="A40" s="21">
        <v>33</v>
      </c>
      <c r="B40" s="45" t="s">
        <v>1029</v>
      </c>
      <c r="C40" s="46" t="s">
        <v>1030</v>
      </c>
      <c r="D40" s="24" t="s">
        <v>14</v>
      </c>
    </row>
    <row r="41" s="16" customFormat="1" ht="12" customHeight="1" spans="1:4">
      <c r="A41" s="21">
        <v>34</v>
      </c>
      <c r="B41" s="45" t="s">
        <v>1031</v>
      </c>
      <c r="C41" s="46" t="s">
        <v>1032</v>
      </c>
      <c r="D41" s="24" t="s">
        <v>14</v>
      </c>
    </row>
    <row r="42" s="16" customFormat="1" ht="12" customHeight="1" spans="1:4">
      <c r="A42" s="21">
        <v>35</v>
      </c>
      <c r="B42" s="45" t="s">
        <v>1033</v>
      </c>
      <c r="C42" s="46" t="s">
        <v>1034</v>
      </c>
      <c r="D42" s="24" t="s">
        <v>14</v>
      </c>
    </row>
    <row r="43" s="16" customFormat="1" ht="12" customHeight="1" spans="1:4">
      <c r="A43" s="21">
        <v>36</v>
      </c>
      <c r="B43" s="45" t="s">
        <v>1035</v>
      </c>
      <c r="C43" s="46" t="s">
        <v>1036</v>
      </c>
      <c r="D43" s="24" t="s">
        <v>14</v>
      </c>
    </row>
    <row r="44" s="16" customFormat="1" ht="12" customHeight="1" spans="1:4">
      <c r="A44" s="21">
        <v>37</v>
      </c>
      <c r="B44" s="45" t="s">
        <v>1037</v>
      </c>
      <c r="C44" s="46" t="s">
        <v>1038</v>
      </c>
      <c r="D44" s="24" t="s">
        <v>14</v>
      </c>
    </row>
    <row r="45" s="16" customFormat="1" ht="12" customHeight="1" spans="1:4">
      <c r="A45" s="21">
        <v>38</v>
      </c>
      <c r="B45" s="45" t="s">
        <v>1039</v>
      </c>
      <c r="C45" s="46" t="s">
        <v>1040</v>
      </c>
      <c r="D45" s="24" t="s">
        <v>11</v>
      </c>
    </row>
    <row r="46" s="16" customFormat="1" ht="12" customHeight="1" spans="1:4">
      <c r="A46" s="21">
        <v>39</v>
      </c>
      <c r="B46" s="45" t="s">
        <v>1041</v>
      </c>
      <c r="C46" s="46" t="s">
        <v>1042</v>
      </c>
      <c r="D46" s="24" t="s">
        <v>14</v>
      </c>
    </row>
    <row r="47" s="16" customFormat="1" ht="12" customHeight="1" spans="1:4">
      <c r="A47" s="21">
        <v>40</v>
      </c>
      <c r="B47" s="30" t="s">
        <v>1043</v>
      </c>
      <c r="C47" s="31" t="s">
        <v>1044</v>
      </c>
      <c r="D47" s="30" t="s">
        <v>14</v>
      </c>
    </row>
    <row r="48" s="16" customFormat="1" ht="12" customHeight="1" spans="1:4">
      <c r="A48" s="21">
        <v>41</v>
      </c>
      <c r="B48" s="45" t="s">
        <v>1045</v>
      </c>
      <c r="C48" s="46" t="s">
        <v>1046</v>
      </c>
      <c r="D48" s="24" t="s">
        <v>14</v>
      </c>
    </row>
    <row r="49" s="16" customFormat="1" ht="12" customHeight="1" spans="1:4">
      <c r="A49" s="21">
        <v>42</v>
      </c>
      <c r="B49" s="45" t="s">
        <v>1047</v>
      </c>
      <c r="C49" s="46" t="s">
        <v>1048</v>
      </c>
      <c r="D49" s="24" t="s">
        <v>11</v>
      </c>
    </row>
    <row r="50" s="16" customFormat="1" ht="12" customHeight="1" spans="1:4">
      <c r="A50" s="21">
        <v>43</v>
      </c>
      <c r="B50" s="45" t="s">
        <v>1049</v>
      </c>
      <c r="C50" s="46" t="s">
        <v>1050</v>
      </c>
      <c r="D50" s="24" t="s">
        <v>14</v>
      </c>
    </row>
    <row r="51" s="16" customFormat="1" ht="12" customHeight="1" spans="1:4">
      <c r="A51" s="21">
        <v>44</v>
      </c>
      <c r="B51" s="45" t="s">
        <v>1051</v>
      </c>
      <c r="C51" s="46" t="s">
        <v>1052</v>
      </c>
      <c r="D51" s="24" t="s">
        <v>14</v>
      </c>
    </row>
    <row r="52" s="16" customFormat="1" ht="12" customHeight="1" spans="1:4">
      <c r="A52" s="21">
        <v>45</v>
      </c>
      <c r="B52" s="45" t="s">
        <v>1053</v>
      </c>
      <c r="C52" s="46" t="s">
        <v>1054</v>
      </c>
      <c r="D52" s="24" t="s">
        <v>14</v>
      </c>
    </row>
    <row r="53" s="16" customFormat="1" ht="12" customHeight="1" spans="1:4">
      <c r="A53" s="21">
        <v>46</v>
      </c>
      <c r="B53" s="45" t="s">
        <v>1055</v>
      </c>
      <c r="C53" s="46" t="s">
        <v>1056</v>
      </c>
      <c r="D53" s="24" t="s">
        <v>14</v>
      </c>
    </row>
    <row r="54" s="16" customFormat="1" ht="12" customHeight="1" spans="1:4">
      <c r="A54" s="21">
        <v>47</v>
      </c>
      <c r="B54" s="45" t="s">
        <v>1057</v>
      </c>
      <c r="C54" s="46" t="s">
        <v>1058</v>
      </c>
      <c r="D54" s="24" t="s">
        <v>14</v>
      </c>
    </row>
    <row r="56" ht="14.5" spans="1:4">
      <c r="C56" s="27" t="s">
        <v>203</v>
      </c>
      <c r="D56" s="28">
        <f>COUNTIF(D8:D54,"L")</f>
        <v>14</v>
      </c>
    </row>
    <row r="57" ht="14.5" spans="1:4">
      <c r="C57" s="27" t="s">
        <v>204</v>
      </c>
      <c r="D57" s="28">
        <f>COUNTIF(D8:D54,"P")</f>
        <v>33</v>
      </c>
    </row>
  </sheetData>
  <sortState ref="B8:D54">
    <sortCondition ref="C8:C54"/>
  </sortState>
  <mergeCells count="4">
    <mergeCell ref="A1:D1"/>
    <mergeCell ref="A3:D3"/>
    <mergeCell ref="A4:D4"/>
    <mergeCell ref="A5:D5"/>
  </mergeCells>
  <printOptions horizontalCentered="1"/>
  <pageMargins left="0.95" right="0.45" top="0.5" bottom="0.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workbookViewId="0">
      <selection activeCell="A6" sqref="A6"/>
    </sheetView>
  </sheetViews>
  <sheetFormatPr defaultColWidth="9" defaultRowHeight="12.5" outlineLevelCol="3"/>
  <cols>
    <col min="1" max="1" width="6.27272727272727" customWidth="1"/>
    <col min="2" max="2" width="22.4545454545455" customWidth="1"/>
    <col min="3" max="3" width="38.4545454545455" customWidth="1"/>
  </cols>
  <sheetData>
    <row r="1" ht="74.5" customHeight="1" spans="1:4">
      <c r="A1" s="17" t="s">
        <v>0</v>
      </c>
      <c r="B1" s="17"/>
      <c r="C1" s="17"/>
      <c r="D1" s="17"/>
    </row>
    <row r="2" ht="9" customHeight="1" spans="1:4">
      <c r="A2" s="18"/>
      <c r="B2" s="18"/>
      <c r="C2" s="18"/>
      <c r="D2" s="18"/>
    </row>
    <row r="3" ht="15.5" spans="1:4">
      <c r="A3" s="19" t="s">
        <v>1</v>
      </c>
      <c r="B3" s="19"/>
      <c r="C3" s="19"/>
      <c r="D3" s="19"/>
    </row>
    <row r="4" ht="15.5" spans="1:4">
      <c r="A4" s="19" t="s">
        <v>1059</v>
      </c>
      <c r="B4" s="19"/>
      <c r="C4" s="19"/>
      <c r="D4" s="19"/>
    </row>
    <row r="5" ht="15.5" spans="1:4">
      <c r="A5" s="19" t="s">
        <v>3</v>
      </c>
      <c r="B5" s="19"/>
      <c r="C5" s="19"/>
      <c r="D5" s="19"/>
    </row>
    <row r="6" spans="1:4">
      <c r="A6" t="s">
        <v>1060</v>
      </c>
    </row>
    <row r="7" spans="1:4">
      <c r="A7" s="20" t="s">
        <v>5</v>
      </c>
      <c r="B7" s="20" t="s">
        <v>6</v>
      </c>
      <c r="C7" s="20" t="s">
        <v>7</v>
      </c>
      <c r="D7" s="20" t="s">
        <v>8</v>
      </c>
    </row>
    <row r="8" s="16" customFormat="1" ht="12" customHeight="1" spans="1:4">
      <c r="A8" s="21">
        <v>1</v>
      </c>
      <c r="B8" s="45" t="s">
        <v>1061</v>
      </c>
      <c r="C8" s="46" t="s">
        <v>1062</v>
      </c>
      <c r="D8" s="24" t="s">
        <v>11</v>
      </c>
    </row>
    <row r="9" s="16" customFormat="1" ht="12" customHeight="1" spans="1:4">
      <c r="A9" s="21">
        <v>2</v>
      </c>
      <c r="B9" s="45" t="s">
        <v>1063</v>
      </c>
      <c r="C9" s="46" t="s">
        <v>1064</v>
      </c>
      <c r="D9" s="24" t="s">
        <v>11</v>
      </c>
    </row>
    <row r="10" s="16" customFormat="1" ht="12" customHeight="1" spans="1:4">
      <c r="A10" s="21">
        <v>3</v>
      </c>
      <c r="B10" s="45" t="s">
        <v>1065</v>
      </c>
      <c r="C10" s="46" t="s">
        <v>1066</v>
      </c>
      <c r="D10" s="25" t="s">
        <v>14</v>
      </c>
    </row>
    <row r="11" s="16" customFormat="1" ht="12" customHeight="1" spans="1:4">
      <c r="A11" s="21">
        <v>4</v>
      </c>
      <c r="B11" s="45" t="s">
        <v>1067</v>
      </c>
      <c r="C11" s="46" t="s">
        <v>1068</v>
      </c>
      <c r="D11" s="24" t="s">
        <v>14</v>
      </c>
    </row>
    <row r="12" s="16" customFormat="1" ht="12" customHeight="1" spans="1:4">
      <c r="A12" s="21">
        <v>5</v>
      </c>
      <c r="B12" s="45" t="s">
        <v>1069</v>
      </c>
      <c r="C12" s="46" t="s">
        <v>1070</v>
      </c>
      <c r="D12" s="24" t="s">
        <v>14</v>
      </c>
    </row>
    <row r="13" s="16" customFormat="1" ht="12" customHeight="1" spans="1:4">
      <c r="A13" s="21">
        <v>6</v>
      </c>
      <c r="B13" s="45" t="s">
        <v>1071</v>
      </c>
      <c r="C13" s="46" t="s">
        <v>1072</v>
      </c>
      <c r="D13" s="24" t="s">
        <v>14</v>
      </c>
    </row>
    <row r="14" s="16" customFormat="1" ht="12" customHeight="1" spans="1:4">
      <c r="A14" s="21">
        <v>7</v>
      </c>
      <c r="B14" s="45" t="s">
        <v>1073</v>
      </c>
      <c r="C14" s="46" t="s">
        <v>1074</v>
      </c>
      <c r="D14" s="24" t="s">
        <v>11</v>
      </c>
    </row>
    <row r="15" s="16" customFormat="1" ht="12" customHeight="1" spans="1:4">
      <c r="A15" s="21">
        <v>8</v>
      </c>
      <c r="B15" s="45" t="s">
        <v>1075</v>
      </c>
      <c r="C15" s="46" t="s">
        <v>1076</v>
      </c>
      <c r="D15" s="24" t="s">
        <v>11</v>
      </c>
    </row>
    <row r="16" s="16" customFormat="1" ht="12" customHeight="1" spans="1:4">
      <c r="A16" s="21">
        <v>9</v>
      </c>
      <c r="B16" s="45" t="s">
        <v>1077</v>
      </c>
      <c r="C16" s="46" t="s">
        <v>1078</v>
      </c>
      <c r="D16" s="24" t="s">
        <v>14</v>
      </c>
    </row>
    <row r="17" s="16" customFormat="1" ht="12" customHeight="1" spans="1:4">
      <c r="A17" s="21">
        <v>10</v>
      </c>
      <c r="B17" s="45" t="s">
        <v>1079</v>
      </c>
      <c r="C17" s="46" t="s">
        <v>1080</v>
      </c>
      <c r="D17" s="24" t="s">
        <v>14</v>
      </c>
    </row>
    <row r="18" s="16" customFormat="1" ht="12" customHeight="1" spans="1:4">
      <c r="A18" s="21">
        <v>11</v>
      </c>
      <c r="B18" s="45" t="s">
        <v>1081</v>
      </c>
      <c r="C18" s="46" t="s">
        <v>1082</v>
      </c>
      <c r="D18" s="24" t="s">
        <v>14</v>
      </c>
    </row>
    <row r="19" s="16" customFormat="1" ht="12" customHeight="1" spans="1:4">
      <c r="A19" s="21">
        <v>12</v>
      </c>
      <c r="B19" s="45" t="s">
        <v>1083</v>
      </c>
      <c r="C19" s="46" t="s">
        <v>1084</v>
      </c>
      <c r="D19" s="26" t="s">
        <v>11</v>
      </c>
    </row>
    <row r="20" s="16" customFormat="1" ht="12" customHeight="1" spans="1:4">
      <c r="A20" s="21">
        <v>13</v>
      </c>
      <c r="B20" s="45" t="s">
        <v>1085</v>
      </c>
      <c r="C20" s="46" t="s">
        <v>1086</v>
      </c>
      <c r="D20" s="24" t="s">
        <v>14</v>
      </c>
    </row>
    <row r="21" s="16" customFormat="1" ht="12" customHeight="1" spans="1:4">
      <c r="A21" s="21">
        <v>14</v>
      </c>
      <c r="B21" s="45" t="s">
        <v>1087</v>
      </c>
      <c r="C21" s="46" t="s">
        <v>1088</v>
      </c>
      <c r="D21" s="24" t="s">
        <v>14</v>
      </c>
    </row>
    <row r="22" s="16" customFormat="1" ht="12" customHeight="1" spans="1:4">
      <c r="A22" s="21">
        <v>15</v>
      </c>
      <c r="B22" s="45" t="s">
        <v>1089</v>
      </c>
      <c r="C22" s="46" t="s">
        <v>1090</v>
      </c>
      <c r="D22" s="24" t="s">
        <v>14</v>
      </c>
    </row>
    <row r="23" s="16" customFormat="1" ht="12" customHeight="1" spans="1:4">
      <c r="A23" s="21">
        <v>16</v>
      </c>
      <c r="B23" s="45" t="s">
        <v>1091</v>
      </c>
      <c r="C23" s="46" t="s">
        <v>1092</v>
      </c>
      <c r="D23" s="24" t="s">
        <v>11</v>
      </c>
    </row>
    <row r="24" s="16" customFormat="1" ht="12" customHeight="1" spans="1:4">
      <c r="A24" s="21">
        <v>17</v>
      </c>
      <c r="B24" s="45" t="s">
        <v>1093</v>
      </c>
      <c r="C24" s="46" t="s">
        <v>1094</v>
      </c>
      <c r="D24" s="24" t="s">
        <v>14</v>
      </c>
    </row>
    <row r="25" s="16" customFormat="1" ht="12" customHeight="1" spans="1:4">
      <c r="A25" s="21">
        <v>18</v>
      </c>
      <c r="B25" s="45" t="s">
        <v>1095</v>
      </c>
      <c r="C25" s="46" t="s">
        <v>1096</v>
      </c>
      <c r="D25" s="24" t="s">
        <v>14</v>
      </c>
    </row>
    <row r="26" s="16" customFormat="1" ht="12" customHeight="1" spans="1:4">
      <c r="A26" s="21">
        <v>19</v>
      </c>
      <c r="B26" s="45" t="s">
        <v>1097</v>
      </c>
      <c r="C26" s="46" t="s">
        <v>1098</v>
      </c>
      <c r="D26" s="24" t="s">
        <v>14</v>
      </c>
    </row>
    <row r="27" s="16" customFormat="1" ht="12" customHeight="1" spans="1:4">
      <c r="A27" s="21">
        <v>20</v>
      </c>
      <c r="B27" s="45" t="s">
        <v>1099</v>
      </c>
      <c r="C27" s="46" t="s">
        <v>1100</v>
      </c>
      <c r="D27" s="24" t="s">
        <v>14</v>
      </c>
    </row>
    <row r="28" s="16" customFormat="1" ht="12" customHeight="1" spans="1:4">
      <c r="A28" s="21">
        <v>21</v>
      </c>
      <c r="B28" s="45" t="s">
        <v>1101</v>
      </c>
      <c r="C28" s="46" t="s">
        <v>1102</v>
      </c>
      <c r="D28" s="24" t="s">
        <v>14</v>
      </c>
    </row>
    <row r="29" s="16" customFormat="1" ht="12" customHeight="1" spans="1:4">
      <c r="A29" s="21">
        <v>22</v>
      </c>
      <c r="B29" s="45" t="s">
        <v>1103</v>
      </c>
      <c r="C29" s="46" t="s">
        <v>1104</v>
      </c>
      <c r="D29" s="24" t="s">
        <v>14</v>
      </c>
    </row>
    <row r="30" s="16" customFormat="1" ht="12" customHeight="1" spans="1:4">
      <c r="A30" s="21">
        <v>23</v>
      </c>
      <c r="B30" s="45" t="s">
        <v>1105</v>
      </c>
      <c r="C30" s="46" t="s">
        <v>1106</v>
      </c>
      <c r="D30" s="24" t="s">
        <v>14</v>
      </c>
    </row>
    <row r="31" s="16" customFormat="1" ht="12" customHeight="1" spans="1:4">
      <c r="A31" s="21">
        <v>24</v>
      </c>
      <c r="B31" s="45" t="s">
        <v>1107</v>
      </c>
      <c r="C31" s="46" t="s">
        <v>1108</v>
      </c>
      <c r="D31" s="24" t="s">
        <v>14</v>
      </c>
    </row>
    <row r="32" s="16" customFormat="1" ht="12" customHeight="1" spans="1:4">
      <c r="A32" s="21">
        <v>25</v>
      </c>
      <c r="B32" s="45" t="s">
        <v>1109</v>
      </c>
      <c r="C32" s="46" t="s">
        <v>1110</v>
      </c>
      <c r="D32" s="24" t="s">
        <v>14</v>
      </c>
    </row>
    <row r="33" s="16" customFormat="1" ht="12" customHeight="1" spans="1:4">
      <c r="A33" s="21">
        <v>26</v>
      </c>
      <c r="B33" s="45" t="s">
        <v>1111</v>
      </c>
      <c r="C33" s="46" t="s">
        <v>1112</v>
      </c>
      <c r="D33" s="24" t="s">
        <v>14</v>
      </c>
    </row>
    <row r="34" s="16" customFormat="1" ht="12" customHeight="1" spans="1:4">
      <c r="A34" s="21">
        <v>27</v>
      </c>
      <c r="B34" s="45" t="s">
        <v>1113</v>
      </c>
      <c r="C34" s="46" t="s">
        <v>1114</v>
      </c>
      <c r="D34" s="24" t="s">
        <v>14</v>
      </c>
    </row>
    <row r="35" s="16" customFormat="1" ht="12" customHeight="1" spans="1:4">
      <c r="A35" s="21">
        <v>28</v>
      </c>
      <c r="B35" s="45" t="s">
        <v>1115</v>
      </c>
      <c r="C35" s="46" t="s">
        <v>1116</v>
      </c>
      <c r="D35" s="24" t="s">
        <v>14</v>
      </c>
    </row>
    <row r="36" s="16" customFormat="1" ht="12" customHeight="1" spans="1:4">
      <c r="A36" s="21">
        <v>29</v>
      </c>
      <c r="B36" s="45" t="s">
        <v>1117</v>
      </c>
      <c r="C36" s="46" t="s">
        <v>1118</v>
      </c>
      <c r="D36" s="24" t="s">
        <v>11</v>
      </c>
    </row>
    <row r="37" s="16" customFormat="1" ht="12" customHeight="1" spans="1:4">
      <c r="A37" s="21">
        <v>30</v>
      </c>
      <c r="B37" s="45" t="s">
        <v>1119</v>
      </c>
      <c r="C37" s="46" t="s">
        <v>1120</v>
      </c>
      <c r="D37" s="24" t="s">
        <v>11</v>
      </c>
    </row>
    <row r="38" s="16" customFormat="1" ht="12" customHeight="1" spans="1:4">
      <c r="A38" s="21">
        <v>31</v>
      </c>
      <c r="B38" s="45" t="s">
        <v>1121</v>
      </c>
      <c r="C38" s="46" t="s">
        <v>1122</v>
      </c>
      <c r="D38" s="24" t="s">
        <v>11</v>
      </c>
    </row>
    <row r="39" s="16" customFormat="1" ht="12" customHeight="1" spans="1:4">
      <c r="A39" s="21">
        <v>32</v>
      </c>
      <c r="B39" s="45" t="s">
        <v>1123</v>
      </c>
      <c r="C39" s="46" t="s">
        <v>1124</v>
      </c>
      <c r="D39" s="24" t="s">
        <v>11</v>
      </c>
    </row>
    <row r="40" s="16" customFormat="1" ht="12" customHeight="1" spans="1:4">
      <c r="A40" s="21">
        <v>33</v>
      </c>
      <c r="B40" s="45" t="s">
        <v>1125</v>
      </c>
      <c r="C40" s="46" t="s">
        <v>1126</v>
      </c>
      <c r="D40" s="26" t="s">
        <v>11</v>
      </c>
    </row>
    <row r="41" s="16" customFormat="1" ht="12" customHeight="1" spans="1:4">
      <c r="A41" s="21">
        <v>34</v>
      </c>
      <c r="B41" s="45" t="s">
        <v>1127</v>
      </c>
      <c r="C41" s="46" t="s">
        <v>1128</v>
      </c>
      <c r="D41" s="24" t="s">
        <v>11</v>
      </c>
    </row>
    <row r="42" s="16" customFormat="1" ht="12" customHeight="1" spans="1:4">
      <c r="A42" s="21">
        <v>35</v>
      </c>
      <c r="B42" s="45" t="s">
        <v>1129</v>
      </c>
      <c r="C42" s="46" t="s">
        <v>1130</v>
      </c>
      <c r="D42" s="24" t="s">
        <v>14</v>
      </c>
    </row>
    <row r="43" s="16" customFormat="1" ht="12" customHeight="1" spans="1:4">
      <c r="A43" s="21">
        <v>36</v>
      </c>
      <c r="B43" s="45" t="s">
        <v>1131</v>
      </c>
      <c r="C43" s="46" t="s">
        <v>1132</v>
      </c>
      <c r="D43" s="24" t="s">
        <v>14</v>
      </c>
    </row>
    <row r="44" s="16" customFormat="1" ht="12" customHeight="1" spans="1:4">
      <c r="A44" s="21">
        <v>37</v>
      </c>
      <c r="B44" s="45" t="s">
        <v>1133</v>
      </c>
      <c r="C44" s="46" t="s">
        <v>1134</v>
      </c>
      <c r="D44" s="24" t="s">
        <v>14</v>
      </c>
    </row>
    <row r="45" s="16" customFormat="1" ht="12" customHeight="1" spans="1:4">
      <c r="A45" s="21">
        <v>38</v>
      </c>
      <c r="B45" s="45" t="s">
        <v>1135</v>
      </c>
      <c r="C45" s="46" t="s">
        <v>1136</v>
      </c>
      <c r="D45" s="24" t="s">
        <v>14</v>
      </c>
    </row>
    <row r="46" s="16" customFormat="1" ht="12" customHeight="1" spans="1:4">
      <c r="A46" s="21">
        <v>39</v>
      </c>
      <c r="B46" s="45" t="s">
        <v>1137</v>
      </c>
      <c r="C46" s="46" t="s">
        <v>1138</v>
      </c>
      <c r="D46" s="24" t="s">
        <v>14</v>
      </c>
    </row>
    <row r="47" s="16" customFormat="1" ht="12" customHeight="1" spans="1:4">
      <c r="A47" s="21">
        <v>40</v>
      </c>
      <c r="B47" s="45" t="s">
        <v>1139</v>
      </c>
      <c r="C47" s="46" t="s">
        <v>1140</v>
      </c>
      <c r="D47" s="24" t="s">
        <v>11</v>
      </c>
    </row>
    <row r="48" s="16" customFormat="1" ht="12" customHeight="1" spans="1:4">
      <c r="A48" s="21">
        <v>41</v>
      </c>
      <c r="B48" s="45" t="s">
        <v>1141</v>
      </c>
      <c r="C48" s="46" t="s">
        <v>1142</v>
      </c>
      <c r="D48" s="24" t="s">
        <v>14</v>
      </c>
    </row>
    <row r="49" s="16" customFormat="1" ht="12" customHeight="1" spans="1:4">
      <c r="A49" s="21">
        <v>42</v>
      </c>
      <c r="B49" s="45" t="s">
        <v>1143</v>
      </c>
      <c r="C49" s="46" t="s">
        <v>1144</v>
      </c>
      <c r="D49" s="24" t="s">
        <v>14</v>
      </c>
    </row>
    <row r="50" s="16" customFormat="1" ht="12" customHeight="1" spans="1:4">
      <c r="A50" s="21">
        <v>43</v>
      </c>
      <c r="B50" s="45" t="s">
        <v>1145</v>
      </c>
      <c r="C50" s="46" t="s">
        <v>1146</v>
      </c>
      <c r="D50" s="24" t="s">
        <v>11</v>
      </c>
    </row>
    <row r="51" s="16" customFormat="1" ht="12" customHeight="1" spans="1:4">
      <c r="A51" s="21">
        <v>44</v>
      </c>
      <c r="B51" s="45" t="s">
        <v>1147</v>
      </c>
      <c r="C51" s="46" t="s">
        <v>1148</v>
      </c>
      <c r="D51" s="24" t="s">
        <v>14</v>
      </c>
    </row>
    <row r="52" s="16" customFormat="1" ht="12" customHeight="1" spans="1:4">
      <c r="A52" s="21">
        <v>45</v>
      </c>
      <c r="B52" s="45" t="s">
        <v>1149</v>
      </c>
      <c r="C52" s="46" t="s">
        <v>1150</v>
      </c>
      <c r="D52" s="24" t="s">
        <v>14</v>
      </c>
    </row>
    <row r="53" s="16" customFormat="1" ht="12" customHeight="1" spans="1:4">
      <c r="A53" s="21">
        <v>46</v>
      </c>
      <c r="B53" s="45" t="s">
        <v>1151</v>
      </c>
      <c r="C53" s="46" t="s">
        <v>1152</v>
      </c>
      <c r="D53" s="24" t="s">
        <v>14</v>
      </c>
    </row>
    <row r="55" ht="14.5" spans="1:4">
      <c r="C55" s="27" t="s">
        <v>203</v>
      </c>
      <c r="D55" s="28">
        <f>COUNTIF(D8:D53,"L")</f>
        <v>14</v>
      </c>
    </row>
    <row r="56" ht="14.5" spans="1:4">
      <c r="C56" s="27" t="s">
        <v>204</v>
      </c>
      <c r="D56" s="28">
        <f>COUNTIF(D8:D53,"P")</f>
        <v>32</v>
      </c>
    </row>
  </sheetData>
  <mergeCells count="4">
    <mergeCell ref="A1:D1"/>
    <mergeCell ref="A3:D3"/>
    <mergeCell ref="A4:D4"/>
    <mergeCell ref="A5:D5"/>
  </mergeCells>
  <printOptions horizontalCentered="1"/>
  <pageMargins left="0.95" right="0.45" top="0.5" bottom="0.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1000"/>
  <sheetViews>
    <sheetView showGridLines="0" workbookViewId="0">
      <selection activeCell="A1" sqref="A1"/>
    </sheetView>
  </sheetViews>
  <sheetFormatPr defaultColWidth="12.6363636363636" defaultRowHeight="15.75" customHeight="1"/>
  <cols>
    <col min="5" max="5" width="1.36363636363636" customWidth="1"/>
    <col min="6" max="7" width="17" customWidth="1"/>
    <col min="8" max="8" width="17" hidden="1" customWidth="1"/>
    <col min="9" max="11" width="17" customWidth="1"/>
    <col min="12" max="12" width="7.90909090909091" customWidth="1"/>
  </cols>
  <sheetData>
    <row r="1" ht="12.5" spans="1:31">
      <c r="A1" s="1" t="s">
        <v>1153</v>
      </c>
      <c r="B1" s="2" t="s">
        <v>1154</v>
      </c>
      <c r="D1" s="1" t="s">
        <v>1154</v>
      </c>
      <c r="E1" s="1" t="s">
        <v>1155</v>
      </c>
      <c r="F1" s="3"/>
      <c r="G1" s="3"/>
      <c r="H1" s="3"/>
      <c r="I1" s="3"/>
      <c r="J1" s="3"/>
      <c r="K1" s="3"/>
      <c r="L1" s="4"/>
      <c r="N1" s="1" t="s">
        <v>1154</v>
      </c>
      <c r="O1" s="1" t="s">
        <v>1156</v>
      </c>
      <c r="P1" s="3"/>
      <c r="Q1" s="3"/>
      <c r="R1" s="3"/>
      <c r="S1" s="3"/>
      <c r="T1" s="3"/>
      <c r="U1" s="4"/>
      <c r="X1" s="1" t="s">
        <v>1154</v>
      </c>
      <c r="Y1" s="1" t="s">
        <v>1157</v>
      </c>
      <c r="Z1" s="3"/>
      <c r="AA1" s="3"/>
      <c r="AB1" s="3"/>
      <c r="AC1" s="3"/>
      <c r="AD1" s="3"/>
      <c r="AE1" s="4"/>
    </row>
    <row r="2" ht="44.25" customHeight="1" spans="1:31">
      <c r="A2" s="1" t="s">
        <v>1158</v>
      </c>
      <c r="B2" s="2">
        <v>46</v>
      </c>
      <c r="D2" s="1" t="s">
        <v>1153</v>
      </c>
      <c r="E2" s="1" t="s">
        <v>1159</v>
      </c>
      <c r="F2" s="5" t="s">
        <v>1160</v>
      </c>
      <c r="G2" s="5" t="s">
        <v>1161</v>
      </c>
      <c r="H2" s="5" t="s">
        <v>1162</v>
      </c>
      <c r="I2" s="5" t="s">
        <v>1163</v>
      </c>
      <c r="J2" s="5" t="s">
        <v>1164</v>
      </c>
      <c r="K2" s="5" t="s">
        <v>1165</v>
      </c>
      <c r="L2" s="2" t="s">
        <v>1166</v>
      </c>
      <c r="N2" s="1" t="s">
        <v>1153</v>
      </c>
      <c r="O2" s="1" t="s">
        <v>1159</v>
      </c>
      <c r="P2" s="5" t="s">
        <v>1160</v>
      </c>
      <c r="Q2" s="5" t="s">
        <v>1162</v>
      </c>
      <c r="R2" s="5" t="s">
        <v>1163</v>
      </c>
      <c r="S2" s="5" t="s">
        <v>1164</v>
      </c>
      <c r="T2" s="5" t="s">
        <v>1165</v>
      </c>
      <c r="U2" s="2" t="s">
        <v>1166</v>
      </c>
      <c r="X2" s="1" t="s">
        <v>1153</v>
      </c>
      <c r="Y2" s="1" t="s">
        <v>1159</v>
      </c>
      <c r="Z2" s="5" t="s">
        <v>1160</v>
      </c>
      <c r="AA2" s="5" t="s">
        <v>1162</v>
      </c>
      <c r="AB2" s="5" t="s">
        <v>1163</v>
      </c>
      <c r="AC2" s="5" t="s">
        <v>1164</v>
      </c>
      <c r="AD2" s="5" t="s">
        <v>1165</v>
      </c>
      <c r="AE2" s="2" t="s">
        <v>1166</v>
      </c>
    </row>
    <row r="3" ht="12.5" spans="1:31">
      <c r="A3" s="6" t="s">
        <v>1167</v>
      </c>
      <c r="B3" s="7">
        <v>45</v>
      </c>
      <c r="D3" s="1" t="s">
        <v>1158</v>
      </c>
      <c r="E3" s="1">
        <v>3</v>
      </c>
      <c r="F3" s="5">
        <v>10</v>
      </c>
      <c r="G3" s="5">
        <v>1</v>
      </c>
      <c r="H3" s="5">
        <v>9</v>
      </c>
      <c r="I3" s="5">
        <v>15</v>
      </c>
      <c r="J3" s="5">
        <v>8</v>
      </c>
      <c r="K3" s="5"/>
      <c r="L3" s="2">
        <v>46</v>
      </c>
      <c r="N3" s="1" t="s">
        <v>1158</v>
      </c>
      <c r="O3" s="1">
        <v>10</v>
      </c>
      <c r="P3" s="5">
        <v>9</v>
      </c>
      <c r="Q3" s="5">
        <v>12</v>
      </c>
      <c r="R3" s="5">
        <v>8</v>
      </c>
      <c r="S3" s="5">
        <v>7</v>
      </c>
      <c r="T3" s="5"/>
      <c r="U3" s="2">
        <v>46</v>
      </c>
      <c r="X3" s="1" t="s">
        <v>1158</v>
      </c>
      <c r="Y3" s="1">
        <v>3</v>
      </c>
      <c r="Z3" s="5">
        <v>16</v>
      </c>
      <c r="AA3" s="5">
        <v>5</v>
      </c>
      <c r="AB3" s="5">
        <v>9</v>
      </c>
      <c r="AC3" s="5">
        <v>13</v>
      </c>
      <c r="AD3" s="5"/>
      <c r="AE3" s="2">
        <v>46</v>
      </c>
    </row>
    <row r="4" ht="12.5" spans="1:31">
      <c r="A4" s="6" t="s">
        <v>1168</v>
      </c>
      <c r="B4" s="7">
        <v>46</v>
      </c>
      <c r="D4" s="6" t="s">
        <v>1167</v>
      </c>
      <c r="E4" s="6">
        <v>3</v>
      </c>
      <c r="F4">
        <v>12</v>
      </c>
      <c r="H4">
        <v>14</v>
      </c>
      <c r="I4">
        <v>9</v>
      </c>
      <c r="J4">
        <v>7</v>
      </c>
      <c r="L4" s="7">
        <v>45</v>
      </c>
      <c r="N4" s="6" t="s">
        <v>1167</v>
      </c>
      <c r="O4" s="6">
        <v>10</v>
      </c>
      <c r="P4">
        <v>4</v>
      </c>
      <c r="Q4">
        <v>13</v>
      </c>
      <c r="R4">
        <v>10</v>
      </c>
      <c r="S4">
        <v>8</v>
      </c>
      <c r="U4" s="7">
        <v>45</v>
      </c>
      <c r="X4" s="6" t="s">
        <v>1167</v>
      </c>
      <c r="Y4" s="6">
        <v>3</v>
      </c>
      <c r="Z4">
        <v>6</v>
      </c>
      <c r="AA4">
        <v>4</v>
      </c>
      <c r="AB4">
        <v>8</v>
      </c>
      <c r="AC4">
        <v>24</v>
      </c>
      <c r="AE4" s="7">
        <v>45</v>
      </c>
    </row>
    <row r="5" ht="12.5" spans="1:31">
      <c r="A5" s="6" t="s">
        <v>1169</v>
      </c>
      <c r="B5" s="7">
        <v>46</v>
      </c>
      <c r="D5" s="6" t="s">
        <v>1168</v>
      </c>
      <c r="E5" s="6">
        <v>1</v>
      </c>
      <c r="F5">
        <v>12</v>
      </c>
      <c r="H5">
        <v>20</v>
      </c>
      <c r="I5">
        <v>5</v>
      </c>
      <c r="J5">
        <v>8</v>
      </c>
      <c r="L5" s="7">
        <v>46</v>
      </c>
      <c r="N5" s="6" t="s">
        <v>1168</v>
      </c>
      <c r="O5" s="6">
        <v>9</v>
      </c>
      <c r="P5">
        <v>1</v>
      </c>
      <c r="Q5">
        <v>7</v>
      </c>
      <c r="R5">
        <v>12</v>
      </c>
      <c r="S5">
        <v>17</v>
      </c>
      <c r="U5" s="7">
        <v>46</v>
      </c>
      <c r="X5" s="6" t="s">
        <v>1168</v>
      </c>
      <c r="Y5" s="6">
        <v>3</v>
      </c>
      <c r="Z5">
        <v>8</v>
      </c>
      <c r="AA5">
        <v>6</v>
      </c>
      <c r="AB5">
        <v>15</v>
      </c>
      <c r="AC5">
        <v>12</v>
      </c>
      <c r="AD5">
        <v>2</v>
      </c>
      <c r="AE5" s="7">
        <v>46</v>
      </c>
    </row>
    <row r="6" ht="12.5" spans="1:31">
      <c r="A6" s="6" t="s">
        <v>1170</v>
      </c>
      <c r="B6" s="7">
        <v>45</v>
      </c>
      <c r="D6" s="6" t="s">
        <v>1169</v>
      </c>
      <c r="E6" s="6">
        <v>4</v>
      </c>
      <c r="F6">
        <v>13</v>
      </c>
      <c r="H6">
        <v>16</v>
      </c>
      <c r="I6">
        <v>6</v>
      </c>
      <c r="J6">
        <v>7</v>
      </c>
      <c r="L6" s="7">
        <v>46</v>
      </c>
      <c r="N6" s="6" t="s">
        <v>1169</v>
      </c>
      <c r="O6" s="6">
        <v>11</v>
      </c>
      <c r="P6">
        <v>7</v>
      </c>
      <c r="Q6">
        <v>8</v>
      </c>
      <c r="R6">
        <v>9</v>
      </c>
      <c r="S6">
        <v>10</v>
      </c>
      <c r="T6">
        <v>1</v>
      </c>
      <c r="U6" s="7">
        <v>46</v>
      </c>
      <c r="X6" s="6" t="s">
        <v>1169</v>
      </c>
      <c r="Y6" s="6">
        <v>4</v>
      </c>
      <c r="Z6">
        <v>8</v>
      </c>
      <c r="AA6">
        <v>6</v>
      </c>
      <c r="AB6">
        <v>11</v>
      </c>
      <c r="AC6">
        <v>16</v>
      </c>
      <c r="AD6">
        <v>1</v>
      </c>
      <c r="AE6" s="7">
        <v>46</v>
      </c>
    </row>
    <row r="7" ht="12.5" spans="1:31">
      <c r="A7" s="6" t="s">
        <v>1171</v>
      </c>
      <c r="B7" s="7">
        <v>45</v>
      </c>
      <c r="D7" s="6" t="s">
        <v>1170</v>
      </c>
      <c r="E7" s="6">
        <v>1</v>
      </c>
      <c r="F7">
        <v>12</v>
      </c>
      <c r="H7">
        <v>12</v>
      </c>
      <c r="I7">
        <v>8</v>
      </c>
      <c r="J7">
        <v>12</v>
      </c>
      <c r="L7" s="7">
        <v>45</v>
      </c>
      <c r="N7" s="6" t="s">
        <v>1170</v>
      </c>
      <c r="O7" s="6">
        <v>7</v>
      </c>
      <c r="P7">
        <v>4</v>
      </c>
      <c r="Q7">
        <v>14</v>
      </c>
      <c r="R7">
        <v>7</v>
      </c>
      <c r="S7">
        <v>13</v>
      </c>
      <c r="U7" s="7">
        <v>45</v>
      </c>
      <c r="X7" s="6" t="s">
        <v>1170</v>
      </c>
      <c r="Y7" s="6">
        <v>8</v>
      </c>
      <c r="Z7">
        <v>9</v>
      </c>
      <c r="AA7">
        <v>5</v>
      </c>
      <c r="AB7">
        <v>14</v>
      </c>
      <c r="AC7">
        <v>9</v>
      </c>
      <c r="AE7" s="7">
        <v>45</v>
      </c>
    </row>
    <row r="8" ht="12.5" spans="1:31">
      <c r="A8" s="6" t="s">
        <v>1172</v>
      </c>
      <c r="B8" s="7">
        <v>46</v>
      </c>
      <c r="D8" s="6" t="s">
        <v>1171</v>
      </c>
      <c r="E8" s="6">
        <v>4</v>
      </c>
      <c r="F8">
        <v>10</v>
      </c>
      <c r="H8">
        <v>13</v>
      </c>
      <c r="I8">
        <v>12</v>
      </c>
      <c r="J8">
        <v>6</v>
      </c>
      <c r="L8" s="7">
        <v>45</v>
      </c>
      <c r="N8" s="6" t="s">
        <v>1171</v>
      </c>
      <c r="O8" s="6">
        <v>9</v>
      </c>
      <c r="P8">
        <v>5</v>
      </c>
      <c r="Q8">
        <v>14</v>
      </c>
      <c r="R8">
        <v>6</v>
      </c>
      <c r="S8">
        <v>11</v>
      </c>
      <c r="U8" s="7">
        <v>45</v>
      </c>
      <c r="X8" s="6" t="s">
        <v>1171</v>
      </c>
      <c r="Y8" s="6">
        <v>7</v>
      </c>
      <c r="Z8">
        <v>2</v>
      </c>
      <c r="AA8">
        <v>3</v>
      </c>
      <c r="AB8">
        <v>10</v>
      </c>
      <c r="AC8">
        <v>23</v>
      </c>
      <c r="AE8" s="7">
        <v>45</v>
      </c>
    </row>
    <row r="9" ht="12.5" spans="1:31">
      <c r="A9" s="6" t="s">
        <v>1173</v>
      </c>
      <c r="B9" s="7">
        <v>45</v>
      </c>
      <c r="D9" s="6" t="s">
        <v>1172</v>
      </c>
      <c r="E9" s="6">
        <v>8</v>
      </c>
      <c r="F9">
        <v>6</v>
      </c>
      <c r="H9">
        <v>10</v>
      </c>
      <c r="I9">
        <v>14</v>
      </c>
      <c r="J9">
        <v>8</v>
      </c>
      <c r="L9" s="7">
        <v>46</v>
      </c>
      <c r="N9" s="6" t="s">
        <v>1172</v>
      </c>
      <c r="O9" s="6">
        <v>4</v>
      </c>
      <c r="P9">
        <v>13</v>
      </c>
      <c r="Q9">
        <v>16</v>
      </c>
      <c r="R9">
        <v>10</v>
      </c>
      <c r="S9">
        <v>3</v>
      </c>
      <c r="U9" s="7">
        <v>46</v>
      </c>
      <c r="X9" s="6" t="s">
        <v>1172</v>
      </c>
      <c r="Y9" s="6">
        <v>6</v>
      </c>
      <c r="Z9">
        <v>7</v>
      </c>
      <c r="AA9">
        <v>4</v>
      </c>
      <c r="AB9">
        <v>7</v>
      </c>
      <c r="AC9">
        <v>22</v>
      </c>
      <c r="AE9" s="7">
        <v>46</v>
      </c>
    </row>
    <row r="10" ht="12.5" spans="1:31">
      <c r="A10" s="6" t="s">
        <v>1174</v>
      </c>
      <c r="B10" s="7">
        <v>45</v>
      </c>
      <c r="D10" s="6" t="s">
        <v>1173</v>
      </c>
      <c r="E10" s="6">
        <v>3</v>
      </c>
      <c r="F10">
        <v>12</v>
      </c>
      <c r="H10">
        <v>14</v>
      </c>
      <c r="I10">
        <v>7</v>
      </c>
      <c r="J10">
        <v>9</v>
      </c>
      <c r="L10" s="7">
        <v>45</v>
      </c>
      <c r="N10" s="6" t="s">
        <v>1173</v>
      </c>
      <c r="O10" s="6">
        <v>10</v>
      </c>
      <c r="P10">
        <v>5</v>
      </c>
      <c r="Q10">
        <v>14</v>
      </c>
      <c r="R10">
        <v>10</v>
      </c>
      <c r="S10">
        <v>6</v>
      </c>
      <c r="U10" s="7">
        <v>45</v>
      </c>
      <c r="X10" s="6" t="s">
        <v>1173</v>
      </c>
      <c r="Y10" s="6">
        <v>4</v>
      </c>
      <c r="Z10">
        <v>4</v>
      </c>
      <c r="AA10">
        <v>2</v>
      </c>
      <c r="AB10">
        <v>11</v>
      </c>
      <c r="AC10">
        <v>24</v>
      </c>
      <c r="AE10" s="7">
        <v>45</v>
      </c>
    </row>
    <row r="11" ht="12.5" spans="1:31">
      <c r="A11" s="6" t="s">
        <v>1175</v>
      </c>
      <c r="B11" s="7">
        <v>45</v>
      </c>
      <c r="D11" s="6" t="s">
        <v>1174</v>
      </c>
      <c r="E11" s="6">
        <v>5</v>
      </c>
      <c r="F11">
        <v>16</v>
      </c>
      <c r="H11">
        <v>15</v>
      </c>
      <c r="I11">
        <v>3</v>
      </c>
      <c r="J11">
        <v>6</v>
      </c>
      <c r="L11" s="7">
        <v>45</v>
      </c>
      <c r="N11" s="6" t="s">
        <v>1174</v>
      </c>
      <c r="O11" s="6">
        <v>12</v>
      </c>
      <c r="P11">
        <v>8</v>
      </c>
      <c r="Q11">
        <v>7</v>
      </c>
      <c r="R11">
        <v>13</v>
      </c>
      <c r="S11">
        <v>5</v>
      </c>
      <c r="U11" s="7">
        <v>45</v>
      </c>
      <c r="X11" s="6" t="s">
        <v>1174</v>
      </c>
      <c r="Y11" s="6">
        <v>4</v>
      </c>
      <c r="Z11">
        <v>3</v>
      </c>
      <c r="AA11">
        <v>5</v>
      </c>
      <c r="AB11">
        <v>11</v>
      </c>
      <c r="AC11">
        <v>22</v>
      </c>
      <c r="AE11" s="7">
        <v>45</v>
      </c>
    </row>
    <row r="12" ht="12.5" spans="1:31">
      <c r="A12" s="6" t="s">
        <v>1176</v>
      </c>
      <c r="B12" s="7">
        <v>47</v>
      </c>
      <c r="D12" s="6" t="s">
        <v>1175</v>
      </c>
      <c r="E12" s="6">
        <v>3</v>
      </c>
      <c r="F12">
        <v>15</v>
      </c>
      <c r="H12">
        <v>11</v>
      </c>
      <c r="I12">
        <v>12</v>
      </c>
      <c r="J12">
        <v>4</v>
      </c>
      <c r="L12" s="7">
        <v>45</v>
      </c>
      <c r="N12" s="6" t="s">
        <v>1175</v>
      </c>
      <c r="O12" s="6">
        <v>14</v>
      </c>
      <c r="P12">
        <v>8</v>
      </c>
      <c r="Q12">
        <v>9</v>
      </c>
      <c r="R12">
        <v>7</v>
      </c>
      <c r="S12">
        <v>7</v>
      </c>
      <c r="U12" s="7">
        <v>45</v>
      </c>
      <c r="X12" s="6" t="s">
        <v>1175</v>
      </c>
      <c r="Y12" s="6">
        <v>5</v>
      </c>
      <c r="Z12">
        <v>1</v>
      </c>
      <c r="AA12">
        <v>4</v>
      </c>
      <c r="AB12">
        <v>11</v>
      </c>
      <c r="AC12">
        <v>24</v>
      </c>
      <c r="AE12" s="7">
        <v>45</v>
      </c>
    </row>
    <row r="13" ht="12.5" spans="1:31">
      <c r="A13" s="6" t="s">
        <v>1177</v>
      </c>
      <c r="B13" s="7">
        <v>45</v>
      </c>
      <c r="D13" s="6" t="s">
        <v>1176</v>
      </c>
      <c r="E13" s="6">
        <v>4</v>
      </c>
      <c r="F13">
        <v>13</v>
      </c>
      <c r="H13">
        <v>14</v>
      </c>
      <c r="I13">
        <v>12</v>
      </c>
      <c r="J13">
        <v>4</v>
      </c>
      <c r="L13" s="7">
        <v>47</v>
      </c>
      <c r="N13" s="6" t="s">
        <v>1176</v>
      </c>
      <c r="O13" s="6">
        <v>10</v>
      </c>
      <c r="P13">
        <v>6</v>
      </c>
      <c r="Q13">
        <v>12</v>
      </c>
      <c r="R13">
        <v>10</v>
      </c>
      <c r="S13">
        <v>9</v>
      </c>
      <c r="U13" s="7">
        <v>47</v>
      </c>
      <c r="X13" s="6" t="s">
        <v>1176</v>
      </c>
      <c r="Y13" s="6">
        <v>5</v>
      </c>
      <c r="Z13">
        <v>8</v>
      </c>
      <c r="AA13">
        <v>6</v>
      </c>
      <c r="AB13">
        <v>8</v>
      </c>
      <c r="AC13">
        <v>20</v>
      </c>
      <c r="AE13" s="7">
        <v>47</v>
      </c>
    </row>
    <row r="14" ht="12.5" spans="1:31">
      <c r="A14" s="8" t="s">
        <v>1166</v>
      </c>
      <c r="B14" s="9">
        <v>546</v>
      </c>
      <c r="D14" s="6" t="s">
        <v>1177</v>
      </c>
      <c r="E14" s="6">
        <v>3</v>
      </c>
      <c r="F14">
        <v>16</v>
      </c>
      <c r="H14">
        <v>14</v>
      </c>
      <c r="I14">
        <v>4</v>
      </c>
      <c r="J14">
        <v>8</v>
      </c>
      <c r="L14" s="7">
        <v>45</v>
      </c>
      <c r="N14" s="6" t="s">
        <v>1177</v>
      </c>
      <c r="O14" s="6">
        <v>17</v>
      </c>
      <c r="P14">
        <v>4</v>
      </c>
      <c r="Q14">
        <v>10</v>
      </c>
      <c r="R14">
        <v>7</v>
      </c>
      <c r="S14">
        <v>7</v>
      </c>
      <c r="U14" s="7">
        <v>45</v>
      </c>
      <c r="X14" s="6" t="s">
        <v>1177</v>
      </c>
      <c r="Y14" s="6">
        <v>2</v>
      </c>
      <c r="Z14">
        <v>17</v>
      </c>
      <c r="AA14">
        <v>3</v>
      </c>
      <c r="AB14">
        <v>3</v>
      </c>
      <c r="AC14">
        <v>20</v>
      </c>
      <c r="AE14" s="7">
        <v>45</v>
      </c>
    </row>
    <row r="15" ht="12.5" spans="1:31">
      <c r="D15" s="8" t="s">
        <v>1166</v>
      </c>
      <c r="E15" s="8">
        <v>42</v>
      </c>
      <c r="F15" s="10">
        <v>147</v>
      </c>
      <c r="G15" s="10">
        <v>1</v>
      </c>
      <c r="H15" s="10">
        <v>162</v>
      </c>
      <c r="I15" s="10">
        <v>107</v>
      </c>
      <c r="J15" s="10">
        <v>87</v>
      </c>
      <c r="K15" s="10"/>
      <c r="L15" s="9">
        <v>546</v>
      </c>
      <c r="N15" s="8" t="s">
        <v>1166</v>
      </c>
      <c r="O15" s="8">
        <v>123</v>
      </c>
      <c r="P15" s="10">
        <v>74</v>
      </c>
      <c r="Q15" s="10">
        <v>136</v>
      </c>
      <c r="R15" s="10">
        <v>109</v>
      </c>
      <c r="S15" s="10">
        <v>103</v>
      </c>
      <c r="T15" s="10">
        <v>1</v>
      </c>
      <c r="U15" s="9">
        <v>546</v>
      </c>
      <c r="X15" s="8" t="s">
        <v>1166</v>
      </c>
      <c r="Y15" s="8">
        <v>54</v>
      </c>
      <c r="Z15" s="10">
        <v>89</v>
      </c>
      <c r="AA15" s="10">
        <v>53</v>
      </c>
      <c r="AB15" s="10">
        <v>118</v>
      </c>
      <c r="AC15" s="10">
        <v>229</v>
      </c>
      <c r="AD15" s="10">
        <v>3</v>
      </c>
      <c r="AE15" s="9">
        <v>546</v>
      </c>
    </row>
    <row r="16" ht="12.5" spans="1:31">
      <c r="B16" s="11">
        <v>432</v>
      </c>
      <c r="C16" s="12">
        <f>B15/B16</f>
        <v>0</v>
      </c>
      <c r="D16" s="11" t="s">
        <v>1178</v>
      </c>
      <c r="F16" s="13">
        <f t="shared" ref="F16:K16" si="0">F15/36</f>
        <v>4.08333333333333</v>
      </c>
      <c r="G16" s="13">
        <f t="shared" si="0"/>
        <v>0.0277777777777778</v>
      </c>
      <c r="H16" s="13">
        <f t="shared" si="0"/>
        <v>4.5</v>
      </c>
      <c r="I16" s="13">
        <f t="shared" si="0"/>
        <v>2.97222222222222</v>
      </c>
      <c r="J16" s="13">
        <f t="shared" si="0"/>
        <v>2.41666666666667</v>
      </c>
      <c r="K16" s="13">
        <f t="shared" si="0"/>
        <v>0</v>
      </c>
    </row>
    <row r="17" ht="12.5" spans="2:12">
      <c r="B17" s="11">
        <f>B15-B16</f>
        <v>-432</v>
      </c>
      <c r="F17" s="14">
        <v>1</v>
      </c>
      <c r="G17" s="14">
        <v>3</v>
      </c>
      <c r="H17" s="14"/>
      <c r="I17" s="14">
        <v>4</v>
      </c>
      <c r="J17" s="14">
        <v>2</v>
      </c>
      <c r="K17" s="14">
        <v>2</v>
      </c>
      <c r="L17" s="13"/>
    </row>
    <row r="18" ht="12.5" spans="2:12">
      <c r="D18" s="11" t="s">
        <v>1179</v>
      </c>
      <c r="F18" s="14">
        <f t="shared" ref="F18:G18" si="1">F17*46</f>
        <v>46</v>
      </c>
      <c r="G18" s="14">
        <f t="shared" si="1"/>
        <v>138</v>
      </c>
      <c r="H18" s="14">
        <f>H17*45</f>
        <v>0</v>
      </c>
      <c r="I18" s="14">
        <f t="shared" ref="I18:K18" si="2">I17*46</f>
        <v>184</v>
      </c>
      <c r="J18" s="14">
        <f t="shared" si="2"/>
        <v>92</v>
      </c>
      <c r="K18" s="14">
        <f t="shared" si="2"/>
        <v>92</v>
      </c>
    </row>
    <row r="19" ht="12.5" spans="2:12">
      <c r="D19" s="11" t="s">
        <v>1180</v>
      </c>
      <c r="F19" s="14">
        <f t="shared" ref="F19:K19" si="3">F15-F18</f>
        <v>101</v>
      </c>
      <c r="G19" s="14">
        <f t="shared" si="3"/>
        <v>-137</v>
      </c>
      <c r="H19" s="14">
        <f t="shared" si="3"/>
        <v>162</v>
      </c>
      <c r="I19" s="14">
        <f t="shared" si="3"/>
        <v>-77</v>
      </c>
      <c r="J19" s="14">
        <f t="shared" si="3"/>
        <v>-5</v>
      </c>
      <c r="K19" s="14">
        <f t="shared" si="3"/>
        <v>-92</v>
      </c>
    </row>
    <row r="20" ht="12.5" spans="2:12">
      <c r="C20" s="15"/>
      <c r="F20" s="11">
        <v>1</v>
      </c>
      <c r="G20" s="11">
        <v>3</v>
      </c>
      <c r="I20" s="11">
        <v>4</v>
      </c>
      <c r="J20" s="11">
        <v>2</v>
      </c>
      <c r="K20" s="11">
        <v>2</v>
      </c>
    </row>
    <row r="21" ht="12.5" spans="2:12">
      <c r="F21" s="14"/>
      <c r="G21" s="14"/>
      <c r="H21" s="14"/>
      <c r="I21" s="14"/>
      <c r="J21" s="14"/>
      <c r="K21" s="14"/>
    </row>
    <row r="22" ht="12.5" spans="2:12">
      <c r="F22" s="14"/>
      <c r="G22" s="14"/>
      <c r="H22" s="14"/>
      <c r="I22" s="14"/>
      <c r="J22" s="14"/>
      <c r="K22" s="14"/>
    </row>
    <row r="23" ht="12.5" spans="2:12">
      <c r="F23" s="14"/>
      <c r="G23" s="14"/>
      <c r="H23" s="14"/>
      <c r="I23" s="14"/>
      <c r="J23" s="14"/>
      <c r="K23" s="14"/>
    </row>
    <row r="24" ht="12.5" spans="2:12">
      <c r="F24" s="14"/>
      <c r="G24" s="14"/>
      <c r="H24" s="14"/>
      <c r="I24" s="14"/>
      <c r="J24" s="14"/>
      <c r="K24" s="14"/>
    </row>
    <row r="25" ht="12.5" spans="2:12">
      <c r="F25" s="14"/>
      <c r="G25" s="14"/>
      <c r="H25" s="14"/>
      <c r="I25" s="14"/>
      <c r="J25" s="14"/>
      <c r="K25" s="14"/>
    </row>
    <row r="26" ht="12.5" spans="2:12">
      <c r="F26" s="14"/>
      <c r="G26" s="14"/>
      <c r="H26" s="14"/>
      <c r="I26" s="14"/>
      <c r="J26" s="14"/>
      <c r="K26" s="14"/>
    </row>
    <row r="27" ht="12.5" spans="2:12">
      <c r="F27" s="14"/>
      <c r="G27" s="14"/>
      <c r="H27" s="14"/>
      <c r="I27" s="14"/>
      <c r="J27" s="14"/>
      <c r="K27" s="14"/>
    </row>
    <row r="28" ht="12.5" spans="2:12">
      <c r="F28" s="14"/>
      <c r="G28" s="14"/>
      <c r="H28" s="14"/>
      <c r="I28" s="14"/>
      <c r="J28" s="14"/>
      <c r="K28" s="14"/>
    </row>
    <row r="29" ht="12.5" spans="2:12">
      <c r="F29" s="14"/>
      <c r="G29" s="14"/>
      <c r="H29" s="14"/>
      <c r="I29" s="14"/>
      <c r="J29" s="14"/>
      <c r="K29" s="14"/>
    </row>
    <row r="30" ht="12.5" spans="2:12">
      <c r="F30" s="14"/>
      <c r="G30" s="14"/>
      <c r="H30" s="14"/>
      <c r="I30" s="14"/>
      <c r="J30" s="14"/>
      <c r="K30" s="14"/>
    </row>
    <row r="31" ht="12.5" spans="2:12">
      <c r="F31" s="14"/>
      <c r="G31" s="14"/>
      <c r="H31" s="14"/>
      <c r="I31" s="14"/>
      <c r="J31" s="14"/>
      <c r="K31" s="14"/>
    </row>
    <row r="32" ht="12.5" spans="2:12">
      <c r="F32" s="14"/>
      <c r="G32" s="14"/>
      <c r="H32" s="14"/>
      <c r="I32" s="14"/>
      <c r="J32" s="14"/>
      <c r="K32" s="14"/>
    </row>
    <row r="33" ht="12.5" spans="6:11">
      <c r="F33" s="14"/>
      <c r="G33" s="14"/>
      <c r="H33" s="14"/>
      <c r="I33" s="14"/>
      <c r="J33" s="14"/>
      <c r="K33" s="14"/>
    </row>
    <row r="34" ht="12.5" spans="6:11">
      <c r="F34" s="14"/>
      <c r="G34" s="14"/>
      <c r="H34" s="14"/>
      <c r="I34" s="14"/>
      <c r="J34" s="14"/>
      <c r="K34" s="14"/>
    </row>
    <row r="35" ht="12.5" spans="6:11">
      <c r="F35" s="14"/>
      <c r="G35" s="14"/>
      <c r="H35" s="14"/>
      <c r="I35" s="14"/>
      <c r="J35" s="14"/>
      <c r="K35" s="14"/>
    </row>
    <row r="36" ht="12.5" spans="6:11">
      <c r="F36" s="14"/>
      <c r="G36" s="14"/>
      <c r="H36" s="14"/>
      <c r="I36" s="14"/>
      <c r="J36" s="14"/>
      <c r="K36" s="14"/>
    </row>
    <row r="37" ht="12.5" spans="6:11">
      <c r="F37" s="14"/>
      <c r="G37" s="14"/>
      <c r="H37" s="14"/>
      <c r="I37" s="14"/>
      <c r="J37" s="14"/>
      <c r="K37" s="14"/>
    </row>
    <row r="38" ht="12.5" spans="6:11">
      <c r="F38" s="14"/>
      <c r="G38" s="14"/>
      <c r="H38" s="14"/>
      <c r="I38" s="14"/>
      <c r="J38" s="14"/>
      <c r="K38" s="14"/>
    </row>
    <row r="39" ht="12.5" spans="6:11">
      <c r="F39" s="14"/>
      <c r="G39" s="14"/>
      <c r="H39" s="14"/>
      <c r="I39" s="14"/>
      <c r="J39" s="14"/>
      <c r="K39" s="14"/>
    </row>
    <row r="40" ht="12.5" spans="6:11">
      <c r="F40" s="14"/>
      <c r="G40" s="14"/>
      <c r="H40" s="14"/>
      <c r="I40" s="14"/>
      <c r="J40" s="14"/>
      <c r="K40" s="14"/>
    </row>
    <row r="41" ht="12.5" spans="6:11">
      <c r="F41" s="14"/>
      <c r="G41" s="14"/>
      <c r="H41" s="14"/>
      <c r="I41" s="14"/>
      <c r="J41" s="14"/>
      <c r="K41" s="14"/>
    </row>
    <row r="42" ht="12.5" spans="6:11">
      <c r="F42" s="14"/>
      <c r="G42" s="14"/>
      <c r="H42" s="14"/>
      <c r="I42" s="14"/>
      <c r="J42" s="14"/>
      <c r="K42" s="14"/>
    </row>
    <row r="43" ht="12.5" spans="6:11">
      <c r="F43" s="14"/>
      <c r="G43" s="14"/>
      <c r="H43" s="14"/>
      <c r="I43" s="14"/>
      <c r="J43" s="14"/>
      <c r="K43" s="14"/>
    </row>
    <row r="44" ht="12.5" spans="6:11">
      <c r="F44" s="14"/>
      <c r="G44" s="14"/>
      <c r="H44" s="14"/>
      <c r="I44" s="14"/>
      <c r="J44" s="14"/>
      <c r="K44" s="14"/>
    </row>
    <row r="45" ht="12.5" spans="6:11">
      <c r="F45" s="14"/>
      <c r="G45" s="14"/>
      <c r="H45" s="14"/>
      <c r="I45" s="14"/>
      <c r="J45" s="14"/>
      <c r="K45" s="14"/>
    </row>
    <row r="46" ht="12.5" spans="6:11">
      <c r="F46" s="14"/>
      <c r="G46" s="14"/>
      <c r="H46" s="14"/>
      <c r="I46" s="14"/>
      <c r="J46" s="14"/>
      <c r="K46" s="14"/>
    </row>
    <row r="47" ht="12.5" spans="6:11">
      <c r="F47" s="14"/>
      <c r="G47" s="14"/>
      <c r="H47" s="14"/>
      <c r="I47" s="14"/>
      <c r="J47" s="14"/>
      <c r="K47" s="14"/>
    </row>
    <row r="48" ht="12.5" spans="6:11">
      <c r="F48" s="14"/>
      <c r="G48" s="14"/>
      <c r="H48" s="14"/>
      <c r="I48" s="14"/>
      <c r="J48" s="14"/>
      <c r="K48" s="14"/>
    </row>
    <row r="49" ht="12.5" spans="6:11">
      <c r="F49" s="14"/>
      <c r="G49" s="14"/>
      <c r="H49" s="14"/>
      <c r="I49" s="14"/>
      <c r="J49" s="14"/>
      <c r="K49" s="14"/>
    </row>
    <row r="50" ht="12.5" spans="6:11">
      <c r="F50" s="14"/>
      <c r="G50" s="14"/>
      <c r="H50" s="14"/>
      <c r="I50" s="14"/>
      <c r="J50" s="14"/>
      <c r="K50" s="14"/>
    </row>
    <row r="51" ht="12.5" spans="6:11">
      <c r="F51" s="14"/>
      <c r="G51" s="14"/>
      <c r="H51" s="14"/>
      <c r="I51" s="14"/>
      <c r="J51" s="14"/>
      <c r="K51" s="14"/>
    </row>
    <row r="52" ht="12.5" spans="6:11">
      <c r="F52" s="14"/>
      <c r="G52" s="14"/>
      <c r="H52" s="14"/>
      <c r="I52" s="14"/>
      <c r="J52" s="14"/>
      <c r="K52" s="14"/>
    </row>
    <row r="53" ht="12.5" spans="6:11">
      <c r="F53" s="14"/>
      <c r="G53" s="14"/>
      <c r="H53" s="14"/>
      <c r="I53" s="14"/>
      <c r="J53" s="14"/>
      <c r="K53" s="14"/>
    </row>
    <row r="54" ht="12.5" spans="6:11">
      <c r="F54" s="14"/>
      <c r="G54" s="14"/>
      <c r="H54" s="14"/>
      <c r="I54" s="14"/>
      <c r="J54" s="14"/>
      <c r="K54" s="14"/>
    </row>
    <row r="55" ht="12.5" spans="6:11">
      <c r="F55" s="14"/>
      <c r="G55" s="14"/>
      <c r="H55" s="14"/>
      <c r="I55" s="14"/>
      <c r="J55" s="14"/>
      <c r="K55" s="14"/>
    </row>
    <row r="56" ht="12.5" spans="6:11">
      <c r="F56" s="14"/>
      <c r="G56" s="14"/>
      <c r="H56" s="14"/>
      <c r="I56" s="14"/>
      <c r="J56" s="14"/>
      <c r="K56" s="14"/>
    </row>
    <row r="57" ht="12.5" spans="6:11">
      <c r="F57" s="14"/>
      <c r="G57" s="14"/>
      <c r="H57" s="14"/>
      <c r="I57" s="14"/>
      <c r="J57" s="14"/>
      <c r="K57" s="14"/>
    </row>
    <row r="58" ht="12.5" spans="6:11">
      <c r="F58" s="14"/>
      <c r="G58" s="14"/>
      <c r="H58" s="14"/>
      <c r="I58" s="14"/>
      <c r="J58" s="14"/>
      <c r="K58" s="14"/>
    </row>
    <row r="59" ht="12.5" spans="6:11">
      <c r="F59" s="14"/>
      <c r="G59" s="14"/>
      <c r="H59" s="14"/>
      <c r="I59" s="14"/>
      <c r="J59" s="14"/>
      <c r="K59" s="14"/>
    </row>
    <row r="60" ht="12.5" spans="6:11">
      <c r="F60" s="14"/>
      <c r="G60" s="14"/>
      <c r="H60" s="14"/>
      <c r="I60" s="14"/>
      <c r="J60" s="14"/>
      <c r="K60" s="14"/>
    </row>
    <row r="61" ht="12.5" spans="6:11">
      <c r="F61" s="14"/>
      <c r="G61" s="14"/>
      <c r="H61" s="14"/>
      <c r="I61" s="14"/>
      <c r="J61" s="14"/>
      <c r="K61" s="14"/>
    </row>
    <row r="62" ht="12.5" spans="6:11">
      <c r="F62" s="14"/>
      <c r="G62" s="14"/>
      <c r="H62" s="14"/>
      <c r="I62" s="14"/>
      <c r="J62" s="14"/>
      <c r="K62" s="14"/>
    </row>
    <row r="63" ht="12.5" spans="6:11">
      <c r="F63" s="14"/>
      <c r="G63" s="14"/>
      <c r="H63" s="14"/>
      <c r="I63" s="14"/>
      <c r="J63" s="14"/>
      <c r="K63" s="14"/>
    </row>
    <row r="64" ht="12.5" spans="6:11">
      <c r="F64" s="14"/>
      <c r="G64" s="14"/>
      <c r="H64" s="14"/>
      <c r="I64" s="14"/>
      <c r="J64" s="14"/>
      <c r="K64" s="14"/>
    </row>
    <row r="65" ht="12.5" spans="6:11">
      <c r="F65" s="14"/>
      <c r="G65" s="14"/>
      <c r="H65" s="14"/>
      <c r="I65" s="14"/>
      <c r="J65" s="14"/>
      <c r="K65" s="14"/>
    </row>
    <row r="66" ht="12.5" spans="6:11">
      <c r="F66" s="14"/>
      <c r="G66" s="14"/>
      <c r="H66" s="14"/>
      <c r="I66" s="14"/>
      <c r="J66" s="14"/>
      <c r="K66" s="14"/>
    </row>
    <row r="67" ht="12.5" spans="6:11">
      <c r="F67" s="14"/>
      <c r="G67" s="14"/>
      <c r="H67" s="14"/>
      <c r="I67" s="14"/>
      <c r="J67" s="14"/>
      <c r="K67" s="14"/>
    </row>
    <row r="68" ht="12.5" spans="6:11">
      <c r="F68" s="14"/>
      <c r="G68" s="14"/>
      <c r="H68" s="14"/>
      <c r="I68" s="14"/>
      <c r="J68" s="14"/>
      <c r="K68" s="14"/>
    </row>
    <row r="69" ht="12.5" spans="6:11">
      <c r="F69" s="14"/>
      <c r="G69" s="14"/>
      <c r="H69" s="14"/>
      <c r="I69" s="14"/>
      <c r="J69" s="14"/>
      <c r="K69" s="14"/>
    </row>
    <row r="70" ht="12.5" spans="6:11">
      <c r="F70" s="14"/>
      <c r="G70" s="14"/>
      <c r="H70" s="14"/>
      <c r="I70" s="14"/>
      <c r="J70" s="14"/>
      <c r="K70" s="14"/>
    </row>
    <row r="71" ht="12.5" spans="6:11">
      <c r="F71" s="14"/>
      <c r="G71" s="14"/>
      <c r="H71" s="14"/>
      <c r="I71" s="14"/>
      <c r="J71" s="14"/>
      <c r="K71" s="14"/>
    </row>
    <row r="72" ht="12.5" spans="6:11">
      <c r="F72" s="14"/>
      <c r="G72" s="14"/>
      <c r="H72" s="14"/>
      <c r="I72" s="14"/>
      <c r="J72" s="14"/>
      <c r="K72" s="14"/>
    </row>
    <row r="73" ht="12.5" spans="6:11">
      <c r="F73" s="14"/>
      <c r="G73" s="14"/>
      <c r="H73" s="14"/>
      <c r="I73" s="14"/>
      <c r="J73" s="14"/>
      <c r="K73" s="14"/>
    </row>
    <row r="74" ht="12.5" spans="6:11">
      <c r="F74" s="14"/>
      <c r="G74" s="14"/>
      <c r="H74" s="14"/>
      <c r="I74" s="14"/>
      <c r="J74" s="14"/>
      <c r="K74" s="14"/>
    </row>
    <row r="75" ht="12.5" spans="6:11">
      <c r="F75" s="14"/>
      <c r="G75" s="14"/>
      <c r="H75" s="14"/>
      <c r="I75" s="14"/>
      <c r="J75" s="14"/>
      <c r="K75" s="14"/>
    </row>
    <row r="76" ht="12.5" spans="6:11">
      <c r="F76" s="14"/>
      <c r="G76" s="14"/>
      <c r="H76" s="14"/>
      <c r="I76" s="14"/>
      <c r="J76" s="14"/>
      <c r="K76" s="14"/>
    </row>
    <row r="77" ht="12.5" spans="6:11">
      <c r="F77" s="14"/>
      <c r="G77" s="14"/>
      <c r="H77" s="14"/>
      <c r="I77" s="14"/>
      <c r="J77" s="14"/>
      <c r="K77" s="14"/>
    </row>
    <row r="78" ht="12.5" spans="6:11">
      <c r="F78" s="14"/>
      <c r="G78" s="14"/>
      <c r="H78" s="14"/>
      <c r="I78" s="14"/>
      <c r="J78" s="14"/>
      <c r="K78" s="14"/>
    </row>
    <row r="79" ht="12.5" spans="6:11">
      <c r="F79" s="14"/>
      <c r="G79" s="14"/>
      <c r="H79" s="14"/>
      <c r="I79" s="14"/>
      <c r="J79" s="14"/>
      <c r="K79" s="14"/>
    </row>
    <row r="80" ht="12.5" spans="6:11">
      <c r="F80" s="14"/>
      <c r="G80" s="14"/>
      <c r="H80" s="14"/>
      <c r="I80" s="14"/>
      <c r="J80" s="14"/>
      <c r="K80" s="14"/>
    </row>
    <row r="81" ht="12.5" spans="6:11">
      <c r="F81" s="14"/>
      <c r="G81" s="14"/>
      <c r="H81" s="14"/>
      <c r="I81" s="14"/>
      <c r="J81" s="14"/>
      <c r="K81" s="14"/>
    </row>
    <row r="82" ht="12.5" spans="6:11">
      <c r="F82" s="14"/>
      <c r="G82" s="14"/>
      <c r="H82" s="14"/>
      <c r="I82" s="14"/>
      <c r="J82" s="14"/>
      <c r="K82" s="14"/>
    </row>
    <row r="83" ht="12.5" spans="6:11">
      <c r="F83" s="14"/>
      <c r="G83" s="14"/>
      <c r="H83" s="14"/>
      <c r="I83" s="14"/>
      <c r="J83" s="14"/>
      <c r="K83" s="14"/>
    </row>
    <row r="84" ht="12.5" spans="6:11">
      <c r="F84" s="14"/>
      <c r="G84" s="14"/>
      <c r="H84" s="14"/>
      <c r="I84" s="14"/>
      <c r="J84" s="14"/>
      <c r="K84" s="14"/>
    </row>
    <row r="85" ht="12.5" spans="6:11">
      <c r="F85" s="14"/>
      <c r="G85" s="14"/>
      <c r="H85" s="14"/>
      <c r="I85" s="14"/>
      <c r="J85" s="14"/>
      <c r="K85" s="14"/>
    </row>
    <row r="86" ht="12.5" spans="6:11">
      <c r="F86" s="14"/>
      <c r="G86" s="14"/>
      <c r="H86" s="14"/>
      <c r="I86" s="14"/>
      <c r="J86" s="14"/>
      <c r="K86" s="14"/>
    </row>
    <row r="87" ht="12.5" spans="6:11">
      <c r="F87" s="14"/>
      <c r="G87" s="14"/>
      <c r="H87" s="14"/>
      <c r="I87" s="14"/>
      <c r="J87" s="14"/>
      <c r="K87" s="14"/>
    </row>
    <row r="88" ht="12.5" spans="6:11">
      <c r="F88" s="14"/>
      <c r="G88" s="14"/>
      <c r="H88" s="14"/>
      <c r="I88" s="14"/>
      <c r="J88" s="14"/>
      <c r="K88" s="14"/>
    </row>
    <row r="89" ht="12.5" spans="6:11">
      <c r="F89" s="14"/>
      <c r="G89" s="14"/>
      <c r="H89" s="14"/>
      <c r="I89" s="14"/>
      <c r="J89" s="14"/>
      <c r="K89" s="14"/>
    </row>
    <row r="90" ht="12.5" spans="6:11">
      <c r="F90" s="14"/>
      <c r="G90" s="14"/>
      <c r="H90" s="14"/>
      <c r="I90" s="14"/>
      <c r="J90" s="14"/>
      <c r="K90" s="14"/>
    </row>
    <row r="91" ht="12.5" spans="6:11">
      <c r="F91" s="14"/>
      <c r="G91" s="14"/>
      <c r="H91" s="14"/>
      <c r="I91" s="14"/>
      <c r="J91" s="14"/>
      <c r="K91" s="14"/>
    </row>
    <row r="92" ht="12.5" spans="6:11">
      <c r="F92" s="14"/>
      <c r="G92" s="14"/>
      <c r="H92" s="14"/>
      <c r="I92" s="14"/>
      <c r="J92" s="14"/>
      <c r="K92" s="14"/>
    </row>
    <row r="93" ht="12.5" spans="6:11">
      <c r="F93" s="14"/>
      <c r="G93" s="14"/>
      <c r="H93" s="14"/>
      <c r="I93" s="14"/>
      <c r="J93" s="14"/>
      <c r="K93" s="14"/>
    </row>
    <row r="94" ht="12.5" spans="6:11">
      <c r="F94" s="14"/>
      <c r="G94" s="14"/>
      <c r="H94" s="14"/>
      <c r="I94" s="14"/>
      <c r="J94" s="14"/>
      <c r="K94" s="14"/>
    </row>
    <row r="95" ht="12.5" spans="6:11">
      <c r="F95" s="14"/>
      <c r="G95" s="14"/>
      <c r="H95" s="14"/>
      <c r="I95" s="14"/>
      <c r="J95" s="14"/>
      <c r="K95" s="14"/>
    </row>
    <row r="96" ht="12.5" spans="6:11">
      <c r="F96" s="14"/>
      <c r="G96" s="14"/>
      <c r="H96" s="14"/>
      <c r="I96" s="14"/>
      <c r="J96" s="14"/>
      <c r="K96" s="14"/>
    </row>
    <row r="97" ht="12.5" spans="6:11">
      <c r="F97" s="14"/>
      <c r="G97" s="14"/>
      <c r="H97" s="14"/>
      <c r="I97" s="14"/>
      <c r="J97" s="14"/>
      <c r="K97" s="14"/>
    </row>
    <row r="98" ht="12.5" spans="6:11">
      <c r="F98" s="14"/>
      <c r="G98" s="14"/>
      <c r="H98" s="14"/>
      <c r="I98" s="14"/>
      <c r="J98" s="14"/>
      <c r="K98" s="14"/>
    </row>
    <row r="99" ht="12.5" spans="6:11">
      <c r="F99" s="14"/>
      <c r="G99" s="14"/>
      <c r="H99" s="14"/>
      <c r="I99" s="14"/>
      <c r="J99" s="14"/>
      <c r="K99" s="14"/>
    </row>
    <row r="100" ht="12.5" spans="6:11">
      <c r="F100" s="14"/>
      <c r="G100" s="14"/>
      <c r="H100" s="14"/>
      <c r="I100" s="14"/>
      <c r="J100" s="14"/>
      <c r="K100" s="14"/>
    </row>
    <row r="101" ht="12.5" spans="6:11">
      <c r="F101" s="14"/>
      <c r="G101" s="14"/>
      <c r="H101" s="14"/>
      <c r="I101" s="14"/>
      <c r="J101" s="14"/>
      <c r="K101" s="14"/>
    </row>
    <row r="102" ht="12.5" spans="6:11">
      <c r="F102" s="14"/>
      <c r="G102" s="14"/>
      <c r="H102" s="14"/>
      <c r="I102" s="14"/>
      <c r="J102" s="14"/>
      <c r="K102" s="14"/>
    </row>
    <row r="103" ht="12.5" spans="6:11">
      <c r="F103" s="14"/>
      <c r="G103" s="14"/>
      <c r="H103" s="14"/>
      <c r="I103" s="14"/>
      <c r="J103" s="14"/>
      <c r="K103" s="14"/>
    </row>
    <row r="104" ht="12.5" spans="6:11">
      <c r="F104" s="14"/>
      <c r="G104" s="14"/>
      <c r="H104" s="14"/>
      <c r="I104" s="14"/>
      <c r="J104" s="14"/>
      <c r="K104" s="14"/>
    </row>
    <row r="105" ht="12.5" spans="6:11">
      <c r="F105" s="14"/>
      <c r="G105" s="14"/>
      <c r="H105" s="14"/>
      <c r="I105" s="14"/>
      <c r="J105" s="14"/>
      <c r="K105" s="14"/>
    </row>
    <row r="106" ht="12.5" spans="6:11">
      <c r="F106" s="14"/>
      <c r="G106" s="14"/>
      <c r="H106" s="14"/>
      <c r="I106" s="14"/>
      <c r="J106" s="14"/>
      <c r="K106" s="14"/>
    </row>
    <row r="107" ht="12.5" spans="6:11">
      <c r="F107" s="14"/>
      <c r="G107" s="14"/>
      <c r="H107" s="14"/>
      <c r="I107" s="14"/>
      <c r="J107" s="14"/>
      <c r="K107" s="14"/>
    </row>
    <row r="108" ht="12.5" spans="6:11">
      <c r="F108" s="14"/>
      <c r="G108" s="14"/>
      <c r="H108" s="14"/>
      <c r="I108" s="14"/>
      <c r="J108" s="14"/>
      <c r="K108" s="14"/>
    </row>
    <row r="109" ht="12.5" spans="6:11">
      <c r="F109" s="14"/>
      <c r="G109" s="14"/>
      <c r="H109" s="14"/>
      <c r="I109" s="14"/>
      <c r="J109" s="14"/>
      <c r="K109" s="14"/>
    </row>
    <row r="110" ht="12.5" spans="6:11">
      <c r="F110" s="14"/>
      <c r="G110" s="14"/>
      <c r="H110" s="14"/>
      <c r="I110" s="14"/>
      <c r="J110" s="14"/>
      <c r="K110" s="14"/>
    </row>
    <row r="111" ht="12.5" spans="6:11">
      <c r="F111" s="14"/>
      <c r="G111" s="14"/>
      <c r="H111" s="14"/>
      <c r="I111" s="14"/>
      <c r="J111" s="14"/>
      <c r="K111" s="14"/>
    </row>
    <row r="112" ht="12.5" spans="6:11">
      <c r="F112" s="14"/>
      <c r="G112" s="14"/>
      <c r="H112" s="14"/>
      <c r="I112" s="14"/>
      <c r="J112" s="14"/>
      <c r="K112" s="14"/>
    </row>
    <row r="113" ht="12.5" spans="6:11">
      <c r="F113" s="14"/>
      <c r="G113" s="14"/>
      <c r="H113" s="14"/>
      <c r="I113" s="14"/>
      <c r="J113" s="14"/>
      <c r="K113" s="14"/>
    </row>
    <row r="114" ht="12.5" spans="6:11">
      <c r="F114" s="14"/>
      <c r="G114" s="14"/>
      <c r="H114" s="14"/>
      <c r="I114" s="14"/>
      <c r="J114" s="14"/>
      <c r="K114" s="14"/>
    </row>
    <row r="115" ht="12.5" spans="6:11">
      <c r="F115" s="14"/>
      <c r="G115" s="14"/>
      <c r="H115" s="14"/>
      <c r="I115" s="14"/>
      <c r="J115" s="14"/>
      <c r="K115" s="14"/>
    </row>
    <row r="116" ht="12.5" spans="6:11">
      <c r="F116" s="14"/>
      <c r="G116" s="14"/>
      <c r="H116" s="14"/>
      <c r="I116" s="14"/>
      <c r="J116" s="14"/>
      <c r="K116" s="14"/>
    </row>
    <row r="117" ht="12.5" spans="6:11">
      <c r="F117" s="14"/>
      <c r="G117" s="14"/>
      <c r="H117" s="14"/>
      <c r="I117" s="14"/>
      <c r="J117" s="14"/>
      <c r="K117" s="14"/>
    </row>
    <row r="118" ht="12.5" spans="6:11">
      <c r="F118" s="14"/>
      <c r="G118" s="14"/>
      <c r="H118" s="14"/>
      <c r="I118" s="14"/>
      <c r="J118" s="14"/>
      <c r="K118" s="14"/>
    </row>
    <row r="119" ht="12.5" spans="6:11">
      <c r="F119" s="14"/>
      <c r="G119" s="14"/>
      <c r="H119" s="14"/>
      <c r="I119" s="14"/>
      <c r="J119" s="14"/>
      <c r="K119" s="14"/>
    </row>
    <row r="120" ht="12.5" spans="6:11">
      <c r="F120" s="14"/>
      <c r="G120" s="14"/>
      <c r="H120" s="14"/>
      <c r="I120" s="14"/>
      <c r="J120" s="14"/>
      <c r="K120" s="14"/>
    </row>
    <row r="121" ht="12.5" spans="6:11">
      <c r="F121" s="14"/>
      <c r="G121" s="14"/>
      <c r="H121" s="14"/>
      <c r="I121" s="14"/>
      <c r="J121" s="14"/>
      <c r="K121" s="14"/>
    </row>
    <row r="122" ht="12.5" spans="6:11">
      <c r="F122" s="14"/>
      <c r="G122" s="14"/>
      <c r="H122" s="14"/>
      <c r="I122" s="14"/>
      <c r="J122" s="14"/>
      <c r="K122" s="14"/>
    </row>
    <row r="123" ht="12.5" spans="6:11">
      <c r="F123" s="14"/>
      <c r="G123" s="14"/>
      <c r="H123" s="14"/>
      <c r="I123" s="14"/>
      <c r="J123" s="14"/>
      <c r="K123" s="14"/>
    </row>
    <row r="124" ht="12.5" spans="6:11">
      <c r="F124" s="14"/>
      <c r="G124" s="14"/>
      <c r="H124" s="14"/>
      <c r="I124" s="14"/>
      <c r="J124" s="14"/>
      <c r="K124" s="14"/>
    </row>
    <row r="125" ht="12.5" spans="6:11">
      <c r="F125" s="14"/>
      <c r="G125" s="14"/>
      <c r="H125" s="14"/>
      <c r="I125" s="14"/>
      <c r="J125" s="14"/>
      <c r="K125" s="14"/>
    </row>
    <row r="126" ht="12.5" spans="6:11">
      <c r="F126" s="14"/>
      <c r="G126" s="14"/>
      <c r="H126" s="14"/>
      <c r="I126" s="14"/>
      <c r="J126" s="14"/>
      <c r="K126" s="14"/>
    </row>
    <row r="127" ht="12.5" spans="6:11">
      <c r="F127" s="14"/>
      <c r="G127" s="14"/>
      <c r="H127" s="14"/>
      <c r="I127" s="14"/>
      <c r="J127" s="14"/>
      <c r="K127" s="14"/>
    </row>
    <row r="128" ht="12.5" spans="6:11">
      <c r="F128" s="14"/>
      <c r="G128" s="14"/>
      <c r="H128" s="14"/>
      <c r="I128" s="14"/>
      <c r="J128" s="14"/>
      <c r="K128" s="14"/>
    </row>
    <row r="129" ht="12.5" spans="6:11">
      <c r="F129" s="14"/>
      <c r="G129" s="14"/>
      <c r="H129" s="14"/>
      <c r="I129" s="14"/>
      <c r="J129" s="14"/>
      <c r="K129" s="14"/>
    </row>
    <row r="130" ht="12.5" spans="6:11">
      <c r="F130" s="14"/>
      <c r="G130" s="14"/>
      <c r="H130" s="14"/>
      <c r="I130" s="14"/>
      <c r="J130" s="14"/>
      <c r="K130" s="14"/>
    </row>
    <row r="131" ht="12.5" spans="6:11">
      <c r="F131" s="14"/>
      <c r="G131" s="14"/>
      <c r="H131" s="14"/>
      <c r="I131" s="14"/>
      <c r="J131" s="14"/>
      <c r="K131" s="14"/>
    </row>
    <row r="132" ht="12.5" spans="6:11">
      <c r="F132" s="14"/>
      <c r="G132" s="14"/>
      <c r="H132" s="14"/>
      <c r="I132" s="14"/>
      <c r="J132" s="14"/>
      <c r="K132" s="14"/>
    </row>
    <row r="133" ht="12.5" spans="6:11">
      <c r="F133" s="14"/>
      <c r="G133" s="14"/>
      <c r="H133" s="14"/>
      <c r="I133" s="14"/>
      <c r="J133" s="14"/>
      <c r="K133" s="14"/>
    </row>
    <row r="134" ht="12.5" spans="6:11">
      <c r="F134" s="14"/>
      <c r="G134" s="14"/>
      <c r="H134" s="14"/>
      <c r="I134" s="14"/>
      <c r="J134" s="14"/>
      <c r="K134" s="14"/>
    </row>
    <row r="135" ht="12.5" spans="6:11">
      <c r="F135" s="14"/>
      <c r="G135" s="14"/>
      <c r="H135" s="14"/>
      <c r="I135" s="14"/>
      <c r="J135" s="14"/>
      <c r="K135" s="14"/>
    </row>
    <row r="136" ht="12.5" spans="6:11">
      <c r="F136" s="14"/>
      <c r="G136" s="14"/>
      <c r="H136" s="14"/>
      <c r="I136" s="14"/>
      <c r="J136" s="14"/>
      <c r="K136" s="14"/>
    </row>
    <row r="137" ht="12.5" spans="6:11">
      <c r="F137" s="14"/>
      <c r="G137" s="14"/>
      <c r="H137" s="14"/>
      <c r="I137" s="14"/>
      <c r="J137" s="14"/>
      <c r="K137" s="14"/>
    </row>
    <row r="138" ht="12.5" spans="6:11">
      <c r="F138" s="14"/>
      <c r="G138" s="14"/>
      <c r="H138" s="14"/>
      <c r="I138" s="14"/>
      <c r="J138" s="14"/>
      <c r="K138" s="14"/>
    </row>
    <row r="139" ht="12.5" spans="6:11">
      <c r="F139" s="14"/>
      <c r="G139" s="14"/>
      <c r="H139" s="14"/>
      <c r="I139" s="14"/>
      <c r="J139" s="14"/>
      <c r="K139" s="14"/>
    </row>
    <row r="140" ht="12.5" spans="6:11">
      <c r="F140" s="14"/>
      <c r="G140" s="14"/>
      <c r="H140" s="14"/>
      <c r="I140" s="14"/>
      <c r="J140" s="14"/>
      <c r="K140" s="14"/>
    </row>
    <row r="141" ht="12.5" spans="6:11">
      <c r="F141" s="14"/>
      <c r="G141" s="14"/>
      <c r="H141" s="14"/>
      <c r="I141" s="14"/>
      <c r="J141" s="14"/>
      <c r="K141" s="14"/>
    </row>
    <row r="142" ht="12.5" spans="6:11">
      <c r="F142" s="14"/>
      <c r="G142" s="14"/>
      <c r="H142" s="14"/>
      <c r="I142" s="14"/>
      <c r="J142" s="14"/>
      <c r="K142" s="14"/>
    </row>
    <row r="143" ht="12.5" spans="6:11">
      <c r="F143" s="14"/>
      <c r="G143" s="14"/>
      <c r="H143" s="14"/>
      <c r="I143" s="14"/>
      <c r="J143" s="14"/>
      <c r="K143" s="14"/>
    </row>
    <row r="144" ht="12.5" spans="6:11">
      <c r="F144" s="14"/>
      <c r="G144" s="14"/>
      <c r="H144" s="14"/>
      <c r="I144" s="14"/>
      <c r="J144" s="14"/>
      <c r="K144" s="14"/>
    </row>
    <row r="145" ht="12.5" spans="6:11">
      <c r="F145" s="14"/>
      <c r="G145" s="14"/>
      <c r="H145" s="14"/>
      <c r="I145" s="14"/>
      <c r="J145" s="14"/>
      <c r="K145" s="14"/>
    </row>
    <row r="146" ht="12.5" spans="6:11">
      <c r="F146" s="14"/>
      <c r="G146" s="14"/>
      <c r="H146" s="14"/>
      <c r="I146" s="14"/>
      <c r="J146" s="14"/>
      <c r="K146" s="14"/>
    </row>
    <row r="147" ht="12.5" spans="6:11">
      <c r="F147" s="14"/>
      <c r="G147" s="14"/>
      <c r="H147" s="14"/>
      <c r="I147" s="14"/>
      <c r="J147" s="14"/>
      <c r="K147" s="14"/>
    </row>
    <row r="148" ht="12.5" spans="6:11">
      <c r="F148" s="14"/>
      <c r="G148" s="14"/>
      <c r="H148" s="14"/>
      <c r="I148" s="14"/>
      <c r="J148" s="14"/>
      <c r="K148" s="14"/>
    </row>
    <row r="149" ht="12.5" spans="6:11">
      <c r="F149" s="14"/>
      <c r="G149" s="14"/>
      <c r="H149" s="14"/>
      <c r="I149" s="14"/>
      <c r="J149" s="14"/>
      <c r="K149" s="14"/>
    </row>
    <row r="150" ht="12.5" spans="6:11">
      <c r="F150" s="14"/>
      <c r="G150" s="14"/>
      <c r="H150" s="14"/>
      <c r="I150" s="14"/>
      <c r="J150" s="14"/>
      <c r="K150" s="14"/>
    </row>
    <row r="151" ht="12.5" spans="6:11">
      <c r="F151" s="14"/>
      <c r="G151" s="14"/>
      <c r="H151" s="14"/>
      <c r="I151" s="14"/>
      <c r="J151" s="14"/>
      <c r="K151" s="14"/>
    </row>
    <row r="152" ht="12.5" spans="6:11">
      <c r="F152" s="14"/>
      <c r="G152" s="14"/>
      <c r="H152" s="14"/>
      <c r="I152" s="14"/>
      <c r="J152" s="14"/>
      <c r="K152" s="14"/>
    </row>
    <row r="153" ht="12.5" spans="6:11">
      <c r="F153" s="14"/>
      <c r="G153" s="14"/>
      <c r="H153" s="14"/>
      <c r="I153" s="14"/>
      <c r="J153" s="14"/>
      <c r="K153" s="14"/>
    </row>
    <row r="154" ht="12.5" spans="6:11">
      <c r="F154" s="14"/>
      <c r="G154" s="14"/>
      <c r="H154" s="14"/>
      <c r="I154" s="14"/>
      <c r="J154" s="14"/>
      <c r="K154" s="14"/>
    </row>
    <row r="155" ht="12.5" spans="6:11">
      <c r="F155" s="14"/>
      <c r="G155" s="14"/>
      <c r="H155" s="14"/>
      <c r="I155" s="14"/>
      <c r="J155" s="14"/>
      <c r="K155" s="14"/>
    </row>
    <row r="156" ht="12.5" spans="6:11">
      <c r="F156" s="14"/>
      <c r="G156" s="14"/>
      <c r="H156" s="14"/>
      <c r="I156" s="14"/>
      <c r="J156" s="14"/>
      <c r="K156" s="14"/>
    </row>
    <row r="157" ht="12.5" spans="6:11">
      <c r="F157" s="14"/>
      <c r="G157" s="14"/>
      <c r="H157" s="14"/>
      <c r="I157" s="14"/>
      <c r="J157" s="14"/>
      <c r="K157" s="14"/>
    </row>
    <row r="158" ht="12.5" spans="6:11">
      <c r="F158" s="14"/>
      <c r="G158" s="14"/>
      <c r="H158" s="14"/>
      <c r="I158" s="14"/>
      <c r="J158" s="14"/>
      <c r="K158" s="14"/>
    </row>
    <row r="159" ht="12.5" spans="6:11">
      <c r="F159" s="14"/>
      <c r="G159" s="14"/>
      <c r="H159" s="14"/>
      <c r="I159" s="14"/>
      <c r="J159" s="14"/>
      <c r="K159" s="14"/>
    </row>
    <row r="160" ht="12.5" spans="6:11">
      <c r="F160" s="14"/>
      <c r="G160" s="14"/>
      <c r="H160" s="14"/>
      <c r="I160" s="14"/>
      <c r="J160" s="14"/>
      <c r="K160" s="14"/>
    </row>
    <row r="161" ht="12.5" spans="6:11">
      <c r="F161" s="14"/>
      <c r="G161" s="14"/>
      <c r="H161" s="14"/>
      <c r="I161" s="14"/>
      <c r="J161" s="14"/>
      <c r="K161" s="14"/>
    </row>
    <row r="162" ht="12.5" spans="6:11">
      <c r="F162" s="14"/>
      <c r="G162" s="14"/>
      <c r="H162" s="14"/>
      <c r="I162" s="14"/>
      <c r="J162" s="14"/>
      <c r="K162" s="14"/>
    </row>
    <row r="163" ht="12.5" spans="6:11">
      <c r="F163" s="14"/>
      <c r="G163" s="14"/>
      <c r="H163" s="14"/>
      <c r="I163" s="14"/>
      <c r="J163" s="14"/>
      <c r="K163" s="14"/>
    </row>
    <row r="164" ht="12.5" spans="6:11">
      <c r="F164" s="14"/>
      <c r="G164" s="14"/>
      <c r="H164" s="14"/>
      <c r="I164" s="14"/>
      <c r="J164" s="14"/>
      <c r="K164" s="14"/>
    </row>
    <row r="165" ht="12.5" spans="6:11">
      <c r="F165" s="14"/>
      <c r="G165" s="14"/>
      <c r="H165" s="14"/>
      <c r="I165" s="14"/>
      <c r="J165" s="14"/>
      <c r="K165" s="14"/>
    </row>
    <row r="166" ht="12.5" spans="6:11">
      <c r="F166" s="14"/>
      <c r="G166" s="14"/>
      <c r="H166" s="14"/>
      <c r="I166" s="14"/>
      <c r="J166" s="14"/>
      <c r="K166" s="14"/>
    </row>
    <row r="167" ht="12.5" spans="6:11">
      <c r="F167" s="14"/>
      <c r="G167" s="14"/>
      <c r="H167" s="14"/>
      <c r="I167" s="14"/>
      <c r="J167" s="14"/>
      <c r="K167" s="14"/>
    </row>
    <row r="168" ht="12.5" spans="6:11">
      <c r="F168" s="14"/>
      <c r="G168" s="14"/>
      <c r="H168" s="14"/>
      <c r="I168" s="14"/>
      <c r="J168" s="14"/>
      <c r="K168" s="14"/>
    </row>
    <row r="169" ht="12.5" spans="6:11">
      <c r="F169" s="14"/>
      <c r="G169" s="14"/>
      <c r="H169" s="14"/>
      <c r="I169" s="14"/>
      <c r="J169" s="14"/>
      <c r="K169" s="14"/>
    </row>
    <row r="170" ht="12.5" spans="6:11">
      <c r="F170" s="14"/>
      <c r="G170" s="14"/>
      <c r="H170" s="14"/>
      <c r="I170" s="14"/>
      <c r="J170" s="14"/>
      <c r="K170" s="14"/>
    </row>
    <row r="171" ht="12.5" spans="6:11">
      <c r="F171" s="14"/>
      <c r="G171" s="14"/>
      <c r="H171" s="14"/>
      <c r="I171" s="14"/>
      <c r="J171" s="14"/>
      <c r="K171" s="14"/>
    </row>
    <row r="172" ht="12.5" spans="6:11">
      <c r="F172" s="14"/>
      <c r="G172" s="14"/>
      <c r="H172" s="14"/>
      <c r="I172" s="14"/>
      <c r="J172" s="14"/>
      <c r="K172" s="14"/>
    </row>
    <row r="173" ht="12.5" spans="6:11">
      <c r="F173" s="14"/>
      <c r="G173" s="14"/>
      <c r="H173" s="14"/>
      <c r="I173" s="14"/>
      <c r="J173" s="14"/>
      <c r="K173" s="14"/>
    </row>
    <row r="174" ht="12.5" spans="6:11">
      <c r="F174" s="14"/>
      <c r="G174" s="14"/>
      <c r="H174" s="14"/>
      <c r="I174" s="14"/>
      <c r="J174" s="14"/>
      <c r="K174" s="14"/>
    </row>
    <row r="175" ht="12.5" spans="6:11">
      <c r="F175" s="14"/>
      <c r="G175" s="14"/>
      <c r="H175" s="14"/>
      <c r="I175" s="14"/>
      <c r="J175" s="14"/>
      <c r="K175" s="14"/>
    </row>
    <row r="176" ht="12.5" spans="6:11">
      <c r="F176" s="14"/>
      <c r="G176" s="14"/>
      <c r="H176" s="14"/>
      <c r="I176" s="14"/>
      <c r="J176" s="14"/>
      <c r="K176" s="14"/>
    </row>
    <row r="177" ht="12.5" spans="6:11">
      <c r="F177" s="14"/>
      <c r="G177" s="14"/>
      <c r="H177" s="14"/>
      <c r="I177" s="14"/>
      <c r="J177" s="14"/>
      <c r="K177" s="14"/>
    </row>
    <row r="178" ht="12.5" spans="6:11">
      <c r="F178" s="14"/>
      <c r="G178" s="14"/>
      <c r="H178" s="14"/>
      <c r="I178" s="14"/>
      <c r="J178" s="14"/>
      <c r="K178" s="14"/>
    </row>
    <row r="179" ht="12.5" spans="6:11">
      <c r="F179" s="14"/>
      <c r="G179" s="14"/>
      <c r="H179" s="14"/>
      <c r="I179" s="14"/>
      <c r="J179" s="14"/>
      <c r="K179" s="14"/>
    </row>
    <row r="180" ht="12.5" spans="6:11">
      <c r="F180" s="14"/>
      <c r="G180" s="14"/>
      <c r="H180" s="14"/>
      <c r="I180" s="14"/>
      <c r="J180" s="14"/>
      <c r="K180" s="14"/>
    </row>
    <row r="181" ht="12.5" spans="6:11">
      <c r="F181" s="14"/>
      <c r="G181" s="14"/>
      <c r="H181" s="14"/>
      <c r="I181" s="14"/>
      <c r="J181" s="14"/>
      <c r="K181" s="14"/>
    </row>
    <row r="182" ht="12.5" spans="6:11">
      <c r="F182" s="14"/>
      <c r="G182" s="14"/>
      <c r="H182" s="14"/>
      <c r="I182" s="14"/>
      <c r="J182" s="14"/>
      <c r="K182" s="14"/>
    </row>
    <row r="183" ht="12.5" spans="6:11">
      <c r="F183" s="14"/>
      <c r="G183" s="14"/>
      <c r="H183" s="14"/>
      <c r="I183" s="14"/>
      <c r="J183" s="14"/>
      <c r="K183" s="14"/>
    </row>
    <row r="184" ht="12.5" spans="6:11">
      <c r="F184" s="14"/>
      <c r="G184" s="14"/>
      <c r="H184" s="14"/>
      <c r="I184" s="14"/>
      <c r="J184" s="14"/>
      <c r="K184" s="14"/>
    </row>
    <row r="185" ht="12.5" spans="6:11">
      <c r="F185" s="14"/>
      <c r="G185" s="14"/>
      <c r="H185" s="14"/>
      <c r="I185" s="14"/>
      <c r="J185" s="14"/>
      <c r="K185" s="14"/>
    </row>
    <row r="186" ht="12.5" spans="6:11">
      <c r="F186" s="14"/>
      <c r="G186" s="14"/>
      <c r="H186" s="14"/>
      <c r="I186" s="14"/>
      <c r="J186" s="14"/>
      <c r="K186" s="14"/>
    </row>
    <row r="187" ht="12.5" spans="6:11">
      <c r="F187" s="14"/>
      <c r="G187" s="14"/>
      <c r="H187" s="14"/>
      <c r="I187" s="14"/>
      <c r="J187" s="14"/>
      <c r="K187" s="14"/>
    </row>
    <row r="188" ht="12.5" spans="6:11">
      <c r="F188" s="14"/>
      <c r="G188" s="14"/>
      <c r="H188" s="14"/>
      <c r="I188" s="14"/>
      <c r="J188" s="14"/>
      <c r="K188" s="14"/>
    </row>
    <row r="189" ht="12.5" spans="6:11">
      <c r="F189" s="14"/>
      <c r="G189" s="14"/>
      <c r="H189" s="14"/>
      <c r="I189" s="14"/>
      <c r="J189" s="14"/>
      <c r="K189" s="14"/>
    </row>
    <row r="190" ht="12.5" spans="6:11">
      <c r="F190" s="14"/>
      <c r="G190" s="14"/>
      <c r="H190" s="14"/>
      <c r="I190" s="14"/>
      <c r="J190" s="14"/>
      <c r="K190" s="14"/>
    </row>
    <row r="191" ht="12.5" spans="6:11">
      <c r="F191" s="14"/>
      <c r="G191" s="14"/>
      <c r="H191" s="14"/>
      <c r="I191" s="14"/>
      <c r="J191" s="14"/>
      <c r="K191" s="14"/>
    </row>
    <row r="192" ht="12.5" spans="6:11">
      <c r="F192" s="14"/>
      <c r="G192" s="14"/>
      <c r="H192" s="14"/>
      <c r="I192" s="14"/>
      <c r="J192" s="14"/>
      <c r="K192" s="14"/>
    </row>
    <row r="193" ht="12.5" spans="6:11">
      <c r="F193" s="14"/>
      <c r="G193" s="14"/>
      <c r="H193" s="14"/>
      <c r="I193" s="14"/>
      <c r="J193" s="14"/>
      <c r="K193" s="14"/>
    </row>
    <row r="194" ht="12.5" spans="6:11">
      <c r="F194" s="14"/>
      <c r="G194" s="14"/>
      <c r="H194" s="14"/>
      <c r="I194" s="14"/>
      <c r="J194" s="14"/>
      <c r="K194" s="14"/>
    </row>
    <row r="195" ht="12.5" spans="6:11">
      <c r="F195" s="14"/>
      <c r="G195" s="14"/>
      <c r="H195" s="14"/>
      <c r="I195" s="14"/>
      <c r="J195" s="14"/>
      <c r="K195" s="14"/>
    </row>
    <row r="196" ht="12.5" spans="6:11">
      <c r="F196" s="14"/>
      <c r="G196" s="14"/>
      <c r="H196" s="14"/>
      <c r="I196" s="14"/>
      <c r="J196" s="14"/>
      <c r="K196" s="14"/>
    </row>
    <row r="197" ht="12.5" spans="6:11">
      <c r="F197" s="14"/>
      <c r="G197" s="14"/>
      <c r="H197" s="14"/>
      <c r="I197" s="14"/>
      <c r="J197" s="14"/>
      <c r="K197" s="14"/>
    </row>
    <row r="198" ht="12.5" spans="6:11">
      <c r="F198" s="14"/>
      <c r="G198" s="14"/>
      <c r="H198" s="14"/>
      <c r="I198" s="14"/>
      <c r="J198" s="14"/>
      <c r="K198" s="14"/>
    </row>
    <row r="199" ht="12.5" spans="6:11">
      <c r="F199" s="14"/>
      <c r="G199" s="14"/>
      <c r="H199" s="14"/>
      <c r="I199" s="14"/>
      <c r="J199" s="14"/>
      <c r="K199" s="14"/>
    </row>
    <row r="200" ht="12.5" spans="6:11">
      <c r="F200" s="14"/>
      <c r="G200" s="14"/>
      <c r="H200" s="14"/>
      <c r="I200" s="14"/>
      <c r="J200" s="14"/>
      <c r="K200" s="14"/>
    </row>
    <row r="201" ht="12.5" spans="6:11">
      <c r="F201" s="14"/>
      <c r="G201" s="14"/>
      <c r="H201" s="14"/>
      <c r="I201" s="14"/>
      <c r="J201" s="14"/>
      <c r="K201" s="14"/>
    </row>
    <row r="202" ht="12.5" spans="6:11">
      <c r="F202" s="14"/>
      <c r="G202" s="14"/>
      <c r="H202" s="14"/>
      <c r="I202" s="14"/>
      <c r="J202" s="14"/>
      <c r="K202" s="14"/>
    </row>
    <row r="203" ht="12.5" spans="6:11">
      <c r="F203" s="14"/>
      <c r="G203" s="14"/>
      <c r="H203" s="14"/>
      <c r="I203" s="14"/>
      <c r="J203" s="14"/>
      <c r="K203" s="14"/>
    </row>
    <row r="204" ht="12.5" spans="6:11">
      <c r="F204" s="14"/>
      <c r="G204" s="14"/>
      <c r="H204" s="14"/>
      <c r="I204" s="14"/>
      <c r="J204" s="14"/>
      <c r="K204" s="14"/>
    </row>
    <row r="205" ht="12.5" spans="6:11">
      <c r="F205" s="14"/>
      <c r="G205" s="14"/>
      <c r="H205" s="14"/>
      <c r="I205" s="14"/>
      <c r="J205" s="14"/>
      <c r="K205" s="14"/>
    </row>
    <row r="206" ht="12.5" spans="6:11">
      <c r="F206" s="14"/>
      <c r="G206" s="14"/>
      <c r="H206" s="14"/>
      <c r="I206" s="14"/>
      <c r="J206" s="14"/>
      <c r="K206" s="14"/>
    </row>
    <row r="207" ht="12.5" spans="6:11">
      <c r="F207" s="14"/>
      <c r="G207" s="14"/>
      <c r="H207" s="14"/>
      <c r="I207" s="14"/>
      <c r="J207" s="14"/>
      <c r="K207" s="14"/>
    </row>
    <row r="208" ht="12.5" spans="6:11">
      <c r="F208" s="14"/>
      <c r="G208" s="14"/>
      <c r="H208" s="14"/>
      <c r="I208" s="14"/>
      <c r="J208" s="14"/>
      <c r="K208" s="14"/>
    </row>
    <row r="209" ht="12.5" spans="6:11">
      <c r="F209" s="14"/>
      <c r="G209" s="14"/>
      <c r="H209" s="14"/>
      <c r="I209" s="14"/>
      <c r="J209" s="14"/>
      <c r="K209" s="14"/>
    </row>
    <row r="210" ht="12.5" spans="6:11">
      <c r="F210" s="14"/>
      <c r="G210" s="14"/>
      <c r="H210" s="14"/>
      <c r="I210" s="14"/>
      <c r="J210" s="14"/>
      <c r="K210" s="14"/>
    </row>
    <row r="211" ht="12.5" spans="6:11">
      <c r="F211" s="14"/>
      <c r="G211" s="14"/>
      <c r="H211" s="14"/>
      <c r="I211" s="14"/>
      <c r="J211" s="14"/>
      <c r="K211" s="14"/>
    </row>
    <row r="212" ht="12.5" spans="6:11">
      <c r="F212" s="14"/>
      <c r="G212" s="14"/>
      <c r="H212" s="14"/>
      <c r="I212" s="14"/>
      <c r="J212" s="14"/>
      <c r="K212" s="14"/>
    </row>
    <row r="213" ht="12.5" spans="6:11">
      <c r="F213" s="14"/>
      <c r="G213" s="14"/>
      <c r="H213" s="14"/>
      <c r="I213" s="14"/>
      <c r="J213" s="14"/>
      <c r="K213" s="14"/>
    </row>
    <row r="214" ht="12.5" spans="6:11">
      <c r="F214" s="14"/>
      <c r="G214" s="14"/>
      <c r="H214" s="14"/>
      <c r="I214" s="14"/>
      <c r="J214" s="14"/>
      <c r="K214" s="14"/>
    </row>
    <row r="215" ht="12.5" spans="6:11">
      <c r="F215" s="14"/>
      <c r="G215" s="14"/>
      <c r="H215" s="14"/>
      <c r="I215" s="14"/>
      <c r="J215" s="14"/>
      <c r="K215" s="14"/>
    </row>
    <row r="216" ht="12.5" spans="6:11">
      <c r="F216" s="14"/>
      <c r="G216" s="14"/>
      <c r="H216" s="14"/>
      <c r="I216" s="14"/>
      <c r="J216" s="14"/>
      <c r="K216" s="14"/>
    </row>
    <row r="217" ht="12.5" spans="6:11">
      <c r="F217" s="14"/>
      <c r="G217" s="14"/>
      <c r="H217" s="14"/>
      <c r="I217" s="14"/>
      <c r="J217" s="14"/>
      <c r="K217" s="14"/>
    </row>
    <row r="218" ht="12.5" spans="6:11">
      <c r="F218" s="14"/>
      <c r="G218" s="14"/>
      <c r="H218" s="14"/>
      <c r="I218" s="14"/>
      <c r="J218" s="14"/>
      <c r="K218" s="14"/>
    </row>
    <row r="219" ht="12.5" spans="6:11">
      <c r="F219" s="14"/>
      <c r="G219" s="14"/>
      <c r="H219" s="14"/>
      <c r="I219" s="14"/>
      <c r="J219" s="14"/>
      <c r="K219" s="14"/>
    </row>
    <row r="220" ht="12.5" spans="6:11">
      <c r="F220" s="14"/>
      <c r="G220" s="14"/>
      <c r="H220" s="14"/>
      <c r="I220" s="14"/>
      <c r="J220" s="14"/>
      <c r="K220" s="14"/>
    </row>
    <row r="221" ht="12.5" spans="6:11">
      <c r="F221" s="14"/>
      <c r="G221" s="14"/>
      <c r="H221" s="14"/>
      <c r="I221" s="14"/>
      <c r="J221" s="14"/>
      <c r="K221" s="14"/>
    </row>
    <row r="222" ht="12.5" spans="6:11">
      <c r="F222" s="14"/>
      <c r="G222" s="14"/>
      <c r="H222" s="14"/>
      <c r="I222" s="14"/>
      <c r="J222" s="14"/>
      <c r="K222" s="14"/>
    </row>
    <row r="223" ht="12.5" spans="6:11">
      <c r="F223" s="14"/>
      <c r="G223" s="14"/>
      <c r="H223" s="14"/>
      <c r="I223" s="14"/>
      <c r="J223" s="14"/>
      <c r="K223" s="14"/>
    </row>
    <row r="224" ht="12.5" spans="6:11">
      <c r="F224" s="14"/>
      <c r="G224" s="14"/>
      <c r="H224" s="14"/>
      <c r="I224" s="14"/>
      <c r="J224" s="14"/>
      <c r="K224" s="14"/>
    </row>
    <row r="225" ht="12.5" spans="6:11">
      <c r="F225" s="14"/>
      <c r="G225" s="14"/>
      <c r="H225" s="14"/>
      <c r="I225" s="14"/>
      <c r="J225" s="14"/>
      <c r="K225" s="14"/>
    </row>
    <row r="226" ht="12.5" spans="6:11">
      <c r="F226" s="14"/>
      <c r="G226" s="14"/>
      <c r="H226" s="14"/>
      <c r="I226" s="14"/>
      <c r="J226" s="14"/>
      <c r="K226" s="14"/>
    </row>
    <row r="227" ht="12.5" spans="6:11">
      <c r="F227" s="14"/>
      <c r="G227" s="14"/>
      <c r="H227" s="14"/>
      <c r="I227" s="14"/>
      <c r="J227" s="14"/>
      <c r="K227" s="14"/>
    </row>
    <row r="228" ht="12.5" spans="6:11">
      <c r="F228" s="14"/>
      <c r="G228" s="14"/>
      <c r="H228" s="14"/>
      <c r="I228" s="14"/>
      <c r="J228" s="14"/>
      <c r="K228" s="14"/>
    </row>
    <row r="229" ht="12.5" spans="6:11">
      <c r="F229" s="14"/>
      <c r="G229" s="14"/>
      <c r="H229" s="14"/>
      <c r="I229" s="14"/>
      <c r="J229" s="14"/>
      <c r="K229" s="14"/>
    </row>
    <row r="230" ht="12.5" spans="6:11">
      <c r="F230" s="14"/>
      <c r="G230" s="14"/>
      <c r="H230" s="14"/>
      <c r="I230" s="14"/>
      <c r="J230" s="14"/>
      <c r="K230" s="14"/>
    </row>
    <row r="231" ht="12.5" spans="6:11">
      <c r="F231" s="14"/>
      <c r="G231" s="14"/>
      <c r="H231" s="14"/>
      <c r="I231" s="14"/>
      <c r="J231" s="14"/>
      <c r="K231" s="14"/>
    </row>
    <row r="232" ht="12.5" spans="6:11">
      <c r="F232" s="14"/>
      <c r="G232" s="14"/>
      <c r="H232" s="14"/>
      <c r="I232" s="14"/>
      <c r="J232" s="14"/>
      <c r="K232" s="14"/>
    </row>
    <row r="233" ht="12.5" spans="6:11">
      <c r="F233" s="14"/>
      <c r="G233" s="14"/>
      <c r="H233" s="14"/>
      <c r="I233" s="14"/>
      <c r="J233" s="14"/>
      <c r="K233" s="14"/>
    </row>
    <row r="234" ht="12.5" spans="6:11">
      <c r="F234" s="14"/>
      <c r="G234" s="14"/>
      <c r="H234" s="14"/>
      <c r="I234" s="14"/>
      <c r="J234" s="14"/>
      <c r="K234" s="14"/>
    </row>
    <row r="235" ht="12.5" spans="6:11">
      <c r="F235" s="14"/>
      <c r="G235" s="14"/>
      <c r="H235" s="14"/>
      <c r="I235" s="14"/>
      <c r="J235" s="14"/>
      <c r="K235" s="14"/>
    </row>
    <row r="236" ht="12.5" spans="6:11">
      <c r="F236" s="14"/>
      <c r="G236" s="14"/>
      <c r="H236" s="14"/>
      <c r="I236" s="14"/>
      <c r="J236" s="14"/>
      <c r="K236" s="14"/>
    </row>
    <row r="237" ht="12.5" spans="6:11">
      <c r="F237" s="14"/>
      <c r="G237" s="14"/>
      <c r="H237" s="14"/>
      <c r="I237" s="14"/>
      <c r="J237" s="14"/>
      <c r="K237" s="14"/>
    </row>
    <row r="238" ht="12.5" spans="6:11">
      <c r="F238" s="14"/>
      <c r="G238" s="14"/>
      <c r="H238" s="14"/>
      <c r="I238" s="14"/>
      <c r="J238" s="14"/>
      <c r="K238" s="14"/>
    </row>
    <row r="239" ht="12.5" spans="6:11">
      <c r="F239" s="14"/>
      <c r="G239" s="14"/>
      <c r="H239" s="14"/>
      <c r="I239" s="14"/>
      <c r="J239" s="14"/>
      <c r="K239" s="14"/>
    </row>
    <row r="240" ht="12.5" spans="6:11">
      <c r="F240" s="14"/>
      <c r="G240" s="14"/>
      <c r="H240" s="14"/>
      <c r="I240" s="14"/>
      <c r="J240" s="14"/>
      <c r="K240" s="14"/>
    </row>
    <row r="241" ht="12.5" spans="6:11">
      <c r="F241" s="14"/>
      <c r="G241" s="14"/>
      <c r="H241" s="14"/>
      <c r="I241" s="14"/>
      <c r="J241" s="14"/>
      <c r="K241" s="14"/>
    </row>
    <row r="242" ht="12.5" spans="6:11">
      <c r="F242" s="14"/>
      <c r="G242" s="14"/>
      <c r="H242" s="14"/>
      <c r="I242" s="14"/>
      <c r="J242" s="14"/>
      <c r="K242" s="14"/>
    </row>
    <row r="243" ht="12.5" spans="6:11">
      <c r="F243" s="14"/>
      <c r="G243" s="14"/>
      <c r="H243" s="14"/>
      <c r="I243" s="14"/>
      <c r="J243" s="14"/>
      <c r="K243" s="14"/>
    </row>
    <row r="244" ht="12.5" spans="6:11">
      <c r="F244" s="14"/>
      <c r="G244" s="14"/>
      <c r="H244" s="14"/>
      <c r="I244" s="14"/>
      <c r="J244" s="14"/>
      <c r="K244" s="14"/>
    </row>
    <row r="245" ht="12.5" spans="6:11">
      <c r="F245" s="14"/>
      <c r="G245" s="14"/>
      <c r="H245" s="14"/>
      <c r="I245" s="14"/>
      <c r="J245" s="14"/>
      <c r="K245" s="14"/>
    </row>
    <row r="246" ht="12.5" spans="6:11">
      <c r="F246" s="14"/>
      <c r="G246" s="14"/>
      <c r="H246" s="14"/>
      <c r="I246" s="14"/>
      <c r="J246" s="14"/>
      <c r="K246" s="14"/>
    </row>
    <row r="247" ht="12.5" spans="6:11">
      <c r="F247" s="14"/>
      <c r="G247" s="14"/>
      <c r="H247" s="14"/>
      <c r="I247" s="14"/>
      <c r="J247" s="14"/>
      <c r="K247" s="14"/>
    </row>
    <row r="248" ht="12.5" spans="6:11">
      <c r="F248" s="14"/>
      <c r="G248" s="14"/>
      <c r="H248" s="14"/>
      <c r="I248" s="14"/>
      <c r="J248" s="14"/>
      <c r="K248" s="14"/>
    </row>
    <row r="249" ht="12.5" spans="6:11">
      <c r="F249" s="14"/>
      <c r="G249" s="14"/>
      <c r="H249" s="14"/>
      <c r="I249" s="14"/>
      <c r="J249" s="14"/>
      <c r="K249" s="14"/>
    </row>
    <row r="250" ht="12.5" spans="6:11">
      <c r="F250" s="14"/>
      <c r="G250" s="14"/>
      <c r="H250" s="14"/>
      <c r="I250" s="14"/>
      <c r="J250" s="14"/>
      <c r="K250" s="14"/>
    </row>
    <row r="251" ht="12.5" spans="6:11">
      <c r="F251" s="14"/>
      <c r="G251" s="14"/>
      <c r="H251" s="14"/>
      <c r="I251" s="14"/>
      <c r="J251" s="14"/>
      <c r="K251" s="14"/>
    </row>
    <row r="252" ht="12.5" spans="6:11">
      <c r="F252" s="14"/>
      <c r="G252" s="14"/>
      <c r="H252" s="14"/>
      <c r="I252" s="14"/>
      <c r="J252" s="14"/>
      <c r="K252" s="14"/>
    </row>
    <row r="253" ht="12.5" spans="6:11">
      <c r="F253" s="14"/>
      <c r="G253" s="14"/>
      <c r="H253" s="14"/>
      <c r="I253" s="14"/>
      <c r="J253" s="14"/>
      <c r="K253" s="14"/>
    </row>
    <row r="254" ht="12.5" spans="6:11">
      <c r="F254" s="14"/>
      <c r="G254" s="14"/>
      <c r="H254" s="14"/>
      <c r="I254" s="14"/>
      <c r="J254" s="14"/>
      <c r="K254" s="14"/>
    </row>
    <row r="255" ht="12.5" spans="6:11">
      <c r="F255" s="14"/>
      <c r="G255" s="14"/>
      <c r="H255" s="14"/>
      <c r="I255" s="14"/>
      <c r="J255" s="14"/>
      <c r="K255" s="14"/>
    </row>
    <row r="256" ht="12.5" spans="6:11">
      <c r="F256" s="14"/>
      <c r="G256" s="14"/>
      <c r="H256" s="14"/>
      <c r="I256" s="14"/>
      <c r="J256" s="14"/>
      <c r="K256" s="14"/>
    </row>
    <row r="257" ht="12.5" spans="6:11">
      <c r="F257" s="14"/>
      <c r="G257" s="14"/>
      <c r="H257" s="14"/>
      <c r="I257" s="14"/>
      <c r="J257" s="14"/>
      <c r="K257" s="14"/>
    </row>
    <row r="258" ht="12.5" spans="6:11">
      <c r="F258" s="14"/>
      <c r="G258" s="14"/>
      <c r="H258" s="14"/>
      <c r="I258" s="14"/>
      <c r="J258" s="14"/>
      <c r="K258" s="14"/>
    </row>
    <row r="259" ht="12.5" spans="6:11">
      <c r="F259" s="14"/>
      <c r="G259" s="14"/>
      <c r="H259" s="14"/>
      <c r="I259" s="14"/>
      <c r="J259" s="14"/>
      <c r="K259" s="14"/>
    </row>
    <row r="260" ht="12.5" spans="6:11">
      <c r="F260" s="14"/>
      <c r="G260" s="14"/>
      <c r="H260" s="14"/>
      <c r="I260" s="14"/>
      <c r="J260" s="14"/>
      <c r="K260" s="14"/>
    </row>
    <row r="261" ht="12.5" spans="6:11">
      <c r="F261" s="14"/>
      <c r="G261" s="14"/>
      <c r="H261" s="14"/>
      <c r="I261" s="14"/>
      <c r="J261" s="14"/>
      <c r="K261" s="14"/>
    </row>
    <row r="262" ht="12.5" spans="6:11">
      <c r="F262" s="14"/>
      <c r="G262" s="14"/>
      <c r="H262" s="14"/>
      <c r="I262" s="14"/>
      <c r="J262" s="14"/>
      <c r="K262" s="14"/>
    </row>
    <row r="263" ht="12.5" spans="6:11">
      <c r="F263" s="14"/>
      <c r="G263" s="14"/>
      <c r="H263" s="14"/>
      <c r="I263" s="14"/>
      <c r="J263" s="14"/>
      <c r="K263" s="14"/>
    </row>
    <row r="264" ht="12.5" spans="6:11">
      <c r="F264" s="14"/>
      <c r="G264" s="14"/>
      <c r="H264" s="14"/>
      <c r="I264" s="14"/>
      <c r="J264" s="14"/>
      <c r="K264" s="14"/>
    </row>
    <row r="265" ht="12.5" spans="6:11">
      <c r="F265" s="14"/>
      <c r="G265" s="14"/>
      <c r="H265" s="14"/>
      <c r="I265" s="14"/>
      <c r="J265" s="14"/>
      <c r="K265" s="14"/>
    </row>
    <row r="266" ht="12.5" spans="6:11">
      <c r="F266" s="14"/>
      <c r="G266" s="14"/>
      <c r="H266" s="14"/>
      <c r="I266" s="14"/>
      <c r="J266" s="14"/>
      <c r="K266" s="14"/>
    </row>
    <row r="267" ht="12.5" spans="6:11">
      <c r="F267" s="14"/>
      <c r="G267" s="14"/>
      <c r="H267" s="14"/>
      <c r="I267" s="14"/>
      <c r="J267" s="14"/>
      <c r="K267" s="14"/>
    </row>
    <row r="268" ht="12.5" spans="6:11">
      <c r="F268" s="14"/>
      <c r="G268" s="14"/>
      <c r="H268" s="14"/>
      <c r="I268" s="14"/>
      <c r="J268" s="14"/>
      <c r="K268" s="14"/>
    </row>
    <row r="269" ht="12.5" spans="6:11">
      <c r="F269" s="14"/>
      <c r="G269" s="14"/>
      <c r="H269" s="14"/>
      <c r="I269" s="14"/>
      <c r="J269" s="14"/>
      <c r="K269" s="14"/>
    </row>
    <row r="270" ht="12.5" spans="6:11">
      <c r="F270" s="14"/>
      <c r="G270" s="14"/>
      <c r="H270" s="14"/>
      <c r="I270" s="14"/>
      <c r="J270" s="14"/>
      <c r="K270" s="14"/>
    </row>
    <row r="271" ht="12.5" spans="6:11">
      <c r="F271" s="14"/>
      <c r="G271" s="14"/>
      <c r="H271" s="14"/>
      <c r="I271" s="14"/>
      <c r="J271" s="14"/>
      <c r="K271" s="14"/>
    </row>
    <row r="272" ht="12.5" spans="6:11">
      <c r="F272" s="14"/>
      <c r="G272" s="14"/>
      <c r="H272" s="14"/>
      <c r="I272" s="14"/>
      <c r="J272" s="14"/>
      <c r="K272" s="14"/>
    </row>
    <row r="273" ht="12.5" spans="6:11">
      <c r="F273" s="14"/>
      <c r="G273" s="14"/>
      <c r="H273" s="14"/>
      <c r="I273" s="14"/>
      <c r="J273" s="14"/>
      <c r="K273" s="14"/>
    </row>
    <row r="274" ht="12.5" spans="6:11">
      <c r="F274" s="14"/>
      <c r="G274" s="14"/>
      <c r="H274" s="14"/>
      <c r="I274" s="14"/>
      <c r="J274" s="14"/>
      <c r="K274" s="14"/>
    </row>
    <row r="275" ht="12.5" spans="6:11">
      <c r="F275" s="14"/>
      <c r="G275" s="14"/>
      <c r="H275" s="14"/>
      <c r="I275" s="14"/>
      <c r="J275" s="14"/>
      <c r="K275" s="14"/>
    </row>
    <row r="276" ht="12.5" spans="6:11">
      <c r="F276" s="14"/>
      <c r="G276" s="14"/>
      <c r="H276" s="14"/>
      <c r="I276" s="14"/>
      <c r="J276" s="14"/>
      <c r="K276" s="14"/>
    </row>
    <row r="277" ht="12.5" spans="6:11">
      <c r="F277" s="14"/>
      <c r="G277" s="14"/>
      <c r="H277" s="14"/>
      <c r="I277" s="14"/>
      <c r="J277" s="14"/>
      <c r="K277" s="14"/>
    </row>
    <row r="278" ht="12.5" spans="6:11">
      <c r="F278" s="14"/>
      <c r="G278" s="14"/>
      <c r="H278" s="14"/>
      <c r="I278" s="14"/>
      <c r="J278" s="14"/>
      <c r="K278" s="14"/>
    </row>
    <row r="279" ht="12.5" spans="6:11">
      <c r="F279" s="14"/>
      <c r="G279" s="14"/>
      <c r="H279" s="14"/>
      <c r="I279" s="14"/>
      <c r="J279" s="14"/>
      <c r="K279" s="14"/>
    </row>
    <row r="280" ht="12.5" spans="6:11">
      <c r="F280" s="14"/>
      <c r="G280" s="14"/>
      <c r="H280" s="14"/>
      <c r="I280" s="14"/>
      <c r="J280" s="14"/>
      <c r="K280" s="14"/>
    </row>
    <row r="281" ht="12.5" spans="6:11">
      <c r="F281" s="14"/>
      <c r="G281" s="14"/>
      <c r="H281" s="14"/>
      <c r="I281" s="14"/>
      <c r="J281" s="14"/>
      <c r="K281" s="14"/>
    </row>
    <row r="282" ht="12.5" spans="6:11">
      <c r="F282" s="14"/>
      <c r="G282" s="14"/>
      <c r="H282" s="14"/>
      <c r="I282" s="14"/>
      <c r="J282" s="14"/>
      <c r="K282" s="14"/>
    </row>
    <row r="283" ht="12.5" spans="6:11">
      <c r="F283" s="14"/>
      <c r="G283" s="14"/>
      <c r="H283" s="14"/>
      <c r="I283" s="14"/>
      <c r="J283" s="14"/>
      <c r="K283" s="14"/>
    </row>
    <row r="284" ht="12.5" spans="6:11">
      <c r="F284" s="14"/>
      <c r="G284" s="14"/>
      <c r="H284" s="14"/>
      <c r="I284" s="14"/>
      <c r="J284" s="14"/>
      <c r="K284" s="14"/>
    </row>
    <row r="285" ht="12.5" spans="6:11">
      <c r="F285" s="14"/>
      <c r="G285" s="14"/>
      <c r="H285" s="14"/>
      <c r="I285" s="14"/>
      <c r="J285" s="14"/>
      <c r="K285" s="14"/>
    </row>
    <row r="286" ht="12.5" spans="6:11">
      <c r="F286" s="14"/>
      <c r="G286" s="14"/>
      <c r="H286" s="14"/>
      <c r="I286" s="14"/>
      <c r="J286" s="14"/>
      <c r="K286" s="14"/>
    </row>
    <row r="287" ht="12.5" spans="6:11">
      <c r="F287" s="14"/>
      <c r="G287" s="14"/>
      <c r="H287" s="14"/>
      <c r="I287" s="14"/>
      <c r="J287" s="14"/>
      <c r="K287" s="14"/>
    </row>
    <row r="288" ht="12.5" spans="6:11">
      <c r="F288" s="14"/>
      <c r="G288" s="14"/>
      <c r="H288" s="14"/>
      <c r="I288" s="14"/>
      <c r="J288" s="14"/>
      <c r="K288" s="14"/>
    </row>
    <row r="289" ht="12.5" spans="6:11">
      <c r="F289" s="14"/>
      <c r="G289" s="14"/>
      <c r="H289" s="14"/>
      <c r="I289" s="14"/>
      <c r="J289" s="14"/>
      <c r="K289" s="14"/>
    </row>
    <row r="290" ht="12.5" spans="6:11">
      <c r="F290" s="14"/>
      <c r="G290" s="14"/>
      <c r="H290" s="14"/>
      <c r="I290" s="14"/>
      <c r="J290" s="14"/>
      <c r="K290" s="14"/>
    </row>
    <row r="291" ht="12.5" spans="6:11">
      <c r="F291" s="14"/>
      <c r="G291" s="14"/>
      <c r="H291" s="14"/>
      <c r="I291" s="14"/>
      <c r="J291" s="14"/>
      <c r="K291" s="14"/>
    </row>
    <row r="292" ht="12.5" spans="6:11">
      <c r="F292" s="14"/>
      <c r="G292" s="14"/>
      <c r="H292" s="14"/>
      <c r="I292" s="14"/>
      <c r="J292" s="14"/>
      <c r="K292" s="14"/>
    </row>
    <row r="293" ht="12.5" spans="6:11">
      <c r="F293" s="14"/>
      <c r="G293" s="14"/>
      <c r="H293" s="14"/>
      <c r="I293" s="14"/>
      <c r="J293" s="14"/>
      <c r="K293" s="14"/>
    </row>
    <row r="294" ht="12.5" spans="6:11">
      <c r="F294" s="14"/>
      <c r="G294" s="14"/>
      <c r="H294" s="14"/>
      <c r="I294" s="14"/>
      <c r="J294" s="14"/>
      <c r="K294" s="14"/>
    </row>
    <row r="295" ht="12.5" spans="6:11">
      <c r="F295" s="14"/>
      <c r="G295" s="14"/>
      <c r="H295" s="14"/>
      <c r="I295" s="14"/>
      <c r="J295" s="14"/>
      <c r="K295" s="14"/>
    </row>
    <row r="296" ht="12.5" spans="6:11">
      <c r="F296" s="14"/>
      <c r="G296" s="14"/>
      <c r="H296" s="14"/>
      <c r="I296" s="14"/>
      <c r="J296" s="14"/>
      <c r="K296" s="14"/>
    </row>
    <row r="297" ht="12.5" spans="6:11">
      <c r="F297" s="14"/>
      <c r="G297" s="14"/>
      <c r="H297" s="14"/>
      <c r="I297" s="14"/>
      <c r="J297" s="14"/>
      <c r="K297" s="14"/>
    </row>
    <row r="298" ht="12.5" spans="6:11">
      <c r="F298" s="14"/>
      <c r="G298" s="14"/>
      <c r="H298" s="14"/>
      <c r="I298" s="14"/>
      <c r="J298" s="14"/>
      <c r="K298" s="14"/>
    </row>
    <row r="299" ht="12.5" spans="6:11">
      <c r="F299" s="14"/>
      <c r="G299" s="14"/>
      <c r="H299" s="14"/>
      <c r="I299" s="14"/>
      <c r="J299" s="14"/>
      <c r="K299" s="14"/>
    </row>
    <row r="300" ht="12.5" spans="6:11">
      <c r="F300" s="14"/>
      <c r="G300" s="14"/>
      <c r="H300" s="14"/>
      <c r="I300" s="14"/>
      <c r="J300" s="14"/>
      <c r="K300" s="14"/>
    </row>
    <row r="301" ht="12.5" spans="6:11">
      <c r="F301" s="14"/>
      <c r="G301" s="14"/>
      <c r="H301" s="14"/>
      <c r="I301" s="14"/>
      <c r="J301" s="14"/>
      <c r="K301" s="14"/>
    </row>
    <row r="302" ht="12.5" spans="6:11">
      <c r="F302" s="14"/>
      <c r="G302" s="14"/>
      <c r="H302" s="14"/>
      <c r="I302" s="14"/>
      <c r="J302" s="14"/>
      <c r="K302" s="14"/>
    </row>
    <row r="303" ht="12.5" spans="6:11">
      <c r="F303" s="14"/>
      <c r="G303" s="14"/>
      <c r="H303" s="14"/>
      <c r="I303" s="14"/>
      <c r="J303" s="14"/>
      <c r="K303" s="14"/>
    </row>
    <row r="304" ht="12.5" spans="6:11">
      <c r="F304" s="14"/>
      <c r="G304" s="14"/>
      <c r="H304" s="14"/>
      <c r="I304" s="14"/>
      <c r="J304" s="14"/>
      <c r="K304" s="14"/>
    </row>
    <row r="305" ht="12.5" spans="6:11">
      <c r="F305" s="14"/>
      <c r="G305" s="14"/>
      <c r="H305" s="14"/>
      <c r="I305" s="14"/>
      <c r="J305" s="14"/>
      <c r="K305" s="14"/>
    </row>
    <row r="306" ht="12.5" spans="6:11">
      <c r="F306" s="14"/>
      <c r="G306" s="14"/>
      <c r="H306" s="14"/>
      <c r="I306" s="14"/>
      <c r="J306" s="14"/>
      <c r="K306" s="14"/>
    </row>
    <row r="307" ht="12.5" spans="6:11">
      <c r="F307" s="14"/>
      <c r="G307" s="14"/>
      <c r="H307" s="14"/>
      <c r="I307" s="14"/>
      <c r="J307" s="14"/>
      <c r="K307" s="14"/>
    </row>
    <row r="308" ht="12.5" spans="6:11">
      <c r="F308" s="14"/>
      <c r="G308" s="14"/>
      <c r="H308" s="14"/>
      <c r="I308" s="14"/>
      <c r="J308" s="14"/>
      <c r="K308" s="14"/>
    </row>
    <row r="309" ht="12.5" spans="6:11">
      <c r="F309" s="14"/>
      <c r="G309" s="14"/>
      <c r="H309" s="14"/>
      <c r="I309" s="14"/>
      <c r="J309" s="14"/>
      <c r="K309" s="14"/>
    </row>
    <row r="310" ht="12.5" spans="6:11">
      <c r="F310" s="14"/>
      <c r="G310" s="14"/>
      <c r="H310" s="14"/>
      <c r="I310" s="14"/>
      <c r="J310" s="14"/>
      <c r="K310" s="14"/>
    </row>
    <row r="311" ht="12.5" spans="6:11">
      <c r="F311" s="14"/>
      <c r="G311" s="14"/>
      <c r="H311" s="14"/>
      <c r="I311" s="14"/>
      <c r="J311" s="14"/>
      <c r="K311" s="14"/>
    </row>
    <row r="312" ht="12.5" spans="6:11">
      <c r="F312" s="14"/>
      <c r="G312" s="14"/>
      <c r="H312" s="14"/>
      <c r="I312" s="14"/>
      <c r="J312" s="14"/>
      <c r="K312" s="14"/>
    </row>
    <row r="313" ht="12.5" spans="6:11">
      <c r="F313" s="14"/>
      <c r="G313" s="14"/>
      <c r="H313" s="14"/>
      <c r="I313" s="14"/>
      <c r="J313" s="14"/>
      <c r="K313" s="14"/>
    </row>
    <row r="314" ht="12.5" spans="6:11">
      <c r="F314" s="14"/>
      <c r="G314" s="14"/>
      <c r="H314" s="14"/>
      <c r="I314" s="14"/>
      <c r="J314" s="14"/>
      <c r="K314" s="14"/>
    </row>
    <row r="315" ht="12.5" spans="6:11">
      <c r="F315" s="14"/>
      <c r="G315" s="14"/>
      <c r="H315" s="14"/>
      <c r="I315" s="14"/>
      <c r="J315" s="14"/>
      <c r="K315" s="14"/>
    </row>
    <row r="316" ht="12.5" spans="6:11">
      <c r="F316" s="14"/>
      <c r="G316" s="14"/>
      <c r="H316" s="14"/>
      <c r="I316" s="14"/>
      <c r="J316" s="14"/>
      <c r="K316" s="14"/>
    </row>
    <row r="317" ht="12.5" spans="6:11">
      <c r="F317" s="14"/>
      <c r="G317" s="14"/>
      <c r="H317" s="14"/>
      <c r="I317" s="14"/>
      <c r="J317" s="14"/>
      <c r="K317" s="14"/>
    </row>
    <row r="318" ht="12.5" spans="6:11">
      <c r="F318" s="14"/>
      <c r="G318" s="14"/>
      <c r="H318" s="14"/>
      <c r="I318" s="14"/>
      <c r="J318" s="14"/>
      <c r="K318" s="14"/>
    </row>
    <row r="319" ht="12.5" spans="6:11">
      <c r="F319" s="14"/>
      <c r="G319" s="14"/>
      <c r="H319" s="14"/>
      <c r="I319" s="14"/>
      <c r="J319" s="14"/>
      <c r="K319" s="14"/>
    </row>
    <row r="320" ht="12.5" spans="6:11">
      <c r="F320" s="14"/>
      <c r="G320" s="14"/>
      <c r="H320" s="14"/>
      <c r="I320" s="14"/>
      <c r="J320" s="14"/>
      <c r="K320" s="14"/>
    </row>
    <row r="321" ht="12.5" spans="6:11">
      <c r="F321" s="14"/>
      <c r="G321" s="14"/>
      <c r="H321" s="14"/>
      <c r="I321" s="14"/>
      <c r="J321" s="14"/>
      <c r="K321" s="14"/>
    </row>
    <row r="322" ht="12.5" spans="6:11">
      <c r="F322" s="14"/>
      <c r="G322" s="14"/>
      <c r="H322" s="14"/>
      <c r="I322" s="14"/>
      <c r="J322" s="14"/>
      <c r="K322" s="14"/>
    </row>
    <row r="323" ht="12.5" spans="6:11">
      <c r="F323" s="14"/>
      <c r="G323" s="14"/>
      <c r="H323" s="14"/>
      <c r="I323" s="14"/>
      <c r="J323" s="14"/>
      <c r="K323" s="14"/>
    </row>
    <row r="324" ht="12.5" spans="6:11">
      <c r="F324" s="14"/>
      <c r="G324" s="14"/>
      <c r="H324" s="14"/>
      <c r="I324" s="14"/>
      <c r="J324" s="14"/>
      <c r="K324" s="14"/>
    </row>
    <row r="325" ht="12.5" spans="6:11">
      <c r="F325" s="14"/>
      <c r="G325" s="14"/>
      <c r="H325" s="14"/>
      <c r="I325" s="14"/>
      <c r="J325" s="14"/>
      <c r="K325" s="14"/>
    </row>
    <row r="326" ht="12.5" spans="6:11">
      <c r="F326" s="14"/>
      <c r="G326" s="14"/>
      <c r="H326" s="14"/>
      <c r="I326" s="14"/>
      <c r="J326" s="14"/>
      <c r="K326" s="14"/>
    </row>
    <row r="327" ht="12.5" spans="6:11">
      <c r="F327" s="14"/>
      <c r="G327" s="14"/>
      <c r="H327" s="14"/>
      <c r="I327" s="14"/>
      <c r="J327" s="14"/>
      <c r="K327" s="14"/>
    </row>
    <row r="328" ht="12.5" spans="6:11">
      <c r="F328" s="14"/>
      <c r="G328" s="14"/>
      <c r="H328" s="14"/>
      <c r="I328" s="14"/>
      <c r="J328" s="14"/>
      <c r="K328" s="14"/>
    </row>
    <row r="329" ht="12.5" spans="6:11">
      <c r="F329" s="14"/>
      <c r="G329" s="14"/>
      <c r="H329" s="14"/>
      <c r="I329" s="14"/>
      <c r="J329" s="14"/>
      <c r="K329" s="14"/>
    </row>
    <row r="330" ht="12.5" spans="6:11">
      <c r="F330" s="14"/>
      <c r="G330" s="14"/>
      <c r="H330" s="14"/>
      <c r="I330" s="14"/>
      <c r="J330" s="14"/>
      <c r="K330" s="14"/>
    </row>
    <row r="331" ht="12.5" spans="6:11">
      <c r="F331" s="14"/>
      <c r="G331" s="14"/>
      <c r="H331" s="14"/>
      <c r="I331" s="14"/>
      <c r="J331" s="14"/>
      <c r="K331" s="14"/>
    </row>
    <row r="332" ht="12.5" spans="6:11">
      <c r="F332" s="14"/>
      <c r="G332" s="14"/>
      <c r="H332" s="14"/>
      <c r="I332" s="14"/>
      <c r="J332" s="14"/>
      <c r="K332" s="14"/>
    </row>
    <row r="333" ht="12.5" spans="6:11">
      <c r="F333" s="14"/>
      <c r="G333" s="14"/>
      <c r="H333" s="14"/>
      <c r="I333" s="14"/>
      <c r="J333" s="14"/>
      <c r="K333" s="14"/>
    </row>
    <row r="334" ht="12.5" spans="6:11">
      <c r="F334" s="14"/>
      <c r="G334" s="14"/>
      <c r="H334" s="14"/>
      <c r="I334" s="14"/>
      <c r="J334" s="14"/>
      <c r="K334" s="14"/>
    </row>
    <row r="335" ht="12.5" spans="6:11">
      <c r="F335" s="14"/>
      <c r="G335" s="14"/>
      <c r="H335" s="14"/>
      <c r="I335" s="14"/>
      <c r="J335" s="14"/>
      <c r="K335" s="14"/>
    </row>
    <row r="336" ht="12.5" spans="6:11">
      <c r="F336" s="14"/>
      <c r="G336" s="14"/>
      <c r="H336" s="14"/>
      <c r="I336" s="14"/>
      <c r="J336" s="14"/>
      <c r="K336" s="14"/>
    </row>
    <row r="337" ht="12.5" spans="6:11">
      <c r="F337" s="14"/>
      <c r="G337" s="14"/>
      <c r="H337" s="14"/>
      <c r="I337" s="14"/>
      <c r="J337" s="14"/>
      <c r="K337" s="14"/>
    </row>
    <row r="338" ht="12.5" spans="6:11">
      <c r="F338" s="14"/>
      <c r="G338" s="14"/>
      <c r="H338" s="14"/>
      <c r="I338" s="14"/>
      <c r="J338" s="14"/>
      <c r="K338" s="14"/>
    </row>
    <row r="339" ht="12.5" spans="6:11">
      <c r="F339" s="14"/>
      <c r="G339" s="14"/>
      <c r="H339" s="14"/>
      <c r="I339" s="14"/>
      <c r="J339" s="14"/>
      <c r="K339" s="14"/>
    </row>
    <row r="340" ht="12.5" spans="6:11">
      <c r="F340" s="14"/>
      <c r="G340" s="14"/>
      <c r="H340" s="14"/>
      <c r="I340" s="14"/>
      <c r="J340" s="14"/>
      <c r="K340" s="14"/>
    </row>
    <row r="341" ht="12.5" spans="6:11">
      <c r="F341" s="14"/>
      <c r="G341" s="14"/>
      <c r="H341" s="14"/>
      <c r="I341" s="14"/>
      <c r="J341" s="14"/>
      <c r="K341" s="14"/>
    </row>
    <row r="342" ht="12.5" spans="6:11">
      <c r="F342" s="14"/>
      <c r="G342" s="14"/>
      <c r="H342" s="14"/>
      <c r="I342" s="14"/>
      <c r="J342" s="14"/>
      <c r="K342" s="14"/>
    </row>
    <row r="343" ht="12.5" spans="6:11">
      <c r="F343" s="14"/>
      <c r="G343" s="14"/>
      <c r="H343" s="14"/>
      <c r="I343" s="14"/>
      <c r="J343" s="14"/>
      <c r="K343" s="14"/>
    </row>
    <row r="344" ht="12.5" spans="6:11">
      <c r="F344" s="14"/>
      <c r="G344" s="14"/>
      <c r="H344" s="14"/>
      <c r="I344" s="14"/>
      <c r="J344" s="14"/>
      <c r="K344" s="14"/>
    </row>
    <row r="345" ht="12.5" spans="6:11">
      <c r="F345" s="14"/>
      <c r="G345" s="14"/>
      <c r="H345" s="14"/>
      <c r="I345" s="14"/>
      <c r="J345" s="14"/>
      <c r="K345" s="14"/>
    </row>
    <row r="346" ht="12.5" spans="6:11">
      <c r="F346" s="14"/>
      <c r="G346" s="14"/>
      <c r="H346" s="14"/>
      <c r="I346" s="14"/>
      <c r="J346" s="14"/>
      <c r="K346" s="14"/>
    </row>
    <row r="347" ht="12.5" spans="6:11">
      <c r="F347" s="14"/>
      <c r="G347" s="14"/>
      <c r="H347" s="14"/>
      <c r="I347" s="14"/>
      <c r="J347" s="14"/>
      <c r="K347" s="14"/>
    </row>
    <row r="348" ht="12.5" spans="6:11">
      <c r="F348" s="14"/>
      <c r="G348" s="14"/>
      <c r="H348" s="14"/>
      <c r="I348" s="14"/>
      <c r="J348" s="14"/>
      <c r="K348" s="14"/>
    </row>
    <row r="349" ht="12.5" spans="6:11">
      <c r="F349" s="14"/>
      <c r="G349" s="14"/>
      <c r="H349" s="14"/>
      <c r="I349" s="14"/>
      <c r="J349" s="14"/>
      <c r="K349" s="14"/>
    </row>
    <row r="350" ht="12.5" spans="6:11">
      <c r="F350" s="14"/>
      <c r="G350" s="14"/>
      <c r="H350" s="14"/>
      <c r="I350" s="14"/>
      <c r="J350" s="14"/>
      <c r="K350" s="14"/>
    </row>
    <row r="351" ht="12.5" spans="6:11">
      <c r="F351" s="14"/>
      <c r="G351" s="14"/>
      <c r="H351" s="14"/>
      <c r="I351" s="14"/>
      <c r="J351" s="14"/>
      <c r="K351" s="14"/>
    </row>
    <row r="352" ht="12.5" spans="6:11">
      <c r="F352" s="14"/>
      <c r="G352" s="14"/>
      <c r="H352" s="14"/>
      <c r="I352" s="14"/>
      <c r="J352" s="14"/>
      <c r="K352" s="14"/>
    </row>
    <row r="353" ht="12.5" spans="6:11">
      <c r="F353" s="14"/>
      <c r="G353" s="14"/>
      <c r="H353" s="14"/>
      <c r="I353" s="14"/>
      <c r="J353" s="14"/>
      <c r="K353" s="14"/>
    </row>
    <row r="354" ht="12.5" spans="6:11">
      <c r="F354" s="14"/>
      <c r="G354" s="14"/>
      <c r="H354" s="14"/>
      <c r="I354" s="14"/>
      <c r="J354" s="14"/>
      <c r="K354" s="14"/>
    </row>
    <row r="355" ht="12.5" spans="6:11">
      <c r="F355" s="14"/>
      <c r="G355" s="14"/>
      <c r="H355" s="14"/>
      <c r="I355" s="14"/>
      <c r="J355" s="14"/>
      <c r="K355" s="14"/>
    </row>
    <row r="356" ht="12.5" spans="6:11">
      <c r="F356" s="14"/>
      <c r="G356" s="14"/>
      <c r="H356" s="14"/>
      <c r="I356" s="14"/>
      <c r="J356" s="14"/>
      <c r="K356" s="14"/>
    </row>
    <row r="357" ht="12.5" spans="6:11">
      <c r="F357" s="14"/>
      <c r="G357" s="14"/>
      <c r="H357" s="14"/>
      <c r="I357" s="14"/>
      <c r="J357" s="14"/>
      <c r="K357" s="14"/>
    </row>
    <row r="358" ht="12.5" spans="6:11">
      <c r="F358" s="14"/>
      <c r="G358" s="14"/>
      <c r="H358" s="14"/>
      <c r="I358" s="14"/>
      <c r="J358" s="14"/>
      <c r="K358" s="14"/>
    </row>
    <row r="359" ht="12.5" spans="6:11">
      <c r="F359" s="14"/>
      <c r="G359" s="14"/>
      <c r="H359" s="14"/>
      <c r="I359" s="14"/>
      <c r="J359" s="14"/>
      <c r="K359" s="14"/>
    </row>
    <row r="360" ht="12.5" spans="6:11">
      <c r="F360" s="14"/>
      <c r="G360" s="14"/>
      <c r="H360" s="14"/>
      <c r="I360" s="14"/>
      <c r="J360" s="14"/>
      <c r="K360" s="14"/>
    </row>
    <row r="361" ht="12.5" spans="6:11">
      <c r="F361" s="14"/>
      <c r="G361" s="14"/>
      <c r="H361" s="14"/>
      <c r="I361" s="14"/>
      <c r="J361" s="14"/>
      <c r="K361" s="14"/>
    </row>
    <row r="362" ht="12.5" spans="6:11">
      <c r="F362" s="14"/>
      <c r="G362" s="14"/>
      <c r="H362" s="14"/>
      <c r="I362" s="14"/>
      <c r="J362" s="14"/>
      <c r="K362" s="14"/>
    </row>
    <row r="363" ht="12.5" spans="6:11">
      <c r="F363" s="14"/>
      <c r="G363" s="14"/>
      <c r="H363" s="14"/>
      <c r="I363" s="14"/>
      <c r="J363" s="14"/>
      <c r="K363" s="14"/>
    </row>
    <row r="364" ht="12.5" spans="6:11">
      <c r="F364" s="14"/>
      <c r="G364" s="14"/>
      <c r="H364" s="14"/>
      <c r="I364" s="14"/>
      <c r="J364" s="14"/>
      <c r="K364" s="14"/>
    </row>
    <row r="365" ht="12.5" spans="6:11">
      <c r="F365" s="14"/>
      <c r="G365" s="14"/>
      <c r="H365" s="14"/>
      <c r="I365" s="14"/>
      <c r="J365" s="14"/>
      <c r="K365" s="14"/>
    </row>
    <row r="366" ht="12.5" spans="6:11">
      <c r="F366" s="14"/>
      <c r="G366" s="14"/>
      <c r="H366" s="14"/>
      <c r="I366" s="14"/>
      <c r="J366" s="14"/>
      <c r="K366" s="14"/>
    </row>
    <row r="367" ht="12.5" spans="6:11">
      <c r="F367" s="14"/>
      <c r="G367" s="14"/>
      <c r="H367" s="14"/>
      <c r="I367" s="14"/>
      <c r="J367" s="14"/>
      <c r="K367" s="14"/>
    </row>
    <row r="368" ht="12.5" spans="6:11">
      <c r="F368" s="14"/>
      <c r="G368" s="14"/>
      <c r="H368" s="14"/>
      <c r="I368" s="14"/>
      <c r="J368" s="14"/>
      <c r="K368" s="14"/>
    </row>
    <row r="369" ht="12.5" spans="6:11">
      <c r="F369" s="14"/>
      <c r="G369" s="14"/>
      <c r="H369" s="14"/>
      <c r="I369" s="14"/>
      <c r="J369" s="14"/>
      <c r="K369" s="14"/>
    </row>
    <row r="370" ht="12.5" spans="6:11">
      <c r="F370" s="14"/>
      <c r="G370" s="14"/>
      <c r="H370" s="14"/>
      <c r="I370" s="14"/>
      <c r="J370" s="14"/>
      <c r="K370" s="14"/>
    </row>
    <row r="371" ht="12.5" spans="6:11">
      <c r="F371" s="14"/>
      <c r="G371" s="14"/>
      <c r="H371" s="14"/>
      <c r="I371" s="14"/>
      <c r="J371" s="14"/>
      <c r="K371" s="14"/>
    </row>
    <row r="372" ht="12.5" spans="6:11">
      <c r="F372" s="14"/>
      <c r="G372" s="14"/>
      <c r="H372" s="14"/>
      <c r="I372" s="14"/>
      <c r="J372" s="14"/>
      <c r="K372" s="14"/>
    </row>
    <row r="373" ht="12.5" spans="6:11">
      <c r="F373" s="14"/>
      <c r="G373" s="14"/>
      <c r="H373" s="14"/>
      <c r="I373" s="14"/>
      <c r="J373" s="14"/>
      <c r="K373" s="14"/>
    </row>
    <row r="374" ht="12.5" spans="6:11">
      <c r="F374" s="14"/>
      <c r="G374" s="14"/>
      <c r="H374" s="14"/>
      <c r="I374" s="14"/>
      <c r="J374" s="14"/>
      <c r="K374" s="14"/>
    </row>
    <row r="375" ht="12.5" spans="6:11">
      <c r="F375" s="14"/>
      <c r="G375" s="14"/>
      <c r="H375" s="14"/>
      <c r="I375" s="14"/>
      <c r="J375" s="14"/>
      <c r="K375" s="14"/>
    </row>
    <row r="376" ht="12.5" spans="6:11">
      <c r="F376" s="14"/>
      <c r="G376" s="14"/>
      <c r="H376" s="14"/>
      <c r="I376" s="14"/>
      <c r="J376" s="14"/>
      <c r="K376" s="14"/>
    </row>
    <row r="377" ht="12.5" spans="6:11">
      <c r="F377" s="14"/>
      <c r="G377" s="14"/>
      <c r="H377" s="14"/>
      <c r="I377" s="14"/>
      <c r="J377" s="14"/>
      <c r="K377" s="14"/>
    </row>
    <row r="378" ht="12.5" spans="6:11">
      <c r="F378" s="14"/>
      <c r="G378" s="14"/>
      <c r="H378" s="14"/>
      <c r="I378" s="14"/>
      <c r="J378" s="14"/>
      <c r="K378" s="14"/>
    </row>
    <row r="379" ht="12.5" spans="6:11">
      <c r="F379" s="14"/>
      <c r="G379" s="14"/>
      <c r="H379" s="14"/>
      <c r="I379" s="14"/>
      <c r="J379" s="14"/>
      <c r="K379" s="14"/>
    </row>
    <row r="380" ht="12.5" spans="6:11">
      <c r="F380" s="14"/>
      <c r="G380" s="14"/>
      <c r="H380" s="14"/>
      <c r="I380" s="14"/>
      <c r="J380" s="14"/>
      <c r="K380" s="14"/>
    </row>
    <row r="381" ht="12.5" spans="6:11">
      <c r="F381" s="14"/>
      <c r="G381" s="14"/>
      <c r="H381" s="14"/>
      <c r="I381" s="14"/>
      <c r="J381" s="14"/>
      <c r="K381" s="14"/>
    </row>
    <row r="382" ht="12.5" spans="6:11">
      <c r="F382" s="14"/>
      <c r="G382" s="14"/>
      <c r="H382" s="14"/>
      <c r="I382" s="14"/>
      <c r="J382" s="14"/>
      <c r="K382" s="14"/>
    </row>
    <row r="383" ht="12.5" spans="6:11">
      <c r="F383" s="14"/>
      <c r="G383" s="14"/>
      <c r="H383" s="14"/>
      <c r="I383" s="14"/>
      <c r="J383" s="14"/>
      <c r="K383" s="14"/>
    </row>
    <row r="384" ht="12.5" spans="6:11">
      <c r="F384" s="14"/>
      <c r="G384" s="14"/>
      <c r="H384" s="14"/>
      <c r="I384" s="14"/>
      <c r="J384" s="14"/>
      <c r="K384" s="14"/>
    </row>
    <row r="385" ht="12.5" spans="6:11">
      <c r="F385" s="14"/>
      <c r="G385" s="14"/>
      <c r="H385" s="14"/>
      <c r="I385" s="14"/>
      <c r="J385" s="14"/>
      <c r="K385" s="14"/>
    </row>
    <row r="386" ht="12.5" spans="6:11">
      <c r="F386" s="14"/>
      <c r="G386" s="14"/>
      <c r="H386" s="14"/>
      <c r="I386" s="14"/>
      <c r="J386" s="14"/>
      <c r="K386" s="14"/>
    </row>
    <row r="387" ht="12.5" spans="6:11">
      <c r="F387" s="14"/>
      <c r="G387" s="14"/>
      <c r="H387" s="14"/>
      <c r="I387" s="14"/>
      <c r="J387" s="14"/>
      <c r="K387" s="14"/>
    </row>
    <row r="388" ht="12.5" spans="6:11">
      <c r="F388" s="14"/>
      <c r="G388" s="14"/>
      <c r="H388" s="14"/>
      <c r="I388" s="14"/>
      <c r="J388" s="14"/>
      <c r="K388" s="14"/>
    </row>
    <row r="389" ht="12.5" spans="6:11">
      <c r="F389" s="14"/>
      <c r="G389" s="14"/>
      <c r="H389" s="14"/>
      <c r="I389" s="14"/>
      <c r="J389" s="14"/>
      <c r="K389" s="14"/>
    </row>
    <row r="390" ht="12.5" spans="6:11">
      <c r="F390" s="14"/>
      <c r="G390" s="14"/>
      <c r="H390" s="14"/>
      <c r="I390" s="14"/>
      <c r="J390" s="14"/>
      <c r="K390" s="14"/>
    </row>
    <row r="391" ht="12.5" spans="6:11">
      <c r="F391" s="14"/>
      <c r="G391" s="14"/>
      <c r="H391" s="14"/>
      <c r="I391" s="14"/>
      <c r="J391" s="14"/>
      <c r="K391" s="14"/>
    </row>
    <row r="392" ht="12.5" spans="6:11">
      <c r="F392" s="14"/>
      <c r="G392" s="14"/>
      <c r="H392" s="14"/>
      <c r="I392" s="14"/>
      <c r="J392" s="14"/>
      <c r="K392" s="14"/>
    </row>
    <row r="393" ht="12.5" spans="6:11">
      <c r="F393" s="14"/>
      <c r="G393" s="14"/>
      <c r="H393" s="14"/>
      <c r="I393" s="14"/>
      <c r="J393" s="14"/>
      <c r="K393" s="14"/>
    </row>
    <row r="394" ht="12.5" spans="6:11">
      <c r="F394" s="14"/>
      <c r="G394" s="14"/>
      <c r="H394" s="14"/>
      <c r="I394" s="14"/>
      <c r="J394" s="14"/>
      <c r="K394" s="14"/>
    </row>
    <row r="395" ht="12.5" spans="6:11">
      <c r="F395" s="14"/>
      <c r="G395" s="14"/>
      <c r="H395" s="14"/>
      <c r="I395" s="14"/>
      <c r="J395" s="14"/>
      <c r="K395" s="14"/>
    </row>
    <row r="396" ht="12.5" spans="6:11">
      <c r="F396" s="14"/>
      <c r="G396" s="14"/>
      <c r="H396" s="14"/>
      <c r="I396" s="14"/>
      <c r="J396" s="14"/>
      <c r="K396" s="14"/>
    </row>
    <row r="397" ht="12.5" spans="6:11">
      <c r="F397" s="14"/>
      <c r="G397" s="14"/>
      <c r="H397" s="14"/>
      <c r="I397" s="14"/>
      <c r="J397" s="14"/>
      <c r="K397" s="14"/>
    </row>
    <row r="398" ht="12.5" spans="6:11">
      <c r="F398" s="14"/>
      <c r="G398" s="14"/>
      <c r="H398" s="14"/>
      <c r="I398" s="14"/>
      <c r="J398" s="14"/>
      <c r="K398" s="14"/>
    </row>
    <row r="399" ht="12.5" spans="6:11">
      <c r="F399" s="14"/>
      <c r="G399" s="14"/>
      <c r="H399" s="14"/>
      <c r="I399" s="14"/>
      <c r="J399" s="14"/>
      <c r="K399" s="14"/>
    </row>
    <row r="400" ht="12.5" spans="6:11">
      <c r="F400" s="14"/>
      <c r="G400" s="14"/>
      <c r="H400" s="14"/>
      <c r="I400" s="14"/>
      <c r="J400" s="14"/>
      <c r="K400" s="14"/>
    </row>
    <row r="401" ht="12.5" spans="6:11">
      <c r="F401" s="14"/>
      <c r="G401" s="14"/>
      <c r="H401" s="14"/>
      <c r="I401" s="14"/>
      <c r="J401" s="14"/>
      <c r="K401" s="14"/>
    </row>
    <row r="402" ht="12.5" spans="6:11">
      <c r="F402" s="14"/>
      <c r="G402" s="14"/>
      <c r="H402" s="14"/>
      <c r="I402" s="14"/>
      <c r="J402" s="14"/>
      <c r="K402" s="14"/>
    </row>
    <row r="403" ht="12.5" spans="6:11">
      <c r="F403" s="14"/>
      <c r="G403" s="14"/>
      <c r="H403" s="14"/>
      <c r="I403" s="14"/>
      <c r="J403" s="14"/>
      <c r="K403" s="14"/>
    </row>
    <row r="404" ht="12.5" spans="6:11">
      <c r="F404" s="14"/>
      <c r="G404" s="14"/>
      <c r="H404" s="14"/>
      <c r="I404" s="14"/>
      <c r="J404" s="14"/>
      <c r="K404" s="14"/>
    </row>
    <row r="405" ht="12.5" spans="6:11">
      <c r="F405" s="14"/>
      <c r="G405" s="14"/>
      <c r="H405" s="14"/>
      <c r="I405" s="14"/>
      <c r="J405" s="14"/>
      <c r="K405" s="14"/>
    </row>
    <row r="406" ht="12.5" spans="6:11">
      <c r="F406" s="14"/>
      <c r="G406" s="14"/>
      <c r="H406" s="14"/>
      <c r="I406" s="14"/>
      <c r="J406" s="14"/>
      <c r="K406" s="14"/>
    </row>
    <row r="407" ht="12.5" spans="6:11">
      <c r="F407" s="14"/>
      <c r="G407" s="14"/>
      <c r="H407" s="14"/>
      <c r="I407" s="14"/>
      <c r="J407" s="14"/>
      <c r="K407" s="14"/>
    </row>
    <row r="408" ht="12.5" spans="6:11">
      <c r="F408" s="14"/>
      <c r="G408" s="14"/>
      <c r="H408" s="14"/>
      <c r="I408" s="14"/>
      <c r="J408" s="14"/>
      <c r="K408" s="14"/>
    </row>
    <row r="409" ht="12.5" spans="6:11">
      <c r="F409" s="14"/>
      <c r="G409" s="14"/>
      <c r="H409" s="14"/>
      <c r="I409" s="14"/>
      <c r="J409" s="14"/>
      <c r="K409" s="14"/>
    </row>
    <row r="410" ht="12.5" spans="6:11">
      <c r="F410" s="14"/>
      <c r="G410" s="14"/>
      <c r="H410" s="14"/>
      <c r="I410" s="14"/>
      <c r="J410" s="14"/>
      <c r="K410" s="14"/>
    </row>
    <row r="411" ht="12.5" spans="6:11">
      <c r="F411" s="14"/>
      <c r="G411" s="14"/>
      <c r="H411" s="14"/>
      <c r="I411" s="14"/>
      <c r="J411" s="14"/>
      <c r="K411" s="14"/>
    </row>
    <row r="412" ht="12.5" spans="6:11">
      <c r="F412" s="14"/>
      <c r="G412" s="14"/>
      <c r="H412" s="14"/>
      <c r="I412" s="14"/>
      <c r="J412" s="14"/>
      <c r="K412" s="14"/>
    </row>
    <row r="413" ht="12.5" spans="6:11">
      <c r="F413" s="14"/>
      <c r="G413" s="14"/>
      <c r="H413" s="14"/>
      <c r="I413" s="14"/>
      <c r="J413" s="14"/>
      <c r="K413" s="14"/>
    </row>
    <row r="414" ht="12.5" spans="6:11">
      <c r="F414" s="14"/>
      <c r="G414" s="14"/>
      <c r="H414" s="14"/>
      <c r="I414" s="14"/>
      <c r="J414" s="14"/>
      <c r="K414" s="14"/>
    </row>
    <row r="415" ht="12.5" spans="6:11">
      <c r="F415" s="14"/>
      <c r="G415" s="14"/>
      <c r="H415" s="14"/>
      <c r="I415" s="14"/>
      <c r="J415" s="14"/>
      <c r="K415" s="14"/>
    </row>
    <row r="416" ht="12.5" spans="6:11">
      <c r="F416" s="14"/>
      <c r="G416" s="14"/>
      <c r="H416" s="14"/>
      <c r="I416" s="14"/>
      <c r="J416" s="14"/>
      <c r="K416" s="14"/>
    </row>
    <row r="417" ht="12.5" spans="6:11">
      <c r="F417" s="14"/>
      <c r="G417" s="14"/>
      <c r="H417" s="14"/>
      <c r="I417" s="14"/>
      <c r="J417" s="14"/>
      <c r="K417" s="14"/>
    </row>
    <row r="418" ht="12.5" spans="6:11">
      <c r="F418" s="14"/>
      <c r="G418" s="14"/>
      <c r="H418" s="14"/>
      <c r="I418" s="14"/>
      <c r="J418" s="14"/>
      <c r="K418" s="14"/>
    </row>
    <row r="419" ht="12.5" spans="6:11">
      <c r="F419" s="14"/>
      <c r="G419" s="14"/>
      <c r="H419" s="14"/>
      <c r="I419" s="14"/>
      <c r="J419" s="14"/>
      <c r="K419" s="14"/>
    </row>
    <row r="420" ht="12.5" spans="6:11">
      <c r="F420" s="14"/>
      <c r="G420" s="14"/>
      <c r="H420" s="14"/>
      <c r="I420" s="14"/>
      <c r="J420" s="14"/>
      <c r="K420" s="14"/>
    </row>
    <row r="421" ht="12.5" spans="6:11">
      <c r="F421" s="14"/>
      <c r="G421" s="14"/>
      <c r="H421" s="14"/>
      <c r="I421" s="14"/>
      <c r="J421" s="14"/>
      <c r="K421" s="14"/>
    </row>
    <row r="422" ht="12.5" spans="6:11">
      <c r="F422" s="14"/>
      <c r="G422" s="14"/>
      <c r="H422" s="14"/>
      <c r="I422" s="14"/>
      <c r="J422" s="14"/>
      <c r="K422" s="14"/>
    </row>
    <row r="423" ht="12.5" spans="6:11">
      <c r="F423" s="14"/>
      <c r="G423" s="14"/>
      <c r="H423" s="14"/>
      <c r="I423" s="14"/>
      <c r="J423" s="14"/>
      <c r="K423" s="14"/>
    </row>
    <row r="424" ht="12.5" spans="6:11">
      <c r="F424" s="14"/>
      <c r="G424" s="14"/>
      <c r="H424" s="14"/>
      <c r="I424" s="14"/>
      <c r="J424" s="14"/>
      <c r="K424" s="14"/>
    </row>
    <row r="425" ht="12.5" spans="6:11">
      <c r="F425" s="14"/>
      <c r="G425" s="14"/>
      <c r="H425" s="14"/>
      <c r="I425" s="14"/>
      <c r="J425" s="14"/>
      <c r="K425" s="14"/>
    </row>
    <row r="426" ht="12.5" spans="6:11">
      <c r="F426" s="14"/>
      <c r="G426" s="14"/>
      <c r="H426" s="14"/>
      <c r="I426" s="14"/>
      <c r="J426" s="14"/>
      <c r="K426" s="14"/>
    </row>
    <row r="427" ht="12.5" spans="6:11">
      <c r="F427" s="14"/>
      <c r="G427" s="14"/>
      <c r="H427" s="14"/>
      <c r="I427" s="14"/>
      <c r="J427" s="14"/>
      <c r="K427" s="14"/>
    </row>
    <row r="428" ht="12.5" spans="6:11">
      <c r="F428" s="14"/>
      <c r="G428" s="14"/>
      <c r="H428" s="14"/>
      <c r="I428" s="14"/>
      <c r="J428" s="14"/>
      <c r="K428" s="14"/>
    </row>
    <row r="429" ht="12.5" spans="6:11">
      <c r="F429" s="14"/>
      <c r="G429" s="14"/>
      <c r="H429" s="14"/>
      <c r="I429" s="14"/>
      <c r="J429" s="14"/>
      <c r="K429" s="14"/>
    </row>
    <row r="430" ht="12.5" spans="6:11">
      <c r="F430" s="14"/>
      <c r="G430" s="14"/>
      <c r="H430" s="14"/>
      <c r="I430" s="14"/>
      <c r="J430" s="14"/>
      <c r="K430" s="14"/>
    </row>
    <row r="431" ht="12.5" spans="6:11">
      <c r="F431" s="14"/>
      <c r="G431" s="14"/>
      <c r="H431" s="14"/>
      <c r="I431" s="14"/>
      <c r="J431" s="14"/>
      <c r="K431" s="14"/>
    </row>
    <row r="432" ht="12.5" spans="6:11">
      <c r="F432" s="14"/>
      <c r="G432" s="14"/>
      <c r="H432" s="14"/>
      <c r="I432" s="14"/>
      <c r="J432" s="14"/>
      <c r="K432" s="14"/>
    </row>
    <row r="433" ht="12.5" spans="6:11">
      <c r="F433" s="14"/>
      <c r="G433" s="14"/>
      <c r="H433" s="14"/>
      <c r="I433" s="14"/>
      <c r="J433" s="14"/>
      <c r="K433" s="14"/>
    </row>
    <row r="434" ht="12.5" spans="6:11">
      <c r="F434" s="14"/>
      <c r="G434" s="14"/>
      <c r="H434" s="14"/>
      <c r="I434" s="14"/>
      <c r="J434" s="14"/>
      <c r="K434" s="14"/>
    </row>
    <row r="435" ht="12.5" spans="6:11">
      <c r="F435" s="14"/>
      <c r="G435" s="14"/>
      <c r="H435" s="14"/>
      <c r="I435" s="14"/>
      <c r="J435" s="14"/>
      <c r="K435" s="14"/>
    </row>
    <row r="436" ht="12.5" spans="6:11">
      <c r="F436" s="14"/>
      <c r="G436" s="14"/>
      <c r="H436" s="14"/>
      <c r="I436" s="14"/>
      <c r="J436" s="14"/>
      <c r="K436" s="14"/>
    </row>
    <row r="437" ht="12.5" spans="6:11">
      <c r="F437" s="14"/>
      <c r="G437" s="14"/>
      <c r="H437" s="14"/>
      <c r="I437" s="14"/>
      <c r="J437" s="14"/>
      <c r="K437" s="14"/>
    </row>
    <row r="438" ht="12.5" spans="6:11">
      <c r="F438" s="14"/>
      <c r="G438" s="14"/>
      <c r="H438" s="14"/>
      <c r="I438" s="14"/>
      <c r="J438" s="14"/>
      <c r="K438" s="14"/>
    </row>
    <row r="439" ht="12.5" spans="6:11">
      <c r="F439" s="14"/>
      <c r="G439" s="14"/>
      <c r="H439" s="14"/>
      <c r="I439" s="14"/>
      <c r="J439" s="14"/>
      <c r="K439" s="14"/>
    </row>
    <row r="440" ht="12.5" spans="6:11">
      <c r="F440" s="14"/>
      <c r="G440" s="14"/>
      <c r="H440" s="14"/>
      <c r="I440" s="14"/>
      <c r="J440" s="14"/>
      <c r="K440" s="14"/>
    </row>
    <row r="441" ht="12.5" spans="6:11">
      <c r="F441" s="14"/>
      <c r="G441" s="14"/>
      <c r="H441" s="14"/>
      <c r="I441" s="14"/>
      <c r="J441" s="14"/>
      <c r="K441" s="14"/>
    </row>
    <row r="442" ht="12.5" spans="6:11">
      <c r="F442" s="14"/>
      <c r="G442" s="14"/>
      <c r="H442" s="14"/>
      <c r="I442" s="14"/>
      <c r="J442" s="14"/>
      <c r="K442" s="14"/>
    </row>
    <row r="443" ht="12.5" spans="6:11">
      <c r="F443" s="14"/>
      <c r="G443" s="14"/>
      <c r="H443" s="14"/>
      <c r="I443" s="14"/>
      <c r="J443" s="14"/>
      <c r="K443" s="14"/>
    </row>
    <row r="444" ht="12.5" spans="6:11">
      <c r="F444" s="14"/>
      <c r="G444" s="14"/>
      <c r="H444" s="14"/>
      <c r="I444" s="14"/>
      <c r="J444" s="14"/>
      <c r="K444" s="14"/>
    </row>
    <row r="445" ht="12.5" spans="6:11">
      <c r="F445" s="14"/>
      <c r="G445" s="14"/>
      <c r="H445" s="14"/>
      <c r="I445" s="14"/>
      <c r="J445" s="14"/>
      <c r="K445" s="14"/>
    </row>
    <row r="446" ht="12.5" spans="6:11">
      <c r="F446" s="14"/>
      <c r="G446" s="14"/>
      <c r="H446" s="14"/>
      <c r="I446" s="14"/>
      <c r="J446" s="14"/>
      <c r="K446" s="14"/>
    </row>
    <row r="447" ht="12.5" spans="6:11">
      <c r="F447" s="14"/>
      <c r="G447" s="14"/>
      <c r="H447" s="14"/>
      <c r="I447" s="14"/>
      <c r="J447" s="14"/>
      <c r="K447" s="14"/>
    </row>
    <row r="448" ht="12.5" spans="6:11">
      <c r="F448" s="14"/>
      <c r="G448" s="14"/>
      <c r="H448" s="14"/>
      <c r="I448" s="14"/>
      <c r="J448" s="14"/>
      <c r="K448" s="14"/>
    </row>
    <row r="449" ht="12.5" spans="6:11">
      <c r="F449" s="14"/>
      <c r="G449" s="14"/>
      <c r="H449" s="14"/>
      <c r="I449" s="14"/>
      <c r="J449" s="14"/>
      <c r="K449" s="14"/>
    </row>
    <row r="450" ht="12.5" spans="6:11">
      <c r="F450" s="14"/>
      <c r="G450" s="14"/>
      <c r="H450" s="14"/>
      <c r="I450" s="14"/>
      <c r="J450" s="14"/>
      <c r="K450" s="14"/>
    </row>
    <row r="451" ht="12.5" spans="6:11">
      <c r="F451" s="14"/>
      <c r="G451" s="14"/>
      <c r="H451" s="14"/>
      <c r="I451" s="14"/>
      <c r="J451" s="14"/>
      <c r="K451" s="14"/>
    </row>
    <row r="452" ht="12.5" spans="6:11">
      <c r="F452" s="14"/>
      <c r="G452" s="14"/>
      <c r="H452" s="14"/>
      <c r="I452" s="14"/>
      <c r="J452" s="14"/>
      <c r="K452" s="14"/>
    </row>
    <row r="453" ht="12.5" spans="6:11">
      <c r="F453" s="14"/>
      <c r="G453" s="14"/>
      <c r="H453" s="14"/>
      <c r="I453" s="14"/>
      <c r="J453" s="14"/>
      <c r="K453" s="14"/>
    </row>
    <row r="454" ht="12.5" spans="6:11">
      <c r="F454" s="14"/>
      <c r="G454" s="14"/>
      <c r="H454" s="14"/>
      <c r="I454" s="14"/>
      <c r="J454" s="14"/>
      <c r="K454" s="14"/>
    </row>
    <row r="455" ht="12.5" spans="6:11">
      <c r="F455" s="14"/>
      <c r="G455" s="14"/>
      <c r="H455" s="14"/>
      <c r="I455" s="14"/>
      <c r="J455" s="14"/>
      <c r="K455" s="14"/>
    </row>
    <row r="456" ht="12.5" spans="6:11">
      <c r="F456" s="14"/>
      <c r="G456" s="14"/>
      <c r="H456" s="14"/>
      <c r="I456" s="14"/>
      <c r="J456" s="14"/>
      <c r="K456" s="14"/>
    </row>
    <row r="457" ht="12.5" spans="6:11">
      <c r="F457" s="14"/>
      <c r="G457" s="14"/>
      <c r="H457" s="14"/>
      <c r="I457" s="14"/>
      <c r="J457" s="14"/>
      <c r="K457" s="14"/>
    </row>
    <row r="458" ht="12.5" spans="6:11">
      <c r="F458" s="14"/>
      <c r="G458" s="14"/>
      <c r="H458" s="14"/>
      <c r="I458" s="14"/>
      <c r="J458" s="14"/>
      <c r="K458" s="14"/>
    </row>
    <row r="459" ht="12.5" spans="6:11">
      <c r="F459" s="14"/>
      <c r="G459" s="14"/>
      <c r="H459" s="14"/>
      <c r="I459" s="14"/>
      <c r="J459" s="14"/>
      <c r="K459" s="14"/>
    </row>
    <row r="460" ht="12.5" spans="6:11">
      <c r="F460" s="14"/>
      <c r="G460" s="14"/>
      <c r="H460" s="14"/>
      <c r="I460" s="14"/>
      <c r="J460" s="14"/>
      <c r="K460" s="14"/>
    </row>
    <row r="461" ht="12.5" spans="6:11">
      <c r="F461" s="14"/>
      <c r="G461" s="14"/>
      <c r="H461" s="14"/>
      <c r="I461" s="14"/>
      <c r="J461" s="14"/>
      <c r="K461" s="14"/>
    </row>
    <row r="462" ht="12.5" spans="6:11">
      <c r="F462" s="14"/>
      <c r="G462" s="14"/>
      <c r="H462" s="14"/>
      <c r="I462" s="14"/>
      <c r="J462" s="14"/>
      <c r="K462" s="14"/>
    </row>
    <row r="463" ht="12.5" spans="6:11">
      <c r="F463" s="14"/>
      <c r="G463" s="14"/>
      <c r="H463" s="14"/>
      <c r="I463" s="14"/>
      <c r="J463" s="14"/>
      <c r="K463" s="14"/>
    </row>
    <row r="464" ht="12.5" spans="6:11">
      <c r="F464" s="14"/>
      <c r="G464" s="14"/>
      <c r="H464" s="14"/>
      <c r="I464" s="14"/>
      <c r="J464" s="14"/>
      <c r="K464" s="14"/>
    </row>
    <row r="465" ht="12.5" spans="6:11">
      <c r="F465" s="14"/>
      <c r="G465" s="14"/>
      <c r="H465" s="14"/>
      <c r="I465" s="14"/>
      <c r="J465" s="14"/>
      <c r="K465" s="14"/>
    </row>
    <row r="466" ht="12.5" spans="6:11">
      <c r="F466" s="14"/>
      <c r="G466" s="14"/>
      <c r="H466" s="14"/>
      <c r="I466" s="14"/>
      <c r="J466" s="14"/>
      <c r="K466" s="14"/>
    </row>
    <row r="467" ht="12.5" spans="6:11">
      <c r="F467" s="14"/>
      <c r="G467" s="14"/>
      <c r="H467" s="14"/>
      <c r="I467" s="14"/>
      <c r="J467" s="14"/>
      <c r="K467" s="14"/>
    </row>
    <row r="468" ht="12.5" spans="6:11">
      <c r="F468" s="14"/>
      <c r="G468" s="14"/>
      <c r="H468" s="14"/>
      <c r="I468" s="14"/>
      <c r="J468" s="14"/>
      <c r="K468" s="14"/>
    </row>
    <row r="469" ht="12.5" spans="6:11">
      <c r="F469" s="14"/>
      <c r="G469" s="14"/>
      <c r="H469" s="14"/>
      <c r="I469" s="14"/>
      <c r="J469" s="14"/>
      <c r="K469" s="14"/>
    </row>
    <row r="470" ht="12.5" spans="6:11">
      <c r="F470" s="14"/>
      <c r="G470" s="14"/>
      <c r="H470" s="14"/>
      <c r="I470" s="14"/>
      <c r="J470" s="14"/>
      <c r="K470" s="14"/>
    </row>
    <row r="471" ht="12.5" spans="6:11">
      <c r="F471" s="14"/>
      <c r="G471" s="14"/>
      <c r="H471" s="14"/>
      <c r="I471" s="14"/>
      <c r="J471" s="14"/>
      <c r="K471" s="14"/>
    </row>
    <row r="472" ht="12.5" spans="6:11">
      <c r="F472" s="14"/>
      <c r="G472" s="14"/>
      <c r="H472" s="14"/>
      <c r="I472" s="14"/>
      <c r="J472" s="14"/>
      <c r="K472" s="14"/>
    </row>
    <row r="473" ht="12.5" spans="6:11">
      <c r="F473" s="14"/>
      <c r="G473" s="14"/>
      <c r="H473" s="14"/>
      <c r="I473" s="14"/>
      <c r="J473" s="14"/>
      <c r="K473" s="14"/>
    </row>
    <row r="474" ht="12.5" spans="6:11">
      <c r="F474" s="14"/>
      <c r="G474" s="14"/>
      <c r="H474" s="14"/>
      <c r="I474" s="14"/>
      <c r="J474" s="14"/>
      <c r="K474" s="14"/>
    </row>
    <row r="475" ht="12.5" spans="6:11">
      <c r="F475" s="14"/>
      <c r="G475" s="14"/>
      <c r="H475" s="14"/>
      <c r="I475" s="14"/>
      <c r="J475" s="14"/>
      <c r="K475" s="14"/>
    </row>
    <row r="476" ht="12.5" spans="6:11">
      <c r="F476" s="14"/>
      <c r="G476" s="14"/>
      <c r="H476" s="14"/>
      <c r="I476" s="14"/>
      <c r="J476" s="14"/>
      <c r="K476" s="14"/>
    </row>
    <row r="477" ht="12.5" spans="6:11">
      <c r="F477" s="14"/>
      <c r="G477" s="14"/>
      <c r="H477" s="14"/>
      <c r="I477" s="14"/>
      <c r="J477" s="14"/>
      <c r="K477" s="14"/>
    </row>
    <row r="478" ht="12.5" spans="6:11">
      <c r="F478" s="14"/>
      <c r="G478" s="14"/>
      <c r="H478" s="14"/>
      <c r="I478" s="14"/>
      <c r="J478" s="14"/>
      <c r="K478" s="14"/>
    </row>
    <row r="479" ht="12.5" spans="6:11">
      <c r="F479" s="14"/>
      <c r="G479" s="14"/>
      <c r="H479" s="14"/>
      <c r="I479" s="14"/>
      <c r="J479" s="14"/>
      <c r="K479" s="14"/>
    </row>
    <row r="480" ht="12.5" spans="6:11">
      <c r="F480" s="14"/>
      <c r="G480" s="14"/>
      <c r="H480" s="14"/>
      <c r="I480" s="14"/>
      <c r="J480" s="14"/>
      <c r="K480" s="14"/>
    </row>
    <row r="481" ht="12.5" spans="6:11">
      <c r="F481" s="14"/>
      <c r="G481" s="14"/>
      <c r="H481" s="14"/>
      <c r="I481" s="14"/>
      <c r="J481" s="14"/>
      <c r="K481" s="14"/>
    </row>
    <row r="482" ht="12.5" spans="6:11">
      <c r="F482" s="14"/>
      <c r="G482" s="14"/>
      <c r="H482" s="14"/>
      <c r="I482" s="14"/>
      <c r="J482" s="14"/>
      <c r="K482" s="14"/>
    </row>
    <row r="483" ht="12.5" spans="6:11">
      <c r="F483" s="14"/>
      <c r="G483" s="14"/>
      <c r="H483" s="14"/>
      <c r="I483" s="14"/>
      <c r="J483" s="14"/>
      <c r="K483" s="14"/>
    </row>
    <row r="484" ht="12.5" spans="6:11">
      <c r="F484" s="14"/>
      <c r="G484" s="14"/>
      <c r="H484" s="14"/>
      <c r="I484" s="14"/>
      <c r="J484" s="14"/>
      <c r="K484" s="14"/>
    </row>
    <row r="485" ht="12.5" spans="6:11">
      <c r="F485" s="14"/>
      <c r="G485" s="14"/>
      <c r="H485" s="14"/>
      <c r="I485" s="14"/>
      <c r="J485" s="14"/>
      <c r="K485" s="14"/>
    </row>
    <row r="486" ht="12.5" spans="6:11">
      <c r="F486" s="14"/>
      <c r="G486" s="14"/>
      <c r="H486" s="14"/>
      <c r="I486" s="14"/>
      <c r="J486" s="14"/>
      <c r="K486" s="14"/>
    </row>
    <row r="487" ht="12.5" spans="6:11">
      <c r="F487" s="14"/>
      <c r="G487" s="14"/>
      <c r="H487" s="14"/>
      <c r="I487" s="14"/>
      <c r="J487" s="14"/>
      <c r="K487" s="14"/>
    </row>
    <row r="488" ht="12.5" spans="6:11">
      <c r="F488" s="14"/>
      <c r="G488" s="14"/>
      <c r="H488" s="14"/>
      <c r="I488" s="14"/>
      <c r="J488" s="14"/>
      <c r="K488" s="14"/>
    </row>
    <row r="489" ht="12.5" spans="6:11">
      <c r="F489" s="14"/>
      <c r="G489" s="14"/>
      <c r="H489" s="14"/>
      <c r="I489" s="14"/>
      <c r="J489" s="14"/>
      <c r="K489" s="14"/>
    </row>
    <row r="490" ht="12.5" spans="6:11">
      <c r="F490" s="14"/>
      <c r="G490" s="14"/>
      <c r="H490" s="14"/>
      <c r="I490" s="14"/>
      <c r="J490" s="14"/>
      <c r="K490" s="14"/>
    </row>
    <row r="491" ht="12.5" spans="6:11">
      <c r="F491" s="14"/>
      <c r="G491" s="14"/>
      <c r="H491" s="14"/>
      <c r="I491" s="14"/>
      <c r="J491" s="14"/>
      <c r="K491" s="14"/>
    </row>
    <row r="492" ht="12.5" spans="6:11">
      <c r="F492" s="14"/>
      <c r="G492" s="14"/>
      <c r="H492" s="14"/>
      <c r="I492" s="14"/>
      <c r="J492" s="14"/>
      <c r="K492" s="14"/>
    </row>
    <row r="493" ht="12.5" spans="6:11">
      <c r="F493" s="14"/>
      <c r="G493" s="14"/>
      <c r="H493" s="14"/>
      <c r="I493" s="14"/>
      <c r="J493" s="14"/>
      <c r="K493" s="14"/>
    </row>
    <row r="494" ht="12.5" spans="6:11">
      <c r="F494" s="14"/>
      <c r="G494" s="14"/>
      <c r="H494" s="14"/>
      <c r="I494" s="14"/>
      <c r="J494" s="14"/>
      <c r="K494" s="14"/>
    </row>
    <row r="495" ht="12.5" spans="6:11">
      <c r="F495" s="14"/>
      <c r="G495" s="14"/>
      <c r="H495" s="14"/>
      <c r="I495" s="14"/>
      <c r="J495" s="14"/>
      <c r="K495" s="14"/>
    </row>
    <row r="496" ht="12.5" spans="6:11">
      <c r="F496" s="14"/>
      <c r="G496" s="14"/>
      <c r="H496" s="14"/>
      <c r="I496" s="14"/>
      <c r="J496" s="14"/>
      <c r="K496" s="14"/>
    </row>
    <row r="497" ht="12.5" spans="6:11">
      <c r="F497" s="14"/>
      <c r="G497" s="14"/>
      <c r="H497" s="14"/>
      <c r="I497" s="14"/>
      <c r="J497" s="14"/>
      <c r="K497" s="14"/>
    </row>
    <row r="498" ht="12.5" spans="6:11">
      <c r="F498" s="14"/>
      <c r="G498" s="14"/>
      <c r="H498" s="14"/>
      <c r="I498" s="14"/>
      <c r="J498" s="14"/>
      <c r="K498" s="14"/>
    </row>
    <row r="499" ht="12.5" spans="6:11">
      <c r="F499" s="14"/>
      <c r="G499" s="14"/>
      <c r="H499" s="14"/>
      <c r="I499" s="14"/>
      <c r="J499" s="14"/>
      <c r="K499" s="14"/>
    </row>
    <row r="500" ht="12.5" spans="6:11">
      <c r="F500" s="14"/>
      <c r="G500" s="14"/>
      <c r="H500" s="14"/>
      <c r="I500" s="14"/>
      <c r="J500" s="14"/>
      <c r="K500" s="14"/>
    </row>
    <row r="501" ht="12.5" spans="6:11">
      <c r="F501" s="14"/>
      <c r="G501" s="14"/>
      <c r="H501" s="14"/>
      <c r="I501" s="14"/>
      <c r="J501" s="14"/>
      <c r="K501" s="14"/>
    </row>
    <row r="502" ht="12.5" spans="6:11">
      <c r="F502" s="14"/>
      <c r="G502" s="14"/>
      <c r="H502" s="14"/>
      <c r="I502" s="14"/>
      <c r="J502" s="14"/>
      <c r="K502" s="14"/>
    </row>
    <row r="503" ht="12.5" spans="6:11">
      <c r="F503" s="14"/>
      <c r="G503" s="14"/>
      <c r="H503" s="14"/>
      <c r="I503" s="14"/>
      <c r="J503" s="14"/>
      <c r="K503" s="14"/>
    </row>
    <row r="504" ht="12.5" spans="6:11">
      <c r="F504" s="14"/>
      <c r="G504" s="14"/>
      <c r="H504" s="14"/>
      <c r="I504" s="14"/>
      <c r="J504" s="14"/>
      <c r="K504" s="14"/>
    </row>
    <row r="505" ht="12.5" spans="6:11">
      <c r="F505" s="14"/>
      <c r="G505" s="14"/>
      <c r="H505" s="14"/>
      <c r="I505" s="14"/>
      <c r="J505" s="14"/>
      <c r="K505" s="14"/>
    </row>
    <row r="506" ht="12.5" spans="6:11">
      <c r="F506" s="14"/>
      <c r="G506" s="14"/>
      <c r="H506" s="14"/>
      <c r="I506" s="14"/>
      <c r="J506" s="14"/>
      <c r="K506" s="14"/>
    </row>
    <row r="507" ht="12.5" spans="6:11">
      <c r="F507" s="14"/>
      <c r="G507" s="14"/>
      <c r="H507" s="14"/>
      <c r="I507" s="14"/>
      <c r="J507" s="14"/>
      <c r="K507" s="14"/>
    </row>
    <row r="508" ht="12.5" spans="6:11">
      <c r="F508" s="14"/>
      <c r="G508" s="14"/>
      <c r="H508" s="14"/>
      <c r="I508" s="14"/>
      <c r="J508" s="14"/>
      <c r="K508" s="14"/>
    </row>
    <row r="509" ht="12.5" spans="6:11">
      <c r="F509" s="14"/>
      <c r="G509" s="14"/>
      <c r="H509" s="14"/>
      <c r="I509" s="14"/>
      <c r="J509" s="14"/>
      <c r="K509" s="14"/>
    </row>
    <row r="510" ht="12.5" spans="6:11">
      <c r="F510" s="14"/>
      <c r="G510" s="14"/>
      <c r="H510" s="14"/>
      <c r="I510" s="14"/>
      <c r="J510" s="14"/>
      <c r="K510" s="14"/>
    </row>
    <row r="511" ht="12.5" spans="6:11">
      <c r="F511" s="14"/>
      <c r="G511" s="14"/>
      <c r="H511" s="14"/>
      <c r="I511" s="14"/>
      <c r="J511" s="14"/>
      <c r="K511" s="14"/>
    </row>
    <row r="512" ht="12.5" spans="6:11">
      <c r="F512" s="14"/>
      <c r="G512" s="14"/>
      <c r="H512" s="14"/>
      <c r="I512" s="14"/>
      <c r="J512" s="14"/>
      <c r="K512" s="14"/>
    </row>
    <row r="513" ht="12.5" spans="6:11">
      <c r="F513" s="14"/>
      <c r="G513" s="14"/>
      <c r="H513" s="14"/>
      <c r="I513" s="14"/>
      <c r="J513" s="14"/>
      <c r="K513" s="14"/>
    </row>
    <row r="514" ht="12.5" spans="6:11">
      <c r="F514" s="14"/>
      <c r="G514" s="14"/>
      <c r="H514" s="14"/>
      <c r="I514" s="14"/>
      <c r="J514" s="14"/>
      <c r="K514" s="14"/>
    </row>
    <row r="515" ht="12.5" spans="6:11">
      <c r="F515" s="14"/>
      <c r="G515" s="14"/>
      <c r="H515" s="14"/>
      <c r="I515" s="14"/>
      <c r="J515" s="14"/>
      <c r="K515" s="14"/>
    </row>
    <row r="516" ht="12.5" spans="6:11">
      <c r="F516" s="14"/>
      <c r="G516" s="14"/>
      <c r="H516" s="14"/>
      <c r="I516" s="14"/>
      <c r="J516" s="14"/>
      <c r="K516" s="14"/>
    </row>
    <row r="517" ht="12.5" spans="6:11">
      <c r="F517" s="14"/>
      <c r="G517" s="14"/>
      <c r="H517" s="14"/>
      <c r="I517" s="14"/>
      <c r="J517" s="14"/>
      <c r="K517" s="14"/>
    </row>
    <row r="518" ht="12.5" spans="6:11">
      <c r="F518" s="14"/>
      <c r="G518" s="14"/>
      <c r="H518" s="14"/>
      <c r="I518" s="14"/>
      <c r="J518" s="14"/>
      <c r="K518" s="14"/>
    </row>
    <row r="519" ht="12.5" spans="6:11">
      <c r="F519" s="14"/>
      <c r="G519" s="14"/>
      <c r="H519" s="14"/>
      <c r="I519" s="14"/>
      <c r="J519" s="14"/>
      <c r="K519" s="14"/>
    </row>
    <row r="520" ht="12.5" spans="6:11">
      <c r="F520" s="14"/>
      <c r="G520" s="14"/>
      <c r="H520" s="14"/>
      <c r="I520" s="14"/>
      <c r="J520" s="14"/>
      <c r="K520" s="14"/>
    </row>
    <row r="521" ht="12.5" spans="6:11">
      <c r="F521" s="14"/>
      <c r="G521" s="14"/>
      <c r="H521" s="14"/>
      <c r="I521" s="14"/>
      <c r="J521" s="14"/>
      <c r="K521" s="14"/>
    </row>
    <row r="522" ht="12.5" spans="6:11">
      <c r="F522" s="14"/>
      <c r="G522" s="14"/>
      <c r="H522" s="14"/>
      <c r="I522" s="14"/>
      <c r="J522" s="14"/>
      <c r="K522" s="14"/>
    </row>
    <row r="523" ht="12.5" spans="6:11">
      <c r="F523" s="14"/>
      <c r="G523" s="14"/>
      <c r="H523" s="14"/>
      <c r="I523" s="14"/>
      <c r="J523" s="14"/>
      <c r="K523" s="14"/>
    </row>
    <row r="524" ht="12.5" spans="6:11">
      <c r="F524" s="14"/>
      <c r="G524" s="14"/>
      <c r="H524" s="14"/>
      <c r="I524" s="14"/>
      <c r="J524" s="14"/>
      <c r="K524" s="14"/>
    </row>
    <row r="525" ht="12.5" spans="6:11">
      <c r="F525" s="14"/>
      <c r="G525" s="14"/>
      <c r="H525" s="14"/>
      <c r="I525" s="14"/>
      <c r="J525" s="14"/>
      <c r="K525" s="14"/>
    </row>
    <row r="526" ht="12.5" spans="6:11">
      <c r="F526" s="14"/>
      <c r="G526" s="14"/>
      <c r="H526" s="14"/>
      <c r="I526" s="14"/>
      <c r="J526" s="14"/>
      <c r="K526" s="14"/>
    </row>
    <row r="527" ht="12.5" spans="6:11">
      <c r="F527" s="14"/>
      <c r="G527" s="14"/>
      <c r="H527" s="14"/>
      <c r="I527" s="14"/>
      <c r="J527" s="14"/>
      <c r="K527" s="14"/>
    </row>
    <row r="528" ht="12.5" spans="6:11">
      <c r="F528" s="14"/>
      <c r="G528" s="14"/>
      <c r="H528" s="14"/>
      <c r="I528" s="14"/>
      <c r="J528" s="14"/>
      <c r="K528" s="14"/>
    </row>
    <row r="529" ht="12.5" spans="6:11">
      <c r="F529" s="14"/>
      <c r="G529" s="14"/>
      <c r="H529" s="14"/>
      <c r="I529" s="14"/>
      <c r="J529" s="14"/>
      <c r="K529" s="14"/>
    </row>
    <row r="530" ht="12.5" spans="6:11">
      <c r="F530" s="14"/>
      <c r="G530" s="14"/>
      <c r="H530" s="14"/>
      <c r="I530" s="14"/>
      <c r="J530" s="14"/>
      <c r="K530" s="14"/>
    </row>
    <row r="531" ht="12.5" spans="6:11">
      <c r="F531" s="14"/>
      <c r="G531" s="14"/>
      <c r="H531" s="14"/>
      <c r="I531" s="14"/>
      <c r="J531" s="14"/>
      <c r="K531" s="14"/>
    </row>
    <row r="532" ht="12.5" spans="6:11">
      <c r="F532" s="14"/>
      <c r="G532" s="14"/>
      <c r="H532" s="14"/>
      <c r="I532" s="14"/>
      <c r="J532" s="14"/>
      <c r="K532" s="14"/>
    </row>
    <row r="533" ht="12.5" spans="6:11">
      <c r="F533" s="14"/>
      <c r="G533" s="14"/>
      <c r="H533" s="14"/>
      <c r="I533" s="14"/>
      <c r="J533" s="14"/>
      <c r="K533" s="14"/>
    </row>
    <row r="534" ht="12.5" spans="6:11">
      <c r="F534" s="14"/>
      <c r="G534" s="14"/>
      <c r="H534" s="14"/>
      <c r="I534" s="14"/>
      <c r="J534" s="14"/>
      <c r="K534" s="14"/>
    </row>
    <row r="535" ht="12.5" spans="6:11">
      <c r="F535" s="14"/>
      <c r="G535" s="14"/>
      <c r="H535" s="14"/>
      <c r="I535" s="14"/>
      <c r="J535" s="14"/>
      <c r="K535" s="14"/>
    </row>
    <row r="536" ht="12.5" spans="6:11">
      <c r="F536" s="14"/>
      <c r="G536" s="14"/>
      <c r="H536" s="14"/>
      <c r="I536" s="14"/>
      <c r="J536" s="14"/>
      <c r="K536" s="14"/>
    </row>
    <row r="537" ht="12.5" spans="6:11">
      <c r="F537" s="14"/>
      <c r="G537" s="14"/>
      <c r="H537" s="14"/>
      <c r="I537" s="14"/>
      <c r="J537" s="14"/>
      <c r="K537" s="14"/>
    </row>
    <row r="538" ht="12.5" spans="6:11">
      <c r="F538" s="14"/>
      <c r="G538" s="14"/>
      <c r="H538" s="14"/>
      <c r="I538" s="14"/>
      <c r="J538" s="14"/>
      <c r="K538" s="14"/>
    </row>
    <row r="539" ht="12.5" spans="6:11">
      <c r="F539" s="14"/>
      <c r="G539" s="14"/>
      <c r="H539" s="14"/>
      <c r="I539" s="14"/>
      <c r="J539" s="14"/>
      <c r="K539" s="14"/>
    </row>
    <row r="540" ht="12.5" spans="6:11">
      <c r="F540" s="14"/>
      <c r="G540" s="14"/>
      <c r="H540" s="14"/>
      <c r="I540" s="14"/>
      <c r="J540" s="14"/>
      <c r="K540" s="14"/>
    </row>
    <row r="541" ht="12.5" spans="6:11">
      <c r="F541" s="14"/>
      <c r="G541" s="14"/>
      <c r="H541" s="14"/>
      <c r="I541" s="14"/>
      <c r="J541" s="14"/>
      <c r="K541" s="14"/>
    </row>
    <row r="542" ht="12.5" spans="6:11">
      <c r="F542" s="14"/>
      <c r="G542" s="14"/>
      <c r="H542" s="14"/>
      <c r="I542" s="14"/>
      <c r="J542" s="14"/>
      <c r="K542" s="14"/>
    </row>
    <row r="543" ht="12.5" spans="6:11">
      <c r="F543" s="14"/>
      <c r="G543" s="14"/>
      <c r="H543" s="14"/>
      <c r="I543" s="14"/>
      <c r="J543" s="14"/>
      <c r="K543" s="14"/>
    </row>
    <row r="544" ht="12.5" spans="6:11">
      <c r="F544" s="14"/>
      <c r="G544" s="14"/>
      <c r="H544" s="14"/>
      <c r="I544" s="14"/>
      <c r="J544" s="14"/>
      <c r="K544" s="14"/>
    </row>
    <row r="545" ht="12.5" spans="6:11">
      <c r="F545" s="14"/>
      <c r="G545" s="14"/>
      <c r="H545" s="14"/>
      <c r="I545" s="14"/>
      <c r="J545" s="14"/>
      <c r="K545" s="14"/>
    </row>
    <row r="546" ht="12.5" spans="6:11">
      <c r="F546" s="14"/>
      <c r="G546" s="14"/>
      <c r="H546" s="14"/>
      <c r="I546" s="14"/>
      <c r="J546" s="14"/>
      <c r="K546" s="14"/>
    </row>
    <row r="547" ht="12.5" spans="6:11">
      <c r="F547" s="14"/>
      <c r="G547" s="14"/>
      <c r="H547" s="14"/>
      <c r="I547" s="14"/>
      <c r="J547" s="14"/>
      <c r="K547" s="14"/>
    </row>
    <row r="548" ht="12.5" spans="6:11">
      <c r="F548" s="14"/>
      <c r="G548" s="14"/>
      <c r="H548" s="14"/>
      <c r="I548" s="14"/>
      <c r="J548" s="14"/>
      <c r="K548" s="14"/>
    </row>
    <row r="549" ht="12.5" spans="6:11">
      <c r="F549" s="14"/>
      <c r="G549" s="14"/>
      <c r="H549" s="14"/>
      <c r="I549" s="14"/>
      <c r="J549" s="14"/>
      <c r="K549" s="14"/>
    </row>
    <row r="550" ht="12.5" spans="6:11">
      <c r="F550" s="14"/>
      <c r="G550" s="14"/>
      <c r="H550" s="14"/>
      <c r="I550" s="14"/>
      <c r="J550" s="14"/>
      <c r="K550" s="14"/>
    </row>
    <row r="551" ht="12.5" spans="6:11">
      <c r="F551" s="14"/>
      <c r="G551" s="14"/>
      <c r="H551" s="14"/>
      <c r="I551" s="14"/>
      <c r="J551" s="14"/>
      <c r="K551" s="14"/>
    </row>
    <row r="552" ht="12.5" spans="6:11">
      <c r="F552" s="14"/>
      <c r="G552" s="14"/>
      <c r="H552" s="14"/>
      <c r="I552" s="14"/>
      <c r="J552" s="14"/>
      <c r="K552" s="14"/>
    </row>
    <row r="553" ht="12.5" spans="6:11">
      <c r="F553" s="14"/>
      <c r="G553" s="14"/>
      <c r="H553" s="14"/>
      <c r="I553" s="14"/>
      <c r="J553" s="14"/>
      <c r="K553" s="14"/>
    </row>
    <row r="554" ht="12.5" spans="6:11">
      <c r="F554" s="14"/>
      <c r="G554" s="14"/>
      <c r="H554" s="14"/>
      <c r="I554" s="14"/>
      <c r="J554" s="14"/>
      <c r="K554" s="14"/>
    </row>
    <row r="555" ht="12.5" spans="6:11">
      <c r="F555" s="14"/>
      <c r="G555" s="14"/>
      <c r="H555" s="14"/>
      <c r="I555" s="14"/>
      <c r="J555" s="14"/>
      <c r="K555" s="14"/>
    </row>
    <row r="556" ht="12.5" spans="6:11">
      <c r="F556" s="14"/>
      <c r="G556" s="14"/>
      <c r="H556" s="14"/>
      <c r="I556" s="14"/>
      <c r="J556" s="14"/>
      <c r="K556" s="14"/>
    </row>
    <row r="557" ht="12.5" spans="6:11">
      <c r="F557" s="14"/>
      <c r="G557" s="14"/>
      <c r="H557" s="14"/>
      <c r="I557" s="14"/>
      <c r="J557" s="14"/>
      <c r="K557" s="14"/>
    </row>
    <row r="558" ht="12.5" spans="6:11">
      <c r="F558" s="14"/>
      <c r="G558" s="14"/>
      <c r="H558" s="14"/>
      <c r="I558" s="14"/>
      <c r="J558" s="14"/>
      <c r="K558" s="14"/>
    </row>
    <row r="559" ht="12.5" spans="6:11">
      <c r="F559" s="14"/>
      <c r="G559" s="14"/>
      <c r="H559" s="14"/>
      <c r="I559" s="14"/>
      <c r="J559" s="14"/>
      <c r="K559" s="14"/>
    </row>
    <row r="560" ht="12.5" spans="6:11">
      <c r="F560" s="14"/>
      <c r="G560" s="14"/>
      <c r="H560" s="14"/>
      <c r="I560" s="14"/>
      <c r="J560" s="14"/>
      <c r="K560" s="14"/>
    </row>
    <row r="561" ht="12.5" spans="6:11">
      <c r="F561" s="14"/>
      <c r="G561" s="14"/>
      <c r="H561" s="14"/>
      <c r="I561" s="14"/>
      <c r="J561" s="14"/>
      <c r="K561" s="14"/>
    </row>
    <row r="562" ht="12.5" spans="6:11">
      <c r="F562" s="14"/>
      <c r="G562" s="14"/>
      <c r="H562" s="14"/>
      <c r="I562" s="14"/>
      <c r="J562" s="14"/>
      <c r="K562" s="14"/>
    </row>
    <row r="563" ht="12.5" spans="6:11">
      <c r="F563" s="14"/>
      <c r="G563" s="14"/>
      <c r="H563" s="14"/>
      <c r="I563" s="14"/>
      <c r="J563" s="14"/>
      <c r="K563" s="14"/>
    </row>
    <row r="564" ht="12.5" spans="6:11">
      <c r="F564" s="14"/>
      <c r="G564" s="14"/>
      <c r="H564" s="14"/>
      <c r="I564" s="14"/>
      <c r="J564" s="14"/>
      <c r="K564" s="14"/>
    </row>
    <row r="565" ht="12.5" spans="6:11">
      <c r="F565" s="14"/>
      <c r="G565" s="14"/>
      <c r="H565" s="14"/>
      <c r="I565" s="14"/>
      <c r="J565" s="14"/>
      <c r="K565" s="14"/>
    </row>
    <row r="566" ht="12.5" spans="6:11">
      <c r="F566" s="14"/>
      <c r="G566" s="14"/>
      <c r="H566" s="14"/>
      <c r="I566" s="14"/>
      <c r="J566" s="14"/>
      <c r="K566" s="14"/>
    </row>
    <row r="567" ht="12.5" spans="6:11">
      <c r="F567" s="14"/>
      <c r="G567" s="14"/>
      <c r="H567" s="14"/>
      <c r="I567" s="14"/>
      <c r="J567" s="14"/>
      <c r="K567" s="14"/>
    </row>
    <row r="568" ht="12.5" spans="6:11">
      <c r="F568" s="14"/>
      <c r="G568" s="14"/>
      <c r="H568" s="14"/>
      <c r="I568" s="14"/>
      <c r="J568" s="14"/>
      <c r="K568" s="14"/>
    </row>
    <row r="569" ht="12.5" spans="6:11">
      <c r="F569" s="14"/>
      <c r="G569" s="14"/>
      <c r="H569" s="14"/>
      <c r="I569" s="14"/>
      <c r="J569" s="14"/>
      <c r="K569" s="14"/>
    </row>
    <row r="570" ht="12.5" spans="6:11">
      <c r="F570" s="14"/>
      <c r="G570" s="14"/>
      <c r="H570" s="14"/>
      <c r="I570" s="14"/>
      <c r="J570" s="14"/>
      <c r="K570" s="14"/>
    </row>
    <row r="571" ht="12.5" spans="6:11">
      <c r="F571" s="14"/>
      <c r="G571" s="14"/>
      <c r="H571" s="14"/>
      <c r="I571" s="14"/>
      <c r="J571" s="14"/>
      <c r="K571" s="14"/>
    </row>
    <row r="572" ht="12.5" spans="6:11">
      <c r="F572" s="14"/>
      <c r="G572" s="14"/>
      <c r="H572" s="14"/>
      <c r="I572" s="14"/>
      <c r="J572" s="14"/>
      <c r="K572" s="14"/>
    </row>
    <row r="573" ht="12.5" spans="6:11">
      <c r="F573" s="14"/>
      <c r="G573" s="14"/>
      <c r="H573" s="14"/>
      <c r="I573" s="14"/>
      <c r="J573" s="14"/>
      <c r="K573" s="14"/>
    </row>
    <row r="574" ht="12.5" spans="6:11">
      <c r="F574" s="14"/>
      <c r="G574" s="14"/>
      <c r="H574" s="14"/>
      <c r="I574" s="14"/>
      <c r="J574" s="14"/>
      <c r="K574" s="14"/>
    </row>
    <row r="575" ht="12.5" spans="6:11">
      <c r="F575" s="14"/>
      <c r="G575" s="14"/>
      <c r="H575" s="14"/>
      <c r="I575" s="14"/>
      <c r="J575" s="14"/>
      <c r="K575" s="14"/>
    </row>
    <row r="576" ht="12.5" spans="6:11">
      <c r="F576" s="14"/>
      <c r="G576" s="14"/>
      <c r="H576" s="14"/>
      <c r="I576" s="14"/>
      <c r="J576" s="14"/>
      <c r="K576" s="14"/>
    </row>
    <row r="577" ht="12.5" spans="6:11">
      <c r="F577" s="14"/>
      <c r="G577" s="14"/>
      <c r="H577" s="14"/>
      <c r="I577" s="14"/>
      <c r="J577" s="14"/>
      <c r="K577" s="14"/>
    </row>
    <row r="578" ht="12.5" spans="6:11">
      <c r="F578" s="14"/>
      <c r="G578" s="14"/>
      <c r="H578" s="14"/>
      <c r="I578" s="14"/>
      <c r="J578" s="14"/>
      <c r="K578" s="14"/>
    </row>
    <row r="579" ht="12.5" spans="6:11">
      <c r="F579" s="14"/>
      <c r="G579" s="14"/>
      <c r="H579" s="14"/>
      <c r="I579" s="14"/>
      <c r="J579" s="14"/>
      <c r="K579" s="14"/>
    </row>
    <row r="580" ht="12.5" spans="6:11">
      <c r="F580" s="14"/>
      <c r="G580" s="14"/>
      <c r="H580" s="14"/>
      <c r="I580" s="14"/>
      <c r="J580" s="14"/>
      <c r="K580" s="14"/>
    </row>
    <row r="581" ht="12.5" spans="6:11">
      <c r="F581" s="14"/>
      <c r="G581" s="14"/>
      <c r="H581" s="14"/>
      <c r="I581" s="14"/>
      <c r="J581" s="14"/>
      <c r="K581" s="14"/>
    </row>
    <row r="582" ht="12.5" spans="6:11">
      <c r="F582" s="14"/>
      <c r="G582" s="14"/>
      <c r="H582" s="14"/>
      <c r="I582" s="14"/>
      <c r="J582" s="14"/>
      <c r="K582" s="14"/>
    </row>
    <row r="583" ht="12.5" spans="6:11">
      <c r="F583" s="14"/>
      <c r="G583" s="14"/>
      <c r="H583" s="14"/>
      <c r="I583" s="14"/>
      <c r="J583" s="14"/>
      <c r="K583" s="14"/>
    </row>
    <row r="584" ht="12.5" spans="6:11">
      <c r="F584" s="14"/>
      <c r="G584" s="14"/>
      <c r="H584" s="14"/>
      <c r="I584" s="14"/>
      <c r="J584" s="14"/>
      <c r="K584" s="14"/>
    </row>
    <row r="585" ht="12.5" spans="6:11">
      <c r="F585" s="14"/>
      <c r="G585" s="14"/>
      <c r="H585" s="14"/>
      <c r="I585" s="14"/>
      <c r="J585" s="14"/>
      <c r="K585" s="14"/>
    </row>
    <row r="586" ht="12.5" spans="6:11">
      <c r="F586" s="14"/>
      <c r="G586" s="14"/>
      <c r="H586" s="14"/>
      <c r="I586" s="14"/>
      <c r="J586" s="14"/>
      <c r="K586" s="14"/>
    </row>
    <row r="587" ht="12.5" spans="6:11">
      <c r="F587" s="14"/>
      <c r="G587" s="14"/>
      <c r="H587" s="14"/>
      <c r="I587" s="14"/>
      <c r="J587" s="14"/>
      <c r="K587" s="14"/>
    </row>
    <row r="588" ht="12.5" spans="6:11">
      <c r="F588" s="14"/>
      <c r="G588" s="14"/>
      <c r="H588" s="14"/>
      <c r="I588" s="14"/>
      <c r="J588" s="14"/>
      <c r="K588" s="14"/>
    </row>
    <row r="589" ht="12.5" spans="6:11">
      <c r="F589" s="14"/>
      <c r="G589" s="14"/>
      <c r="H589" s="14"/>
      <c r="I589" s="14"/>
      <c r="J589" s="14"/>
      <c r="K589" s="14"/>
    </row>
    <row r="590" ht="12.5" spans="6:11">
      <c r="F590" s="14"/>
      <c r="G590" s="14"/>
      <c r="H590" s="14"/>
      <c r="I590" s="14"/>
      <c r="J590" s="14"/>
      <c r="K590" s="14"/>
    </row>
    <row r="591" ht="12.5" spans="6:11">
      <c r="F591" s="14"/>
      <c r="G591" s="14"/>
      <c r="H591" s="14"/>
      <c r="I591" s="14"/>
      <c r="J591" s="14"/>
      <c r="K591" s="14"/>
    </row>
    <row r="592" ht="12.5" spans="6:11">
      <c r="F592" s="14"/>
      <c r="G592" s="14"/>
      <c r="H592" s="14"/>
      <c r="I592" s="14"/>
      <c r="J592" s="14"/>
      <c r="K592" s="14"/>
    </row>
    <row r="593" ht="12.5" spans="6:11">
      <c r="F593" s="14"/>
      <c r="G593" s="14"/>
      <c r="H593" s="14"/>
      <c r="I593" s="14"/>
      <c r="J593" s="14"/>
      <c r="K593" s="14"/>
    </row>
    <row r="594" ht="12.5" spans="6:11">
      <c r="F594" s="14"/>
      <c r="G594" s="14"/>
      <c r="H594" s="14"/>
      <c r="I594" s="14"/>
      <c r="J594" s="14"/>
      <c r="K594" s="14"/>
    </row>
    <row r="595" ht="12.5" spans="6:11">
      <c r="F595" s="14"/>
      <c r="G595" s="14"/>
      <c r="H595" s="14"/>
      <c r="I595" s="14"/>
      <c r="J595" s="14"/>
      <c r="K595" s="14"/>
    </row>
    <row r="596" ht="12.5" spans="6:11">
      <c r="F596" s="14"/>
      <c r="G596" s="14"/>
      <c r="H596" s="14"/>
      <c r="I596" s="14"/>
      <c r="J596" s="14"/>
      <c r="K596" s="14"/>
    </row>
    <row r="597" ht="12.5" spans="6:11">
      <c r="F597" s="14"/>
      <c r="G597" s="14"/>
      <c r="H597" s="14"/>
      <c r="I597" s="14"/>
      <c r="J597" s="14"/>
      <c r="K597" s="14"/>
    </row>
    <row r="598" ht="12.5" spans="6:11">
      <c r="F598" s="14"/>
      <c r="G598" s="14"/>
      <c r="H598" s="14"/>
      <c r="I598" s="14"/>
      <c r="J598" s="14"/>
      <c r="K598" s="14"/>
    </row>
    <row r="599" ht="12.5" spans="6:11">
      <c r="F599" s="14"/>
      <c r="G599" s="14"/>
      <c r="H599" s="14"/>
      <c r="I599" s="14"/>
      <c r="J599" s="14"/>
      <c r="K599" s="14"/>
    </row>
    <row r="600" ht="12.5" spans="6:11">
      <c r="F600" s="14"/>
      <c r="G600" s="14"/>
      <c r="H600" s="14"/>
      <c r="I600" s="14"/>
      <c r="J600" s="14"/>
      <c r="K600" s="14"/>
    </row>
    <row r="601" ht="12.5" spans="6:11">
      <c r="F601" s="14"/>
      <c r="G601" s="14"/>
      <c r="H601" s="14"/>
      <c r="I601" s="14"/>
      <c r="J601" s="14"/>
      <c r="K601" s="14"/>
    </row>
    <row r="602" ht="12.5" spans="6:11">
      <c r="F602" s="14"/>
      <c r="G602" s="14"/>
      <c r="H602" s="14"/>
      <c r="I602" s="14"/>
      <c r="J602" s="14"/>
      <c r="K602" s="14"/>
    </row>
    <row r="603" ht="12.5" spans="6:11">
      <c r="F603" s="14"/>
      <c r="G603" s="14"/>
      <c r="H603" s="14"/>
      <c r="I603" s="14"/>
      <c r="J603" s="14"/>
      <c r="K603" s="14"/>
    </row>
    <row r="604" ht="12.5" spans="6:11">
      <c r="F604" s="14"/>
      <c r="G604" s="14"/>
      <c r="H604" s="14"/>
      <c r="I604" s="14"/>
      <c r="J604" s="14"/>
      <c r="K604" s="14"/>
    </row>
    <row r="605" ht="12.5" spans="6:11">
      <c r="F605" s="14"/>
      <c r="G605" s="14"/>
      <c r="H605" s="14"/>
      <c r="I605" s="14"/>
      <c r="J605" s="14"/>
      <c r="K605" s="14"/>
    </row>
    <row r="606" ht="12.5" spans="6:11">
      <c r="F606" s="14"/>
      <c r="G606" s="14"/>
      <c r="H606" s="14"/>
      <c r="I606" s="14"/>
      <c r="J606" s="14"/>
      <c r="K606" s="14"/>
    </row>
    <row r="607" ht="12.5" spans="6:11">
      <c r="F607" s="14"/>
      <c r="G607" s="14"/>
      <c r="H607" s="14"/>
      <c r="I607" s="14"/>
      <c r="J607" s="14"/>
      <c r="K607" s="14"/>
    </row>
    <row r="608" ht="12.5" spans="6:11">
      <c r="F608" s="14"/>
      <c r="G608" s="14"/>
      <c r="H608" s="14"/>
      <c r="I608" s="14"/>
      <c r="J608" s="14"/>
      <c r="K608" s="14"/>
    </row>
    <row r="609" ht="12.5" spans="6:11">
      <c r="F609" s="14"/>
      <c r="G609" s="14"/>
      <c r="H609" s="14"/>
      <c r="I609" s="14"/>
      <c r="J609" s="14"/>
      <c r="K609" s="14"/>
    </row>
    <row r="610" ht="12.5" spans="6:11">
      <c r="F610" s="14"/>
      <c r="G610" s="14"/>
      <c r="H610" s="14"/>
      <c r="I610" s="14"/>
      <c r="J610" s="14"/>
      <c r="K610" s="14"/>
    </row>
    <row r="611" ht="12.5" spans="6:11">
      <c r="F611" s="14"/>
      <c r="G611" s="14"/>
      <c r="H611" s="14"/>
      <c r="I611" s="14"/>
      <c r="J611" s="14"/>
      <c r="K611" s="14"/>
    </row>
    <row r="612" ht="12.5" spans="6:11">
      <c r="F612" s="14"/>
      <c r="G612" s="14"/>
      <c r="H612" s="14"/>
      <c r="I612" s="14"/>
      <c r="J612" s="14"/>
      <c r="K612" s="14"/>
    </row>
    <row r="613" ht="12.5" spans="6:11">
      <c r="F613" s="14"/>
      <c r="G613" s="14"/>
      <c r="H613" s="14"/>
      <c r="I613" s="14"/>
      <c r="J613" s="14"/>
      <c r="K613" s="14"/>
    </row>
    <row r="614" ht="12.5" spans="6:11">
      <c r="F614" s="14"/>
      <c r="G614" s="14"/>
      <c r="H614" s="14"/>
      <c r="I614" s="14"/>
      <c r="J614" s="14"/>
      <c r="K614" s="14"/>
    </row>
    <row r="615" ht="12.5" spans="6:11">
      <c r="F615" s="14"/>
      <c r="G615" s="14"/>
      <c r="H615" s="14"/>
      <c r="I615" s="14"/>
      <c r="J615" s="14"/>
      <c r="K615" s="14"/>
    </row>
    <row r="616" ht="12.5" spans="6:11">
      <c r="F616" s="14"/>
      <c r="G616" s="14"/>
      <c r="H616" s="14"/>
      <c r="I616" s="14"/>
      <c r="J616" s="14"/>
      <c r="K616" s="14"/>
    </row>
    <row r="617" ht="12.5" spans="6:11">
      <c r="F617" s="14"/>
      <c r="G617" s="14"/>
      <c r="H617" s="14"/>
      <c r="I617" s="14"/>
      <c r="J617" s="14"/>
      <c r="K617" s="14"/>
    </row>
    <row r="618" ht="12.5" spans="6:11">
      <c r="F618" s="14"/>
      <c r="G618" s="14"/>
      <c r="H618" s="14"/>
      <c r="I618" s="14"/>
      <c r="J618" s="14"/>
      <c r="K618" s="14"/>
    </row>
    <row r="619" ht="12.5" spans="6:11">
      <c r="F619" s="14"/>
      <c r="G619" s="14"/>
      <c r="H619" s="14"/>
      <c r="I619" s="14"/>
      <c r="J619" s="14"/>
      <c r="K619" s="14"/>
    </row>
    <row r="620" ht="12.5" spans="6:11">
      <c r="F620" s="14"/>
      <c r="G620" s="14"/>
      <c r="H620" s="14"/>
      <c r="I620" s="14"/>
      <c r="J620" s="14"/>
      <c r="K620" s="14"/>
    </row>
    <row r="621" ht="12.5" spans="6:11">
      <c r="F621" s="14"/>
      <c r="G621" s="14"/>
      <c r="H621" s="14"/>
      <c r="I621" s="14"/>
      <c r="J621" s="14"/>
      <c r="K621" s="14"/>
    </row>
    <row r="622" ht="12.5" spans="6:11">
      <c r="F622" s="14"/>
      <c r="G622" s="14"/>
      <c r="H622" s="14"/>
      <c r="I622" s="14"/>
      <c r="J622" s="14"/>
      <c r="K622" s="14"/>
    </row>
    <row r="623" ht="12.5" spans="6:11">
      <c r="F623" s="14"/>
      <c r="G623" s="14"/>
      <c r="H623" s="14"/>
      <c r="I623" s="14"/>
      <c r="J623" s="14"/>
      <c r="K623" s="14"/>
    </row>
    <row r="624" ht="12.5" spans="6:11">
      <c r="F624" s="14"/>
      <c r="G624" s="14"/>
      <c r="H624" s="14"/>
      <c r="I624" s="14"/>
      <c r="J624" s="14"/>
      <c r="K624" s="14"/>
    </row>
    <row r="625" ht="12.5" spans="6:11">
      <c r="F625" s="14"/>
      <c r="G625" s="14"/>
      <c r="H625" s="14"/>
      <c r="I625" s="14"/>
      <c r="J625" s="14"/>
      <c r="K625" s="14"/>
    </row>
    <row r="626" ht="12.5" spans="6:11">
      <c r="F626" s="14"/>
      <c r="G626" s="14"/>
      <c r="H626" s="14"/>
      <c r="I626" s="14"/>
      <c r="J626" s="14"/>
      <c r="K626" s="14"/>
    </row>
    <row r="627" ht="12.5" spans="6:11">
      <c r="F627" s="14"/>
      <c r="G627" s="14"/>
      <c r="H627" s="14"/>
      <c r="I627" s="14"/>
      <c r="J627" s="14"/>
      <c r="K627" s="14"/>
    </row>
    <row r="628" ht="12.5" spans="6:11">
      <c r="F628" s="14"/>
      <c r="G628" s="14"/>
      <c r="H628" s="14"/>
      <c r="I628" s="14"/>
      <c r="J628" s="14"/>
      <c r="K628" s="14"/>
    </row>
    <row r="629" ht="12.5" spans="6:11">
      <c r="F629" s="14"/>
      <c r="G629" s="14"/>
      <c r="H629" s="14"/>
      <c r="I629" s="14"/>
      <c r="J629" s="14"/>
      <c r="K629" s="14"/>
    </row>
    <row r="630" ht="12.5" spans="6:11">
      <c r="F630" s="14"/>
      <c r="G630" s="14"/>
      <c r="H630" s="14"/>
      <c r="I630" s="14"/>
      <c r="J630" s="14"/>
      <c r="K630" s="14"/>
    </row>
    <row r="631" ht="12.5" spans="6:11">
      <c r="F631" s="14"/>
      <c r="G631" s="14"/>
      <c r="H631" s="14"/>
      <c r="I631" s="14"/>
      <c r="J631" s="14"/>
      <c r="K631" s="14"/>
    </row>
    <row r="632" ht="12.5" spans="6:11">
      <c r="F632" s="14"/>
      <c r="G632" s="14"/>
      <c r="H632" s="14"/>
      <c r="I632" s="14"/>
      <c r="J632" s="14"/>
      <c r="K632" s="14"/>
    </row>
    <row r="633" ht="12.5" spans="6:11">
      <c r="F633" s="14"/>
      <c r="G633" s="14"/>
      <c r="H633" s="14"/>
      <c r="I633" s="14"/>
      <c r="J633" s="14"/>
      <c r="K633" s="14"/>
    </row>
    <row r="634" ht="12.5" spans="6:11">
      <c r="F634" s="14"/>
      <c r="G634" s="14"/>
      <c r="H634" s="14"/>
      <c r="I634" s="14"/>
      <c r="J634" s="14"/>
      <c r="K634" s="14"/>
    </row>
    <row r="635" ht="12.5" spans="6:11">
      <c r="F635" s="14"/>
      <c r="G635" s="14"/>
      <c r="H635" s="14"/>
      <c r="I635" s="14"/>
      <c r="J635" s="14"/>
      <c r="K635" s="14"/>
    </row>
    <row r="636" ht="12.5" spans="6:11">
      <c r="F636" s="14"/>
      <c r="G636" s="14"/>
      <c r="H636" s="14"/>
      <c r="I636" s="14"/>
      <c r="J636" s="14"/>
      <c r="K636" s="14"/>
    </row>
    <row r="637" ht="12.5" spans="6:11">
      <c r="F637" s="14"/>
      <c r="G637" s="14"/>
      <c r="H637" s="14"/>
      <c r="I637" s="14"/>
      <c r="J637" s="14"/>
      <c r="K637" s="14"/>
    </row>
    <row r="638" ht="12.5" spans="6:11">
      <c r="F638" s="14"/>
      <c r="G638" s="14"/>
      <c r="H638" s="14"/>
      <c r="I638" s="14"/>
      <c r="J638" s="14"/>
      <c r="K638" s="14"/>
    </row>
    <row r="639" ht="12.5" spans="6:11">
      <c r="F639" s="14"/>
      <c r="G639" s="14"/>
      <c r="H639" s="14"/>
      <c r="I639" s="14"/>
      <c r="J639" s="14"/>
      <c r="K639" s="14"/>
    </row>
    <row r="640" ht="12.5" spans="6:11">
      <c r="F640" s="14"/>
      <c r="G640" s="14"/>
      <c r="H640" s="14"/>
      <c r="I640" s="14"/>
      <c r="J640" s="14"/>
      <c r="K640" s="14"/>
    </row>
    <row r="641" ht="12.5" spans="6:11">
      <c r="F641" s="14"/>
      <c r="G641" s="14"/>
      <c r="H641" s="14"/>
      <c r="I641" s="14"/>
      <c r="J641" s="14"/>
      <c r="K641" s="14"/>
    </row>
    <row r="642" ht="12.5" spans="6:11">
      <c r="F642" s="14"/>
      <c r="G642" s="14"/>
      <c r="H642" s="14"/>
      <c r="I642" s="14"/>
      <c r="J642" s="14"/>
      <c r="K642" s="14"/>
    </row>
    <row r="643" ht="12.5" spans="6:11">
      <c r="F643" s="14"/>
      <c r="G643" s="14"/>
      <c r="H643" s="14"/>
      <c r="I643" s="14"/>
      <c r="J643" s="14"/>
      <c r="K643" s="14"/>
    </row>
    <row r="644" ht="12.5" spans="6:11">
      <c r="F644" s="14"/>
      <c r="G644" s="14"/>
      <c r="H644" s="14"/>
      <c r="I644" s="14"/>
      <c r="J644" s="14"/>
      <c r="K644" s="14"/>
    </row>
    <row r="645" ht="12.5" spans="6:11">
      <c r="F645" s="14"/>
      <c r="G645" s="14"/>
      <c r="H645" s="14"/>
      <c r="I645" s="14"/>
      <c r="J645" s="14"/>
      <c r="K645" s="14"/>
    </row>
    <row r="646" ht="12.5" spans="6:11">
      <c r="F646" s="14"/>
      <c r="G646" s="14"/>
      <c r="H646" s="14"/>
      <c r="I646" s="14"/>
      <c r="J646" s="14"/>
      <c r="K646" s="14"/>
    </row>
    <row r="647" ht="12.5" spans="6:11">
      <c r="F647" s="14"/>
      <c r="G647" s="14"/>
      <c r="H647" s="14"/>
      <c r="I647" s="14"/>
      <c r="J647" s="14"/>
      <c r="K647" s="14"/>
    </row>
    <row r="648" ht="12.5" spans="6:11">
      <c r="F648" s="14"/>
      <c r="G648" s="14"/>
      <c r="H648" s="14"/>
      <c r="I648" s="14"/>
      <c r="J648" s="14"/>
      <c r="K648" s="14"/>
    </row>
    <row r="649" ht="12.5" spans="6:11">
      <c r="F649" s="14"/>
      <c r="G649" s="14"/>
      <c r="H649" s="14"/>
      <c r="I649" s="14"/>
      <c r="J649" s="14"/>
      <c r="K649" s="14"/>
    </row>
    <row r="650" ht="12.5" spans="6:11">
      <c r="F650" s="14"/>
      <c r="G650" s="14"/>
      <c r="H650" s="14"/>
      <c r="I650" s="14"/>
      <c r="J650" s="14"/>
      <c r="K650" s="14"/>
    </row>
    <row r="651" ht="12.5" spans="6:11">
      <c r="F651" s="14"/>
      <c r="G651" s="14"/>
      <c r="H651" s="14"/>
      <c r="I651" s="14"/>
      <c r="J651" s="14"/>
      <c r="K651" s="14"/>
    </row>
    <row r="652" ht="12.5" spans="6:11">
      <c r="F652" s="14"/>
      <c r="G652" s="14"/>
      <c r="H652" s="14"/>
      <c r="I652" s="14"/>
      <c r="J652" s="14"/>
      <c r="K652" s="14"/>
    </row>
    <row r="653" ht="12.5" spans="6:11">
      <c r="F653" s="14"/>
      <c r="G653" s="14"/>
      <c r="H653" s="14"/>
      <c r="I653" s="14"/>
      <c r="J653" s="14"/>
      <c r="K653" s="14"/>
    </row>
    <row r="654" ht="12.5" spans="6:11">
      <c r="F654" s="14"/>
      <c r="G654" s="14"/>
      <c r="H654" s="14"/>
      <c r="I654" s="14"/>
      <c r="J654" s="14"/>
      <c r="K654" s="14"/>
    </row>
    <row r="655" ht="12.5" spans="6:11">
      <c r="F655" s="14"/>
      <c r="G655" s="14"/>
      <c r="H655" s="14"/>
      <c r="I655" s="14"/>
      <c r="J655" s="14"/>
      <c r="K655" s="14"/>
    </row>
    <row r="656" ht="12.5" spans="6:11">
      <c r="F656" s="14"/>
      <c r="G656" s="14"/>
      <c r="H656" s="14"/>
      <c r="I656" s="14"/>
      <c r="J656" s="14"/>
      <c r="K656" s="14"/>
    </row>
    <row r="657" ht="12.5" spans="6:11">
      <c r="F657" s="14"/>
      <c r="G657" s="14"/>
      <c r="H657" s="14"/>
      <c r="I657" s="14"/>
      <c r="J657" s="14"/>
      <c r="K657" s="14"/>
    </row>
    <row r="658" ht="12.5" spans="6:11">
      <c r="F658" s="14"/>
      <c r="G658" s="14"/>
      <c r="H658" s="14"/>
      <c r="I658" s="14"/>
      <c r="J658" s="14"/>
      <c r="K658" s="14"/>
    </row>
    <row r="659" ht="12.5" spans="6:11">
      <c r="F659" s="14"/>
      <c r="G659" s="14"/>
      <c r="H659" s="14"/>
      <c r="I659" s="14"/>
      <c r="J659" s="14"/>
      <c r="K659" s="14"/>
    </row>
    <row r="660" ht="12.5" spans="6:11">
      <c r="F660" s="14"/>
      <c r="G660" s="14"/>
      <c r="H660" s="14"/>
      <c r="I660" s="14"/>
      <c r="J660" s="14"/>
      <c r="K660" s="14"/>
    </row>
    <row r="661" ht="12.5" spans="6:11">
      <c r="F661" s="14"/>
      <c r="G661" s="14"/>
      <c r="H661" s="14"/>
      <c r="I661" s="14"/>
      <c r="J661" s="14"/>
      <c r="K661" s="14"/>
    </row>
    <row r="662" ht="12.5" spans="6:11">
      <c r="F662" s="14"/>
      <c r="G662" s="14"/>
      <c r="H662" s="14"/>
      <c r="I662" s="14"/>
      <c r="J662" s="14"/>
      <c r="K662" s="14"/>
    </row>
    <row r="663" ht="12.5" spans="6:11">
      <c r="F663" s="14"/>
      <c r="G663" s="14"/>
      <c r="H663" s="14"/>
      <c r="I663" s="14"/>
      <c r="J663" s="14"/>
      <c r="K663" s="14"/>
    </row>
    <row r="664" ht="12.5" spans="6:11">
      <c r="F664" s="14"/>
      <c r="G664" s="14"/>
      <c r="H664" s="14"/>
      <c r="I664" s="14"/>
      <c r="J664" s="14"/>
      <c r="K664" s="14"/>
    </row>
    <row r="665" ht="12.5" spans="6:11">
      <c r="F665" s="14"/>
      <c r="G665" s="14"/>
      <c r="H665" s="14"/>
      <c r="I665" s="14"/>
      <c r="J665" s="14"/>
      <c r="K665" s="14"/>
    </row>
    <row r="666" ht="12.5" spans="6:11">
      <c r="F666" s="14"/>
      <c r="G666" s="14"/>
      <c r="H666" s="14"/>
      <c r="I666" s="14"/>
      <c r="J666" s="14"/>
      <c r="K666" s="14"/>
    </row>
    <row r="667" ht="12.5" spans="6:11">
      <c r="F667" s="14"/>
      <c r="G667" s="14"/>
      <c r="H667" s="14"/>
      <c r="I667" s="14"/>
      <c r="J667" s="14"/>
      <c r="K667" s="14"/>
    </row>
    <row r="668" ht="12.5" spans="6:11">
      <c r="F668" s="14"/>
      <c r="G668" s="14"/>
      <c r="H668" s="14"/>
      <c r="I668" s="14"/>
      <c r="J668" s="14"/>
      <c r="K668" s="14"/>
    </row>
    <row r="669" ht="12.5" spans="6:11">
      <c r="F669" s="14"/>
      <c r="G669" s="14"/>
      <c r="H669" s="14"/>
      <c r="I669" s="14"/>
      <c r="J669" s="14"/>
      <c r="K669" s="14"/>
    </row>
    <row r="670" ht="12.5" spans="6:11">
      <c r="F670" s="14"/>
      <c r="G670" s="14"/>
      <c r="H670" s="14"/>
      <c r="I670" s="14"/>
      <c r="J670" s="14"/>
      <c r="K670" s="14"/>
    </row>
    <row r="671" ht="12.5" spans="6:11">
      <c r="F671" s="14"/>
      <c r="G671" s="14"/>
      <c r="H671" s="14"/>
      <c r="I671" s="14"/>
      <c r="J671" s="14"/>
      <c r="K671" s="14"/>
    </row>
    <row r="672" ht="12.5" spans="6:11">
      <c r="F672" s="14"/>
      <c r="G672" s="14"/>
      <c r="H672" s="14"/>
      <c r="I672" s="14"/>
      <c r="J672" s="14"/>
      <c r="K672" s="14"/>
    </row>
    <row r="673" ht="12.5" spans="6:11">
      <c r="F673" s="14"/>
      <c r="G673" s="14"/>
      <c r="H673" s="14"/>
      <c r="I673" s="14"/>
      <c r="J673" s="14"/>
      <c r="K673" s="14"/>
    </row>
    <row r="674" ht="12.5" spans="6:11">
      <c r="F674" s="14"/>
      <c r="G674" s="14"/>
      <c r="H674" s="14"/>
      <c r="I674" s="14"/>
      <c r="J674" s="14"/>
      <c r="K674" s="14"/>
    </row>
    <row r="675" ht="12.5" spans="6:11">
      <c r="F675" s="14"/>
      <c r="G675" s="14"/>
      <c r="H675" s="14"/>
      <c r="I675" s="14"/>
      <c r="J675" s="14"/>
      <c r="K675" s="14"/>
    </row>
    <row r="676" ht="12.5" spans="6:11">
      <c r="F676" s="14"/>
      <c r="G676" s="14"/>
      <c r="H676" s="14"/>
      <c r="I676" s="14"/>
      <c r="J676" s="14"/>
      <c r="K676" s="14"/>
    </row>
    <row r="677" ht="12.5" spans="6:11">
      <c r="F677" s="14"/>
      <c r="G677" s="14"/>
      <c r="H677" s="14"/>
      <c r="I677" s="14"/>
      <c r="J677" s="14"/>
      <c r="K677" s="14"/>
    </row>
    <row r="678" ht="12.5" spans="6:11">
      <c r="F678" s="14"/>
      <c r="G678" s="14"/>
      <c r="H678" s="14"/>
      <c r="I678" s="14"/>
      <c r="J678" s="14"/>
      <c r="K678" s="14"/>
    </row>
    <row r="679" ht="12.5" spans="6:11">
      <c r="F679" s="14"/>
      <c r="G679" s="14"/>
      <c r="H679" s="14"/>
      <c r="I679" s="14"/>
      <c r="J679" s="14"/>
      <c r="K679" s="14"/>
    </row>
    <row r="680" ht="12.5" spans="6:11">
      <c r="F680" s="14"/>
      <c r="G680" s="14"/>
      <c r="H680" s="14"/>
      <c r="I680" s="14"/>
      <c r="J680" s="14"/>
      <c r="K680" s="14"/>
    </row>
    <row r="681" ht="12.5" spans="6:11">
      <c r="F681" s="14"/>
      <c r="G681" s="14"/>
      <c r="H681" s="14"/>
      <c r="I681" s="14"/>
      <c r="J681" s="14"/>
      <c r="K681" s="14"/>
    </row>
    <row r="682" ht="12.5" spans="6:11">
      <c r="F682" s="14"/>
      <c r="G682" s="14"/>
      <c r="H682" s="14"/>
      <c r="I682" s="14"/>
      <c r="J682" s="14"/>
      <c r="K682" s="14"/>
    </row>
    <row r="683" ht="12.5" spans="6:11">
      <c r="F683" s="14"/>
      <c r="G683" s="14"/>
      <c r="H683" s="14"/>
      <c r="I683" s="14"/>
      <c r="J683" s="14"/>
      <c r="K683" s="14"/>
    </row>
    <row r="684" ht="12.5" spans="6:11">
      <c r="F684" s="14"/>
      <c r="G684" s="14"/>
      <c r="H684" s="14"/>
      <c r="I684" s="14"/>
      <c r="J684" s="14"/>
      <c r="K684" s="14"/>
    </row>
    <row r="685" ht="12.5" spans="6:11">
      <c r="F685" s="14"/>
      <c r="G685" s="14"/>
      <c r="H685" s="14"/>
      <c r="I685" s="14"/>
      <c r="J685" s="14"/>
      <c r="K685" s="14"/>
    </row>
    <row r="686" ht="12.5" spans="6:11">
      <c r="F686" s="14"/>
      <c r="G686" s="14"/>
      <c r="H686" s="14"/>
      <c r="I686" s="14"/>
      <c r="J686" s="14"/>
      <c r="K686" s="14"/>
    </row>
    <row r="687" ht="12.5" spans="6:11">
      <c r="F687" s="14"/>
      <c r="G687" s="14"/>
      <c r="H687" s="14"/>
      <c r="I687" s="14"/>
      <c r="J687" s="14"/>
      <c r="K687" s="14"/>
    </row>
    <row r="688" ht="12.5" spans="6:11">
      <c r="F688" s="14"/>
      <c r="G688" s="14"/>
      <c r="H688" s="14"/>
      <c r="I688" s="14"/>
      <c r="J688" s="14"/>
      <c r="K688" s="14"/>
    </row>
    <row r="689" ht="12.5" spans="6:11">
      <c r="F689" s="14"/>
      <c r="G689" s="14"/>
      <c r="H689" s="14"/>
      <c r="I689" s="14"/>
      <c r="J689" s="14"/>
      <c r="K689" s="14"/>
    </row>
    <row r="690" ht="12.5" spans="6:11">
      <c r="F690" s="14"/>
      <c r="G690" s="14"/>
      <c r="H690" s="14"/>
      <c r="I690" s="14"/>
      <c r="J690" s="14"/>
      <c r="K690" s="14"/>
    </row>
    <row r="691" ht="12.5" spans="6:11">
      <c r="F691" s="14"/>
      <c r="G691" s="14"/>
      <c r="H691" s="14"/>
      <c r="I691" s="14"/>
      <c r="J691" s="14"/>
      <c r="K691" s="14"/>
    </row>
    <row r="692" ht="12.5" spans="6:11">
      <c r="F692" s="14"/>
      <c r="G692" s="14"/>
      <c r="H692" s="14"/>
      <c r="I692" s="14"/>
      <c r="J692" s="14"/>
      <c r="K692" s="14"/>
    </row>
    <row r="693" ht="12.5" spans="6:11">
      <c r="F693" s="14"/>
      <c r="G693" s="14"/>
      <c r="H693" s="14"/>
      <c r="I693" s="14"/>
      <c r="J693" s="14"/>
      <c r="K693" s="14"/>
    </row>
    <row r="694" ht="12.5" spans="6:11">
      <c r="F694" s="14"/>
      <c r="G694" s="14"/>
      <c r="H694" s="14"/>
      <c r="I694" s="14"/>
      <c r="J694" s="14"/>
      <c r="K694" s="14"/>
    </row>
    <row r="695" ht="12.5" spans="6:11">
      <c r="F695" s="14"/>
      <c r="G695" s="14"/>
      <c r="H695" s="14"/>
      <c r="I695" s="14"/>
      <c r="J695" s="14"/>
      <c r="K695" s="14"/>
    </row>
    <row r="696" ht="12.5" spans="6:11">
      <c r="F696" s="14"/>
      <c r="G696" s="14"/>
      <c r="H696" s="14"/>
      <c r="I696" s="14"/>
      <c r="J696" s="14"/>
      <c r="K696" s="14"/>
    </row>
    <row r="697" ht="12.5" spans="6:11">
      <c r="F697" s="14"/>
      <c r="G697" s="14"/>
      <c r="H697" s="14"/>
      <c r="I697" s="14"/>
      <c r="J697" s="14"/>
      <c r="K697" s="14"/>
    </row>
    <row r="698" ht="12.5" spans="6:11">
      <c r="F698" s="14"/>
      <c r="G698" s="14"/>
      <c r="H698" s="14"/>
      <c r="I698" s="14"/>
      <c r="J698" s="14"/>
      <c r="K698" s="14"/>
    </row>
    <row r="699" ht="12.5" spans="6:11">
      <c r="F699" s="14"/>
      <c r="G699" s="14"/>
      <c r="H699" s="14"/>
      <c r="I699" s="14"/>
      <c r="J699" s="14"/>
      <c r="K699" s="14"/>
    </row>
    <row r="700" ht="12.5" spans="6:11">
      <c r="F700" s="14"/>
      <c r="G700" s="14"/>
      <c r="H700" s="14"/>
      <c r="I700" s="14"/>
      <c r="J700" s="14"/>
      <c r="K700" s="14"/>
    </row>
    <row r="701" ht="12.5" spans="6:11">
      <c r="F701" s="14"/>
      <c r="G701" s="14"/>
      <c r="H701" s="14"/>
      <c r="I701" s="14"/>
      <c r="J701" s="14"/>
      <c r="K701" s="14"/>
    </row>
    <row r="702" ht="12.5" spans="6:11">
      <c r="F702" s="14"/>
      <c r="G702" s="14"/>
      <c r="H702" s="14"/>
      <c r="I702" s="14"/>
      <c r="J702" s="14"/>
      <c r="K702" s="14"/>
    </row>
    <row r="703" ht="12.5" spans="6:11">
      <c r="F703" s="14"/>
      <c r="G703" s="14"/>
      <c r="H703" s="14"/>
      <c r="I703" s="14"/>
      <c r="J703" s="14"/>
      <c r="K703" s="14"/>
    </row>
    <row r="704" ht="12.5" spans="6:11">
      <c r="F704" s="14"/>
      <c r="G704" s="14"/>
      <c r="H704" s="14"/>
      <c r="I704" s="14"/>
      <c r="J704" s="14"/>
      <c r="K704" s="14"/>
    </row>
    <row r="705" ht="12.5" spans="6:11">
      <c r="F705" s="14"/>
      <c r="G705" s="14"/>
      <c r="H705" s="14"/>
      <c r="I705" s="14"/>
      <c r="J705" s="14"/>
      <c r="K705" s="14"/>
    </row>
    <row r="706" ht="12.5" spans="6:11">
      <c r="F706" s="14"/>
      <c r="G706" s="14"/>
      <c r="H706" s="14"/>
      <c r="I706" s="14"/>
      <c r="J706" s="14"/>
      <c r="K706" s="14"/>
    </row>
    <row r="707" ht="12.5" spans="6:11">
      <c r="F707" s="14"/>
      <c r="G707" s="14"/>
      <c r="H707" s="14"/>
      <c r="I707" s="14"/>
      <c r="J707" s="14"/>
      <c r="K707" s="14"/>
    </row>
    <row r="708" ht="12.5" spans="6:11">
      <c r="F708" s="14"/>
      <c r="G708" s="14"/>
      <c r="H708" s="14"/>
      <c r="I708" s="14"/>
      <c r="J708" s="14"/>
      <c r="K708" s="14"/>
    </row>
    <row r="709" ht="12.5" spans="6:11">
      <c r="F709" s="14"/>
      <c r="G709" s="14"/>
      <c r="H709" s="14"/>
      <c r="I709" s="14"/>
      <c r="J709" s="14"/>
      <c r="K709" s="14"/>
    </row>
    <row r="710" ht="12.5" spans="6:11">
      <c r="F710" s="14"/>
      <c r="G710" s="14"/>
      <c r="H710" s="14"/>
      <c r="I710" s="14"/>
      <c r="J710" s="14"/>
      <c r="K710" s="14"/>
    </row>
    <row r="711" ht="12.5" spans="6:11">
      <c r="F711" s="14"/>
      <c r="G711" s="14"/>
      <c r="H711" s="14"/>
      <c r="I711" s="14"/>
      <c r="J711" s="14"/>
      <c r="K711" s="14"/>
    </row>
    <row r="712" ht="12.5" spans="6:11">
      <c r="F712" s="14"/>
      <c r="G712" s="14"/>
      <c r="H712" s="14"/>
      <c r="I712" s="14"/>
      <c r="J712" s="14"/>
      <c r="K712" s="14"/>
    </row>
    <row r="713" ht="12.5" spans="6:11">
      <c r="F713" s="14"/>
      <c r="G713" s="14"/>
      <c r="H713" s="14"/>
      <c r="I713" s="14"/>
      <c r="J713" s="14"/>
      <c r="K713" s="14"/>
    </row>
    <row r="714" ht="12.5" spans="6:11">
      <c r="F714" s="14"/>
      <c r="G714" s="14"/>
      <c r="H714" s="14"/>
      <c r="I714" s="14"/>
      <c r="J714" s="14"/>
      <c r="K714" s="14"/>
    </row>
    <row r="715" ht="12.5" spans="6:11">
      <c r="F715" s="14"/>
      <c r="G715" s="14"/>
      <c r="H715" s="14"/>
      <c r="I715" s="14"/>
      <c r="J715" s="14"/>
      <c r="K715" s="14"/>
    </row>
    <row r="716" ht="12.5" spans="6:11">
      <c r="F716" s="14"/>
      <c r="G716" s="14"/>
      <c r="H716" s="14"/>
      <c r="I716" s="14"/>
      <c r="J716" s="14"/>
      <c r="K716" s="14"/>
    </row>
    <row r="717" ht="12.5" spans="6:11">
      <c r="F717" s="14"/>
      <c r="G717" s="14"/>
      <c r="H717" s="14"/>
      <c r="I717" s="14"/>
      <c r="J717" s="14"/>
      <c r="K717" s="14"/>
    </row>
    <row r="718" ht="12.5" spans="6:11">
      <c r="F718" s="14"/>
      <c r="G718" s="14"/>
      <c r="H718" s="14"/>
      <c r="I718" s="14"/>
      <c r="J718" s="14"/>
      <c r="K718" s="14"/>
    </row>
    <row r="719" ht="12.5" spans="6:11">
      <c r="F719" s="14"/>
      <c r="G719" s="14"/>
      <c r="H719" s="14"/>
      <c r="I719" s="14"/>
      <c r="J719" s="14"/>
      <c r="K719" s="14"/>
    </row>
    <row r="720" ht="12.5" spans="6:11">
      <c r="F720" s="14"/>
      <c r="G720" s="14"/>
      <c r="H720" s="14"/>
      <c r="I720" s="14"/>
      <c r="J720" s="14"/>
      <c r="K720" s="14"/>
    </row>
    <row r="721" ht="12.5" spans="6:11">
      <c r="F721" s="14"/>
      <c r="G721" s="14"/>
      <c r="H721" s="14"/>
      <c r="I721" s="14"/>
      <c r="J721" s="14"/>
      <c r="K721" s="14"/>
    </row>
    <row r="722" ht="12.5" spans="6:11">
      <c r="F722" s="14"/>
      <c r="G722" s="14"/>
      <c r="H722" s="14"/>
      <c r="I722" s="14"/>
      <c r="J722" s="14"/>
      <c r="K722" s="14"/>
    </row>
    <row r="723" ht="12.5" spans="6:11">
      <c r="F723" s="14"/>
      <c r="G723" s="14"/>
      <c r="H723" s="14"/>
      <c r="I723" s="14"/>
      <c r="J723" s="14"/>
      <c r="K723" s="14"/>
    </row>
    <row r="724" ht="12.5" spans="6:11">
      <c r="F724" s="14"/>
      <c r="G724" s="14"/>
      <c r="H724" s="14"/>
      <c r="I724" s="14"/>
      <c r="J724" s="14"/>
      <c r="K724" s="14"/>
    </row>
    <row r="725" ht="12.5" spans="6:11">
      <c r="F725" s="14"/>
      <c r="G725" s="14"/>
      <c r="H725" s="14"/>
      <c r="I725" s="14"/>
      <c r="J725" s="14"/>
      <c r="K725" s="14"/>
    </row>
    <row r="726" ht="12.5" spans="6:11">
      <c r="F726" s="14"/>
      <c r="G726" s="14"/>
      <c r="H726" s="14"/>
      <c r="I726" s="14"/>
      <c r="J726" s="14"/>
      <c r="K726" s="14"/>
    </row>
    <row r="727" ht="12.5" spans="6:11">
      <c r="F727" s="14"/>
      <c r="G727" s="14"/>
      <c r="H727" s="14"/>
      <c r="I727" s="14"/>
      <c r="J727" s="14"/>
      <c r="K727" s="14"/>
    </row>
    <row r="728" ht="12.5" spans="6:11">
      <c r="F728" s="14"/>
      <c r="G728" s="14"/>
      <c r="H728" s="14"/>
      <c r="I728" s="14"/>
      <c r="J728" s="14"/>
      <c r="K728" s="14"/>
    </row>
    <row r="729" ht="12.5" spans="6:11">
      <c r="F729" s="14"/>
      <c r="G729" s="14"/>
      <c r="H729" s="14"/>
      <c r="I729" s="14"/>
      <c r="J729" s="14"/>
      <c r="K729" s="14"/>
    </row>
    <row r="730" ht="12.5" spans="6:11">
      <c r="F730" s="14"/>
      <c r="G730" s="14"/>
      <c r="H730" s="14"/>
      <c r="I730" s="14"/>
      <c r="J730" s="14"/>
      <c r="K730" s="14"/>
    </row>
    <row r="731" ht="12.5" spans="6:11">
      <c r="F731" s="14"/>
      <c r="G731" s="14"/>
      <c r="H731" s="14"/>
      <c r="I731" s="14"/>
      <c r="J731" s="14"/>
      <c r="K731" s="14"/>
    </row>
    <row r="732" ht="12.5" spans="6:11">
      <c r="F732" s="14"/>
      <c r="G732" s="14"/>
      <c r="H732" s="14"/>
      <c r="I732" s="14"/>
      <c r="J732" s="14"/>
      <c r="K732" s="14"/>
    </row>
    <row r="733" ht="12.5" spans="6:11">
      <c r="F733" s="14"/>
      <c r="G733" s="14"/>
      <c r="H733" s="14"/>
      <c r="I733" s="14"/>
      <c r="J733" s="14"/>
      <c r="K733" s="14"/>
    </row>
    <row r="734" ht="12.5" spans="6:11">
      <c r="F734" s="14"/>
      <c r="G734" s="14"/>
      <c r="H734" s="14"/>
      <c r="I734" s="14"/>
      <c r="J734" s="14"/>
      <c r="K734" s="14"/>
    </row>
    <row r="735" ht="12.5" spans="6:11">
      <c r="F735" s="14"/>
      <c r="G735" s="14"/>
      <c r="H735" s="14"/>
      <c r="I735" s="14"/>
      <c r="J735" s="14"/>
      <c r="K735" s="14"/>
    </row>
    <row r="736" ht="12.5" spans="6:11">
      <c r="F736" s="14"/>
      <c r="G736" s="14"/>
      <c r="H736" s="14"/>
      <c r="I736" s="14"/>
      <c r="J736" s="14"/>
      <c r="K736" s="14"/>
    </row>
    <row r="737" ht="12.5" spans="6:11">
      <c r="F737" s="14"/>
      <c r="G737" s="14"/>
      <c r="H737" s="14"/>
      <c r="I737" s="14"/>
      <c r="J737" s="14"/>
      <c r="K737" s="14"/>
    </row>
    <row r="738" ht="12.5" spans="6:11">
      <c r="F738" s="14"/>
      <c r="G738" s="14"/>
      <c r="H738" s="14"/>
      <c r="I738" s="14"/>
      <c r="J738" s="14"/>
      <c r="K738" s="14"/>
    </row>
    <row r="739" ht="12.5" spans="6:11">
      <c r="F739" s="14"/>
      <c r="G739" s="14"/>
      <c r="H739" s="14"/>
      <c r="I739" s="14"/>
      <c r="J739" s="14"/>
      <c r="K739" s="14"/>
    </row>
    <row r="740" ht="12.5" spans="6:11">
      <c r="F740" s="14"/>
      <c r="G740" s="14"/>
      <c r="H740" s="14"/>
      <c r="I740" s="14"/>
      <c r="J740" s="14"/>
      <c r="K740" s="14"/>
    </row>
    <row r="741" ht="12.5" spans="6:11">
      <c r="F741" s="14"/>
      <c r="G741" s="14"/>
      <c r="H741" s="14"/>
      <c r="I741" s="14"/>
      <c r="J741" s="14"/>
      <c r="K741" s="14"/>
    </row>
    <row r="742" ht="12.5" spans="6:11">
      <c r="F742" s="14"/>
      <c r="G742" s="14"/>
      <c r="H742" s="14"/>
      <c r="I742" s="14"/>
      <c r="J742" s="14"/>
      <c r="K742" s="14"/>
    </row>
    <row r="743" ht="12.5" spans="6:11">
      <c r="F743" s="14"/>
      <c r="G743" s="14"/>
      <c r="H743" s="14"/>
      <c r="I743" s="14"/>
      <c r="J743" s="14"/>
      <c r="K743" s="14"/>
    </row>
    <row r="744" ht="12.5" spans="6:11">
      <c r="F744" s="14"/>
      <c r="G744" s="14"/>
      <c r="H744" s="14"/>
      <c r="I744" s="14"/>
      <c r="J744" s="14"/>
      <c r="K744" s="14"/>
    </row>
    <row r="745" ht="12.5" spans="6:11">
      <c r="F745" s="14"/>
      <c r="G745" s="14"/>
      <c r="H745" s="14"/>
      <c r="I745" s="14"/>
      <c r="J745" s="14"/>
      <c r="K745" s="14"/>
    </row>
    <row r="746" ht="12.5" spans="6:11">
      <c r="F746" s="14"/>
      <c r="G746" s="14"/>
      <c r="H746" s="14"/>
      <c r="I746" s="14"/>
      <c r="J746" s="14"/>
      <c r="K746" s="14"/>
    </row>
    <row r="747" ht="12.5" spans="6:11">
      <c r="F747" s="14"/>
      <c r="G747" s="14"/>
      <c r="H747" s="14"/>
      <c r="I747" s="14"/>
      <c r="J747" s="14"/>
      <c r="K747" s="14"/>
    </row>
    <row r="748" ht="12.5" spans="6:11">
      <c r="F748" s="14"/>
      <c r="G748" s="14"/>
      <c r="H748" s="14"/>
      <c r="I748" s="14"/>
      <c r="J748" s="14"/>
      <c r="K748" s="14"/>
    </row>
    <row r="749" ht="12.5" spans="6:11">
      <c r="F749" s="14"/>
      <c r="G749" s="14"/>
      <c r="H749" s="14"/>
      <c r="I749" s="14"/>
      <c r="J749" s="14"/>
      <c r="K749" s="14"/>
    </row>
    <row r="750" ht="12.5" spans="6:11">
      <c r="F750" s="14"/>
      <c r="G750" s="14"/>
      <c r="H750" s="14"/>
      <c r="I750" s="14"/>
      <c r="J750" s="14"/>
      <c r="K750" s="14"/>
    </row>
    <row r="751" ht="12.5" spans="6:11">
      <c r="F751" s="14"/>
      <c r="G751" s="14"/>
      <c r="H751" s="14"/>
      <c r="I751" s="14"/>
      <c r="J751" s="14"/>
      <c r="K751" s="14"/>
    </row>
    <row r="752" ht="12.5" spans="6:11">
      <c r="F752" s="14"/>
      <c r="G752" s="14"/>
      <c r="H752" s="14"/>
      <c r="I752" s="14"/>
      <c r="J752" s="14"/>
      <c r="K752" s="14"/>
    </row>
    <row r="753" ht="12.5" spans="6:11">
      <c r="F753" s="14"/>
      <c r="G753" s="14"/>
      <c r="H753" s="14"/>
      <c r="I753" s="14"/>
      <c r="J753" s="14"/>
      <c r="K753" s="14"/>
    </row>
    <row r="754" ht="12.5" spans="6:11">
      <c r="F754" s="14"/>
      <c r="G754" s="14"/>
      <c r="H754" s="14"/>
      <c r="I754" s="14"/>
      <c r="J754" s="14"/>
      <c r="K754" s="14"/>
    </row>
    <row r="755" ht="12.5" spans="6:11">
      <c r="F755" s="14"/>
      <c r="G755" s="14"/>
      <c r="H755" s="14"/>
      <c r="I755" s="14"/>
      <c r="J755" s="14"/>
      <c r="K755" s="14"/>
    </row>
    <row r="756" ht="12.5" spans="6:11">
      <c r="F756" s="14"/>
      <c r="G756" s="14"/>
      <c r="H756" s="14"/>
      <c r="I756" s="14"/>
      <c r="J756" s="14"/>
      <c r="K756" s="14"/>
    </row>
    <row r="757" ht="12.5" spans="6:11">
      <c r="F757" s="14"/>
      <c r="G757" s="14"/>
      <c r="H757" s="14"/>
      <c r="I757" s="14"/>
      <c r="J757" s="14"/>
      <c r="K757" s="14"/>
    </row>
    <row r="758" ht="12.5" spans="6:11">
      <c r="F758" s="14"/>
      <c r="G758" s="14"/>
      <c r="H758" s="14"/>
      <c r="I758" s="14"/>
      <c r="J758" s="14"/>
      <c r="K758" s="14"/>
    </row>
    <row r="759" ht="12.5" spans="6:11">
      <c r="F759" s="14"/>
      <c r="G759" s="14"/>
      <c r="H759" s="14"/>
      <c r="I759" s="14"/>
      <c r="J759" s="14"/>
      <c r="K759" s="14"/>
    </row>
    <row r="760" ht="12.5" spans="6:11">
      <c r="F760" s="14"/>
      <c r="G760" s="14"/>
      <c r="H760" s="14"/>
      <c r="I760" s="14"/>
      <c r="J760" s="14"/>
      <c r="K760" s="14"/>
    </row>
    <row r="761" ht="12.5" spans="6:11">
      <c r="F761" s="14"/>
      <c r="G761" s="14"/>
      <c r="H761" s="14"/>
      <c r="I761" s="14"/>
      <c r="J761" s="14"/>
      <c r="K761" s="14"/>
    </row>
    <row r="762" ht="12.5" spans="6:11">
      <c r="F762" s="14"/>
      <c r="G762" s="14"/>
      <c r="H762" s="14"/>
      <c r="I762" s="14"/>
      <c r="J762" s="14"/>
      <c r="K762" s="14"/>
    </row>
    <row r="763" ht="12.5" spans="6:11">
      <c r="F763" s="14"/>
      <c r="G763" s="14"/>
      <c r="H763" s="14"/>
      <c r="I763" s="14"/>
      <c r="J763" s="14"/>
      <c r="K763" s="14"/>
    </row>
    <row r="764" ht="12.5" spans="6:11">
      <c r="F764" s="14"/>
      <c r="G764" s="14"/>
      <c r="H764" s="14"/>
      <c r="I764" s="14"/>
      <c r="J764" s="14"/>
      <c r="K764" s="14"/>
    </row>
    <row r="765" ht="12.5" spans="6:11">
      <c r="F765" s="14"/>
      <c r="G765" s="14"/>
      <c r="H765" s="14"/>
      <c r="I765" s="14"/>
      <c r="J765" s="14"/>
      <c r="K765" s="14"/>
    </row>
    <row r="766" ht="12.5" spans="6:11">
      <c r="F766" s="14"/>
      <c r="G766" s="14"/>
      <c r="H766" s="14"/>
      <c r="I766" s="14"/>
      <c r="J766" s="14"/>
      <c r="K766" s="14"/>
    </row>
    <row r="767" ht="12.5" spans="6:11">
      <c r="F767" s="14"/>
      <c r="G767" s="14"/>
      <c r="H767" s="14"/>
      <c r="I767" s="14"/>
      <c r="J767" s="14"/>
      <c r="K767" s="14"/>
    </row>
    <row r="768" ht="12.5" spans="6:11">
      <c r="F768" s="14"/>
      <c r="G768" s="14"/>
      <c r="H768" s="14"/>
      <c r="I768" s="14"/>
      <c r="J768" s="14"/>
      <c r="K768" s="14"/>
    </row>
    <row r="769" ht="12.5" spans="6:11">
      <c r="F769" s="14"/>
      <c r="G769" s="14"/>
      <c r="H769" s="14"/>
      <c r="I769" s="14"/>
      <c r="J769" s="14"/>
      <c r="K769" s="14"/>
    </row>
    <row r="770" ht="12.5" spans="6:11">
      <c r="F770" s="14"/>
      <c r="G770" s="14"/>
      <c r="H770" s="14"/>
      <c r="I770" s="14"/>
      <c r="J770" s="14"/>
      <c r="K770" s="14"/>
    </row>
    <row r="771" ht="12.5" spans="6:11">
      <c r="F771" s="14"/>
      <c r="G771" s="14"/>
      <c r="H771" s="14"/>
      <c r="I771" s="14"/>
      <c r="J771" s="14"/>
      <c r="K771" s="14"/>
    </row>
    <row r="772" ht="12.5" spans="6:11">
      <c r="F772" s="14"/>
      <c r="G772" s="14"/>
      <c r="H772" s="14"/>
      <c r="I772" s="14"/>
      <c r="J772" s="14"/>
      <c r="K772" s="14"/>
    </row>
    <row r="773" ht="12.5" spans="6:11">
      <c r="F773" s="14"/>
      <c r="G773" s="14"/>
      <c r="H773" s="14"/>
      <c r="I773" s="14"/>
      <c r="J773" s="14"/>
      <c r="K773" s="14"/>
    </row>
    <row r="774" ht="12.5" spans="6:11">
      <c r="F774" s="14"/>
      <c r="G774" s="14"/>
      <c r="H774" s="14"/>
      <c r="I774" s="14"/>
      <c r="J774" s="14"/>
      <c r="K774" s="14"/>
    </row>
    <row r="775" ht="12.5" spans="6:11">
      <c r="F775" s="14"/>
      <c r="G775" s="14"/>
      <c r="H775" s="14"/>
      <c r="I775" s="14"/>
      <c r="J775" s="14"/>
      <c r="K775" s="14"/>
    </row>
    <row r="776" ht="12.5" spans="6:11">
      <c r="F776" s="14"/>
      <c r="G776" s="14"/>
      <c r="H776" s="14"/>
      <c r="I776" s="14"/>
      <c r="J776" s="14"/>
      <c r="K776" s="14"/>
    </row>
    <row r="777" ht="12.5" spans="6:11">
      <c r="F777" s="14"/>
      <c r="G777" s="14"/>
      <c r="H777" s="14"/>
      <c r="I777" s="14"/>
      <c r="J777" s="14"/>
      <c r="K777" s="14"/>
    </row>
    <row r="778" ht="12.5" spans="6:11">
      <c r="F778" s="14"/>
      <c r="G778" s="14"/>
      <c r="H778" s="14"/>
      <c r="I778" s="14"/>
      <c r="J778" s="14"/>
      <c r="K778" s="14"/>
    </row>
    <row r="779" ht="12.5" spans="6:11">
      <c r="F779" s="14"/>
      <c r="G779" s="14"/>
      <c r="H779" s="14"/>
      <c r="I779" s="14"/>
      <c r="J779" s="14"/>
      <c r="K779" s="14"/>
    </row>
    <row r="780" ht="12.5" spans="6:11">
      <c r="F780" s="14"/>
      <c r="G780" s="14"/>
      <c r="H780" s="14"/>
      <c r="I780" s="14"/>
      <c r="J780" s="14"/>
      <c r="K780" s="14"/>
    </row>
    <row r="781" ht="12.5" spans="6:11">
      <c r="F781" s="14"/>
      <c r="G781" s="14"/>
      <c r="H781" s="14"/>
      <c r="I781" s="14"/>
      <c r="J781" s="14"/>
      <c r="K781" s="14"/>
    </row>
    <row r="782" ht="12.5" spans="6:11">
      <c r="F782" s="14"/>
      <c r="G782" s="14"/>
      <c r="H782" s="14"/>
      <c r="I782" s="14"/>
      <c r="J782" s="14"/>
      <c r="K782" s="14"/>
    </row>
    <row r="783" ht="12.5" spans="6:11">
      <c r="F783" s="14"/>
      <c r="G783" s="14"/>
      <c r="H783" s="14"/>
      <c r="I783" s="14"/>
      <c r="J783" s="14"/>
      <c r="K783" s="14"/>
    </row>
    <row r="784" ht="12.5" spans="6:11">
      <c r="F784" s="14"/>
      <c r="G784" s="14"/>
      <c r="H784" s="14"/>
      <c r="I784" s="14"/>
      <c r="J784" s="14"/>
      <c r="K784" s="14"/>
    </row>
    <row r="785" ht="12.5" spans="6:11">
      <c r="F785" s="14"/>
      <c r="G785" s="14"/>
      <c r="H785" s="14"/>
      <c r="I785" s="14"/>
      <c r="J785" s="14"/>
      <c r="K785" s="14"/>
    </row>
    <row r="786" ht="12.5" spans="6:11">
      <c r="F786" s="14"/>
      <c r="G786" s="14"/>
      <c r="H786" s="14"/>
      <c r="I786" s="14"/>
      <c r="J786" s="14"/>
      <c r="K786" s="14"/>
    </row>
    <row r="787" ht="12.5" spans="6:11">
      <c r="F787" s="14"/>
      <c r="G787" s="14"/>
      <c r="H787" s="14"/>
      <c r="I787" s="14"/>
      <c r="J787" s="14"/>
      <c r="K787" s="14"/>
    </row>
    <row r="788" ht="12.5" spans="6:11">
      <c r="F788" s="14"/>
      <c r="G788" s="14"/>
      <c r="H788" s="14"/>
      <c r="I788" s="14"/>
      <c r="J788" s="14"/>
      <c r="K788" s="14"/>
    </row>
    <row r="789" ht="12.5" spans="6:11">
      <c r="F789" s="14"/>
      <c r="G789" s="14"/>
      <c r="H789" s="14"/>
      <c r="I789" s="14"/>
      <c r="J789" s="14"/>
      <c r="K789" s="14"/>
    </row>
    <row r="790" ht="12.5" spans="6:11">
      <c r="F790" s="14"/>
      <c r="G790" s="14"/>
      <c r="H790" s="14"/>
      <c r="I790" s="14"/>
      <c r="J790" s="14"/>
      <c r="K790" s="14"/>
    </row>
    <row r="791" ht="12.5" spans="6:11">
      <c r="F791" s="14"/>
      <c r="G791" s="14"/>
      <c r="H791" s="14"/>
      <c r="I791" s="14"/>
      <c r="J791" s="14"/>
      <c r="K791" s="14"/>
    </row>
    <row r="792" ht="12.5" spans="6:11">
      <c r="F792" s="14"/>
      <c r="G792" s="14"/>
      <c r="H792" s="14"/>
      <c r="I792" s="14"/>
      <c r="J792" s="14"/>
      <c r="K792" s="14"/>
    </row>
    <row r="793" ht="12.5" spans="6:11">
      <c r="F793" s="14"/>
      <c r="G793" s="14"/>
      <c r="H793" s="14"/>
      <c r="I793" s="14"/>
      <c r="J793" s="14"/>
      <c r="K793" s="14"/>
    </row>
    <row r="794" ht="12.5" spans="6:11">
      <c r="F794" s="14"/>
      <c r="G794" s="14"/>
      <c r="H794" s="14"/>
      <c r="I794" s="14"/>
      <c r="J794" s="14"/>
      <c r="K794" s="14"/>
    </row>
    <row r="795" ht="12.5" spans="6:11">
      <c r="F795" s="14"/>
      <c r="G795" s="14"/>
      <c r="H795" s="14"/>
      <c r="I795" s="14"/>
      <c r="J795" s="14"/>
      <c r="K795" s="14"/>
    </row>
    <row r="796" ht="12.5" spans="6:11">
      <c r="F796" s="14"/>
      <c r="G796" s="14"/>
      <c r="H796" s="14"/>
      <c r="I796" s="14"/>
      <c r="J796" s="14"/>
      <c r="K796" s="14"/>
    </row>
    <row r="797" ht="12.5" spans="6:11">
      <c r="F797" s="14"/>
      <c r="G797" s="14"/>
      <c r="H797" s="14"/>
      <c r="I797" s="14"/>
      <c r="J797" s="14"/>
      <c r="K797" s="14"/>
    </row>
    <row r="798" ht="12.5" spans="6:11">
      <c r="F798" s="14"/>
      <c r="G798" s="14"/>
      <c r="H798" s="14"/>
      <c r="I798" s="14"/>
      <c r="J798" s="14"/>
      <c r="K798" s="14"/>
    </row>
    <row r="799" ht="12.5" spans="6:11">
      <c r="F799" s="14"/>
      <c r="G799" s="14"/>
      <c r="H799" s="14"/>
      <c r="I799" s="14"/>
      <c r="J799" s="14"/>
      <c r="K799" s="14"/>
    </row>
    <row r="800" ht="12.5" spans="6:11">
      <c r="F800" s="14"/>
      <c r="G800" s="14"/>
      <c r="H800" s="14"/>
      <c r="I800" s="14"/>
      <c r="J800" s="14"/>
      <c r="K800" s="14"/>
    </row>
    <row r="801" ht="12.5" spans="6:11">
      <c r="F801" s="14"/>
      <c r="G801" s="14"/>
      <c r="H801" s="14"/>
      <c r="I801" s="14"/>
      <c r="J801" s="14"/>
      <c r="K801" s="14"/>
    </row>
    <row r="802" ht="12.5" spans="6:11">
      <c r="F802" s="14"/>
      <c r="G802" s="14"/>
      <c r="H802" s="14"/>
      <c r="I802" s="14"/>
      <c r="J802" s="14"/>
      <c r="K802" s="14"/>
    </row>
    <row r="803" ht="12.5" spans="6:11">
      <c r="F803" s="14"/>
      <c r="G803" s="14"/>
      <c r="H803" s="14"/>
      <c r="I803" s="14"/>
      <c r="J803" s="14"/>
      <c r="K803" s="14"/>
    </row>
    <row r="804" ht="12.5" spans="6:11">
      <c r="F804" s="14"/>
      <c r="G804" s="14"/>
      <c r="H804" s="14"/>
      <c r="I804" s="14"/>
      <c r="J804" s="14"/>
      <c r="K804" s="14"/>
    </row>
    <row r="805" ht="12.5" spans="6:11">
      <c r="F805" s="14"/>
      <c r="G805" s="14"/>
      <c r="H805" s="14"/>
      <c r="I805" s="14"/>
      <c r="J805" s="14"/>
      <c r="K805" s="14"/>
    </row>
    <row r="806" ht="12.5" spans="6:11">
      <c r="F806" s="14"/>
      <c r="G806" s="14"/>
      <c r="H806" s="14"/>
      <c r="I806" s="14"/>
      <c r="J806" s="14"/>
      <c r="K806" s="14"/>
    </row>
    <row r="807" ht="12.5" spans="6:11">
      <c r="F807" s="14"/>
      <c r="G807" s="14"/>
      <c r="H807" s="14"/>
      <c r="I807" s="14"/>
      <c r="J807" s="14"/>
      <c r="K807" s="14"/>
    </row>
    <row r="808" ht="12.5" spans="6:11">
      <c r="F808" s="14"/>
      <c r="G808" s="14"/>
      <c r="H808" s="14"/>
      <c r="I808" s="14"/>
      <c r="J808" s="14"/>
      <c r="K808" s="14"/>
    </row>
    <row r="809" ht="12.5" spans="6:11">
      <c r="F809" s="14"/>
      <c r="G809" s="14"/>
      <c r="H809" s="14"/>
      <c r="I809" s="14"/>
      <c r="J809" s="14"/>
      <c r="K809" s="14"/>
    </row>
    <row r="810" ht="12.5" spans="6:11">
      <c r="F810" s="14"/>
      <c r="G810" s="14"/>
      <c r="H810" s="14"/>
      <c r="I810" s="14"/>
      <c r="J810" s="14"/>
      <c r="K810" s="14"/>
    </row>
    <row r="811" ht="12.5" spans="6:11">
      <c r="F811" s="14"/>
      <c r="G811" s="14"/>
      <c r="H811" s="14"/>
      <c r="I811" s="14"/>
      <c r="J811" s="14"/>
      <c r="K811" s="14"/>
    </row>
    <row r="812" ht="12.5" spans="6:11">
      <c r="F812" s="14"/>
      <c r="G812" s="14"/>
      <c r="H812" s="14"/>
      <c r="I812" s="14"/>
      <c r="J812" s="14"/>
      <c r="K812" s="14"/>
    </row>
    <row r="813" ht="12.5" spans="6:11">
      <c r="F813" s="14"/>
      <c r="G813" s="14"/>
      <c r="H813" s="14"/>
      <c r="I813" s="14"/>
      <c r="J813" s="14"/>
      <c r="K813" s="14"/>
    </row>
    <row r="814" ht="12.5" spans="6:11">
      <c r="F814" s="14"/>
      <c r="G814" s="14"/>
      <c r="H814" s="14"/>
      <c r="I814" s="14"/>
      <c r="J814" s="14"/>
      <c r="K814" s="14"/>
    </row>
    <row r="815" ht="12.5" spans="6:11">
      <c r="F815" s="14"/>
      <c r="G815" s="14"/>
      <c r="H815" s="14"/>
      <c r="I815" s="14"/>
      <c r="J815" s="14"/>
      <c r="K815" s="14"/>
    </row>
    <row r="816" ht="12.5" spans="6:11">
      <c r="F816" s="14"/>
      <c r="G816" s="14"/>
      <c r="H816" s="14"/>
      <c r="I816" s="14"/>
      <c r="J816" s="14"/>
      <c r="K816" s="14"/>
    </row>
    <row r="817" ht="12.5" spans="6:11">
      <c r="F817" s="14"/>
      <c r="G817" s="14"/>
      <c r="H817" s="14"/>
      <c r="I817" s="14"/>
      <c r="J817" s="14"/>
      <c r="K817" s="14"/>
    </row>
    <row r="818" ht="12.5" spans="6:11">
      <c r="F818" s="14"/>
      <c r="G818" s="14"/>
      <c r="H818" s="14"/>
      <c r="I818" s="14"/>
      <c r="J818" s="14"/>
      <c r="K818" s="14"/>
    </row>
    <row r="819" ht="12.5" spans="6:11">
      <c r="F819" s="14"/>
      <c r="G819" s="14"/>
      <c r="H819" s="14"/>
      <c r="I819" s="14"/>
      <c r="J819" s="14"/>
      <c r="K819" s="14"/>
    </row>
    <row r="820" ht="12.5" spans="6:11">
      <c r="F820" s="14"/>
      <c r="G820" s="14"/>
      <c r="H820" s="14"/>
      <c r="I820" s="14"/>
      <c r="J820" s="14"/>
      <c r="K820" s="14"/>
    </row>
    <row r="821" ht="12.5" spans="6:11">
      <c r="F821" s="14"/>
      <c r="G821" s="14"/>
      <c r="H821" s="14"/>
      <c r="I821" s="14"/>
      <c r="J821" s="14"/>
      <c r="K821" s="14"/>
    </row>
    <row r="822" ht="12.5" spans="6:11">
      <c r="F822" s="14"/>
      <c r="G822" s="14"/>
      <c r="H822" s="14"/>
      <c r="I822" s="14"/>
      <c r="J822" s="14"/>
      <c r="K822" s="14"/>
    </row>
    <row r="823" ht="12.5" spans="6:11">
      <c r="F823" s="14"/>
      <c r="G823" s="14"/>
      <c r="H823" s="14"/>
      <c r="I823" s="14"/>
      <c r="J823" s="14"/>
      <c r="K823" s="14"/>
    </row>
    <row r="824" ht="12.5" spans="6:11">
      <c r="F824" s="14"/>
      <c r="G824" s="14"/>
      <c r="H824" s="14"/>
      <c r="I824" s="14"/>
      <c r="J824" s="14"/>
      <c r="K824" s="14"/>
    </row>
    <row r="825" ht="12.5" spans="6:11">
      <c r="F825" s="14"/>
      <c r="G825" s="14"/>
      <c r="H825" s="14"/>
      <c r="I825" s="14"/>
      <c r="J825" s="14"/>
      <c r="K825" s="14"/>
    </row>
    <row r="826" ht="12.5" spans="6:11">
      <c r="F826" s="14"/>
      <c r="G826" s="14"/>
      <c r="H826" s="14"/>
      <c r="I826" s="14"/>
      <c r="J826" s="14"/>
      <c r="K826" s="14"/>
    </row>
    <row r="827" ht="12.5" spans="6:11">
      <c r="F827" s="14"/>
      <c r="G827" s="14"/>
      <c r="H827" s="14"/>
      <c r="I827" s="14"/>
      <c r="J827" s="14"/>
      <c r="K827" s="14"/>
    </row>
    <row r="828" ht="12.5" spans="6:11">
      <c r="F828" s="14"/>
      <c r="G828" s="14"/>
      <c r="H828" s="14"/>
      <c r="I828" s="14"/>
      <c r="J828" s="14"/>
      <c r="K828" s="14"/>
    </row>
    <row r="829" ht="12.5" spans="6:11">
      <c r="F829" s="14"/>
      <c r="G829" s="14"/>
      <c r="H829" s="14"/>
      <c r="I829" s="14"/>
      <c r="J829" s="14"/>
      <c r="K829" s="14"/>
    </row>
    <row r="830" ht="12.5" spans="6:11">
      <c r="F830" s="14"/>
      <c r="G830" s="14"/>
      <c r="H830" s="14"/>
      <c r="I830" s="14"/>
      <c r="J830" s="14"/>
      <c r="K830" s="14"/>
    </row>
    <row r="831" ht="12.5" spans="6:11">
      <c r="F831" s="14"/>
      <c r="G831" s="14"/>
      <c r="H831" s="14"/>
      <c r="I831" s="14"/>
      <c r="J831" s="14"/>
      <c r="K831" s="14"/>
    </row>
    <row r="832" ht="12.5" spans="6:11">
      <c r="F832" s="14"/>
      <c r="G832" s="14"/>
      <c r="H832" s="14"/>
      <c r="I832" s="14"/>
      <c r="J832" s="14"/>
      <c r="K832" s="14"/>
    </row>
    <row r="833" ht="12.5" spans="6:11">
      <c r="F833" s="14"/>
      <c r="G833" s="14"/>
      <c r="H833" s="14"/>
      <c r="I833" s="14"/>
      <c r="J833" s="14"/>
      <c r="K833" s="14"/>
    </row>
    <row r="834" ht="12.5" spans="6:11">
      <c r="F834" s="14"/>
      <c r="G834" s="14"/>
      <c r="H834" s="14"/>
      <c r="I834" s="14"/>
      <c r="J834" s="14"/>
      <c r="K834" s="14"/>
    </row>
    <row r="835" ht="12.5" spans="6:11">
      <c r="F835" s="14"/>
      <c r="G835" s="14"/>
      <c r="H835" s="14"/>
      <c r="I835" s="14"/>
      <c r="J835" s="14"/>
      <c r="K835" s="14"/>
    </row>
    <row r="836" ht="12.5" spans="6:11">
      <c r="F836" s="14"/>
      <c r="G836" s="14"/>
      <c r="H836" s="14"/>
      <c r="I836" s="14"/>
      <c r="J836" s="14"/>
      <c r="K836" s="14"/>
    </row>
    <row r="837" ht="12.5" spans="6:11">
      <c r="F837" s="14"/>
      <c r="G837" s="14"/>
      <c r="H837" s="14"/>
      <c r="I837" s="14"/>
      <c r="J837" s="14"/>
      <c r="K837" s="14"/>
    </row>
    <row r="838" ht="12.5" spans="6:11">
      <c r="F838" s="14"/>
      <c r="G838" s="14"/>
      <c r="H838" s="14"/>
      <c r="I838" s="14"/>
      <c r="J838" s="14"/>
      <c r="K838" s="14"/>
    </row>
    <row r="839" ht="12.5" spans="6:11">
      <c r="F839" s="14"/>
      <c r="G839" s="14"/>
      <c r="H839" s="14"/>
      <c r="I839" s="14"/>
      <c r="J839" s="14"/>
      <c r="K839" s="14"/>
    </row>
    <row r="840" ht="12.5" spans="6:11">
      <c r="F840" s="14"/>
      <c r="G840" s="14"/>
      <c r="H840" s="14"/>
      <c r="I840" s="14"/>
      <c r="J840" s="14"/>
      <c r="K840" s="14"/>
    </row>
    <row r="841" ht="12.5" spans="6:11">
      <c r="F841" s="14"/>
      <c r="G841" s="14"/>
      <c r="H841" s="14"/>
      <c r="I841" s="14"/>
      <c r="J841" s="14"/>
      <c r="K841" s="14"/>
    </row>
    <row r="842" ht="12.5" spans="6:11">
      <c r="F842" s="14"/>
      <c r="G842" s="14"/>
      <c r="H842" s="14"/>
      <c r="I842" s="14"/>
      <c r="J842" s="14"/>
      <c r="K842" s="14"/>
    </row>
    <row r="843" ht="12.5" spans="6:11">
      <c r="F843" s="14"/>
      <c r="G843" s="14"/>
      <c r="H843" s="14"/>
      <c r="I843" s="14"/>
      <c r="J843" s="14"/>
      <c r="K843" s="14"/>
    </row>
    <row r="844" ht="12.5" spans="6:11">
      <c r="F844" s="14"/>
      <c r="G844" s="14"/>
      <c r="H844" s="14"/>
      <c r="I844" s="14"/>
      <c r="J844" s="14"/>
      <c r="K844" s="14"/>
    </row>
    <row r="845" ht="12.5" spans="6:11">
      <c r="F845" s="14"/>
      <c r="G845" s="14"/>
      <c r="H845" s="14"/>
      <c r="I845" s="14"/>
      <c r="J845" s="14"/>
      <c r="K845" s="14"/>
    </row>
    <row r="846" ht="12.5" spans="6:11">
      <c r="F846" s="14"/>
      <c r="G846" s="14"/>
      <c r="H846" s="14"/>
      <c r="I846" s="14"/>
      <c r="J846" s="14"/>
      <c r="K846" s="14"/>
    </row>
    <row r="847" ht="12.5" spans="6:11">
      <c r="F847" s="14"/>
      <c r="G847" s="14"/>
      <c r="H847" s="14"/>
      <c r="I847" s="14"/>
      <c r="J847" s="14"/>
      <c r="K847" s="14"/>
    </row>
    <row r="848" ht="12.5" spans="6:11">
      <c r="F848" s="14"/>
      <c r="G848" s="14"/>
      <c r="H848" s="14"/>
      <c r="I848" s="14"/>
      <c r="J848" s="14"/>
      <c r="K848" s="14"/>
    </row>
    <row r="849" ht="12.5" spans="6:11">
      <c r="F849" s="14"/>
      <c r="G849" s="14"/>
      <c r="H849" s="14"/>
      <c r="I849" s="14"/>
      <c r="J849" s="14"/>
      <c r="K849" s="14"/>
    </row>
    <row r="850" ht="12.5" spans="6:11">
      <c r="F850" s="14"/>
      <c r="G850" s="14"/>
      <c r="H850" s="14"/>
      <c r="I850" s="14"/>
      <c r="J850" s="14"/>
      <c r="K850" s="14"/>
    </row>
    <row r="851" ht="12.5" spans="6:11">
      <c r="F851" s="14"/>
      <c r="G851" s="14"/>
      <c r="H851" s="14"/>
      <c r="I851" s="14"/>
      <c r="J851" s="14"/>
      <c r="K851" s="14"/>
    </row>
    <row r="852" ht="12.5" spans="6:11">
      <c r="F852" s="14"/>
      <c r="G852" s="14"/>
      <c r="H852" s="14"/>
      <c r="I852" s="14"/>
      <c r="J852" s="14"/>
      <c r="K852" s="14"/>
    </row>
    <row r="853" ht="12.5" spans="6:11">
      <c r="F853" s="14"/>
      <c r="G853" s="14"/>
      <c r="H853" s="14"/>
      <c r="I853" s="14"/>
      <c r="J853" s="14"/>
      <c r="K853" s="14"/>
    </row>
    <row r="854" ht="12.5" spans="6:11">
      <c r="F854" s="14"/>
      <c r="G854" s="14"/>
      <c r="H854" s="14"/>
      <c r="I854" s="14"/>
      <c r="J854" s="14"/>
      <c r="K854" s="14"/>
    </row>
    <row r="855" ht="12.5" spans="6:11">
      <c r="F855" s="14"/>
      <c r="G855" s="14"/>
      <c r="H855" s="14"/>
      <c r="I855" s="14"/>
      <c r="J855" s="14"/>
      <c r="K855" s="14"/>
    </row>
    <row r="856" ht="12.5" spans="6:11">
      <c r="F856" s="14"/>
      <c r="G856" s="14"/>
      <c r="H856" s="14"/>
      <c r="I856" s="14"/>
      <c r="J856" s="14"/>
      <c r="K856" s="14"/>
    </row>
    <row r="857" ht="12.5" spans="6:11">
      <c r="F857" s="14"/>
      <c r="G857" s="14"/>
      <c r="H857" s="14"/>
      <c r="I857" s="14"/>
      <c r="J857" s="14"/>
      <c r="K857" s="14"/>
    </row>
    <row r="858" ht="12.5" spans="6:11">
      <c r="F858" s="14"/>
      <c r="G858" s="14"/>
      <c r="H858" s="14"/>
      <c r="I858" s="14"/>
      <c r="J858" s="14"/>
      <c r="K858" s="14"/>
    </row>
    <row r="859" ht="12.5" spans="6:11">
      <c r="F859" s="14"/>
      <c r="G859" s="14"/>
      <c r="H859" s="14"/>
      <c r="I859" s="14"/>
      <c r="J859" s="14"/>
      <c r="K859" s="14"/>
    </row>
    <row r="860" ht="12.5" spans="6:11">
      <c r="F860" s="14"/>
      <c r="G860" s="14"/>
      <c r="H860" s="14"/>
      <c r="I860" s="14"/>
      <c r="J860" s="14"/>
      <c r="K860" s="14"/>
    </row>
    <row r="861" ht="12.5" spans="6:11">
      <c r="F861" s="14"/>
      <c r="G861" s="14"/>
      <c r="H861" s="14"/>
      <c r="I861" s="14"/>
      <c r="J861" s="14"/>
      <c r="K861" s="14"/>
    </row>
    <row r="862" ht="12.5" spans="6:11">
      <c r="F862" s="14"/>
      <c r="G862" s="14"/>
      <c r="H862" s="14"/>
      <c r="I862" s="14"/>
      <c r="J862" s="14"/>
      <c r="K862" s="14"/>
    </row>
    <row r="863" ht="12.5" spans="6:11">
      <c r="F863" s="14"/>
      <c r="G863" s="14"/>
      <c r="H863" s="14"/>
      <c r="I863" s="14"/>
      <c r="J863" s="14"/>
      <c r="K863" s="14"/>
    </row>
    <row r="864" ht="12.5" spans="6:11">
      <c r="F864" s="14"/>
      <c r="G864" s="14"/>
      <c r="H864" s="14"/>
      <c r="I864" s="14"/>
      <c r="J864" s="14"/>
      <c r="K864" s="14"/>
    </row>
    <row r="865" ht="12.5" spans="6:11">
      <c r="F865" s="14"/>
      <c r="G865" s="14"/>
      <c r="H865" s="14"/>
      <c r="I865" s="14"/>
      <c r="J865" s="14"/>
      <c r="K865" s="14"/>
    </row>
    <row r="866" ht="12.5" spans="6:11">
      <c r="F866" s="14"/>
      <c r="G866" s="14"/>
      <c r="H866" s="14"/>
      <c r="I866" s="14"/>
      <c r="J866" s="14"/>
      <c r="K866" s="14"/>
    </row>
    <row r="867" ht="12.5" spans="6:11">
      <c r="F867" s="14"/>
      <c r="G867" s="14"/>
      <c r="H867" s="14"/>
      <c r="I867" s="14"/>
      <c r="J867" s="14"/>
      <c r="K867" s="14"/>
    </row>
    <row r="868" ht="12.5" spans="6:11">
      <c r="F868" s="14"/>
      <c r="G868" s="14"/>
      <c r="H868" s="14"/>
      <c r="I868" s="14"/>
      <c r="J868" s="14"/>
      <c r="K868" s="14"/>
    </row>
    <row r="869" ht="12.5" spans="6:11">
      <c r="F869" s="14"/>
      <c r="G869" s="14"/>
      <c r="H869" s="14"/>
      <c r="I869" s="14"/>
      <c r="J869" s="14"/>
      <c r="K869" s="14"/>
    </row>
    <row r="870" ht="12.5" spans="6:11">
      <c r="F870" s="14"/>
      <c r="G870" s="14"/>
      <c r="H870" s="14"/>
      <c r="I870" s="14"/>
      <c r="J870" s="14"/>
      <c r="K870" s="14"/>
    </row>
    <row r="871" ht="12.5" spans="6:11">
      <c r="F871" s="14"/>
      <c r="G871" s="14"/>
      <c r="H871" s="14"/>
      <c r="I871" s="14"/>
      <c r="J871" s="14"/>
      <c r="K871" s="14"/>
    </row>
    <row r="872" ht="12.5" spans="6:11">
      <c r="F872" s="14"/>
      <c r="G872" s="14"/>
      <c r="H872" s="14"/>
      <c r="I872" s="14"/>
      <c r="J872" s="14"/>
      <c r="K872" s="14"/>
    </row>
    <row r="873" ht="12.5" spans="6:11">
      <c r="F873" s="14"/>
      <c r="G873" s="14"/>
      <c r="H873" s="14"/>
      <c r="I873" s="14"/>
      <c r="J873" s="14"/>
      <c r="K873" s="14"/>
    </row>
    <row r="874" ht="12.5" spans="6:11">
      <c r="F874" s="14"/>
      <c r="G874" s="14"/>
      <c r="H874" s="14"/>
      <c r="I874" s="14"/>
      <c r="J874" s="14"/>
      <c r="K874" s="14"/>
    </row>
    <row r="875" ht="12.5" spans="6:11">
      <c r="F875" s="14"/>
      <c r="G875" s="14"/>
      <c r="H875" s="14"/>
      <c r="I875" s="14"/>
      <c r="J875" s="14"/>
      <c r="K875" s="14"/>
    </row>
    <row r="876" ht="12.5" spans="6:11">
      <c r="F876" s="14"/>
      <c r="G876" s="14"/>
      <c r="H876" s="14"/>
      <c r="I876" s="14"/>
      <c r="J876" s="14"/>
      <c r="K876" s="14"/>
    </row>
    <row r="877" ht="12.5" spans="6:11">
      <c r="F877" s="14"/>
      <c r="G877" s="14"/>
      <c r="H877" s="14"/>
      <c r="I877" s="14"/>
      <c r="J877" s="14"/>
      <c r="K877" s="14"/>
    </row>
    <row r="878" ht="12.5" spans="6:11">
      <c r="F878" s="14"/>
      <c r="G878" s="14"/>
      <c r="H878" s="14"/>
      <c r="I878" s="14"/>
      <c r="J878" s="14"/>
      <c r="K878" s="14"/>
    </row>
    <row r="879" ht="12.5" spans="6:11">
      <c r="F879" s="14"/>
      <c r="G879" s="14"/>
      <c r="H879" s="14"/>
      <c r="I879" s="14"/>
      <c r="J879" s="14"/>
      <c r="K879" s="14"/>
    </row>
    <row r="880" ht="12.5" spans="6:11">
      <c r="F880" s="14"/>
      <c r="G880" s="14"/>
      <c r="H880" s="14"/>
      <c r="I880" s="14"/>
      <c r="J880" s="14"/>
      <c r="K880" s="14"/>
    </row>
    <row r="881" ht="12.5" spans="6:11">
      <c r="F881" s="14"/>
      <c r="G881" s="14"/>
      <c r="H881" s="14"/>
      <c r="I881" s="14"/>
      <c r="J881" s="14"/>
      <c r="K881" s="14"/>
    </row>
    <row r="882" ht="12.5" spans="6:11">
      <c r="F882" s="14"/>
      <c r="G882" s="14"/>
      <c r="H882" s="14"/>
      <c r="I882" s="14"/>
      <c r="J882" s="14"/>
      <c r="K882" s="14"/>
    </row>
    <row r="883" ht="12.5" spans="6:11">
      <c r="F883" s="14"/>
      <c r="G883" s="14"/>
      <c r="H883" s="14"/>
      <c r="I883" s="14"/>
      <c r="J883" s="14"/>
      <c r="K883" s="14"/>
    </row>
    <row r="884" ht="12.5" spans="6:11">
      <c r="F884" s="14"/>
      <c r="G884" s="14"/>
      <c r="H884" s="14"/>
      <c r="I884" s="14"/>
      <c r="J884" s="14"/>
      <c r="K884" s="14"/>
    </row>
    <row r="885" ht="12.5" spans="6:11">
      <c r="F885" s="14"/>
      <c r="G885" s="14"/>
      <c r="H885" s="14"/>
      <c r="I885" s="14"/>
      <c r="J885" s="14"/>
      <c r="K885" s="14"/>
    </row>
    <row r="886" ht="12.5" spans="6:11">
      <c r="F886" s="14"/>
      <c r="G886" s="14"/>
      <c r="H886" s="14"/>
      <c r="I886" s="14"/>
      <c r="J886" s="14"/>
      <c r="K886" s="14"/>
    </row>
    <row r="887" ht="12.5" spans="6:11">
      <c r="F887" s="14"/>
      <c r="G887" s="14"/>
      <c r="H887" s="14"/>
      <c r="I887" s="14"/>
      <c r="J887" s="14"/>
      <c r="K887" s="14"/>
    </row>
    <row r="888" ht="12.5" spans="6:11">
      <c r="F888" s="14"/>
      <c r="G888" s="14"/>
      <c r="H888" s="14"/>
      <c r="I888" s="14"/>
      <c r="J888" s="14"/>
      <c r="K888" s="14"/>
    </row>
    <row r="889" ht="12.5" spans="6:11">
      <c r="F889" s="14"/>
      <c r="G889" s="14"/>
      <c r="H889" s="14"/>
      <c r="I889" s="14"/>
      <c r="J889" s="14"/>
      <c r="K889" s="14"/>
    </row>
    <row r="890" ht="12.5" spans="6:11">
      <c r="F890" s="14"/>
      <c r="G890" s="14"/>
      <c r="H890" s="14"/>
      <c r="I890" s="14"/>
      <c r="J890" s="14"/>
      <c r="K890" s="14"/>
    </row>
    <row r="891" ht="12.5" spans="6:11">
      <c r="F891" s="14"/>
      <c r="G891" s="14"/>
      <c r="H891" s="14"/>
      <c r="I891" s="14"/>
      <c r="J891" s="14"/>
      <c r="K891" s="14"/>
    </row>
    <row r="892" ht="12.5" spans="6:11">
      <c r="F892" s="14"/>
      <c r="G892" s="14"/>
      <c r="H892" s="14"/>
      <c r="I892" s="14"/>
      <c r="J892" s="14"/>
      <c r="K892" s="14"/>
    </row>
    <row r="893" ht="12.5" spans="6:11">
      <c r="F893" s="14"/>
      <c r="G893" s="14"/>
      <c r="H893" s="14"/>
      <c r="I893" s="14"/>
      <c r="J893" s="14"/>
      <c r="K893" s="14"/>
    </row>
    <row r="894" ht="12.5" spans="6:11">
      <c r="F894" s="14"/>
      <c r="G894" s="14"/>
      <c r="H894" s="14"/>
      <c r="I894" s="14"/>
      <c r="J894" s="14"/>
      <c r="K894" s="14"/>
    </row>
    <row r="895" ht="12.5" spans="6:11">
      <c r="F895" s="14"/>
      <c r="G895" s="14"/>
      <c r="H895" s="14"/>
      <c r="I895" s="14"/>
      <c r="J895" s="14"/>
      <c r="K895" s="14"/>
    </row>
    <row r="896" ht="12.5" spans="6:11">
      <c r="F896" s="14"/>
      <c r="G896" s="14"/>
      <c r="H896" s="14"/>
      <c r="I896" s="14"/>
      <c r="J896" s="14"/>
      <c r="K896" s="14"/>
    </row>
    <row r="897" ht="12.5" spans="6:11">
      <c r="F897" s="14"/>
      <c r="G897" s="14"/>
      <c r="H897" s="14"/>
      <c r="I897" s="14"/>
      <c r="J897" s="14"/>
      <c r="K897" s="14"/>
    </row>
    <row r="898" ht="12.5" spans="6:11">
      <c r="F898" s="14"/>
      <c r="G898" s="14"/>
      <c r="H898" s="14"/>
      <c r="I898" s="14"/>
      <c r="J898" s="14"/>
      <c r="K898" s="14"/>
    </row>
    <row r="899" ht="12.5" spans="6:11">
      <c r="F899" s="14"/>
      <c r="G899" s="14"/>
      <c r="H899" s="14"/>
      <c r="I899" s="14"/>
      <c r="J899" s="14"/>
      <c r="K899" s="14"/>
    </row>
    <row r="900" ht="12.5" spans="6:11">
      <c r="F900" s="14"/>
      <c r="G900" s="14"/>
      <c r="H900" s="14"/>
      <c r="I900" s="14"/>
      <c r="J900" s="14"/>
      <c r="K900" s="14"/>
    </row>
    <row r="901" ht="12.5" spans="6:11">
      <c r="F901" s="14"/>
      <c r="G901" s="14"/>
      <c r="H901" s="14"/>
      <c r="I901" s="14"/>
      <c r="J901" s="14"/>
      <c r="K901" s="14"/>
    </row>
    <row r="902" ht="12.5" spans="6:11">
      <c r="F902" s="14"/>
      <c r="G902" s="14"/>
      <c r="H902" s="14"/>
      <c r="I902" s="14"/>
      <c r="J902" s="14"/>
      <c r="K902" s="14"/>
    </row>
    <row r="903" ht="12.5" spans="6:11">
      <c r="F903" s="14"/>
      <c r="G903" s="14"/>
      <c r="H903" s="14"/>
      <c r="I903" s="14"/>
      <c r="J903" s="14"/>
      <c r="K903" s="14"/>
    </row>
    <row r="904" ht="12.5" spans="6:11">
      <c r="F904" s="14"/>
      <c r="G904" s="14"/>
      <c r="H904" s="14"/>
      <c r="I904" s="14"/>
      <c r="J904" s="14"/>
      <c r="K904" s="14"/>
    </row>
    <row r="905" ht="12.5" spans="6:11">
      <c r="F905" s="14"/>
      <c r="G905" s="14"/>
      <c r="H905" s="14"/>
      <c r="I905" s="14"/>
      <c r="J905" s="14"/>
      <c r="K905" s="14"/>
    </row>
    <row r="906" ht="12.5" spans="6:11">
      <c r="F906" s="14"/>
      <c r="G906" s="14"/>
      <c r="H906" s="14"/>
      <c r="I906" s="14"/>
      <c r="J906" s="14"/>
      <c r="K906" s="14"/>
    </row>
    <row r="907" ht="12.5" spans="6:11">
      <c r="F907" s="14"/>
      <c r="G907" s="14"/>
      <c r="H907" s="14"/>
      <c r="I907" s="14"/>
      <c r="J907" s="14"/>
      <c r="K907" s="14"/>
    </row>
    <row r="908" ht="12.5" spans="6:11">
      <c r="F908" s="14"/>
      <c r="G908" s="14"/>
      <c r="H908" s="14"/>
      <c r="I908" s="14"/>
      <c r="J908" s="14"/>
      <c r="K908" s="14"/>
    </row>
    <row r="909" ht="12.5" spans="6:11">
      <c r="F909" s="14"/>
      <c r="G909" s="14"/>
      <c r="H909" s="14"/>
      <c r="I909" s="14"/>
      <c r="J909" s="14"/>
      <c r="K909" s="14"/>
    </row>
    <row r="910" ht="12.5" spans="6:11">
      <c r="F910" s="14"/>
      <c r="G910" s="14"/>
      <c r="H910" s="14"/>
      <c r="I910" s="14"/>
      <c r="J910" s="14"/>
      <c r="K910" s="14"/>
    </row>
    <row r="911" ht="12.5" spans="6:11">
      <c r="F911" s="14"/>
      <c r="G911" s="14"/>
      <c r="H911" s="14"/>
      <c r="I911" s="14"/>
      <c r="J911" s="14"/>
      <c r="K911" s="14"/>
    </row>
    <row r="912" ht="12.5" spans="6:11">
      <c r="F912" s="14"/>
      <c r="G912" s="14"/>
      <c r="H912" s="14"/>
      <c r="I912" s="14"/>
      <c r="J912" s="14"/>
      <c r="K912" s="14"/>
    </row>
    <row r="913" ht="12.5" spans="6:11">
      <c r="F913" s="14"/>
      <c r="G913" s="14"/>
      <c r="H913" s="14"/>
      <c r="I913" s="14"/>
      <c r="J913" s="14"/>
      <c r="K913" s="14"/>
    </row>
    <row r="914" ht="12.5" spans="6:11">
      <c r="F914" s="14"/>
      <c r="G914" s="14"/>
      <c r="H914" s="14"/>
      <c r="I914" s="14"/>
      <c r="J914" s="14"/>
      <c r="K914" s="14"/>
    </row>
    <row r="915" ht="12.5" spans="6:11">
      <c r="F915" s="14"/>
      <c r="G915" s="14"/>
      <c r="H915" s="14"/>
      <c r="I915" s="14"/>
      <c r="J915" s="14"/>
      <c r="K915" s="14"/>
    </row>
    <row r="916" ht="12.5" spans="6:11">
      <c r="F916" s="14"/>
      <c r="G916" s="14"/>
      <c r="H916" s="14"/>
      <c r="I916" s="14"/>
      <c r="J916" s="14"/>
      <c r="K916" s="14"/>
    </row>
    <row r="917" ht="12.5" spans="6:11">
      <c r="F917" s="14"/>
      <c r="G917" s="14"/>
      <c r="H917" s="14"/>
      <c r="I917" s="14"/>
      <c r="J917" s="14"/>
      <c r="K917" s="14"/>
    </row>
    <row r="918" ht="12.5" spans="6:11">
      <c r="F918" s="14"/>
      <c r="G918" s="14"/>
      <c r="H918" s="14"/>
      <c r="I918" s="14"/>
      <c r="J918" s="14"/>
      <c r="K918" s="14"/>
    </row>
    <row r="919" ht="12.5" spans="6:11">
      <c r="F919" s="14"/>
      <c r="G919" s="14"/>
      <c r="H919" s="14"/>
      <c r="I919" s="14"/>
      <c r="J919" s="14"/>
      <c r="K919" s="14"/>
    </row>
    <row r="920" ht="12.5" spans="6:11">
      <c r="F920" s="14"/>
      <c r="G920" s="14"/>
      <c r="H920" s="14"/>
      <c r="I920" s="14"/>
      <c r="J920" s="14"/>
      <c r="K920" s="14"/>
    </row>
    <row r="921" ht="12.5" spans="6:11">
      <c r="F921" s="14"/>
      <c r="G921" s="14"/>
      <c r="H921" s="14"/>
      <c r="I921" s="14"/>
      <c r="J921" s="14"/>
      <c r="K921" s="14"/>
    </row>
    <row r="922" ht="12.5" spans="6:11">
      <c r="F922" s="14"/>
      <c r="G922" s="14"/>
      <c r="H922" s="14"/>
      <c r="I922" s="14"/>
      <c r="J922" s="14"/>
      <c r="K922" s="14"/>
    </row>
    <row r="923" ht="12.5" spans="6:11">
      <c r="F923" s="14"/>
      <c r="G923" s="14"/>
      <c r="H923" s="14"/>
      <c r="I923" s="14"/>
      <c r="J923" s="14"/>
      <c r="K923" s="14"/>
    </row>
    <row r="924" ht="12.5" spans="6:11">
      <c r="F924" s="14"/>
      <c r="G924" s="14"/>
      <c r="H924" s="14"/>
      <c r="I924" s="14"/>
      <c r="J924" s="14"/>
      <c r="K924" s="14"/>
    </row>
    <row r="925" ht="12.5" spans="6:11">
      <c r="F925" s="14"/>
      <c r="G925" s="14"/>
      <c r="H925" s="14"/>
      <c r="I925" s="14"/>
      <c r="J925" s="14"/>
      <c r="K925" s="14"/>
    </row>
    <row r="926" ht="12.5" spans="6:11">
      <c r="F926" s="14"/>
      <c r="G926" s="14"/>
      <c r="H926" s="14"/>
      <c r="I926" s="14"/>
      <c r="J926" s="14"/>
      <c r="K926" s="14"/>
    </row>
    <row r="927" ht="12.5" spans="6:11">
      <c r="F927" s="14"/>
      <c r="G927" s="14"/>
      <c r="H927" s="14"/>
      <c r="I927" s="14"/>
      <c r="J927" s="14"/>
      <c r="K927" s="14"/>
    </row>
    <row r="928" ht="12.5" spans="6:11">
      <c r="F928" s="14"/>
      <c r="G928" s="14"/>
      <c r="H928" s="14"/>
      <c r="I928" s="14"/>
      <c r="J928" s="14"/>
      <c r="K928" s="14"/>
    </row>
    <row r="929" ht="12.5" spans="6:11">
      <c r="F929" s="14"/>
      <c r="G929" s="14"/>
      <c r="H929" s="14"/>
      <c r="I929" s="14"/>
      <c r="J929" s="14"/>
      <c r="K929" s="14"/>
    </row>
    <row r="930" ht="12.5" spans="6:11">
      <c r="F930" s="14"/>
      <c r="G930" s="14"/>
      <c r="H930" s="14"/>
      <c r="I930" s="14"/>
      <c r="J930" s="14"/>
      <c r="K930" s="14"/>
    </row>
    <row r="931" ht="12.5" spans="6:11">
      <c r="F931" s="14"/>
      <c r="G931" s="14"/>
      <c r="H931" s="14"/>
      <c r="I931" s="14"/>
      <c r="J931" s="14"/>
      <c r="K931" s="14"/>
    </row>
    <row r="932" ht="12.5" spans="6:11">
      <c r="F932" s="14"/>
      <c r="G932" s="14"/>
      <c r="H932" s="14"/>
      <c r="I932" s="14"/>
      <c r="J932" s="14"/>
      <c r="K932" s="14"/>
    </row>
    <row r="933" ht="12.5" spans="6:11">
      <c r="F933" s="14"/>
      <c r="G933" s="14"/>
      <c r="H933" s="14"/>
      <c r="I933" s="14"/>
      <c r="J933" s="14"/>
      <c r="K933" s="14"/>
    </row>
    <row r="934" ht="12.5" spans="6:11">
      <c r="F934" s="14"/>
      <c r="G934" s="14"/>
      <c r="H934" s="14"/>
      <c r="I934" s="14"/>
      <c r="J934" s="14"/>
      <c r="K934" s="14"/>
    </row>
    <row r="935" ht="12.5" spans="6:11">
      <c r="F935" s="14"/>
      <c r="G935" s="14"/>
      <c r="H935" s="14"/>
      <c r="I935" s="14"/>
      <c r="J935" s="14"/>
      <c r="K935" s="14"/>
    </row>
    <row r="936" ht="12.5" spans="6:11">
      <c r="F936" s="14"/>
      <c r="G936" s="14"/>
      <c r="H936" s="14"/>
      <c r="I936" s="14"/>
      <c r="J936" s="14"/>
      <c r="K936" s="14"/>
    </row>
    <row r="937" ht="12.5" spans="6:11">
      <c r="F937" s="14"/>
      <c r="G937" s="14"/>
      <c r="H937" s="14"/>
      <c r="I937" s="14"/>
      <c r="J937" s="14"/>
      <c r="K937" s="14"/>
    </row>
    <row r="938" ht="12.5" spans="6:11">
      <c r="F938" s="14"/>
      <c r="G938" s="14"/>
      <c r="H938" s="14"/>
      <c r="I938" s="14"/>
      <c r="J938" s="14"/>
      <c r="K938" s="14"/>
    </row>
    <row r="939" ht="12.5" spans="6:11">
      <c r="F939" s="14"/>
      <c r="G939" s="14"/>
      <c r="H939" s="14"/>
      <c r="I939" s="14"/>
      <c r="J939" s="14"/>
      <c r="K939" s="14"/>
    </row>
    <row r="940" ht="12.5" spans="6:11">
      <c r="F940" s="14"/>
      <c r="G940" s="14"/>
      <c r="H940" s="14"/>
      <c r="I940" s="14"/>
      <c r="J940" s="14"/>
      <c r="K940" s="14"/>
    </row>
    <row r="941" ht="12.5" spans="6:11">
      <c r="F941" s="14"/>
      <c r="G941" s="14"/>
      <c r="H941" s="14"/>
      <c r="I941" s="14"/>
      <c r="J941" s="14"/>
      <c r="K941" s="14"/>
    </row>
    <row r="942" ht="12.5" spans="6:11">
      <c r="F942" s="14"/>
      <c r="G942" s="14"/>
      <c r="H942" s="14"/>
      <c r="I942" s="14"/>
      <c r="J942" s="14"/>
      <c r="K942" s="14"/>
    </row>
    <row r="943" ht="12.5" spans="6:11">
      <c r="F943" s="14"/>
      <c r="G943" s="14"/>
      <c r="H943" s="14"/>
      <c r="I943" s="14"/>
      <c r="J943" s="14"/>
      <c r="K943" s="14"/>
    </row>
    <row r="944" ht="12.5" spans="6:11">
      <c r="F944" s="14"/>
      <c r="G944" s="14"/>
      <c r="H944" s="14"/>
      <c r="I944" s="14"/>
      <c r="J944" s="14"/>
      <c r="K944" s="14"/>
    </row>
    <row r="945" ht="12.5" spans="6:11">
      <c r="F945" s="14"/>
      <c r="G945" s="14"/>
      <c r="H945" s="14"/>
      <c r="I945" s="14"/>
      <c r="J945" s="14"/>
      <c r="K945" s="14"/>
    </row>
    <row r="946" ht="12.5" spans="6:11">
      <c r="F946" s="14"/>
      <c r="G946" s="14"/>
      <c r="H946" s="14"/>
      <c r="I946" s="14"/>
      <c r="J946" s="14"/>
      <c r="K946" s="14"/>
    </row>
    <row r="947" ht="12.5" spans="6:11">
      <c r="F947" s="14"/>
      <c r="G947" s="14"/>
      <c r="H947" s="14"/>
      <c r="I947" s="14"/>
      <c r="J947" s="14"/>
      <c r="K947" s="14"/>
    </row>
    <row r="948" ht="12.5" spans="6:11">
      <c r="F948" s="14"/>
      <c r="G948" s="14"/>
      <c r="H948" s="14"/>
      <c r="I948" s="14"/>
      <c r="J948" s="14"/>
      <c r="K948" s="14"/>
    </row>
    <row r="949" ht="12.5" spans="6:11">
      <c r="F949" s="14"/>
      <c r="G949" s="14"/>
      <c r="H949" s="14"/>
      <c r="I949" s="14"/>
      <c r="J949" s="14"/>
      <c r="K949" s="14"/>
    </row>
    <row r="950" ht="12.5" spans="6:11">
      <c r="F950" s="14"/>
      <c r="G950" s="14"/>
      <c r="H950" s="14"/>
      <c r="I950" s="14"/>
      <c r="J950" s="14"/>
      <c r="K950" s="14"/>
    </row>
    <row r="951" ht="12.5" spans="6:11">
      <c r="F951" s="14"/>
      <c r="G951" s="14"/>
      <c r="H951" s="14"/>
      <c r="I951" s="14"/>
      <c r="J951" s="14"/>
      <c r="K951" s="14"/>
    </row>
    <row r="952" ht="12.5" spans="6:11">
      <c r="F952" s="14"/>
      <c r="G952" s="14"/>
      <c r="H952" s="14"/>
      <c r="I952" s="14"/>
      <c r="J952" s="14"/>
      <c r="K952" s="14"/>
    </row>
    <row r="953" ht="12.5" spans="6:11">
      <c r="F953" s="14"/>
      <c r="G953" s="14"/>
      <c r="H953" s="14"/>
      <c r="I953" s="14"/>
      <c r="J953" s="14"/>
      <c r="K953" s="14"/>
    </row>
    <row r="954" ht="12.5" spans="6:11">
      <c r="F954" s="14"/>
      <c r="G954" s="14"/>
      <c r="H954" s="14"/>
      <c r="I954" s="14"/>
      <c r="J954" s="14"/>
      <c r="K954" s="14"/>
    </row>
    <row r="955" ht="12.5" spans="6:11">
      <c r="F955" s="14"/>
      <c r="G955" s="14"/>
      <c r="H955" s="14"/>
      <c r="I955" s="14"/>
      <c r="J955" s="14"/>
      <c r="K955" s="14"/>
    </row>
    <row r="956" ht="12.5" spans="6:11">
      <c r="F956" s="14"/>
      <c r="G956" s="14"/>
      <c r="H956" s="14"/>
      <c r="I956" s="14"/>
      <c r="J956" s="14"/>
      <c r="K956" s="14"/>
    </row>
    <row r="957" ht="12.5" spans="6:11">
      <c r="F957" s="14"/>
      <c r="G957" s="14"/>
      <c r="H957" s="14"/>
      <c r="I957" s="14"/>
      <c r="J957" s="14"/>
      <c r="K957" s="14"/>
    </row>
    <row r="958" ht="12.5" spans="6:11">
      <c r="F958" s="14"/>
      <c r="G958" s="14"/>
      <c r="H958" s="14"/>
      <c r="I958" s="14"/>
      <c r="J958" s="14"/>
      <c r="K958" s="14"/>
    </row>
    <row r="959" ht="12.5" spans="6:11">
      <c r="F959" s="14"/>
      <c r="G959" s="14"/>
      <c r="H959" s="14"/>
      <c r="I959" s="14"/>
      <c r="J959" s="14"/>
      <c r="K959" s="14"/>
    </row>
    <row r="960" ht="12.5" spans="6:11">
      <c r="F960" s="14"/>
      <c r="G960" s="14"/>
      <c r="H960" s="14"/>
      <c r="I960" s="14"/>
      <c r="J960" s="14"/>
      <c r="K960" s="14"/>
    </row>
    <row r="961" ht="12.5" spans="6:11">
      <c r="F961" s="14"/>
      <c r="G961" s="14"/>
      <c r="H961" s="14"/>
      <c r="I961" s="14"/>
      <c r="J961" s="14"/>
      <c r="K961" s="14"/>
    </row>
    <row r="962" ht="12.5" spans="6:11">
      <c r="F962" s="14"/>
      <c r="G962" s="14"/>
      <c r="H962" s="14"/>
      <c r="I962" s="14"/>
      <c r="J962" s="14"/>
      <c r="K962" s="14"/>
    </row>
    <row r="963" ht="12.5" spans="6:11">
      <c r="F963" s="14"/>
      <c r="G963" s="14"/>
      <c r="H963" s="14"/>
      <c r="I963" s="14"/>
      <c r="J963" s="14"/>
      <c r="K963" s="14"/>
    </row>
    <row r="964" ht="12.5" spans="6:11">
      <c r="F964" s="14"/>
      <c r="G964" s="14"/>
      <c r="H964" s="14"/>
      <c r="I964" s="14"/>
      <c r="J964" s="14"/>
      <c r="K964" s="14"/>
    </row>
    <row r="965" ht="12.5" spans="6:11">
      <c r="F965" s="14"/>
      <c r="G965" s="14"/>
      <c r="H965" s="14"/>
      <c r="I965" s="14"/>
      <c r="J965" s="14"/>
      <c r="K965" s="14"/>
    </row>
    <row r="966" ht="12.5" spans="6:11">
      <c r="F966" s="14"/>
      <c r="G966" s="14"/>
      <c r="H966" s="14"/>
      <c r="I966" s="14"/>
      <c r="J966" s="14"/>
      <c r="K966" s="14"/>
    </row>
    <row r="967" ht="12.5" spans="6:11">
      <c r="F967" s="14"/>
      <c r="G967" s="14"/>
      <c r="H967" s="14"/>
      <c r="I967" s="14"/>
      <c r="J967" s="14"/>
      <c r="K967" s="14"/>
    </row>
    <row r="968" ht="12.5" spans="6:11">
      <c r="F968" s="14"/>
      <c r="G968" s="14"/>
      <c r="H968" s="14"/>
      <c r="I968" s="14"/>
      <c r="J968" s="14"/>
      <c r="K968" s="14"/>
    </row>
    <row r="969" ht="12.5" spans="6:11">
      <c r="F969" s="14"/>
      <c r="G969" s="14"/>
      <c r="H969" s="14"/>
      <c r="I969" s="14"/>
      <c r="J969" s="14"/>
      <c r="K969" s="14"/>
    </row>
    <row r="970" ht="12.5" spans="6:11">
      <c r="F970" s="14"/>
      <c r="G970" s="14"/>
      <c r="H970" s="14"/>
      <c r="I970" s="14"/>
      <c r="J970" s="14"/>
      <c r="K970" s="14"/>
    </row>
    <row r="971" ht="12.5" spans="6:11">
      <c r="F971" s="14"/>
      <c r="G971" s="14"/>
      <c r="H971" s="14"/>
      <c r="I971" s="14"/>
      <c r="J971" s="14"/>
      <c r="K971" s="14"/>
    </row>
    <row r="972" ht="12.5" spans="6:11">
      <c r="F972" s="14"/>
      <c r="G972" s="14"/>
      <c r="H972" s="14"/>
      <c r="I972" s="14"/>
      <c r="J972" s="14"/>
      <c r="K972" s="14"/>
    </row>
    <row r="973" ht="12.5" spans="6:11">
      <c r="F973" s="14"/>
      <c r="G973" s="14"/>
      <c r="H973" s="14"/>
      <c r="I973" s="14"/>
      <c r="J973" s="14"/>
      <c r="K973" s="14"/>
    </row>
    <row r="974" ht="12.5" spans="6:11">
      <c r="F974" s="14"/>
      <c r="G974" s="14"/>
      <c r="H974" s="14"/>
      <c r="I974" s="14"/>
      <c r="J974" s="14"/>
      <c r="K974" s="14"/>
    </row>
    <row r="975" ht="12.5" spans="6:11">
      <c r="F975" s="14"/>
      <c r="G975" s="14"/>
      <c r="H975" s="14"/>
      <c r="I975" s="14"/>
      <c r="J975" s="14"/>
      <c r="K975" s="14"/>
    </row>
    <row r="976" ht="12.5" spans="6:11">
      <c r="F976" s="14"/>
      <c r="G976" s="14"/>
      <c r="H976" s="14"/>
      <c r="I976" s="14"/>
      <c r="J976" s="14"/>
      <c r="K976" s="14"/>
    </row>
    <row r="977" ht="12.5" spans="6:11">
      <c r="F977" s="14"/>
      <c r="G977" s="14"/>
      <c r="H977" s="14"/>
      <c r="I977" s="14"/>
      <c r="J977" s="14"/>
      <c r="K977" s="14"/>
    </row>
    <row r="978" ht="12.5" spans="6:11">
      <c r="F978" s="14"/>
      <c r="G978" s="14"/>
      <c r="H978" s="14"/>
      <c r="I978" s="14"/>
      <c r="J978" s="14"/>
      <c r="K978" s="14"/>
    </row>
    <row r="979" ht="12.5" spans="6:11">
      <c r="F979" s="14"/>
      <c r="G979" s="14"/>
      <c r="H979" s="14"/>
      <c r="I979" s="14"/>
      <c r="J979" s="14"/>
      <c r="K979" s="14"/>
    </row>
    <row r="980" ht="12.5" spans="6:11">
      <c r="F980" s="14"/>
      <c r="G980" s="14"/>
      <c r="H980" s="14"/>
      <c r="I980" s="14"/>
      <c r="J980" s="14"/>
      <c r="K980" s="14"/>
    </row>
    <row r="981" ht="12.5" spans="6:11">
      <c r="F981" s="14"/>
      <c r="G981" s="14"/>
      <c r="H981" s="14"/>
      <c r="I981" s="14"/>
      <c r="J981" s="14"/>
      <c r="K981" s="14"/>
    </row>
    <row r="982" ht="12.5" spans="6:11">
      <c r="F982" s="14"/>
      <c r="G982" s="14"/>
      <c r="H982" s="14"/>
      <c r="I982" s="14"/>
      <c r="J982" s="14"/>
      <c r="K982" s="14"/>
    </row>
    <row r="983" ht="12.5" spans="6:11">
      <c r="F983" s="14"/>
      <c r="G983" s="14"/>
      <c r="H983" s="14"/>
      <c r="I983" s="14"/>
      <c r="J983" s="14"/>
      <c r="K983" s="14"/>
    </row>
    <row r="984" ht="12.5" spans="6:11">
      <c r="F984" s="14"/>
      <c r="G984" s="14"/>
      <c r="H984" s="14"/>
      <c r="I984" s="14"/>
      <c r="J984" s="14"/>
      <c r="K984" s="14"/>
    </row>
    <row r="985" ht="12.5" spans="6:11">
      <c r="F985" s="14"/>
      <c r="G985" s="14"/>
      <c r="H985" s="14"/>
      <c r="I985" s="14"/>
      <c r="J985" s="14"/>
      <c r="K985" s="14"/>
    </row>
    <row r="986" ht="12.5" spans="6:11">
      <c r="F986" s="14"/>
      <c r="G986" s="14"/>
      <c r="H986" s="14"/>
      <c r="I986" s="14"/>
      <c r="J986" s="14"/>
      <c r="K986" s="14"/>
    </row>
    <row r="987" ht="12.5" spans="6:11">
      <c r="F987" s="14"/>
      <c r="G987" s="14"/>
      <c r="H987" s="14"/>
      <c r="I987" s="14"/>
      <c r="J987" s="14"/>
      <c r="K987" s="14"/>
    </row>
    <row r="988" ht="12.5" spans="6:11">
      <c r="F988" s="14"/>
      <c r="G988" s="14"/>
      <c r="H988" s="14"/>
      <c r="I988" s="14"/>
      <c r="J988" s="14"/>
      <c r="K988" s="14"/>
    </row>
    <row r="989" ht="12.5" spans="6:11">
      <c r="F989" s="14"/>
      <c r="G989" s="14"/>
      <c r="H989" s="14"/>
      <c r="I989" s="14"/>
      <c r="J989" s="14"/>
      <c r="K989" s="14"/>
    </row>
    <row r="990" ht="12.5" spans="6:11">
      <c r="F990" s="14"/>
      <c r="G990" s="14"/>
      <c r="H990" s="14"/>
      <c r="I990" s="14"/>
      <c r="J990" s="14"/>
      <c r="K990" s="14"/>
    </row>
    <row r="991" ht="12.5" spans="6:11">
      <c r="F991" s="14"/>
      <c r="G991" s="14"/>
      <c r="H991" s="14"/>
      <c r="I991" s="14"/>
      <c r="J991" s="14"/>
      <c r="K991" s="14"/>
    </row>
    <row r="992" ht="12.5" spans="6:11">
      <c r="F992" s="14"/>
      <c r="G992" s="14"/>
      <c r="H992" s="14"/>
      <c r="I992" s="14"/>
      <c r="J992" s="14"/>
      <c r="K992" s="14"/>
    </row>
    <row r="993" ht="12.5" spans="6:11">
      <c r="F993" s="14"/>
      <c r="G993" s="14"/>
      <c r="H993" s="14"/>
      <c r="I993" s="14"/>
      <c r="J993" s="14"/>
      <c r="K993" s="14"/>
    </row>
    <row r="994" ht="12.5" spans="6:11">
      <c r="F994" s="14"/>
      <c r="G994" s="14"/>
      <c r="H994" s="14"/>
      <c r="I994" s="14"/>
      <c r="J994" s="14"/>
      <c r="K994" s="14"/>
    </row>
    <row r="995" ht="12.5" spans="6:11">
      <c r="F995" s="14"/>
      <c r="G995" s="14"/>
      <c r="H995" s="14"/>
      <c r="I995" s="14"/>
      <c r="J995" s="14"/>
      <c r="K995" s="14"/>
    </row>
    <row r="996" ht="12.5" spans="6:11">
      <c r="F996" s="14"/>
      <c r="G996" s="14"/>
      <c r="H996" s="14"/>
      <c r="I996" s="14"/>
      <c r="J996" s="14"/>
      <c r="K996" s="14"/>
    </row>
    <row r="997" ht="12.5" spans="6:11">
      <c r="F997" s="14"/>
      <c r="G997" s="14"/>
      <c r="H997" s="14"/>
      <c r="I997" s="14"/>
      <c r="J997" s="14"/>
      <c r="K997" s="14"/>
    </row>
    <row r="998" ht="12.5" spans="6:11">
      <c r="F998" s="14"/>
      <c r="G998" s="14"/>
      <c r="H998" s="14"/>
      <c r="I998" s="14"/>
      <c r="J998" s="14"/>
      <c r="K998" s="14"/>
    </row>
    <row r="999" ht="12.5" spans="6:11">
      <c r="F999" s="14"/>
      <c r="G999" s="14"/>
      <c r="H999" s="14"/>
      <c r="I999" s="14"/>
      <c r="J999" s="14"/>
      <c r="K999" s="14"/>
    </row>
    <row r="1000" ht="12.5" spans="6:11">
      <c r="F1000" s="14"/>
      <c r="G1000" s="14"/>
      <c r="H1000" s="14"/>
      <c r="I1000" s="14"/>
      <c r="J1000" s="14"/>
      <c r="K1000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XI A</vt:lpstr>
      <vt:lpstr>XI B1</vt:lpstr>
      <vt:lpstr>XI B2</vt:lpstr>
      <vt:lpstr>XI B3</vt:lpstr>
      <vt:lpstr>XI C1</vt:lpstr>
      <vt:lpstr>XI C2</vt:lpstr>
      <vt:lpstr>XI C3</vt:lpstr>
      <vt:lpstr>XI C4</vt:lpstr>
      <vt:lpstr>XI D1</vt:lpstr>
      <vt:lpstr>XI D2</vt:lpstr>
      <vt:lpstr>XI E1</vt:lpstr>
      <vt:lpstr>XI E2</vt:lpstr>
      <vt:lpstr>REKAP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2026-07-16T01:41:13Z</dcterms:created>
  <cp:lastPrinted>2026-07-14T08:49:00Z</cp:lastPrinted>
  <dcterms:modified xsi:type="dcterms:W3CDTF">2026-07-16T01:50:03Z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7D04FD2335FF4392B38BAA964E62BFDF_12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