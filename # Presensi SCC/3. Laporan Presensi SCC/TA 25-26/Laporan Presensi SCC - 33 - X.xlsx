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Presensi SCC" sheetId="1" r:id="rId5"/>
    <sheet state="visible" name="Laporan Presensi SCC - 33 - X -" sheetId="2" r:id="rId6"/>
    <sheet state="visible" name="Sheet3" sheetId="3" r:id="rId7"/>
  </sheets>
  <definedNames>
    <definedName hidden="1" localSheetId="1" name="_xlnm._FilterDatabase">'Laporan Presensi SCC - 33 - X -'!$A$1:$G$645</definedName>
  </definedNames>
  <calcPr/>
</workbook>
</file>

<file path=xl/sharedStrings.xml><?xml version="1.0" encoding="utf-8"?>
<sst xmlns="http://schemas.openxmlformats.org/spreadsheetml/2006/main" count="1833" uniqueCount="1173">
  <si>
    <t>Column 1</t>
  </si>
  <si>
    <t>Column 2</t>
  </si>
  <si>
    <t>Column 3</t>
  </si>
  <si>
    <t>Column 4</t>
  </si>
  <si>
    <t>Column 5</t>
  </si>
  <si>
    <t>Column 14</t>
  </si>
  <si>
    <t>Column 15</t>
  </si>
  <si>
    <t>TAHUN PELAJARAN 2025-2026</t>
  </si>
  <si>
    <t>Wali Kelas : Selly Amalia, S.Hum</t>
  </si>
  <si>
    <t>X-1</t>
  </si>
  <si>
    <t>NO</t>
  </si>
  <si>
    <t>NISN</t>
  </si>
  <si>
    <t>NIS</t>
  </si>
  <si>
    <t>NAMA</t>
  </si>
  <si>
    <t>L/P</t>
  </si>
  <si>
    <t>KEHADIRAN</t>
  </si>
  <si>
    <t>NILAI</t>
  </si>
  <si>
    <t>0092626116</t>
  </si>
  <si>
    <t>Adhie Bramantyo Faqih</t>
  </si>
  <si>
    <t>L</t>
  </si>
  <si>
    <t>3103201253</t>
  </si>
  <si>
    <t>Almira Dwi Safira</t>
  </si>
  <si>
    <t>P</t>
  </si>
  <si>
    <t>0102149444</t>
  </si>
  <si>
    <t>Alzena Juneeta Talisha Theo</t>
  </si>
  <si>
    <t>0095992391</t>
  </si>
  <si>
    <t>Arya Aditya Gunawan</t>
  </si>
  <si>
    <t>0106142601</t>
  </si>
  <si>
    <t>Aryasatia Pradipta</t>
  </si>
  <si>
    <t>0108104548</t>
  </si>
  <si>
    <t>Asyifa Diandra Bayu</t>
  </si>
  <si>
    <t>0103045473</t>
  </si>
  <si>
    <t>Asyifa Maulidia Salsabila</t>
  </si>
  <si>
    <t>0109105725</t>
  </si>
  <si>
    <t>Aurelia Langit Callysta</t>
  </si>
  <si>
    <t>0096394871</t>
  </si>
  <si>
    <t>Aurelia Septiani Putri</t>
  </si>
  <si>
    <t>0099038184</t>
  </si>
  <si>
    <t>Azalia Maheswari Christabel</t>
  </si>
  <si>
    <t>0096477713</t>
  </si>
  <si>
    <t>Bilqis Anwar Thebe</t>
  </si>
  <si>
    <t>0106995291</t>
  </si>
  <si>
    <t>Bimo Armani Aulia Putra</t>
  </si>
  <si>
    <t>0094126705</t>
  </si>
  <si>
    <t>Callysta Tuchi Solin</t>
  </si>
  <si>
    <t>0105914504</t>
  </si>
  <si>
    <t>Diwangkara Rizki Rabbani</t>
  </si>
  <si>
    <t>0092097491</t>
  </si>
  <si>
    <t>Dzahra Miftahuljanah</t>
  </si>
  <si>
    <t>0102644442</t>
  </si>
  <si>
    <t>Fakhri Haikal Alvito Rachmat</t>
  </si>
  <si>
    <t>0107657965</t>
  </si>
  <si>
    <t>Fathi Azzam Hawwari</t>
  </si>
  <si>
    <t>0095023834</t>
  </si>
  <si>
    <t>Fatimah Aszahra</t>
  </si>
  <si>
    <t>0094631117</t>
  </si>
  <si>
    <t>Gwenna Irene Winata</t>
  </si>
  <si>
    <t>0092679798</t>
  </si>
  <si>
    <t>Jasmine Zahira Ramadhani</t>
  </si>
  <si>
    <t>0109256207</t>
  </si>
  <si>
    <t>Jesslyn Quinn Gabrielle Sitorus</t>
  </si>
  <si>
    <t>0103648473</t>
  </si>
  <si>
    <t>Jihan Al Hasya</t>
  </si>
  <si>
    <t>0108537666</t>
  </si>
  <si>
    <t>Johanes Satria Yudha</t>
  </si>
  <si>
    <t>0106690766</t>
  </si>
  <si>
    <t>Kariswan Wahyudi</t>
  </si>
  <si>
    <t>0098409943</t>
  </si>
  <si>
    <t>Maria Rica Stefany Demu</t>
  </si>
  <si>
    <t>0092985486</t>
  </si>
  <si>
    <t>Melani Putri Triana</t>
  </si>
  <si>
    <t>0094677765</t>
  </si>
  <si>
    <t>Michael Mazmur Hatorangan Hutabarat</t>
  </si>
  <si>
    <t>0107959828</t>
  </si>
  <si>
    <t>Mochamad Nayaka Tuharea</t>
  </si>
  <si>
    <t>0092600602</t>
  </si>
  <si>
    <t>Muhamad Septian Romadhon</t>
  </si>
  <si>
    <t>0108695912</t>
  </si>
  <si>
    <t>Muhammad Adrian Gianni Adam</t>
  </si>
  <si>
    <t>0093126257</t>
  </si>
  <si>
    <t>Muhammad Chaerudin Ramdhani</t>
  </si>
  <si>
    <t>3104497802</t>
  </si>
  <si>
    <t>Muhammad Fathan Assidiq</t>
  </si>
  <si>
    <t>0108107461</t>
  </si>
  <si>
    <t>Muhammad Rizky Aditya Putra Sukmawijayaguna</t>
  </si>
  <si>
    <t>0092807405</t>
  </si>
  <si>
    <t>Muhammad Rodzul Amrullah</t>
  </si>
  <si>
    <t>0102300207</t>
  </si>
  <si>
    <t>Nadya Salwa Altiara</t>
  </si>
  <si>
    <t>0097892166</t>
  </si>
  <si>
    <t>Nailah Khoirunisa Arsanti</t>
  </si>
  <si>
    <t>0097858274</t>
  </si>
  <si>
    <t>Novyola Safitri</t>
  </si>
  <si>
    <t>0093105045</t>
  </si>
  <si>
    <t>Nur Alifah Silvia</t>
  </si>
  <si>
    <t>0095438030</t>
  </si>
  <si>
    <t>Pungki Yustisia Pertiwi</t>
  </si>
  <si>
    <t>0107914534</t>
  </si>
  <si>
    <t>Raden Gathan Azaki Soesilo</t>
  </si>
  <si>
    <t>0097963483</t>
  </si>
  <si>
    <t>Raden Muhammad Rafi Wiranata</t>
  </si>
  <si>
    <t>0092135851</t>
  </si>
  <si>
    <t>Rayhan Ashabi</t>
  </si>
  <si>
    <t>0092605198</t>
  </si>
  <si>
    <t>Rayhana Rizkya Al-Multazam</t>
  </si>
  <si>
    <t>0103151970</t>
  </si>
  <si>
    <t>Riffa Nugraha</t>
  </si>
  <si>
    <t>0097644165</t>
  </si>
  <si>
    <t>Salsabila Zahwa Mulana</t>
  </si>
  <si>
    <t>0102657659</t>
  </si>
  <si>
    <t>Shabira Ayatul Husna</t>
  </si>
  <si>
    <t>0111428850</t>
  </si>
  <si>
    <t>Zavier Lamya Arkanominatha</t>
  </si>
  <si>
    <t>0108505453</t>
  </si>
  <si>
    <t>Zhafirah Dwi Fauziah</t>
  </si>
  <si>
    <t>Perempuan</t>
  </si>
  <si>
    <t>Laki laki</t>
  </si>
  <si>
    <t>Wali Kelas : Muhammad, S.Pd</t>
  </si>
  <si>
    <t>X-2</t>
  </si>
  <si>
    <t>Kehadiran</t>
  </si>
  <si>
    <t>Nilai</t>
  </si>
  <si>
    <t>0094216870</t>
  </si>
  <si>
    <t>Adinda Syahira Hariyadi</t>
  </si>
  <si>
    <t>0107760733</t>
  </si>
  <si>
    <t>Aira Aulia Putri</t>
  </si>
  <si>
    <t>0105130233</t>
  </si>
  <si>
    <t>Aisha Faiha Dzakiyah</t>
  </si>
  <si>
    <t>0104550133</t>
  </si>
  <si>
    <t>Alifa Safa Salsabila</t>
  </si>
  <si>
    <t>0095372504</t>
  </si>
  <si>
    <t>Alviana Dwie Putery</t>
  </si>
  <si>
    <t>0105813396</t>
  </si>
  <si>
    <t>Alyya Zahra Kusumadewi</t>
  </si>
  <si>
    <t>0109006152</t>
  </si>
  <si>
    <t>Ammar Raziq Mahdiya</t>
  </si>
  <si>
    <t>0097211030</t>
  </si>
  <si>
    <t>Andini Qoriyati Khaerani</t>
  </si>
  <si>
    <t>3108667209</t>
  </si>
  <si>
    <t>Aqeela Az Zahra</t>
  </si>
  <si>
    <t>0109904498</t>
  </si>
  <si>
    <t>Arfan Kristian Perlindungan Harefa</t>
  </si>
  <si>
    <t>0098513542</t>
  </si>
  <si>
    <t>Ashiila Rindu Dwi Laufli</t>
  </si>
  <si>
    <t>0106376916</t>
  </si>
  <si>
    <t>Atharrayhan Abimanyu Pratama</t>
  </si>
  <si>
    <t>0105797314</t>
  </si>
  <si>
    <t>Aurelly Diana Zulkarnaen</t>
  </si>
  <si>
    <t>0102731314</t>
  </si>
  <si>
    <t>Bima Adyatma Ilmiawan</t>
  </si>
  <si>
    <t>0092794157</t>
  </si>
  <si>
    <t>Cinta Cludia Putri</t>
  </si>
  <si>
    <t>0106384221</t>
  </si>
  <si>
    <t>Dafsyah Arifa Putra</t>
  </si>
  <si>
    <t>3104617391</t>
  </si>
  <si>
    <t>Denisa Azka Putri</t>
  </si>
  <si>
    <t>0098157268</t>
  </si>
  <si>
    <t>Devani Keyla Noris</t>
  </si>
  <si>
    <t>0099675945</t>
  </si>
  <si>
    <t>Dimas Putra Pribadi</t>
  </si>
  <si>
    <t>0104532267</t>
  </si>
  <si>
    <t>Elvio Dyahyu Yusanto</t>
  </si>
  <si>
    <t>0097593921</t>
  </si>
  <si>
    <t>Enisye Putri Zeliawati Limpong</t>
  </si>
  <si>
    <t>0106157075</t>
  </si>
  <si>
    <t>Fabian Ahza Hidayat</t>
  </si>
  <si>
    <t>0104141415</t>
  </si>
  <si>
    <t>Fadhilah Raisa Kamilati</t>
  </si>
  <si>
    <t>0107723856</t>
  </si>
  <si>
    <t>Fatimah Ayu Sekarsari</t>
  </si>
  <si>
    <t>0105606050</t>
  </si>
  <si>
    <t>Jasmine Makayla Putri Arvani</t>
  </si>
  <si>
    <t>0094564578</t>
  </si>
  <si>
    <t>Khalid Ahmad Ghazali</t>
  </si>
  <si>
    <t>0103261879</t>
  </si>
  <si>
    <t>Khansa Aulia Damtsa Hylmi</t>
  </si>
  <si>
    <t>0109361118</t>
  </si>
  <si>
    <t>Lionel Boanerges Raffles Simangunsong</t>
  </si>
  <si>
    <t>0092576905</t>
  </si>
  <si>
    <t>Mardiansyah Isman</t>
  </si>
  <si>
    <t>0099605205</t>
  </si>
  <si>
    <t>Mohammad Haikal</t>
  </si>
  <si>
    <t>0108384400</t>
  </si>
  <si>
    <t>Mohammad Irshad Faizanshah</t>
  </si>
  <si>
    <t>0098087445</t>
  </si>
  <si>
    <t>Muhamad Thoriq Al Rasyad</t>
  </si>
  <si>
    <t>0108518402</t>
  </si>
  <si>
    <t>Muhammad Akmaluddin</t>
  </si>
  <si>
    <t>0098345742</t>
  </si>
  <si>
    <t>Muhammad Ariza Rizkya Irvan</t>
  </si>
  <si>
    <t>0104535464</t>
  </si>
  <si>
    <t>Muhammad Nazam Rizal</t>
  </si>
  <si>
    <t>3107410887</t>
  </si>
  <si>
    <t>Muhammad Rasyad Mahdawi</t>
  </si>
  <si>
    <t>0093768427</t>
  </si>
  <si>
    <t>Neng Rahmi Novianti</t>
  </si>
  <si>
    <t>0103404970</t>
  </si>
  <si>
    <t>Niesha Anindya Firstsaly</t>
  </si>
  <si>
    <t>0102495325</t>
  </si>
  <si>
    <t>Oryza Angelina Sitohang</t>
  </si>
  <si>
    <t>0106276801</t>
  </si>
  <si>
    <t>Priscillia Putri Viona</t>
  </si>
  <si>
    <t>0098833541</t>
  </si>
  <si>
    <t>Qaniah Mardiyah Salsabila</t>
  </si>
  <si>
    <t>0095492963</t>
  </si>
  <si>
    <t>Raisha Puri Lianti</t>
  </si>
  <si>
    <t>0091964566</t>
  </si>
  <si>
    <t>Rasya Arkananta Mulya</t>
  </si>
  <si>
    <t>0092731928</t>
  </si>
  <si>
    <t>Rusvi Putri Ingguan</t>
  </si>
  <si>
    <t>0105816582</t>
  </si>
  <si>
    <t>Ruth Rafanela Syeby Siregar</t>
  </si>
  <si>
    <t>0102751293</t>
  </si>
  <si>
    <t>Titania Dwizita Shahla</t>
  </si>
  <si>
    <t>0104292767</t>
  </si>
  <si>
    <t>Zaidan Riziq Sakha</t>
  </si>
  <si>
    <t>0096087965</t>
  </si>
  <si>
    <t>Zalikhah Rasikhah Putri</t>
  </si>
  <si>
    <t>Wali Kelas : Syamsi Jawawi, S.Pd</t>
  </si>
  <si>
    <t>X-3</t>
  </si>
  <si>
    <t>0094703204</t>
  </si>
  <si>
    <t>Abhinaya Zaidan Akbar</t>
  </si>
  <si>
    <t>0106941990</t>
  </si>
  <si>
    <t>Andra Rakadityono</t>
  </si>
  <si>
    <t>0109964803</t>
  </si>
  <si>
    <t>Anjani Safira Salma</t>
  </si>
  <si>
    <t>0104084075</t>
  </si>
  <si>
    <t>Ario Bimo Wicaksono</t>
  </si>
  <si>
    <t>0098221239</t>
  </si>
  <si>
    <t>Arman Firmansyah</t>
  </si>
  <si>
    <t>0104751597</t>
  </si>
  <si>
    <t>Attaya Putri Faslahi</t>
  </si>
  <si>
    <t>0104406841</t>
  </si>
  <si>
    <t>Attiyah Naila Adza Alifah</t>
  </si>
  <si>
    <t>0102122161</t>
  </si>
  <si>
    <t>Aulia Azahra</t>
  </si>
  <si>
    <t>0108329102</t>
  </si>
  <si>
    <t>Bianca Aurelia Putri Asari</t>
  </si>
  <si>
    <t>0103047499</t>
  </si>
  <si>
    <t>Bumi Byakta Alfian</t>
  </si>
  <si>
    <t>0102794623</t>
  </si>
  <si>
    <t>Cheryl Faiha Al-Tair</t>
  </si>
  <si>
    <t>0096103714</t>
  </si>
  <si>
    <t>Cindy Ramadhani Sinulingga</t>
  </si>
  <si>
    <t>0103966590</t>
  </si>
  <si>
    <t>Danesh Arrayan Syahreen</t>
  </si>
  <si>
    <t>0097493642</t>
  </si>
  <si>
    <t>Dhyra Putra Pratama</t>
  </si>
  <si>
    <t>0096662016</t>
  </si>
  <si>
    <t>Fadya Malikha</t>
  </si>
  <si>
    <t>0096892367</t>
  </si>
  <si>
    <t>Fajri Pardomuan Pohan</t>
  </si>
  <si>
    <t>0094686377</t>
  </si>
  <si>
    <t>Farras Putra Zema</t>
  </si>
  <si>
    <t>0109768822</t>
  </si>
  <si>
    <t>Fathia Amia Rizqi</t>
  </si>
  <si>
    <t>0109156472</t>
  </si>
  <si>
    <t>Florencia Ivana</t>
  </si>
  <si>
    <t>0098064041</t>
  </si>
  <si>
    <t>Fricilia Aprilyani Cardoso</t>
  </si>
  <si>
    <t>0113691116</t>
  </si>
  <si>
    <t>Gerald Samuel Sitanggang</t>
  </si>
  <si>
    <t>0104767807</t>
  </si>
  <si>
    <t>Jaenal Ikhwan</t>
  </si>
  <si>
    <t>0104211640</t>
  </si>
  <si>
    <t>Kartika Larasati</t>
  </si>
  <si>
    <t>0098772505</t>
  </si>
  <si>
    <t>Keynia Louis Cristin Harianja</t>
  </si>
  <si>
    <t>0107095977</t>
  </si>
  <si>
    <t>Khairani Asri Utami</t>
  </si>
  <si>
    <t>0092150853</t>
  </si>
  <si>
    <t>Khalifi Ramadhan Darmawan Anda</t>
  </si>
  <si>
    <t>0091769169</t>
  </si>
  <si>
    <t>Lathika Aulia Althafunnisa</t>
  </si>
  <si>
    <t>0103272603</t>
  </si>
  <si>
    <t>Laura Aubrey Gracia Lubis</t>
  </si>
  <si>
    <t>0103190164</t>
  </si>
  <si>
    <t>Mandariza Arya Pranata Wijaya</t>
  </si>
  <si>
    <t>0092154795</t>
  </si>
  <si>
    <t>Muhammad Rizzieq Yusuf Natakusumah</t>
  </si>
  <si>
    <t>3096846304</t>
  </si>
  <si>
    <t>Muhammad Zuhear Alfan</t>
  </si>
  <si>
    <t>0104716348</t>
  </si>
  <si>
    <t>Nadhifa Farah Falihah</t>
  </si>
  <si>
    <t>0102174126</t>
  </si>
  <si>
    <t>Nazwa Savira</t>
  </si>
  <si>
    <t>0097540821</t>
  </si>
  <si>
    <t>Nourman Raditia Putra</t>
  </si>
  <si>
    <t>0102114748</t>
  </si>
  <si>
    <t>Nursifa Maulidah</t>
  </si>
  <si>
    <t>0097603092</t>
  </si>
  <si>
    <t>Pramudhio Sawerigading Ihsan</t>
  </si>
  <si>
    <t>0106292164</t>
  </si>
  <si>
    <t>Putri Eisya</t>
  </si>
  <si>
    <t>3104085681</t>
  </si>
  <si>
    <t>Putri Zaqiyah</t>
  </si>
  <si>
    <t>0105055522</t>
  </si>
  <si>
    <t>Rahma Marissa</t>
  </si>
  <si>
    <t>0092263541</t>
  </si>
  <si>
    <t>Revan</t>
  </si>
  <si>
    <t>0091178036</t>
  </si>
  <si>
    <t>Safa Naya Adristi</t>
  </si>
  <si>
    <t>0106930882</t>
  </si>
  <si>
    <t>Shirane Ghaniyya Ramadhani</t>
  </si>
  <si>
    <t>0109721617</t>
  </si>
  <si>
    <t>Yasmin Kirani Affifah</t>
  </si>
  <si>
    <t>0101188685</t>
  </si>
  <si>
    <t>Yasmine Almira Queen</t>
  </si>
  <si>
    <t>0106443881</t>
  </si>
  <si>
    <t>Jihan Fauziyyah Latifah</t>
  </si>
  <si>
    <t>Dwi Lestari, S.Pd</t>
  </si>
  <si>
    <t>X-4</t>
  </si>
  <si>
    <t>0106136353</t>
  </si>
  <si>
    <t>Ahmad Azmi Mutaarrofi</t>
  </si>
  <si>
    <t>0095491750</t>
  </si>
  <si>
    <t>Ahmad Farely Azriel</t>
  </si>
  <si>
    <t>0087811342</t>
  </si>
  <si>
    <t>Alfian Chaniago</t>
  </si>
  <si>
    <t>0094160993</t>
  </si>
  <si>
    <t>Alleandra Kaif Finandita</t>
  </si>
  <si>
    <t>0103659705</t>
  </si>
  <si>
    <t>Altaira Aqila Myesha Ario</t>
  </si>
  <si>
    <t>0107838813</t>
  </si>
  <si>
    <t>Amira Najwa Fauziyah</t>
  </si>
  <si>
    <t>0108144208</t>
  </si>
  <si>
    <t>Aphrodyta Aurelia Avrilla</t>
  </si>
  <si>
    <t>0096853688</t>
  </si>
  <si>
    <t>Aqueena Putri Salimah</t>
  </si>
  <si>
    <t>0092637367</t>
  </si>
  <si>
    <t>Chairani Kanza Wulandaputri</t>
  </si>
  <si>
    <t>0095522157</t>
  </si>
  <si>
    <t>Dhefa Raditya Putra</t>
  </si>
  <si>
    <t>0098223677</t>
  </si>
  <si>
    <t>Diaz Syeza Zivanna</t>
  </si>
  <si>
    <t>0106545857</t>
  </si>
  <si>
    <t>Dwi Nailah Azhara</t>
  </si>
  <si>
    <t>0108696681</t>
  </si>
  <si>
    <t>Erlangga Ardiyanto</t>
  </si>
  <si>
    <t>0102866245</t>
  </si>
  <si>
    <t>Fahmi Adilla Pasha</t>
  </si>
  <si>
    <t>0107425878</t>
  </si>
  <si>
    <t>Fakhi Zulfia Bilqis Nasyifa</t>
  </si>
  <si>
    <t>0104987304</t>
  </si>
  <si>
    <t>Friska Feby Aulia</t>
  </si>
  <si>
    <t>0104595564</t>
  </si>
  <si>
    <t>Inaya Janeeta</t>
  </si>
  <si>
    <t>0107286739</t>
  </si>
  <si>
    <t>Karnizara Ringga Rabbani</t>
  </si>
  <si>
    <t>0109267722</t>
  </si>
  <si>
    <t>Karunia Dwi Rahmawati</t>
  </si>
  <si>
    <t>0093634061</t>
  </si>
  <si>
    <t>Keisa Wanda Setiawan</t>
  </si>
  <si>
    <t>3091547533</t>
  </si>
  <si>
    <t>Keyno Nazmi Afham</t>
  </si>
  <si>
    <t>0097951249</t>
  </si>
  <si>
    <t>Khansa Vanya Laudya Putri</t>
  </si>
  <si>
    <t>0102015407</t>
  </si>
  <si>
    <t>Lutfi Dwi Melati</t>
  </si>
  <si>
    <t>0106908655</t>
  </si>
  <si>
    <t>Masayu Ganisha Pembayun Putri</t>
  </si>
  <si>
    <t>0092608342</t>
  </si>
  <si>
    <t>Mazaya Aqila Betha Diladena</t>
  </si>
  <si>
    <t>0098979111</t>
  </si>
  <si>
    <t>Muhamad Rizqi Darmawan</t>
  </si>
  <si>
    <t>0105497173</t>
  </si>
  <si>
    <t>Muhammad Ihsan Putra Pamungkas</t>
  </si>
  <si>
    <t>0092028941</t>
  </si>
  <si>
    <t>Muhammad Rafi Kurniawan</t>
  </si>
  <si>
    <t>0097410697</t>
  </si>
  <si>
    <t>Muhammad Sulthon Najib</t>
  </si>
  <si>
    <t>3105173369</t>
  </si>
  <si>
    <t>Muhammad Zaidan Aqil</t>
  </si>
  <si>
    <t>3107700954</t>
  </si>
  <si>
    <t>Mutiara Geisya Nuraini</t>
  </si>
  <si>
    <t>0103461516</t>
  </si>
  <si>
    <t>Priscilia Michelle Pasau</t>
  </si>
  <si>
    <t>0109782055</t>
  </si>
  <si>
    <t>Puffin Rohis Jusup Manurung</t>
  </si>
  <si>
    <t>0108699884</t>
  </si>
  <si>
    <t>Quizal Razky Ahmad</t>
  </si>
  <si>
    <t>0108390462</t>
  </si>
  <si>
    <t>Randy Adiya Pratama Kouw</t>
  </si>
  <si>
    <t>0107960365</t>
  </si>
  <si>
    <t>Ravino Abbas Subaga</t>
  </si>
  <si>
    <t>0104838010</t>
  </si>
  <si>
    <t>Rei Dillan Hartedi</t>
  </si>
  <si>
    <t>0108451246</t>
  </si>
  <si>
    <t>Reni Apriliani</t>
  </si>
  <si>
    <t>3104089400</t>
  </si>
  <si>
    <t>Rizky Putra Kunta Ajie</t>
  </si>
  <si>
    <t>0107731505</t>
  </si>
  <si>
    <t>Shabira Andiani</t>
  </si>
  <si>
    <t>0105775007</t>
  </si>
  <si>
    <t>Shafa Talitha Budiarto</t>
  </si>
  <si>
    <t>0106588309</t>
  </si>
  <si>
    <t>Shahira Hafiza Putri</t>
  </si>
  <si>
    <t>0106219079</t>
  </si>
  <si>
    <t>Sheika Rizki Ramadanti Aurelia</t>
  </si>
  <si>
    <t>0094714082</t>
  </si>
  <si>
    <t>Syahwa Fatmah</t>
  </si>
  <si>
    <t>0102630183</t>
  </si>
  <si>
    <t>Syakira Alma Annisa</t>
  </si>
  <si>
    <t>0106490661</t>
  </si>
  <si>
    <t>Tiara Winni Melia</t>
  </si>
  <si>
    <t>Deden Nur hasanah, S.E</t>
  </si>
  <si>
    <t>X-5</t>
  </si>
  <si>
    <t>0092194625</t>
  </si>
  <si>
    <t>Achmad Ardiansyah</t>
  </si>
  <si>
    <t>3108509756</t>
  </si>
  <si>
    <t>Adrian</t>
  </si>
  <si>
    <t>0099540724</t>
  </si>
  <si>
    <t>Aira Alessia Adha</t>
  </si>
  <si>
    <t>0107934430</t>
  </si>
  <si>
    <t>Aira Febria Sari</t>
  </si>
  <si>
    <t>0099668827</t>
  </si>
  <si>
    <t>Al Jadid Syafruddin Lubis</t>
  </si>
  <si>
    <t>0102993208</t>
  </si>
  <si>
    <t>Alisya Belva Dhio</t>
  </si>
  <si>
    <t>0104459637</t>
  </si>
  <si>
    <t>Amira Agni Kayla Raisya</t>
  </si>
  <si>
    <t>0104825356</t>
  </si>
  <si>
    <t>Amirah Khalishah Somoal</t>
  </si>
  <si>
    <t>0099339799</t>
  </si>
  <si>
    <t>Anas Legawa Riyadi</t>
  </si>
  <si>
    <t>0098197227</t>
  </si>
  <si>
    <t>Annisa Fitriyani</t>
  </si>
  <si>
    <t>0093274791</t>
  </si>
  <si>
    <t>Bagaskara Bisma Anoka</t>
  </si>
  <si>
    <t>0099900563</t>
  </si>
  <si>
    <t>Bilqis Nikita Aylani</t>
  </si>
  <si>
    <t>0092597384</t>
  </si>
  <si>
    <t>Dilla Novianti Putri</t>
  </si>
  <si>
    <t>3105062394</t>
  </si>
  <si>
    <t>Dinda Aulia</t>
  </si>
  <si>
    <t>3104392139</t>
  </si>
  <si>
    <t>0102488739</t>
  </si>
  <si>
    <t>0103139137</t>
  </si>
  <si>
    <t>Fathimah Septiani Azahra</t>
  </si>
  <si>
    <t>0091763745</t>
  </si>
  <si>
    <t>Hikmah Septiya</t>
  </si>
  <si>
    <t>0095064549</t>
  </si>
  <si>
    <t>Hilmi Ardhana Fuady</t>
  </si>
  <si>
    <t>3098845163</t>
  </si>
  <si>
    <t>Jevelin Ambarep Putri</t>
  </si>
  <si>
    <t>0104630358</t>
  </si>
  <si>
    <t>Khansa Tabita Aura Sakhi</t>
  </si>
  <si>
    <t>0097535113</t>
  </si>
  <si>
    <t>Lalitya Namu Wangundahina</t>
  </si>
  <si>
    <t>0094686372</t>
  </si>
  <si>
    <t>Mahira Aqila Azra</t>
  </si>
  <si>
    <t>0108578906</t>
  </si>
  <si>
    <t>Muhamad Adri Fachry</t>
  </si>
  <si>
    <t>3107979922</t>
  </si>
  <si>
    <t>Muhamad Gaza Al-Mahdi</t>
  </si>
  <si>
    <t>0105902624</t>
  </si>
  <si>
    <t>Muhammad Naufal Rhesa Fernando</t>
  </si>
  <si>
    <t>0095937017</t>
  </si>
  <si>
    <t>Muhammad Raya Al Maghfirah</t>
  </si>
  <si>
    <t>3094594523</t>
  </si>
  <si>
    <t>Muhammad Tristan Sanjaya</t>
  </si>
  <si>
    <t>0092479207</t>
  </si>
  <si>
    <t>Muhammad Zaidan Wibowo</t>
  </si>
  <si>
    <t>0092223990</t>
  </si>
  <si>
    <t>Nabilah Shakeela Kusuma</t>
  </si>
  <si>
    <t>0104434944</t>
  </si>
  <si>
    <t>Naufal Aditama</t>
  </si>
  <si>
    <t>0108770789</t>
  </si>
  <si>
    <t>Nayyira Ghania Mehnaz</t>
  </si>
  <si>
    <t>0101523916</t>
  </si>
  <si>
    <t>Nazwa Nur Rahmah</t>
  </si>
  <si>
    <t>3099045754</t>
  </si>
  <si>
    <t>Nurul Aulia Ramadhani</t>
  </si>
  <si>
    <t>0104883711</t>
  </si>
  <si>
    <t>Ohan Marhadi Haryono</t>
  </si>
  <si>
    <t>3099055467</t>
  </si>
  <si>
    <t>Puthik Ramadani</t>
  </si>
  <si>
    <t>0092103124</t>
  </si>
  <si>
    <t>Raden Chintya Dewi Maharani</t>
  </si>
  <si>
    <t>0102081772</t>
  </si>
  <si>
    <t>Raden Ciara Za Syahluna</t>
  </si>
  <si>
    <t>0097864614</t>
  </si>
  <si>
    <t>Rama Andhika</t>
  </si>
  <si>
    <t>0093090773</t>
  </si>
  <si>
    <t>Reisha Azzahra Pramesti</t>
  </si>
  <si>
    <t>0095160472</t>
  </si>
  <si>
    <t>Rheiska Amelia</t>
  </si>
  <si>
    <t>0092402487</t>
  </si>
  <si>
    <t>Salsabila Kinaya</t>
  </si>
  <si>
    <t>0092706472</t>
  </si>
  <si>
    <t>Syarafina Nur Alifatuzahro</t>
  </si>
  <si>
    <t>0105183684</t>
  </si>
  <si>
    <t>Tanty Amelia Al Rasyid</t>
  </si>
  <si>
    <t>0098052333</t>
  </si>
  <si>
    <t>Teduh Mutiara Hapsari</t>
  </si>
  <si>
    <t>3094664028</t>
  </si>
  <si>
    <t>Tubagus Mochamad Rizki Fauzan Faris</t>
  </si>
  <si>
    <t>0099429653</t>
  </si>
  <si>
    <t>Yanza Rizkia Salsabillah</t>
  </si>
  <si>
    <t>Wali Kelas : Raden Rara Tatra Sudhawati, S.Pd, M.Pd</t>
  </si>
  <si>
    <t>X-6</t>
  </si>
  <si>
    <t>0096316890</t>
  </si>
  <si>
    <t>Achmad Firza Ghibran</t>
  </si>
  <si>
    <t>0091825991</t>
  </si>
  <si>
    <t>Adi Pati Jaya Prana</t>
  </si>
  <si>
    <t>0094216872</t>
  </si>
  <si>
    <t>Alfany Himma Roudina</t>
  </si>
  <si>
    <t>3093210071</t>
  </si>
  <si>
    <t>Alisa Putri</t>
  </si>
  <si>
    <t>0099344894</t>
  </si>
  <si>
    <t>Aqila Noya Faiza</t>
  </si>
  <si>
    <t>0109520546</t>
  </si>
  <si>
    <t>Bernala Baratama Sirait</t>
  </si>
  <si>
    <t>0104799326</t>
  </si>
  <si>
    <t>Chempaka Balqist Zavira Mentary Misman</t>
  </si>
  <si>
    <t>0081552525</t>
  </si>
  <si>
    <t>Defrino Viernadi Laitnis Yusfa</t>
  </si>
  <si>
    <t>0099286083</t>
  </si>
  <si>
    <t>Dhia Salsabila</t>
  </si>
  <si>
    <t>0093451857</t>
  </si>
  <si>
    <t>Dinda Dyah Pitaloka</t>
  </si>
  <si>
    <t>0074430959</t>
  </si>
  <si>
    <t>Dwi Irmawati</t>
  </si>
  <si>
    <t>0096744611</t>
  </si>
  <si>
    <t>Egi Surjana</t>
  </si>
  <si>
    <t>0091620147</t>
  </si>
  <si>
    <t>Faiha Raqilla Darmawan</t>
  </si>
  <si>
    <t>0093286261</t>
  </si>
  <si>
    <t>Fanesya Agfrisfidia</t>
  </si>
  <si>
    <t>0092383688</t>
  </si>
  <si>
    <t>Fanisa Nurkamila Hamdani</t>
  </si>
  <si>
    <t>0096185979</t>
  </si>
  <si>
    <t>Farhan Benzema</t>
  </si>
  <si>
    <t>0094160236</t>
  </si>
  <si>
    <t>Fauzi Castle Satara</t>
  </si>
  <si>
    <t>0101705316</t>
  </si>
  <si>
    <t>Febri Afriani</t>
  </si>
  <si>
    <t>3090346201</t>
  </si>
  <si>
    <t>Freja Aira Anindhita</t>
  </si>
  <si>
    <t>0107948623</t>
  </si>
  <si>
    <t>Hasfa Zulfana Nahdah</t>
  </si>
  <si>
    <t>0105199862</t>
  </si>
  <si>
    <t>Joceline Sisca Lumongga Manurung</t>
  </si>
  <si>
    <t>0098356514</t>
  </si>
  <si>
    <t>Kasih Yuliana Putri</t>
  </si>
  <si>
    <t>0099375007</t>
  </si>
  <si>
    <t>Keyla Putri Saksono</t>
  </si>
  <si>
    <t>0109221606</t>
  </si>
  <si>
    <t>Khalisa Silmi Jovita Warsito</t>
  </si>
  <si>
    <t>0094583694</t>
  </si>
  <si>
    <t>Kharisma Zahra Tiara Putri</t>
  </si>
  <si>
    <t>0109522386</t>
  </si>
  <si>
    <t>Mawar Aprilliana</t>
  </si>
  <si>
    <t>0095079380</t>
  </si>
  <si>
    <t>Mentari Dwi Anggraeni</t>
  </si>
  <si>
    <t>0098849299</t>
  </si>
  <si>
    <t>Muhammad Azzam Ananda Fatahilah</t>
  </si>
  <si>
    <t>0108710844</t>
  </si>
  <si>
    <t>Muhammad Hafizh Arrantisi</t>
  </si>
  <si>
    <t>0103242050</t>
  </si>
  <si>
    <t>Muhammad Musyaffa Latief</t>
  </si>
  <si>
    <t>0095549480</t>
  </si>
  <si>
    <t>Najwa Citra Lestari</t>
  </si>
  <si>
    <t>0108065698</t>
  </si>
  <si>
    <t>Nayra Putri Sagita</t>
  </si>
  <si>
    <t>0106380486</t>
  </si>
  <si>
    <t>Queensha Amiradana Putri Hamka</t>
  </si>
  <si>
    <t>0101582567</t>
  </si>
  <si>
    <t>Quinsha Rizkya Irawan</t>
  </si>
  <si>
    <t>0092020564</t>
  </si>
  <si>
    <t>Raasyid Zhariif Santoso</t>
  </si>
  <si>
    <t>0105446689</t>
  </si>
  <si>
    <t>Raden Muhamad Zaki</t>
  </si>
  <si>
    <t>0107445789</t>
  </si>
  <si>
    <t>Raditya Rafa Abdillah</t>
  </si>
  <si>
    <t>0094690365</t>
  </si>
  <si>
    <t>Raynar Abiyu Diera</t>
  </si>
  <si>
    <t>0093623051</t>
  </si>
  <si>
    <t>Rayyan Wahyu Ramadhan</t>
  </si>
  <si>
    <t>0108406931</t>
  </si>
  <si>
    <t>Reva Aulia Putri</t>
  </si>
  <si>
    <t>0104171202</t>
  </si>
  <si>
    <t>Revina Apriza</t>
  </si>
  <si>
    <t>3096816288</t>
  </si>
  <si>
    <t>Rossy Indriyati</t>
  </si>
  <si>
    <t>0102698949</t>
  </si>
  <si>
    <t>Salsa Kirana Putri</t>
  </si>
  <si>
    <t>3096600612</t>
  </si>
  <si>
    <t>Shalomieta Aira Kinaya</t>
  </si>
  <si>
    <t>0106462308</t>
  </si>
  <si>
    <t>Syahdan Akbar Mara Putra</t>
  </si>
  <si>
    <t>0101383149</t>
  </si>
  <si>
    <t>Syahla Adzkannisa Vuzela</t>
  </si>
  <si>
    <t>0107096617</t>
  </si>
  <si>
    <t>Taufik Hidayah</t>
  </si>
  <si>
    <t>Wali Kelas : Dian Hairunnisa, S.Pd</t>
  </si>
  <si>
    <t>X-7</t>
  </si>
  <si>
    <t>0101303057</t>
  </si>
  <si>
    <t>Adara Luthfia Putri</t>
  </si>
  <si>
    <t>0109597144</t>
  </si>
  <si>
    <t>Ahmad Fahri Hidayat</t>
  </si>
  <si>
    <t>3096764634</t>
  </si>
  <si>
    <t>Aira Kirana</t>
  </si>
  <si>
    <t>0094347087</t>
  </si>
  <si>
    <t>Aliya Trianzani Putri</t>
  </si>
  <si>
    <t>0101401010</t>
  </si>
  <si>
    <t>Alya Silvana Sarifah</t>
  </si>
  <si>
    <t>0106758481</t>
  </si>
  <si>
    <t>Anindya Estyana Damayanti</t>
  </si>
  <si>
    <t>0092241333</t>
  </si>
  <si>
    <t>Azri Aditya Amada</t>
  </si>
  <si>
    <t>0102239764</t>
  </si>
  <si>
    <t>Clara Dwi Cahya</t>
  </si>
  <si>
    <t>0108763766</t>
  </si>
  <si>
    <t>Clarisa Meidiana</t>
  </si>
  <si>
    <t>0103120702</t>
  </si>
  <si>
    <t>Daffa Khoirul Fajri</t>
  </si>
  <si>
    <t>0099164493</t>
  </si>
  <si>
    <t>Dhia Devita Ramadhani</t>
  </si>
  <si>
    <t>0093281671</t>
  </si>
  <si>
    <t>Diajeng Inggil Lintang Aulia</t>
  </si>
  <si>
    <t>0091524155</t>
  </si>
  <si>
    <t>Elgiva Damara Sanchia</t>
  </si>
  <si>
    <t>0094004131</t>
  </si>
  <si>
    <t>Enzo Asido Rama Raditya</t>
  </si>
  <si>
    <t>0107042804</t>
  </si>
  <si>
    <t>Farhan Abdurrahman Yusuf</t>
  </si>
  <si>
    <t>0094782869</t>
  </si>
  <si>
    <t>Faris Razwa Sambega</t>
  </si>
  <si>
    <t>0107335774</t>
  </si>
  <si>
    <t>Ghaniyah Adelia</t>
  </si>
  <si>
    <t>3103220251</t>
  </si>
  <si>
    <t>Hafizh Mumtaz</t>
  </si>
  <si>
    <t>0093078917</t>
  </si>
  <si>
    <t>Juan Pirlo Benzema</t>
  </si>
  <si>
    <t>0106222604</t>
  </si>
  <si>
    <t>Kania Putriana Yaswin</t>
  </si>
  <si>
    <t>0105055119</t>
  </si>
  <si>
    <t>Kaysa Maharani Sofyan</t>
  </si>
  <si>
    <t>0096544983</t>
  </si>
  <si>
    <t>Keisya Andhita Kirana Putri</t>
  </si>
  <si>
    <t>0106562767</t>
  </si>
  <si>
    <t>Kharira P. Pradea</t>
  </si>
  <si>
    <t>3093288409</t>
  </si>
  <si>
    <t>Livia Vidyadhara</t>
  </si>
  <si>
    <t>0103468589</t>
  </si>
  <si>
    <t>Manar Abbas Bawazir</t>
  </si>
  <si>
    <t>0104328116</t>
  </si>
  <si>
    <t>Mohammad Arsa Dafansyah</t>
  </si>
  <si>
    <t>0093678218</t>
  </si>
  <si>
    <t>Muhamad Yusuf Zarkasi</t>
  </si>
  <si>
    <t>0093828028</t>
  </si>
  <si>
    <t>Muhammad Arsyal Divo Firmansyah</t>
  </si>
  <si>
    <t>0109769349</t>
  </si>
  <si>
    <t>Muhammad Danish Fathul Ulum</t>
  </si>
  <si>
    <t>0093629282</t>
  </si>
  <si>
    <t>Muhammad Fathandra Rizki</t>
  </si>
  <si>
    <t>0095243962</t>
  </si>
  <si>
    <t>Muhammad Gabriel</t>
  </si>
  <si>
    <t>0105755550</t>
  </si>
  <si>
    <t>Myiesha Lunar Wisesa Putri</t>
  </si>
  <si>
    <t>0106828126</t>
  </si>
  <si>
    <t>Nadila Safira</t>
  </si>
  <si>
    <t>0097673142</t>
  </si>
  <si>
    <t>Naurah Afifah Amaliyah</t>
  </si>
  <si>
    <t>0107698921</t>
  </si>
  <si>
    <t>Nayla Widya Cakraprawartana</t>
  </si>
  <si>
    <t>0098514088</t>
  </si>
  <si>
    <t>Nydia Aisyah Allifia</t>
  </si>
  <si>
    <t>0108129059</t>
  </si>
  <si>
    <t>Raihana Humairah Budianto</t>
  </si>
  <si>
    <t>0109551129</t>
  </si>
  <si>
    <t>Raisa Putri Rahima</t>
  </si>
  <si>
    <t>0093003786</t>
  </si>
  <si>
    <t>Raissya Aurellyona Carollyta Putri</t>
  </si>
  <si>
    <t>0096444734</t>
  </si>
  <si>
    <t>Rindu Gatari Asmiladi</t>
  </si>
  <si>
    <t>0107487290</t>
  </si>
  <si>
    <t>Salman Latif Anshari</t>
  </si>
  <si>
    <t>3102286552</t>
  </si>
  <si>
    <t>Siti Iklima Sakurani</t>
  </si>
  <si>
    <t>0107936085</t>
  </si>
  <si>
    <t>Sultan Reynard Sabdadika</t>
  </si>
  <si>
    <t>0106701592</t>
  </si>
  <si>
    <t>Syafiqa Bariq Mahya</t>
  </si>
  <si>
    <t>0104155224</t>
  </si>
  <si>
    <t>Syahluna Ananta Putri</t>
  </si>
  <si>
    <t>0097446281</t>
  </si>
  <si>
    <t>Tabah Rafie Abdillah</t>
  </si>
  <si>
    <t>0105614197</t>
  </si>
  <si>
    <t>Tristan Lovriano Aryasatya</t>
  </si>
  <si>
    <t>0109499801</t>
  </si>
  <si>
    <t>Zafira Salsa Haniah</t>
  </si>
  <si>
    <t>Wali Kelas : Fatmawati, S.Pd</t>
  </si>
  <si>
    <t>X-8</t>
  </si>
  <si>
    <t>0093560012</t>
  </si>
  <si>
    <t>Adelia Niken</t>
  </si>
  <si>
    <t>0092017710</t>
  </si>
  <si>
    <t>Aisyah Agustiani</t>
  </si>
  <si>
    <t>0098009248</t>
  </si>
  <si>
    <t>Alenka Meisyarofa</t>
  </si>
  <si>
    <t>3105167232</t>
  </si>
  <si>
    <t>Alifa Taqqiya Zahwa</t>
  </si>
  <si>
    <t>0107122505</t>
  </si>
  <si>
    <t>Alifah Hasannah</t>
  </si>
  <si>
    <t>0104668456</t>
  </si>
  <si>
    <t>Andagita Vilnaria Atha</t>
  </si>
  <si>
    <t>0102036572</t>
  </si>
  <si>
    <t>Ariqah Putri Nasution</t>
  </si>
  <si>
    <t>0102307654</t>
  </si>
  <si>
    <t>Aulia Cinta Divia</t>
  </si>
  <si>
    <t>0105089607</t>
  </si>
  <si>
    <t>Aysha Mahira Dewi Tryana</t>
  </si>
  <si>
    <t>0096174502</t>
  </si>
  <si>
    <t>Belinda Angelica</t>
  </si>
  <si>
    <t>0092180086</t>
  </si>
  <si>
    <t>Bima Anggareksa Yusiansyah</t>
  </si>
  <si>
    <t>3094942931</t>
  </si>
  <si>
    <t>Dela Ananda Putri</t>
  </si>
  <si>
    <t>0103091510</t>
  </si>
  <si>
    <t>Dian Noer Savitri</t>
  </si>
  <si>
    <t>0093558313</t>
  </si>
  <si>
    <t>Diandra Mentari Fazri</t>
  </si>
  <si>
    <t>0093242338</t>
  </si>
  <si>
    <t>Divania Kayla Windu Sabrina</t>
  </si>
  <si>
    <t>0095632017</t>
  </si>
  <si>
    <t>Dyshan Attaya Haq Triatno</t>
  </si>
  <si>
    <t>0099446424</t>
  </si>
  <si>
    <t>Farid Pradana</t>
  </si>
  <si>
    <t>0103174946</t>
  </si>
  <si>
    <t>Fathia Adilla Ramsha</t>
  </si>
  <si>
    <t>0101801767</t>
  </si>
  <si>
    <t>Gracia Valen Manik</t>
  </si>
  <si>
    <t>0107691976</t>
  </si>
  <si>
    <t>Kania Wismar Adnyana</t>
  </si>
  <si>
    <t>0101976221</t>
  </si>
  <si>
    <t>Kaysan Umar Azka Setiawan</t>
  </si>
  <si>
    <t>0092212305</t>
  </si>
  <si>
    <t>Luqman Aziz Saputro</t>
  </si>
  <si>
    <t>0102160006</t>
  </si>
  <si>
    <t>Mirza Maulana Altamis</t>
  </si>
  <si>
    <t>0103442868</t>
  </si>
  <si>
    <t>Mochammad Hafizh Fadlurahman</t>
  </si>
  <si>
    <t>0105918833</t>
  </si>
  <si>
    <t>Mouris Marcha Adisty</t>
  </si>
  <si>
    <t>0099772945</t>
  </si>
  <si>
    <t>Muhamad Ilham Akbar</t>
  </si>
  <si>
    <t>0094259451</t>
  </si>
  <si>
    <t>Muhamad Mustakim</t>
  </si>
  <si>
    <t>0107525738</t>
  </si>
  <si>
    <t>Muhammad Faiz Fathian</t>
  </si>
  <si>
    <t>3107499493</t>
  </si>
  <si>
    <t>Muhammad Fariz Nuh</t>
  </si>
  <si>
    <t>3108018555</t>
  </si>
  <si>
    <t>Muhammad Fawaz Ali</t>
  </si>
  <si>
    <t>0091031385</t>
  </si>
  <si>
    <t>Muhammad Rafli Ramsha</t>
  </si>
  <si>
    <t>0111220217</t>
  </si>
  <si>
    <t>Muhammad Yafiargi Simbangando</t>
  </si>
  <si>
    <t>0098938532</t>
  </si>
  <si>
    <t>Naila Khansa Rahmawati</t>
  </si>
  <si>
    <t>3109348901</t>
  </si>
  <si>
    <t>Namira Nur Azkia</t>
  </si>
  <si>
    <t>0091281050</t>
  </si>
  <si>
    <t>Naswa Ramadhani</t>
  </si>
  <si>
    <t>0107347265</t>
  </si>
  <si>
    <t>Nayla Ulya Taqiyya</t>
  </si>
  <si>
    <t>0105961239</t>
  </si>
  <si>
    <t>Nazwa Malika Asral</t>
  </si>
  <si>
    <t>0105803552</t>
  </si>
  <si>
    <t>Nikesha Nashwa Damara</t>
  </si>
  <si>
    <t>0095193509</t>
  </si>
  <si>
    <t>Ni'Matul Aulia Ningtias</t>
  </si>
  <si>
    <t>0109599363</t>
  </si>
  <si>
    <t>Quensha Rahayu Kusuma Agora</t>
  </si>
  <si>
    <t>0105462734</t>
  </si>
  <si>
    <t>Quincha Aura Brilliani</t>
  </si>
  <si>
    <t>0097882314</t>
  </si>
  <si>
    <t>Raihan Farras Sutisna</t>
  </si>
  <si>
    <t>0099739465</t>
  </si>
  <si>
    <t>Raka Syabany Amsyah</t>
  </si>
  <si>
    <t>0102838068</t>
  </si>
  <si>
    <t>Ryzen Gevandra Wirapratama</t>
  </si>
  <si>
    <t>0107357472</t>
  </si>
  <si>
    <t>Sinta Dwi Nuri Widodo</t>
  </si>
  <si>
    <t>0093433461</t>
  </si>
  <si>
    <t>Syarifah Nur Salsabila</t>
  </si>
  <si>
    <t>0108340159</t>
  </si>
  <si>
    <t>Tsamara Privita Sya'Ban Syahdu</t>
  </si>
  <si>
    <t>0094438921</t>
  </si>
  <si>
    <t>Yuzusie Aida Nenat</t>
  </si>
  <si>
    <t>Wali Kelas : Dra. Nani Suryani, M.Pd</t>
  </si>
  <si>
    <t>X-9</t>
  </si>
  <si>
    <t>0106681838</t>
  </si>
  <si>
    <t>Abyan Zuka Ibrahim Nasution</t>
  </si>
  <si>
    <t>0108974704</t>
  </si>
  <si>
    <t>Ahmad Hafidz Anwar</t>
  </si>
  <si>
    <t>0105339420</t>
  </si>
  <si>
    <t>Aishanna Latifa Harjono</t>
  </si>
  <si>
    <t>0093799489</t>
  </si>
  <si>
    <t>Aqila Elmohri</t>
  </si>
  <si>
    <t>3111697965</t>
  </si>
  <si>
    <t>Aqilla Al-Farabi</t>
  </si>
  <si>
    <t>0102592413</t>
  </si>
  <si>
    <t>Ariyo Raditya Putra</t>
  </si>
  <si>
    <t>0099452000</t>
  </si>
  <si>
    <t>Asshafa Nur Intan</t>
  </si>
  <si>
    <t>0093343311</t>
  </si>
  <si>
    <t>Attar Palestine Taha</t>
  </si>
  <si>
    <t>0102924778</t>
  </si>
  <si>
    <t>Aufa Khairunnisa</t>
  </si>
  <si>
    <t>0108974038</t>
  </si>
  <si>
    <t>Balqis Luthfiyah Zahra</t>
  </si>
  <si>
    <t>0104378571</t>
  </si>
  <si>
    <t>Chayra Putri Dwinata</t>
  </si>
  <si>
    <t>0107900663</t>
  </si>
  <si>
    <t>Cheryl Anandiora</t>
  </si>
  <si>
    <t>0091254694</t>
  </si>
  <si>
    <t>Dahayu Nadhilah Syafa</t>
  </si>
  <si>
    <t>0108673369</t>
  </si>
  <si>
    <t>Elen Vanesyah Wahyudi</t>
  </si>
  <si>
    <t>0097946386</t>
  </si>
  <si>
    <t>Fitrah Thirafi</t>
  </si>
  <si>
    <t>0099535255</t>
  </si>
  <si>
    <t>Fitri Rahmawati</t>
  </si>
  <si>
    <t>0094573200</t>
  </si>
  <si>
    <t>Ghaniah Aqilah</t>
  </si>
  <si>
    <t>0114593936</t>
  </si>
  <si>
    <t>Hizam Kynan Putra Purwanto</t>
  </si>
  <si>
    <t>0109669821</t>
  </si>
  <si>
    <t>Ilham Rizki Pratama</t>
  </si>
  <si>
    <t>0103695549</t>
  </si>
  <si>
    <t>Izaz Izzatul Islam</t>
  </si>
  <si>
    <t>0095770160</t>
  </si>
  <si>
    <t>Jazila Abid Niyaz Chan Lase</t>
  </si>
  <si>
    <t>0106852675</t>
  </si>
  <si>
    <t>Jihan Nailatusy Syarafah</t>
  </si>
  <si>
    <t>0094047198</t>
  </si>
  <si>
    <t>Kanza Olivia Ramadhani</t>
  </si>
  <si>
    <t>0102372511</t>
  </si>
  <si>
    <t>Kayla Tria Fatarani</t>
  </si>
  <si>
    <t>0098113225</t>
  </si>
  <si>
    <t>Mahera Raisha Davanita Faizal</t>
  </si>
  <si>
    <t>0103979225</t>
  </si>
  <si>
    <t>Muhamad Juan Arkhan</t>
  </si>
  <si>
    <t>0095022365</t>
  </si>
  <si>
    <t>Muhammad Ariel Setiawan</t>
  </si>
  <si>
    <t>0104557332</t>
  </si>
  <si>
    <t xml:space="preserve">Muhammad Azka Shahizinda </t>
  </si>
  <si>
    <t>0092772943</t>
  </si>
  <si>
    <t>Muhammad Daffa Alfarizki</t>
  </si>
  <si>
    <t>0098897790</t>
  </si>
  <si>
    <t>Muhammad Fadil Ranoval</t>
  </si>
  <si>
    <t>0101059940</t>
  </si>
  <si>
    <t>Muhammad In'Amul Aufa</t>
  </si>
  <si>
    <t>0094119764</t>
  </si>
  <si>
    <t>Muhammad Reyhan Alfariky</t>
  </si>
  <si>
    <t>0096882416</t>
  </si>
  <si>
    <t>Muhammad Sayyid Amjad</t>
  </si>
  <si>
    <t>0093640113</t>
  </si>
  <si>
    <t>Nararya Hylmi Kenzie</t>
  </si>
  <si>
    <t>3100132772</t>
  </si>
  <si>
    <t>Nariyahingtyas Wientarya</t>
  </si>
  <si>
    <t>0097910400</t>
  </si>
  <si>
    <t>Nur Azizah</t>
  </si>
  <si>
    <t>0091134035</t>
  </si>
  <si>
    <t>Qitrie Anisa Khaeri</t>
  </si>
  <si>
    <t>0106245820</t>
  </si>
  <si>
    <t>Radya Camilla Arinda</t>
  </si>
  <si>
    <t>0101902217</t>
  </si>
  <si>
    <t>Rahardian Muhamad Abisiena Koeswara</t>
  </si>
  <si>
    <t>0094238472</t>
  </si>
  <si>
    <t>Raihana Syafiqah Andyni</t>
  </si>
  <si>
    <t>3096149866</t>
  </si>
  <si>
    <t>Rassya Faiq Hibatullah</t>
  </si>
  <si>
    <t>0106183087</t>
  </si>
  <si>
    <t>Reynaldi</t>
  </si>
  <si>
    <t>0107182326</t>
  </si>
  <si>
    <t>Sekar Raynaningrum</t>
  </si>
  <si>
    <t>0099107315</t>
  </si>
  <si>
    <t>Syahla Nurul Arisma</t>
  </si>
  <si>
    <t>0094680852</t>
  </si>
  <si>
    <t>Syauqi Anandya Putri</t>
  </si>
  <si>
    <t>0098348385</t>
  </si>
  <si>
    <t>Tayya Dzulhijjah Mokodompit</t>
  </si>
  <si>
    <t>Wali Kelas : Eva Fauziah, S.Pd</t>
  </si>
  <si>
    <t>X-10</t>
  </si>
  <si>
    <t>0096033014</t>
  </si>
  <si>
    <t>Abdul Ghofar</t>
  </si>
  <si>
    <t>0104072965</t>
  </si>
  <si>
    <t>Aditya Bayu Sutanto</t>
  </si>
  <si>
    <t>2107246447</t>
  </si>
  <si>
    <t>Affy Kaew Ni'Mitr Alhanafi</t>
  </si>
  <si>
    <t>0096128036</t>
  </si>
  <si>
    <t>Ahmad Husein Al Latief</t>
  </si>
  <si>
    <t>0107055406</t>
  </si>
  <si>
    <t>Akram Mubarak</t>
  </si>
  <si>
    <t>0108389311</t>
  </si>
  <si>
    <t>Alfi Amalia</t>
  </si>
  <si>
    <t>0097357764</t>
  </si>
  <si>
    <t>Amelia Nur Zahra</t>
  </si>
  <si>
    <t>0102387971</t>
  </si>
  <si>
    <t>Ananda Bari Al Kausar</t>
  </si>
  <si>
    <t>0092171774</t>
  </si>
  <si>
    <t>Ataya Arkan Ramadhan</t>
  </si>
  <si>
    <t>0103134538</t>
  </si>
  <si>
    <t>Athaya Muhammad Daffa</t>
  </si>
  <si>
    <t>0104895570</t>
  </si>
  <si>
    <t>Aura Nabilah Zahirah</t>
  </si>
  <si>
    <t>0099138854</t>
  </si>
  <si>
    <t>Aurora Putri Samudra Dwiko</t>
  </si>
  <si>
    <t>0105133490</t>
  </si>
  <si>
    <t>Belva Thalita Ramadhena</t>
  </si>
  <si>
    <t>0099153455</t>
  </si>
  <si>
    <t>Bintang Mahardika Abhyoso Ardy</t>
  </si>
  <si>
    <t>0094286208</t>
  </si>
  <si>
    <t>Claudia Dominique Gabriella Torus</t>
  </si>
  <si>
    <t>0103526904</t>
  </si>
  <si>
    <t>Dinara Savina</t>
  </si>
  <si>
    <t>0098248691</t>
  </si>
  <si>
    <t>Dinda Syifa Rahmayanti</t>
  </si>
  <si>
    <t>0105616025</t>
  </si>
  <si>
    <t>Dindin Andini Suryaman</t>
  </si>
  <si>
    <t>0102329313</t>
  </si>
  <si>
    <t>Gita Tazkiyatunnisa</t>
  </si>
  <si>
    <t>0094626978</t>
  </si>
  <si>
    <t>Haifa Aysha Zahira</t>
  </si>
  <si>
    <t>0093849649</t>
  </si>
  <si>
    <t>Intan Dwi Novianingrum</t>
  </si>
  <si>
    <t>0102890859</t>
  </si>
  <si>
    <t>Isnaini Fauziyah Utomo</t>
  </si>
  <si>
    <t>0107943430</t>
  </si>
  <si>
    <t>Jeremia Geraldo Siregar</t>
  </si>
  <si>
    <t>0102210036</t>
  </si>
  <si>
    <t>Jerry Dwi Cahyono Putro</t>
  </si>
  <si>
    <t>3099544859</t>
  </si>
  <si>
    <t>Jovan Khayru Affandi</t>
  </si>
  <si>
    <t>0104574006</t>
  </si>
  <si>
    <t>Kayla Althafunnisa Arrasyid</t>
  </si>
  <si>
    <t>0094966956</t>
  </si>
  <si>
    <t>Keyla Ananda Safitri</t>
  </si>
  <si>
    <t>0102208567</t>
  </si>
  <si>
    <t>Khanza Aprillia Risyadi</t>
  </si>
  <si>
    <t>3101402781</t>
  </si>
  <si>
    <t>Maroen Al-Fatih Ibrahimessi</t>
  </si>
  <si>
    <t>0098516941</t>
  </si>
  <si>
    <t>Muhamad Raihan Rizqullah</t>
  </si>
  <si>
    <t>0113735828</t>
  </si>
  <si>
    <t>Muhammad Akhtar Arkana Ramadhan</t>
  </si>
  <si>
    <t>0109589144</t>
  </si>
  <si>
    <t>Muhammad Tsafiq Ihsan</t>
  </si>
  <si>
    <t>0108105659</t>
  </si>
  <si>
    <t>Naqeesyaa Dhanova Al Adzra</t>
  </si>
  <si>
    <t>0091758520</t>
  </si>
  <si>
    <t>Naufal Arzharel Ibrahimovic</t>
  </si>
  <si>
    <t>0093643944</t>
  </si>
  <si>
    <t>Naura Luvenavita Krisdianto</t>
  </si>
  <si>
    <t>0106941532</t>
  </si>
  <si>
    <t>Nava Marietta Siahaan</t>
  </si>
  <si>
    <t>0109464483</t>
  </si>
  <si>
    <t>Queensha Anindya Azka</t>
  </si>
  <si>
    <t>3103591489</t>
  </si>
  <si>
    <t>Rafael Anhar Armando</t>
  </si>
  <si>
    <t>0097831413</t>
  </si>
  <si>
    <t>Rahmania Azahra</t>
  </si>
  <si>
    <t>0094313180</t>
  </si>
  <si>
    <t>Raivan Elang Pramono</t>
  </si>
  <si>
    <t>0093204066</t>
  </si>
  <si>
    <t>Rizqiyanah Qaysarania Herawan</t>
  </si>
  <si>
    <t>0108540094</t>
  </si>
  <si>
    <t>Salsha Aulia Akbar</t>
  </si>
  <si>
    <t>0108413702</t>
  </si>
  <si>
    <t>Sashikirana Luvena Maheswari</t>
  </si>
  <si>
    <t>0108718382</t>
  </si>
  <si>
    <t>Silvya Sri Aprilianti</t>
  </si>
  <si>
    <t>0099775444</t>
  </si>
  <si>
    <t>Syaakhira Fauziah</t>
  </si>
  <si>
    <t>0093324313</t>
  </si>
  <si>
    <t>Vincentius Daniel Ornando</t>
  </si>
  <si>
    <t>Wali Kelas : Rahmalia Dewi, S.Si</t>
  </si>
  <si>
    <t>X-11</t>
  </si>
  <si>
    <t>0109542213</t>
  </si>
  <si>
    <t>Adinda Garnetha Prasistha</t>
  </si>
  <si>
    <t>0108324867</t>
  </si>
  <si>
    <t>Ajeng Adisty Fahira</t>
  </si>
  <si>
    <t>0109013664</t>
  </si>
  <si>
    <t>Al Fathdry Rizky Wibowo</t>
  </si>
  <si>
    <t>0108561560</t>
  </si>
  <si>
    <t>Almira Aprilia Putri</t>
  </si>
  <si>
    <t>0096963702</t>
  </si>
  <si>
    <t>Anndita</t>
  </si>
  <si>
    <t>0091952413</t>
  </si>
  <si>
    <t>Askana Nailazahran Hermansyah</t>
  </si>
  <si>
    <t>0099678017</t>
  </si>
  <si>
    <t>Aulia Intan Rhamadhani</t>
  </si>
  <si>
    <t>0104439014</t>
  </si>
  <si>
    <t>Avrillino Herza Pratama</t>
  </si>
  <si>
    <t>0097138954</t>
  </si>
  <si>
    <t>Aziz Sakhi Zaidan</t>
  </si>
  <si>
    <t>0101964014</t>
  </si>
  <si>
    <t>Azka Ivano Ananda Hidayat</t>
  </si>
  <si>
    <t>3105650741</t>
  </si>
  <si>
    <t>Azkiara Andhita</t>
  </si>
  <si>
    <t>0091891047</t>
  </si>
  <si>
    <t>Azzalea Sakinah Ayura Putri</t>
  </si>
  <si>
    <t>0103193565</t>
  </si>
  <si>
    <t>Balqis Jauza Sabreenijka</t>
  </si>
  <si>
    <t>0096506746</t>
  </si>
  <si>
    <t>Carissa Alia Andinaputri</t>
  </si>
  <si>
    <t>0109934428</t>
  </si>
  <si>
    <t>Chntya Serlin Armedta Hia</t>
  </si>
  <si>
    <t>0095529275</t>
  </si>
  <si>
    <t>Evan Diaz</t>
  </si>
  <si>
    <t>0108527903</t>
  </si>
  <si>
    <t>Fannan Hoseki Fayyaz</t>
  </si>
  <si>
    <t>0108365392</t>
  </si>
  <si>
    <t>Galuh Pria Esa</t>
  </si>
  <si>
    <t>0107182013</t>
  </si>
  <si>
    <t>Henokh Prada Dhanendra Prasada</t>
  </si>
  <si>
    <t>0092709548</t>
  </si>
  <si>
    <t>Jazirah Rahmah</t>
  </si>
  <si>
    <t>0118415302</t>
  </si>
  <si>
    <t>Kaira Fatiya Nurfan</t>
  </si>
  <si>
    <t>0097372379</t>
  </si>
  <si>
    <t>Linggara Anugrah</t>
  </si>
  <si>
    <t>0093335479</t>
  </si>
  <si>
    <t>Luna Majidah Zafira</t>
  </si>
  <si>
    <t>0106465537</t>
  </si>
  <si>
    <t>Lutfiana Silva</t>
  </si>
  <si>
    <t>0103732986</t>
  </si>
  <si>
    <t>Mazaya Marva Mardyanti</t>
  </si>
  <si>
    <t>0105348604</t>
  </si>
  <si>
    <t>Misykah Adzra Maulida</t>
  </si>
  <si>
    <t>0108812130</t>
  </si>
  <si>
    <t>Muhamad Reyhan Nurhakim</t>
  </si>
  <si>
    <t>0094912922</t>
  </si>
  <si>
    <t>Muhammad Evan Fadillah</t>
  </si>
  <si>
    <t>0101578446</t>
  </si>
  <si>
    <t>Muhammad Fahry Tyandra</t>
  </si>
  <si>
    <t>0092179308</t>
  </si>
  <si>
    <t>Muhammad Ieddzar Haradiya</t>
  </si>
  <si>
    <t>0098186648</t>
  </si>
  <si>
    <t>Muhammad Revan Adi Saputra</t>
  </si>
  <si>
    <t>0092349928</t>
  </si>
  <si>
    <t>Muhammad Zaky Winata</t>
  </si>
  <si>
    <t>0096753454</t>
  </si>
  <si>
    <t>Nadhifa Amelia Garjita</t>
  </si>
  <si>
    <t>0102000943</t>
  </si>
  <si>
    <t>Nadia Delisa Saefani</t>
  </si>
  <si>
    <t>0105612000</t>
  </si>
  <si>
    <t>Neysha Aurelya Azzahra</t>
  </si>
  <si>
    <t>0109258787</t>
  </si>
  <si>
    <t>Rafa Farand Pratama</t>
  </si>
  <si>
    <t>0093712588</t>
  </si>
  <si>
    <t>Rendy Gilang Novianto</t>
  </si>
  <si>
    <t>0102414768</t>
  </si>
  <si>
    <t>Ruvita Rinjani</t>
  </si>
  <si>
    <t>0106760506</t>
  </si>
  <si>
    <t>Salmaa Saalimah Wibowo</t>
  </si>
  <si>
    <t>0095542022</t>
  </si>
  <si>
    <t>Salsabil Mulki</t>
  </si>
  <si>
    <t>0091610224</t>
  </si>
  <si>
    <t>Shaquille Putra Yudira</t>
  </si>
  <si>
    <t>0105010681</t>
  </si>
  <si>
    <t>Siva Muliyanti</t>
  </si>
  <si>
    <t>0105717177</t>
  </si>
  <si>
    <t>Tiara Zenobia Nafisa</t>
  </si>
  <si>
    <t>0107258754</t>
  </si>
  <si>
    <t>Vilvizeeya Hazira Kurnia</t>
  </si>
  <si>
    <t>0106044416</t>
  </si>
  <si>
    <t>Weny Meylieneke Sianipar</t>
  </si>
  <si>
    <t>0108569165</t>
  </si>
  <si>
    <t>Yoanne Mulin Averina</t>
  </si>
  <si>
    <t>0093632849</t>
  </si>
  <si>
    <t>Zaki Arya Wicaksono</t>
  </si>
  <si>
    <t>0105748224</t>
  </si>
  <si>
    <t>Zelda Hanifah Zaneta</t>
  </si>
  <si>
    <t>Wali Kelas : Sari Rahayu, S.Pd, M.Pd</t>
  </si>
  <si>
    <t>X-12</t>
  </si>
  <si>
    <t>0097950619</t>
  </si>
  <si>
    <t>Afgan Prima Rizkia Iskandar</t>
  </si>
  <si>
    <t>0105770130</t>
  </si>
  <si>
    <t>Aik Novitasari</t>
  </si>
  <si>
    <t>0093866965</t>
  </si>
  <si>
    <t>Aisyah Aqilah Agni</t>
  </si>
  <si>
    <t>3097129671</t>
  </si>
  <si>
    <t>Aisyah Hanifa Redana</t>
  </si>
  <si>
    <t>0093002808</t>
  </si>
  <si>
    <t>Allya Luthfiah Putri</t>
  </si>
  <si>
    <t>0107831985</t>
  </si>
  <si>
    <t>Annisa Salsabilla</t>
  </si>
  <si>
    <t>0101396555</t>
  </si>
  <si>
    <t>Arsyad Khaerul Izzan</t>
  </si>
  <si>
    <t>0108675973</t>
  </si>
  <si>
    <t>Aruni Khalila Ayu</t>
  </si>
  <si>
    <t>0096011114</t>
  </si>
  <si>
    <t>Avemarianne Ninetrie Septiane</t>
  </si>
  <si>
    <t>2099366441</t>
  </si>
  <si>
    <t>Ayi Artadinata</t>
  </si>
  <si>
    <t>0109010502</t>
  </si>
  <si>
    <t>Ayra Jauzaa Viranda</t>
  </si>
  <si>
    <t>0109682985</t>
  </si>
  <si>
    <t>Bintang Jati Pratama</t>
  </si>
  <si>
    <t>0092725675</t>
  </si>
  <si>
    <t>Daffa Hafizh Firdausi</t>
  </si>
  <si>
    <t>3106961615</t>
  </si>
  <si>
    <t>Damara Dasha Bahi Utomo</t>
  </si>
  <si>
    <t>0102221985</t>
  </si>
  <si>
    <t>Deana Azalea Belva</t>
  </si>
  <si>
    <t>0096201622</t>
  </si>
  <si>
    <t>Delfa Maharani</t>
  </si>
  <si>
    <t>0104985283</t>
  </si>
  <si>
    <t>Fauza Nur Aziema</t>
  </si>
  <si>
    <t>3086279831</t>
  </si>
  <si>
    <t>Gefira Azizatul Hasanah</t>
  </si>
  <si>
    <t>3091107524</t>
  </si>
  <si>
    <t>Keisha Nurazizah</t>
  </si>
  <si>
    <t>0103652262</t>
  </si>
  <si>
    <t>Kenzie Dzakwan Ibrahim</t>
  </si>
  <si>
    <t>0097732804</t>
  </si>
  <si>
    <t>Kesyha Ramadhani</t>
  </si>
  <si>
    <t>3093490279</t>
  </si>
  <si>
    <t>Kevin Septian Ramadhan</t>
  </si>
  <si>
    <t>0094431854</t>
  </si>
  <si>
    <t>Madina Zulfa Aini</t>
  </si>
  <si>
    <t>0103035193</t>
  </si>
  <si>
    <t>Maheswara Pekik Hanuraga</t>
  </si>
  <si>
    <t>0106434110</t>
  </si>
  <si>
    <t>Maria Agatha Cherlin Christiani</t>
  </si>
  <si>
    <t>0095778047</t>
  </si>
  <si>
    <t>Maulida Ainnurahma</t>
  </si>
  <si>
    <t>0103777854</t>
  </si>
  <si>
    <t>Muhamad Subkhi</t>
  </si>
  <si>
    <t>3109116422</t>
  </si>
  <si>
    <t>Muhammad Armanugie Saputra</t>
  </si>
  <si>
    <t>0103887571</t>
  </si>
  <si>
    <t>Muhammad Javier</t>
  </si>
  <si>
    <t>0102148224</t>
  </si>
  <si>
    <t>Muhammad Zahran Rifai</t>
  </si>
  <si>
    <t>0096368920</t>
  </si>
  <si>
    <t>Nadhifa Qeysa Auliani Soehardi</t>
  </si>
  <si>
    <t>0094328074</t>
  </si>
  <si>
    <t>Naila</t>
  </si>
  <si>
    <t>0098429745</t>
  </si>
  <si>
    <t>Natiq Tawqir Muniruzzaman Anandamaya</t>
  </si>
  <si>
    <t>3102974181</t>
  </si>
  <si>
    <t>Naureen Shabiha Zahira</t>
  </si>
  <si>
    <t>0099622136</t>
  </si>
  <si>
    <t>Nayla Lyra Sagita</t>
  </si>
  <si>
    <t>0102898760</t>
  </si>
  <si>
    <t>Naywa Dinda Kansana Lubis</t>
  </si>
  <si>
    <t>0108592067</t>
  </si>
  <si>
    <t>Ni Putu Anjani Dewi Diningrat</t>
  </si>
  <si>
    <t>0095623487</t>
  </si>
  <si>
    <t>Olivia Desvita Sari</t>
  </si>
  <si>
    <t>0106961567</t>
  </si>
  <si>
    <t>R.A.M. Fakhri Izzuddin Mashur</t>
  </si>
  <si>
    <t>0105994913</t>
  </si>
  <si>
    <t>Radinka Alano Hamizan Abqari</t>
  </si>
  <si>
    <t>0093563834</t>
  </si>
  <si>
    <t>Rifqah Ramadhani</t>
  </si>
  <si>
    <t>0097303991</t>
  </si>
  <si>
    <t>Roshan Aidan Juro Aprianto</t>
  </si>
  <si>
    <t>0098050747</t>
  </si>
  <si>
    <t>Ruba Aqeela Hafizha Mecca</t>
  </si>
  <si>
    <t>0092524998</t>
  </si>
  <si>
    <t>Sajna Jerrusalem Kharima Sugeng Putri</t>
  </si>
  <si>
    <t>0109344308</t>
  </si>
  <si>
    <t>Shahrazad Aulia Handyanto</t>
  </si>
  <si>
    <t>0101659072</t>
  </si>
  <si>
    <t>Syahla Salsabila Ramdani</t>
  </si>
  <si>
    <t>0095899359</t>
  </si>
  <si>
    <t>Velicya Arnelita Zahra Suryana</t>
  </si>
  <si>
    <t>0095810986</t>
  </si>
  <si>
    <t>Zalfa Rizqia Nur Nadhifa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</si>
</sst>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Calibri"/>
    </font>
    <font>
      <b/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10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bottom" wrapText="0"/>
    </xf>
    <xf borderId="0" fillId="0" fontId="1" numFmtId="10" xfId="0" applyAlignment="1" applyFont="1" applyNumberFormat="1">
      <alignment shrinkToFit="0" vertical="center" wrapText="0"/>
    </xf>
    <xf borderId="2" fillId="0" fontId="2" numFmtId="0" xfId="0" applyAlignment="1" applyBorder="1" applyFont="1">
      <alignment horizontal="left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0" fillId="0" fontId="2" numFmtId="10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0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4" fillId="0" fontId="2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vertical="bottom"/>
    </xf>
    <xf borderId="0" fillId="0" fontId="2" numFmtId="10" xfId="0" applyAlignment="1" applyFont="1" applyNumberFormat="1">
      <alignment horizontal="lef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aporan Presensi SCC - 33 - X -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45" displayName="Table1" name="Table1" id="1">
  <autoFilter ref="$A$1:$G$645"/>
  <tableColumns count="7">
    <tableColumn name="Column 1" id="1"/>
    <tableColumn name="Column 2" id="2"/>
    <tableColumn name="Column 3" id="3"/>
    <tableColumn name="Column 4" id="4"/>
    <tableColumn name="Column 5" id="5"/>
    <tableColumn name="Column 14" id="6"/>
    <tableColumn name="Column 15" id="7"/>
  </tableColumns>
  <tableStyleInfo name="Laporan Presensi SCC - 33 - X -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  <col customWidth="1" min="10" max="10" width="15.75"/>
    <col customWidth="1" min="11" max="11" width="22.25"/>
  </cols>
  <sheetData>
    <row r="1">
      <c r="A1" s="1" t="str">
        <f>IFERROR(__xludf.DUMMYFUNCTION("IMPORTRANGE(""https://docs.google.com/spreadsheets/d/1BPaipT-Q3TeZ7VFpHFCiXa98rv_cqYMvAuk4LG-IXYo/edit"",""Form Presensi SCC!A:L"")"),"Timestamp")</f>
        <v>Timestamp</v>
      </c>
      <c r="B1" s="1" t="str">
        <f>IFERROR(__xludf.DUMMYFUNCTION("""COMPUTED_VALUE"""),"NISN")</f>
        <v>NISN</v>
      </c>
      <c r="C1" s="1" t="str">
        <f>IFERROR(__xludf.DUMMYFUNCTION("""COMPUTED_VALUE"""),"Status")</f>
        <v>Status</v>
      </c>
      <c r="D1" s="1" t="str">
        <f>IFERROR(__xludf.DUMMYFUNCTION("""COMPUTED_VALUE"""),"Email Address")</f>
        <v>Email Address</v>
      </c>
      <c r="E1" s="1" t="str">
        <f>IFERROR(__xludf.DUMMYFUNCTION("""COMPUTED_VALUE"""),"Nama Lengkap")</f>
        <v>Nama Lengkap</v>
      </c>
      <c r="F1" s="1" t="str">
        <f>IFERROR(__xludf.DUMMYFUNCTION("""COMPUTED_VALUE"""),"L/P")</f>
        <v>L/P</v>
      </c>
      <c r="G1" s="1" t="str">
        <f>IFERROR(__xludf.DUMMYFUNCTION("""COMPUTED_VALUE"""),"Angkatan")</f>
        <v>Angkatan</v>
      </c>
      <c r="H1" s="1" t="str">
        <f>IFERROR(__xludf.DUMMYFUNCTION("""COMPUTED_VALUE"""),"Kelas")</f>
        <v>Kelas</v>
      </c>
      <c r="I1" s="1" t="str">
        <f>IFERROR(__xludf.DUMMYFUNCTION("""COMPUTED_VALUE"""),"Grup")</f>
        <v>Grup</v>
      </c>
      <c r="J1" s="1" t="str">
        <f>IFERROR(__xludf.DUMMYFUNCTION("""COMPUTED_VALUE"""),"Mentor")</f>
        <v>Mentor</v>
      </c>
      <c r="K1" s="1" t="str">
        <f>IFERROR(__xludf.DUMMYFUNCTION("""COMPUTED_VALUE"""),"Tanggal Mentoring")</f>
        <v>Tanggal Mentoring</v>
      </c>
      <c r="L1" s="1" t="str">
        <f>IFERROR(__xludf.DUMMYFUNCTION("""COMPUTED_VALUE"""),"Tahun Ajaran")</f>
        <v>Tahun Ajaran</v>
      </c>
    </row>
    <row r="2">
      <c r="A2" s="2">
        <f>IFERROR(__xludf.DUMMYFUNCTION("""COMPUTED_VALUE"""),45969.31841877315)</f>
        <v>45969.31842</v>
      </c>
      <c r="B2" s="1" t="str">
        <f>IFERROR(__xludf.DUMMYFUNCTION("""COMPUTED_VALUE"""),"0093629282")</f>
        <v>0093629282</v>
      </c>
      <c r="C2" s="1" t="str">
        <f>IFERROR(__xludf.DUMMYFUNCTION("""COMPUTED_VALUE"""),"Hadir")</f>
        <v>Hadir</v>
      </c>
      <c r="D2" s="1" t="str">
        <f>IFERROR(__xludf.DUMMYFUNCTION("""COMPUTED_VALUE"""),"m.rizza.alfarisi67@gmail.com")</f>
        <v>m.rizza.alfarisi67@gmail.com</v>
      </c>
      <c r="E2" s="1"/>
      <c r="F2" s="1"/>
      <c r="G2" s="1"/>
      <c r="H2" s="1"/>
      <c r="I2" s="1"/>
      <c r="J2" s="1"/>
      <c r="K2" s="1"/>
      <c r="L2" s="1"/>
    </row>
    <row r="3">
      <c r="A3" s="2">
        <f>IFERROR(__xludf.DUMMYFUNCTION("""COMPUTED_VALUE"""),45969.320032881944)</f>
        <v>45969.32003</v>
      </c>
      <c r="B3" s="1">
        <f>IFERROR(__xludf.DUMMYFUNCTION("""COMPUTED_VALUE"""),3.103220251E9)</f>
        <v>3103220251</v>
      </c>
      <c r="C3" s="1" t="str">
        <f>IFERROR(__xludf.DUMMYFUNCTION("""COMPUTED_VALUE"""),"Hadir")</f>
        <v>Hadir</v>
      </c>
      <c r="D3" s="1" t="str">
        <f>IFERROR(__xludf.DUMMYFUNCTION("""COMPUTED_VALUE"""),"m.rizza.alfarisi67@gmail.com")</f>
        <v>m.rizza.alfarisi67@gmail.com</v>
      </c>
      <c r="E3" s="1"/>
      <c r="F3" s="1"/>
      <c r="G3" s="1"/>
      <c r="H3" s="1"/>
      <c r="I3" s="1"/>
      <c r="J3" s="1"/>
      <c r="K3" s="1"/>
      <c r="L3" s="1"/>
    </row>
    <row r="4">
      <c r="A4" s="2">
        <f>IFERROR(__xludf.DUMMYFUNCTION("""COMPUTED_VALUE"""),45969.32051391204)</f>
        <v>45969.32051</v>
      </c>
      <c r="B4" s="1" t="str">
        <f>IFERROR(__xludf.DUMMYFUNCTION("""COMPUTED_VALUE"""),"0107936085")</f>
        <v>0107936085</v>
      </c>
      <c r="C4" s="1" t="str">
        <f>IFERROR(__xludf.DUMMYFUNCTION("""COMPUTED_VALUE"""),"Hadir")</f>
        <v>Hadir</v>
      </c>
      <c r="D4" s="1" t="str">
        <f>IFERROR(__xludf.DUMMYFUNCTION("""COMPUTED_VALUE"""),"m.rizza.alfarisi67@gmail.com")</f>
        <v>m.rizza.alfarisi67@gmail.com</v>
      </c>
      <c r="E4" s="1"/>
      <c r="F4" s="1"/>
      <c r="G4" s="1"/>
      <c r="H4" s="1"/>
      <c r="I4" s="1"/>
      <c r="J4" s="1"/>
      <c r="K4" s="1"/>
      <c r="L4" s="1"/>
    </row>
    <row r="5">
      <c r="A5" s="2">
        <f>IFERROR(__xludf.DUMMYFUNCTION("""COMPUTED_VALUE"""),45969.32073840278)</f>
        <v>45969.32074</v>
      </c>
      <c r="B5" s="1" t="str">
        <f>IFERROR(__xludf.DUMMYFUNCTION("""COMPUTED_VALUE"""),"0104328116")</f>
        <v>0104328116</v>
      </c>
      <c r="C5" s="1" t="str">
        <f>IFERROR(__xludf.DUMMYFUNCTION("""COMPUTED_VALUE"""),"Hadir")</f>
        <v>Hadir</v>
      </c>
      <c r="D5" s="1" t="str">
        <f>IFERROR(__xludf.DUMMYFUNCTION("""COMPUTED_VALUE"""),"m.rizza.alfarisi67@gmail.com")</f>
        <v>m.rizza.alfarisi67@gmail.com</v>
      </c>
      <c r="E5" s="1"/>
      <c r="F5" s="1"/>
      <c r="G5" s="1"/>
      <c r="H5" s="1"/>
      <c r="I5" s="1"/>
      <c r="J5" s="1"/>
      <c r="K5" s="1"/>
      <c r="L5" s="1"/>
    </row>
    <row r="6">
      <c r="A6" s="2">
        <f>IFERROR(__xludf.DUMMYFUNCTION("""COMPUTED_VALUE"""),45969.32114526621)</f>
        <v>45969.32115</v>
      </c>
      <c r="B6" s="1" t="str">
        <f>IFERROR(__xludf.DUMMYFUNCTION("""COMPUTED_VALUE"""),"0093828028")</f>
        <v>0093828028</v>
      </c>
      <c r="C6" s="1" t="str">
        <f>IFERROR(__xludf.DUMMYFUNCTION("""COMPUTED_VALUE"""),"Hadir")</f>
        <v>Hadir</v>
      </c>
      <c r="D6" s="1" t="str">
        <f>IFERROR(__xludf.DUMMYFUNCTION("""COMPUTED_VALUE"""),"m.rizza.alfarisi67@gmail.com")</f>
        <v>m.rizza.alfarisi67@gmail.com</v>
      </c>
      <c r="E6" s="1"/>
      <c r="F6" s="1"/>
      <c r="G6" s="1"/>
      <c r="H6" s="1"/>
      <c r="I6" s="1"/>
      <c r="J6" s="1"/>
      <c r="K6" s="1"/>
      <c r="L6" s="1"/>
    </row>
    <row r="7">
      <c r="A7" s="2">
        <f>IFERROR(__xludf.DUMMYFUNCTION("""COMPUTED_VALUE"""),45969.350735370375)</f>
        <v>45969.35074</v>
      </c>
      <c r="B7" s="1" t="str">
        <f>IFERROR(__xludf.DUMMYFUNCTION("""COMPUTED_VALUE"""),"0094782869")</f>
        <v>0094782869</v>
      </c>
      <c r="C7" s="1" t="str">
        <f>IFERROR(__xludf.DUMMYFUNCTION("""COMPUTED_VALUE"""),"Hadir")</f>
        <v>Hadir</v>
      </c>
      <c r="D7" s="1" t="str">
        <f>IFERROR(__xludf.DUMMYFUNCTION("""COMPUTED_VALUE"""),"m.rizza.alfarisi67@gmail.com")</f>
        <v>m.rizza.alfarisi67@gmail.com</v>
      </c>
      <c r="E7" s="1"/>
      <c r="F7" s="1"/>
      <c r="G7" s="1"/>
      <c r="H7" s="1"/>
      <c r="I7" s="1"/>
      <c r="J7" s="1"/>
      <c r="K7" s="1"/>
      <c r="L7" s="1"/>
    </row>
    <row r="8">
      <c r="A8" s="2">
        <f>IFERROR(__xludf.DUMMYFUNCTION("""COMPUTED_VALUE"""),45983.334548287035)</f>
        <v>45983.33455</v>
      </c>
      <c r="B8" s="1" t="str">
        <f>IFERROR(__xludf.DUMMYFUNCTION("""COMPUTED_VALUE"""),"0093629282")</f>
        <v>0093629282</v>
      </c>
      <c r="C8" s="1" t="str">
        <f>IFERROR(__xludf.DUMMYFUNCTION("""COMPUTED_VALUE"""),"Hadir")</f>
        <v>Hadir</v>
      </c>
      <c r="D8" s="1" t="str">
        <f>IFERROR(__xludf.DUMMYFUNCTION("""COMPUTED_VALUE"""),"m.rizza.alfarisi67@gmail.com")</f>
        <v>m.rizza.alfarisi67@gmail.com</v>
      </c>
      <c r="E8" s="1"/>
      <c r="F8" s="1"/>
      <c r="G8" s="1"/>
      <c r="H8" s="1"/>
      <c r="I8" s="1"/>
      <c r="J8" s="1"/>
      <c r="K8" s="1"/>
      <c r="L8" s="1"/>
    </row>
    <row r="9">
      <c r="A9" s="2">
        <f>IFERROR(__xludf.DUMMYFUNCTION("""COMPUTED_VALUE"""),45983.335184791664)</f>
        <v>45983.33518</v>
      </c>
      <c r="B9" s="1" t="str">
        <f>IFERROR(__xludf.DUMMYFUNCTION("""COMPUTED_VALUE"""),"0107936085")</f>
        <v>0107936085</v>
      </c>
      <c r="C9" s="1" t="str">
        <f>IFERROR(__xludf.DUMMYFUNCTION("""COMPUTED_VALUE"""),"Hadir")</f>
        <v>Hadir</v>
      </c>
      <c r="D9" s="1" t="str">
        <f>IFERROR(__xludf.DUMMYFUNCTION("""COMPUTED_VALUE"""),"m.rizza.alfarisi67@gmail.com")</f>
        <v>m.rizza.alfarisi67@gmail.com</v>
      </c>
      <c r="E9" s="1"/>
      <c r="F9" s="1"/>
      <c r="G9" s="1"/>
      <c r="H9" s="1"/>
      <c r="I9" s="1"/>
      <c r="J9" s="1"/>
      <c r="K9" s="1"/>
      <c r="L9" s="1"/>
    </row>
    <row r="10">
      <c r="A10" s="2">
        <f>IFERROR(__xludf.DUMMYFUNCTION("""COMPUTED_VALUE"""),45983.336061469905)</f>
        <v>45983.33606</v>
      </c>
      <c r="B10" s="1" t="str">
        <f>IFERROR(__xludf.DUMMYFUNCTION("""COMPUTED_VALUE"""),"0105614197")</f>
        <v>0105614197</v>
      </c>
      <c r="C10" s="1" t="str">
        <f>IFERROR(__xludf.DUMMYFUNCTION("""COMPUTED_VALUE"""),"Hadir")</f>
        <v>Hadir</v>
      </c>
      <c r="D10" s="1" t="str">
        <f>IFERROR(__xludf.DUMMYFUNCTION("""COMPUTED_VALUE"""),"m.rizza.alfarisi67@gmail.com")</f>
        <v>m.rizza.alfarisi67@gmail.com</v>
      </c>
      <c r="E10" s="1"/>
      <c r="F10" s="1"/>
      <c r="G10" s="1"/>
      <c r="H10" s="1"/>
      <c r="I10" s="1"/>
      <c r="J10" s="1"/>
      <c r="K10" s="1"/>
      <c r="L10" s="1"/>
    </row>
    <row r="11">
      <c r="A11" s="2">
        <f>IFERROR(__xludf.DUMMYFUNCTION("""COMPUTED_VALUE"""),45983.33647967593)</f>
        <v>45983.33648</v>
      </c>
      <c r="B11" s="1">
        <f>IFERROR(__xludf.DUMMYFUNCTION("""COMPUTED_VALUE"""),3.103220251E9)</f>
        <v>3103220251</v>
      </c>
      <c r="C11" s="1" t="str">
        <f>IFERROR(__xludf.DUMMYFUNCTION("""COMPUTED_VALUE"""),"Hadir")</f>
        <v>Hadir</v>
      </c>
      <c r="D11" s="1" t="str">
        <f>IFERROR(__xludf.DUMMYFUNCTION("""COMPUTED_VALUE"""),"m.rizza.alfarisi67@gmail.com")</f>
        <v>m.rizza.alfarisi67@gmail.com</v>
      </c>
      <c r="E11" s="1"/>
      <c r="F11" s="1"/>
      <c r="G11" s="1"/>
      <c r="H11" s="1"/>
      <c r="I11" s="1"/>
      <c r="J11" s="1"/>
      <c r="K11" s="1"/>
      <c r="L11" s="1"/>
    </row>
    <row r="12">
      <c r="A12" s="2">
        <f>IFERROR(__xludf.DUMMYFUNCTION("""COMPUTED_VALUE"""),45983.336962395835)</f>
        <v>45983.33696</v>
      </c>
      <c r="B12" s="1" t="str">
        <f>IFERROR(__xludf.DUMMYFUNCTION("""COMPUTED_VALUE"""),"0104328116")</f>
        <v>0104328116</v>
      </c>
      <c r="C12" s="1" t="str">
        <f>IFERROR(__xludf.DUMMYFUNCTION("""COMPUTED_VALUE"""),"Hadir")</f>
        <v>Hadir</v>
      </c>
      <c r="D12" s="1" t="str">
        <f>IFERROR(__xludf.DUMMYFUNCTION("""COMPUTED_VALUE"""),"m.rizza.alfarisi67@gmail.com")</f>
        <v>m.rizza.alfarisi67@gmail.com</v>
      </c>
      <c r="E12" s="1"/>
      <c r="F12" s="1"/>
      <c r="G12" s="1"/>
      <c r="H12" s="1"/>
      <c r="I12" s="1"/>
      <c r="J12" s="1"/>
      <c r="K12" s="1"/>
      <c r="L12" s="1"/>
    </row>
    <row r="13">
      <c r="A13" s="2">
        <f>IFERROR(__xludf.DUMMYFUNCTION("""COMPUTED_VALUE"""),45983.33798305556)</f>
        <v>45983.33798</v>
      </c>
      <c r="B13" s="1" t="str">
        <f>IFERROR(__xludf.DUMMYFUNCTION("""COMPUTED_VALUE"""),"0094782869")</f>
        <v>0094782869</v>
      </c>
      <c r="C13" s="1" t="str">
        <f>IFERROR(__xludf.DUMMYFUNCTION("""COMPUTED_VALUE"""),"Hadir")</f>
        <v>Hadir</v>
      </c>
      <c r="D13" s="1" t="str">
        <f>IFERROR(__xludf.DUMMYFUNCTION("""COMPUTED_VALUE"""),"m.rizza.alfarisi67@gmail.com")</f>
        <v>m.rizza.alfarisi67@gmail.com</v>
      </c>
      <c r="E13" s="1"/>
      <c r="F13" s="1"/>
      <c r="G13" s="1"/>
      <c r="H13" s="1"/>
      <c r="I13" s="1"/>
      <c r="J13" s="1"/>
      <c r="K13" s="1"/>
      <c r="L13" s="1"/>
    </row>
    <row r="14">
      <c r="A14" s="2">
        <f>IFERROR(__xludf.DUMMYFUNCTION("""COMPUTED_VALUE"""),45983.33841725695)</f>
        <v>45983.33842</v>
      </c>
      <c r="B14" s="1" t="str">
        <f>IFERROR(__xludf.DUMMYFUNCTION("""COMPUTED_VALUE"""),"0107487290")</f>
        <v>0107487290</v>
      </c>
      <c r="C14" s="1" t="str">
        <f>IFERROR(__xludf.DUMMYFUNCTION("""COMPUTED_VALUE"""),"Hadir")</f>
        <v>Hadir</v>
      </c>
      <c r="D14" s="1" t="str">
        <f>IFERROR(__xludf.DUMMYFUNCTION("""COMPUTED_VALUE"""),"m.rizza.alfarisi67@gmail.com")</f>
        <v>m.rizza.alfarisi67@gmail.com</v>
      </c>
      <c r="E14" s="1"/>
      <c r="F14" s="1"/>
      <c r="G14" s="1"/>
      <c r="H14" s="1"/>
      <c r="I14" s="1"/>
      <c r="J14" s="1"/>
      <c r="K14" s="1"/>
      <c r="L14" s="1"/>
    </row>
    <row r="15">
      <c r="A15" s="2">
        <f>IFERROR(__xludf.DUMMYFUNCTION("""COMPUTED_VALUE"""),45983.33924410879)</f>
        <v>45983.33924</v>
      </c>
      <c r="B15" s="1" t="str">
        <f>IFERROR(__xludf.DUMMYFUNCTION("""COMPUTED_VALUE"""),"0093678218")</f>
        <v>0093678218</v>
      </c>
      <c r="C15" s="1" t="str">
        <f>IFERROR(__xludf.DUMMYFUNCTION("""COMPUTED_VALUE"""),"Hadir")</f>
        <v>Hadir</v>
      </c>
      <c r="D15" s="1" t="str">
        <f>IFERROR(__xludf.DUMMYFUNCTION("""COMPUTED_VALUE"""),"m.rizza.alfarisi67@gmail.com")</f>
        <v>m.rizza.alfarisi67@gmail.com</v>
      </c>
      <c r="E15" s="1"/>
      <c r="F15" s="1"/>
      <c r="G15" s="1"/>
      <c r="H15" s="1"/>
      <c r="I15" s="1"/>
      <c r="J15" s="1"/>
      <c r="K15" s="1"/>
      <c r="L15" s="1"/>
    </row>
    <row r="16">
      <c r="A16" s="2">
        <f>IFERROR(__xludf.DUMMYFUNCTION("""COMPUTED_VALUE"""),45983.339703749996)</f>
        <v>45983.3397</v>
      </c>
      <c r="B16" s="1" t="str">
        <f>IFERROR(__xludf.DUMMYFUNCTION("""COMPUTED_VALUE"""),"0093078917")</f>
        <v>0093078917</v>
      </c>
      <c r="C16" s="1" t="str">
        <f>IFERROR(__xludf.DUMMYFUNCTION("""COMPUTED_VALUE"""),"Hadir")</f>
        <v>Hadir</v>
      </c>
      <c r="D16" s="1" t="str">
        <f>IFERROR(__xludf.DUMMYFUNCTION("""COMPUTED_VALUE"""),"m.rizza.alfarisi67@gmail.com")</f>
        <v>m.rizza.alfarisi67@gmail.com</v>
      </c>
      <c r="E16" s="1"/>
      <c r="F16" s="1"/>
      <c r="G16" s="1"/>
      <c r="H16" s="1"/>
      <c r="I16" s="1"/>
      <c r="J16" s="1"/>
      <c r="K16" s="1"/>
      <c r="L16" s="1"/>
    </row>
    <row r="17">
      <c r="A17" s="2">
        <f>IFERROR(__xludf.DUMMYFUNCTION("""COMPUTED_VALUE"""),45983.340708703705)</f>
        <v>45983.34071</v>
      </c>
      <c r="B17" s="1" t="str">
        <f>IFERROR(__xludf.DUMMYFUNCTION("""COMPUTED_VALUE"""),"0097446281")</f>
        <v>0097446281</v>
      </c>
      <c r="C17" s="1" t="str">
        <f>IFERROR(__xludf.DUMMYFUNCTION("""COMPUTED_VALUE"""),"Hadir")</f>
        <v>Hadir</v>
      </c>
      <c r="D17" s="1" t="str">
        <f>IFERROR(__xludf.DUMMYFUNCTION("""COMPUTED_VALUE"""),"m.rizza.alfarisi67@gmail.com")</f>
        <v>m.rizza.alfarisi67@gmail.com</v>
      </c>
      <c r="E17" s="1"/>
      <c r="F17" s="1"/>
      <c r="G17" s="1"/>
      <c r="H17" s="1"/>
      <c r="I17" s="1"/>
      <c r="J17" s="1"/>
      <c r="K17" s="1"/>
      <c r="L17" s="1"/>
    </row>
    <row r="18">
      <c r="A18" s="2">
        <f>IFERROR(__xludf.DUMMYFUNCTION("""COMPUTED_VALUE"""),45983.34149614583)</f>
        <v>45983.3415</v>
      </c>
      <c r="B18" s="1" t="str">
        <f>IFERROR(__xludf.DUMMYFUNCTION("""COMPUTED_VALUE"""),"0095243962")</f>
        <v>0095243962</v>
      </c>
      <c r="C18" s="1" t="str">
        <f>IFERROR(__xludf.DUMMYFUNCTION("""COMPUTED_VALUE"""),"Hadir")</f>
        <v>Hadir</v>
      </c>
      <c r="D18" s="1" t="str">
        <f>IFERROR(__xludf.DUMMYFUNCTION("""COMPUTED_VALUE"""),"m.rizza.alfarisi67@gmail.com")</f>
        <v>m.rizza.alfarisi67@gmail.com</v>
      </c>
      <c r="E18" s="1"/>
      <c r="F18" s="1"/>
      <c r="G18" s="1"/>
      <c r="H18" s="1"/>
      <c r="I18" s="1"/>
      <c r="J18" s="1"/>
      <c r="K18" s="1"/>
      <c r="L18" s="1"/>
    </row>
    <row r="19">
      <c r="A19" s="2">
        <f>IFERROR(__xludf.DUMMYFUNCTION("""COMPUTED_VALUE"""),45983.354637372686)</f>
        <v>45983.35464</v>
      </c>
      <c r="B19" s="1">
        <f>IFERROR(__xludf.DUMMYFUNCTION("""COMPUTED_VALUE"""),3.092618789E9)</f>
        <v>3092618789</v>
      </c>
      <c r="C19" s="1" t="str">
        <f>IFERROR(__xludf.DUMMYFUNCTION("""COMPUTED_VALUE"""),"Hadir")</f>
        <v>Hadir</v>
      </c>
      <c r="D19" s="1" t="str">
        <f>IFERROR(__xludf.DUMMYFUNCTION("""COMPUTED_VALUE"""),"ekadimw35@gmail.com")</f>
        <v>ekadimw35@gmail.com</v>
      </c>
      <c r="E19" s="1"/>
      <c r="F19" s="1"/>
      <c r="G19" s="1"/>
      <c r="H19" s="1"/>
      <c r="I19" s="1"/>
      <c r="J19" s="1"/>
      <c r="K19" s="1"/>
      <c r="L19" s="1"/>
    </row>
    <row r="20">
      <c r="A20" s="2">
        <f>IFERROR(__xludf.DUMMYFUNCTION("""COMPUTED_VALUE"""),45983.37999501158)</f>
        <v>45983.38</v>
      </c>
      <c r="B20" s="1" t="str">
        <f>IFERROR(__xludf.DUMMYFUNCTION("""COMPUTED_VALUE"""),"0106995291")</f>
        <v>0106995291</v>
      </c>
      <c r="C20" s="1" t="str">
        <f>IFERROR(__xludf.DUMMYFUNCTION("""COMPUTED_VALUE"""),"Hadir")</f>
        <v>Hadir</v>
      </c>
      <c r="D20" s="1" t="str">
        <f>IFERROR(__xludf.DUMMYFUNCTION("""COMPUTED_VALUE"""),"ronydurra@gmail.com")</f>
        <v>ronydurra@gmail.com</v>
      </c>
      <c r="E20" s="1"/>
      <c r="F20" s="1"/>
      <c r="G20" s="1"/>
      <c r="H20" s="1"/>
      <c r="I20" s="1"/>
      <c r="J20" s="1"/>
      <c r="K20" s="1"/>
      <c r="L20" s="1"/>
    </row>
    <row r="21">
      <c r="A21" s="2">
        <f>IFERROR(__xludf.DUMMYFUNCTION("""COMPUTED_VALUE"""),45983.38028186343)</f>
        <v>45983.38028</v>
      </c>
      <c r="B21" s="1" t="str">
        <f>IFERROR(__xludf.DUMMYFUNCTION("""COMPUTED_VALUE"""),"0108107461")</f>
        <v>0108107461</v>
      </c>
      <c r="C21" s="1" t="str">
        <f>IFERROR(__xludf.DUMMYFUNCTION("""COMPUTED_VALUE"""),"Hadir")</f>
        <v>Hadir</v>
      </c>
      <c r="D21" s="1" t="str">
        <f>IFERROR(__xludf.DUMMYFUNCTION("""COMPUTED_VALUE"""),"ronydurra@gmail.com")</f>
        <v>ronydurra@gmail.com</v>
      </c>
      <c r="E21" s="1"/>
      <c r="F21" s="1"/>
      <c r="G21" s="1"/>
      <c r="H21" s="1"/>
      <c r="I21" s="1"/>
      <c r="J21" s="1"/>
      <c r="K21" s="1"/>
      <c r="L21" s="1"/>
    </row>
    <row r="22">
      <c r="A22" s="2">
        <f>IFERROR(__xludf.DUMMYFUNCTION("""COMPUTED_VALUE"""),45983.38073453704)</f>
        <v>45983.38073</v>
      </c>
      <c r="B22" s="1" t="str">
        <f>IFERROR(__xludf.DUMMYFUNCTION("""COMPUTED_VALUE"""),"0103151970")</f>
        <v>0103151970</v>
      </c>
      <c r="C22" s="1" t="str">
        <f>IFERROR(__xludf.DUMMYFUNCTION("""COMPUTED_VALUE"""),"Hadir")</f>
        <v>Hadir</v>
      </c>
      <c r="D22" s="1" t="str">
        <f>IFERROR(__xludf.DUMMYFUNCTION("""COMPUTED_VALUE"""),"ronydurra@gmail.com")</f>
        <v>ronydurra@gmail.com</v>
      </c>
      <c r="E22" s="1"/>
      <c r="F22" s="1"/>
      <c r="G22" s="1"/>
      <c r="H22" s="1"/>
      <c r="I22" s="1"/>
      <c r="J22" s="1"/>
      <c r="K22" s="1"/>
      <c r="L22" s="1"/>
    </row>
    <row r="23">
      <c r="A23" s="2">
        <f>IFERROR(__xludf.DUMMYFUNCTION("""COMPUTED_VALUE"""),45983.381057245366)</f>
        <v>45983.38106</v>
      </c>
      <c r="B23" s="1" t="str">
        <f>IFERROR(__xludf.DUMMYFUNCTION("""COMPUTED_VALUE"""),"0092626116")</f>
        <v>0092626116</v>
      </c>
      <c r="C23" s="1" t="str">
        <f>IFERROR(__xludf.DUMMYFUNCTION("""COMPUTED_VALUE"""),"Hadir")</f>
        <v>Hadir</v>
      </c>
      <c r="D23" s="1" t="str">
        <f>IFERROR(__xludf.DUMMYFUNCTION("""COMPUTED_VALUE"""),"ronydurra@gmail.com")</f>
        <v>ronydurra@gmail.com</v>
      </c>
      <c r="E23" s="1"/>
      <c r="F23" s="1"/>
      <c r="G23" s="1"/>
      <c r="H23" s="1"/>
      <c r="I23" s="1"/>
      <c r="J23" s="1"/>
      <c r="K23" s="1"/>
      <c r="L23" s="1"/>
    </row>
    <row r="24">
      <c r="A24" s="2">
        <f>IFERROR(__xludf.DUMMYFUNCTION("""COMPUTED_VALUE"""),45983.381349351854)</f>
        <v>45983.38135</v>
      </c>
      <c r="B24" s="1" t="str">
        <f>IFERROR(__xludf.DUMMYFUNCTION("""COMPUTED_VALUE"""),"0095992391")</f>
        <v>0095992391</v>
      </c>
      <c r="C24" s="1" t="str">
        <f>IFERROR(__xludf.DUMMYFUNCTION("""COMPUTED_VALUE"""),"Hadir")</f>
        <v>Hadir</v>
      </c>
      <c r="D24" s="1" t="str">
        <f>IFERROR(__xludf.DUMMYFUNCTION("""COMPUTED_VALUE"""),"ronydurra@gmail.com")</f>
        <v>ronydurra@gmail.com</v>
      </c>
      <c r="E24" s="1"/>
      <c r="F24" s="1"/>
      <c r="G24" s="1"/>
      <c r="H24" s="1"/>
      <c r="I24" s="1"/>
      <c r="J24" s="1"/>
      <c r="K24" s="1"/>
      <c r="L24" s="1"/>
    </row>
    <row r="25">
      <c r="A25" s="2">
        <f>IFERROR(__xludf.DUMMYFUNCTION("""COMPUTED_VALUE"""),45983.38164440972)</f>
        <v>45983.38164</v>
      </c>
      <c r="B25" s="1" t="str">
        <f>IFERROR(__xludf.DUMMYFUNCTION("""COMPUTED_VALUE"""),"0093126257")</f>
        <v>0093126257</v>
      </c>
      <c r="C25" s="1" t="str">
        <f>IFERROR(__xludf.DUMMYFUNCTION("""COMPUTED_VALUE"""),"Hadir")</f>
        <v>Hadir</v>
      </c>
      <c r="D25" s="1" t="str">
        <f>IFERROR(__xludf.DUMMYFUNCTION("""COMPUTED_VALUE"""),"ronydurra@gmail.com")</f>
        <v>ronydurra@gmail.com</v>
      </c>
      <c r="E25" s="1"/>
      <c r="F25" s="1"/>
      <c r="G25" s="1"/>
      <c r="H25" s="1"/>
      <c r="I25" s="1"/>
      <c r="J25" s="1"/>
      <c r="K25" s="1"/>
      <c r="L25" s="1"/>
    </row>
    <row r="26">
      <c r="A26" s="2">
        <f>IFERROR(__xludf.DUMMYFUNCTION("""COMPUTED_VALUE"""),45983.38192230324)</f>
        <v>45983.38192</v>
      </c>
      <c r="B26" s="1" t="str">
        <f>IFERROR(__xludf.DUMMYFUNCTION("""COMPUTED_VALUE"""),"0105914504")</f>
        <v>0105914504</v>
      </c>
      <c r="C26" s="1" t="str">
        <f>IFERROR(__xludf.DUMMYFUNCTION("""COMPUTED_VALUE"""),"Hadir")</f>
        <v>Hadir</v>
      </c>
      <c r="D26" s="1" t="str">
        <f>IFERROR(__xludf.DUMMYFUNCTION("""COMPUTED_VALUE"""),"ronydurra@gmail.com")</f>
        <v>ronydurra@gmail.com</v>
      </c>
      <c r="E26" s="1"/>
      <c r="F26" s="1"/>
      <c r="G26" s="1"/>
      <c r="H26" s="1"/>
      <c r="I26" s="1"/>
      <c r="J26" s="1"/>
      <c r="K26" s="1"/>
      <c r="L26" s="1"/>
    </row>
    <row r="27">
      <c r="A27" s="2">
        <f>IFERROR(__xludf.DUMMYFUNCTION("""COMPUTED_VALUE"""),45983.38262935185)</f>
        <v>45983.38263</v>
      </c>
      <c r="B27" s="1" t="str">
        <f>IFERROR(__xludf.DUMMYFUNCTION("""COMPUTED_VALUE"""),"0092135851")</f>
        <v>0092135851</v>
      </c>
      <c r="C27" s="1" t="str">
        <f>IFERROR(__xludf.DUMMYFUNCTION("""COMPUTED_VALUE"""),"Hadir")</f>
        <v>Hadir</v>
      </c>
      <c r="D27" s="1" t="str">
        <f>IFERROR(__xludf.DUMMYFUNCTION("""COMPUTED_VALUE"""),"ronydurra@gmail.com")</f>
        <v>ronydurra@gmail.com</v>
      </c>
      <c r="E27" s="1"/>
      <c r="F27" s="1"/>
      <c r="G27" s="1"/>
      <c r="H27" s="1"/>
      <c r="I27" s="1"/>
      <c r="J27" s="1"/>
      <c r="K27" s="1"/>
      <c r="L27" s="1"/>
    </row>
    <row r="28">
      <c r="A28" s="2">
        <f>IFERROR(__xludf.DUMMYFUNCTION("""COMPUTED_VALUE"""),45983.40547474537)</f>
        <v>45983.40547</v>
      </c>
      <c r="B28" s="1" t="str">
        <f>IFERROR(__xludf.DUMMYFUNCTION("""COMPUTED_VALUE"""),"0094465097")</f>
        <v>0094465097</v>
      </c>
      <c r="C28" s="1" t="str">
        <f>IFERROR(__xludf.DUMMYFUNCTION("""COMPUTED_VALUE"""),"Hadir")</f>
        <v>Hadir</v>
      </c>
      <c r="D28" s="1" t="str">
        <f>IFERROR(__xludf.DUMMYFUNCTION("""COMPUTED_VALUE"""),"ekadimw35@gmail.com")</f>
        <v>ekadimw35@gmail.com</v>
      </c>
      <c r="E28" s="1"/>
      <c r="F28" s="1"/>
      <c r="G28" s="1"/>
      <c r="H28" s="1"/>
      <c r="I28" s="1"/>
      <c r="J28" s="1"/>
      <c r="K28" s="1"/>
      <c r="L28" s="1"/>
    </row>
    <row r="29">
      <c r="A29" s="2">
        <f>IFERROR(__xludf.DUMMYFUNCTION("""COMPUTED_VALUE"""),46053.3097258912)</f>
        <v>46053.30973</v>
      </c>
      <c r="B29" s="1" t="str">
        <f>IFERROR(__xludf.DUMMYFUNCTION("""COMPUTED_VALUE"""),"0093828028")</f>
        <v>0093828028</v>
      </c>
      <c r="C29" s="1" t="str">
        <f>IFERROR(__xludf.DUMMYFUNCTION("""COMPUTED_VALUE"""),"Hadir")</f>
        <v>Hadir</v>
      </c>
      <c r="D29" s="1" t="str">
        <f>IFERROR(__xludf.DUMMYFUNCTION("""COMPUTED_VALUE"""),"m.rizza.alfarisi67@gmail.com")</f>
        <v>m.rizza.alfarisi67@gmail.com</v>
      </c>
      <c r="E29" s="1"/>
      <c r="F29" s="1"/>
      <c r="G29" s="1"/>
      <c r="H29" s="1"/>
      <c r="I29" s="1"/>
      <c r="J29" s="1"/>
      <c r="K29" s="1"/>
      <c r="L29" s="1"/>
    </row>
    <row r="30">
      <c r="A30" s="2">
        <f>IFERROR(__xludf.DUMMYFUNCTION("""COMPUTED_VALUE"""),46053.31225722222)</f>
        <v>46053.31226</v>
      </c>
      <c r="B30" s="1" t="str">
        <f>IFERROR(__xludf.DUMMYFUNCTION("""COMPUTED_VALUE"""),"0107487290")</f>
        <v>0107487290</v>
      </c>
      <c r="C30" s="1" t="str">
        <f>IFERROR(__xludf.DUMMYFUNCTION("""COMPUTED_VALUE"""),"Hadir")</f>
        <v>Hadir</v>
      </c>
      <c r="D30" s="1" t="str">
        <f>IFERROR(__xludf.DUMMYFUNCTION("""COMPUTED_VALUE"""),"m.rizza.alfarisi67@gmail.com")</f>
        <v>m.rizza.alfarisi67@gmail.com</v>
      </c>
      <c r="E30" s="1"/>
      <c r="F30" s="1"/>
      <c r="G30" s="1"/>
      <c r="H30" s="1"/>
      <c r="I30" s="1"/>
      <c r="J30" s="1"/>
      <c r="K30" s="1"/>
      <c r="L30" s="1"/>
    </row>
    <row r="31">
      <c r="A31" s="2">
        <f>IFERROR(__xludf.DUMMYFUNCTION("""COMPUTED_VALUE"""),46053.333874930555)</f>
        <v>46053.33387</v>
      </c>
      <c r="B31" s="1" t="str">
        <f>IFERROR(__xludf.DUMMYFUNCTION("""COMPUTED_VALUE"""),"0093078917")</f>
        <v>0093078917</v>
      </c>
      <c r="C31" s="1" t="str">
        <f>IFERROR(__xludf.DUMMYFUNCTION("""COMPUTED_VALUE"""),"Hadir")</f>
        <v>Hadir</v>
      </c>
      <c r="D31" s="1" t="str">
        <f>IFERROR(__xludf.DUMMYFUNCTION("""COMPUTED_VALUE"""),"m.rizza.alfarisi67@gmail.com")</f>
        <v>m.rizza.alfarisi67@gmail.com</v>
      </c>
      <c r="E31" s="1"/>
      <c r="F31" s="1"/>
      <c r="G31" s="1"/>
      <c r="H31" s="1"/>
      <c r="I31" s="1"/>
      <c r="J31" s="1"/>
      <c r="K31" s="1"/>
      <c r="L31" s="1"/>
    </row>
    <row r="32">
      <c r="A32" s="2">
        <f>IFERROR(__xludf.DUMMYFUNCTION("""COMPUTED_VALUE"""),46053.33406966436)</f>
        <v>46053.33407</v>
      </c>
      <c r="B32" s="1" t="str">
        <f>IFERROR(__xludf.DUMMYFUNCTION("""COMPUTED_VALUE"""),"0097446281")</f>
        <v>0097446281</v>
      </c>
      <c r="C32" s="1" t="str">
        <f>IFERROR(__xludf.DUMMYFUNCTION("""COMPUTED_VALUE"""),"Hadir")</f>
        <v>Hadir</v>
      </c>
      <c r="D32" s="1" t="str">
        <f>IFERROR(__xludf.DUMMYFUNCTION("""COMPUTED_VALUE"""),"m.rizza.alfarisi67@gmail.com")</f>
        <v>m.rizza.alfarisi67@gmail.com</v>
      </c>
      <c r="E32" s="1"/>
      <c r="F32" s="1"/>
      <c r="G32" s="1"/>
      <c r="H32" s="1"/>
      <c r="I32" s="1"/>
      <c r="J32" s="1"/>
      <c r="K32" s="1"/>
      <c r="L32" s="1"/>
    </row>
    <row r="33">
      <c r="A33" s="2">
        <f>IFERROR(__xludf.DUMMYFUNCTION("""COMPUTED_VALUE"""),46053.33447392361)</f>
        <v>46053.33447</v>
      </c>
      <c r="B33" s="1" t="str">
        <f>IFERROR(__xludf.DUMMYFUNCTION("""COMPUTED_VALUE"""),"00936678218")</f>
        <v>00936678218</v>
      </c>
      <c r="C33" s="1" t="str">
        <f>IFERROR(__xludf.DUMMYFUNCTION("""COMPUTED_VALUE"""),"Hadir")</f>
        <v>Hadir</v>
      </c>
      <c r="D33" s="1" t="str">
        <f>IFERROR(__xludf.DUMMYFUNCTION("""COMPUTED_VALUE"""),"m.rizza.alfarisi67@gmail.com")</f>
        <v>m.rizza.alfarisi67@gmail.com</v>
      </c>
      <c r="E33" s="1"/>
      <c r="F33" s="1"/>
      <c r="G33" s="1"/>
      <c r="H33" s="1"/>
      <c r="I33" s="1"/>
      <c r="J33" s="1"/>
      <c r="K33" s="1"/>
      <c r="L33" s="1"/>
    </row>
    <row r="34">
      <c r="A34" s="2">
        <f>IFERROR(__xludf.DUMMYFUNCTION("""COMPUTED_VALUE"""),46053.334856319445)</f>
        <v>46053.33486</v>
      </c>
      <c r="B34" s="1" t="str">
        <f>IFERROR(__xludf.DUMMYFUNCTION("""COMPUTED_VALUE"""),"0105614197")</f>
        <v>0105614197</v>
      </c>
      <c r="C34" s="1" t="str">
        <f>IFERROR(__xludf.DUMMYFUNCTION("""COMPUTED_VALUE"""),"Hadir")</f>
        <v>Hadir</v>
      </c>
      <c r="D34" s="1" t="str">
        <f>IFERROR(__xludf.DUMMYFUNCTION("""COMPUTED_VALUE"""),"m.rizza.alfarisi67@gmail.com")</f>
        <v>m.rizza.alfarisi67@gmail.com</v>
      </c>
      <c r="E34" s="1"/>
      <c r="F34" s="1"/>
      <c r="G34" s="1"/>
      <c r="H34" s="1"/>
      <c r="I34" s="1"/>
      <c r="J34" s="1"/>
      <c r="K34" s="1"/>
      <c r="L34" s="1"/>
    </row>
    <row r="35">
      <c r="A35" s="2">
        <f>IFERROR(__xludf.DUMMYFUNCTION("""COMPUTED_VALUE"""),46053.335819513886)</f>
        <v>46053.33582</v>
      </c>
      <c r="B35" s="1" t="str">
        <f>IFERROR(__xludf.DUMMYFUNCTION("""COMPUTED_VALUE"""),"0095243962")</f>
        <v>0095243962</v>
      </c>
      <c r="C35" s="1" t="str">
        <f>IFERROR(__xludf.DUMMYFUNCTION("""COMPUTED_VALUE"""),"Hadir")</f>
        <v>Hadir</v>
      </c>
      <c r="D35" s="1" t="str">
        <f>IFERROR(__xludf.DUMMYFUNCTION("""COMPUTED_VALUE"""),"m.rizza.alfarisi67@gmail.com")</f>
        <v>m.rizza.alfarisi67@gmail.com</v>
      </c>
      <c r="E35" s="1"/>
      <c r="F35" s="1"/>
      <c r="G35" s="1"/>
      <c r="H35" s="1"/>
      <c r="I35" s="1"/>
      <c r="J35" s="1"/>
      <c r="K35" s="1"/>
      <c r="L35" s="1"/>
    </row>
    <row r="36">
      <c r="A36" s="2">
        <f>IFERROR(__xludf.DUMMYFUNCTION("""COMPUTED_VALUE"""),46053.33629020833)</f>
        <v>46053.33629</v>
      </c>
      <c r="B36" s="1" t="str">
        <f>IFERROR(__xludf.DUMMYFUNCTION("""COMPUTED_VALUE"""),"0104328116")</f>
        <v>0104328116</v>
      </c>
      <c r="C36" s="1" t="str">
        <f>IFERROR(__xludf.DUMMYFUNCTION("""COMPUTED_VALUE"""),"Hadir")</f>
        <v>Hadir</v>
      </c>
      <c r="D36" s="1" t="str">
        <f>IFERROR(__xludf.DUMMYFUNCTION("""COMPUTED_VALUE"""),"m.rizza.alfarisi67@gmail.com")</f>
        <v>m.rizza.alfarisi67@gmail.com</v>
      </c>
      <c r="E36" s="1"/>
      <c r="F36" s="1"/>
      <c r="G36" s="1"/>
      <c r="H36" s="1"/>
      <c r="I36" s="1"/>
      <c r="J36" s="1"/>
      <c r="K36" s="1"/>
      <c r="L36" s="1"/>
    </row>
    <row r="37">
      <c r="A37" s="2">
        <f>IFERROR(__xludf.DUMMYFUNCTION("""COMPUTED_VALUE"""),46053.336835532406)</f>
        <v>46053.33684</v>
      </c>
      <c r="B37" s="1" t="str">
        <f>IFERROR(__xludf.DUMMYFUNCTION("""COMPUTED_VALUE"""),"0107936085")</f>
        <v>0107936085</v>
      </c>
      <c r="C37" s="1" t="str">
        <f>IFERROR(__xludf.DUMMYFUNCTION("""COMPUTED_VALUE"""),"Hadir")</f>
        <v>Hadir</v>
      </c>
      <c r="D37" s="1" t="str">
        <f>IFERROR(__xludf.DUMMYFUNCTION("""COMPUTED_VALUE"""),"m.rizza.alfarisi67@gmail.com")</f>
        <v>m.rizza.alfarisi67@gmail.com</v>
      </c>
      <c r="E37" s="1"/>
      <c r="F37" s="1"/>
      <c r="G37" s="1"/>
      <c r="H37" s="1"/>
      <c r="I37" s="1"/>
      <c r="J37" s="1"/>
      <c r="K37" s="1"/>
      <c r="L37" s="1"/>
    </row>
    <row r="38">
      <c r="A38" s="2">
        <f>IFERROR(__xludf.DUMMYFUNCTION("""COMPUTED_VALUE"""),46053.33719096065)</f>
        <v>46053.33719</v>
      </c>
      <c r="B38" s="1" t="str">
        <f>IFERROR(__xludf.DUMMYFUNCTION("""COMPUTED_VALUE"""),"0093629282")</f>
        <v>0093629282</v>
      </c>
      <c r="C38" s="1" t="str">
        <f>IFERROR(__xludf.DUMMYFUNCTION("""COMPUTED_VALUE"""),"Hadir")</f>
        <v>Hadir</v>
      </c>
      <c r="D38" s="1" t="str">
        <f>IFERROR(__xludf.DUMMYFUNCTION("""COMPUTED_VALUE"""),"m.rizza.alfarisi67@gmail.com")</f>
        <v>m.rizza.alfarisi67@gmail.com</v>
      </c>
      <c r="E38" s="1"/>
      <c r="F38" s="1"/>
      <c r="G38" s="1"/>
      <c r="H38" s="1"/>
      <c r="I38" s="1"/>
      <c r="J38" s="1"/>
      <c r="K38" s="1"/>
      <c r="L38" s="1"/>
    </row>
    <row r="39">
      <c r="A39" s="2">
        <f>IFERROR(__xludf.DUMMYFUNCTION("""COMPUTED_VALUE"""),46053.3373521412)</f>
        <v>46053.33735</v>
      </c>
      <c r="B39" s="1">
        <f>IFERROR(__xludf.DUMMYFUNCTION("""COMPUTED_VALUE"""),3.103220251E9)</f>
        <v>3103220251</v>
      </c>
      <c r="C39" s="1" t="str">
        <f>IFERROR(__xludf.DUMMYFUNCTION("""COMPUTED_VALUE"""),"Hadir")</f>
        <v>Hadir</v>
      </c>
      <c r="D39" s="1" t="str">
        <f>IFERROR(__xludf.DUMMYFUNCTION("""COMPUTED_VALUE"""),"m.rizza.alfarisi67@gmail.com")</f>
        <v>m.rizza.alfarisi67@gmail.com</v>
      </c>
      <c r="E39" s="1"/>
      <c r="F39" s="1"/>
      <c r="G39" s="1"/>
      <c r="H39" s="1"/>
      <c r="I39" s="1"/>
      <c r="J39" s="1"/>
      <c r="K39" s="1"/>
      <c r="L39" s="1"/>
    </row>
    <row r="40">
      <c r="A40" s="2">
        <f>IFERROR(__xludf.DUMMYFUNCTION("""COMPUTED_VALUE"""),46056.26346163194)</f>
        <v>46056.26346</v>
      </c>
      <c r="B40" s="1" t="str">
        <f>IFERROR(__xludf.DUMMYFUNCTION("""COMPUTED_VALUE"""),"0082590495 / 242510008")</f>
        <v>0082590495 / 242510008</v>
      </c>
      <c r="C40" s="1" t="str">
        <f>IFERROR(__xludf.DUMMYFUNCTION("""COMPUTED_VALUE"""),"Hadir")</f>
        <v>Hadir</v>
      </c>
      <c r="D40" s="1" t="str">
        <f>IFERROR(__xludf.DUMMYFUNCTION("""COMPUTED_VALUE"""),"skycircle.id@gmail.com")</f>
        <v>skycircle.id@gmail.com</v>
      </c>
      <c r="E40" s="1"/>
      <c r="F40" s="1"/>
      <c r="G40" s="1"/>
      <c r="H40" s="1"/>
      <c r="I40" s="1"/>
      <c r="J40" s="1"/>
      <c r="K40" s="1"/>
      <c r="L40" s="1"/>
    </row>
    <row r="41">
      <c r="A41" s="2">
        <f>IFERROR(__xludf.DUMMYFUNCTION("""COMPUTED_VALUE"""),46067.69869019676)</f>
        <v>46067.69869</v>
      </c>
      <c r="B41" s="1" t="str">
        <f>IFERROR(__xludf.DUMMYFUNCTION("""COMPUTED_VALUE"""),"0094782869")</f>
        <v>0094782869</v>
      </c>
      <c r="C41" s="1" t="str">
        <f>IFERROR(__xludf.DUMMYFUNCTION("""COMPUTED_VALUE"""),"Hadir")</f>
        <v>Hadir</v>
      </c>
      <c r="D41" s="1" t="str">
        <f>IFERROR(__xludf.DUMMYFUNCTION("""COMPUTED_VALUE"""),"m.rizza.alfarisi67@gmail.com")</f>
        <v>m.rizza.alfarisi67@gmail.com</v>
      </c>
      <c r="E41" s="1"/>
      <c r="F41" s="1"/>
      <c r="G41" s="1"/>
      <c r="H41" s="1"/>
      <c r="I41" s="1"/>
      <c r="J41" s="1"/>
      <c r="K41" s="1"/>
      <c r="L41" s="1"/>
    </row>
    <row r="42">
      <c r="A42" s="2">
        <f>IFERROR(__xludf.DUMMYFUNCTION("""COMPUTED_VALUE"""),46067.69896292824)</f>
        <v>46067.69896</v>
      </c>
      <c r="B42" s="1" t="str">
        <f>IFERROR(__xludf.DUMMYFUNCTION("""COMPUTED_VALUE"""),"0093678218")</f>
        <v>0093678218</v>
      </c>
      <c r="C42" s="1" t="str">
        <f>IFERROR(__xludf.DUMMYFUNCTION("""COMPUTED_VALUE"""),"Hadir")</f>
        <v>Hadir</v>
      </c>
      <c r="D42" s="1" t="str">
        <f>IFERROR(__xludf.DUMMYFUNCTION("""COMPUTED_VALUE"""),"m.rizza.alfarisi67@gmail.com")</f>
        <v>m.rizza.alfarisi67@gmail.com</v>
      </c>
      <c r="E42" s="1"/>
      <c r="F42" s="1"/>
      <c r="G42" s="1"/>
      <c r="H42" s="1"/>
      <c r="I42" s="1"/>
      <c r="J42" s="1"/>
      <c r="K42" s="1"/>
      <c r="L42" s="1"/>
    </row>
    <row r="43">
      <c r="A43" s="2">
        <f>IFERROR(__xludf.DUMMYFUNCTION("""COMPUTED_VALUE"""),46067.699272604164)</f>
        <v>46067.69927</v>
      </c>
      <c r="B43" s="1" t="str">
        <f>IFERROR(__xludf.DUMMYFUNCTION("""COMPUTED_VALUE"""),"0093078917")</f>
        <v>0093078917</v>
      </c>
      <c r="C43" s="1" t="str">
        <f>IFERROR(__xludf.DUMMYFUNCTION("""COMPUTED_VALUE"""),"Hadir")</f>
        <v>Hadir</v>
      </c>
      <c r="D43" s="1" t="str">
        <f>IFERROR(__xludf.DUMMYFUNCTION("""COMPUTED_VALUE"""),"m.rizza.alfarisi67@gmail.com")</f>
        <v>m.rizza.alfarisi67@gmail.com</v>
      </c>
      <c r="E43" s="1"/>
      <c r="F43" s="1"/>
      <c r="G43" s="1"/>
      <c r="H43" s="1"/>
      <c r="I43" s="1"/>
      <c r="J43" s="1"/>
      <c r="K43" s="1"/>
      <c r="L43" s="1"/>
    </row>
    <row r="44">
      <c r="A44" s="2">
        <f>IFERROR(__xludf.DUMMYFUNCTION("""COMPUTED_VALUE"""),46067.69949077546)</f>
        <v>46067.69949</v>
      </c>
      <c r="B44" s="1" t="str">
        <f>IFERROR(__xludf.DUMMYFUNCTION("""COMPUTED_VALUE"""),"0105614197")</f>
        <v>0105614197</v>
      </c>
      <c r="C44" s="1" t="str">
        <f>IFERROR(__xludf.DUMMYFUNCTION("""COMPUTED_VALUE"""),"Hadir")</f>
        <v>Hadir</v>
      </c>
      <c r="D44" s="1" t="str">
        <f>IFERROR(__xludf.DUMMYFUNCTION("""COMPUTED_VALUE"""),"m.rizza.alfarisi67@gmail.com")</f>
        <v>m.rizza.alfarisi67@gmail.com</v>
      </c>
      <c r="E44" s="1"/>
      <c r="F44" s="1"/>
      <c r="G44" s="1"/>
      <c r="H44" s="1"/>
      <c r="I44" s="1"/>
      <c r="J44" s="1"/>
      <c r="K44" s="1"/>
      <c r="L44" s="1"/>
    </row>
    <row r="45">
      <c r="A45" s="2">
        <f>IFERROR(__xludf.DUMMYFUNCTION("""COMPUTED_VALUE"""),46067.69969146991)</f>
        <v>46067.69969</v>
      </c>
      <c r="B45" s="1" t="str">
        <f>IFERROR(__xludf.DUMMYFUNCTION("""COMPUTED_VALUE"""),"0095243962")</f>
        <v>0095243962</v>
      </c>
      <c r="C45" s="1" t="str">
        <f>IFERROR(__xludf.DUMMYFUNCTION("""COMPUTED_VALUE"""),"Hadir")</f>
        <v>Hadir</v>
      </c>
      <c r="D45" s="1" t="str">
        <f>IFERROR(__xludf.DUMMYFUNCTION("""COMPUTED_VALUE"""),"m.rizza.alfarisi67@gmail.com")</f>
        <v>m.rizza.alfarisi67@gmail.com</v>
      </c>
      <c r="E45" s="1"/>
      <c r="F45" s="1"/>
      <c r="G45" s="1"/>
      <c r="H45" s="1"/>
      <c r="I45" s="1"/>
      <c r="J45" s="1"/>
      <c r="K45" s="1"/>
      <c r="L45" s="1"/>
    </row>
    <row r="46">
      <c r="A46" s="2">
        <f>IFERROR(__xludf.DUMMYFUNCTION("""COMPUTED_VALUE"""),46067.70357898148)</f>
        <v>46067.70358</v>
      </c>
      <c r="B46" s="1" t="str">
        <f>IFERROR(__xludf.DUMMYFUNCTION("""COMPUTED_VALUE"""),"0093629282")</f>
        <v>0093629282</v>
      </c>
      <c r="C46" s="1" t="str">
        <f>IFERROR(__xludf.DUMMYFUNCTION("""COMPUTED_VALUE"""),"Hadir")</f>
        <v>Hadir</v>
      </c>
      <c r="D46" s="1" t="str">
        <f>IFERROR(__xludf.DUMMYFUNCTION("""COMPUTED_VALUE"""),"m.rizza.alfarisi67@gmail.com")</f>
        <v>m.rizza.alfarisi67@gmail.com</v>
      </c>
      <c r="E46" s="1"/>
      <c r="F46" s="1"/>
      <c r="G46" s="1"/>
      <c r="H46" s="1"/>
      <c r="I46" s="1"/>
      <c r="J46" s="1"/>
      <c r="K46" s="1"/>
      <c r="L46" s="1"/>
    </row>
    <row r="47">
      <c r="A47" s="2">
        <f>IFERROR(__xludf.DUMMYFUNCTION("""COMPUTED_VALUE"""),46067.71951221065)</f>
        <v>46067.71951</v>
      </c>
      <c r="B47" s="1" t="str">
        <f>IFERROR(__xludf.DUMMYFUNCTION("""COMPUTED_VALUE"""),"0097864614")</f>
        <v>0097864614</v>
      </c>
      <c r="C47" s="1" t="str">
        <f>IFERROR(__xludf.DUMMYFUNCTION("""COMPUTED_VALUE"""),"Hadir")</f>
        <v>Hadir</v>
      </c>
      <c r="D47" s="1" t="str">
        <f>IFERROR(__xludf.DUMMYFUNCTION("""COMPUTED_VALUE"""),"m.rizza.alfarisi67@gmail.com")</f>
        <v>m.rizza.alfarisi67@gmail.com</v>
      </c>
      <c r="E47" s="1"/>
      <c r="F47" s="1"/>
      <c r="G47" s="1"/>
      <c r="H47" s="1"/>
      <c r="I47" s="1"/>
      <c r="J47" s="1"/>
      <c r="K47" s="1"/>
      <c r="L47" s="1"/>
    </row>
    <row r="48">
      <c r="A48" s="2">
        <f>IFERROR(__xludf.DUMMYFUNCTION("""COMPUTED_VALUE"""),46067.76809592593)</f>
        <v>46067.7681</v>
      </c>
      <c r="B48" s="1" t="str">
        <f>IFERROR(__xludf.DUMMYFUNCTION("""COMPUTED_VALUE"""),"0099339799")</f>
        <v>0099339799</v>
      </c>
      <c r="C48" s="1" t="str">
        <f>IFERROR(__xludf.DUMMYFUNCTION("""COMPUTED_VALUE"""),"Hadir")</f>
        <v>Hadir</v>
      </c>
      <c r="D48" s="1" t="str">
        <f>IFERROR(__xludf.DUMMYFUNCTION("""COMPUTED_VALUE"""),"m.rizza.alfarisi67@gmail.com")</f>
        <v>m.rizza.alfarisi67@gmail.com</v>
      </c>
      <c r="E48" s="1"/>
      <c r="F48" s="1"/>
      <c r="G48" s="1"/>
      <c r="H48" s="1"/>
      <c r="I48" s="1"/>
      <c r="J48" s="1"/>
      <c r="K48" s="1"/>
      <c r="L48" s="1"/>
    </row>
    <row r="49">
      <c r="A49" s="2">
        <f>IFERROR(__xludf.DUMMYFUNCTION("""COMPUTED_VALUE"""),46088.31633990741)</f>
        <v>46088.31634</v>
      </c>
      <c r="B49" s="1" t="str">
        <f>IFERROR(__xludf.DUMMYFUNCTION("""COMPUTED_VALUE"""),"0083634869 / 242510301")</f>
        <v>0083634869 / 242510301</v>
      </c>
      <c r="C49" s="1" t="str">
        <f>IFERROR(__xludf.DUMMYFUNCTION("""COMPUTED_VALUE"""),"Hadir")</f>
        <v>Hadir</v>
      </c>
      <c r="D49" s="1" t="str">
        <f>IFERROR(__xludf.DUMMYFUNCTION("""COMPUTED_VALUE"""),"nadiradzra59@gmail.com")</f>
        <v>nadiradzra59@gmail.com</v>
      </c>
      <c r="E49" s="1"/>
      <c r="F49" s="1"/>
      <c r="G49" s="1"/>
      <c r="H49" s="1"/>
      <c r="I49" s="1"/>
      <c r="J49" s="1"/>
      <c r="K49" s="1"/>
      <c r="L49" s="1"/>
    </row>
    <row r="50">
      <c r="A50" s="2">
        <f>IFERROR(__xludf.DUMMYFUNCTION("""COMPUTED_VALUE"""),46088.35127903935)</f>
        <v>46088.35128</v>
      </c>
      <c r="B50" s="1" t="str">
        <f>IFERROR(__xludf.DUMMYFUNCTION("""COMPUTED_VALUE"""),"0083016159 / 242510052")</f>
        <v>0083016159 / 242510052</v>
      </c>
      <c r="C50" s="1" t="str">
        <f>IFERROR(__xludf.DUMMYFUNCTION("""COMPUTED_VALUE"""),"Hadir")</f>
        <v>Hadir</v>
      </c>
      <c r="D50" s="1" t="str">
        <f>IFERROR(__xludf.DUMMYFUNCTION("""COMPUTED_VALUE"""),"nadiradzra59@gmail.com")</f>
        <v>nadiradzra59@gmail.com</v>
      </c>
      <c r="E50" s="1"/>
      <c r="F50" s="1"/>
      <c r="G50" s="1"/>
      <c r="H50" s="1"/>
      <c r="I50" s="1"/>
      <c r="J50" s="1"/>
      <c r="K50" s="1"/>
      <c r="L50" s="1"/>
    </row>
    <row r="51">
      <c r="A51" s="2">
        <f>IFERROR(__xludf.DUMMYFUNCTION("""COMPUTED_VALUE"""),46088.351445520835)</f>
        <v>46088.35145</v>
      </c>
      <c r="B51" s="1" t="str">
        <f>IFERROR(__xludf.DUMMYFUNCTION("""COMPUTED_VALUE"""),"0099551790 / 242510296")</f>
        <v>0099551790 / 242510296</v>
      </c>
      <c r="C51" s="1" t="str">
        <f>IFERROR(__xludf.DUMMYFUNCTION("""COMPUTED_VALUE"""),"Hadir")</f>
        <v>Hadir</v>
      </c>
      <c r="D51" s="1" t="str">
        <f>IFERROR(__xludf.DUMMYFUNCTION("""COMPUTED_VALUE"""),"nadiradzra59@gmail.com")</f>
        <v>nadiradzra59@gmail.com</v>
      </c>
      <c r="E51" s="1"/>
      <c r="F51" s="1"/>
      <c r="G51" s="1"/>
      <c r="H51" s="1"/>
      <c r="I51" s="1"/>
      <c r="J51" s="1"/>
      <c r="K51" s="1"/>
      <c r="L51" s="1"/>
    </row>
    <row r="52">
      <c r="A52" s="2">
        <f>IFERROR(__xludf.DUMMYFUNCTION("""COMPUTED_VALUE"""),46088.367610925925)</f>
        <v>46088.36761</v>
      </c>
      <c r="B52" s="1" t="str">
        <f>IFERROR(__xludf.DUMMYFUNCTION("""COMPUTED_VALUE"""),"0096383417 / 242510089")</f>
        <v>0096383417 / 242510089</v>
      </c>
      <c r="C52" s="1" t="str">
        <f>IFERROR(__xludf.DUMMYFUNCTION("""COMPUTED_VALUE"""),"Hadir")</f>
        <v>Hadir</v>
      </c>
      <c r="D52" s="1" t="str">
        <f>IFERROR(__xludf.DUMMYFUNCTION("""COMPUTED_VALUE"""),"nadiradzra59@gmail.com")</f>
        <v>nadiradzra59@gmail.com</v>
      </c>
      <c r="E52" s="1"/>
      <c r="F52" s="1"/>
      <c r="G52" s="1"/>
      <c r="H52" s="1"/>
      <c r="I52" s="1"/>
      <c r="J52" s="1"/>
      <c r="K52" s="1"/>
      <c r="L52" s="1"/>
    </row>
    <row r="53">
      <c r="A53" s="2">
        <f>IFERROR(__xludf.DUMMYFUNCTION("""COMPUTED_VALUE"""),46088.379513912034)</f>
        <v>46088.37951</v>
      </c>
      <c r="B53" s="1" t="str">
        <f>IFERROR(__xludf.DUMMYFUNCTION("""COMPUTED_VALUE"""),"0106443881 / 252610247")</f>
        <v>0106443881 / 252610247</v>
      </c>
      <c r="C53" s="1" t="str">
        <f>IFERROR(__xludf.DUMMYFUNCTION("""COMPUTED_VALUE"""),"Hadir")</f>
        <v>Hadir</v>
      </c>
      <c r="D53" s="1" t="str">
        <f>IFERROR(__xludf.DUMMYFUNCTION("""COMPUTED_VALUE"""),"zhafirafathinilmira@gmail.com")</f>
        <v>zhafirafathinilmira@gmail.com</v>
      </c>
      <c r="E53" s="1"/>
      <c r="F53" s="1"/>
      <c r="G53" s="1"/>
      <c r="H53" s="1"/>
      <c r="I53" s="1"/>
      <c r="J53" s="1"/>
      <c r="K53" s="1"/>
      <c r="L53" s="1"/>
    </row>
    <row r="54">
      <c r="A54" s="2">
        <f>IFERROR(__xludf.DUMMYFUNCTION("""COMPUTED_VALUE"""),46088.38029901621)</f>
        <v>46088.3803</v>
      </c>
      <c r="B54" s="1" t="str">
        <f>IFERROR(__xludf.DUMMYFUNCTION("""COMPUTED_VALUE"""),"0104716348 / 252610386")</f>
        <v>0104716348 / 252610386</v>
      </c>
      <c r="C54" s="1" t="str">
        <f>IFERROR(__xludf.DUMMYFUNCTION("""COMPUTED_VALUE"""),"Hadir")</f>
        <v>Hadir</v>
      </c>
      <c r="D54" s="1" t="str">
        <f>IFERROR(__xludf.DUMMYFUNCTION("""COMPUTED_VALUE"""),"zhafirafathinilmira@gmail.com")</f>
        <v>zhafirafathinilmira@gmail.com</v>
      </c>
      <c r="E54" s="1"/>
      <c r="F54" s="1"/>
      <c r="G54" s="1"/>
      <c r="H54" s="1"/>
      <c r="I54" s="1"/>
      <c r="J54" s="1"/>
      <c r="K54" s="1"/>
      <c r="L54" s="1"/>
    </row>
    <row r="55">
      <c r="A55" s="2">
        <f>IFERROR(__xludf.DUMMYFUNCTION("""COMPUTED_VALUE"""),46088.41532346065)</f>
        <v>46088.41532</v>
      </c>
      <c r="B55" s="1" t="str">
        <f>IFERROR(__xludf.DUMMYFUNCTION("""COMPUTED_VALUE"""),"0107425879 / 252610191")</f>
        <v>0107425879 / 252610191</v>
      </c>
      <c r="C55" s="1" t="str">
        <f>IFERROR(__xludf.DUMMYFUNCTION("""COMPUTED_VALUE"""),"Hadir")</f>
        <v>Hadir</v>
      </c>
      <c r="D55" s="1" t="str">
        <f>IFERROR(__xludf.DUMMYFUNCTION("""COMPUTED_VALUE"""),"ukhtfatayah@gmail.com")</f>
        <v>ukhtfatayah@gmail.com</v>
      </c>
      <c r="E55" s="1"/>
      <c r="F55" s="1"/>
      <c r="G55" s="1"/>
      <c r="H55" s="1"/>
      <c r="I55" s="1"/>
      <c r="J55" s="1"/>
      <c r="K55" s="1"/>
      <c r="L55" s="1"/>
    </row>
    <row r="56">
      <c r="A56" s="2">
        <f>IFERROR(__xludf.DUMMYFUNCTION("""COMPUTED_VALUE"""),46088.41560583333)</f>
        <v>46088.41561</v>
      </c>
      <c r="B56" s="1" t="str">
        <f>IFERROR(__xludf.DUMMYFUNCTION("""COMPUTED_VALUE"""),"0106545857 / 252610173")</f>
        <v>0106545857 / 252610173</v>
      </c>
      <c r="C56" s="1" t="str">
        <f>IFERROR(__xludf.DUMMYFUNCTION("""COMPUTED_VALUE"""),"Hadir")</f>
        <v>Hadir</v>
      </c>
      <c r="D56" s="1" t="str">
        <f>IFERROR(__xludf.DUMMYFUNCTION("""COMPUTED_VALUE"""),"ukhtfatayah@gmail.com")</f>
        <v>ukhtfatayah@gmail.com</v>
      </c>
      <c r="E56" s="1"/>
      <c r="F56" s="1"/>
      <c r="G56" s="1"/>
      <c r="H56" s="1"/>
      <c r="I56" s="1"/>
      <c r="J56" s="1"/>
      <c r="K56" s="1"/>
      <c r="L56" s="1"/>
    </row>
    <row r="57">
      <c r="A57" s="2">
        <f>IFERROR(__xludf.DUMMYFUNCTION("""COMPUTED_VALUE"""),46088.41588554398)</f>
        <v>46088.41589</v>
      </c>
      <c r="B57" s="1" t="str">
        <f>IFERROR(__xludf.DUMMYFUNCTION("""COMPUTED_VALUE"""),"0104595564 / 252610233")</f>
        <v>0104595564 / 252610233</v>
      </c>
      <c r="C57" s="1" t="str">
        <f>IFERROR(__xludf.DUMMYFUNCTION("""COMPUTED_VALUE"""),"Hadir")</f>
        <v>Hadir</v>
      </c>
      <c r="D57" s="1" t="str">
        <f>IFERROR(__xludf.DUMMYFUNCTION("""COMPUTED_VALUE"""),"ukhtfatayah@gmail.com")</f>
        <v>ukhtfatayah@gmail.com</v>
      </c>
      <c r="E57" s="1"/>
      <c r="F57" s="1"/>
      <c r="G57" s="1"/>
      <c r="H57" s="1"/>
      <c r="I57" s="1"/>
      <c r="J57" s="1"/>
      <c r="K57" s="1"/>
      <c r="L57" s="1"/>
    </row>
    <row r="58">
      <c r="A58" s="2">
        <f>IFERROR(__xludf.DUMMYFUNCTION("""COMPUTED_VALUE"""),46088.416134548606)</f>
        <v>46088.41613</v>
      </c>
      <c r="B58" s="1" t="str">
        <f>IFERROR(__xludf.DUMMYFUNCTION("""COMPUTED_VALUE"""),"0109267722 / 252610260")</f>
        <v>0109267722 / 252610260</v>
      </c>
      <c r="C58" s="1" t="str">
        <f>IFERROR(__xludf.DUMMYFUNCTION("""COMPUTED_VALUE"""),"Hadir")</f>
        <v>Hadir</v>
      </c>
      <c r="D58" s="1" t="str">
        <f>IFERROR(__xludf.DUMMYFUNCTION("""COMPUTED_VALUE"""),"ukhtfatayah@gmail.com")</f>
        <v>ukhtfatayah@gmail.com</v>
      </c>
      <c r="E58" s="1"/>
      <c r="F58" s="1"/>
      <c r="G58" s="1"/>
      <c r="H58" s="1"/>
      <c r="I58" s="1"/>
      <c r="J58" s="1"/>
      <c r="K58" s="1"/>
      <c r="L58" s="1"/>
    </row>
    <row r="59">
      <c r="A59" s="2">
        <f>IFERROR(__xludf.DUMMYFUNCTION("""COMPUTED_VALUE"""),46088.41644166667)</f>
        <v>46088.41644</v>
      </c>
      <c r="B59" s="1" t="str">
        <f>IFERROR(__xludf.DUMMYFUNCTION("""COMPUTED_VALUE"""),"0104987304 / 252610216")</f>
        <v>0104987304 / 252610216</v>
      </c>
      <c r="C59" s="1" t="str">
        <f>IFERROR(__xludf.DUMMYFUNCTION("""COMPUTED_VALUE"""),"Hadir")</f>
        <v>Hadir</v>
      </c>
      <c r="D59" s="1" t="str">
        <f>IFERROR(__xludf.DUMMYFUNCTION("""COMPUTED_VALUE"""),"ukhtfatayah@gmail.com")</f>
        <v>ukhtfatayah@gmail.com</v>
      </c>
      <c r="E59" s="1"/>
      <c r="F59" s="1"/>
      <c r="G59" s="1"/>
      <c r="H59" s="1"/>
      <c r="I59" s="1"/>
      <c r="J59" s="1"/>
      <c r="K59" s="1"/>
      <c r="L59" s="1"/>
    </row>
    <row r="60">
      <c r="A60" s="2">
        <f>IFERROR(__xludf.DUMMYFUNCTION("""COMPUTED_VALUE"""),46088.417997488425)</f>
        <v>46088.418</v>
      </c>
      <c r="B60" s="1" t="str">
        <f>IFERROR(__xludf.DUMMYFUNCTION("""COMPUTED_VALUE"""),"0106758481 / 252610064")</f>
        <v>0106758481 / 252610064</v>
      </c>
      <c r="C60" s="1" t="str">
        <f>IFERROR(__xludf.DUMMYFUNCTION("""COMPUTED_VALUE"""),"Hadir")</f>
        <v>Hadir</v>
      </c>
      <c r="D60" s="1" t="str">
        <f>IFERROR(__xludf.DUMMYFUNCTION("""COMPUTED_VALUE"""),"shafaananda20@gmail.com")</f>
        <v>shafaananda20@gmail.com</v>
      </c>
      <c r="E60" s="1"/>
      <c r="F60" s="1"/>
      <c r="G60" s="1"/>
      <c r="H60" s="1"/>
      <c r="I60" s="1"/>
      <c r="J60" s="1"/>
      <c r="K60" s="1"/>
      <c r="L60" s="1"/>
    </row>
    <row r="61">
      <c r="A61" s="2">
        <f>IFERROR(__xludf.DUMMYFUNCTION("""COMPUTED_VALUE"""),46088.41823737268)</f>
        <v>46088.41824</v>
      </c>
      <c r="B61" s="1" t="str">
        <f>IFERROR(__xludf.DUMMYFUNCTION("""COMPUTED_VALUE"""),"3096764634 / 252610025")</f>
        <v>3096764634 / 252610025</v>
      </c>
      <c r="C61" s="1" t="str">
        <f>IFERROR(__xludf.DUMMYFUNCTION("""COMPUTED_VALUE"""),"Hadir")</f>
        <v>Hadir</v>
      </c>
      <c r="D61" s="1" t="str">
        <f>IFERROR(__xludf.DUMMYFUNCTION("""COMPUTED_VALUE"""),"shafaananda20@gmail.com")</f>
        <v>shafaananda20@gmail.com</v>
      </c>
      <c r="E61" s="1"/>
      <c r="F61" s="1"/>
      <c r="G61" s="1"/>
      <c r="H61" s="1"/>
      <c r="I61" s="1"/>
      <c r="J61" s="1"/>
      <c r="K61" s="1"/>
      <c r="L61" s="1"/>
    </row>
    <row r="62">
      <c r="A62" s="2">
        <f>IFERROR(__xludf.DUMMYFUNCTION("""COMPUTED_VALUE"""),46088.41842361111)</f>
        <v>46088.41842</v>
      </c>
      <c r="B62" s="1" t="str">
        <f>IFERROR(__xludf.DUMMYFUNCTION("""COMPUTED_VALUE"""),"0096544983 / 252610268")</f>
        <v>0096544983 / 252610268</v>
      </c>
      <c r="C62" s="1" t="str">
        <f>IFERROR(__xludf.DUMMYFUNCTION("""COMPUTED_VALUE"""),"Hadir")</f>
        <v>Hadir</v>
      </c>
      <c r="D62" s="1" t="str">
        <f>IFERROR(__xludf.DUMMYFUNCTION("""COMPUTED_VALUE"""),"shafaananda20@gmail.com")</f>
        <v>shafaananda20@gmail.com</v>
      </c>
      <c r="E62" s="1"/>
      <c r="F62" s="1"/>
      <c r="G62" s="1"/>
      <c r="H62" s="1"/>
      <c r="I62" s="1"/>
      <c r="J62" s="1"/>
      <c r="K62" s="1"/>
      <c r="L62" s="1"/>
    </row>
    <row r="63">
      <c r="A63" s="2">
        <f>IFERROR(__xludf.DUMMYFUNCTION("""COMPUTED_VALUE"""),46088.41862383102)</f>
        <v>46088.41862</v>
      </c>
      <c r="B63" s="1" t="str">
        <f>IFERROR(__xludf.DUMMYFUNCTION("""COMPUTED_VALUE"""),"0099164493 / 252610156")</f>
        <v>0099164493 / 252610156</v>
      </c>
      <c r="C63" s="1" t="str">
        <f>IFERROR(__xludf.DUMMYFUNCTION("""COMPUTED_VALUE"""),"Hadir")</f>
        <v>Hadir</v>
      </c>
      <c r="D63" s="1" t="str">
        <f>IFERROR(__xludf.DUMMYFUNCTION("""COMPUTED_VALUE"""),"shafaananda20@gmail.com")</f>
        <v>shafaananda20@gmail.com</v>
      </c>
      <c r="E63" s="1"/>
      <c r="F63" s="1"/>
      <c r="G63" s="1"/>
      <c r="H63" s="1"/>
      <c r="I63" s="1"/>
      <c r="J63" s="1"/>
      <c r="K63" s="1"/>
      <c r="L63" s="1"/>
    </row>
    <row r="64">
      <c r="A64" s="2">
        <f>IFERROR(__xludf.DUMMYFUNCTION("""COMPUTED_VALUE"""),46088.4187890625)</f>
        <v>46088.41879</v>
      </c>
      <c r="B64" s="1" t="str">
        <f>IFERROR(__xludf.DUMMYFUNCTION("""COMPUTED_VALUE"""),"0106222604 / 252610254")</f>
        <v>0106222604 / 252610254</v>
      </c>
      <c r="C64" s="1" t="str">
        <f>IFERROR(__xludf.DUMMYFUNCTION("""COMPUTED_VALUE"""),"Hadir")</f>
        <v>Hadir</v>
      </c>
      <c r="D64" s="1" t="str">
        <f>IFERROR(__xludf.DUMMYFUNCTION("""COMPUTED_VALUE"""),"shafaananda20@gmail.com")</f>
        <v>shafaananda20@gmail.com</v>
      </c>
      <c r="E64" s="1"/>
      <c r="F64" s="1"/>
      <c r="G64" s="1"/>
      <c r="H64" s="1"/>
      <c r="I64" s="1"/>
      <c r="J64" s="1"/>
      <c r="K64" s="1"/>
      <c r="L64" s="1"/>
    </row>
    <row r="65">
      <c r="A65" s="2">
        <f>IFERROR(__xludf.DUMMYFUNCTION("""COMPUTED_VALUE"""),46088.44027518519)</f>
        <v>46088.44028</v>
      </c>
      <c r="B65" s="1" t="str">
        <f>IFERROR(__xludf.DUMMYFUNCTION("""COMPUTED_VALUE"""),"3104617391 / 252610153")</f>
        <v>3104617391 / 252610153</v>
      </c>
      <c r="C65" s="1" t="str">
        <f>IFERROR(__xludf.DUMMYFUNCTION("""COMPUTED_VALUE"""),"Hadir")</f>
        <v>Hadir</v>
      </c>
      <c r="D65" s="1" t="str">
        <f>IFERROR(__xludf.DUMMYFUNCTION("""COMPUTED_VALUE"""),"raniadila17@gmail.com")</f>
        <v>raniadila17@gmail.com</v>
      </c>
      <c r="E65" s="1"/>
      <c r="F65" s="1"/>
      <c r="G65" s="1"/>
      <c r="H65" s="1"/>
      <c r="I65" s="1"/>
      <c r="J65" s="1"/>
      <c r="K65" s="1"/>
      <c r="L65" s="1"/>
    </row>
    <row r="66">
      <c r="A66" s="2">
        <f>IFERROR(__xludf.DUMMYFUNCTION("""COMPUTED_VALUE"""),46088.44066633102)</f>
        <v>46088.44067</v>
      </c>
      <c r="B66" s="1" t="str">
        <f>IFERROR(__xludf.DUMMYFUNCTION("""COMPUTED_VALUE"""),"0092794157 / 252610139")</f>
        <v>0092794157 / 252610139</v>
      </c>
      <c r="C66" s="1" t="str">
        <f>IFERROR(__xludf.DUMMYFUNCTION("""COMPUTED_VALUE"""),"Hadir")</f>
        <v>Hadir</v>
      </c>
      <c r="D66" s="1" t="str">
        <f>IFERROR(__xludf.DUMMYFUNCTION("""COMPUTED_VALUE"""),"raniadila17@gmail.com")</f>
        <v>raniadila17@gmail.com</v>
      </c>
      <c r="E66" s="1"/>
      <c r="F66" s="1"/>
      <c r="G66" s="1"/>
      <c r="H66" s="1"/>
      <c r="I66" s="1"/>
      <c r="J66" s="1"/>
      <c r="K66" s="1"/>
      <c r="L66" s="1"/>
    </row>
    <row r="67">
      <c r="A67" s="2">
        <f>IFERROR(__xludf.DUMMYFUNCTION("""COMPUTED_VALUE"""),46088.44280240741)</f>
        <v>46088.4428</v>
      </c>
      <c r="B67" s="1" t="str">
        <f>IFERROR(__xludf.DUMMYFUNCTION("""COMPUTED_VALUE"""),"0107691976 / 252610255")</f>
        <v>0107691976 / 252610255</v>
      </c>
      <c r="C67" s="1" t="str">
        <f>IFERROR(__xludf.DUMMYFUNCTION("""COMPUTED_VALUE"""),"Hadir")</f>
        <v>Hadir</v>
      </c>
      <c r="D67" s="1" t="str">
        <f>IFERROR(__xludf.DUMMYFUNCTION("""COMPUTED_VALUE"""),"kayyisaharsyila5@gmail.com")</f>
        <v>kayyisaharsyila5@gmail.com</v>
      </c>
      <c r="E67" s="1"/>
      <c r="F67" s="1"/>
      <c r="G67" s="1"/>
      <c r="H67" s="1"/>
      <c r="I67" s="1"/>
      <c r="J67" s="1"/>
      <c r="K67" s="1"/>
      <c r="L67" s="1"/>
    </row>
    <row r="68">
      <c r="A68" s="2">
        <f>IFERROR(__xludf.DUMMYFUNCTION("""COMPUTED_VALUE"""),46088.45835059028)</f>
        <v>46088.45835</v>
      </c>
      <c r="B68" s="1" t="str">
        <f>IFERROR(__xludf.DUMMYFUNCTION("""COMPUTED_VALUE"""),"0098938532 / 252610392")</f>
        <v>0098938532 / 252610392</v>
      </c>
      <c r="C68" s="1" t="str">
        <f>IFERROR(__xludf.DUMMYFUNCTION("""COMPUTED_VALUE"""),"Hadir")</f>
        <v>Hadir</v>
      </c>
      <c r="D68" s="1" t="str">
        <f>IFERROR(__xludf.DUMMYFUNCTION("""COMPUTED_VALUE"""),"kayyisaharsyila5@gmail.com")</f>
        <v>kayyisaharsyila5@gmail.com</v>
      </c>
      <c r="E68" s="1"/>
      <c r="F68" s="1"/>
      <c r="G68" s="1"/>
      <c r="H68" s="1"/>
      <c r="I68" s="1"/>
      <c r="J68" s="1"/>
      <c r="K68" s="1"/>
      <c r="L68" s="1"/>
    </row>
    <row r="69">
      <c r="A69" s="2">
        <f>IFERROR(__xludf.DUMMYFUNCTION("""COMPUTED_VALUE"""),46088.45851863426)</f>
        <v>46088.45852</v>
      </c>
      <c r="B69" s="1" t="str">
        <f>IFERROR(__xludf.DUMMYFUNCTION("""COMPUTED_VALUE"""),"0105918833 / 252610321")</f>
        <v>0105918833 / 252610321</v>
      </c>
      <c r="C69" s="1" t="str">
        <f>IFERROR(__xludf.DUMMYFUNCTION("""COMPUTED_VALUE"""),"Hadir")</f>
        <v>Hadir</v>
      </c>
      <c r="D69" s="1" t="str">
        <f>IFERROR(__xludf.DUMMYFUNCTION("""COMPUTED_VALUE"""),"kayyisaharsyila5@gmail.com")</f>
        <v>kayyisaharsyila5@gmail.com</v>
      </c>
      <c r="E69" s="1"/>
      <c r="F69" s="1"/>
      <c r="G69" s="1"/>
      <c r="H69" s="1"/>
      <c r="I69" s="1"/>
      <c r="J69" s="1"/>
      <c r="K69" s="1"/>
      <c r="L69" s="1"/>
    </row>
    <row r="70">
      <c r="A70" s="2">
        <f>IFERROR(__xludf.DUMMYFUNCTION("""COMPUTED_VALUE"""),46088.4586400463)</f>
        <v>46088.45864</v>
      </c>
      <c r="B70" s="1" t="str">
        <f>IFERROR(__xludf.DUMMYFUNCTION("""COMPUTED_VALUE"""),"0109599363 / 252610444")</f>
        <v>0109599363 / 252610444</v>
      </c>
      <c r="C70" s="1" t="str">
        <f>IFERROR(__xludf.DUMMYFUNCTION("""COMPUTED_VALUE"""),"Hadir")</f>
        <v>Hadir</v>
      </c>
      <c r="D70" s="1" t="str">
        <f>IFERROR(__xludf.DUMMYFUNCTION("""COMPUTED_VALUE"""),"kayyisaharsyila5@gmail.com")</f>
        <v>kayyisaharsyila5@gmail.com</v>
      </c>
      <c r="E70" s="1"/>
      <c r="F70" s="1"/>
      <c r="G70" s="1"/>
      <c r="H70" s="1"/>
      <c r="I70" s="1"/>
      <c r="J70" s="1"/>
      <c r="K70" s="1"/>
      <c r="L70" s="1"/>
    </row>
    <row r="71">
      <c r="A71" s="2">
        <f>IFERROR(__xludf.DUMMYFUNCTION("""COMPUTED_VALUE"""),46088.45876891204)</f>
        <v>46088.45877</v>
      </c>
      <c r="B71" s="1" t="str">
        <f>IFERROR(__xludf.DUMMYFUNCTION("""COMPUTED_VALUE"""),"0105803552 / 252610420")</f>
        <v>0105803552 / 252610420</v>
      </c>
      <c r="C71" s="1" t="str">
        <f>IFERROR(__xludf.DUMMYFUNCTION("""COMPUTED_VALUE"""),"Hadir")</f>
        <v>Hadir</v>
      </c>
      <c r="D71" s="1" t="str">
        <f>IFERROR(__xludf.DUMMYFUNCTION("""COMPUTED_VALUE"""),"kayyisaharsyila5@gmail.com")</f>
        <v>kayyisaharsyila5@gmail.com</v>
      </c>
      <c r="E71" s="1"/>
      <c r="F71" s="1"/>
      <c r="G71" s="1"/>
      <c r="H71" s="1"/>
      <c r="I71" s="1"/>
      <c r="J71" s="1"/>
      <c r="K71" s="1"/>
      <c r="L71" s="1"/>
    </row>
    <row r="72">
      <c r="A72" s="2">
        <f>IFERROR(__xludf.DUMMYFUNCTION("""COMPUTED_VALUE"""),46088.45902709491)</f>
        <v>46088.45903</v>
      </c>
      <c r="B72" s="1" t="str">
        <f>IFERROR(__xludf.DUMMYFUNCTION("""COMPUTED_VALUE"""),"0107357472 / 252610522")</f>
        <v>0107357472 / 252610522</v>
      </c>
      <c r="C72" s="1" t="str">
        <f>IFERROR(__xludf.DUMMYFUNCTION("""COMPUTED_VALUE"""),"Hadir")</f>
        <v>Hadir</v>
      </c>
      <c r="D72" s="1" t="str">
        <f>IFERROR(__xludf.DUMMYFUNCTION("""COMPUTED_VALUE"""),"kayyisaharsyila5@gmail.com")</f>
        <v>kayyisaharsyila5@gmail.com</v>
      </c>
      <c r="E72" s="1"/>
      <c r="F72" s="1"/>
      <c r="G72" s="1"/>
      <c r="H72" s="1"/>
      <c r="I72" s="1"/>
      <c r="J72" s="1"/>
      <c r="K72" s="1"/>
      <c r="L72" s="1"/>
    </row>
    <row r="73">
      <c r="A73" s="2">
        <f>IFERROR(__xludf.DUMMYFUNCTION("""COMPUTED_VALUE"""),46088.46144834491)</f>
        <v>46088.46145</v>
      </c>
      <c r="B73" s="1" t="str">
        <f>IFERROR(__xludf.DUMMYFUNCTION("""COMPUTED_VALUE"""),"0105961239 / 252610413")</f>
        <v>0105961239 / 252610413</v>
      </c>
      <c r="C73" s="1" t="str">
        <f>IFERROR(__xludf.DUMMYFUNCTION("""COMPUTED_VALUE"""),"Hadir")</f>
        <v>Hadir</v>
      </c>
      <c r="D73" s="1" t="str">
        <f>IFERROR(__xludf.DUMMYFUNCTION("""COMPUTED_VALUE"""),"kayyisaharsyila5@gmail.com")</f>
        <v>kayyisaharsyila5@gmail.com</v>
      </c>
      <c r="E73" s="1"/>
      <c r="F73" s="1"/>
      <c r="G73" s="1"/>
      <c r="H73" s="1"/>
      <c r="I73" s="1"/>
      <c r="J73" s="1"/>
      <c r="K73" s="1"/>
      <c r="L73" s="1"/>
    </row>
    <row r="74">
      <c r="A74" s="2">
        <f>IFERROR(__xludf.DUMMYFUNCTION("""COMPUTED_VALUE"""),46088.47230341435)</f>
        <v>46088.4723</v>
      </c>
      <c r="B74" s="1" t="str">
        <f>IFERROR(__xludf.DUMMYFUNCTION("""COMPUTED_VALUE"""),"3109348901 / 252610395")</f>
        <v>3109348901 / 252610395</v>
      </c>
      <c r="C74" s="1" t="str">
        <f>IFERROR(__xludf.DUMMYFUNCTION("""COMPUTED_VALUE"""),"Hadir")</f>
        <v>Hadir</v>
      </c>
      <c r="D74" s="1" t="str">
        <f>IFERROR(__xludf.DUMMYFUNCTION("""COMPUTED_VALUE"""),"kayyisaharsyila5@gmail.com")</f>
        <v>kayyisaharsyila5@gmail.com</v>
      </c>
      <c r="E74" s="1"/>
      <c r="F74" s="1"/>
      <c r="G74" s="1"/>
      <c r="H74" s="1"/>
      <c r="I74" s="1"/>
      <c r="J74" s="1"/>
      <c r="K74" s="1"/>
      <c r="L74" s="1"/>
    </row>
    <row r="75">
      <c r="A75" s="2">
        <f>IFERROR(__xludf.DUMMYFUNCTION("""COMPUTED_VALUE"""),46088.48852387731)</f>
        <v>46088.48852</v>
      </c>
      <c r="B75" s="1" t="str">
        <f>IFERROR(__xludf.DUMMYFUNCTION("""COMPUTED_VALUE"""),"0098248691 / 252610168")</f>
        <v>0098248691 / 252610168</v>
      </c>
      <c r="C75" s="1" t="str">
        <f>IFERROR(__xludf.DUMMYFUNCTION("""COMPUTED_VALUE"""),"Hadir")</f>
        <v>Hadir</v>
      </c>
      <c r="D75" s="1" t="str">
        <f>IFERROR(__xludf.DUMMYFUNCTION("""COMPUTED_VALUE"""),"rhnrra@gmail.com")</f>
        <v>rhnrra@gmail.com</v>
      </c>
      <c r="E75" s="1"/>
      <c r="F75" s="1"/>
      <c r="G75" s="1"/>
      <c r="H75" s="1"/>
      <c r="I75" s="1"/>
      <c r="J75" s="1"/>
      <c r="K75" s="1"/>
      <c r="L75" s="1"/>
    </row>
    <row r="76">
      <c r="A76" s="2">
        <f>IFERROR(__xludf.DUMMYFUNCTION("""COMPUTED_VALUE"""),46088.48898403935)</f>
        <v>46088.48898</v>
      </c>
      <c r="B76" s="1" t="str">
        <f>IFERROR(__xludf.DUMMYFUNCTION("""COMPUTED_VALUE"""),"0105616025 / 252610169")</f>
        <v>0105616025 / 252610169</v>
      </c>
      <c r="C76" s="1" t="str">
        <f>IFERROR(__xludf.DUMMYFUNCTION("""COMPUTED_VALUE"""),"Hadir")</f>
        <v>Hadir</v>
      </c>
      <c r="D76" s="1" t="str">
        <f>IFERROR(__xludf.DUMMYFUNCTION("""COMPUTED_VALUE"""),"rhnrra@gmail.com")</f>
        <v>rhnrra@gmail.com</v>
      </c>
      <c r="E76" s="1"/>
      <c r="F76" s="1"/>
      <c r="G76" s="1"/>
      <c r="H76" s="1"/>
      <c r="I76" s="1"/>
      <c r="J76" s="1"/>
      <c r="K76" s="1"/>
      <c r="L76" s="1"/>
    </row>
    <row r="77">
      <c r="A77" s="2">
        <f>IFERROR(__xludf.DUMMYFUNCTION("""COMPUTED_VALUE"""),46088.489387152775)</f>
        <v>46088.48939</v>
      </c>
      <c r="B77" s="1" t="str">
        <f>IFERROR(__xludf.DUMMYFUNCTION("""COMPUTED_VALUE"""),"0102329313 / 252610222")</f>
        <v>0102329313 / 252610222</v>
      </c>
      <c r="C77" s="1" t="str">
        <f>IFERROR(__xludf.DUMMYFUNCTION("""COMPUTED_VALUE"""),"Hadir")</f>
        <v>Hadir</v>
      </c>
      <c r="D77" s="1" t="str">
        <f>IFERROR(__xludf.DUMMYFUNCTION("""COMPUTED_VALUE"""),"rhnrra@gmail.com")</f>
        <v>rhnrra@gmail.com</v>
      </c>
      <c r="E77" s="1"/>
      <c r="F77" s="1"/>
      <c r="G77" s="1"/>
      <c r="H77" s="1"/>
      <c r="I77" s="1"/>
      <c r="J77" s="1"/>
      <c r="K77" s="1"/>
      <c r="L77" s="1"/>
    </row>
    <row r="78">
      <c r="A78" s="2">
        <f>IFERROR(__xludf.DUMMYFUNCTION("""COMPUTED_VALUE"""),46088.489899374996)</f>
        <v>46088.4899</v>
      </c>
      <c r="B78" s="1" t="str">
        <f>IFERROR(__xludf.DUMMYFUNCTION("""COMPUTED_VALUE"""),"0093849649 / 252610234")</f>
        <v>0093849649 / 252610234</v>
      </c>
      <c r="C78" s="1" t="str">
        <f>IFERROR(__xludf.DUMMYFUNCTION("""COMPUTED_VALUE"""),"Hadir")</f>
        <v>Hadir</v>
      </c>
      <c r="D78" s="1" t="str">
        <f>IFERROR(__xludf.DUMMYFUNCTION("""COMPUTED_VALUE"""),"rhnrra@gmail.com")</f>
        <v>rhnrra@gmail.com</v>
      </c>
      <c r="E78" s="1"/>
      <c r="F78" s="1"/>
      <c r="G78" s="1"/>
      <c r="H78" s="1"/>
      <c r="I78" s="1"/>
      <c r="J78" s="1"/>
      <c r="K78" s="1"/>
      <c r="L78" s="1"/>
    </row>
    <row r="79">
      <c r="A79" s="2">
        <f>IFERROR(__xludf.DUMMYFUNCTION("""COMPUTED_VALUE"""),46088.490528159724)</f>
        <v>46088.49053</v>
      </c>
      <c r="B79" s="1" t="str">
        <f>IFERROR(__xludf.DUMMYFUNCTION("""COMPUTED_VALUE"""),"0104574006 / 252610262")</f>
        <v>0104574006 / 252610262</v>
      </c>
      <c r="C79" s="1" t="str">
        <f>IFERROR(__xludf.DUMMYFUNCTION("""COMPUTED_VALUE"""),"Hadir")</f>
        <v>Hadir</v>
      </c>
      <c r="D79" s="1" t="str">
        <f>IFERROR(__xludf.DUMMYFUNCTION("""COMPUTED_VALUE"""),"rhnrra@gmail.com")</f>
        <v>rhnrra@gmail.com</v>
      </c>
      <c r="E79" s="1"/>
      <c r="F79" s="1"/>
      <c r="G79" s="1"/>
      <c r="H79" s="1"/>
      <c r="I79" s="1"/>
      <c r="J79" s="1"/>
      <c r="K79" s="1"/>
      <c r="L79" s="1"/>
    </row>
    <row r="80">
      <c r="A80" s="2">
        <f>IFERROR(__xludf.DUMMYFUNCTION("""COMPUTED_VALUE"""),46088.49133152778)</f>
        <v>46088.49133</v>
      </c>
      <c r="B80" s="1" t="str">
        <f>IFERROR(__xludf.DUMMYFUNCTION("""COMPUTED_VALUE"""),"0108389311 / 252610037")</f>
        <v>0108389311 / 252610037</v>
      </c>
      <c r="C80" s="1" t="str">
        <f>IFERROR(__xludf.DUMMYFUNCTION("""COMPUTED_VALUE"""),"Hadir")</f>
        <v>Hadir</v>
      </c>
      <c r="D80" s="1" t="str">
        <f>IFERROR(__xludf.DUMMYFUNCTION("""COMPUTED_VALUE"""),"rhnrra@gmail.com")</f>
        <v>rhnrra@gmail.com</v>
      </c>
      <c r="E80" s="1"/>
      <c r="F80" s="1"/>
      <c r="G80" s="1"/>
      <c r="H80" s="1"/>
      <c r="I80" s="1"/>
      <c r="J80" s="1"/>
      <c r="K80" s="1"/>
      <c r="L80" s="1"/>
    </row>
    <row r="81">
      <c r="A81" s="2">
        <f>IFERROR(__xludf.DUMMYFUNCTION("""COMPUTED_VALUE"""),46088.49171324074)</f>
        <v>46088.49171</v>
      </c>
      <c r="B81" s="1" t="str">
        <f>IFERROR(__xludf.DUMMYFUNCTION("""COMPUTED_VALUE"""),"0097357764 / 252610054")</f>
        <v>0097357764 / 252610054</v>
      </c>
      <c r="C81" s="1" t="str">
        <f>IFERROR(__xludf.DUMMYFUNCTION("""COMPUTED_VALUE"""),"Hadir")</f>
        <v>Hadir</v>
      </c>
      <c r="D81" s="1" t="str">
        <f>IFERROR(__xludf.DUMMYFUNCTION("""COMPUTED_VALUE"""),"rhnrra@gmail.com")</f>
        <v>rhnrra@gmail.com</v>
      </c>
      <c r="E81" s="1"/>
      <c r="F81" s="1"/>
      <c r="G81" s="1"/>
      <c r="H81" s="1"/>
      <c r="I81" s="1"/>
      <c r="J81" s="1"/>
      <c r="K81" s="1"/>
      <c r="L81" s="1"/>
    </row>
    <row r="82">
      <c r="A82" s="2">
        <f>IFERROR(__xludf.DUMMYFUNCTION("""COMPUTED_VALUE"""),46088.49210314815)</f>
        <v>46088.4921</v>
      </c>
      <c r="B82" s="1" t="str">
        <f>IFERROR(__xludf.DUMMYFUNCTION("""COMPUTED_VALUE"""),"0104895570 / 252610099")</f>
        <v>0104895570 / 252610099</v>
      </c>
      <c r="C82" s="1" t="str">
        <f>IFERROR(__xludf.DUMMYFUNCTION("""COMPUTED_VALUE"""),"Hadir")</f>
        <v>Hadir</v>
      </c>
      <c r="D82" s="1" t="str">
        <f>IFERROR(__xludf.DUMMYFUNCTION("""COMPUTED_VALUE"""),"rhnrra@gmail.com")</f>
        <v>rhnrra@gmail.com</v>
      </c>
      <c r="E82" s="1"/>
      <c r="F82" s="1"/>
      <c r="G82" s="1"/>
      <c r="H82" s="1"/>
      <c r="I82" s="1"/>
      <c r="J82" s="1"/>
      <c r="K82" s="1"/>
      <c r="L82" s="1"/>
    </row>
    <row r="83">
      <c r="A83" s="2">
        <f>IFERROR(__xludf.DUMMYFUNCTION("""COMPUTED_VALUE"""),46088.492473182865)</f>
        <v>46088.49247</v>
      </c>
      <c r="B83" s="1" t="str">
        <f>IFERROR(__xludf.DUMMYFUNCTION("""COMPUTED_VALUE"""),"0099138854 / 252610103")</f>
        <v>0099138854 / 252610103</v>
      </c>
      <c r="C83" s="1" t="str">
        <f>IFERROR(__xludf.DUMMYFUNCTION("""COMPUTED_VALUE"""),"Hadir")</f>
        <v>Hadir</v>
      </c>
      <c r="D83" s="1" t="str">
        <f>IFERROR(__xludf.DUMMYFUNCTION("""COMPUTED_VALUE"""),"rhnrra@gmail.com")</f>
        <v>rhnrra@gmail.com</v>
      </c>
      <c r="E83" s="1"/>
      <c r="F83" s="1"/>
      <c r="G83" s="1"/>
      <c r="H83" s="1"/>
      <c r="I83" s="1"/>
      <c r="J83" s="1"/>
      <c r="K83" s="1"/>
      <c r="L83" s="1"/>
    </row>
    <row r="84">
      <c r="A84" s="2">
        <f>IFERROR(__xludf.DUMMYFUNCTION("""COMPUTED_VALUE"""),46088.49296798611)</f>
        <v>46088.49297</v>
      </c>
      <c r="B84" s="1" t="str">
        <f>IFERROR(__xludf.DUMMYFUNCTION("""COMPUTED_VALUE"""),"0105133490 / 252610119")</f>
        <v>0105133490 / 252610119</v>
      </c>
      <c r="C84" s="1" t="str">
        <f>IFERROR(__xludf.DUMMYFUNCTION("""COMPUTED_VALUE"""),"Hadir")</f>
        <v>Hadir</v>
      </c>
      <c r="D84" s="1" t="str">
        <f>IFERROR(__xludf.DUMMYFUNCTION("""COMPUTED_VALUE"""),"rhnrra@gmail.com")</f>
        <v>rhnrra@gmail.com</v>
      </c>
      <c r="E84" s="1"/>
      <c r="F84" s="1"/>
      <c r="G84" s="1"/>
      <c r="H84" s="1"/>
      <c r="I84" s="1"/>
      <c r="J84" s="1"/>
      <c r="K84" s="1"/>
      <c r="L84" s="1"/>
    </row>
    <row r="85">
      <c r="A85" s="2">
        <f>IFERROR(__xludf.DUMMYFUNCTION("""COMPUTED_VALUE"""),46088.49874681713)</f>
        <v>46088.49875</v>
      </c>
      <c r="B85" s="1" t="str">
        <f>IFERROR(__xludf.DUMMYFUNCTION("""COMPUTED_VALUE"""),"0108718382")</f>
        <v>0108718382</v>
      </c>
      <c r="C85" s="1" t="str">
        <f>IFERROR(__xludf.DUMMYFUNCTION("""COMPUTED_VALUE"""),"Hadir")</f>
        <v>Hadir</v>
      </c>
      <c r="D85" s="1" t="str">
        <f>IFERROR(__xludf.DUMMYFUNCTION("""COMPUTED_VALUE"""),"lelsohbia@gmail.com")</f>
        <v>lelsohbia@gmail.com</v>
      </c>
      <c r="E85" s="1"/>
      <c r="F85" s="1"/>
      <c r="G85" s="1"/>
      <c r="H85" s="1"/>
      <c r="I85" s="1"/>
      <c r="J85" s="1"/>
      <c r="K85" s="1"/>
      <c r="L85" s="1"/>
    </row>
    <row r="86">
      <c r="A86" s="2">
        <f>IFERROR(__xludf.DUMMYFUNCTION("""COMPUTED_VALUE"""),46088.499088819444)</f>
        <v>46088.49909</v>
      </c>
      <c r="B86" s="1" t="str">
        <f>IFERROR(__xludf.DUMMYFUNCTION("""COMPUTED_VALUE"""),"0102208567")</f>
        <v>0102208567</v>
      </c>
      <c r="C86" s="1" t="str">
        <f>IFERROR(__xludf.DUMMYFUNCTION("""COMPUTED_VALUE"""),"Hadir")</f>
        <v>Hadir</v>
      </c>
      <c r="D86" s="1" t="str">
        <f>IFERROR(__xludf.DUMMYFUNCTION("""COMPUTED_VALUE"""),"lelsohbia@gmail.com")</f>
        <v>lelsohbia@gmail.com</v>
      </c>
      <c r="E86" s="1"/>
      <c r="F86" s="1"/>
      <c r="G86" s="1"/>
      <c r="H86" s="1"/>
      <c r="I86" s="1"/>
      <c r="J86" s="1"/>
      <c r="K86" s="1"/>
      <c r="L86" s="1"/>
    </row>
    <row r="87">
      <c r="A87" s="2">
        <f>IFERROR(__xludf.DUMMYFUNCTION("""COMPUTED_VALUE"""),46088.500920983795)</f>
        <v>46088.50092</v>
      </c>
      <c r="B87" s="1" t="str">
        <f>IFERROR(__xludf.DUMMYFUNCTION("""COMPUTED_VALUE"""),"0092679798 / 252610239")</f>
        <v>0092679798 / 252610239</v>
      </c>
      <c r="C87" s="1" t="str">
        <f>IFERROR(__xludf.DUMMYFUNCTION("""COMPUTED_VALUE"""),"Hadir")</f>
        <v>Hadir</v>
      </c>
      <c r="D87" s="1" t="str">
        <f>IFERROR(__xludf.DUMMYFUNCTION("""COMPUTED_VALUE"""),"oshebilqisnadhifah04@gmail.com")</f>
        <v>oshebilqisnadhifah04@gmail.com</v>
      </c>
      <c r="E87" s="1"/>
      <c r="F87" s="1"/>
      <c r="G87" s="1"/>
      <c r="H87" s="1"/>
      <c r="I87" s="1"/>
      <c r="J87" s="1"/>
      <c r="K87" s="1"/>
      <c r="L87" s="1"/>
    </row>
    <row r="88">
      <c r="A88" s="2">
        <f>IFERROR(__xludf.DUMMYFUNCTION("""COMPUTED_VALUE"""),46088.503758067134)</f>
        <v>46088.50376</v>
      </c>
      <c r="B88" s="1" t="str">
        <f>IFERROR(__xludf.DUMMYFUNCTION("""COMPUTED_VALUE"""),"0092679798 / 252610239")</f>
        <v>0092679798 / 252610239</v>
      </c>
      <c r="C88" s="1" t="str">
        <f>IFERROR(__xludf.DUMMYFUNCTION("""COMPUTED_VALUE"""),"Hadir")</f>
        <v>Hadir</v>
      </c>
      <c r="D88" s="1" t="str">
        <f>IFERROR(__xludf.DUMMYFUNCTION("""COMPUTED_VALUE"""),"zhafirafathinilmira@gmail.com")</f>
        <v>zhafirafathinilmira@gmail.com</v>
      </c>
      <c r="E88" s="1"/>
      <c r="F88" s="1"/>
      <c r="G88" s="1"/>
      <c r="H88" s="1"/>
      <c r="I88" s="1"/>
      <c r="J88" s="1"/>
      <c r="K88" s="1"/>
      <c r="L88" s="1"/>
    </row>
    <row r="89">
      <c r="A89" s="2">
        <f>IFERROR(__xludf.DUMMYFUNCTION("""COMPUTED_VALUE"""),46088.50534844908)</f>
        <v>46088.50535</v>
      </c>
      <c r="B89" s="1" t="str">
        <f>IFERROR(__xludf.DUMMYFUNCTION("""COMPUTED_VALUE"""),"0094677765 / 252610313")</f>
        <v>0094677765 / 252610313</v>
      </c>
      <c r="C89" s="1" t="str">
        <f>IFERROR(__xludf.DUMMYFUNCTION("""COMPUTED_VALUE"""),"Hadir")</f>
        <v>Hadir</v>
      </c>
      <c r="D89" s="1" t="str">
        <f>IFERROR(__xludf.DUMMYFUNCTION("""COMPUTED_VALUE"""),"oshebilqisnadhifah04@gmail.com")</f>
        <v>oshebilqisnadhifah04@gmail.com</v>
      </c>
      <c r="E89" s="1"/>
      <c r="F89" s="1"/>
      <c r="G89" s="1"/>
      <c r="H89" s="1"/>
      <c r="I89" s="1"/>
      <c r="J89" s="1"/>
      <c r="K89" s="1"/>
      <c r="L89" s="1"/>
    </row>
    <row r="90">
      <c r="A90" s="2">
        <f>IFERROR(__xludf.DUMMYFUNCTION("""COMPUTED_VALUE"""),46088.505680208335)</f>
        <v>46088.50568</v>
      </c>
      <c r="B90" s="1" t="str">
        <f>IFERROR(__xludf.DUMMYFUNCTION("""COMPUTED_VALUE"""),"0093105045 / 252610424")</f>
        <v>0093105045 / 252610424</v>
      </c>
      <c r="C90" s="1" t="str">
        <f>IFERROR(__xludf.DUMMYFUNCTION("""COMPUTED_VALUE"""),"Hadir")</f>
        <v>Hadir</v>
      </c>
      <c r="D90" s="1" t="str">
        <f>IFERROR(__xludf.DUMMYFUNCTION("""COMPUTED_VALUE"""),"oshebilqisnadhifah04@gmail.com")</f>
        <v>oshebilqisnadhifah04@gmail.com</v>
      </c>
      <c r="E90" s="1"/>
      <c r="F90" s="1"/>
      <c r="G90" s="1"/>
      <c r="H90" s="1"/>
      <c r="I90" s="1"/>
      <c r="J90" s="1"/>
      <c r="K90" s="1"/>
      <c r="L90" s="1"/>
    </row>
    <row r="91">
      <c r="A91" s="2">
        <f>IFERROR(__xludf.DUMMYFUNCTION("""COMPUTED_VALUE"""),46088.50590996528)</f>
        <v>46088.50591</v>
      </c>
      <c r="B91" s="1" t="str">
        <f>IFERROR(__xludf.DUMMYFUNCTION("""COMPUTED_VALUE"""),"0093105045 / 252610424")</f>
        <v>0093105045 / 252610424</v>
      </c>
      <c r="C91" s="1" t="str">
        <f>IFERROR(__xludf.DUMMYFUNCTION("""COMPUTED_VALUE"""),"Hadir")</f>
        <v>Hadir</v>
      </c>
      <c r="D91" s="1" t="str">
        <f>IFERROR(__xludf.DUMMYFUNCTION("""COMPUTED_VALUE"""),"oshebilqisnadhifah04@gmail.com")</f>
        <v>oshebilqisnadhifah04@gmail.com</v>
      </c>
      <c r="E91" s="1"/>
      <c r="F91" s="1"/>
      <c r="G91" s="1"/>
      <c r="H91" s="1"/>
      <c r="I91" s="1"/>
      <c r="J91" s="1"/>
      <c r="K91" s="1"/>
      <c r="L91" s="1"/>
    </row>
    <row r="92">
      <c r="A92" s="2">
        <f>IFERROR(__xludf.DUMMYFUNCTION("""COMPUTED_VALUE"""),46088.506085671295)</f>
        <v>46088.50609</v>
      </c>
      <c r="B92" s="1" t="str">
        <f>IFERROR(__xludf.DUMMYFUNCTION("""COMPUTED_VALUE"""),"0095438030 / 252610436")</f>
        <v>0095438030 / 252610436</v>
      </c>
      <c r="C92" s="1" t="str">
        <f>IFERROR(__xludf.DUMMYFUNCTION("""COMPUTED_VALUE"""),"Hadir")</f>
        <v>Hadir</v>
      </c>
      <c r="D92" s="1" t="str">
        <f>IFERROR(__xludf.DUMMYFUNCTION("""COMPUTED_VALUE"""),"oshebilqisnadhifah04@gmail.com")</f>
        <v>oshebilqisnadhifah04@gmail.com</v>
      </c>
      <c r="E92" s="1"/>
      <c r="F92" s="1"/>
      <c r="G92" s="1"/>
      <c r="H92" s="1"/>
      <c r="I92" s="1"/>
      <c r="J92" s="1"/>
      <c r="K92" s="1"/>
      <c r="L92" s="1"/>
    </row>
    <row r="93">
      <c r="A93" s="2">
        <f>IFERROR(__xludf.DUMMYFUNCTION("""COMPUTED_VALUE"""),46088.50633267361)</f>
        <v>46088.50633</v>
      </c>
      <c r="B93" s="1" t="str">
        <f>IFERROR(__xludf.DUMMYFUNCTION("""COMPUTED_VALUE"""),"0102657659 / 252610513")</f>
        <v>0102657659 / 252610513</v>
      </c>
      <c r="C93" s="1" t="str">
        <f>IFERROR(__xludf.DUMMYFUNCTION("""COMPUTED_VALUE"""),"Hadir")</f>
        <v>Hadir</v>
      </c>
      <c r="D93" s="1" t="str">
        <f>IFERROR(__xludf.DUMMYFUNCTION("""COMPUTED_VALUE"""),"oshebilqisnadhifah04@gmail.com")</f>
        <v>oshebilqisnadhifah04@gmail.com</v>
      </c>
      <c r="E93" s="1"/>
      <c r="F93" s="1"/>
      <c r="G93" s="1"/>
      <c r="H93" s="1"/>
      <c r="I93" s="1"/>
      <c r="J93" s="1"/>
      <c r="K93" s="1"/>
      <c r="L93" s="1"/>
    </row>
    <row r="94">
      <c r="A94" s="2">
        <f>IFERROR(__xludf.DUMMYFUNCTION("""COMPUTED_VALUE"""),46088.50658273148)</f>
        <v>46088.50658</v>
      </c>
      <c r="B94" s="1" t="str">
        <f>IFERROR(__xludf.DUMMYFUNCTION("""COMPUTED_VALUE"""),"0097644165 / 252610508")</f>
        <v>0097644165 / 252610508</v>
      </c>
      <c r="C94" s="1" t="str">
        <f>IFERROR(__xludf.DUMMYFUNCTION("""COMPUTED_VALUE"""),"Hadir")</f>
        <v>Hadir</v>
      </c>
      <c r="D94" s="1" t="str">
        <f>IFERROR(__xludf.DUMMYFUNCTION("""COMPUTED_VALUE"""),"oshebilqisnadhifah04@gmail.com")</f>
        <v>oshebilqisnadhifah04@gmail.com</v>
      </c>
      <c r="E94" s="1"/>
      <c r="F94" s="1"/>
      <c r="G94" s="1"/>
      <c r="H94" s="1"/>
      <c r="I94" s="1"/>
      <c r="J94" s="1"/>
      <c r="K94" s="1"/>
      <c r="L94" s="1"/>
    </row>
    <row r="95">
      <c r="A95" s="2">
        <f>IFERROR(__xludf.DUMMYFUNCTION("""COMPUTED_VALUE"""),46088.50803291667)</f>
        <v>46088.50803</v>
      </c>
      <c r="B95" s="1" t="str">
        <f>IFERROR(__xludf.DUMMYFUNCTION("""COMPUTED_VALUE"""),"0094966956 / 252610272")</f>
        <v>0094966956 / 252610272</v>
      </c>
      <c r="C95" s="1" t="str">
        <f>IFERROR(__xludf.DUMMYFUNCTION("""COMPUTED_VALUE"""),"Hadir")</f>
        <v>Hadir</v>
      </c>
      <c r="D95" s="1" t="str">
        <f>IFERROR(__xludf.DUMMYFUNCTION("""COMPUTED_VALUE"""),"lelsohbia@gmail.com")</f>
        <v>lelsohbia@gmail.com</v>
      </c>
      <c r="E95" s="1"/>
      <c r="F95" s="1"/>
      <c r="G95" s="1"/>
      <c r="H95" s="1"/>
      <c r="I95" s="1"/>
      <c r="J95" s="1"/>
      <c r="K95" s="1"/>
      <c r="L95" s="1"/>
    </row>
    <row r="96">
      <c r="A96" s="2">
        <f>IFERROR(__xludf.DUMMYFUNCTION("""COMPUTED_VALUE"""),46088.50957271991)</f>
        <v>46088.50957</v>
      </c>
      <c r="B96" s="1" t="str">
        <f>IFERROR(__xludf.DUMMYFUNCTION("""COMPUTED_VALUE"""),"0093433461 / 252610536")</f>
        <v>0093433461 / 252610536</v>
      </c>
      <c r="C96" s="1" t="str">
        <f>IFERROR(__xludf.DUMMYFUNCTION("""COMPUTED_VALUE"""),"Hadir")</f>
        <v>Hadir</v>
      </c>
      <c r="D96" s="1" t="str">
        <f>IFERROR(__xludf.DUMMYFUNCTION("""COMPUTED_VALUE"""),"kayyisaharsyila5@gmail.com")</f>
        <v>kayyisaharsyila5@gmail.com</v>
      </c>
      <c r="E96" s="1"/>
      <c r="F96" s="1"/>
      <c r="G96" s="1"/>
      <c r="H96" s="1"/>
      <c r="I96" s="1"/>
      <c r="J96" s="1"/>
      <c r="K96" s="1"/>
      <c r="L96" s="1"/>
    </row>
    <row r="97">
      <c r="A97" s="2">
        <f>IFERROR(__xludf.DUMMYFUNCTION("""COMPUTED_VALUE"""),46088.523089375)</f>
        <v>46088.52309</v>
      </c>
      <c r="B97" s="1" t="str">
        <f>IFERROR(__xludf.DUMMYFUNCTION("""COMPUTED_VALUE"""),"0094313180 / 252610469")</f>
        <v>0094313180 / 252610469</v>
      </c>
      <c r="C97" s="1" t="str">
        <f>IFERROR(__xludf.DUMMYFUNCTION("""COMPUTED_VALUE"""),"Hadir")</f>
        <v>Hadir</v>
      </c>
      <c r="D97" s="1" t="str">
        <f>IFERROR(__xludf.DUMMYFUNCTION("""COMPUTED_VALUE"""),"irghimuhammad20@gmail.com")</f>
        <v>irghimuhammad20@gmail.com</v>
      </c>
      <c r="E97" s="1"/>
      <c r="F97" s="1"/>
      <c r="G97" s="1"/>
      <c r="H97" s="1"/>
      <c r="I97" s="1"/>
      <c r="J97" s="1"/>
      <c r="K97" s="1"/>
      <c r="L97" s="1"/>
    </row>
    <row r="98">
      <c r="A98" s="2">
        <f>IFERROR(__xludf.DUMMYFUNCTION("""COMPUTED_VALUE"""),46088.5272969213)</f>
        <v>46088.5273</v>
      </c>
      <c r="B98" s="1" t="str">
        <f>IFERROR(__xludf.DUMMYFUNCTION("""COMPUTED_VALUE"""),"3101402781 / 252610305")</f>
        <v>3101402781 / 252610305</v>
      </c>
      <c r="C98" s="1" t="str">
        <f>IFERROR(__xludf.DUMMYFUNCTION("""COMPUTED_VALUE"""),"Hadir")</f>
        <v>Hadir</v>
      </c>
      <c r="D98" s="1" t="str">
        <f>IFERROR(__xludf.DUMMYFUNCTION("""COMPUTED_VALUE"""),"irghimuhammad20@gmail.com")</f>
        <v>irghimuhammad20@gmail.com</v>
      </c>
      <c r="E98" s="1"/>
      <c r="F98" s="1"/>
      <c r="G98" s="1"/>
      <c r="H98" s="1"/>
      <c r="I98" s="1"/>
      <c r="J98" s="1"/>
      <c r="K98" s="1"/>
      <c r="L98" s="1"/>
    </row>
    <row r="99">
      <c r="A99" s="2">
        <f>IFERROR(__xludf.DUMMYFUNCTION("""COMPUTED_VALUE"""),46088.52799986111)</f>
        <v>46088.528</v>
      </c>
      <c r="B99" s="1" t="str">
        <f>IFERROR(__xludf.DUMMYFUNCTION("""COMPUTED_VALUE"""),"0102210036 / 252610243")</f>
        <v>0102210036 / 252610243</v>
      </c>
      <c r="C99" s="1" t="str">
        <f>IFERROR(__xludf.DUMMYFUNCTION("""COMPUTED_VALUE"""),"Hadir")</f>
        <v>Hadir</v>
      </c>
      <c r="D99" s="1" t="str">
        <f>IFERROR(__xludf.DUMMYFUNCTION("""COMPUTED_VALUE"""),"irghimuhammad20@gmail.com")</f>
        <v>irghimuhammad20@gmail.com</v>
      </c>
      <c r="E99" s="1"/>
      <c r="F99" s="1"/>
      <c r="G99" s="1"/>
      <c r="H99" s="1"/>
      <c r="I99" s="1"/>
      <c r="J99" s="1"/>
      <c r="K99" s="1"/>
      <c r="L99" s="1"/>
    </row>
    <row r="100">
      <c r="A100" s="2">
        <f>IFERROR(__xludf.DUMMYFUNCTION("""COMPUTED_VALUE"""),46088.53611581019)</f>
        <v>46088.53612</v>
      </c>
      <c r="B100" s="1" t="str">
        <f>IFERROR(__xludf.DUMMYFUNCTION("""COMPUTED_VALUE"""),"0102210036 / 252610243")</f>
        <v>0102210036 / 252610243</v>
      </c>
      <c r="C100" s="1" t="str">
        <f>IFERROR(__xludf.DUMMYFUNCTION("""COMPUTED_VALUE"""),"Hadir")</f>
        <v>Hadir</v>
      </c>
      <c r="D100" s="1" t="str">
        <f>IFERROR(__xludf.DUMMYFUNCTION("""COMPUTED_VALUE"""),"irghimuhammad20@gmail.com")</f>
        <v>irghimuhammad20@gmail.com</v>
      </c>
      <c r="E100" s="1"/>
      <c r="F100" s="1"/>
      <c r="G100" s="1"/>
      <c r="H100" s="1"/>
      <c r="I100" s="1"/>
      <c r="J100" s="1"/>
      <c r="K100" s="1"/>
      <c r="L100" s="1"/>
    </row>
    <row r="101">
      <c r="A101" s="2">
        <f>IFERROR(__xludf.DUMMYFUNCTION("""COMPUTED_VALUE"""),46088.53653896991)</f>
        <v>46088.53654</v>
      </c>
      <c r="B101" s="1" t="str">
        <f>IFERROR(__xludf.DUMMYFUNCTION("""COMPUTED_VALUE"""),"0113735828 / 252610335")</f>
        <v>0113735828 / 252610335</v>
      </c>
      <c r="C101" s="1" t="str">
        <f>IFERROR(__xludf.DUMMYFUNCTION("""COMPUTED_VALUE"""),"Hadir")</f>
        <v>Hadir</v>
      </c>
      <c r="D101" s="1" t="str">
        <f>IFERROR(__xludf.DUMMYFUNCTION("""COMPUTED_VALUE"""),"irghimuhammad20@gmail.com")</f>
        <v>irghimuhammad20@gmail.com</v>
      </c>
      <c r="E101" s="1"/>
      <c r="F101" s="1"/>
      <c r="G101" s="1"/>
      <c r="H101" s="1"/>
      <c r="I101" s="1"/>
      <c r="J101" s="1"/>
      <c r="K101" s="1"/>
      <c r="L101" s="1"/>
    </row>
    <row r="102">
      <c r="A102" s="2">
        <f>IFERROR(__xludf.DUMMYFUNCTION("""COMPUTED_VALUE"""),46088.711638692126)</f>
        <v>46088.71164</v>
      </c>
      <c r="B102" s="1" t="str">
        <f>IFERROR(__xludf.DUMMYFUNCTION("""COMPUTED_VALUE"""),"0094680852 / 252610537")</f>
        <v>0094680852 / 252610537</v>
      </c>
      <c r="C102" s="1" t="str">
        <f>IFERROR(__xludf.DUMMYFUNCTION("""COMPUTED_VALUE"""),"Hadir")</f>
        <v>Hadir</v>
      </c>
      <c r="D102" s="1" t="str">
        <f>IFERROR(__xludf.DUMMYFUNCTION("""COMPUTED_VALUE"""),"almira.dian09@gmail.com")</f>
        <v>almira.dian09@gmail.com</v>
      </c>
      <c r="E102" s="1"/>
      <c r="F102" s="1"/>
      <c r="G102" s="1"/>
      <c r="H102" s="1"/>
      <c r="I102" s="1"/>
      <c r="J102" s="1"/>
      <c r="K102" s="1"/>
      <c r="L102" s="1"/>
    </row>
    <row r="103">
      <c r="A103" s="2">
        <f>IFERROR(__xludf.DUMMYFUNCTION("""COMPUTED_VALUE"""),46088.712218761575)</f>
        <v>46088.71222</v>
      </c>
      <c r="B103" s="1" t="str">
        <f>IFERROR(__xludf.DUMMYFUNCTION("""COMPUTED_VALUE"""),"0107182326 / 252610511")</f>
        <v>0107182326 / 252610511</v>
      </c>
      <c r="C103" s="1" t="str">
        <f>IFERROR(__xludf.DUMMYFUNCTION("""COMPUTED_VALUE"""),"Hadir")</f>
        <v>Hadir</v>
      </c>
      <c r="D103" s="1" t="str">
        <f>IFERROR(__xludf.DUMMYFUNCTION("""COMPUTED_VALUE"""),"almira.dian09@gmail.com")</f>
        <v>almira.dian09@gmail.com</v>
      </c>
      <c r="E103" s="1"/>
      <c r="F103" s="1"/>
      <c r="G103" s="1"/>
      <c r="H103" s="1"/>
      <c r="I103" s="1"/>
      <c r="J103" s="1"/>
      <c r="K103" s="1"/>
      <c r="L103" s="1"/>
    </row>
    <row r="104">
      <c r="A104" s="2">
        <f>IFERROR(__xludf.DUMMYFUNCTION("""COMPUTED_VALUE"""),46088.71280288194)</f>
        <v>46088.7128</v>
      </c>
      <c r="B104" s="1" t="str">
        <f>IFERROR(__xludf.DUMMYFUNCTION("""COMPUTED_VALUE"""),"0098113225 / 252610297")</f>
        <v>0098113225 / 252610297</v>
      </c>
      <c r="C104" s="1" t="str">
        <f>IFERROR(__xludf.DUMMYFUNCTION("""COMPUTED_VALUE"""),"Hadir")</f>
        <v>Hadir</v>
      </c>
      <c r="D104" s="1" t="str">
        <f>IFERROR(__xludf.DUMMYFUNCTION("""COMPUTED_VALUE"""),"almira.dian09@gmail.com")</f>
        <v>almira.dian09@gmail.com</v>
      </c>
      <c r="E104" s="1"/>
      <c r="F104" s="1"/>
      <c r="G104" s="1"/>
      <c r="H104" s="1"/>
      <c r="I104" s="1"/>
      <c r="J104" s="1"/>
      <c r="K104" s="1"/>
      <c r="L104" s="1"/>
    </row>
    <row r="105">
      <c r="A105" s="2">
        <f>IFERROR(__xludf.DUMMYFUNCTION("""COMPUTED_VALUE"""),46088.714094571755)</f>
        <v>46088.71409</v>
      </c>
      <c r="B105" s="1" t="str">
        <f>IFERROR(__xludf.DUMMYFUNCTION("""COMPUTED_VALUE"""),"0097910400 / 252610425")</f>
        <v>0097910400 / 252610425</v>
      </c>
      <c r="C105" s="1" t="str">
        <f>IFERROR(__xludf.DUMMYFUNCTION("""COMPUTED_VALUE"""),"Hadir")</f>
        <v>Hadir</v>
      </c>
      <c r="D105" s="1" t="str">
        <f>IFERROR(__xludf.DUMMYFUNCTION("""COMPUTED_VALUE"""),"almira.dian09@gmail.com")</f>
        <v>almira.dian09@gmail.com</v>
      </c>
      <c r="E105" s="1"/>
      <c r="F105" s="1"/>
      <c r="G105" s="1"/>
      <c r="H105" s="1"/>
      <c r="I105" s="1"/>
      <c r="J105" s="1"/>
      <c r="K105" s="1"/>
      <c r="L105" s="1"/>
    </row>
    <row r="106">
      <c r="A106" s="2">
        <f>IFERROR(__xludf.DUMMYFUNCTION("""COMPUTED_VALUE"""),46088.71728380787)</f>
        <v>46088.71728</v>
      </c>
      <c r="B106" s="1" t="str">
        <f>IFERROR(__xludf.DUMMYFUNCTION("""COMPUTED_VALUE"""),"0102372511 / 252610263")</f>
        <v>0102372511 / 252610263</v>
      </c>
      <c r="C106" s="1" t="str">
        <f>IFERROR(__xludf.DUMMYFUNCTION("""COMPUTED_VALUE"""),"Hadir")</f>
        <v>Hadir</v>
      </c>
      <c r="D106" s="1" t="str">
        <f>IFERROR(__xludf.DUMMYFUNCTION("""COMPUTED_VALUE"""),"almira.dian09@gmail.com")</f>
        <v>almira.dian09@gmail.com</v>
      </c>
      <c r="E106" s="1"/>
      <c r="F106" s="1"/>
      <c r="G106" s="1"/>
      <c r="H106" s="1"/>
      <c r="I106" s="1"/>
      <c r="J106" s="1"/>
      <c r="K106" s="1"/>
      <c r="L106" s="1"/>
    </row>
    <row r="107">
      <c r="A107" s="2">
        <f>IFERROR(__xludf.DUMMYFUNCTION("""COMPUTED_VALUE"""),46088.71840240741)</f>
        <v>46088.7184</v>
      </c>
      <c r="B107" s="1" t="str">
        <f>IFERROR(__xludf.DUMMYFUNCTION("""COMPUTED_VALUE"""),"0098348385 / 252610542")</f>
        <v>0098348385 / 252610542</v>
      </c>
      <c r="C107" s="1" t="str">
        <f>IFERROR(__xludf.DUMMYFUNCTION("""COMPUTED_VALUE"""),"Hadir")</f>
        <v>Hadir</v>
      </c>
      <c r="D107" s="1" t="str">
        <f>IFERROR(__xludf.DUMMYFUNCTION("""COMPUTED_VALUE"""),"almira.dian09@gmail.com")</f>
        <v>almira.dian09@gmail.com</v>
      </c>
      <c r="E107" s="1"/>
      <c r="F107" s="1"/>
      <c r="G107" s="1"/>
      <c r="H107" s="1"/>
      <c r="I107" s="1"/>
      <c r="J107" s="1"/>
      <c r="K107" s="1"/>
      <c r="L107" s="1"/>
    </row>
    <row r="108">
      <c r="A108" s="2">
        <f>IFERROR(__xludf.DUMMYFUNCTION("""COMPUTED_VALUE"""),46089.19593642361)</f>
        <v>46089.19594</v>
      </c>
      <c r="B108" s="1" t="str">
        <f>IFERROR(__xludf.DUMMYFUNCTION("""COMPUTED_VALUE"""),"0105339420 / 252610027")</f>
        <v>0105339420 / 252610027</v>
      </c>
      <c r="C108" s="1" t="str">
        <f>IFERROR(__xludf.DUMMYFUNCTION("""COMPUTED_VALUE"""),"Hadir")</f>
        <v>Hadir</v>
      </c>
      <c r="D108" s="1" t="str">
        <f>IFERROR(__xludf.DUMMYFUNCTION("""COMPUTED_VALUE"""),"tiaraazizah.w@gmail.com")</f>
        <v>tiaraazizah.w@gmail.com</v>
      </c>
      <c r="E108" s="1"/>
      <c r="F108" s="1"/>
      <c r="G108" s="1"/>
      <c r="H108" s="1"/>
      <c r="I108" s="1"/>
      <c r="J108" s="1"/>
      <c r="K108" s="1"/>
      <c r="L108" s="1"/>
    </row>
    <row r="109">
      <c r="A109" s="2">
        <f>IFERROR(__xludf.DUMMYFUNCTION("""COMPUTED_VALUE"""),46089.19625255787)</f>
        <v>46089.19625</v>
      </c>
      <c r="B109" s="1" t="str">
        <f>IFERROR(__xludf.DUMMYFUNCTION("""COMPUTED_VALUE"""),"0093799489 / 252610071")</f>
        <v>0093799489 / 252610071</v>
      </c>
      <c r="C109" s="1" t="str">
        <f>IFERROR(__xludf.DUMMYFUNCTION("""COMPUTED_VALUE"""),"Hadir")</f>
        <v>Hadir</v>
      </c>
      <c r="D109" s="1" t="str">
        <f>IFERROR(__xludf.DUMMYFUNCTION("""COMPUTED_VALUE"""),"tiaraazizah.w@gmail.com")</f>
        <v>tiaraazizah.w@gmail.com</v>
      </c>
      <c r="E109" s="1"/>
      <c r="F109" s="1"/>
      <c r="G109" s="1"/>
      <c r="H109" s="1"/>
      <c r="I109" s="1"/>
      <c r="J109" s="1"/>
      <c r="K109" s="1"/>
      <c r="L109" s="1"/>
    </row>
    <row r="110">
      <c r="A110" s="2">
        <f>IFERROR(__xludf.DUMMYFUNCTION("""COMPUTED_VALUE"""),46089.19643753472)</f>
        <v>46089.19644</v>
      </c>
      <c r="B110" s="1" t="str">
        <f>IFERROR(__xludf.DUMMYFUNCTION("""COMPUTED_VALUE"""),"0099452000 / 252610086")</f>
        <v>0099452000 / 252610086</v>
      </c>
      <c r="C110" s="1" t="str">
        <f>IFERROR(__xludf.DUMMYFUNCTION("""COMPUTED_VALUE"""),"Hadir")</f>
        <v>Hadir</v>
      </c>
      <c r="D110" s="1" t="str">
        <f>IFERROR(__xludf.DUMMYFUNCTION("""COMPUTED_VALUE"""),"tiaraazizah.w@gmail.com")</f>
        <v>tiaraazizah.w@gmail.com</v>
      </c>
      <c r="E110" s="1"/>
      <c r="F110" s="1"/>
      <c r="G110" s="1"/>
      <c r="H110" s="1"/>
      <c r="I110" s="1"/>
      <c r="J110" s="1"/>
      <c r="K110" s="1"/>
      <c r="L110" s="1"/>
    </row>
    <row r="111">
      <c r="A111" s="2">
        <f>IFERROR(__xludf.DUMMYFUNCTION("""COMPUTED_VALUE"""),46089.196642511575)</f>
        <v>46089.19664</v>
      </c>
      <c r="B111" s="1" t="str">
        <f>IFERROR(__xludf.DUMMYFUNCTION("""COMPUTED_VALUE"""),"0102924778 / 252610095")</f>
        <v>0102924778 / 252610095</v>
      </c>
      <c r="C111" s="1" t="str">
        <f>IFERROR(__xludf.DUMMYFUNCTION("""COMPUTED_VALUE"""),"Hadir")</f>
        <v>Hadir</v>
      </c>
      <c r="D111" s="1" t="str">
        <f>IFERROR(__xludf.DUMMYFUNCTION("""COMPUTED_VALUE"""),"tiaraazizah.w@gmail.com")</f>
        <v>tiaraazizah.w@gmail.com</v>
      </c>
      <c r="E111" s="1"/>
      <c r="F111" s="1"/>
      <c r="G111" s="1"/>
      <c r="H111" s="1"/>
      <c r="I111" s="1"/>
      <c r="J111" s="1"/>
      <c r="K111" s="1"/>
      <c r="L111" s="1"/>
    </row>
    <row r="112">
      <c r="A112" s="2">
        <f>IFERROR(__xludf.DUMMYFUNCTION("""COMPUTED_VALUE"""),46089.19683954861)</f>
        <v>46089.19684</v>
      </c>
      <c r="B112" s="1" t="str">
        <f>IFERROR(__xludf.DUMMYFUNCTION("""COMPUTED_VALUE"""),"0108974038 / 252610117")</f>
        <v>0108974038 / 252610117</v>
      </c>
      <c r="C112" s="1" t="str">
        <f>IFERROR(__xludf.DUMMYFUNCTION("""COMPUTED_VALUE"""),"Hadir")</f>
        <v>Hadir</v>
      </c>
      <c r="D112" s="1" t="str">
        <f>IFERROR(__xludf.DUMMYFUNCTION("""COMPUTED_VALUE"""),"tiaraazizah.w@gmail.com")</f>
        <v>tiaraazizah.w@gmail.com</v>
      </c>
      <c r="E112" s="1"/>
      <c r="F112" s="1"/>
      <c r="G112" s="1"/>
      <c r="H112" s="1"/>
      <c r="I112" s="1"/>
      <c r="J112" s="1"/>
      <c r="K112" s="1"/>
      <c r="L112" s="1"/>
    </row>
    <row r="113">
      <c r="A113" s="2">
        <f>IFERROR(__xludf.DUMMYFUNCTION("""COMPUTED_VALUE"""),46089.19704704861)</f>
        <v>46089.19705</v>
      </c>
      <c r="B113" s="1" t="str">
        <f>IFERROR(__xludf.DUMMYFUNCTION("""COMPUTED_VALUE"""),"0107900663 / 252610135")</f>
        <v>0107900663 / 252610135</v>
      </c>
      <c r="C113" s="1" t="str">
        <f>IFERROR(__xludf.DUMMYFUNCTION("""COMPUTED_VALUE"""),"Hadir")</f>
        <v>Hadir</v>
      </c>
      <c r="D113" s="1" t="str">
        <f>IFERROR(__xludf.DUMMYFUNCTION("""COMPUTED_VALUE"""),"tiaraazizah.w@gmail.com")</f>
        <v>tiaraazizah.w@gmail.com</v>
      </c>
      <c r="E113" s="1"/>
      <c r="F113" s="1"/>
      <c r="G113" s="1"/>
      <c r="H113" s="1"/>
      <c r="I113" s="1"/>
      <c r="J113" s="1"/>
      <c r="K113" s="1"/>
      <c r="L113" s="1"/>
    </row>
    <row r="114">
      <c r="A114" s="2">
        <f>IFERROR(__xludf.DUMMYFUNCTION("""COMPUTED_VALUE"""),46089.19723644676)</f>
        <v>46089.19724</v>
      </c>
      <c r="B114" s="1" t="str">
        <f>IFERROR(__xludf.DUMMYFUNCTION("""COMPUTED_VALUE"""),"0091254694 / 252610146")</f>
        <v>0091254694 / 252610146</v>
      </c>
      <c r="C114" s="1" t="str">
        <f>IFERROR(__xludf.DUMMYFUNCTION("""COMPUTED_VALUE"""),"Hadir")</f>
        <v>Hadir</v>
      </c>
      <c r="D114" s="1" t="str">
        <f>IFERROR(__xludf.DUMMYFUNCTION("""COMPUTED_VALUE"""),"tiaraazizah.w@gmail.com")</f>
        <v>tiaraazizah.w@gmail.com</v>
      </c>
      <c r="E114" s="1"/>
      <c r="F114" s="1"/>
      <c r="G114" s="1"/>
      <c r="H114" s="1"/>
      <c r="I114" s="1"/>
      <c r="J114" s="1"/>
      <c r="K114" s="1"/>
      <c r="L114" s="1"/>
    </row>
    <row r="115">
      <c r="A115" s="2">
        <f>IFERROR(__xludf.DUMMYFUNCTION("""COMPUTED_VALUE"""),46089.197449942134)</f>
        <v>46089.19745</v>
      </c>
      <c r="B115" s="1" t="str">
        <f>IFERROR(__xludf.DUMMYFUNCTION("""COMPUTED_VALUE"""),"0108673369 / 252610178")</f>
        <v>0108673369 / 252610178</v>
      </c>
      <c r="C115" s="1" t="str">
        <f>IFERROR(__xludf.DUMMYFUNCTION("""COMPUTED_VALUE"""),"Hadir")</f>
        <v>Hadir</v>
      </c>
      <c r="D115" s="1" t="str">
        <f>IFERROR(__xludf.DUMMYFUNCTION("""COMPUTED_VALUE"""),"tiaraazizah.w@gmail.com")</f>
        <v>tiaraazizah.w@gmail.com</v>
      </c>
      <c r="E115" s="1"/>
      <c r="F115" s="1"/>
      <c r="G115" s="1"/>
      <c r="H115" s="1"/>
      <c r="I115" s="1"/>
      <c r="J115" s="1"/>
      <c r="K115" s="1"/>
      <c r="L115" s="1"/>
    </row>
    <row r="116">
      <c r="A116" s="2">
        <f>IFERROR(__xludf.DUMMYFUNCTION("""COMPUTED_VALUE"""),46089.19773486111)</f>
        <v>46089.19773</v>
      </c>
      <c r="B116" s="1" t="str">
        <f>IFERROR(__xludf.DUMMYFUNCTION("""COMPUTED_VALUE"""),"0108673369 / 252610178")</f>
        <v>0108673369 / 252610178</v>
      </c>
      <c r="C116" s="1" t="str">
        <f>IFERROR(__xludf.DUMMYFUNCTION("""COMPUTED_VALUE"""),"Hadir")</f>
        <v>Hadir</v>
      </c>
      <c r="D116" s="1" t="str">
        <f>IFERROR(__xludf.DUMMYFUNCTION("""COMPUTED_VALUE"""),"tiaraazizah.w@gmail.com")</f>
        <v>tiaraazizah.w@gmail.com</v>
      </c>
      <c r="E116" s="1"/>
      <c r="F116" s="1"/>
      <c r="G116" s="1"/>
      <c r="H116" s="1"/>
      <c r="I116" s="1"/>
      <c r="J116" s="1"/>
      <c r="K116" s="1"/>
      <c r="L116" s="1"/>
    </row>
    <row r="117">
      <c r="A117" s="2">
        <f>IFERROR(__xludf.DUMMYFUNCTION("""COMPUTED_VALUE"""),46089.197910208335)</f>
        <v>46089.19791</v>
      </c>
      <c r="B117" s="1" t="str">
        <f>IFERROR(__xludf.DUMMYFUNCTION("""COMPUTED_VALUE"""),"0091254694 / 252610146")</f>
        <v>0091254694 / 252610146</v>
      </c>
      <c r="C117" s="1" t="str">
        <f>IFERROR(__xludf.DUMMYFUNCTION("""COMPUTED_VALUE"""),"Hadir")</f>
        <v>Hadir</v>
      </c>
      <c r="D117" s="1" t="str">
        <f>IFERROR(__xludf.DUMMYFUNCTION("""COMPUTED_VALUE"""),"tiaraazizah.w@gmail.com")</f>
        <v>tiaraazizah.w@gmail.com</v>
      </c>
      <c r="E117" s="1"/>
      <c r="F117" s="1"/>
      <c r="G117" s="1"/>
      <c r="H117" s="1"/>
      <c r="I117" s="1"/>
      <c r="J117" s="1"/>
      <c r="K117" s="1"/>
      <c r="L117" s="1"/>
    </row>
    <row r="118">
      <c r="A118" s="2">
        <f>IFERROR(__xludf.DUMMYFUNCTION("""COMPUTED_VALUE"""),46089.77835658565)</f>
        <v>46089.77836</v>
      </c>
      <c r="B118" s="1" t="str">
        <f>IFERROR(__xludf.DUMMYFUNCTION("""COMPUTED_VALUE"""),"0094946777 / 242510338")</f>
        <v>0094946777 / 242510338</v>
      </c>
      <c r="C118" s="1" t="str">
        <f>IFERROR(__xludf.DUMMYFUNCTION("""COMPUTED_VALUE"""),"Hadir")</f>
        <v>Hadir</v>
      </c>
      <c r="D118" s="1" t="str">
        <f>IFERROR(__xludf.DUMMYFUNCTION("""COMPUTED_VALUE"""),"farisadita58@gmail.com")</f>
        <v>farisadita58@gmail.com</v>
      </c>
      <c r="E118" s="1"/>
      <c r="F118" s="1"/>
      <c r="G118" s="1"/>
      <c r="H118" s="1"/>
      <c r="I118" s="1"/>
      <c r="J118" s="1"/>
      <c r="K118" s="1"/>
      <c r="L118" s="1"/>
    </row>
    <row r="119">
      <c r="A119" s="2">
        <f>IFERROR(__xludf.DUMMYFUNCTION("""COMPUTED_VALUE"""),46089.780574386576)</f>
        <v>46089.78057</v>
      </c>
      <c r="B119" s="1" t="str">
        <f>IFERROR(__xludf.DUMMYFUNCTION("""COMPUTED_VALUE"""),"0097494303 / 242510150")</f>
        <v>0097494303 / 242510150</v>
      </c>
      <c r="C119" s="1" t="str">
        <f>IFERROR(__xludf.DUMMYFUNCTION("""COMPUTED_VALUE"""),"Hadir")</f>
        <v>Hadir</v>
      </c>
      <c r="D119" s="1" t="str">
        <f>IFERROR(__xludf.DUMMYFUNCTION("""COMPUTED_VALUE"""),"farisadita58@gmail.com")</f>
        <v>farisadita58@gmail.com</v>
      </c>
      <c r="E119" s="1"/>
      <c r="F119" s="1"/>
      <c r="G119" s="1"/>
      <c r="H119" s="1"/>
      <c r="I119" s="1"/>
      <c r="J119" s="1"/>
      <c r="K119" s="1"/>
      <c r="L119" s="1"/>
    </row>
    <row r="120">
      <c r="A120" s="2">
        <f>IFERROR(__xludf.DUMMYFUNCTION("""COMPUTED_VALUE"""),46089.78285636574)</f>
        <v>46089.78286</v>
      </c>
      <c r="B120" s="1" t="str">
        <f>IFERROR(__xludf.DUMMYFUNCTION("""COMPUTED_VALUE"""),"0083951567 / 242510221")</f>
        <v>0083951567 / 242510221</v>
      </c>
      <c r="C120" s="1" t="str">
        <f>IFERROR(__xludf.DUMMYFUNCTION("""COMPUTED_VALUE"""),"Hadir")</f>
        <v>Hadir</v>
      </c>
      <c r="D120" s="1" t="str">
        <f>IFERROR(__xludf.DUMMYFUNCTION("""COMPUTED_VALUE"""),"farisadita58@gmail.com")</f>
        <v>farisadita58@gmail.com</v>
      </c>
      <c r="E120" s="1"/>
      <c r="F120" s="1"/>
      <c r="G120" s="1"/>
      <c r="H120" s="1"/>
      <c r="I120" s="1"/>
      <c r="J120" s="1"/>
      <c r="K120" s="1"/>
      <c r="L120" s="1"/>
    </row>
    <row r="121">
      <c r="A121" s="2">
        <f>IFERROR(__xludf.DUMMYFUNCTION("""COMPUTED_VALUE"""),46089.785369386576)</f>
        <v>46089.78537</v>
      </c>
      <c r="B121" s="1" t="str">
        <f>IFERROR(__xludf.DUMMYFUNCTION("""COMPUTED_VALUE"""),"0098848130 / 242510228")</f>
        <v>0098848130 / 242510228</v>
      </c>
      <c r="C121" s="1" t="str">
        <f>IFERROR(__xludf.DUMMYFUNCTION("""COMPUTED_VALUE"""),"Hadir")</f>
        <v>Hadir</v>
      </c>
      <c r="D121" s="1" t="str">
        <f>IFERROR(__xludf.DUMMYFUNCTION("""COMPUTED_VALUE"""),"farisadita58@gmail.com")</f>
        <v>farisadita58@gmail.com</v>
      </c>
      <c r="E121" s="1"/>
      <c r="F121" s="1"/>
      <c r="G121" s="1"/>
      <c r="H121" s="1"/>
      <c r="I121" s="1"/>
      <c r="J121" s="1"/>
      <c r="K121" s="1"/>
      <c r="L121" s="1"/>
    </row>
    <row r="122">
      <c r="A122" s="2">
        <f>IFERROR(__xludf.DUMMYFUNCTION("""COMPUTED_VALUE"""),46090.428100081015)</f>
        <v>46090.4281</v>
      </c>
      <c r="B122" s="1" t="str">
        <f>IFERROR(__xludf.DUMMYFUNCTION("""COMPUTED_VALUE"""),"0094328074 / 252610391")</f>
        <v>0094328074 / 252610391</v>
      </c>
      <c r="C122" s="1" t="str">
        <f>IFERROR(__xludf.DUMMYFUNCTION("""COMPUTED_VALUE"""),"Hadir")</f>
        <v>Hadir</v>
      </c>
      <c r="D122" s="1" t="str">
        <f>IFERROR(__xludf.DUMMYFUNCTION("""COMPUTED_VALUE"""),"psikolog.qurrotaayun@gmail.com")</f>
        <v>psikolog.qurrotaayun@gmail.com</v>
      </c>
      <c r="E122" s="1"/>
      <c r="F122" s="1"/>
      <c r="G122" s="1"/>
      <c r="H122" s="1"/>
      <c r="I122" s="1"/>
      <c r="J122" s="1"/>
      <c r="K122" s="1"/>
      <c r="L122" s="1"/>
    </row>
    <row r="123">
      <c r="A123" s="2">
        <f>IFERROR(__xludf.DUMMYFUNCTION("""COMPUTED_VALUE"""),46090.43109203703)</f>
        <v>46090.43109</v>
      </c>
      <c r="B123" s="1" t="str">
        <f>IFERROR(__xludf.DUMMYFUNCTION("""COMPUTED_VALUE"""),"0096477713 / 252610122")</f>
        <v>0096477713 / 252610122</v>
      </c>
      <c r="C123" s="1" t="str">
        <f>IFERROR(__xludf.DUMMYFUNCTION("""COMPUTED_VALUE"""),"Hadir")</f>
        <v>Hadir</v>
      </c>
      <c r="D123" s="1" t="str">
        <f>IFERROR(__xludf.DUMMYFUNCTION("""COMPUTED_VALUE"""),"psikolog.qurrotaayun@gmail.com")</f>
        <v>psikolog.qurrotaayun@gmail.com</v>
      </c>
      <c r="E123" s="1"/>
      <c r="F123" s="1"/>
      <c r="G123" s="1"/>
      <c r="H123" s="1"/>
      <c r="I123" s="1"/>
      <c r="J123" s="1"/>
      <c r="K123" s="1"/>
      <c r="L123" s="1"/>
    </row>
    <row r="124">
      <c r="A124" s="2">
        <f>IFERROR(__xludf.DUMMYFUNCTION("""COMPUTED_VALUE"""),46090.43213371528)</f>
        <v>46090.43213</v>
      </c>
      <c r="B124" s="1" t="str">
        <f>IFERROR(__xludf.DUMMYFUNCTION("""COMPUTED_VALUE"""),"0092605198 / 252610477")</f>
        <v>0092605198 / 252610477</v>
      </c>
      <c r="C124" s="1" t="str">
        <f>IFERROR(__xludf.DUMMYFUNCTION("""COMPUTED_VALUE"""),"Hadir")</f>
        <v>Hadir</v>
      </c>
      <c r="D124" s="1" t="str">
        <f>IFERROR(__xludf.DUMMYFUNCTION("""COMPUTED_VALUE"""),"psikolog.qurrotaayun@gmail.com")</f>
        <v>psikolog.qurrotaayun@gmail.com</v>
      </c>
      <c r="E124" s="1"/>
      <c r="F124" s="1"/>
      <c r="G124" s="1"/>
      <c r="H124" s="1"/>
      <c r="I124" s="1"/>
      <c r="J124" s="1"/>
      <c r="K124" s="1"/>
      <c r="L124" s="1"/>
    </row>
    <row r="125">
      <c r="A125" s="2">
        <f>IFERROR(__xludf.DUMMYFUNCTION("""COMPUTED_VALUE"""),46090.43301421296)</f>
        <v>46090.43301</v>
      </c>
      <c r="B125" s="1" t="str">
        <f>IFERROR(__xludf.DUMMYFUNCTION("""COMPUTED_VALUE"""),"0105813396 / 252610052")</f>
        <v>0105813396 / 252610052</v>
      </c>
      <c r="C125" s="1" t="str">
        <f>IFERROR(__xludf.DUMMYFUNCTION("""COMPUTED_VALUE"""),"Hadir")</f>
        <v>Hadir</v>
      </c>
      <c r="D125" s="1" t="str">
        <f>IFERROR(__xludf.DUMMYFUNCTION("""COMPUTED_VALUE"""),"psikolog.qurrotaayun@gmail.com")</f>
        <v>psikolog.qurrotaayun@gmail.com</v>
      </c>
      <c r="E125" s="1"/>
      <c r="F125" s="1"/>
      <c r="G125" s="1"/>
      <c r="H125" s="1"/>
      <c r="I125" s="1"/>
      <c r="J125" s="1"/>
      <c r="K125" s="1"/>
      <c r="L125" s="1"/>
    </row>
    <row r="126">
      <c r="A126" s="2">
        <f>IFERROR(__xludf.DUMMYFUNCTION("""COMPUTED_VALUE"""),46090.43385758102)</f>
        <v>46090.43386</v>
      </c>
      <c r="B126" s="1" t="str">
        <f>IFERROR(__xludf.DUMMYFUNCTION("""COMPUTED_VALUE"""),"0099678017 / 252610098")</f>
        <v>0099678017 / 252610098</v>
      </c>
      <c r="C126" s="1" t="str">
        <f>IFERROR(__xludf.DUMMYFUNCTION("""COMPUTED_VALUE"""),"Hadir")</f>
        <v>Hadir</v>
      </c>
      <c r="D126" s="1" t="str">
        <f>IFERROR(__xludf.DUMMYFUNCTION("""COMPUTED_VALUE"""),"psikolog.qurrotaayun@gmail.com")</f>
        <v>psikolog.qurrotaayun@gmail.com</v>
      </c>
      <c r="E126" s="1"/>
      <c r="F126" s="1"/>
      <c r="G126" s="1"/>
      <c r="H126" s="1"/>
      <c r="I126" s="1"/>
      <c r="J126" s="1"/>
      <c r="K126" s="1"/>
      <c r="L126" s="1"/>
    </row>
    <row r="127">
      <c r="A127" s="2">
        <f>IFERROR(__xludf.DUMMYFUNCTION("""COMPUTED_VALUE"""),46090.43502833333)</f>
        <v>46090.43503</v>
      </c>
      <c r="B127" s="1" t="str">
        <f>IFERROR(__xludf.DUMMYFUNCTION("""COMPUTED_VALUE"""),"0102890859 / 252610235")</f>
        <v>0102890859 / 252610235</v>
      </c>
      <c r="C127" s="1" t="str">
        <f>IFERROR(__xludf.DUMMYFUNCTION("""COMPUTED_VALUE"""),"Hadir")</f>
        <v>Hadir</v>
      </c>
      <c r="D127" s="1" t="str">
        <f>IFERROR(__xludf.DUMMYFUNCTION("""COMPUTED_VALUE"""),"psikolog.qurrotaayun@gmail.com")</f>
        <v>psikolog.qurrotaayun@gmail.com</v>
      </c>
      <c r="E127" s="1"/>
      <c r="F127" s="1"/>
      <c r="G127" s="1"/>
      <c r="H127" s="1"/>
      <c r="I127" s="1"/>
      <c r="J127" s="1"/>
      <c r="K127" s="1"/>
      <c r="L127" s="1"/>
    </row>
    <row r="128">
      <c r="A128" s="2">
        <f>IFERROR(__xludf.DUMMYFUNCTION("""COMPUTED_VALUE"""),46123.31782631944)</f>
        <v>46123.31783</v>
      </c>
      <c r="B128" s="1" t="str">
        <f>IFERROR(__xludf.DUMMYFUNCTION("""COMPUTED_VALUE"""),"3103220251 / 252610225")</f>
        <v>3103220251 / 252610225</v>
      </c>
      <c r="C128" s="1" t="str">
        <f>IFERROR(__xludf.DUMMYFUNCTION("""COMPUTED_VALUE"""),"Hadir")</f>
        <v>Hadir</v>
      </c>
      <c r="D128" s="1" t="str">
        <f>IFERROR(__xludf.DUMMYFUNCTION("""COMPUTED_VALUE"""),"m.rizza.alfarisi67@gmail.com")</f>
        <v>m.rizza.alfarisi67@gmail.com</v>
      </c>
      <c r="E128" s="1"/>
      <c r="F128" s="1"/>
      <c r="G128" s="1"/>
      <c r="H128" s="1"/>
      <c r="I128" s="1"/>
      <c r="J128" s="1"/>
      <c r="K128" s="1"/>
      <c r="L128" s="1"/>
    </row>
    <row r="129">
      <c r="A129" s="2">
        <f>IFERROR(__xludf.DUMMYFUNCTION("""COMPUTED_VALUE"""),46123.318186261575)</f>
        <v>46123.31819</v>
      </c>
      <c r="B129" s="1" t="str">
        <f>IFERROR(__xludf.DUMMYFUNCTION("""COMPUTED_VALUE"""),"0107487290 / 252610504")</f>
        <v>0107487290 / 252610504</v>
      </c>
      <c r="C129" s="1" t="str">
        <f>IFERROR(__xludf.DUMMYFUNCTION("""COMPUTED_VALUE"""),"Hadir")</f>
        <v>Hadir</v>
      </c>
      <c r="D129" s="1" t="str">
        <f>IFERROR(__xludf.DUMMYFUNCTION("""COMPUTED_VALUE"""),"m.rizza.alfarisi67@gmail.com")</f>
        <v>m.rizza.alfarisi67@gmail.com</v>
      </c>
      <c r="E129" s="1"/>
      <c r="F129" s="1"/>
      <c r="G129" s="1"/>
      <c r="H129" s="1"/>
      <c r="I129" s="1"/>
      <c r="J129" s="1"/>
      <c r="K129" s="1"/>
      <c r="L129" s="1"/>
    </row>
    <row r="130">
      <c r="A130" s="2">
        <f>IFERROR(__xludf.DUMMYFUNCTION("""COMPUTED_VALUE"""),46123.318415648144)</f>
        <v>46123.31842</v>
      </c>
      <c r="B130" s="1" t="str">
        <f>IFERROR(__xludf.DUMMYFUNCTION("""COMPUTED_VALUE"""),"0107936085 / 252610525")</f>
        <v>0107936085 / 252610525</v>
      </c>
      <c r="C130" s="1" t="str">
        <f>IFERROR(__xludf.DUMMYFUNCTION("""COMPUTED_VALUE"""),"Hadir")</f>
        <v>Hadir</v>
      </c>
      <c r="D130" s="1" t="str">
        <f>IFERROR(__xludf.DUMMYFUNCTION("""COMPUTED_VALUE"""),"m.rizza.alfarisi67@gmail.com")</f>
        <v>m.rizza.alfarisi67@gmail.com</v>
      </c>
      <c r="E130" s="1"/>
      <c r="F130" s="1"/>
      <c r="G130" s="1"/>
      <c r="H130" s="1"/>
      <c r="I130" s="1"/>
      <c r="J130" s="1"/>
      <c r="K130" s="1"/>
      <c r="L130" s="1"/>
    </row>
    <row r="131">
      <c r="A131" s="2">
        <f>IFERROR(__xludf.DUMMYFUNCTION("""COMPUTED_VALUE"""),46123.323988738426)</f>
        <v>46123.32399</v>
      </c>
      <c r="B131" s="1" t="str">
        <f>IFERROR(__xludf.DUMMYFUNCTION("""COMPUTED_VALUE"""),"0095243962 / 252610354")</f>
        <v>0095243962 / 252610354</v>
      </c>
      <c r="C131" s="1" t="str">
        <f>IFERROR(__xludf.DUMMYFUNCTION("""COMPUTED_VALUE"""),"Hadir")</f>
        <v>Hadir</v>
      </c>
      <c r="D131" s="1" t="str">
        <f>IFERROR(__xludf.DUMMYFUNCTION("""COMPUTED_VALUE"""),"m.rizza.alfarisi67@gmail.com")</f>
        <v>m.rizza.alfarisi67@gmail.com</v>
      </c>
      <c r="E131" s="1"/>
      <c r="F131" s="1"/>
      <c r="G131" s="1"/>
      <c r="H131" s="1"/>
      <c r="I131" s="1"/>
      <c r="J131" s="1"/>
      <c r="K131" s="1"/>
      <c r="L131" s="1"/>
    </row>
    <row r="132">
      <c r="A132" s="2">
        <f>IFERROR(__xludf.DUMMYFUNCTION("""COMPUTED_VALUE"""),46130.800660821755)</f>
        <v>46130.80066</v>
      </c>
      <c r="B132" s="1" t="str">
        <f>IFERROR(__xludf.DUMMYFUNCTION("""COMPUTED_VALUE"""),"0094426892 / 242510424")</f>
        <v>0094426892 / 242510424</v>
      </c>
      <c r="C132" s="1" t="str">
        <f>IFERROR(__xludf.DUMMYFUNCTION("""COMPUTED_VALUE"""),"Hadir")</f>
        <v>Hadir</v>
      </c>
      <c r="D132" s="1" t="str">
        <f>IFERROR(__xludf.DUMMYFUNCTION("""COMPUTED_VALUE"""),"rhnrra@gmail.com")</f>
        <v>rhnrra@gmail.com</v>
      </c>
      <c r="E132" s="1"/>
      <c r="F132" s="1"/>
      <c r="G132" s="1"/>
      <c r="H132" s="1"/>
      <c r="I132" s="1"/>
      <c r="J132" s="1"/>
      <c r="K132" s="1"/>
      <c r="L132" s="1"/>
    </row>
    <row r="133">
      <c r="A133" s="2">
        <f>IFERROR(__xludf.DUMMYFUNCTION("""COMPUTED_VALUE"""),46130.802030439816)</f>
        <v>46130.80203</v>
      </c>
      <c r="B133" s="1" t="str">
        <f>IFERROR(__xludf.DUMMYFUNCTION("""COMPUTED_VALUE"""),"0083634869 / 242510301")</f>
        <v>0083634869 / 242510301</v>
      </c>
      <c r="C133" s="1" t="str">
        <f>IFERROR(__xludf.DUMMYFUNCTION("""COMPUTED_VALUE"""),"Hadir")</f>
        <v>Hadir</v>
      </c>
      <c r="D133" s="1" t="str">
        <f>IFERROR(__xludf.DUMMYFUNCTION("""COMPUTED_VALUE"""),"rhnrra@gmail.com")</f>
        <v>rhnrra@gmail.com</v>
      </c>
      <c r="E133" s="1"/>
      <c r="F133" s="1"/>
      <c r="G133" s="1"/>
      <c r="H133" s="1"/>
      <c r="I133" s="1"/>
      <c r="J133" s="1"/>
      <c r="K133" s="1"/>
      <c r="L133" s="1"/>
    </row>
    <row r="134">
      <c r="A134" s="2">
        <f>IFERROR(__xludf.DUMMYFUNCTION("""COMPUTED_VALUE"""),46137.32635916666)</f>
        <v>46137.32636</v>
      </c>
      <c r="B134" s="1" t="str">
        <f>IFERROR(__xludf.DUMMYFUNCTION("""COMPUTED_VALUE"""),"0105614197 / 252610547")</f>
        <v>0105614197 / 252610547</v>
      </c>
      <c r="C134" s="1" t="str">
        <f>IFERROR(__xludf.DUMMYFUNCTION("""COMPUTED_VALUE"""),"Hadir")</f>
        <v>Hadir</v>
      </c>
      <c r="D134" s="1" t="str">
        <f>IFERROR(__xludf.DUMMYFUNCTION("""COMPUTED_VALUE"""),"m.rizza.alfarisi67@gmail.com")</f>
        <v>m.rizza.alfarisi67@gmail.com</v>
      </c>
      <c r="E134" s="1"/>
      <c r="F134" s="1"/>
      <c r="G134" s="1"/>
      <c r="H134" s="1"/>
      <c r="I134" s="1"/>
      <c r="J134" s="1"/>
      <c r="K134" s="1"/>
      <c r="L134" s="1"/>
    </row>
    <row r="135">
      <c r="A135" s="2">
        <f>IFERROR(__xludf.DUMMYFUNCTION("""COMPUTED_VALUE"""),46137.326930462965)</f>
        <v>46137.32693</v>
      </c>
      <c r="B135" s="1" t="str">
        <f>IFERROR(__xludf.DUMMYFUNCTION("""COMPUTED_VALUE"""),"0092241333 / 252610113")</f>
        <v>0092241333 / 252610113</v>
      </c>
      <c r="C135" s="1" t="str">
        <f>IFERROR(__xludf.DUMMYFUNCTION("""COMPUTED_VALUE"""),"Hadir")</f>
        <v>Hadir</v>
      </c>
      <c r="D135" s="1" t="str">
        <f>IFERROR(__xludf.DUMMYFUNCTION("""COMPUTED_VALUE"""),"m.rizza.alfarisi67@gmail.com")</f>
        <v>m.rizza.alfarisi67@gmail.com</v>
      </c>
      <c r="E135" s="1"/>
      <c r="F135" s="1"/>
      <c r="G135" s="1"/>
      <c r="H135" s="1"/>
      <c r="I135" s="1"/>
      <c r="J135" s="1"/>
      <c r="K135" s="1"/>
      <c r="L135" s="1"/>
    </row>
    <row r="136">
      <c r="A136" s="2">
        <f>IFERROR(__xludf.DUMMYFUNCTION("""COMPUTED_VALUE"""),46137.32707642361)</f>
        <v>46137.32708</v>
      </c>
      <c r="B136" s="1" t="str">
        <f>IFERROR(__xludf.DUMMYFUNCTION("""COMPUTED_VALUE"""),"0093078917 / 252610252")</f>
        <v>0093078917 / 252610252</v>
      </c>
      <c r="C136" s="1" t="str">
        <f>IFERROR(__xludf.DUMMYFUNCTION("""COMPUTED_VALUE"""),"Hadir")</f>
        <v>Hadir</v>
      </c>
      <c r="D136" s="1" t="str">
        <f>IFERROR(__xludf.DUMMYFUNCTION("""COMPUTED_VALUE"""),"m.rizza.alfarisi67@gmail.com")</f>
        <v>m.rizza.alfarisi67@gmail.com</v>
      </c>
      <c r="E136" s="1"/>
      <c r="F136" s="1"/>
      <c r="G136" s="1"/>
      <c r="H136" s="1"/>
      <c r="I136" s="1"/>
      <c r="J136" s="1"/>
      <c r="K136" s="1"/>
      <c r="L136" s="1"/>
    </row>
    <row r="137">
      <c r="A137" s="2">
        <f>IFERROR(__xludf.DUMMYFUNCTION("""COMPUTED_VALUE"""),46137.32731717592)</f>
        <v>46137.32732</v>
      </c>
      <c r="B137" s="1" t="str">
        <f>IFERROR(__xludf.DUMMYFUNCTION("""COMPUTED_VALUE"""),"0107936085 / 252610525")</f>
        <v>0107936085 / 252610525</v>
      </c>
      <c r="C137" s="1" t="str">
        <f>IFERROR(__xludf.DUMMYFUNCTION("""COMPUTED_VALUE"""),"Hadir")</f>
        <v>Hadir</v>
      </c>
      <c r="D137" s="1" t="str">
        <f>IFERROR(__xludf.DUMMYFUNCTION("""COMPUTED_VALUE"""),"m.rizza.alfarisi67@gmail.com")</f>
        <v>m.rizza.alfarisi67@gmail.com</v>
      </c>
      <c r="E137" s="1"/>
      <c r="F137" s="1"/>
      <c r="G137" s="1"/>
      <c r="H137" s="1"/>
      <c r="I137" s="1"/>
      <c r="J137" s="1"/>
      <c r="K137" s="1"/>
      <c r="L137" s="1"/>
    </row>
    <row r="138">
      <c r="A138" s="2">
        <f>IFERROR(__xludf.DUMMYFUNCTION("""COMPUTED_VALUE"""),46137.32744422454)</f>
        <v>46137.32744</v>
      </c>
      <c r="B138" s="1" t="str">
        <f>IFERROR(__xludf.DUMMYFUNCTION("""COMPUTED_VALUE"""),"0107487290 / 252610504")</f>
        <v>0107487290 / 252610504</v>
      </c>
      <c r="C138" s="1" t="str">
        <f>IFERROR(__xludf.DUMMYFUNCTION("""COMPUTED_VALUE"""),"Hadir")</f>
        <v>Hadir</v>
      </c>
      <c r="D138" s="1" t="str">
        <f>IFERROR(__xludf.DUMMYFUNCTION("""COMPUTED_VALUE"""),"m.rizza.alfarisi67@gmail.com")</f>
        <v>m.rizza.alfarisi67@gmail.com</v>
      </c>
      <c r="E138" s="1"/>
      <c r="F138" s="1"/>
      <c r="G138" s="1"/>
      <c r="H138" s="1"/>
      <c r="I138" s="1"/>
      <c r="J138" s="1"/>
      <c r="K138" s="1"/>
      <c r="L138" s="1"/>
    </row>
    <row r="139">
      <c r="A139" s="2">
        <f>IFERROR(__xludf.DUMMYFUNCTION("""COMPUTED_VALUE"""),46137.32810572917)</f>
        <v>46137.32811</v>
      </c>
      <c r="B139" s="1" t="str">
        <f>IFERROR(__xludf.DUMMYFUNCTION("""COMPUTED_VALUE"""),"0093678218 / 252610333")</f>
        <v>0093678218 / 252610333</v>
      </c>
      <c r="C139" s="1" t="str">
        <f>IFERROR(__xludf.DUMMYFUNCTION("""COMPUTED_VALUE"""),"Hadir")</f>
        <v>Hadir</v>
      </c>
      <c r="D139" s="1" t="str">
        <f>IFERROR(__xludf.DUMMYFUNCTION("""COMPUTED_VALUE"""),"m.rizza.alfarisi67@gmail.com")</f>
        <v>m.rizza.alfarisi67@gmail.com</v>
      </c>
      <c r="E139" s="1"/>
      <c r="F139" s="1"/>
      <c r="G139" s="1"/>
      <c r="H139" s="1"/>
      <c r="I139" s="1"/>
      <c r="J139" s="1"/>
      <c r="K139" s="1"/>
      <c r="L139" s="1"/>
    </row>
    <row r="140">
      <c r="A140" s="2">
        <f>IFERROR(__xludf.DUMMYFUNCTION("""COMPUTED_VALUE"""),46137.33599756945)</f>
        <v>46137.336</v>
      </c>
      <c r="B140" s="1" t="str">
        <f>IFERROR(__xludf.DUMMYFUNCTION("""COMPUTED_VALUE"""),"0094782869 / 252610200")</f>
        <v>0094782869 / 252610200</v>
      </c>
      <c r="C140" s="1" t="str">
        <f>IFERROR(__xludf.DUMMYFUNCTION("""COMPUTED_VALUE"""),"Hadir")</f>
        <v>Hadir</v>
      </c>
      <c r="D140" s="1" t="str">
        <f>IFERROR(__xludf.DUMMYFUNCTION("""COMPUTED_VALUE"""),"m.rizza.alfarisi67@gmail.com")</f>
        <v>m.rizza.alfarisi67@gmail.com</v>
      </c>
      <c r="E140" s="1"/>
      <c r="F140" s="1"/>
      <c r="G140" s="1"/>
      <c r="H140" s="1"/>
      <c r="I140" s="1"/>
      <c r="J140" s="1"/>
      <c r="K140" s="1"/>
      <c r="L140" s="1"/>
    </row>
    <row r="141">
      <c r="A141" s="2">
        <f>IFERROR(__xludf.DUMMYFUNCTION("""COMPUTED_VALUE"""),46137.37826498842)</f>
        <v>46137.37826</v>
      </c>
      <c r="B141" s="1" t="str">
        <f>IFERROR(__xludf.DUMMYFUNCTION("""COMPUTED_VALUE"""),"0102208567 / 252610283")</f>
        <v>0102208567 / 252610283</v>
      </c>
      <c r="C141" s="1" t="str">
        <f>IFERROR(__xludf.DUMMYFUNCTION("""COMPUTED_VALUE"""),"Hadir")</f>
        <v>Hadir</v>
      </c>
      <c r="D141" s="1" t="str">
        <f>IFERROR(__xludf.DUMMYFUNCTION("""COMPUTED_VALUE"""),"zhafirafathinilmira@gmail.com")</f>
        <v>zhafirafathinilmira@gmail.com</v>
      </c>
      <c r="E141" s="1"/>
      <c r="F141" s="1"/>
      <c r="G141" s="1"/>
      <c r="H141" s="1"/>
      <c r="I141" s="1"/>
      <c r="J141" s="1"/>
      <c r="K141" s="1"/>
      <c r="L141" s="1"/>
    </row>
    <row r="142">
      <c r="A142" s="2">
        <f>IFERROR(__xludf.DUMMYFUNCTION("""COMPUTED_VALUE"""),46137.37855130787)</f>
        <v>46137.37855</v>
      </c>
      <c r="B142" s="1" t="str">
        <f>IFERROR(__xludf.DUMMYFUNCTION("""COMPUTED_VALUE"""),"0108718382 / 252610521")</f>
        <v>0108718382 / 252610521</v>
      </c>
      <c r="C142" s="1" t="str">
        <f>IFERROR(__xludf.DUMMYFUNCTION("""COMPUTED_VALUE"""),"Hadir")</f>
        <v>Hadir</v>
      </c>
      <c r="D142" s="1" t="str">
        <f>IFERROR(__xludf.DUMMYFUNCTION("""COMPUTED_VALUE"""),"zhafirafathinilmira@gmail.com")</f>
        <v>zhafirafathinilmira@gmail.com</v>
      </c>
      <c r="E142" s="1"/>
      <c r="F142" s="1"/>
      <c r="G142" s="1"/>
      <c r="H142" s="1"/>
      <c r="I142" s="1"/>
      <c r="J142" s="1"/>
      <c r="K142" s="1"/>
      <c r="L142" s="1"/>
    </row>
    <row r="143">
      <c r="A143" s="2">
        <f>IFERROR(__xludf.DUMMYFUNCTION("""COMPUTED_VALUE"""),46137.49163412037)</f>
        <v>46137.49163</v>
      </c>
      <c r="B143" s="1" t="str">
        <f>IFERROR(__xludf.DUMMYFUNCTION("""COMPUTED_VALUE"""),"0091524155 / 252610179")</f>
        <v>0091524155 / 252610179</v>
      </c>
      <c r="C143" s="1" t="str">
        <f>IFERROR(__xludf.DUMMYFUNCTION("""COMPUTED_VALUE"""),"Hadir")</f>
        <v>Hadir</v>
      </c>
      <c r="D143" s="1" t="str">
        <f>IFERROR(__xludf.DUMMYFUNCTION("""COMPUTED_VALUE"""),"shafaananda20@gmail.com")</f>
        <v>shafaananda20@gmail.com</v>
      </c>
      <c r="E143" s="1"/>
      <c r="F143" s="1"/>
      <c r="G143" s="1"/>
      <c r="H143" s="1"/>
      <c r="I143" s="1"/>
      <c r="J143" s="1"/>
      <c r="K143" s="1"/>
      <c r="L143" s="1"/>
    </row>
    <row r="144">
      <c r="A144" s="2">
        <f>IFERROR(__xludf.DUMMYFUNCTION("""COMPUTED_VALUE"""),46137.491806921294)</f>
        <v>46137.49181</v>
      </c>
      <c r="B144" s="1" t="str">
        <f>IFERROR(__xludf.DUMMYFUNCTION("""COMPUTED_VALUE"""),"0106758481 / 252610064")</f>
        <v>0106758481 / 252610064</v>
      </c>
      <c r="C144" s="1" t="str">
        <f>IFERROR(__xludf.DUMMYFUNCTION("""COMPUTED_VALUE"""),"Hadir")</f>
        <v>Hadir</v>
      </c>
      <c r="D144" s="1" t="str">
        <f>IFERROR(__xludf.DUMMYFUNCTION("""COMPUTED_VALUE"""),"shafaananda20@gmail.com")</f>
        <v>shafaananda20@gmail.com</v>
      </c>
      <c r="E144" s="1"/>
      <c r="F144" s="1"/>
      <c r="G144" s="1"/>
      <c r="H144" s="1"/>
      <c r="I144" s="1"/>
      <c r="J144" s="1"/>
      <c r="K144" s="1"/>
      <c r="L144" s="1"/>
    </row>
    <row r="145">
      <c r="A145" s="2">
        <f>IFERROR(__xludf.DUMMYFUNCTION("""COMPUTED_VALUE"""),46137.49196842592)</f>
        <v>46137.49197</v>
      </c>
      <c r="B145" s="1" t="str">
        <f>IFERROR(__xludf.DUMMYFUNCTION("""COMPUTED_VALUE"""),"0099164493 / 252610156")</f>
        <v>0099164493 / 252610156</v>
      </c>
      <c r="C145" s="1" t="str">
        <f>IFERROR(__xludf.DUMMYFUNCTION("""COMPUTED_VALUE"""),"Hadir")</f>
        <v>Hadir</v>
      </c>
      <c r="D145" s="1" t="str">
        <f>IFERROR(__xludf.DUMMYFUNCTION("""COMPUTED_VALUE"""),"shafaananda20@gmail.com")</f>
        <v>shafaananda20@gmail.com</v>
      </c>
      <c r="E145" s="1"/>
      <c r="F145" s="1"/>
      <c r="G145" s="1"/>
      <c r="H145" s="1"/>
      <c r="I145" s="1"/>
      <c r="J145" s="1"/>
      <c r="K145" s="1"/>
      <c r="L145" s="1"/>
    </row>
    <row r="146">
      <c r="A146" s="2">
        <f>IFERROR(__xludf.DUMMYFUNCTION("""COMPUTED_VALUE"""),46137.49211115741)</f>
        <v>46137.49211</v>
      </c>
      <c r="B146" s="1" t="str">
        <f>IFERROR(__xludf.DUMMYFUNCTION("""COMPUTED_VALUE"""),"0106222604 / 252610254")</f>
        <v>0106222604 / 252610254</v>
      </c>
      <c r="C146" s="1" t="str">
        <f>IFERROR(__xludf.DUMMYFUNCTION("""COMPUTED_VALUE"""),"Hadir")</f>
        <v>Hadir</v>
      </c>
      <c r="D146" s="1" t="str">
        <f>IFERROR(__xludf.DUMMYFUNCTION("""COMPUTED_VALUE"""),"shafaananda20@gmail.com")</f>
        <v>shafaananda20@gmail.com</v>
      </c>
      <c r="E146" s="1"/>
      <c r="F146" s="1"/>
      <c r="G146" s="1"/>
      <c r="H146" s="1"/>
      <c r="I146" s="1"/>
      <c r="J146" s="1"/>
      <c r="K146" s="1"/>
      <c r="L146" s="1"/>
    </row>
    <row r="147">
      <c r="A147" s="2">
        <f>IFERROR(__xludf.DUMMYFUNCTION("""COMPUTED_VALUE"""),46137.49232334491)</f>
        <v>46137.49232</v>
      </c>
      <c r="B147" s="1" t="str">
        <f>IFERROR(__xludf.DUMMYFUNCTION("""COMPUTED_VALUE"""),"3096764634 / 252610025")</f>
        <v>3096764634 / 252610025</v>
      </c>
      <c r="C147" s="1" t="str">
        <f>IFERROR(__xludf.DUMMYFUNCTION("""COMPUTED_VALUE"""),"Hadir")</f>
        <v>Hadir</v>
      </c>
      <c r="D147" s="1" t="str">
        <f>IFERROR(__xludf.DUMMYFUNCTION("""COMPUTED_VALUE"""),"shafaananda20@gmail.com")</f>
        <v>shafaananda20@gmail.com</v>
      </c>
      <c r="E147" s="1"/>
      <c r="F147" s="1"/>
      <c r="G147" s="1"/>
      <c r="H147" s="1"/>
      <c r="I147" s="1"/>
      <c r="J147" s="1"/>
      <c r="K147" s="1"/>
      <c r="L147" s="1"/>
    </row>
    <row r="148">
      <c r="A148" s="2">
        <f>IFERROR(__xludf.DUMMYFUNCTION("""COMPUTED_VALUE"""),46137.4924587037)</f>
        <v>46137.49246</v>
      </c>
      <c r="B148" s="1" t="str">
        <f>IFERROR(__xludf.DUMMYFUNCTION("""COMPUTED_VALUE"""),"0101401010 / 252610051")</f>
        <v>0101401010 / 252610051</v>
      </c>
      <c r="C148" s="1" t="str">
        <f>IFERROR(__xludf.DUMMYFUNCTION("""COMPUTED_VALUE"""),"Hadir")</f>
        <v>Hadir</v>
      </c>
      <c r="D148" s="1" t="str">
        <f>IFERROR(__xludf.DUMMYFUNCTION("""COMPUTED_VALUE"""),"shafaananda20@gmail.com")</f>
        <v>shafaananda20@gmail.com</v>
      </c>
      <c r="E148" s="1"/>
      <c r="F148" s="1"/>
      <c r="G148" s="1"/>
      <c r="H148" s="1"/>
      <c r="I148" s="1"/>
      <c r="J148" s="1"/>
      <c r="K148" s="1"/>
      <c r="L148" s="1"/>
    </row>
    <row r="149">
      <c r="A149" s="2">
        <f>IFERROR(__xludf.DUMMYFUNCTION("""COMPUTED_VALUE"""),46138.82489392361)</f>
        <v>46138.82489</v>
      </c>
      <c r="B149" s="1" t="str">
        <f>IFERROR(__xludf.DUMMYFUNCTION("""COMPUTED_VALUE"""),"0108389311 / 252610037")</f>
        <v>0108389311 / 252610037</v>
      </c>
      <c r="C149" s="1" t="str">
        <f>IFERROR(__xludf.DUMMYFUNCTION("""COMPUTED_VALUE"""),"Hadir")</f>
        <v>Hadir</v>
      </c>
      <c r="D149" s="1" t="str">
        <f>IFERROR(__xludf.DUMMYFUNCTION("""COMPUTED_VALUE"""),"rhnrra@gmail.com")</f>
        <v>rhnrra@gmail.com</v>
      </c>
      <c r="E149" s="1"/>
      <c r="F149" s="1"/>
      <c r="G149" s="1"/>
      <c r="H149" s="1"/>
      <c r="I149" s="1"/>
      <c r="J149" s="1"/>
      <c r="K149" s="1"/>
      <c r="L149" s="1"/>
    </row>
    <row r="150">
      <c r="A150" s="2">
        <f>IFERROR(__xludf.DUMMYFUNCTION("""COMPUTED_VALUE"""),46138.82587221065)</f>
        <v>46138.82587</v>
      </c>
      <c r="B150" s="1" t="str">
        <f>IFERROR(__xludf.DUMMYFUNCTION("""COMPUTED_VALUE"""),"0098248691 / 252610168")</f>
        <v>0098248691 / 252610168</v>
      </c>
      <c r="C150" s="1" t="str">
        <f>IFERROR(__xludf.DUMMYFUNCTION("""COMPUTED_VALUE"""),"Hadir")</f>
        <v>Hadir</v>
      </c>
      <c r="D150" s="1" t="str">
        <f>IFERROR(__xludf.DUMMYFUNCTION("""COMPUTED_VALUE"""),"rhnrra@gmail.com")</f>
        <v>rhnrra@gmail.com</v>
      </c>
      <c r="E150" s="1"/>
      <c r="F150" s="1"/>
      <c r="G150" s="1"/>
      <c r="H150" s="1"/>
      <c r="I150" s="1"/>
      <c r="J150" s="1"/>
      <c r="K150" s="1"/>
      <c r="L150" s="1"/>
    </row>
    <row r="151">
      <c r="A151" s="2">
        <f>IFERROR(__xludf.DUMMYFUNCTION("""COMPUTED_VALUE"""),46138.826619803236)</f>
        <v>46138.82662</v>
      </c>
      <c r="B151" s="1" t="str">
        <f>IFERROR(__xludf.DUMMYFUNCTION("""COMPUTED_VALUE"""),"0105616025 / 252610169")</f>
        <v>0105616025 / 252610169</v>
      </c>
      <c r="C151" s="1" t="str">
        <f>IFERROR(__xludf.DUMMYFUNCTION("""COMPUTED_VALUE"""),"Hadir")</f>
        <v>Hadir</v>
      </c>
      <c r="D151" s="1" t="str">
        <f>IFERROR(__xludf.DUMMYFUNCTION("""COMPUTED_VALUE"""),"rhnrra@gmail.com")</f>
        <v>rhnrra@gmail.com</v>
      </c>
      <c r="E151" s="1"/>
      <c r="F151" s="1"/>
      <c r="G151" s="1"/>
      <c r="H151" s="1"/>
      <c r="I151" s="1"/>
      <c r="J151" s="1"/>
      <c r="K151" s="1"/>
      <c r="L151" s="1"/>
    </row>
    <row r="152">
      <c r="A152" s="2">
        <f>IFERROR(__xludf.DUMMYFUNCTION("""COMPUTED_VALUE"""),46138.82705497685)</f>
        <v>46138.82705</v>
      </c>
      <c r="B152" s="1" t="str">
        <f>IFERROR(__xludf.DUMMYFUNCTION("""COMPUTED_VALUE"""),"0102329313 / 252610222")</f>
        <v>0102329313 / 252610222</v>
      </c>
      <c r="C152" s="1" t="str">
        <f>IFERROR(__xludf.DUMMYFUNCTION("""COMPUTED_VALUE"""),"Hadir")</f>
        <v>Hadir</v>
      </c>
      <c r="D152" s="1" t="str">
        <f>IFERROR(__xludf.DUMMYFUNCTION("""COMPUTED_VALUE"""),"rhnrra@gmail.com")</f>
        <v>rhnrra@gmail.com</v>
      </c>
      <c r="E152" s="1"/>
      <c r="F152" s="1"/>
      <c r="G152" s="1"/>
      <c r="H152" s="1"/>
      <c r="I152" s="1"/>
      <c r="J152" s="1"/>
      <c r="K152" s="1"/>
      <c r="L152" s="1"/>
    </row>
    <row r="153">
      <c r="A153" s="2">
        <f>IFERROR(__xludf.DUMMYFUNCTION("""COMPUTED_VALUE"""),46138.82745001157)</f>
        <v>46138.82745</v>
      </c>
      <c r="B153" s="1" t="str">
        <f>IFERROR(__xludf.DUMMYFUNCTION("""COMPUTED_VALUE"""),"0093849649 / 252610234")</f>
        <v>0093849649 / 252610234</v>
      </c>
      <c r="C153" s="1" t="str">
        <f>IFERROR(__xludf.DUMMYFUNCTION("""COMPUTED_VALUE"""),"Hadir")</f>
        <v>Hadir</v>
      </c>
      <c r="D153" s="1" t="str">
        <f>IFERROR(__xludf.DUMMYFUNCTION("""COMPUTED_VALUE"""),"rhnrra@gmail.com")</f>
        <v>rhnrra@gmail.com</v>
      </c>
      <c r="E153" s="1"/>
      <c r="F153" s="1"/>
      <c r="G153" s="1"/>
      <c r="H153" s="1"/>
      <c r="I153" s="1"/>
      <c r="J153" s="1"/>
      <c r="K153" s="1"/>
      <c r="L153" s="1"/>
    </row>
    <row r="154">
      <c r="A154" s="2">
        <f>IFERROR(__xludf.DUMMYFUNCTION("""COMPUTED_VALUE"""),46138.82782684028)</f>
        <v>46138.82783</v>
      </c>
      <c r="B154" s="1" t="str">
        <f>IFERROR(__xludf.DUMMYFUNCTION("""COMPUTED_VALUE"""),"0104574006 / 252610262")</f>
        <v>0104574006 / 252610262</v>
      </c>
      <c r="C154" s="1" t="str">
        <f>IFERROR(__xludf.DUMMYFUNCTION("""COMPUTED_VALUE"""),"Hadir")</f>
        <v>Hadir</v>
      </c>
      <c r="D154" s="1" t="str">
        <f>IFERROR(__xludf.DUMMYFUNCTION("""COMPUTED_VALUE"""),"rhnrra@gmail.com")</f>
        <v>rhnrra@gmail.com</v>
      </c>
      <c r="E154" s="1"/>
      <c r="F154" s="1"/>
      <c r="G154" s="1"/>
      <c r="H154" s="1"/>
      <c r="I154" s="1"/>
      <c r="J154" s="1"/>
      <c r="K154" s="1"/>
      <c r="L154" s="1"/>
    </row>
    <row r="155">
      <c r="A155" s="2">
        <f>IFERROR(__xludf.DUMMYFUNCTION("""COMPUTED_VALUE"""),46151.42058842593)</f>
        <v>46151.42059</v>
      </c>
      <c r="B155" s="1" t="str">
        <f>IFERROR(__xludf.DUMMYFUNCTION("""COMPUTED_VALUE"""),"0106758481 / 252610064")</f>
        <v>0106758481 / 252610064</v>
      </c>
      <c r="C155" s="1" t="str">
        <f>IFERROR(__xludf.DUMMYFUNCTION("""COMPUTED_VALUE"""),"Hadir")</f>
        <v>Hadir</v>
      </c>
      <c r="D155" s="1" t="str">
        <f>IFERROR(__xludf.DUMMYFUNCTION("""COMPUTED_VALUE"""),"shafaananda20@gmail.com")</f>
        <v>shafaananda20@gmail.com</v>
      </c>
      <c r="E155" s="1"/>
      <c r="F155" s="1"/>
      <c r="G155" s="1"/>
      <c r="H155" s="1"/>
      <c r="I155" s="1"/>
      <c r="J155" s="1"/>
      <c r="K155" s="1"/>
      <c r="L155" s="1"/>
    </row>
    <row r="156">
      <c r="A156" s="2">
        <f>IFERROR(__xludf.DUMMYFUNCTION("""COMPUTED_VALUE"""),46151.42078421296)</f>
        <v>46151.42078</v>
      </c>
      <c r="B156" s="1" t="str">
        <f>IFERROR(__xludf.DUMMYFUNCTION("""COMPUTED_VALUE"""),"0093281671 / 252610159")</f>
        <v>0093281671 / 252610159</v>
      </c>
      <c r="C156" s="1" t="str">
        <f>IFERROR(__xludf.DUMMYFUNCTION("""COMPUTED_VALUE"""),"Hadir")</f>
        <v>Hadir</v>
      </c>
      <c r="D156" s="1" t="str">
        <f>IFERROR(__xludf.DUMMYFUNCTION("""COMPUTED_VALUE"""),"shafaananda20@gmail.com")</f>
        <v>shafaananda20@gmail.com</v>
      </c>
      <c r="E156" s="1"/>
      <c r="F156" s="1"/>
      <c r="G156" s="1"/>
      <c r="H156" s="1"/>
      <c r="I156" s="1"/>
      <c r="J156" s="1"/>
      <c r="K156" s="1"/>
      <c r="L156" s="1"/>
    </row>
    <row r="157">
      <c r="A157" s="2">
        <f>IFERROR(__xludf.DUMMYFUNCTION("""COMPUTED_VALUE"""),46151.42109413195)</f>
        <v>46151.42109</v>
      </c>
      <c r="B157" s="1" t="str">
        <f>IFERROR(__xludf.DUMMYFUNCTION("""COMPUTED_VALUE"""),"0099164493 / 252610156")</f>
        <v>0099164493 / 252610156</v>
      </c>
      <c r="C157" s="1" t="str">
        <f>IFERROR(__xludf.DUMMYFUNCTION("""COMPUTED_VALUE"""),"Hadir")</f>
        <v>Hadir</v>
      </c>
      <c r="D157" s="1" t="str">
        <f>IFERROR(__xludf.DUMMYFUNCTION("""COMPUTED_VALUE"""),"shafaananda20@gmail.com")</f>
        <v>shafaananda20@gmail.com</v>
      </c>
      <c r="E157" s="1"/>
      <c r="F157" s="1"/>
      <c r="G157" s="1"/>
      <c r="H157" s="1"/>
      <c r="I157" s="1"/>
      <c r="J157" s="1"/>
      <c r="K157" s="1"/>
      <c r="L157" s="1"/>
    </row>
    <row r="158">
      <c r="A158" s="2">
        <f>IFERROR(__xludf.DUMMYFUNCTION("""COMPUTED_VALUE"""),46151.42126649305)</f>
        <v>46151.42127</v>
      </c>
      <c r="B158" s="1" t="str">
        <f>IFERROR(__xludf.DUMMYFUNCTION("""COMPUTED_VALUE"""),"0106222604 / 252610254")</f>
        <v>0106222604 / 252610254</v>
      </c>
      <c r="C158" s="1" t="str">
        <f>IFERROR(__xludf.DUMMYFUNCTION("""COMPUTED_VALUE"""),"Hadir")</f>
        <v>Hadir</v>
      </c>
      <c r="D158" s="1" t="str">
        <f>IFERROR(__xludf.DUMMYFUNCTION("""COMPUTED_VALUE"""),"shafaananda20@gmail.com")</f>
        <v>shafaananda20@gmail.com</v>
      </c>
      <c r="E158" s="1"/>
      <c r="F158" s="1"/>
      <c r="G158" s="1"/>
      <c r="H158" s="1"/>
      <c r="I158" s="1"/>
      <c r="J158" s="1"/>
      <c r="K158" s="1"/>
      <c r="L158" s="1"/>
    </row>
    <row r="159">
      <c r="A159" s="2">
        <f>IFERROR(__xludf.DUMMYFUNCTION("""COMPUTED_VALUE"""),46151.421526875)</f>
        <v>46151.42153</v>
      </c>
      <c r="B159" s="1" t="str">
        <f>IFERROR(__xludf.DUMMYFUNCTION("""COMPUTED_VALUE"""),"3096764634 / 252610025")</f>
        <v>3096764634 / 252610025</v>
      </c>
      <c r="C159" s="1" t="str">
        <f>IFERROR(__xludf.DUMMYFUNCTION("""COMPUTED_VALUE"""),"Hadir")</f>
        <v>Hadir</v>
      </c>
      <c r="D159" s="1" t="str">
        <f>IFERROR(__xludf.DUMMYFUNCTION("""COMPUTED_VALUE"""),"shafaananda20@gmail.com")</f>
        <v>shafaananda20@gmail.com</v>
      </c>
      <c r="E159" s="1"/>
      <c r="F159" s="1"/>
      <c r="G159" s="1"/>
      <c r="H159" s="1"/>
      <c r="I159" s="1"/>
      <c r="J159" s="1"/>
      <c r="K159" s="1"/>
      <c r="L159" s="1"/>
    </row>
    <row r="160">
      <c r="A160" s="2">
        <f>IFERROR(__xludf.DUMMYFUNCTION("""COMPUTED_VALUE"""),46151.42168028935)</f>
        <v>46151.42168</v>
      </c>
      <c r="B160" s="1" t="str">
        <f>IFERROR(__xludf.DUMMYFUNCTION("""COMPUTED_VALUE"""),"0101401010 / 252610051")</f>
        <v>0101401010 / 252610051</v>
      </c>
      <c r="C160" s="1" t="str">
        <f>IFERROR(__xludf.DUMMYFUNCTION("""COMPUTED_VALUE"""),"Hadir")</f>
        <v>Hadir</v>
      </c>
      <c r="D160" s="1" t="str">
        <f>IFERROR(__xludf.DUMMYFUNCTION("""COMPUTED_VALUE"""),"shafaananda20@gmail.com")</f>
        <v>shafaananda20@gmail.com</v>
      </c>
      <c r="E160" s="1"/>
      <c r="F160" s="1"/>
      <c r="G160" s="1"/>
      <c r="H160" s="1"/>
      <c r="I160" s="1"/>
      <c r="J160" s="1"/>
      <c r="K160" s="1"/>
      <c r="L160" s="1"/>
    </row>
    <row r="161">
      <c r="A161" s="2">
        <f>IFERROR(__xludf.DUMMYFUNCTION("""COMPUTED_VALUE"""),46151.421842951386)</f>
        <v>46151.42184</v>
      </c>
      <c r="B161" s="1" t="str">
        <f>IFERROR(__xludf.DUMMYFUNCTION("""COMPUTED_VALUE"""),"0105055119 / 252610264")</f>
        <v>0105055119 / 252610264</v>
      </c>
      <c r="C161" s="1" t="str">
        <f>IFERROR(__xludf.DUMMYFUNCTION("""COMPUTED_VALUE"""),"Hadir")</f>
        <v>Hadir</v>
      </c>
      <c r="D161" s="1" t="str">
        <f>IFERROR(__xludf.DUMMYFUNCTION("""COMPUTED_VALUE"""),"shafaananda20@gmail.com")</f>
        <v>shafaananda20@gmail.com</v>
      </c>
      <c r="E161" s="1"/>
      <c r="F161" s="1"/>
      <c r="G161" s="1"/>
      <c r="H161" s="1"/>
      <c r="I161" s="1"/>
      <c r="J161" s="1"/>
      <c r="K161" s="1"/>
      <c r="L161" s="1"/>
    </row>
    <row r="162">
      <c r="A162" s="2">
        <f>IFERROR(__xludf.DUMMYFUNCTION("""COMPUTED_VALUE"""),46151.83525981482)</f>
        <v>46151.83526</v>
      </c>
      <c r="B162" s="1" t="str">
        <f>IFERROR(__xludf.DUMMYFUNCTION("""COMPUTED_VALUE"""),"0099772945 / 252610324")</f>
        <v>0099772945 / 252610324</v>
      </c>
      <c r="C162" s="1" t="str">
        <f>IFERROR(__xludf.DUMMYFUNCTION("""COMPUTED_VALUE"""),"Hadir")</f>
        <v>Hadir</v>
      </c>
      <c r="D162" s="1" t="str">
        <f>IFERROR(__xludf.DUMMYFUNCTION("""COMPUTED_VALUE"""),"rekhsaangkasawan@gmail.com")</f>
        <v>rekhsaangkasawan@gmail.com</v>
      </c>
      <c r="E162" s="1"/>
      <c r="F162" s="1"/>
      <c r="G162" s="1"/>
      <c r="H162" s="1"/>
      <c r="I162" s="1"/>
      <c r="J162" s="1"/>
      <c r="K162" s="1"/>
      <c r="L162" s="1"/>
    </row>
    <row r="163">
      <c r="A163" s="2">
        <f>IFERROR(__xludf.DUMMYFUNCTION("""COMPUTED_VALUE"""),46151.997722534725)</f>
        <v>46151.99772</v>
      </c>
      <c r="B163" s="1" t="str">
        <f>IFERROR(__xludf.DUMMYFUNCTION("""COMPUTED_VALUE"""),"0104895570 / 252610099")</f>
        <v>0104895570 / 252610099</v>
      </c>
      <c r="C163" s="1" t="str">
        <f>IFERROR(__xludf.DUMMYFUNCTION("""COMPUTED_VALUE"""),"Hadir")</f>
        <v>Hadir</v>
      </c>
      <c r="D163" s="1" t="str">
        <f>IFERROR(__xludf.DUMMYFUNCTION("""COMPUTED_VALUE"""),"rhnrra@gmail.com")</f>
        <v>rhnrra@gmail.com</v>
      </c>
      <c r="E163" s="1"/>
      <c r="F163" s="1"/>
      <c r="G163" s="1"/>
      <c r="H163" s="1"/>
      <c r="I163" s="1"/>
      <c r="J163" s="1"/>
      <c r="K163" s="1"/>
      <c r="L163" s="1"/>
    </row>
    <row r="164">
      <c r="A164" s="2">
        <f>IFERROR(__xludf.DUMMYFUNCTION("""COMPUTED_VALUE"""),46151.998399027776)</f>
        <v>46151.9984</v>
      </c>
      <c r="B164" s="1" t="str">
        <f>IFERROR(__xludf.DUMMYFUNCTION("""COMPUTED_VALUE"""),"0098248691 / 252610168")</f>
        <v>0098248691 / 252610168</v>
      </c>
      <c r="C164" s="1" t="str">
        <f>IFERROR(__xludf.DUMMYFUNCTION("""COMPUTED_VALUE"""),"Hadir")</f>
        <v>Hadir</v>
      </c>
      <c r="D164" s="1" t="str">
        <f>IFERROR(__xludf.DUMMYFUNCTION("""COMPUTED_VALUE"""),"rhnrra@gmail.com")</f>
        <v>rhnrra@gmail.com</v>
      </c>
      <c r="E164" s="1"/>
      <c r="F164" s="1"/>
      <c r="G164" s="1"/>
      <c r="H164" s="1"/>
      <c r="I164" s="1"/>
      <c r="J164" s="1"/>
      <c r="K164" s="1"/>
      <c r="L164" s="1"/>
    </row>
    <row r="165">
      <c r="A165" s="2">
        <f>IFERROR(__xludf.DUMMYFUNCTION("""COMPUTED_VALUE"""),46151.99885403935)</f>
        <v>46151.99885</v>
      </c>
      <c r="B165" s="1" t="str">
        <f>IFERROR(__xludf.DUMMYFUNCTION("""COMPUTED_VALUE"""),"0102329313 / 252610222")</f>
        <v>0102329313 / 252610222</v>
      </c>
      <c r="C165" s="1" t="str">
        <f>IFERROR(__xludf.DUMMYFUNCTION("""COMPUTED_VALUE"""),"Hadir")</f>
        <v>Hadir</v>
      </c>
      <c r="D165" s="1" t="str">
        <f>IFERROR(__xludf.DUMMYFUNCTION("""COMPUTED_VALUE"""),"rhnrra@gmail.com")</f>
        <v>rhnrra@gmail.com</v>
      </c>
      <c r="E165" s="1"/>
      <c r="F165" s="1"/>
      <c r="G165" s="1"/>
      <c r="H165" s="1"/>
      <c r="I165" s="1"/>
      <c r="J165" s="1"/>
      <c r="K165" s="1"/>
      <c r="L165" s="1"/>
    </row>
    <row r="166">
      <c r="A166" s="2">
        <f>IFERROR(__xludf.DUMMYFUNCTION("""COMPUTED_VALUE"""),46151.999591678235)</f>
        <v>46151.99959</v>
      </c>
      <c r="B166" s="1" t="str">
        <f>IFERROR(__xludf.DUMMYFUNCTION("""COMPUTED_VALUE"""),"0093849649 / 252610234")</f>
        <v>0093849649 / 252610234</v>
      </c>
      <c r="C166" s="1" t="str">
        <f>IFERROR(__xludf.DUMMYFUNCTION("""COMPUTED_VALUE"""),"Hadir")</f>
        <v>Hadir</v>
      </c>
      <c r="D166" s="1" t="str">
        <f>IFERROR(__xludf.DUMMYFUNCTION("""COMPUTED_VALUE"""),"rhnrra@gmail.com")</f>
        <v>rhnrra@gmail.com</v>
      </c>
      <c r="E166" s="1"/>
      <c r="F166" s="1"/>
      <c r="G166" s="1"/>
      <c r="H166" s="1"/>
      <c r="I166" s="1"/>
      <c r="J166" s="1"/>
      <c r="K166" s="1"/>
      <c r="L166" s="1"/>
    </row>
    <row r="167">
      <c r="A167" s="2">
        <f>IFERROR(__xludf.DUMMYFUNCTION("""COMPUTED_VALUE"""),46152.65029857639)</f>
        <v>46152.6503</v>
      </c>
      <c r="B167" s="1" t="str">
        <f>IFERROR(__xludf.DUMMYFUNCTION("""COMPUTED_VALUE"""),"0099772945 / 252610324")</f>
        <v>0099772945 / 252610324</v>
      </c>
      <c r="C167" s="1" t="str">
        <f>IFERROR(__xludf.DUMMYFUNCTION("""COMPUTED_VALUE"""),"Hadir")</f>
        <v>Hadir</v>
      </c>
      <c r="D167" s="1" t="str">
        <f>IFERROR(__xludf.DUMMYFUNCTION("""COMPUTED_VALUE"""),"rekhsaangkasawan@gmail.com")</f>
        <v>rekhsaangkasawan@gmail.com</v>
      </c>
      <c r="E167" s="1"/>
      <c r="F167" s="1"/>
      <c r="G167" s="1"/>
      <c r="H167" s="1"/>
      <c r="I167" s="1"/>
      <c r="J167" s="1"/>
      <c r="K167" s="1"/>
      <c r="L167" s="1"/>
    </row>
    <row r="168">
      <c r="A168" s="2">
        <f>IFERROR(__xludf.DUMMYFUNCTION("""COMPUTED_VALUE"""),46152.650472037036)</f>
        <v>46152.65047</v>
      </c>
      <c r="B168" s="1" t="str">
        <f>IFERROR(__xludf.DUMMYFUNCTION("""COMPUTED_VALUE"""),"0099772945 / 252610324")</f>
        <v>0099772945 / 252610324</v>
      </c>
      <c r="C168" s="1" t="str">
        <f>IFERROR(__xludf.DUMMYFUNCTION("""COMPUTED_VALUE"""),"Hadir")</f>
        <v>Hadir</v>
      </c>
      <c r="D168" s="1" t="str">
        <f>IFERROR(__xludf.DUMMYFUNCTION("""COMPUTED_VALUE"""),"rekhsaangkasawan@gmail.com")</f>
        <v>rekhsaangkasawan@gmail.com</v>
      </c>
      <c r="E168" s="1"/>
      <c r="F168" s="1"/>
      <c r="G168" s="1"/>
      <c r="H168" s="1"/>
      <c r="I168" s="1"/>
      <c r="J168" s="1"/>
      <c r="K168" s="1"/>
      <c r="L168" s="1"/>
    </row>
    <row r="169">
      <c r="A169" s="2">
        <f>IFERROR(__xludf.DUMMYFUNCTION("""COMPUTED_VALUE"""),46152.7897995949)</f>
        <v>46152.7898</v>
      </c>
      <c r="B169" s="1" t="str">
        <f>IFERROR(__xludf.DUMMYFUNCTION("""COMPUTED_VALUE"""),"0098345742 / 252610338")</f>
        <v>0098345742 / 252610338</v>
      </c>
      <c r="C169" s="1" t="str">
        <f>IFERROR(__xludf.DUMMYFUNCTION("""COMPUTED_VALUE"""),"Hadir")</f>
        <v>Hadir</v>
      </c>
      <c r="D169" s="1" t="str">
        <f>IFERROR(__xludf.DUMMYFUNCTION("""COMPUTED_VALUE"""),"rekhsaangkasawan@gmail.com")</f>
        <v>rekhsaangkasawan@gmail.com</v>
      </c>
      <c r="E169" s="1"/>
      <c r="F169" s="1"/>
      <c r="G169" s="1"/>
      <c r="H169" s="1"/>
      <c r="I169" s="1"/>
      <c r="J169" s="1"/>
      <c r="K169" s="1"/>
      <c r="L169" s="1"/>
    </row>
    <row r="170">
      <c r="A170" s="2">
        <f>IFERROR(__xludf.DUMMYFUNCTION("""COMPUTED_VALUE"""),46152.78989480324)</f>
        <v>46152.78989</v>
      </c>
      <c r="B170" s="1" t="str">
        <f>IFERROR(__xludf.DUMMYFUNCTION("""COMPUTED_VALUE"""),"0098345742 / 252610338")</f>
        <v>0098345742 / 252610338</v>
      </c>
      <c r="C170" s="1" t="str">
        <f>IFERROR(__xludf.DUMMYFUNCTION("""COMPUTED_VALUE"""),"Hadir")</f>
        <v>Hadir</v>
      </c>
      <c r="D170" s="1" t="str">
        <f>IFERROR(__xludf.DUMMYFUNCTION("""COMPUTED_VALUE"""),"rekhsaangkasawan@gmail.com")</f>
        <v>rekhsaangkasawan@gmail.com</v>
      </c>
      <c r="E170" s="1"/>
      <c r="F170" s="1"/>
      <c r="G170" s="1"/>
      <c r="H170" s="1"/>
      <c r="I170" s="1"/>
      <c r="J170" s="1"/>
      <c r="K170" s="1"/>
      <c r="L170" s="1"/>
    </row>
    <row r="171">
      <c r="A171" s="2">
        <f>IFERROR(__xludf.DUMMYFUNCTION("""COMPUTED_VALUE"""),46152.79035263888)</f>
        <v>46152.79035</v>
      </c>
      <c r="B171" s="1" t="str">
        <f>IFERROR(__xludf.DUMMYFUNCTION("""COMPUTED_VALUE"""),"0108384400 / 252610320")</f>
        <v>0108384400 / 252610320</v>
      </c>
      <c r="C171" s="1" t="str">
        <f>IFERROR(__xludf.DUMMYFUNCTION("""COMPUTED_VALUE"""),"Hadir")</f>
        <v>Hadir</v>
      </c>
      <c r="D171" s="1" t="str">
        <f>IFERROR(__xludf.DUMMYFUNCTION("""COMPUTED_VALUE"""),"rekhsaangkasawan@gmail.com")</f>
        <v>rekhsaangkasawan@gmail.com</v>
      </c>
      <c r="E171" s="1"/>
      <c r="F171" s="1"/>
      <c r="G171" s="1"/>
      <c r="H171" s="1"/>
      <c r="I171" s="1"/>
      <c r="J171" s="1"/>
      <c r="K171" s="1"/>
      <c r="L171" s="1"/>
    </row>
    <row r="172">
      <c r="A172" s="2">
        <f>IFERROR(__xludf.DUMMYFUNCTION("""COMPUTED_VALUE"""),46152.79045555556)</f>
        <v>46152.79046</v>
      </c>
      <c r="B172" s="1" t="str">
        <f>IFERROR(__xludf.DUMMYFUNCTION("""COMPUTED_VALUE"""),"0108384400 / 252610320")</f>
        <v>0108384400 / 252610320</v>
      </c>
      <c r="C172" s="1" t="str">
        <f>IFERROR(__xludf.DUMMYFUNCTION("""COMPUTED_VALUE"""),"Hadir")</f>
        <v>Hadir</v>
      </c>
      <c r="D172" s="1" t="str">
        <f>IFERROR(__xludf.DUMMYFUNCTION("""COMPUTED_VALUE"""),"rekhsaangkasawan@gmail.com")</f>
        <v>rekhsaangkasawan@gmail.com</v>
      </c>
      <c r="E172" s="1"/>
      <c r="F172" s="1"/>
      <c r="G172" s="1"/>
      <c r="H172" s="1"/>
      <c r="I172" s="1"/>
      <c r="J172" s="1"/>
      <c r="K172" s="1"/>
      <c r="L172" s="1"/>
    </row>
    <row r="173">
      <c r="A173" s="2">
        <f>IFERROR(__xludf.DUMMYFUNCTION("""COMPUTED_VALUE"""),46152.791000972225)</f>
        <v>46152.791</v>
      </c>
      <c r="B173" s="1" t="str">
        <f>IFERROR(__xludf.DUMMYFUNCTION("""COMPUTED_VALUE"""),"0109589144 / 252610375")</f>
        <v>0109589144 / 252610375</v>
      </c>
      <c r="C173" s="1" t="str">
        <f>IFERROR(__xludf.DUMMYFUNCTION("""COMPUTED_VALUE"""),"Hadir")</f>
        <v>Hadir</v>
      </c>
      <c r="D173" s="1" t="str">
        <f>IFERROR(__xludf.DUMMYFUNCTION("""COMPUTED_VALUE"""),"rekhsaangkasawan@gmail.com")</f>
        <v>rekhsaangkasawan@gmail.com</v>
      </c>
      <c r="E173" s="1"/>
      <c r="F173" s="1"/>
      <c r="G173" s="1"/>
      <c r="H173" s="1"/>
      <c r="I173" s="1"/>
      <c r="J173" s="1"/>
      <c r="K173" s="1"/>
      <c r="L173" s="1"/>
    </row>
    <row r="174">
      <c r="A174" s="2">
        <f>IFERROR(__xludf.DUMMYFUNCTION("""COMPUTED_VALUE"""),46152.79217789352)</f>
        <v>46152.79218</v>
      </c>
      <c r="B174" s="1" t="str">
        <f>IFERROR(__xludf.DUMMYFUNCTION("""COMPUTED_VALUE"""),"0096033014 / 252610001")</f>
        <v>0096033014 / 252610001</v>
      </c>
      <c r="C174" s="1" t="str">
        <f>IFERROR(__xludf.DUMMYFUNCTION("""COMPUTED_VALUE"""),"Hadir")</f>
        <v>Hadir</v>
      </c>
      <c r="D174" s="1" t="str">
        <f>IFERROR(__xludf.DUMMYFUNCTION("""COMPUTED_VALUE"""),"rekhsaangkasawan@gmail.com")</f>
        <v>rekhsaangkasawan@gmail.com</v>
      </c>
      <c r="E174" s="1"/>
      <c r="F174" s="1"/>
      <c r="G174" s="1"/>
      <c r="H174" s="1"/>
      <c r="I174" s="1"/>
      <c r="J174" s="1"/>
      <c r="K174" s="1"/>
      <c r="L174" s="1"/>
    </row>
    <row r="175">
      <c r="A175" s="2">
        <f>IFERROR(__xludf.DUMMYFUNCTION("""COMPUTED_VALUE"""),46152.79226)</f>
        <v>46152.79226</v>
      </c>
      <c r="B175" s="1" t="str">
        <f>IFERROR(__xludf.DUMMYFUNCTION("""COMPUTED_VALUE"""),"0096033014 / 252610001")</f>
        <v>0096033014 / 252610001</v>
      </c>
      <c r="C175" s="1" t="str">
        <f>IFERROR(__xludf.DUMMYFUNCTION("""COMPUTED_VALUE"""),"Hadir")</f>
        <v>Hadir</v>
      </c>
      <c r="D175" s="1" t="str">
        <f>IFERROR(__xludf.DUMMYFUNCTION("""COMPUTED_VALUE"""),"rekhsaangkasawan@gmail.com")</f>
        <v>rekhsaangkasawan@gmail.com</v>
      </c>
      <c r="E175" s="1"/>
      <c r="F175" s="1"/>
      <c r="G175" s="1"/>
      <c r="H175" s="1"/>
      <c r="I175" s="1"/>
      <c r="J175" s="1"/>
      <c r="K175" s="1"/>
      <c r="L175" s="1"/>
    </row>
    <row r="176">
      <c r="A176" s="2">
        <f>IFERROR(__xludf.DUMMYFUNCTION("""COMPUTED_VALUE"""),46152.792334502315)</f>
        <v>46152.79233</v>
      </c>
      <c r="B176" s="1" t="str">
        <f>IFERROR(__xludf.DUMMYFUNCTION("""COMPUTED_VALUE"""),"0096033014 / 252610001")</f>
        <v>0096033014 / 252610001</v>
      </c>
      <c r="C176" s="1" t="str">
        <f>IFERROR(__xludf.DUMMYFUNCTION("""COMPUTED_VALUE"""),"Hadir")</f>
        <v>Hadir</v>
      </c>
      <c r="D176" s="1" t="str">
        <f>IFERROR(__xludf.DUMMYFUNCTION("""COMPUTED_VALUE"""),"rekhsaangkasawan@gmail.com")</f>
        <v>rekhsaangkasawan@gmail.com</v>
      </c>
      <c r="E176" s="1"/>
      <c r="F176" s="1"/>
      <c r="G176" s="1"/>
      <c r="H176" s="1"/>
      <c r="I176" s="1"/>
      <c r="J176" s="1"/>
      <c r="K176" s="1"/>
      <c r="L176" s="1"/>
    </row>
    <row r="177">
      <c r="A177" s="2">
        <f>IFERROR(__xludf.DUMMYFUNCTION("""COMPUTED_VALUE"""),46152.79343878472)</f>
        <v>46152.79344</v>
      </c>
      <c r="B177" s="1" t="str">
        <f>IFERROR(__xludf.DUMMYFUNCTION("""COMPUTED_VALUE"""),"0103120702 / 252610144")</f>
        <v>0103120702 / 252610144</v>
      </c>
      <c r="C177" s="1" t="str">
        <f>IFERROR(__xludf.DUMMYFUNCTION("""COMPUTED_VALUE"""),"Hadir")</f>
        <v>Hadir</v>
      </c>
      <c r="D177" s="1" t="str">
        <f>IFERROR(__xludf.DUMMYFUNCTION("""COMPUTED_VALUE"""),"rekhsaangkasawan@gmail.com")</f>
        <v>rekhsaangkasawan@gmail.com</v>
      </c>
      <c r="E177" s="1"/>
      <c r="F177" s="1"/>
      <c r="G177" s="1"/>
      <c r="H177" s="1"/>
      <c r="I177" s="1"/>
      <c r="J177" s="1"/>
      <c r="K177" s="1"/>
      <c r="L177" s="1"/>
    </row>
    <row r="178">
      <c r="A178" s="2">
        <f>IFERROR(__xludf.DUMMYFUNCTION("""COMPUTED_VALUE"""),46152.79362494213)</f>
        <v>46152.79362</v>
      </c>
      <c r="B178" s="1" t="str">
        <f>IFERROR(__xludf.DUMMYFUNCTION("""COMPUTED_VALUE"""),"0103120702 / 252610144")</f>
        <v>0103120702 / 252610144</v>
      </c>
      <c r="C178" s="1" t="str">
        <f>IFERROR(__xludf.DUMMYFUNCTION("""COMPUTED_VALUE"""),"Hadir")</f>
        <v>Hadir</v>
      </c>
      <c r="D178" s="1" t="str">
        <f>IFERROR(__xludf.DUMMYFUNCTION("""COMPUTED_VALUE"""),"rekhsaangkasawan@gmail.com")</f>
        <v>rekhsaangkasawan@gmail.com</v>
      </c>
      <c r="E178" s="1"/>
      <c r="F178" s="1"/>
      <c r="G178" s="1"/>
      <c r="H178" s="1"/>
      <c r="I178" s="1"/>
      <c r="J178" s="1"/>
      <c r="K178" s="1"/>
      <c r="L178" s="1"/>
    </row>
    <row r="179">
      <c r="A179" s="2">
        <f>IFERROR(__xludf.DUMMYFUNCTION("""COMPUTED_VALUE"""),46152.82523569444)</f>
        <v>46152.82524</v>
      </c>
      <c r="B179" s="1" t="str">
        <f>IFERROR(__xludf.DUMMYFUNCTION("""COMPUTED_VALUE"""),"0092194625 / 252610004")</f>
        <v>0092194625 / 252610004</v>
      </c>
      <c r="C179" s="1" t="str">
        <f>IFERROR(__xludf.DUMMYFUNCTION("""COMPUTED_VALUE"""),"Hadir")</f>
        <v>Hadir</v>
      </c>
      <c r="D179" s="1" t="str">
        <f>IFERROR(__xludf.DUMMYFUNCTION("""COMPUTED_VALUE"""),"rekhsaangkasawan@gmail.com")</f>
        <v>rekhsaangkasawan@gmail.com</v>
      </c>
      <c r="E179" s="1"/>
      <c r="F179" s="1"/>
      <c r="G179" s="1"/>
      <c r="H179" s="1"/>
      <c r="I179" s="1"/>
      <c r="J179" s="1"/>
      <c r="K179" s="1"/>
      <c r="L179" s="1"/>
    </row>
    <row r="180">
      <c r="A180" s="2">
        <f>IFERROR(__xludf.DUMMYFUNCTION("""COMPUTED_VALUE"""),46152.825318414354)</f>
        <v>46152.82532</v>
      </c>
      <c r="B180" s="1" t="str">
        <f>IFERROR(__xludf.DUMMYFUNCTION("""COMPUTED_VALUE"""),"0092194625 / 252610004")</f>
        <v>0092194625 / 252610004</v>
      </c>
      <c r="C180" s="1" t="str">
        <f>IFERROR(__xludf.DUMMYFUNCTION("""COMPUTED_VALUE"""),"Hadir")</f>
        <v>Hadir</v>
      </c>
      <c r="D180" s="1" t="str">
        <f>IFERROR(__xludf.DUMMYFUNCTION("""COMPUTED_VALUE"""),"rekhsaangkasawan@gmail.com")</f>
        <v>rekhsaangkasawan@gmail.com</v>
      </c>
      <c r="E180" s="1"/>
      <c r="F180" s="1"/>
      <c r="G180" s="1"/>
      <c r="H180" s="1"/>
      <c r="I180" s="1"/>
      <c r="J180" s="1"/>
      <c r="K180" s="1"/>
      <c r="L180" s="1"/>
    </row>
    <row r="181">
      <c r="A181" s="2">
        <f>IFERROR(__xludf.DUMMYFUNCTION("""COMPUTED_VALUE"""),46152.82542496528)</f>
        <v>46152.82542</v>
      </c>
      <c r="B181" s="1" t="str">
        <f>IFERROR(__xludf.DUMMYFUNCTION("""COMPUTED_VALUE"""),"0092194625 / 252610004")</f>
        <v>0092194625 / 252610004</v>
      </c>
      <c r="C181" s="1" t="str">
        <f>IFERROR(__xludf.DUMMYFUNCTION("""COMPUTED_VALUE"""),"Hadir")</f>
        <v>Hadir</v>
      </c>
      <c r="D181" s="1" t="str">
        <f>IFERROR(__xludf.DUMMYFUNCTION("""COMPUTED_VALUE"""),"rekhsaangkasawan@gmail.com")</f>
        <v>rekhsaangkasawan@gmail.com</v>
      </c>
      <c r="E181" s="1"/>
      <c r="F181" s="1"/>
      <c r="G181" s="1"/>
      <c r="H181" s="1"/>
      <c r="I181" s="1"/>
      <c r="J181" s="1"/>
      <c r="K181" s="1"/>
      <c r="L181" s="1"/>
    </row>
    <row r="182">
      <c r="A182" s="2">
        <f>IFERROR(__xludf.DUMMYFUNCTION("""COMPUTED_VALUE"""),46156.014142025466)</f>
        <v>46156.01414</v>
      </c>
      <c r="B182" s="1" t="str">
        <f>IFERROR(__xludf.DUMMYFUNCTION("""COMPUTED_VALUE"""),"0105339420 / 252610027")</f>
        <v>0105339420 / 252610027</v>
      </c>
      <c r="C182" s="1" t="str">
        <f>IFERROR(__xludf.DUMMYFUNCTION("""COMPUTED_VALUE"""),"Hadir")</f>
        <v>Hadir</v>
      </c>
      <c r="D182" s="1" t="str">
        <f>IFERROR(__xludf.DUMMYFUNCTION("""COMPUTED_VALUE"""),"tiaraazizah.w@gmail.com")</f>
        <v>tiaraazizah.w@gmail.com</v>
      </c>
      <c r="E182" s="1"/>
      <c r="F182" s="1"/>
      <c r="G182" s="1"/>
      <c r="H182" s="1"/>
      <c r="I182" s="1"/>
      <c r="J182" s="1"/>
      <c r="K182" s="1"/>
      <c r="L182" s="1"/>
    </row>
    <row r="183">
      <c r="A183" s="2">
        <f>IFERROR(__xludf.DUMMYFUNCTION("""COMPUTED_VALUE"""),46156.0156603125)</f>
        <v>46156.01566</v>
      </c>
      <c r="B183" s="1" t="str">
        <f>IFERROR(__xludf.DUMMYFUNCTION("""COMPUTED_VALUE"""),"0105339420 / 252610027")</f>
        <v>0105339420 / 252610027</v>
      </c>
      <c r="C183" s="1" t="str">
        <f>IFERROR(__xludf.DUMMYFUNCTION("""COMPUTED_VALUE"""),"Hadir")</f>
        <v>Hadir</v>
      </c>
      <c r="D183" s="1" t="str">
        <f>IFERROR(__xludf.DUMMYFUNCTION("""COMPUTED_VALUE"""),"tiaraazizah.w@gmail.com")</f>
        <v>tiaraazizah.w@gmail.com</v>
      </c>
      <c r="E183" s="1"/>
      <c r="F183" s="1"/>
      <c r="G183" s="1"/>
      <c r="H183" s="1"/>
      <c r="I183" s="1"/>
      <c r="J183" s="1"/>
      <c r="K183" s="1"/>
      <c r="L183" s="1"/>
    </row>
    <row r="184">
      <c r="A184" s="2">
        <f>IFERROR(__xludf.DUMMYFUNCTION("""COMPUTED_VALUE"""),46156.01588762732)</f>
        <v>46156.01589</v>
      </c>
      <c r="B184" s="1" t="str">
        <f>IFERROR(__xludf.DUMMYFUNCTION("""COMPUTED_VALUE"""),"0105339420 / 252610027")</f>
        <v>0105339420 / 252610027</v>
      </c>
      <c r="C184" s="1" t="str">
        <f>IFERROR(__xludf.DUMMYFUNCTION("""COMPUTED_VALUE"""),"Hadir")</f>
        <v>Hadir</v>
      </c>
      <c r="D184" s="1" t="str">
        <f>IFERROR(__xludf.DUMMYFUNCTION("""COMPUTED_VALUE"""),"tiaraazizah.w@gmail.com")</f>
        <v>tiaraazizah.w@gmail.com</v>
      </c>
      <c r="E184" s="1"/>
      <c r="F184" s="1"/>
      <c r="G184" s="1"/>
      <c r="H184" s="1"/>
      <c r="I184" s="1"/>
      <c r="J184" s="1"/>
      <c r="K184" s="1"/>
      <c r="L184" s="1"/>
    </row>
    <row r="185">
      <c r="A185" s="2">
        <f>IFERROR(__xludf.DUMMYFUNCTION("""COMPUTED_VALUE"""),46156.016337106485)</f>
        <v>46156.01634</v>
      </c>
      <c r="B185" s="1" t="str">
        <f>IFERROR(__xludf.DUMMYFUNCTION("""COMPUTED_VALUE"""),"0093799489 / 252610071")</f>
        <v>0093799489 / 252610071</v>
      </c>
      <c r="C185" s="1" t="str">
        <f>IFERROR(__xludf.DUMMYFUNCTION("""COMPUTED_VALUE"""),"Hadir")</f>
        <v>Hadir</v>
      </c>
      <c r="D185" s="1" t="str">
        <f>IFERROR(__xludf.DUMMYFUNCTION("""COMPUTED_VALUE"""),"tiaraazizah.w@gmail.com")</f>
        <v>tiaraazizah.w@gmail.com</v>
      </c>
      <c r="E185" s="1"/>
      <c r="F185" s="1"/>
      <c r="G185" s="1"/>
      <c r="H185" s="1"/>
      <c r="I185" s="1"/>
      <c r="J185" s="1"/>
      <c r="K185" s="1"/>
      <c r="L185" s="1"/>
    </row>
    <row r="186">
      <c r="A186" s="2">
        <f>IFERROR(__xludf.DUMMYFUNCTION("""COMPUTED_VALUE"""),46156.016502303246)</f>
        <v>46156.0165</v>
      </c>
      <c r="B186" s="1" t="str">
        <f>IFERROR(__xludf.DUMMYFUNCTION("""COMPUTED_VALUE"""),"0093799489 / 252610071")</f>
        <v>0093799489 / 252610071</v>
      </c>
      <c r="C186" s="1" t="str">
        <f>IFERROR(__xludf.DUMMYFUNCTION("""COMPUTED_VALUE"""),"Hadir")</f>
        <v>Hadir</v>
      </c>
      <c r="D186" s="1" t="str">
        <f>IFERROR(__xludf.DUMMYFUNCTION("""COMPUTED_VALUE"""),"tiaraazizah.w@gmail.com")</f>
        <v>tiaraazizah.w@gmail.com</v>
      </c>
      <c r="E186" s="1"/>
      <c r="F186" s="1"/>
      <c r="G186" s="1"/>
      <c r="H186" s="1"/>
      <c r="I186" s="1"/>
      <c r="J186" s="1"/>
      <c r="K186" s="1"/>
      <c r="L186" s="1"/>
    </row>
    <row r="187">
      <c r="A187" s="2">
        <f>IFERROR(__xludf.DUMMYFUNCTION("""COMPUTED_VALUE"""),46156.01665990741)</f>
        <v>46156.01666</v>
      </c>
      <c r="B187" s="1" t="str">
        <f>IFERROR(__xludf.DUMMYFUNCTION("""COMPUTED_VALUE"""),"0093799489 / 252610071")</f>
        <v>0093799489 / 252610071</v>
      </c>
      <c r="C187" s="1" t="str">
        <f>IFERROR(__xludf.DUMMYFUNCTION("""COMPUTED_VALUE"""),"Hadir")</f>
        <v>Hadir</v>
      </c>
      <c r="D187" s="1" t="str">
        <f>IFERROR(__xludf.DUMMYFUNCTION("""COMPUTED_VALUE"""),"tiaraazizah.w@gmail.com")</f>
        <v>tiaraazizah.w@gmail.com</v>
      </c>
      <c r="E187" s="1"/>
      <c r="F187" s="1"/>
      <c r="G187" s="1"/>
      <c r="H187" s="1"/>
      <c r="I187" s="1"/>
      <c r="J187" s="1"/>
      <c r="K187" s="1"/>
      <c r="L187" s="1"/>
    </row>
    <row r="188">
      <c r="A188" s="2">
        <f>IFERROR(__xludf.DUMMYFUNCTION("""COMPUTED_VALUE"""),46156.018511863425)</f>
        <v>46156.01851</v>
      </c>
      <c r="B188" s="1" t="str">
        <f>IFERROR(__xludf.DUMMYFUNCTION("""COMPUTED_VALUE"""),"0099452000 / 252610086")</f>
        <v>0099452000 / 252610086</v>
      </c>
      <c r="C188" s="1" t="str">
        <f>IFERROR(__xludf.DUMMYFUNCTION("""COMPUTED_VALUE"""),"Hadir")</f>
        <v>Hadir</v>
      </c>
      <c r="D188" s="1" t="str">
        <f>IFERROR(__xludf.DUMMYFUNCTION("""COMPUTED_VALUE"""),"tiaraazizah.w@gmail.com")</f>
        <v>tiaraazizah.w@gmail.com</v>
      </c>
      <c r="E188" s="1"/>
      <c r="F188" s="1"/>
      <c r="G188" s="1"/>
      <c r="H188" s="1"/>
      <c r="I188" s="1"/>
      <c r="J188" s="1"/>
      <c r="K188" s="1"/>
      <c r="L188" s="1"/>
    </row>
    <row r="189">
      <c r="A189" s="2">
        <f>IFERROR(__xludf.DUMMYFUNCTION("""COMPUTED_VALUE"""),46156.01868003472)</f>
        <v>46156.01868</v>
      </c>
      <c r="B189" s="1" t="str">
        <f>IFERROR(__xludf.DUMMYFUNCTION("""COMPUTED_VALUE"""),"0099452000 / 252610086")</f>
        <v>0099452000 / 252610086</v>
      </c>
      <c r="C189" s="1" t="str">
        <f>IFERROR(__xludf.DUMMYFUNCTION("""COMPUTED_VALUE"""),"Hadir")</f>
        <v>Hadir</v>
      </c>
      <c r="D189" s="1" t="str">
        <f>IFERROR(__xludf.DUMMYFUNCTION("""COMPUTED_VALUE"""),"tiaraazizah.w@gmail.com")</f>
        <v>tiaraazizah.w@gmail.com</v>
      </c>
      <c r="E189" s="1"/>
      <c r="F189" s="1"/>
      <c r="G189" s="1"/>
      <c r="H189" s="1"/>
      <c r="I189" s="1"/>
      <c r="J189" s="1"/>
      <c r="K189" s="1"/>
      <c r="L189" s="1"/>
    </row>
    <row r="190">
      <c r="A190" s="2">
        <f>IFERROR(__xludf.DUMMYFUNCTION("""COMPUTED_VALUE"""),46156.01884135416)</f>
        <v>46156.01884</v>
      </c>
      <c r="B190" s="1" t="str">
        <f>IFERROR(__xludf.DUMMYFUNCTION("""COMPUTED_VALUE"""),"0099452000 / 252610086")</f>
        <v>0099452000 / 252610086</v>
      </c>
      <c r="C190" s="1" t="str">
        <f>IFERROR(__xludf.DUMMYFUNCTION("""COMPUTED_VALUE"""),"Hadir")</f>
        <v>Hadir</v>
      </c>
      <c r="D190" s="1" t="str">
        <f>IFERROR(__xludf.DUMMYFUNCTION("""COMPUTED_VALUE"""),"tiaraazizah.w@gmail.com")</f>
        <v>tiaraazizah.w@gmail.com</v>
      </c>
      <c r="E190" s="1"/>
      <c r="F190" s="1"/>
      <c r="G190" s="1"/>
      <c r="H190" s="1"/>
      <c r="I190" s="1"/>
      <c r="J190" s="1"/>
      <c r="K190" s="1"/>
      <c r="L190" s="1"/>
    </row>
    <row r="191">
      <c r="A191" s="2">
        <f>IFERROR(__xludf.DUMMYFUNCTION("""COMPUTED_VALUE"""),46156.019033668985)</f>
        <v>46156.01903</v>
      </c>
      <c r="B191" s="1" t="str">
        <f>IFERROR(__xludf.DUMMYFUNCTION("""COMPUTED_VALUE"""),"0102924778 / 252610095")</f>
        <v>0102924778 / 252610095</v>
      </c>
      <c r="C191" s="1" t="str">
        <f>IFERROR(__xludf.DUMMYFUNCTION("""COMPUTED_VALUE"""),"Hadir")</f>
        <v>Hadir</v>
      </c>
      <c r="D191" s="1" t="str">
        <f>IFERROR(__xludf.DUMMYFUNCTION("""COMPUTED_VALUE"""),"tiaraazizah.w@gmail.com")</f>
        <v>tiaraazizah.w@gmail.com</v>
      </c>
      <c r="E191" s="1"/>
      <c r="F191" s="1"/>
      <c r="G191" s="1"/>
      <c r="H191" s="1"/>
      <c r="I191" s="1"/>
      <c r="J191" s="1"/>
      <c r="K191" s="1"/>
      <c r="L191" s="1"/>
    </row>
    <row r="192">
      <c r="A192" s="2">
        <f>IFERROR(__xludf.DUMMYFUNCTION("""COMPUTED_VALUE"""),46156.01936582176)</f>
        <v>46156.01937</v>
      </c>
      <c r="B192" s="1" t="str">
        <f>IFERROR(__xludf.DUMMYFUNCTION("""COMPUTED_VALUE"""),"0102924778 / 252610095")</f>
        <v>0102924778 / 252610095</v>
      </c>
      <c r="C192" s="1" t="str">
        <f>IFERROR(__xludf.DUMMYFUNCTION("""COMPUTED_VALUE"""),"Hadir")</f>
        <v>Hadir</v>
      </c>
      <c r="D192" s="1" t="str">
        <f>IFERROR(__xludf.DUMMYFUNCTION("""COMPUTED_VALUE"""),"tiaraazizah.w@gmail.com")</f>
        <v>tiaraazizah.w@gmail.com</v>
      </c>
      <c r="E192" s="1"/>
      <c r="F192" s="1"/>
      <c r="G192" s="1"/>
      <c r="H192" s="1"/>
      <c r="I192" s="1"/>
      <c r="J192" s="1"/>
      <c r="K192" s="1"/>
      <c r="L192" s="1"/>
    </row>
    <row r="193">
      <c r="A193" s="2">
        <f>IFERROR(__xludf.DUMMYFUNCTION("""COMPUTED_VALUE"""),46156.0195140625)</f>
        <v>46156.01951</v>
      </c>
      <c r="B193" s="1" t="str">
        <f>IFERROR(__xludf.DUMMYFUNCTION("""COMPUTED_VALUE"""),"0102924778 / 252610095")</f>
        <v>0102924778 / 252610095</v>
      </c>
      <c r="C193" s="1" t="str">
        <f>IFERROR(__xludf.DUMMYFUNCTION("""COMPUTED_VALUE"""),"Hadir")</f>
        <v>Hadir</v>
      </c>
      <c r="D193" s="1" t="str">
        <f>IFERROR(__xludf.DUMMYFUNCTION("""COMPUTED_VALUE"""),"tiaraazizah.w@gmail.com")</f>
        <v>tiaraazizah.w@gmail.com</v>
      </c>
      <c r="E193" s="1"/>
      <c r="F193" s="1"/>
      <c r="G193" s="1"/>
      <c r="H193" s="1"/>
      <c r="I193" s="1"/>
      <c r="J193" s="1"/>
      <c r="K193" s="1"/>
      <c r="L193" s="1"/>
    </row>
    <row r="194">
      <c r="A194" s="2">
        <f>IFERROR(__xludf.DUMMYFUNCTION("""COMPUTED_VALUE"""),46156.02007162037)</f>
        <v>46156.02007</v>
      </c>
      <c r="B194" s="1" t="str">
        <f>IFERROR(__xludf.DUMMYFUNCTION("""COMPUTED_VALUE"""),"0108974038 / 252610117")</f>
        <v>0108974038 / 252610117</v>
      </c>
      <c r="C194" s="1" t="str">
        <f>IFERROR(__xludf.DUMMYFUNCTION("""COMPUTED_VALUE"""),"Hadir")</f>
        <v>Hadir</v>
      </c>
      <c r="D194" s="1" t="str">
        <f>IFERROR(__xludf.DUMMYFUNCTION("""COMPUTED_VALUE"""),"tiaraazizah.w@gmail.com")</f>
        <v>tiaraazizah.w@gmail.com</v>
      </c>
      <c r="E194" s="1"/>
      <c r="F194" s="1"/>
      <c r="G194" s="1"/>
      <c r="H194" s="1"/>
      <c r="I194" s="1"/>
      <c r="J194" s="1"/>
      <c r="K194" s="1"/>
      <c r="L194" s="1"/>
    </row>
    <row r="195">
      <c r="A195" s="2">
        <f>IFERROR(__xludf.DUMMYFUNCTION("""COMPUTED_VALUE"""),46156.020738935185)</f>
        <v>46156.02074</v>
      </c>
      <c r="B195" s="1" t="str">
        <f>IFERROR(__xludf.DUMMYFUNCTION("""COMPUTED_VALUE"""),"0104378571 / 252610133")</f>
        <v>0104378571 / 252610133</v>
      </c>
      <c r="C195" s="1" t="str">
        <f>IFERROR(__xludf.DUMMYFUNCTION("""COMPUTED_VALUE"""),"Hadir")</f>
        <v>Hadir</v>
      </c>
      <c r="D195" s="1" t="str">
        <f>IFERROR(__xludf.DUMMYFUNCTION("""COMPUTED_VALUE"""),"tiaraazizah.w@gmail.com")</f>
        <v>tiaraazizah.w@gmail.com</v>
      </c>
      <c r="E195" s="1"/>
      <c r="F195" s="1"/>
      <c r="G195" s="1"/>
      <c r="H195" s="1"/>
      <c r="I195" s="1"/>
      <c r="J195" s="1"/>
      <c r="K195" s="1"/>
      <c r="L195" s="1"/>
    </row>
    <row r="196">
      <c r="A196" s="2">
        <f>IFERROR(__xludf.DUMMYFUNCTION("""COMPUTED_VALUE"""),46156.02090459491)</f>
        <v>46156.0209</v>
      </c>
      <c r="B196" s="1" t="str">
        <f>IFERROR(__xludf.DUMMYFUNCTION("""COMPUTED_VALUE"""),"0104378571 / 252610133")</f>
        <v>0104378571 / 252610133</v>
      </c>
      <c r="C196" s="1" t="str">
        <f>IFERROR(__xludf.DUMMYFUNCTION("""COMPUTED_VALUE"""),"Hadir")</f>
        <v>Hadir</v>
      </c>
      <c r="D196" s="1" t="str">
        <f>IFERROR(__xludf.DUMMYFUNCTION("""COMPUTED_VALUE"""),"tiaraazizah.w@gmail.com")</f>
        <v>tiaraazizah.w@gmail.com</v>
      </c>
      <c r="E196" s="1"/>
      <c r="F196" s="1"/>
      <c r="G196" s="1"/>
      <c r="H196" s="1"/>
      <c r="I196" s="1"/>
      <c r="J196" s="1"/>
      <c r="K196" s="1"/>
      <c r="L196" s="1"/>
    </row>
    <row r="197">
      <c r="A197" s="2">
        <f>IFERROR(__xludf.DUMMYFUNCTION("""COMPUTED_VALUE"""),46156.02123291667)</f>
        <v>46156.02123</v>
      </c>
      <c r="B197" s="1" t="str">
        <f>IFERROR(__xludf.DUMMYFUNCTION("""COMPUTED_VALUE"""),"0107900663 / 252610135")</f>
        <v>0107900663 / 252610135</v>
      </c>
      <c r="C197" s="1" t="str">
        <f>IFERROR(__xludf.DUMMYFUNCTION("""COMPUTED_VALUE"""),"Hadir")</f>
        <v>Hadir</v>
      </c>
      <c r="D197" s="1" t="str">
        <f>IFERROR(__xludf.DUMMYFUNCTION("""COMPUTED_VALUE"""),"tiaraazizah.w@gmail.com")</f>
        <v>tiaraazizah.w@gmail.com</v>
      </c>
      <c r="E197" s="1"/>
      <c r="F197" s="1"/>
      <c r="G197" s="1"/>
      <c r="H197" s="1"/>
      <c r="I197" s="1"/>
      <c r="J197" s="1"/>
      <c r="K197" s="1"/>
      <c r="L197" s="1"/>
    </row>
    <row r="198">
      <c r="A198" s="2">
        <f>IFERROR(__xludf.DUMMYFUNCTION("""COMPUTED_VALUE"""),46156.02138175926)</f>
        <v>46156.02138</v>
      </c>
      <c r="B198" s="1" t="str">
        <f>IFERROR(__xludf.DUMMYFUNCTION("""COMPUTED_VALUE"""),"0107900663 / 252610135")</f>
        <v>0107900663 / 252610135</v>
      </c>
      <c r="C198" s="1" t="str">
        <f>IFERROR(__xludf.DUMMYFUNCTION("""COMPUTED_VALUE"""),"Hadir")</f>
        <v>Hadir</v>
      </c>
      <c r="D198" s="1" t="str">
        <f>IFERROR(__xludf.DUMMYFUNCTION("""COMPUTED_VALUE"""),"tiaraazizah.w@gmail.com")</f>
        <v>tiaraazizah.w@gmail.com</v>
      </c>
      <c r="E198" s="1"/>
      <c r="F198" s="1"/>
      <c r="G198" s="1"/>
      <c r="H198" s="1"/>
      <c r="I198" s="1"/>
      <c r="J198" s="1"/>
      <c r="K198" s="1"/>
      <c r="L198" s="1"/>
    </row>
    <row r="199">
      <c r="A199" s="2">
        <f>IFERROR(__xludf.DUMMYFUNCTION("""COMPUTED_VALUE"""),46156.02180686343)</f>
        <v>46156.02181</v>
      </c>
      <c r="B199" s="1" t="str">
        <f>IFERROR(__xludf.DUMMYFUNCTION("""COMPUTED_VALUE"""),"0091254694 / 252610146")</f>
        <v>0091254694 / 252610146</v>
      </c>
      <c r="C199" s="1" t="str">
        <f>IFERROR(__xludf.DUMMYFUNCTION("""COMPUTED_VALUE"""),"Hadir")</f>
        <v>Hadir</v>
      </c>
      <c r="D199" s="1" t="str">
        <f>IFERROR(__xludf.DUMMYFUNCTION("""COMPUTED_VALUE"""),"tiaraazizah.w@gmail.com")</f>
        <v>tiaraazizah.w@gmail.com</v>
      </c>
      <c r="E199" s="1"/>
      <c r="F199" s="1"/>
      <c r="G199" s="1"/>
      <c r="H199" s="1"/>
      <c r="I199" s="1"/>
      <c r="J199" s="1"/>
      <c r="K199" s="1"/>
      <c r="L199" s="1"/>
    </row>
    <row r="200">
      <c r="A200" s="2">
        <f>IFERROR(__xludf.DUMMYFUNCTION("""COMPUTED_VALUE"""),46156.02195927083)</f>
        <v>46156.02196</v>
      </c>
      <c r="B200" s="1" t="str">
        <f>IFERROR(__xludf.DUMMYFUNCTION("""COMPUTED_VALUE"""),"0091254694 / 252610146")</f>
        <v>0091254694 / 252610146</v>
      </c>
      <c r="C200" s="1" t="str">
        <f>IFERROR(__xludf.DUMMYFUNCTION("""COMPUTED_VALUE"""),"Hadir")</f>
        <v>Hadir</v>
      </c>
      <c r="D200" s="1" t="str">
        <f>IFERROR(__xludf.DUMMYFUNCTION("""COMPUTED_VALUE"""),"tiaraazizah.w@gmail.com")</f>
        <v>tiaraazizah.w@gmail.com</v>
      </c>
      <c r="E200" s="1"/>
      <c r="F200" s="1"/>
      <c r="G200" s="1"/>
      <c r="H200" s="1"/>
      <c r="I200" s="1"/>
      <c r="J200" s="1"/>
      <c r="K200" s="1"/>
      <c r="L200" s="1"/>
    </row>
    <row r="201">
      <c r="A201" s="2">
        <f>IFERROR(__xludf.DUMMYFUNCTION("""COMPUTED_VALUE"""),46156.02211304398)</f>
        <v>46156.02211</v>
      </c>
      <c r="B201" s="1" t="str">
        <f>IFERROR(__xludf.DUMMYFUNCTION("""COMPUTED_VALUE"""),"0091254694 / 252610146")</f>
        <v>0091254694 / 252610146</v>
      </c>
      <c r="C201" s="1" t="str">
        <f>IFERROR(__xludf.DUMMYFUNCTION("""COMPUTED_VALUE"""),"Hadir")</f>
        <v>Hadir</v>
      </c>
      <c r="D201" s="1" t="str">
        <f>IFERROR(__xludf.DUMMYFUNCTION("""COMPUTED_VALUE"""),"tiaraazizah.w@gmail.com")</f>
        <v>tiaraazizah.w@gmail.com</v>
      </c>
      <c r="E201" s="1"/>
      <c r="F201" s="1"/>
      <c r="G201" s="1"/>
      <c r="H201" s="1"/>
      <c r="I201" s="1"/>
      <c r="J201" s="1"/>
      <c r="K201" s="1"/>
      <c r="L201" s="1"/>
    </row>
    <row r="202">
      <c r="A202" s="2">
        <f>IFERROR(__xludf.DUMMYFUNCTION("""COMPUTED_VALUE"""),46156.02246922454)</f>
        <v>46156.02247</v>
      </c>
      <c r="B202" s="1" t="str">
        <f>IFERROR(__xludf.DUMMYFUNCTION("""COMPUTED_VALUE"""),"0108673369 / 252610178")</f>
        <v>0108673369 / 252610178</v>
      </c>
      <c r="C202" s="1" t="str">
        <f>IFERROR(__xludf.DUMMYFUNCTION("""COMPUTED_VALUE"""),"Hadir")</f>
        <v>Hadir</v>
      </c>
      <c r="D202" s="1" t="str">
        <f>IFERROR(__xludf.DUMMYFUNCTION("""COMPUTED_VALUE"""),"tiaraazizah.w@gmail.com")</f>
        <v>tiaraazizah.w@gmail.com</v>
      </c>
      <c r="E202" s="1"/>
      <c r="F202" s="1"/>
      <c r="G202" s="1"/>
      <c r="H202" s="1"/>
      <c r="I202" s="1"/>
      <c r="J202" s="1"/>
      <c r="K202" s="1"/>
      <c r="L202" s="1"/>
    </row>
    <row r="203">
      <c r="A203" s="2">
        <f>IFERROR(__xludf.DUMMYFUNCTION("""COMPUTED_VALUE"""),46156.022614745365)</f>
        <v>46156.02261</v>
      </c>
      <c r="B203" s="1" t="str">
        <f>IFERROR(__xludf.DUMMYFUNCTION("""COMPUTED_VALUE"""),"0108673369 / 252610178")</f>
        <v>0108673369 / 252610178</v>
      </c>
      <c r="C203" s="1" t="str">
        <f>IFERROR(__xludf.DUMMYFUNCTION("""COMPUTED_VALUE"""),"Hadir")</f>
        <v>Hadir</v>
      </c>
      <c r="D203" s="1" t="str">
        <f>IFERROR(__xludf.DUMMYFUNCTION("""COMPUTED_VALUE"""),"tiaraazizah.w@gmail.com")</f>
        <v>tiaraazizah.w@gmail.com</v>
      </c>
      <c r="E203" s="1"/>
      <c r="F203" s="1"/>
      <c r="G203" s="1"/>
      <c r="H203" s="1"/>
      <c r="I203" s="1"/>
      <c r="J203" s="1"/>
      <c r="K203" s="1"/>
      <c r="L203" s="1"/>
    </row>
    <row r="204">
      <c r="A204" s="2">
        <f>IFERROR(__xludf.DUMMYFUNCTION("""COMPUTED_VALUE"""),46156.02276074074)</f>
        <v>46156.02276</v>
      </c>
      <c r="B204" s="1" t="str">
        <f>IFERROR(__xludf.DUMMYFUNCTION("""COMPUTED_VALUE"""),"0108673369 / 252610178")</f>
        <v>0108673369 / 252610178</v>
      </c>
      <c r="C204" s="1" t="str">
        <f>IFERROR(__xludf.DUMMYFUNCTION("""COMPUTED_VALUE"""),"Hadir")</f>
        <v>Hadir</v>
      </c>
      <c r="D204" s="1" t="str">
        <f>IFERROR(__xludf.DUMMYFUNCTION("""COMPUTED_VALUE"""),"tiaraazizah.w@gmail.com")</f>
        <v>tiaraazizah.w@gmail.com</v>
      </c>
      <c r="E204" s="1"/>
      <c r="F204" s="1"/>
      <c r="G204" s="1"/>
      <c r="H204" s="1"/>
      <c r="I204" s="1"/>
      <c r="J204" s="1"/>
      <c r="K204" s="1"/>
      <c r="L204" s="1"/>
    </row>
    <row r="205">
      <c r="A205" s="2">
        <f>IFERROR(__xludf.DUMMYFUNCTION("""COMPUTED_VALUE"""),46156.02317991898)</f>
        <v>46156.02318</v>
      </c>
      <c r="B205" s="1" t="str">
        <f>IFERROR(__xludf.DUMMYFUNCTION("""COMPUTED_VALUE"""),"0099535255 / 252610212")</f>
        <v>0099535255 / 252610212</v>
      </c>
      <c r="C205" s="1" t="str">
        <f>IFERROR(__xludf.DUMMYFUNCTION("""COMPUTED_VALUE"""),"Hadir")</f>
        <v>Hadir</v>
      </c>
      <c r="D205" s="1" t="str">
        <f>IFERROR(__xludf.DUMMYFUNCTION("""COMPUTED_VALUE"""),"tiaraazizah.w@gmail.com")</f>
        <v>tiaraazizah.w@gmail.com</v>
      </c>
      <c r="E205" s="1"/>
      <c r="F205" s="1"/>
      <c r="G205" s="1"/>
      <c r="H205" s="1"/>
      <c r="I205" s="1"/>
      <c r="J205" s="1"/>
      <c r="K205" s="1"/>
      <c r="L205" s="1"/>
    </row>
    <row r="206">
      <c r="A206" s="2">
        <f>IFERROR(__xludf.DUMMYFUNCTION("""COMPUTED_VALUE"""),46156.0236315625)</f>
        <v>46156.02363</v>
      </c>
      <c r="B206" s="1" t="str">
        <f>IFERROR(__xludf.DUMMYFUNCTION("""COMPUTED_VALUE"""),"0094573200 / 252610220")</f>
        <v>0094573200 / 252610220</v>
      </c>
      <c r="C206" s="1" t="str">
        <f>IFERROR(__xludf.DUMMYFUNCTION("""COMPUTED_VALUE"""),"Hadir")</f>
        <v>Hadir</v>
      </c>
      <c r="D206" s="1" t="str">
        <f>IFERROR(__xludf.DUMMYFUNCTION("""COMPUTED_VALUE"""),"tiaraazizah.w@gmail.com")</f>
        <v>tiaraazizah.w@gmail.com</v>
      </c>
      <c r="E206" s="1"/>
      <c r="F206" s="1"/>
      <c r="G206" s="1"/>
      <c r="H206" s="1"/>
      <c r="I206" s="1"/>
      <c r="J206" s="1"/>
      <c r="K206" s="1"/>
      <c r="L206" s="1"/>
    </row>
    <row r="207">
      <c r="A207" s="2">
        <f>IFERROR(__xludf.DUMMYFUNCTION("""COMPUTED_VALUE"""),46156.023781446755)</f>
        <v>46156.02378</v>
      </c>
      <c r="B207" s="1" t="str">
        <f>IFERROR(__xludf.DUMMYFUNCTION("""COMPUTED_VALUE"""),"0094573200 / 252610220")</f>
        <v>0094573200 / 252610220</v>
      </c>
      <c r="C207" s="1" t="str">
        <f>IFERROR(__xludf.DUMMYFUNCTION("""COMPUTED_VALUE"""),"Hadir")</f>
        <v>Hadir</v>
      </c>
      <c r="D207" s="1" t="str">
        <f>IFERROR(__xludf.DUMMYFUNCTION("""COMPUTED_VALUE"""),"tiaraazizah.w@gmail.com")</f>
        <v>tiaraazizah.w@gmail.com</v>
      </c>
      <c r="E207" s="1"/>
      <c r="F207" s="1"/>
      <c r="G207" s="1"/>
      <c r="H207" s="1"/>
      <c r="I207" s="1"/>
      <c r="J207" s="1"/>
      <c r="K207" s="1"/>
      <c r="L207" s="1"/>
    </row>
    <row r="208">
      <c r="A208" s="2">
        <f>IFERROR(__xludf.DUMMYFUNCTION("""COMPUTED_VALUE"""),46156.02392180555)</f>
        <v>46156.02392</v>
      </c>
      <c r="B208" s="1" t="str">
        <f>IFERROR(__xludf.DUMMYFUNCTION("""COMPUTED_VALUE"""),"0094573200 / 252610220")</f>
        <v>0094573200 / 252610220</v>
      </c>
      <c r="C208" s="1" t="str">
        <f>IFERROR(__xludf.DUMMYFUNCTION("""COMPUTED_VALUE"""),"Hadir")</f>
        <v>Hadir</v>
      </c>
      <c r="D208" s="1" t="str">
        <f>IFERROR(__xludf.DUMMYFUNCTION("""COMPUTED_VALUE"""),"tiaraazizah.w@gmail.com")</f>
        <v>tiaraazizah.w@gmail.com</v>
      </c>
      <c r="E208" s="1"/>
      <c r="F208" s="1"/>
      <c r="G208" s="1"/>
      <c r="H208" s="1"/>
      <c r="I208" s="1"/>
      <c r="J208" s="1"/>
      <c r="K208" s="1"/>
      <c r="L208" s="1"/>
    </row>
    <row r="209">
      <c r="A209" s="2">
        <f>IFERROR(__xludf.DUMMYFUNCTION("""COMPUTED_VALUE"""),46156.024211111115)</f>
        <v>46156.02421</v>
      </c>
      <c r="B209" s="1" t="str">
        <f>IFERROR(__xludf.DUMMYFUNCTION("""COMPUTED_VALUE"""),"0106852675 / 252610248")</f>
        <v>0106852675 / 252610248</v>
      </c>
      <c r="C209" s="1" t="str">
        <f>IFERROR(__xludf.DUMMYFUNCTION("""COMPUTED_VALUE"""),"Hadir")</f>
        <v>Hadir</v>
      </c>
      <c r="D209" s="1" t="str">
        <f>IFERROR(__xludf.DUMMYFUNCTION("""COMPUTED_VALUE"""),"tiaraazizah.w@gmail.com")</f>
        <v>tiaraazizah.w@gmail.com</v>
      </c>
      <c r="E209" s="1"/>
      <c r="F209" s="1"/>
      <c r="G209" s="1"/>
      <c r="H209" s="1"/>
      <c r="I209" s="1"/>
      <c r="J209" s="1"/>
      <c r="K209" s="1"/>
      <c r="L209" s="1"/>
    </row>
    <row r="210">
      <c r="A210" s="2">
        <f>IFERROR(__xludf.DUMMYFUNCTION("""COMPUTED_VALUE"""),46156.02437318287)</f>
        <v>46156.02437</v>
      </c>
      <c r="B210" s="1" t="str">
        <f>IFERROR(__xludf.DUMMYFUNCTION("""COMPUTED_VALUE"""),"0106852675 / 252610248")</f>
        <v>0106852675 / 252610248</v>
      </c>
      <c r="C210" s="1" t="str">
        <f>IFERROR(__xludf.DUMMYFUNCTION("""COMPUTED_VALUE"""),"Hadir")</f>
        <v>Hadir</v>
      </c>
      <c r="D210" s="1" t="str">
        <f>IFERROR(__xludf.DUMMYFUNCTION("""COMPUTED_VALUE"""),"tiaraazizah.w@gmail.com")</f>
        <v>tiaraazizah.w@gmail.com</v>
      </c>
      <c r="E210" s="1"/>
      <c r="F210" s="1"/>
      <c r="G210" s="1"/>
      <c r="H210" s="1"/>
      <c r="I210" s="1"/>
      <c r="J210" s="1"/>
      <c r="K210" s="1"/>
      <c r="L210" s="1"/>
    </row>
    <row r="211">
      <c r="A211" s="2">
        <f>IFERROR(__xludf.DUMMYFUNCTION("""COMPUTED_VALUE"""),46156.02453412037)</f>
        <v>46156.02453</v>
      </c>
      <c r="B211" s="1" t="str">
        <f>IFERROR(__xludf.DUMMYFUNCTION("""COMPUTED_VALUE"""),"0106852675 / 252610248")</f>
        <v>0106852675 / 252610248</v>
      </c>
      <c r="C211" s="1" t="str">
        <f>IFERROR(__xludf.DUMMYFUNCTION("""COMPUTED_VALUE"""),"Hadir")</f>
        <v>Hadir</v>
      </c>
      <c r="D211" s="1" t="str">
        <f>IFERROR(__xludf.DUMMYFUNCTION("""COMPUTED_VALUE"""),"tiaraazizah.w@gmail.com")</f>
        <v>tiaraazizah.w@gmail.com</v>
      </c>
      <c r="E211" s="1"/>
      <c r="F211" s="1"/>
      <c r="G211" s="1"/>
      <c r="H211" s="1"/>
      <c r="I211" s="1"/>
      <c r="J211" s="1"/>
      <c r="K211" s="1"/>
      <c r="L211" s="1"/>
    </row>
    <row r="212">
      <c r="A212" s="2">
        <f>IFERROR(__xludf.DUMMYFUNCTION("""COMPUTED_VALUE"""),46159.78085047453)</f>
        <v>46159.78085</v>
      </c>
      <c r="B212" s="1" t="str">
        <f>IFERROR(__xludf.DUMMYFUNCTION("""COMPUTED_VALUE"""),"3093210071 / 252610042")</f>
        <v>3093210071 / 252610042</v>
      </c>
      <c r="C212" s="1" t="str">
        <f>IFERROR(__xludf.DUMMYFUNCTION("""COMPUTED_VALUE"""),"Hadir")</f>
        <v>Hadir</v>
      </c>
      <c r="D212" s="1" t="str">
        <f>IFERROR(__xludf.DUMMYFUNCTION("""COMPUTED_VALUE"""),"khairunnisanuribtihal10@gmail.com")</f>
        <v>khairunnisanuribtihal10@gmail.com</v>
      </c>
      <c r="E212" s="1"/>
      <c r="F212" s="1"/>
      <c r="G212" s="1"/>
      <c r="H212" s="1"/>
      <c r="I212" s="1"/>
      <c r="J212" s="1"/>
      <c r="K212" s="1"/>
      <c r="L212" s="1"/>
    </row>
    <row r="213">
      <c r="A213" s="2">
        <f>IFERROR(__xludf.DUMMYFUNCTION("""COMPUTED_VALUE"""),46159.78160780093)</f>
        <v>46159.78161</v>
      </c>
      <c r="B213" s="1" t="str">
        <f>IFERROR(__xludf.DUMMYFUNCTION("""COMPUTED_VALUE"""),"3093210071 / 252610042")</f>
        <v>3093210071 / 252610042</v>
      </c>
      <c r="C213" s="1" t="str">
        <f>IFERROR(__xludf.DUMMYFUNCTION("""COMPUTED_VALUE"""),"Hadir")</f>
        <v>Hadir</v>
      </c>
      <c r="D213" s="1" t="str">
        <f>IFERROR(__xludf.DUMMYFUNCTION("""COMPUTED_VALUE"""),"khairunnisanuribtihal10@gmail.com")</f>
        <v>khairunnisanuribtihal10@gmail.com</v>
      </c>
      <c r="E213" s="1"/>
      <c r="F213" s="1"/>
      <c r="G213" s="1"/>
      <c r="H213" s="1"/>
      <c r="I213" s="1"/>
      <c r="J213" s="1"/>
      <c r="K213" s="1"/>
      <c r="L213" s="1"/>
    </row>
    <row r="214">
      <c r="A214" s="2">
        <f>IFERROR(__xludf.DUMMYFUNCTION("""COMPUTED_VALUE"""),46159.78192255787)</f>
        <v>46159.78192</v>
      </c>
      <c r="B214" s="1" t="str">
        <f>IFERROR(__xludf.DUMMYFUNCTION("""COMPUTED_VALUE"""),"3093210071 / 252610042")</f>
        <v>3093210071 / 252610042</v>
      </c>
      <c r="C214" s="1" t="str">
        <f>IFERROR(__xludf.DUMMYFUNCTION("""COMPUTED_VALUE"""),"Hadir")</f>
        <v>Hadir</v>
      </c>
      <c r="D214" s="1" t="str">
        <f>IFERROR(__xludf.DUMMYFUNCTION("""COMPUTED_VALUE"""),"khairunnisanuribtihal10@gmail.com")</f>
        <v>khairunnisanuribtihal10@gmail.com</v>
      </c>
      <c r="E214" s="1"/>
      <c r="F214" s="1"/>
      <c r="G214" s="1"/>
      <c r="H214" s="1"/>
      <c r="I214" s="1"/>
      <c r="J214" s="1"/>
      <c r="K214" s="1"/>
      <c r="L214" s="1"/>
    </row>
    <row r="215">
      <c r="A215" s="2">
        <f>IFERROR(__xludf.DUMMYFUNCTION("""COMPUTED_VALUE"""),46159.78230803241)</f>
        <v>46159.78231</v>
      </c>
      <c r="B215" s="1" t="str">
        <f>IFERROR(__xludf.DUMMYFUNCTION("""COMPUTED_VALUE"""),"3093210071 / 252610042")</f>
        <v>3093210071 / 252610042</v>
      </c>
      <c r="C215" s="1" t="str">
        <f>IFERROR(__xludf.DUMMYFUNCTION("""COMPUTED_VALUE"""),"Hadir")</f>
        <v>Hadir</v>
      </c>
      <c r="D215" s="1" t="str">
        <f>IFERROR(__xludf.DUMMYFUNCTION("""COMPUTED_VALUE"""),"khairunnisanuribtihal10@gmail.com")</f>
        <v>khairunnisanuribtihal10@gmail.com</v>
      </c>
      <c r="E215" s="1"/>
      <c r="F215" s="1"/>
      <c r="G215" s="1"/>
      <c r="H215" s="1"/>
      <c r="I215" s="1"/>
      <c r="J215" s="1"/>
      <c r="K215" s="1"/>
      <c r="L215" s="1"/>
    </row>
    <row r="216">
      <c r="A216" s="2">
        <f>IFERROR(__xludf.DUMMYFUNCTION("""COMPUTED_VALUE"""),46159.78399322917)</f>
        <v>46159.78399</v>
      </c>
      <c r="B216" s="1" t="str">
        <f>IFERROR(__xludf.DUMMYFUNCTION("""COMPUTED_VALUE"""),"0099344894 / 252610072")</f>
        <v>0099344894 / 252610072</v>
      </c>
      <c r="C216" s="1" t="str">
        <f>IFERROR(__xludf.DUMMYFUNCTION("""COMPUTED_VALUE"""),"Hadir")</f>
        <v>Hadir</v>
      </c>
      <c r="D216" s="1" t="str">
        <f>IFERROR(__xludf.DUMMYFUNCTION("""COMPUTED_VALUE"""),"khairunnisanuribtihal10@gmail.com")</f>
        <v>khairunnisanuribtihal10@gmail.com</v>
      </c>
      <c r="E216" s="1"/>
      <c r="F216" s="1"/>
      <c r="G216" s="1"/>
      <c r="H216" s="1"/>
      <c r="I216" s="1"/>
      <c r="J216" s="1"/>
      <c r="K216" s="1"/>
      <c r="L216" s="1"/>
    </row>
    <row r="217">
      <c r="A217" s="2">
        <f>IFERROR(__xludf.DUMMYFUNCTION("""COMPUTED_VALUE"""),46159.78447427083)</f>
        <v>46159.78447</v>
      </c>
      <c r="B217" s="1" t="str">
        <f>IFERROR(__xludf.DUMMYFUNCTION("""COMPUTED_VALUE"""),"0099344894 / 252610072")</f>
        <v>0099344894 / 252610072</v>
      </c>
      <c r="C217" s="1" t="str">
        <f>IFERROR(__xludf.DUMMYFUNCTION("""COMPUTED_VALUE"""),"Hadir")</f>
        <v>Hadir</v>
      </c>
      <c r="D217" s="1" t="str">
        <f>IFERROR(__xludf.DUMMYFUNCTION("""COMPUTED_VALUE"""),"khairunnisanuribtihal10@gmail.com")</f>
        <v>khairunnisanuribtihal10@gmail.com</v>
      </c>
      <c r="E217" s="1"/>
      <c r="F217" s="1"/>
      <c r="G217" s="1"/>
      <c r="H217" s="1"/>
      <c r="I217" s="1"/>
      <c r="J217" s="1"/>
      <c r="K217" s="1"/>
      <c r="L217" s="1"/>
    </row>
    <row r="218">
      <c r="A218" s="2">
        <f>IFERROR(__xludf.DUMMYFUNCTION("""COMPUTED_VALUE"""),46159.78511589121)</f>
        <v>46159.78512</v>
      </c>
      <c r="B218" s="1" t="str">
        <f>IFERROR(__xludf.DUMMYFUNCTION("""COMPUTED_VALUE"""),"0104799326 / 252610134")</f>
        <v>0104799326 / 252610134</v>
      </c>
      <c r="C218" s="1" t="str">
        <f>IFERROR(__xludf.DUMMYFUNCTION("""COMPUTED_VALUE"""),"Hadir")</f>
        <v>Hadir</v>
      </c>
      <c r="D218" s="1" t="str">
        <f>IFERROR(__xludf.DUMMYFUNCTION("""COMPUTED_VALUE"""),"khairunnisanuribtihal10@gmail.com")</f>
        <v>khairunnisanuribtihal10@gmail.com</v>
      </c>
      <c r="E218" s="1"/>
      <c r="F218" s="1"/>
      <c r="G218" s="1"/>
      <c r="H218" s="1"/>
      <c r="I218" s="1"/>
      <c r="J218" s="1"/>
      <c r="K218" s="1"/>
      <c r="L218" s="1"/>
    </row>
    <row r="219">
      <c r="A219" s="2">
        <f>IFERROR(__xludf.DUMMYFUNCTION("""COMPUTED_VALUE"""),46159.78600224537)</f>
        <v>46159.786</v>
      </c>
      <c r="B219" s="1" t="str">
        <f>IFERROR(__xludf.DUMMYFUNCTION("""COMPUTED_VALUE"""),"0099286083 / 252610157")</f>
        <v>0099286083 / 252610157</v>
      </c>
      <c r="C219" s="1" t="str">
        <f>IFERROR(__xludf.DUMMYFUNCTION("""COMPUTED_VALUE"""),"Hadir")</f>
        <v>Hadir</v>
      </c>
      <c r="D219" s="1" t="str">
        <f>IFERROR(__xludf.DUMMYFUNCTION("""COMPUTED_VALUE"""),"khairunnisanuribtihal10@gmail.com")</f>
        <v>khairunnisanuribtihal10@gmail.com</v>
      </c>
      <c r="E219" s="1"/>
      <c r="F219" s="1"/>
      <c r="G219" s="1"/>
      <c r="H219" s="1"/>
      <c r="I219" s="1"/>
      <c r="J219" s="1"/>
      <c r="K219" s="1"/>
      <c r="L219" s="1"/>
    </row>
    <row r="220">
      <c r="A220" s="2">
        <f>IFERROR(__xludf.DUMMYFUNCTION("""COMPUTED_VALUE"""),46159.78631145833)</f>
        <v>46159.78631</v>
      </c>
      <c r="B220" s="1" t="str">
        <f>IFERROR(__xludf.DUMMYFUNCTION("""COMPUTED_VALUE"""),"0099286083 / 252610157")</f>
        <v>0099286083 / 252610157</v>
      </c>
      <c r="C220" s="1" t="str">
        <f>IFERROR(__xludf.DUMMYFUNCTION("""COMPUTED_VALUE"""),"Hadir")</f>
        <v>Hadir</v>
      </c>
      <c r="D220" s="1" t="str">
        <f>IFERROR(__xludf.DUMMYFUNCTION("""COMPUTED_VALUE"""),"khairunnisanuribtihal10@gmail.com")</f>
        <v>khairunnisanuribtihal10@gmail.com</v>
      </c>
      <c r="E220" s="1"/>
      <c r="F220" s="1"/>
      <c r="G220" s="1"/>
      <c r="H220" s="1"/>
      <c r="I220" s="1"/>
      <c r="J220" s="1"/>
      <c r="K220" s="1"/>
      <c r="L220" s="1"/>
    </row>
    <row r="221">
      <c r="A221" s="2">
        <f>IFERROR(__xludf.DUMMYFUNCTION("""COMPUTED_VALUE"""),46159.78670064815)</f>
        <v>46159.7867</v>
      </c>
      <c r="B221" s="1" t="str">
        <f>IFERROR(__xludf.DUMMYFUNCTION("""COMPUTED_VALUE"""),"0099286083 / 252610157")</f>
        <v>0099286083 / 252610157</v>
      </c>
      <c r="C221" s="1" t="str">
        <f>IFERROR(__xludf.DUMMYFUNCTION("""COMPUTED_VALUE"""),"Hadir")</f>
        <v>Hadir</v>
      </c>
      <c r="D221" s="1" t="str">
        <f>IFERROR(__xludf.DUMMYFUNCTION("""COMPUTED_VALUE"""),"khairunnisanuribtihal10@gmail.com")</f>
        <v>khairunnisanuribtihal10@gmail.com</v>
      </c>
      <c r="E221" s="1"/>
      <c r="F221" s="1"/>
      <c r="G221" s="1"/>
      <c r="H221" s="1"/>
      <c r="I221" s="1"/>
      <c r="J221" s="1"/>
      <c r="K221" s="1"/>
      <c r="L221" s="1"/>
    </row>
    <row r="222">
      <c r="A222" s="2">
        <f>IFERROR(__xludf.DUMMYFUNCTION("""COMPUTED_VALUE"""),46159.78776537037)</f>
        <v>46159.78777</v>
      </c>
      <c r="B222" s="1" t="str">
        <f>IFERROR(__xludf.DUMMYFUNCTION("""COMPUTED_VALUE"""),"0093451857 / 252610167")</f>
        <v>0093451857 / 252610167</v>
      </c>
      <c r="C222" s="1" t="str">
        <f>IFERROR(__xludf.DUMMYFUNCTION("""COMPUTED_VALUE"""),"Hadir")</f>
        <v>Hadir</v>
      </c>
      <c r="D222" s="1" t="str">
        <f>IFERROR(__xludf.DUMMYFUNCTION("""COMPUTED_VALUE"""),"khairunnisanuribtihal10@gmail.com")</f>
        <v>khairunnisanuribtihal10@gmail.com</v>
      </c>
      <c r="E222" s="1"/>
      <c r="F222" s="1"/>
      <c r="G222" s="1"/>
      <c r="H222" s="1"/>
      <c r="I222" s="1"/>
      <c r="J222" s="1"/>
      <c r="K222" s="1"/>
      <c r="L222" s="1"/>
    </row>
    <row r="223">
      <c r="A223" s="2">
        <f>IFERROR(__xludf.DUMMYFUNCTION("""COMPUTED_VALUE"""),46159.78825305555)</f>
        <v>46159.78825</v>
      </c>
      <c r="B223" s="1" t="str">
        <f>IFERROR(__xludf.DUMMYFUNCTION("""COMPUTED_VALUE"""),"0093451857 / 252610167")</f>
        <v>0093451857 / 252610167</v>
      </c>
      <c r="C223" s="1" t="str">
        <f>IFERROR(__xludf.DUMMYFUNCTION("""COMPUTED_VALUE"""),"Hadir")</f>
        <v>Hadir</v>
      </c>
      <c r="D223" s="1" t="str">
        <f>IFERROR(__xludf.DUMMYFUNCTION("""COMPUTED_VALUE"""),"khairunnisanuribtihal10@gmail.com")</f>
        <v>khairunnisanuribtihal10@gmail.com</v>
      </c>
      <c r="E223" s="1"/>
      <c r="F223" s="1"/>
      <c r="G223" s="1"/>
      <c r="H223" s="1"/>
      <c r="I223" s="1"/>
      <c r="J223" s="1"/>
      <c r="K223" s="1"/>
      <c r="L223" s="1"/>
    </row>
    <row r="224">
      <c r="A224" s="2">
        <f>IFERROR(__xludf.DUMMYFUNCTION("""COMPUTED_VALUE"""),46159.78863405093)</f>
        <v>46159.78863</v>
      </c>
      <c r="B224" s="1" t="str">
        <f>IFERROR(__xludf.DUMMYFUNCTION("""COMPUTED_VALUE"""),"0093451857 / 252610167")</f>
        <v>0093451857 / 252610167</v>
      </c>
      <c r="C224" s="1" t="str">
        <f>IFERROR(__xludf.DUMMYFUNCTION("""COMPUTED_VALUE"""),"Hadir")</f>
        <v>Hadir</v>
      </c>
      <c r="D224" s="1" t="str">
        <f>IFERROR(__xludf.DUMMYFUNCTION("""COMPUTED_VALUE"""),"khairunnisanuribtihal10@gmail.com")</f>
        <v>khairunnisanuribtihal10@gmail.com</v>
      </c>
      <c r="E224" s="1"/>
      <c r="F224" s="1"/>
      <c r="G224" s="1"/>
      <c r="H224" s="1"/>
      <c r="I224" s="1"/>
      <c r="J224" s="1"/>
      <c r="K224" s="1"/>
      <c r="L224" s="1"/>
    </row>
    <row r="225">
      <c r="A225" s="2">
        <f>IFERROR(__xludf.DUMMYFUNCTION("""COMPUTED_VALUE"""),46159.78877318287)</f>
        <v>46159.78877</v>
      </c>
      <c r="B225" s="1" t="str">
        <f>IFERROR(__xludf.DUMMYFUNCTION("""COMPUTED_VALUE"""),"0093451857 / 252610167")</f>
        <v>0093451857 / 252610167</v>
      </c>
      <c r="C225" s="1" t="str">
        <f>IFERROR(__xludf.DUMMYFUNCTION("""COMPUTED_VALUE"""),"Hadir")</f>
        <v>Hadir</v>
      </c>
      <c r="D225" s="1" t="str">
        <f>IFERROR(__xludf.DUMMYFUNCTION("""COMPUTED_VALUE"""),"khairunnisanuribtihal10@gmail.com")</f>
        <v>khairunnisanuribtihal10@gmail.com</v>
      </c>
      <c r="E225" s="1"/>
      <c r="F225" s="1"/>
      <c r="G225" s="1"/>
      <c r="H225" s="1"/>
      <c r="I225" s="1"/>
      <c r="J225" s="1"/>
      <c r="K225" s="1"/>
      <c r="L225" s="1"/>
    </row>
    <row r="226">
      <c r="A226" s="2">
        <f>IFERROR(__xludf.DUMMYFUNCTION("""COMPUTED_VALUE"""),46159.7894165162)</f>
        <v>46159.78942</v>
      </c>
      <c r="B226" s="1" t="str">
        <f>IFERROR(__xludf.DUMMYFUNCTION("""COMPUTED_VALUE"""),"0074430959 / 252610172")</f>
        <v>0074430959 / 252610172</v>
      </c>
      <c r="C226" s="1" t="str">
        <f>IFERROR(__xludf.DUMMYFUNCTION("""COMPUTED_VALUE"""),"Hadir")</f>
        <v>Hadir</v>
      </c>
      <c r="D226" s="1" t="str">
        <f>IFERROR(__xludf.DUMMYFUNCTION("""COMPUTED_VALUE"""),"salsabilanurhidayah25@gmail.com")</f>
        <v>salsabilanurhidayah25@gmail.com</v>
      </c>
      <c r="E226" s="1"/>
      <c r="F226" s="1"/>
      <c r="G226" s="1"/>
      <c r="H226" s="1"/>
      <c r="I226" s="1"/>
      <c r="J226" s="1"/>
      <c r="K226" s="1"/>
      <c r="L226" s="1"/>
    </row>
    <row r="227">
      <c r="A227" s="2">
        <f>IFERROR(__xludf.DUMMYFUNCTION("""COMPUTED_VALUE"""),46159.79010064815)</f>
        <v>46159.7901</v>
      </c>
      <c r="B227" s="1" t="str">
        <f>IFERROR(__xludf.DUMMYFUNCTION("""COMPUTED_VALUE"""),"0074430959 / 252610172")</f>
        <v>0074430959 / 252610172</v>
      </c>
      <c r="C227" s="1" t="str">
        <f>IFERROR(__xludf.DUMMYFUNCTION("""COMPUTED_VALUE"""),"Hadir")</f>
        <v>Hadir</v>
      </c>
      <c r="D227" s="1" t="str">
        <f>IFERROR(__xludf.DUMMYFUNCTION("""COMPUTED_VALUE"""),"khairunnisanuribtihal10@gmail.com")</f>
        <v>khairunnisanuribtihal10@gmail.com</v>
      </c>
      <c r="E227" s="1"/>
      <c r="F227" s="1"/>
      <c r="G227" s="1"/>
      <c r="H227" s="1"/>
      <c r="I227" s="1"/>
      <c r="J227" s="1"/>
      <c r="K227" s="1"/>
      <c r="L227" s="1"/>
    </row>
    <row r="228">
      <c r="A228" s="2">
        <f>IFERROR(__xludf.DUMMYFUNCTION("""COMPUTED_VALUE"""),46159.79029805555)</f>
        <v>46159.7903</v>
      </c>
      <c r="B228" s="1" t="str">
        <f>IFERROR(__xludf.DUMMYFUNCTION("""COMPUTED_VALUE"""),"0074430959 / 252610172")</f>
        <v>0074430959 / 252610172</v>
      </c>
      <c r="C228" s="1" t="str">
        <f>IFERROR(__xludf.DUMMYFUNCTION("""COMPUTED_VALUE"""),"Hadir")</f>
        <v>Hadir</v>
      </c>
      <c r="D228" s="1" t="str">
        <f>IFERROR(__xludf.DUMMYFUNCTION("""COMPUTED_VALUE"""),"khairunnisanuribtihal10@gmail.com")</f>
        <v>khairunnisanuribtihal10@gmail.com</v>
      </c>
      <c r="E228" s="1"/>
      <c r="F228" s="1"/>
      <c r="G228" s="1"/>
      <c r="H228" s="1"/>
      <c r="I228" s="1"/>
      <c r="J228" s="1"/>
      <c r="K228" s="1"/>
      <c r="L228" s="1"/>
    </row>
    <row r="229">
      <c r="A229" s="2">
        <f>IFERROR(__xludf.DUMMYFUNCTION("""COMPUTED_VALUE"""),46159.793324178245)</f>
        <v>46159.79332</v>
      </c>
      <c r="B229" s="1" t="str">
        <f>IFERROR(__xludf.DUMMYFUNCTION("""COMPUTED_VALUE"""),"0074430959 / 252610172")</f>
        <v>0074430959 / 252610172</v>
      </c>
      <c r="C229" s="1" t="str">
        <f>IFERROR(__xludf.DUMMYFUNCTION("""COMPUTED_VALUE"""),"Hadir")</f>
        <v>Hadir</v>
      </c>
      <c r="D229" s="1" t="str">
        <f>IFERROR(__xludf.DUMMYFUNCTION("""COMPUTED_VALUE"""),"khairunnisanuribtihal10@gmail.com")</f>
        <v>khairunnisanuribtihal10@gmail.com</v>
      </c>
      <c r="E229" s="1"/>
      <c r="F229" s="1"/>
      <c r="G229" s="1"/>
      <c r="H229" s="1"/>
      <c r="I229" s="1"/>
      <c r="J229" s="1"/>
      <c r="K229" s="1"/>
      <c r="L229" s="1"/>
    </row>
    <row r="230">
      <c r="A230" s="2">
        <f>IFERROR(__xludf.DUMMYFUNCTION("""COMPUTED_VALUE"""),46159.794229756946)</f>
        <v>46159.79423</v>
      </c>
      <c r="B230" s="1" t="str">
        <f>IFERROR(__xludf.DUMMYFUNCTION("""COMPUTED_VALUE"""),"0091620147 / 252610189")</f>
        <v>0091620147 / 252610189</v>
      </c>
      <c r="C230" s="1" t="str">
        <f>IFERROR(__xludf.DUMMYFUNCTION("""COMPUTED_VALUE"""),"Hadir")</f>
        <v>Hadir</v>
      </c>
      <c r="D230" s="1" t="str">
        <f>IFERROR(__xludf.DUMMYFUNCTION("""COMPUTED_VALUE"""),"khairunnisanuribtihal10@gmail.com")</f>
        <v>khairunnisanuribtihal10@gmail.com</v>
      </c>
      <c r="E230" s="1"/>
      <c r="F230" s="1"/>
      <c r="G230" s="1"/>
      <c r="H230" s="1"/>
      <c r="I230" s="1"/>
      <c r="J230" s="1"/>
      <c r="K230" s="1"/>
      <c r="L230" s="1"/>
    </row>
    <row r="231">
      <c r="A231" s="2">
        <f>IFERROR(__xludf.DUMMYFUNCTION("""COMPUTED_VALUE"""),46159.79622421296)</f>
        <v>46159.79622</v>
      </c>
      <c r="B231" s="1" t="str">
        <f>IFERROR(__xludf.DUMMYFUNCTION("""COMPUTED_VALUE"""),"0093286261 / 252610194")</f>
        <v>0093286261 / 252610194</v>
      </c>
      <c r="C231" s="1" t="str">
        <f>IFERROR(__xludf.DUMMYFUNCTION("""COMPUTED_VALUE"""),"Hadir")</f>
        <v>Hadir</v>
      </c>
      <c r="D231" s="1" t="str">
        <f>IFERROR(__xludf.DUMMYFUNCTION("""COMPUTED_VALUE"""),"khairunnisanuribtihal10@gmail.com")</f>
        <v>khairunnisanuribtihal10@gmail.com</v>
      </c>
      <c r="E231" s="1"/>
      <c r="F231" s="1"/>
      <c r="G231" s="1"/>
      <c r="H231" s="1"/>
      <c r="I231" s="1"/>
      <c r="J231" s="1"/>
      <c r="K231" s="1"/>
      <c r="L231" s="1"/>
    </row>
    <row r="232">
      <c r="A232" s="2">
        <f>IFERROR(__xludf.DUMMYFUNCTION("""COMPUTED_VALUE"""),46159.79638829861)</f>
        <v>46159.79639</v>
      </c>
      <c r="B232" s="1" t="str">
        <f>IFERROR(__xludf.DUMMYFUNCTION("""COMPUTED_VALUE"""),"0093286261 / 252610194")</f>
        <v>0093286261 / 252610194</v>
      </c>
      <c r="C232" s="1" t="str">
        <f>IFERROR(__xludf.DUMMYFUNCTION("""COMPUTED_VALUE"""),"Hadir")</f>
        <v>Hadir</v>
      </c>
      <c r="D232" s="1" t="str">
        <f>IFERROR(__xludf.DUMMYFUNCTION("""COMPUTED_VALUE"""),"khairunnisanuribtihal10@gmail.com")</f>
        <v>khairunnisanuribtihal10@gmail.com</v>
      </c>
      <c r="E232" s="1"/>
      <c r="F232" s="1"/>
      <c r="G232" s="1"/>
      <c r="H232" s="1"/>
      <c r="I232" s="1"/>
      <c r="J232" s="1"/>
      <c r="K232" s="1"/>
      <c r="L232" s="1"/>
    </row>
    <row r="233">
      <c r="A233" s="2">
        <f>IFERROR(__xludf.DUMMYFUNCTION("""COMPUTED_VALUE"""),46159.79649922454)</f>
        <v>46159.7965</v>
      </c>
      <c r="B233" s="1" t="str">
        <f>IFERROR(__xludf.DUMMYFUNCTION("""COMPUTED_VALUE"""),"0093286261 / 252610194")</f>
        <v>0093286261 / 252610194</v>
      </c>
      <c r="C233" s="1" t="str">
        <f>IFERROR(__xludf.DUMMYFUNCTION("""COMPUTED_VALUE"""),"Hadir")</f>
        <v>Hadir</v>
      </c>
      <c r="D233" s="1" t="str">
        <f>IFERROR(__xludf.DUMMYFUNCTION("""COMPUTED_VALUE"""),"khairunnisanuribtihal10@gmail.com")</f>
        <v>khairunnisanuribtihal10@gmail.com</v>
      </c>
      <c r="E233" s="1"/>
      <c r="F233" s="1"/>
      <c r="G233" s="1"/>
      <c r="H233" s="1"/>
      <c r="I233" s="1"/>
      <c r="J233" s="1"/>
      <c r="K233" s="1"/>
      <c r="L233" s="1"/>
    </row>
    <row r="234">
      <c r="A234" s="2">
        <f>IFERROR(__xludf.DUMMYFUNCTION("""COMPUTED_VALUE"""),46159.79660761574)</f>
        <v>46159.79661</v>
      </c>
      <c r="B234" s="1" t="str">
        <f>IFERROR(__xludf.DUMMYFUNCTION("""COMPUTED_VALUE"""),"0093286261 / 252610194")</f>
        <v>0093286261 / 252610194</v>
      </c>
      <c r="C234" s="1" t="str">
        <f>IFERROR(__xludf.DUMMYFUNCTION("""COMPUTED_VALUE"""),"Hadir")</f>
        <v>Hadir</v>
      </c>
      <c r="D234" s="1" t="str">
        <f>IFERROR(__xludf.DUMMYFUNCTION("""COMPUTED_VALUE"""),"khairunnisanuribtihal10@gmail.com")</f>
        <v>khairunnisanuribtihal10@gmail.com</v>
      </c>
      <c r="E234" s="1"/>
      <c r="F234" s="1"/>
      <c r="G234" s="1"/>
      <c r="H234" s="1"/>
      <c r="I234" s="1"/>
      <c r="J234" s="1"/>
      <c r="K234" s="1"/>
      <c r="L234" s="1"/>
    </row>
    <row r="235">
      <c r="A235" s="2">
        <f>IFERROR(__xludf.DUMMYFUNCTION("""COMPUTED_VALUE"""),46159.7978219213)</f>
        <v>46159.79782</v>
      </c>
      <c r="B235" s="1" t="str">
        <f>IFERROR(__xludf.DUMMYFUNCTION("""COMPUTED_VALUE"""),"0101705316 / 252610210")</f>
        <v>0101705316 / 252610210</v>
      </c>
      <c r="C235" s="1" t="str">
        <f>IFERROR(__xludf.DUMMYFUNCTION("""COMPUTED_VALUE"""),"Hadir")</f>
        <v>Hadir</v>
      </c>
      <c r="D235" s="1" t="str">
        <f>IFERROR(__xludf.DUMMYFUNCTION("""COMPUTED_VALUE"""),"khairunnisanuribtihal10@gmail.com")</f>
        <v>khairunnisanuribtihal10@gmail.com</v>
      </c>
      <c r="E235" s="1"/>
      <c r="F235" s="1"/>
      <c r="G235" s="1"/>
      <c r="H235" s="1"/>
      <c r="I235" s="1"/>
      <c r="J235" s="1"/>
      <c r="K235" s="1"/>
      <c r="L235" s="1"/>
    </row>
    <row r="236">
      <c r="A236" s="2">
        <f>IFERROR(__xludf.DUMMYFUNCTION("""COMPUTED_VALUE"""),46159.797924722225)</f>
        <v>46159.79792</v>
      </c>
      <c r="B236" s="1" t="str">
        <f>IFERROR(__xludf.DUMMYFUNCTION("""COMPUTED_VALUE"""),"0101705316 / 252610210")</f>
        <v>0101705316 / 252610210</v>
      </c>
      <c r="C236" s="1" t="str">
        <f>IFERROR(__xludf.DUMMYFUNCTION("""COMPUTED_VALUE"""),"Hadir")</f>
        <v>Hadir</v>
      </c>
      <c r="D236" s="1" t="str">
        <f>IFERROR(__xludf.DUMMYFUNCTION("""COMPUTED_VALUE"""),"khairunnisanuribtihal10@gmail.com")</f>
        <v>khairunnisanuribtihal10@gmail.com</v>
      </c>
      <c r="E236" s="1"/>
      <c r="F236" s="1"/>
      <c r="G236" s="1"/>
      <c r="H236" s="1"/>
      <c r="I236" s="1"/>
      <c r="J236" s="1"/>
      <c r="K236" s="1"/>
      <c r="L236" s="1"/>
    </row>
    <row r="237">
      <c r="A237" s="2">
        <f>IFERROR(__xludf.DUMMYFUNCTION("""COMPUTED_VALUE"""),46159.798029178244)</f>
        <v>46159.79803</v>
      </c>
      <c r="B237" s="1" t="str">
        <f>IFERROR(__xludf.DUMMYFUNCTION("""COMPUTED_VALUE"""),"0101705316 / 252610210")</f>
        <v>0101705316 / 252610210</v>
      </c>
      <c r="C237" s="1" t="str">
        <f>IFERROR(__xludf.DUMMYFUNCTION("""COMPUTED_VALUE"""),"Hadir")</f>
        <v>Hadir</v>
      </c>
      <c r="D237" s="1" t="str">
        <f>IFERROR(__xludf.DUMMYFUNCTION("""COMPUTED_VALUE"""),"khairunnisanuribtihal10@gmail.com")</f>
        <v>khairunnisanuribtihal10@gmail.com</v>
      </c>
      <c r="E237" s="1"/>
      <c r="F237" s="1"/>
      <c r="G237" s="1"/>
      <c r="H237" s="1"/>
      <c r="I237" s="1"/>
      <c r="J237" s="1"/>
      <c r="K237" s="1"/>
      <c r="L237" s="1"/>
    </row>
    <row r="238">
      <c r="A238" s="2">
        <f>IFERROR(__xludf.DUMMYFUNCTION("""COMPUTED_VALUE"""),46159.79813193287)</f>
        <v>46159.79813</v>
      </c>
      <c r="B238" s="1" t="str">
        <f>IFERROR(__xludf.DUMMYFUNCTION("""COMPUTED_VALUE"""),"0101705316 / 252610210")</f>
        <v>0101705316 / 252610210</v>
      </c>
      <c r="C238" s="1" t="str">
        <f>IFERROR(__xludf.DUMMYFUNCTION("""COMPUTED_VALUE"""),"Hadir")</f>
        <v>Hadir</v>
      </c>
      <c r="D238" s="1" t="str">
        <f>IFERROR(__xludf.DUMMYFUNCTION("""COMPUTED_VALUE"""),"khairunnisanuribtihal10@gmail.com")</f>
        <v>khairunnisanuribtihal10@gmail.com</v>
      </c>
      <c r="E238" s="1"/>
      <c r="F238" s="1"/>
      <c r="G238" s="1"/>
      <c r="H238" s="1"/>
      <c r="I238" s="1"/>
      <c r="J238" s="1"/>
      <c r="K238" s="1"/>
      <c r="L238" s="1"/>
    </row>
    <row r="239">
      <c r="A239" s="2">
        <f>IFERROR(__xludf.DUMMYFUNCTION("""COMPUTED_VALUE"""),46159.79893334491)</f>
        <v>46159.79893</v>
      </c>
      <c r="B239" s="1" t="str">
        <f>IFERROR(__xludf.DUMMYFUNCTION("""COMPUTED_VALUE"""),"3090346201 / 252610214")</f>
        <v>3090346201 / 252610214</v>
      </c>
      <c r="C239" s="1" t="str">
        <f>IFERROR(__xludf.DUMMYFUNCTION("""COMPUTED_VALUE"""),"Hadir")</f>
        <v>Hadir</v>
      </c>
      <c r="D239" s="1" t="str">
        <f>IFERROR(__xludf.DUMMYFUNCTION("""COMPUTED_VALUE"""),"khairunnisanuribtihal10@gmail.com")</f>
        <v>khairunnisanuribtihal10@gmail.com</v>
      </c>
      <c r="E239" s="1"/>
      <c r="F239" s="1"/>
      <c r="G239" s="1"/>
      <c r="H239" s="1"/>
      <c r="I239" s="1"/>
      <c r="J239" s="1"/>
      <c r="K239" s="1"/>
      <c r="L239" s="1"/>
    </row>
    <row r="240">
      <c r="A240" s="2">
        <f>IFERROR(__xludf.DUMMYFUNCTION("""COMPUTED_VALUE"""),46159.79906012732)</f>
        <v>46159.79906</v>
      </c>
      <c r="B240" s="1" t="str">
        <f>IFERROR(__xludf.DUMMYFUNCTION("""COMPUTED_VALUE"""),"3090346201 / 252610214")</f>
        <v>3090346201 / 252610214</v>
      </c>
      <c r="C240" s="1" t="str">
        <f>IFERROR(__xludf.DUMMYFUNCTION("""COMPUTED_VALUE"""),"Hadir")</f>
        <v>Hadir</v>
      </c>
      <c r="D240" s="1" t="str">
        <f>IFERROR(__xludf.DUMMYFUNCTION("""COMPUTED_VALUE"""),"khairunnisanuribtihal10@gmail.com")</f>
        <v>khairunnisanuribtihal10@gmail.com</v>
      </c>
      <c r="E240" s="1"/>
      <c r="F240" s="1"/>
      <c r="G240" s="1"/>
      <c r="H240" s="1"/>
      <c r="I240" s="1"/>
      <c r="J240" s="1"/>
      <c r="K240" s="1"/>
      <c r="L240" s="1"/>
    </row>
    <row r="241">
      <c r="A241" s="2">
        <f>IFERROR(__xludf.DUMMYFUNCTION("""COMPUTED_VALUE"""),46159.79917125)</f>
        <v>46159.79917</v>
      </c>
      <c r="B241" s="1" t="str">
        <f>IFERROR(__xludf.DUMMYFUNCTION("""COMPUTED_VALUE"""),"3090346201 / 252610214")</f>
        <v>3090346201 / 252610214</v>
      </c>
      <c r="C241" s="1" t="str">
        <f>IFERROR(__xludf.DUMMYFUNCTION("""COMPUTED_VALUE"""),"Hadir")</f>
        <v>Hadir</v>
      </c>
      <c r="D241" s="1" t="str">
        <f>IFERROR(__xludf.DUMMYFUNCTION("""COMPUTED_VALUE"""),"khairunnisanuribtihal10@gmail.com")</f>
        <v>khairunnisanuribtihal10@gmail.com</v>
      </c>
      <c r="E241" s="1"/>
      <c r="F241" s="1"/>
      <c r="G241" s="1"/>
      <c r="H241" s="1"/>
      <c r="I241" s="1"/>
      <c r="J241" s="1"/>
      <c r="K241" s="1"/>
      <c r="L241" s="1"/>
    </row>
    <row r="242">
      <c r="A242" s="2">
        <f>IFERROR(__xludf.DUMMYFUNCTION("""COMPUTED_VALUE"""),46159.79926775463)</f>
        <v>46159.79927</v>
      </c>
      <c r="B242" s="1" t="str">
        <f>IFERROR(__xludf.DUMMYFUNCTION("""COMPUTED_VALUE"""),"3090346201 / 252610214")</f>
        <v>3090346201 / 252610214</v>
      </c>
      <c r="C242" s="1" t="str">
        <f>IFERROR(__xludf.DUMMYFUNCTION("""COMPUTED_VALUE"""),"Hadir")</f>
        <v>Hadir</v>
      </c>
      <c r="D242" s="1" t="str">
        <f>IFERROR(__xludf.DUMMYFUNCTION("""COMPUTED_VALUE"""),"khairunnisanuribtihal10@gmail.com")</f>
        <v>khairunnisanuribtihal10@gmail.com</v>
      </c>
      <c r="E242" s="1"/>
      <c r="F242" s="1"/>
      <c r="G242" s="1"/>
      <c r="H242" s="1"/>
      <c r="I242" s="1"/>
      <c r="J242" s="1"/>
      <c r="K242" s="1"/>
      <c r="L242" s="1"/>
    </row>
    <row r="243">
      <c r="A243" s="2">
        <f>IFERROR(__xludf.DUMMYFUNCTION("""COMPUTED_VALUE"""),46159.80005196759)</f>
        <v>46159.80005</v>
      </c>
      <c r="B243" s="1" t="str">
        <f>IFERROR(__xludf.DUMMYFUNCTION("""COMPUTED_VALUE"""),"0107948623 / 252610227")</f>
        <v>0107948623 / 252610227</v>
      </c>
      <c r="C243" s="1" t="str">
        <f>IFERROR(__xludf.DUMMYFUNCTION("""COMPUTED_VALUE"""),"Hadir")</f>
        <v>Hadir</v>
      </c>
      <c r="D243" s="1" t="str">
        <f>IFERROR(__xludf.DUMMYFUNCTION("""COMPUTED_VALUE"""),"khairunnisanuribtihal10@gmail.com")</f>
        <v>khairunnisanuribtihal10@gmail.com</v>
      </c>
      <c r="E243" s="1"/>
      <c r="F243" s="1"/>
      <c r="G243" s="1"/>
      <c r="H243" s="1"/>
      <c r="I243" s="1"/>
      <c r="J243" s="1"/>
      <c r="K243" s="1"/>
      <c r="L243" s="1"/>
    </row>
    <row r="244">
      <c r="A244" s="2">
        <f>IFERROR(__xludf.DUMMYFUNCTION("""COMPUTED_VALUE"""),46159.80018651621)</f>
        <v>46159.80019</v>
      </c>
      <c r="B244" s="1" t="str">
        <f>IFERROR(__xludf.DUMMYFUNCTION("""COMPUTED_VALUE"""),"0107948623 / 252610227")</f>
        <v>0107948623 / 252610227</v>
      </c>
      <c r="C244" s="1" t="str">
        <f>IFERROR(__xludf.DUMMYFUNCTION("""COMPUTED_VALUE"""),"Hadir")</f>
        <v>Hadir</v>
      </c>
      <c r="D244" s="1" t="str">
        <f>IFERROR(__xludf.DUMMYFUNCTION("""COMPUTED_VALUE"""),"khairunnisanuribtihal10@gmail.com")</f>
        <v>khairunnisanuribtihal10@gmail.com</v>
      </c>
      <c r="E244" s="1"/>
      <c r="F244" s="1"/>
      <c r="G244" s="1"/>
      <c r="H244" s="1"/>
      <c r="I244" s="1"/>
      <c r="J244" s="1"/>
      <c r="K244" s="1"/>
      <c r="L244" s="1"/>
    </row>
    <row r="245">
      <c r="A245" s="2">
        <f>IFERROR(__xludf.DUMMYFUNCTION("""COMPUTED_VALUE"""),46159.80085738426)</f>
        <v>46159.80086</v>
      </c>
      <c r="B245" s="1" t="str">
        <f>IFERROR(__xludf.DUMMYFUNCTION("""COMPUTED_VALUE"""),"0094583694 / 252610285")</f>
        <v>0094583694 / 252610285</v>
      </c>
      <c r="C245" s="1" t="str">
        <f>IFERROR(__xludf.DUMMYFUNCTION("""COMPUTED_VALUE"""),"Hadir")</f>
        <v>Hadir</v>
      </c>
      <c r="D245" s="1" t="str">
        <f>IFERROR(__xludf.DUMMYFUNCTION("""COMPUTED_VALUE"""),"khairunnisanuribtihal10@gmail.com")</f>
        <v>khairunnisanuribtihal10@gmail.com</v>
      </c>
      <c r="E245" s="1"/>
      <c r="F245" s="1"/>
      <c r="G245" s="1"/>
      <c r="H245" s="1"/>
      <c r="I245" s="1"/>
      <c r="J245" s="1"/>
      <c r="K245" s="1"/>
      <c r="L245" s="1"/>
    </row>
    <row r="246">
      <c r="A246" s="2">
        <f>IFERROR(__xludf.DUMMYFUNCTION("""COMPUTED_VALUE"""),46159.800974513884)</f>
        <v>46159.80097</v>
      </c>
      <c r="B246" s="1" t="str">
        <f>IFERROR(__xludf.DUMMYFUNCTION("""COMPUTED_VALUE"""),"0107948623 / 252610227")</f>
        <v>0107948623 / 252610227</v>
      </c>
      <c r="C246" s="1" t="str">
        <f>IFERROR(__xludf.DUMMYFUNCTION("""COMPUTED_VALUE"""),"Hadir")</f>
        <v>Hadir</v>
      </c>
      <c r="D246" s="1" t="str">
        <f>IFERROR(__xludf.DUMMYFUNCTION("""COMPUTED_VALUE"""),"khairunnisanuribtihal10@gmail.com")</f>
        <v>khairunnisanuribtihal10@gmail.com</v>
      </c>
      <c r="E246" s="1"/>
      <c r="F246" s="1"/>
      <c r="G246" s="1"/>
      <c r="H246" s="1"/>
      <c r="I246" s="1"/>
      <c r="J246" s="1"/>
      <c r="K246" s="1"/>
      <c r="L246" s="1"/>
    </row>
    <row r="247">
      <c r="A247" s="2">
        <f>IFERROR(__xludf.DUMMYFUNCTION("""COMPUTED_VALUE"""),46159.80107799769)</f>
        <v>46159.80108</v>
      </c>
      <c r="B247" s="1" t="str">
        <f>IFERROR(__xludf.DUMMYFUNCTION("""COMPUTED_VALUE"""),"0107948623 / 252610227")</f>
        <v>0107948623 / 252610227</v>
      </c>
      <c r="C247" s="1" t="str">
        <f>IFERROR(__xludf.DUMMYFUNCTION("""COMPUTED_VALUE"""),"Hadir")</f>
        <v>Hadir</v>
      </c>
      <c r="D247" s="1" t="str">
        <f>IFERROR(__xludf.DUMMYFUNCTION("""COMPUTED_VALUE"""),"khairunnisanuribtihal10@gmail.com")</f>
        <v>khairunnisanuribtihal10@gmail.com</v>
      </c>
      <c r="E247" s="1"/>
      <c r="F247" s="1"/>
      <c r="G247" s="1"/>
      <c r="H247" s="1"/>
      <c r="I247" s="1"/>
      <c r="J247" s="1"/>
      <c r="K247" s="1"/>
      <c r="L247" s="1"/>
    </row>
    <row r="248">
      <c r="A248" s="2">
        <f>IFERROR(__xludf.DUMMYFUNCTION("""COMPUTED_VALUE"""),46161.8521433912)</f>
        <v>46161.85214</v>
      </c>
      <c r="B248" s="1" t="str">
        <f>IFERROR(__xludf.DUMMYFUNCTION("""COMPUTED_VALUE"""),"0104459637 / 252610055")</f>
        <v>0104459637 / 252610055</v>
      </c>
      <c r="C248" s="1" t="str">
        <f>IFERROR(__xludf.DUMMYFUNCTION("""COMPUTED_VALUE"""),"Hadir")</f>
        <v>Hadir</v>
      </c>
      <c r="D248" s="1" t="str">
        <f>IFERROR(__xludf.DUMMYFUNCTION("""COMPUTED_VALUE"""),"hanahanifarifazi@gmail.com")</f>
        <v>hanahanifarifazi@gmail.com</v>
      </c>
      <c r="E248" s="1"/>
      <c r="F248" s="1"/>
      <c r="G248" s="1"/>
      <c r="H248" s="1"/>
      <c r="I248" s="1"/>
      <c r="J248" s="1"/>
      <c r="K248" s="1"/>
      <c r="L248" s="1"/>
    </row>
    <row r="249">
      <c r="A249" s="2">
        <f>IFERROR(__xludf.DUMMYFUNCTION("""COMPUTED_VALUE"""),46161.8524865625)</f>
        <v>46161.85249</v>
      </c>
      <c r="B249" s="1" t="str">
        <f>IFERROR(__xludf.DUMMYFUNCTION("""COMPUTED_VALUE"""),"0104459637 / 252610055")</f>
        <v>0104459637 / 252610055</v>
      </c>
      <c r="C249" s="1" t="str">
        <f>IFERROR(__xludf.DUMMYFUNCTION("""COMPUTED_VALUE"""),"Hadir")</f>
        <v>Hadir</v>
      </c>
      <c r="D249" s="1" t="str">
        <f>IFERROR(__xludf.DUMMYFUNCTION("""COMPUTED_VALUE"""),"hanahanifarifazi@gmail.com")</f>
        <v>hanahanifarifazi@gmail.com</v>
      </c>
      <c r="E249" s="1"/>
      <c r="F249" s="1"/>
      <c r="G249" s="1"/>
      <c r="H249" s="1"/>
      <c r="I249" s="1"/>
      <c r="J249" s="1"/>
      <c r="K249" s="1"/>
      <c r="L249" s="1"/>
    </row>
    <row r="250">
      <c r="A250" s="2">
        <f>IFERROR(__xludf.DUMMYFUNCTION("""COMPUTED_VALUE"""),46161.85265407407)</f>
        <v>46161.85265</v>
      </c>
      <c r="B250" s="1" t="str">
        <f>IFERROR(__xludf.DUMMYFUNCTION("""COMPUTED_VALUE"""),"0104459637 / 252610055")</f>
        <v>0104459637 / 252610055</v>
      </c>
      <c r="C250" s="1" t="str">
        <f>IFERROR(__xludf.DUMMYFUNCTION("""COMPUTED_VALUE"""),"Hadir")</f>
        <v>Hadir</v>
      </c>
      <c r="D250" s="1" t="str">
        <f>IFERROR(__xludf.DUMMYFUNCTION("""COMPUTED_VALUE"""),"hanahanifarifazi@gmail.com")</f>
        <v>hanahanifarifazi@gmail.com</v>
      </c>
      <c r="E250" s="1"/>
      <c r="F250" s="1"/>
      <c r="G250" s="1"/>
      <c r="H250" s="1"/>
      <c r="I250" s="1"/>
      <c r="J250" s="1"/>
      <c r="K250" s="1"/>
      <c r="L250" s="1"/>
    </row>
    <row r="251">
      <c r="A251" s="2">
        <f>IFERROR(__xludf.DUMMYFUNCTION("""COMPUTED_VALUE"""),46161.85281502314)</f>
        <v>46161.85282</v>
      </c>
      <c r="B251" s="1" t="str">
        <f>IFERROR(__xludf.DUMMYFUNCTION("""COMPUTED_VALUE"""),"0104459637 / 252610055")</f>
        <v>0104459637 / 252610055</v>
      </c>
      <c r="C251" s="1" t="str">
        <f>IFERROR(__xludf.DUMMYFUNCTION("""COMPUTED_VALUE"""),"Hadir")</f>
        <v>Hadir</v>
      </c>
      <c r="D251" s="1" t="str">
        <f>IFERROR(__xludf.DUMMYFUNCTION("""COMPUTED_VALUE"""),"hanahanifarifazi@gmail.com")</f>
        <v>hanahanifarifazi@gmail.com</v>
      </c>
      <c r="E251" s="1"/>
      <c r="F251" s="1"/>
      <c r="G251" s="1"/>
      <c r="H251" s="1"/>
      <c r="I251" s="1"/>
      <c r="J251" s="1"/>
      <c r="K251" s="1"/>
      <c r="L251" s="1"/>
    </row>
    <row r="252">
      <c r="A252" s="2">
        <f>IFERROR(__xludf.DUMMYFUNCTION("""COMPUTED_VALUE"""),46161.85308190972)</f>
        <v>46161.85308</v>
      </c>
      <c r="B252" s="1" t="str">
        <f>IFERROR(__xludf.DUMMYFUNCTION("""COMPUTED_VALUE"""),"0104459637 / 252610055")</f>
        <v>0104459637 / 252610055</v>
      </c>
      <c r="C252" s="1" t="str">
        <f>IFERROR(__xludf.DUMMYFUNCTION("""COMPUTED_VALUE"""),"Hadir")</f>
        <v>Hadir</v>
      </c>
      <c r="D252" s="1" t="str">
        <f>IFERROR(__xludf.DUMMYFUNCTION("""COMPUTED_VALUE"""),"hanahanifarifazi@gmail.com")</f>
        <v>hanahanifarifazi@gmail.com</v>
      </c>
      <c r="E252" s="1"/>
      <c r="F252" s="1"/>
      <c r="G252" s="1"/>
      <c r="H252" s="1"/>
      <c r="I252" s="1"/>
      <c r="J252" s="1"/>
      <c r="K252" s="1"/>
      <c r="L252" s="1"/>
    </row>
    <row r="253">
      <c r="A253" s="2">
        <f>IFERROR(__xludf.DUMMYFUNCTION("""COMPUTED_VALUE"""),46161.853234780094)</f>
        <v>46161.85323</v>
      </c>
      <c r="B253" s="1" t="str">
        <f>IFERROR(__xludf.DUMMYFUNCTION("""COMPUTED_VALUE"""),"0104459637 / 252610055")</f>
        <v>0104459637 / 252610055</v>
      </c>
      <c r="C253" s="1" t="str">
        <f>IFERROR(__xludf.DUMMYFUNCTION("""COMPUTED_VALUE"""),"Hadir")</f>
        <v>Hadir</v>
      </c>
      <c r="D253" s="1" t="str">
        <f>IFERROR(__xludf.DUMMYFUNCTION("""COMPUTED_VALUE"""),"hanahanifarifazi@gmail.com")</f>
        <v>hanahanifarifazi@gmail.com</v>
      </c>
      <c r="E253" s="1"/>
      <c r="F253" s="1"/>
      <c r="G253" s="1"/>
      <c r="H253" s="1"/>
      <c r="I253" s="1"/>
      <c r="J253" s="1"/>
      <c r="K253" s="1"/>
      <c r="L253" s="1"/>
    </row>
    <row r="254">
      <c r="A254" s="2">
        <f>IFERROR(__xludf.DUMMYFUNCTION("""COMPUTED_VALUE"""),46161.85338939815)</f>
        <v>46161.85339</v>
      </c>
      <c r="B254" s="1" t="str">
        <f>IFERROR(__xludf.DUMMYFUNCTION("""COMPUTED_VALUE"""),"0104459637 / 252610055")</f>
        <v>0104459637 / 252610055</v>
      </c>
      <c r="C254" s="1" t="str">
        <f>IFERROR(__xludf.DUMMYFUNCTION("""COMPUTED_VALUE"""),"Hadir")</f>
        <v>Hadir</v>
      </c>
      <c r="D254" s="1" t="str">
        <f>IFERROR(__xludf.DUMMYFUNCTION("""COMPUTED_VALUE"""),"hanahanifarifazi@gmail.com")</f>
        <v>hanahanifarifazi@gmail.com</v>
      </c>
      <c r="E254" s="1"/>
      <c r="F254" s="1"/>
      <c r="G254" s="1"/>
      <c r="H254" s="1"/>
      <c r="I254" s="1"/>
      <c r="J254" s="1"/>
      <c r="K254" s="1"/>
      <c r="L254" s="1"/>
    </row>
    <row r="255">
      <c r="A255" s="2">
        <f>IFERROR(__xludf.DUMMYFUNCTION("""COMPUTED_VALUE"""),46161.85356974537)</f>
        <v>46161.85357</v>
      </c>
      <c r="B255" s="1" t="str">
        <f>IFERROR(__xludf.DUMMYFUNCTION("""COMPUTED_VALUE"""),"0104459637 / 252610055")</f>
        <v>0104459637 / 252610055</v>
      </c>
      <c r="C255" s="1" t="str">
        <f>IFERROR(__xludf.DUMMYFUNCTION("""COMPUTED_VALUE"""),"Hadir")</f>
        <v>Hadir</v>
      </c>
      <c r="D255" s="1" t="str">
        <f>IFERROR(__xludf.DUMMYFUNCTION("""COMPUTED_VALUE"""),"hanahanifarifazi@gmail.com")</f>
        <v>hanahanifarifazi@gmail.com</v>
      </c>
      <c r="E255" s="1"/>
      <c r="F255" s="1"/>
      <c r="G255" s="1"/>
      <c r="H255" s="1"/>
      <c r="I255" s="1"/>
      <c r="J255" s="1"/>
      <c r="K255" s="1"/>
      <c r="L255" s="1"/>
    </row>
    <row r="256">
      <c r="A256" s="2">
        <f>IFERROR(__xludf.DUMMYFUNCTION("""COMPUTED_VALUE"""),46161.853705104164)</f>
        <v>46161.85371</v>
      </c>
      <c r="B256" s="1" t="str">
        <f>IFERROR(__xludf.DUMMYFUNCTION("""COMPUTED_VALUE"""),"0104459637 / 252610055")</f>
        <v>0104459637 / 252610055</v>
      </c>
      <c r="C256" s="1" t="str">
        <f>IFERROR(__xludf.DUMMYFUNCTION("""COMPUTED_VALUE"""),"Hadir")</f>
        <v>Hadir</v>
      </c>
      <c r="D256" s="1" t="str">
        <f>IFERROR(__xludf.DUMMYFUNCTION("""COMPUTED_VALUE"""),"hanahanifarifazi@gmail.com")</f>
        <v>hanahanifarifazi@gmail.com</v>
      </c>
      <c r="E256" s="1"/>
      <c r="F256" s="1"/>
      <c r="G256" s="1"/>
      <c r="H256" s="1"/>
      <c r="I256" s="1"/>
      <c r="J256" s="1"/>
      <c r="K256" s="1"/>
      <c r="L256" s="1"/>
    </row>
    <row r="257">
      <c r="A257" s="2">
        <f>IFERROR(__xludf.DUMMYFUNCTION("""COMPUTED_VALUE"""),46161.85436237269)</f>
        <v>46161.85436</v>
      </c>
      <c r="B257" s="1" t="str">
        <f>IFERROR(__xludf.DUMMYFUNCTION("""COMPUTED_VALUE"""),"0092597384 / 252610163")</f>
        <v>0092597384 / 252610163</v>
      </c>
      <c r="C257" s="1" t="str">
        <f>IFERROR(__xludf.DUMMYFUNCTION("""COMPUTED_VALUE"""),"Hadir")</f>
        <v>Hadir</v>
      </c>
      <c r="D257" s="1" t="str">
        <f>IFERROR(__xludf.DUMMYFUNCTION("""COMPUTED_VALUE"""),"hanahanifarifazi@gmail.com")</f>
        <v>hanahanifarifazi@gmail.com</v>
      </c>
      <c r="E257" s="1"/>
      <c r="F257" s="1"/>
      <c r="G257" s="1"/>
      <c r="H257" s="1"/>
      <c r="I257" s="1"/>
      <c r="J257" s="1"/>
      <c r="K257" s="1"/>
      <c r="L257" s="1"/>
    </row>
    <row r="258">
      <c r="A258" s="2">
        <f>IFERROR(__xludf.DUMMYFUNCTION("""COMPUTED_VALUE"""),46161.85448877315)</f>
        <v>46161.85449</v>
      </c>
      <c r="B258" s="1" t="str">
        <f>IFERROR(__xludf.DUMMYFUNCTION("""COMPUTED_VALUE"""),"0092597384 / 252610163")</f>
        <v>0092597384 / 252610163</v>
      </c>
      <c r="C258" s="1" t="str">
        <f>IFERROR(__xludf.DUMMYFUNCTION("""COMPUTED_VALUE"""),"Hadir")</f>
        <v>Hadir</v>
      </c>
      <c r="D258" s="1" t="str">
        <f>IFERROR(__xludf.DUMMYFUNCTION("""COMPUTED_VALUE"""),"hanahanifarifazi@gmail.com")</f>
        <v>hanahanifarifazi@gmail.com</v>
      </c>
      <c r="E258" s="1"/>
      <c r="F258" s="1"/>
      <c r="G258" s="1"/>
      <c r="H258" s="1"/>
      <c r="I258" s="1"/>
      <c r="J258" s="1"/>
      <c r="K258" s="1"/>
      <c r="L258" s="1"/>
    </row>
    <row r="259">
      <c r="A259" s="2">
        <f>IFERROR(__xludf.DUMMYFUNCTION("""COMPUTED_VALUE"""),46161.854606134264)</f>
        <v>46161.85461</v>
      </c>
      <c r="B259" s="1" t="str">
        <f>IFERROR(__xludf.DUMMYFUNCTION("""COMPUTED_VALUE"""),"0092597384 / 252610163")</f>
        <v>0092597384 / 252610163</v>
      </c>
      <c r="C259" s="1" t="str">
        <f>IFERROR(__xludf.DUMMYFUNCTION("""COMPUTED_VALUE"""),"Hadir")</f>
        <v>Hadir</v>
      </c>
      <c r="D259" s="1" t="str">
        <f>IFERROR(__xludf.DUMMYFUNCTION("""COMPUTED_VALUE"""),"hanahanifarifazi@gmail.com")</f>
        <v>hanahanifarifazi@gmail.com</v>
      </c>
      <c r="E259" s="1"/>
      <c r="F259" s="1"/>
      <c r="G259" s="1"/>
      <c r="H259" s="1"/>
      <c r="I259" s="1"/>
      <c r="J259" s="1"/>
      <c r="K259" s="1"/>
      <c r="L259" s="1"/>
    </row>
    <row r="260">
      <c r="A260" s="2">
        <f>IFERROR(__xludf.DUMMYFUNCTION("""COMPUTED_VALUE"""),46161.85471629629)</f>
        <v>46161.85472</v>
      </c>
      <c r="B260" s="1" t="str">
        <f>IFERROR(__xludf.DUMMYFUNCTION("""COMPUTED_VALUE"""),"0092597384 / 252610163")</f>
        <v>0092597384 / 252610163</v>
      </c>
      <c r="C260" s="1" t="str">
        <f>IFERROR(__xludf.DUMMYFUNCTION("""COMPUTED_VALUE"""),"Hadir")</f>
        <v>Hadir</v>
      </c>
      <c r="D260" s="1" t="str">
        <f>IFERROR(__xludf.DUMMYFUNCTION("""COMPUTED_VALUE"""),"hanahanifarifazi@gmail.com")</f>
        <v>hanahanifarifazi@gmail.com</v>
      </c>
      <c r="E260" s="1"/>
      <c r="F260" s="1"/>
      <c r="G260" s="1"/>
      <c r="H260" s="1"/>
      <c r="I260" s="1"/>
      <c r="J260" s="1"/>
      <c r="K260" s="1"/>
      <c r="L260" s="1"/>
    </row>
    <row r="261">
      <c r="A261" s="2">
        <f>IFERROR(__xludf.DUMMYFUNCTION("""COMPUTED_VALUE"""),46161.85483143519)</f>
        <v>46161.85483</v>
      </c>
      <c r="B261" s="1" t="str">
        <f>IFERROR(__xludf.DUMMYFUNCTION("""COMPUTED_VALUE"""),"0092597384 / 252610163")</f>
        <v>0092597384 / 252610163</v>
      </c>
      <c r="C261" s="1" t="str">
        <f>IFERROR(__xludf.DUMMYFUNCTION("""COMPUTED_VALUE"""),"Hadir")</f>
        <v>Hadir</v>
      </c>
      <c r="D261" s="1" t="str">
        <f>IFERROR(__xludf.DUMMYFUNCTION("""COMPUTED_VALUE"""),"hanahanifarifazi@gmail.com")</f>
        <v>hanahanifarifazi@gmail.com</v>
      </c>
      <c r="E261" s="1"/>
      <c r="F261" s="1"/>
      <c r="G261" s="1"/>
      <c r="H261" s="1"/>
      <c r="I261" s="1"/>
      <c r="J261" s="1"/>
      <c r="K261" s="1"/>
      <c r="L261" s="1"/>
    </row>
    <row r="262">
      <c r="A262" s="2">
        <f>IFERROR(__xludf.DUMMYFUNCTION("""COMPUTED_VALUE"""),46161.854955925926)</f>
        <v>46161.85496</v>
      </c>
      <c r="B262" s="1" t="str">
        <f>IFERROR(__xludf.DUMMYFUNCTION("""COMPUTED_VALUE"""),"0092597384 / 252610163")</f>
        <v>0092597384 / 252610163</v>
      </c>
      <c r="C262" s="1" t="str">
        <f>IFERROR(__xludf.DUMMYFUNCTION("""COMPUTED_VALUE"""),"Hadir")</f>
        <v>Hadir</v>
      </c>
      <c r="D262" s="1" t="str">
        <f>IFERROR(__xludf.DUMMYFUNCTION("""COMPUTED_VALUE"""),"hanahanifarifazi@gmail.com")</f>
        <v>hanahanifarifazi@gmail.com</v>
      </c>
      <c r="E262" s="1"/>
      <c r="F262" s="1"/>
      <c r="G262" s="1"/>
      <c r="H262" s="1"/>
      <c r="I262" s="1"/>
      <c r="J262" s="1"/>
      <c r="K262" s="1"/>
      <c r="L262" s="1"/>
    </row>
    <row r="263">
      <c r="A263" s="2">
        <f>IFERROR(__xludf.DUMMYFUNCTION("""COMPUTED_VALUE"""),46161.85507091435)</f>
        <v>46161.85507</v>
      </c>
      <c r="B263" s="1" t="str">
        <f>IFERROR(__xludf.DUMMYFUNCTION("""COMPUTED_VALUE"""),"0092597384 / 252610163")</f>
        <v>0092597384 / 252610163</v>
      </c>
      <c r="C263" s="1" t="str">
        <f>IFERROR(__xludf.DUMMYFUNCTION("""COMPUTED_VALUE"""),"Hadir")</f>
        <v>Hadir</v>
      </c>
      <c r="D263" s="1" t="str">
        <f>IFERROR(__xludf.DUMMYFUNCTION("""COMPUTED_VALUE"""),"hanahanifarifazi@gmail.com")</f>
        <v>hanahanifarifazi@gmail.com</v>
      </c>
      <c r="E263" s="1"/>
      <c r="F263" s="1"/>
      <c r="G263" s="1"/>
      <c r="H263" s="1"/>
      <c r="I263" s="1"/>
      <c r="J263" s="1"/>
      <c r="K263" s="1"/>
      <c r="L263" s="1"/>
    </row>
    <row r="264">
      <c r="A264" s="2">
        <f>IFERROR(__xludf.DUMMYFUNCTION("""COMPUTED_VALUE"""),46161.85518789352)</f>
        <v>46161.85519</v>
      </c>
      <c r="B264" s="1" t="str">
        <f>IFERROR(__xludf.DUMMYFUNCTION("""COMPUTED_VALUE"""),"0092597384 / 252610163")</f>
        <v>0092597384 / 252610163</v>
      </c>
      <c r="C264" s="1" t="str">
        <f>IFERROR(__xludf.DUMMYFUNCTION("""COMPUTED_VALUE"""),"Hadir")</f>
        <v>Hadir</v>
      </c>
      <c r="D264" s="1" t="str">
        <f>IFERROR(__xludf.DUMMYFUNCTION("""COMPUTED_VALUE"""),"hanahanifarifazi@gmail.com")</f>
        <v>hanahanifarifazi@gmail.com</v>
      </c>
      <c r="E264" s="1"/>
      <c r="F264" s="1"/>
      <c r="G264" s="1"/>
      <c r="H264" s="1"/>
      <c r="I264" s="1"/>
      <c r="J264" s="1"/>
      <c r="K264" s="1"/>
      <c r="L264" s="1"/>
    </row>
    <row r="265">
      <c r="A265" s="2">
        <f>IFERROR(__xludf.DUMMYFUNCTION("""COMPUTED_VALUE"""),46161.85536032407)</f>
        <v>46161.85536</v>
      </c>
      <c r="B265" s="1" t="str">
        <f>IFERROR(__xludf.DUMMYFUNCTION("""COMPUTED_VALUE"""),"0092597384 / 252610163")</f>
        <v>0092597384 / 252610163</v>
      </c>
      <c r="C265" s="1" t="str">
        <f>IFERROR(__xludf.DUMMYFUNCTION("""COMPUTED_VALUE"""),"Hadir")</f>
        <v>Hadir</v>
      </c>
      <c r="D265" s="1" t="str">
        <f>IFERROR(__xludf.DUMMYFUNCTION("""COMPUTED_VALUE"""),"hanahanifarifazi@gmail.com")</f>
        <v>hanahanifarifazi@gmail.com</v>
      </c>
      <c r="E265" s="1"/>
      <c r="F265" s="1"/>
      <c r="G265" s="1"/>
      <c r="H265" s="1"/>
      <c r="I265" s="1"/>
      <c r="J265" s="1"/>
      <c r="K265" s="1"/>
      <c r="L265" s="1"/>
    </row>
    <row r="266">
      <c r="A266" s="2">
        <f>IFERROR(__xludf.DUMMYFUNCTION("""COMPUTED_VALUE"""),46161.8634237963)</f>
        <v>46161.86342</v>
      </c>
      <c r="B266" s="1" t="str">
        <f>IFERROR(__xludf.DUMMYFUNCTION("""COMPUTED_VALUE"""),"3105062394 / 252610166")</f>
        <v>3105062394 / 252610166</v>
      </c>
      <c r="C266" s="1" t="str">
        <f>IFERROR(__xludf.DUMMYFUNCTION("""COMPUTED_VALUE"""),"Hadir")</f>
        <v>Hadir</v>
      </c>
      <c r="D266" s="1" t="str">
        <f>IFERROR(__xludf.DUMMYFUNCTION("""COMPUTED_VALUE"""),"hanahanifarifazi@gmail.com")</f>
        <v>hanahanifarifazi@gmail.com</v>
      </c>
      <c r="E266" s="1"/>
      <c r="F266" s="1"/>
      <c r="G266" s="1"/>
      <c r="H266" s="1"/>
      <c r="I266" s="1"/>
      <c r="J266" s="1"/>
      <c r="K266" s="1"/>
      <c r="L266" s="1"/>
    </row>
    <row r="267">
      <c r="A267" s="2">
        <f>IFERROR(__xludf.DUMMYFUNCTION("""COMPUTED_VALUE"""),46161.863536585646)</f>
        <v>46161.86354</v>
      </c>
      <c r="B267" s="1" t="str">
        <f>IFERROR(__xludf.DUMMYFUNCTION("""COMPUTED_VALUE"""),"3105062394 / 252610166")</f>
        <v>3105062394 / 252610166</v>
      </c>
      <c r="C267" s="1" t="str">
        <f>IFERROR(__xludf.DUMMYFUNCTION("""COMPUTED_VALUE"""),"Hadir")</f>
        <v>Hadir</v>
      </c>
      <c r="D267" s="1" t="str">
        <f>IFERROR(__xludf.DUMMYFUNCTION("""COMPUTED_VALUE"""),"hanahanifarifazi@gmail.com")</f>
        <v>hanahanifarifazi@gmail.com</v>
      </c>
      <c r="E267" s="1"/>
      <c r="F267" s="1"/>
      <c r="G267" s="1"/>
      <c r="H267" s="1"/>
      <c r="I267" s="1"/>
      <c r="J267" s="1"/>
      <c r="K267" s="1"/>
      <c r="L267" s="1"/>
    </row>
    <row r="268">
      <c r="A268" s="2">
        <f>IFERROR(__xludf.DUMMYFUNCTION("""COMPUTED_VALUE"""),46161.86365179398)</f>
        <v>46161.86365</v>
      </c>
      <c r="B268" s="1" t="str">
        <f>IFERROR(__xludf.DUMMYFUNCTION("""COMPUTED_VALUE"""),"3105062394 / 252610166")</f>
        <v>3105062394 / 252610166</v>
      </c>
      <c r="C268" s="1" t="str">
        <f>IFERROR(__xludf.DUMMYFUNCTION("""COMPUTED_VALUE"""),"Hadir")</f>
        <v>Hadir</v>
      </c>
      <c r="D268" s="1" t="str">
        <f>IFERROR(__xludf.DUMMYFUNCTION("""COMPUTED_VALUE"""),"hanahanifarifazi@gmail.com")</f>
        <v>hanahanifarifazi@gmail.com</v>
      </c>
      <c r="E268" s="1"/>
      <c r="F268" s="1"/>
      <c r="G268" s="1"/>
      <c r="H268" s="1"/>
      <c r="I268" s="1"/>
      <c r="J268" s="1"/>
      <c r="K268" s="1"/>
      <c r="L268" s="1"/>
    </row>
    <row r="269">
      <c r="A269" s="2">
        <f>IFERROR(__xludf.DUMMYFUNCTION("""COMPUTED_VALUE"""),46161.86377667824)</f>
        <v>46161.86378</v>
      </c>
      <c r="B269" s="1" t="str">
        <f>IFERROR(__xludf.DUMMYFUNCTION("""COMPUTED_VALUE"""),"3105062394 / 252610166")</f>
        <v>3105062394 / 252610166</v>
      </c>
      <c r="C269" s="1" t="str">
        <f>IFERROR(__xludf.DUMMYFUNCTION("""COMPUTED_VALUE"""),"Hadir")</f>
        <v>Hadir</v>
      </c>
      <c r="D269" s="1" t="str">
        <f>IFERROR(__xludf.DUMMYFUNCTION("""COMPUTED_VALUE"""),"hanahanifarifazi@gmail.com")</f>
        <v>hanahanifarifazi@gmail.com</v>
      </c>
      <c r="E269" s="1"/>
      <c r="F269" s="1"/>
      <c r="G269" s="1"/>
      <c r="H269" s="1"/>
      <c r="I269" s="1"/>
      <c r="J269" s="1"/>
      <c r="K269" s="1"/>
      <c r="L269" s="1"/>
    </row>
    <row r="270">
      <c r="A270" s="2">
        <f>IFERROR(__xludf.DUMMYFUNCTION("""COMPUTED_VALUE"""),46161.86390670139)</f>
        <v>46161.86391</v>
      </c>
      <c r="B270" s="1" t="str">
        <f>IFERROR(__xludf.DUMMYFUNCTION("""COMPUTED_VALUE"""),"3105062394 / 252610166")</f>
        <v>3105062394 / 252610166</v>
      </c>
      <c r="C270" s="1" t="str">
        <f>IFERROR(__xludf.DUMMYFUNCTION("""COMPUTED_VALUE"""),"Hadir")</f>
        <v>Hadir</v>
      </c>
      <c r="D270" s="1" t="str">
        <f>IFERROR(__xludf.DUMMYFUNCTION("""COMPUTED_VALUE"""),"hanahanifarifazi@gmail.com")</f>
        <v>hanahanifarifazi@gmail.com</v>
      </c>
      <c r="E270" s="1"/>
      <c r="F270" s="1"/>
      <c r="G270" s="1"/>
      <c r="H270" s="1"/>
      <c r="I270" s="1"/>
      <c r="J270" s="1"/>
      <c r="K270" s="1"/>
      <c r="L270" s="1"/>
    </row>
    <row r="271">
      <c r="A271" s="2">
        <f>IFERROR(__xludf.DUMMYFUNCTION("""COMPUTED_VALUE"""),46161.86401373842)</f>
        <v>46161.86401</v>
      </c>
      <c r="B271" s="1" t="str">
        <f>IFERROR(__xludf.DUMMYFUNCTION("""COMPUTED_VALUE"""),"3105062394 / 252610166")</f>
        <v>3105062394 / 252610166</v>
      </c>
      <c r="C271" s="1" t="str">
        <f>IFERROR(__xludf.DUMMYFUNCTION("""COMPUTED_VALUE"""),"Hadir")</f>
        <v>Hadir</v>
      </c>
      <c r="D271" s="1" t="str">
        <f>IFERROR(__xludf.DUMMYFUNCTION("""COMPUTED_VALUE"""),"hanahanifarifazi@gmail.com")</f>
        <v>hanahanifarifazi@gmail.com</v>
      </c>
      <c r="E271" s="1"/>
      <c r="F271" s="1"/>
      <c r="G271" s="1"/>
      <c r="H271" s="1"/>
      <c r="I271" s="1"/>
      <c r="J271" s="1"/>
      <c r="K271" s="1"/>
      <c r="L271" s="1"/>
    </row>
    <row r="272">
      <c r="A272" s="2">
        <f>IFERROR(__xludf.DUMMYFUNCTION("""COMPUTED_VALUE"""),46161.86409927084)</f>
        <v>46161.8641</v>
      </c>
      <c r="B272" s="1" t="str">
        <f>IFERROR(__xludf.DUMMYFUNCTION("""COMPUTED_VALUE"""),"3105062394 / 252610166")</f>
        <v>3105062394 / 252610166</v>
      </c>
      <c r="C272" s="1" t="str">
        <f>IFERROR(__xludf.DUMMYFUNCTION("""COMPUTED_VALUE"""),"Hadir")</f>
        <v>Hadir</v>
      </c>
      <c r="D272" s="1" t="str">
        <f>IFERROR(__xludf.DUMMYFUNCTION("""COMPUTED_VALUE"""),"hanahanifarifazi@gmail.com")</f>
        <v>hanahanifarifazi@gmail.com</v>
      </c>
      <c r="E272" s="1"/>
      <c r="F272" s="1"/>
      <c r="G272" s="1"/>
      <c r="H272" s="1"/>
      <c r="I272" s="1"/>
      <c r="J272" s="1"/>
      <c r="K272" s="1"/>
      <c r="L272" s="1"/>
    </row>
    <row r="273">
      <c r="A273" s="2">
        <f>IFERROR(__xludf.DUMMYFUNCTION("""COMPUTED_VALUE"""),46161.86423199074)</f>
        <v>46161.86423</v>
      </c>
      <c r="B273" s="1" t="str">
        <f>IFERROR(__xludf.DUMMYFUNCTION("""COMPUTED_VALUE"""),"3105062394 / 252610166")</f>
        <v>3105062394 / 252610166</v>
      </c>
      <c r="C273" s="1" t="str">
        <f>IFERROR(__xludf.DUMMYFUNCTION("""COMPUTED_VALUE"""),"Hadir")</f>
        <v>Hadir</v>
      </c>
      <c r="D273" s="1" t="str">
        <f>IFERROR(__xludf.DUMMYFUNCTION("""COMPUTED_VALUE"""),"hanahanifarifazi@gmail.com")</f>
        <v>hanahanifarifazi@gmail.com</v>
      </c>
      <c r="E273" s="1"/>
      <c r="F273" s="1"/>
      <c r="G273" s="1"/>
      <c r="H273" s="1"/>
      <c r="I273" s="1"/>
      <c r="J273" s="1"/>
      <c r="K273" s="1"/>
      <c r="L273" s="1"/>
    </row>
    <row r="274">
      <c r="A274" s="2">
        <f>IFERROR(__xludf.DUMMYFUNCTION("""COMPUTED_VALUE"""),46161.86747777778)</f>
        <v>46161.86748</v>
      </c>
      <c r="B274" s="1" t="str">
        <f>IFERROR(__xludf.DUMMYFUNCTION("""COMPUTED_VALUE"""),"0098197227 / 252610067")</f>
        <v>0098197227 / 252610067</v>
      </c>
      <c r="C274" s="1" t="str">
        <f>IFERROR(__xludf.DUMMYFUNCTION("""COMPUTED_VALUE"""),"Hadir")</f>
        <v>Hadir</v>
      </c>
      <c r="D274" s="1" t="str">
        <f>IFERROR(__xludf.DUMMYFUNCTION("""COMPUTED_VALUE"""),"hanahanifarifazi@gmail.com")</f>
        <v>hanahanifarifazi@gmail.com</v>
      </c>
      <c r="E274" s="1"/>
      <c r="F274" s="1"/>
      <c r="G274" s="1"/>
      <c r="H274" s="1"/>
      <c r="I274" s="1"/>
      <c r="J274" s="1"/>
      <c r="K274" s="1"/>
      <c r="L274" s="1"/>
    </row>
    <row r="275">
      <c r="A275" s="2">
        <f>IFERROR(__xludf.DUMMYFUNCTION("""COMPUTED_VALUE"""),46161.867588587964)</f>
        <v>46161.86759</v>
      </c>
      <c r="B275" s="1" t="str">
        <f>IFERROR(__xludf.DUMMYFUNCTION("""COMPUTED_VALUE"""),"0098197227 / 252610067")</f>
        <v>0098197227 / 252610067</v>
      </c>
      <c r="C275" s="1" t="str">
        <f>IFERROR(__xludf.DUMMYFUNCTION("""COMPUTED_VALUE"""),"Hadir")</f>
        <v>Hadir</v>
      </c>
      <c r="D275" s="1" t="str">
        <f>IFERROR(__xludf.DUMMYFUNCTION("""COMPUTED_VALUE"""),"hanahanifarifazi@gmail.com")</f>
        <v>hanahanifarifazi@gmail.com</v>
      </c>
      <c r="E275" s="1"/>
      <c r="F275" s="1"/>
      <c r="G275" s="1"/>
      <c r="H275" s="1"/>
      <c r="I275" s="1"/>
      <c r="J275" s="1"/>
      <c r="K275" s="1"/>
      <c r="L275" s="1"/>
    </row>
    <row r="276">
      <c r="A276" s="2">
        <f>IFERROR(__xludf.DUMMYFUNCTION("""COMPUTED_VALUE"""),46161.86768572917)</f>
        <v>46161.86769</v>
      </c>
      <c r="B276" s="1" t="str">
        <f>IFERROR(__xludf.DUMMYFUNCTION("""COMPUTED_VALUE"""),"0098197227 / 252610067")</f>
        <v>0098197227 / 252610067</v>
      </c>
      <c r="C276" s="1" t="str">
        <f>IFERROR(__xludf.DUMMYFUNCTION("""COMPUTED_VALUE"""),"Hadir")</f>
        <v>Hadir</v>
      </c>
      <c r="D276" s="1" t="str">
        <f>IFERROR(__xludf.DUMMYFUNCTION("""COMPUTED_VALUE"""),"hanahanifarifazi@gmail.com")</f>
        <v>hanahanifarifazi@gmail.com</v>
      </c>
      <c r="E276" s="1"/>
      <c r="F276" s="1"/>
      <c r="G276" s="1"/>
      <c r="H276" s="1"/>
      <c r="I276" s="1"/>
      <c r="J276" s="1"/>
      <c r="K276" s="1"/>
      <c r="L276" s="1"/>
    </row>
    <row r="277">
      <c r="A277" s="2">
        <f>IFERROR(__xludf.DUMMYFUNCTION("""COMPUTED_VALUE"""),46161.86777388889)</f>
        <v>46161.86777</v>
      </c>
      <c r="B277" s="1" t="str">
        <f>IFERROR(__xludf.DUMMYFUNCTION("""COMPUTED_VALUE"""),"0098197227 / 252610067")</f>
        <v>0098197227 / 252610067</v>
      </c>
      <c r="C277" s="1" t="str">
        <f>IFERROR(__xludf.DUMMYFUNCTION("""COMPUTED_VALUE"""),"Hadir")</f>
        <v>Hadir</v>
      </c>
      <c r="D277" s="1" t="str">
        <f>IFERROR(__xludf.DUMMYFUNCTION("""COMPUTED_VALUE"""),"hanahanifarifazi@gmail.com")</f>
        <v>hanahanifarifazi@gmail.com</v>
      </c>
      <c r="E277" s="1"/>
      <c r="F277" s="1"/>
      <c r="G277" s="1"/>
      <c r="H277" s="1"/>
      <c r="I277" s="1"/>
      <c r="J277" s="1"/>
      <c r="K277" s="1"/>
      <c r="L277" s="1"/>
    </row>
    <row r="278">
      <c r="A278" s="2">
        <f>IFERROR(__xludf.DUMMYFUNCTION("""COMPUTED_VALUE"""),46161.86786599537)</f>
        <v>46161.86787</v>
      </c>
      <c r="B278" s="1" t="str">
        <f>IFERROR(__xludf.DUMMYFUNCTION("""COMPUTED_VALUE"""),"0098197227 / 252610067")</f>
        <v>0098197227 / 252610067</v>
      </c>
      <c r="C278" s="1" t="str">
        <f>IFERROR(__xludf.DUMMYFUNCTION("""COMPUTED_VALUE"""),"Hadir")</f>
        <v>Hadir</v>
      </c>
      <c r="D278" s="1" t="str">
        <f>IFERROR(__xludf.DUMMYFUNCTION("""COMPUTED_VALUE"""),"hanahanifarifazi@gmail.com")</f>
        <v>hanahanifarifazi@gmail.com</v>
      </c>
      <c r="E278" s="1"/>
      <c r="F278" s="1"/>
      <c r="G278" s="1"/>
      <c r="H278" s="1"/>
      <c r="I278" s="1"/>
      <c r="J278" s="1"/>
      <c r="K278" s="1"/>
      <c r="L278" s="1"/>
    </row>
    <row r="279">
      <c r="A279" s="2">
        <f>IFERROR(__xludf.DUMMYFUNCTION("""COMPUTED_VALUE"""),46161.867961157404)</f>
        <v>46161.86796</v>
      </c>
      <c r="B279" s="1" t="str">
        <f>IFERROR(__xludf.DUMMYFUNCTION("""COMPUTED_VALUE"""),"0098197227 / 252610067")</f>
        <v>0098197227 / 252610067</v>
      </c>
      <c r="C279" s="1" t="str">
        <f>IFERROR(__xludf.DUMMYFUNCTION("""COMPUTED_VALUE"""),"Hadir")</f>
        <v>Hadir</v>
      </c>
      <c r="D279" s="1" t="str">
        <f>IFERROR(__xludf.DUMMYFUNCTION("""COMPUTED_VALUE"""),"hanahanifarifazi@gmail.com")</f>
        <v>hanahanifarifazi@gmail.com</v>
      </c>
      <c r="E279" s="1"/>
      <c r="F279" s="1"/>
      <c r="G279" s="1"/>
      <c r="H279" s="1"/>
      <c r="I279" s="1"/>
      <c r="J279" s="1"/>
      <c r="K279" s="1"/>
      <c r="L279" s="1"/>
    </row>
    <row r="280">
      <c r="A280" s="2">
        <f>IFERROR(__xludf.DUMMYFUNCTION("""COMPUTED_VALUE"""),46161.86804746528)</f>
        <v>46161.86805</v>
      </c>
      <c r="B280" s="1" t="str">
        <f>IFERROR(__xludf.DUMMYFUNCTION("""COMPUTED_VALUE"""),"0098197227 / 252610067")</f>
        <v>0098197227 / 252610067</v>
      </c>
      <c r="C280" s="1" t="str">
        <f>IFERROR(__xludf.DUMMYFUNCTION("""COMPUTED_VALUE"""),"Hadir")</f>
        <v>Hadir</v>
      </c>
      <c r="D280" s="1" t="str">
        <f>IFERROR(__xludf.DUMMYFUNCTION("""COMPUTED_VALUE"""),"hanahanifarifazi@gmail.com")</f>
        <v>hanahanifarifazi@gmail.com</v>
      </c>
      <c r="E280" s="1"/>
      <c r="F280" s="1"/>
      <c r="G280" s="1"/>
      <c r="H280" s="1"/>
      <c r="I280" s="1"/>
      <c r="J280" s="1"/>
      <c r="K280" s="1"/>
      <c r="L280" s="1"/>
    </row>
    <row r="281">
      <c r="A281" s="2">
        <f>IFERROR(__xludf.DUMMYFUNCTION("""COMPUTED_VALUE"""),46161.86923302083)</f>
        <v>46161.86923</v>
      </c>
      <c r="B281" s="1" t="str">
        <f>IFERROR(__xludf.DUMMYFUNCTION("""COMPUTED_VALUE"""),"0104825356 / 252610057")</f>
        <v>0104825356 / 252610057</v>
      </c>
      <c r="C281" s="1" t="str">
        <f>IFERROR(__xludf.DUMMYFUNCTION("""COMPUTED_VALUE"""),"Hadir")</f>
        <v>Hadir</v>
      </c>
      <c r="D281" s="1" t="str">
        <f>IFERROR(__xludf.DUMMYFUNCTION("""COMPUTED_VALUE"""),"hanahanifarifazi@gmail.com")</f>
        <v>hanahanifarifazi@gmail.com</v>
      </c>
      <c r="E281" s="1"/>
      <c r="F281" s="1"/>
      <c r="G281" s="1"/>
      <c r="H281" s="1"/>
      <c r="I281" s="1"/>
      <c r="J281" s="1"/>
      <c r="K281" s="1"/>
      <c r="L281" s="1"/>
    </row>
    <row r="282">
      <c r="A282" s="2">
        <f>IFERROR(__xludf.DUMMYFUNCTION("""COMPUTED_VALUE"""),46161.86933244213)</f>
        <v>46161.86933</v>
      </c>
      <c r="B282" s="1" t="str">
        <f>IFERROR(__xludf.DUMMYFUNCTION("""COMPUTED_VALUE"""),"0104825356 / 252610057")</f>
        <v>0104825356 / 252610057</v>
      </c>
      <c r="C282" s="1" t="str">
        <f>IFERROR(__xludf.DUMMYFUNCTION("""COMPUTED_VALUE"""),"Hadir")</f>
        <v>Hadir</v>
      </c>
      <c r="D282" s="1" t="str">
        <f>IFERROR(__xludf.DUMMYFUNCTION("""COMPUTED_VALUE"""),"hanahanifarifazi@gmail.com")</f>
        <v>hanahanifarifazi@gmail.com</v>
      </c>
      <c r="E282" s="1"/>
      <c r="F282" s="1"/>
      <c r="G282" s="1"/>
      <c r="H282" s="1"/>
      <c r="I282" s="1"/>
      <c r="J282" s="1"/>
      <c r="K282" s="1"/>
      <c r="L282" s="1"/>
    </row>
    <row r="283">
      <c r="A283" s="2">
        <f>IFERROR(__xludf.DUMMYFUNCTION("""COMPUTED_VALUE"""),46161.86942666667)</f>
        <v>46161.86943</v>
      </c>
      <c r="B283" s="1" t="str">
        <f>IFERROR(__xludf.DUMMYFUNCTION("""COMPUTED_VALUE"""),"0104825356 / 252610057")</f>
        <v>0104825356 / 252610057</v>
      </c>
      <c r="C283" s="1" t="str">
        <f>IFERROR(__xludf.DUMMYFUNCTION("""COMPUTED_VALUE"""),"Hadir")</f>
        <v>Hadir</v>
      </c>
      <c r="D283" s="1" t="str">
        <f>IFERROR(__xludf.DUMMYFUNCTION("""COMPUTED_VALUE"""),"hanahanifarifazi@gmail.com")</f>
        <v>hanahanifarifazi@gmail.com</v>
      </c>
      <c r="E283" s="1"/>
      <c r="F283" s="1"/>
      <c r="G283" s="1"/>
      <c r="H283" s="1"/>
      <c r="I283" s="1"/>
      <c r="J283" s="1"/>
      <c r="K283" s="1"/>
      <c r="L283" s="1"/>
    </row>
    <row r="284">
      <c r="A284" s="2">
        <f>IFERROR(__xludf.DUMMYFUNCTION("""COMPUTED_VALUE"""),46161.86951701389)</f>
        <v>46161.86952</v>
      </c>
      <c r="B284" s="1" t="str">
        <f>IFERROR(__xludf.DUMMYFUNCTION("""COMPUTED_VALUE"""),"0104825356 / 252610057")</f>
        <v>0104825356 / 252610057</v>
      </c>
      <c r="C284" s="1" t="str">
        <f>IFERROR(__xludf.DUMMYFUNCTION("""COMPUTED_VALUE"""),"Hadir")</f>
        <v>Hadir</v>
      </c>
      <c r="D284" s="1" t="str">
        <f>IFERROR(__xludf.DUMMYFUNCTION("""COMPUTED_VALUE"""),"hanahanifarifazi@gmail.com")</f>
        <v>hanahanifarifazi@gmail.com</v>
      </c>
      <c r="E284" s="1"/>
      <c r="F284" s="1"/>
      <c r="G284" s="1"/>
      <c r="H284" s="1"/>
      <c r="I284" s="1"/>
      <c r="J284" s="1"/>
      <c r="K284" s="1"/>
      <c r="L284" s="1"/>
    </row>
    <row r="285">
      <c r="A285" s="2">
        <f>IFERROR(__xludf.DUMMYFUNCTION("""COMPUTED_VALUE"""),46161.86961101852)</f>
        <v>46161.86961</v>
      </c>
      <c r="B285" s="1" t="str">
        <f>IFERROR(__xludf.DUMMYFUNCTION("""COMPUTED_VALUE"""),"0104825356 / 252610057")</f>
        <v>0104825356 / 252610057</v>
      </c>
      <c r="C285" s="1" t="str">
        <f>IFERROR(__xludf.DUMMYFUNCTION("""COMPUTED_VALUE"""),"Hadir")</f>
        <v>Hadir</v>
      </c>
      <c r="D285" s="1" t="str">
        <f>IFERROR(__xludf.DUMMYFUNCTION("""COMPUTED_VALUE"""),"hanahanifarifazi@gmail.com")</f>
        <v>hanahanifarifazi@gmail.com</v>
      </c>
      <c r="E285" s="1"/>
      <c r="F285" s="1"/>
      <c r="G285" s="1"/>
      <c r="H285" s="1"/>
      <c r="I285" s="1"/>
      <c r="J285" s="1"/>
      <c r="K285" s="1"/>
      <c r="L285" s="1"/>
    </row>
    <row r="286">
      <c r="A286" s="2">
        <f>IFERROR(__xludf.DUMMYFUNCTION("""COMPUTED_VALUE"""),46161.86970459491)</f>
        <v>46161.8697</v>
      </c>
      <c r="B286" s="1" t="str">
        <f>IFERROR(__xludf.DUMMYFUNCTION("""COMPUTED_VALUE"""),"0104825356 / 252610057")</f>
        <v>0104825356 / 252610057</v>
      </c>
      <c r="C286" s="1" t="str">
        <f>IFERROR(__xludf.DUMMYFUNCTION("""COMPUTED_VALUE"""),"Hadir")</f>
        <v>Hadir</v>
      </c>
      <c r="D286" s="1" t="str">
        <f>IFERROR(__xludf.DUMMYFUNCTION("""COMPUTED_VALUE"""),"hanahanifarifazi@gmail.com")</f>
        <v>hanahanifarifazi@gmail.com</v>
      </c>
      <c r="E286" s="1"/>
      <c r="F286" s="1"/>
      <c r="G286" s="1"/>
      <c r="H286" s="1"/>
      <c r="I286" s="1"/>
      <c r="J286" s="1"/>
      <c r="K286" s="1"/>
      <c r="L286" s="1"/>
    </row>
    <row r="287">
      <c r="A287" s="2">
        <f>IFERROR(__xludf.DUMMYFUNCTION("""COMPUTED_VALUE"""),46161.86979971065)</f>
        <v>46161.8698</v>
      </c>
      <c r="B287" s="1" t="str">
        <f>IFERROR(__xludf.DUMMYFUNCTION("""COMPUTED_VALUE"""),"0104825356 / 252610057")</f>
        <v>0104825356 / 252610057</v>
      </c>
      <c r="C287" s="1" t="str">
        <f>IFERROR(__xludf.DUMMYFUNCTION("""COMPUTED_VALUE"""),"Hadir")</f>
        <v>Hadir</v>
      </c>
      <c r="D287" s="1" t="str">
        <f>IFERROR(__xludf.DUMMYFUNCTION("""COMPUTED_VALUE"""),"hanahanifarifazi@gmail.com")</f>
        <v>hanahanifarifazi@gmail.com</v>
      </c>
      <c r="E287" s="1"/>
      <c r="F287" s="1"/>
      <c r="G287" s="1"/>
      <c r="H287" s="1"/>
      <c r="I287" s="1"/>
      <c r="J287" s="1"/>
      <c r="K287" s="1"/>
      <c r="L287" s="1"/>
    </row>
    <row r="288">
      <c r="A288" s="2">
        <f>IFERROR(__xludf.DUMMYFUNCTION("""COMPUTED_VALUE"""),46161.87011039352)</f>
        <v>46161.87011</v>
      </c>
      <c r="B288" s="1" t="str">
        <f>IFERROR(__xludf.DUMMYFUNCTION("""COMPUTED_VALUE"""),"0091763745 / 252610229")</f>
        <v>0091763745 / 252610229</v>
      </c>
      <c r="C288" s="1" t="str">
        <f>IFERROR(__xludf.DUMMYFUNCTION("""COMPUTED_VALUE"""),"Hadir")</f>
        <v>Hadir</v>
      </c>
      <c r="D288" s="1" t="str">
        <f>IFERROR(__xludf.DUMMYFUNCTION("""COMPUTED_VALUE"""),"hanahanifarifazi@gmail.com")</f>
        <v>hanahanifarifazi@gmail.com</v>
      </c>
      <c r="E288" s="1"/>
      <c r="F288" s="1"/>
      <c r="G288" s="1"/>
      <c r="H288" s="1"/>
      <c r="I288" s="1"/>
      <c r="J288" s="1"/>
      <c r="K288" s="1"/>
      <c r="L288" s="1"/>
    </row>
    <row r="289">
      <c r="A289" s="2">
        <f>IFERROR(__xludf.DUMMYFUNCTION("""COMPUTED_VALUE"""),46161.87022486111)</f>
        <v>46161.87022</v>
      </c>
      <c r="B289" s="1" t="str">
        <f>IFERROR(__xludf.DUMMYFUNCTION("""COMPUTED_VALUE"""),"0091763745 / 252610229")</f>
        <v>0091763745 / 252610229</v>
      </c>
      <c r="C289" s="1" t="str">
        <f>IFERROR(__xludf.DUMMYFUNCTION("""COMPUTED_VALUE"""),"Hadir")</f>
        <v>Hadir</v>
      </c>
      <c r="D289" s="1" t="str">
        <f>IFERROR(__xludf.DUMMYFUNCTION("""COMPUTED_VALUE"""),"hanahanifarifazi@gmail.com")</f>
        <v>hanahanifarifazi@gmail.com</v>
      </c>
      <c r="E289" s="1"/>
      <c r="F289" s="1"/>
      <c r="G289" s="1"/>
      <c r="H289" s="1"/>
      <c r="I289" s="1"/>
      <c r="J289" s="1"/>
      <c r="K289" s="1"/>
      <c r="L289" s="1"/>
    </row>
    <row r="290">
      <c r="A290" s="2">
        <f>IFERROR(__xludf.DUMMYFUNCTION("""COMPUTED_VALUE"""),46161.87032101852)</f>
        <v>46161.87032</v>
      </c>
      <c r="B290" s="1" t="str">
        <f>IFERROR(__xludf.DUMMYFUNCTION("""COMPUTED_VALUE"""),"0091763745 / 252610229")</f>
        <v>0091763745 / 252610229</v>
      </c>
      <c r="C290" s="1" t="str">
        <f>IFERROR(__xludf.DUMMYFUNCTION("""COMPUTED_VALUE"""),"Hadir")</f>
        <v>Hadir</v>
      </c>
      <c r="D290" s="1" t="str">
        <f>IFERROR(__xludf.DUMMYFUNCTION("""COMPUTED_VALUE"""),"hanahanifarifazi@gmail.com")</f>
        <v>hanahanifarifazi@gmail.com</v>
      </c>
      <c r="E290" s="1"/>
      <c r="F290" s="1"/>
      <c r="G290" s="1"/>
      <c r="H290" s="1"/>
      <c r="I290" s="1"/>
      <c r="J290" s="1"/>
      <c r="K290" s="1"/>
      <c r="L290" s="1"/>
    </row>
    <row r="291">
      <c r="A291" s="2">
        <f>IFERROR(__xludf.DUMMYFUNCTION("""COMPUTED_VALUE"""),46161.8704106713)</f>
        <v>46161.87041</v>
      </c>
      <c r="B291" s="1" t="str">
        <f>IFERROR(__xludf.DUMMYFUNCTION("""COMPUTED_VALUE"""),"0091763745 / 252610229")</f>
        <v>0091763745 / 252610229</v>
      </c>
      <c r="C291" s="1" t="str">
        <f>IFERROR(__xludf.DUMMYFUNCTION("""COMPUTED_VALUE"""),"Hadir")</f>
        <v>Hadir</v>
      </c>
      <c r="D291" s="1" t="str">
        <f>IFERROR(__xludf.DUMMYFUNCTION("""COMPUTED_VALUE"""),"hanahanifarifazi@gmail.com")</f>
        <v>hanahanifarifazi@gmail.com</v>
      </c>
      <c r="E291" s="1"/>
      <c r="F291" s="1"/>
      <c r="G291" s="1"/>
      <c r="H291" s="1"/>
      <c r="I291" s="1"/>
      <c r="J291" s="1"/>
      <c r="K291" s="1"/>
      <c r="L291" s="1"/>
    </row>
    <row r="292">
      <c r="A292" s="2">
        <f>IFERROR(__xludf.DUMMYFUNCTION("""COMPUTED_VALUE"""),46161.87049635417)</f>
        <v>46161.8705</v>
      </c>
      <c r="B292" s="1" t="str">
        <f>IFERROR(__xludf.DUMMYFUNCTION("""COMPUTED_VALUE"""),"0091763745 / 252610229")</f>
        <v>0091763745 / 252610229</v>
      </c>
      <c r="C292" s="1" t="str">
        <f>IFERROR(__xludf.DUMMYFUNCTION("""COMPUTED_VALUE"""),"Hadir")</f>
        <v>Hadir</v>
      </c>
      <c r="D292" s="1" t="str">
        <f>IFERROR(__xludf.DUMMYFUNCTION("""COMPUTED_VALUE"""),"hanahanifarifazi@gmail.com")</f>
        <v>hanahanifarifazi@gmail.com</v>
      </c>
      <c r="E292" s="1"/>
      <c r="F292" s="1"/>
      <c r="G292" s="1"/>
      <c r="H292" s="1"/>
      <c r="I292" s="1"/>
      <c r="J292" s="1"/>
      <c r="K292" s="1"/>
      <c r="L292" s="1"/>
    </row>
    <row r="293">
      <c r="A293" s="2">
        <f>IFERROR(__xludf.DUMMYFUNCTION("""COMPUTED_VALUE"""),46161.87058180556)</f>
        <v>46161.87058</v>
      </c>
      <c r="B293" s="1" t="str">
        <f>IFERROR(__xludf.DUMMYFUNCTION("""COMPUTED_VALUE"""),"0091763745 / 252610229")</f>
        <v>0091763745 / 252610229</v>
      </c>
      <c r="C293" s="1" t="str">
        <f>IFERROR(__xludf.DUMMYFUNCTION("""COMPUTED_VALUE"""),"Hadir")</f>
        <v>Hadir</v>
      </c>
      <c r="D293" s="1" t="str">
        <f>IFERROR(__xludf.DUMMYFUNCTION("""COMPUTED_VALUE"""),"hanahanifarifazi@gmail.com")</f>
        <v>hanahanifarifazi@gmail.com</v>
      </c>
      <c r="E293" s="1"/>
      <c r="F293" s="1"/>
      <c r="G293" s="1"/>
      <c r="H293" s="1"/>
      <c r="I293" s="1"/>
      <c r="J293" s="1"/>
      <c r="K293" s="1"/>
      <c r="L293" s="1"/>
    </row>
    <row r="294">
      <c r="A294" s="2">
        <f>IFERROR(__xludf.DUMMYFUNCTION("""COMPUTED_VALUE"""),46161.870669641205)</f>
        <v>46161.87067</v>
      </c>
      <c r="B294" s="1" t="str">
        <f>IFERROR(__xludf.DUMMYFUNCTION("""COMPUTED_VALUE"""),"0091763745 / 252610229")</f>
        <v>0091763745 / 252610229</v>
      </c>
      <c r="C294" s="1" t="str">
        <f>IFERROR(__xludf.DUMMYFUNCTION("""COMPUTED_VALUE"""),"Hadir")</f>
        <v>Hadir</v>
      </c>
      <c r="D294" s="1" t="str">
        <f>IFERROR(__xludf.DUMMYFUNCTION("""COMPUTED_VALUE"""),"hanahanifarifazi@gmail.com")</f>
        <v>hanahanifarifazi@gmail.com</v>
      </c>
      <c r="E294" s="1"/>
      <c r="F294" s="1"/>
      <c r="G294" s="1"/>
      <c r="H294" s="1"/>
      <c r="I294" s="1"/>
      <c r="J294" s="1"/>
      <c r="K294" s="1"/>
      <c r="L294" s="1"/>
    </row>
    <row r="295">
      <c r="A295" s="2">
        <f>IFERROR(__xludf.DUMMYFUNCTION("""COMPUTED_VALUE"""),46161.871096145835)</f>
        <v>46161.8711</v>
      </c>
      <c r="B295" s="1" t="str">
        <f>IFERROR(__xludf.DUMMYFUNCTION("""COMPUTED_VALUE"""),"0104630358 / 252610281")</f>
        <v>0104630358 / 252610281</v>
      </c>
      <c r="C295" s="1" t="str">
        <f>IFERROR(__xludf.DUMMYFUNCTION("""COMPUTED_VALUE"""),"Hadir")</f>
        <v>Hadir</v>
      </c>
      <c r="D295" s="1" t="str">
        <f>IFERROR(__xludf.DUMMYFUNCTION("""COMPUTED_VALUE"""),"hanahanifarifazi@gmail.com")</f>
        <v>hanahanifarifazi@gmail.com</v>
      </c>
      <c r="E295" s="1"/>
      <c r="F295" s="1"/>
      <c r="G295" s="1"/>
      <c r="H295" s="1"/>
      <c r="I295" s="1"/>
      <c r="J295" s="1"/>
      <c r="K295" s="1"/>
      <c r="L295" s="1"/>
    </row>
    <row r="296">
      <c r="A296" s="2">
        <f>IFERROR(__xludf.DUMMYFUNCTION("""COMPUTED_VALUE"""),46161.87119082176)</f>
        <v>46161.87119</v>
      </c>
      <c r="B296" s="1" t="str">
        <f>IFERROR(__xludf.DUMMYFUNCTION("""COMPUTED_VALUE"""),"0104630358 / 252610281")</f>
        <v>0104630358 / 252610281</v>
      </c>
      <c r="C296" s="1" t="str">
        <f>IFERROR(__xludf.DUMMYFUNCTION("""COMPUTED_VALUE"""),"Hadir")</f>
        <v>Hadir</v>
      </c>
      <c r="D296" s="1" t="str">
        <f>IFERROR(__xludf.DUMMYFUNCTION("""COMPUTED_VALUE"""),"hanahanifarifazi@gmail.com")</f>
        <v>hanahanifarifazi@gmail.com</v>
      </c>
      <c r="E296" s="1"/>
      <c r="F296" s="1"/>
      <c r="G296" s="1"/>
      <c r="H296" s="1"/>
      <c r="I296" s="1"/>
      <c r="J296" s="1"/>
      <c r="K296" s="1"/>
      <c r="L296" s="1"/>
    </row>
    <row r="297">
      <c r="A297" s="2">
        <f>IFERROR(__xludf.DUMMYFUNCTION("""COMPUTED_VALUE"""),46161.87127969907)</f>
        <v>46161.87128</v>
      </c>
      <c r="B297" s="1" t="str">
        <f>IFERROR(__xludf.DUMMYFUNCTION("""COMPUTED_VALUE"""),"0104630358 / 252610281")</f>
        <v>0104630358 / 252610281</v>
      </c>
      <c r="C297" s="1" t="str">
        <f>IFERROR(__xludf.DUMMYFUNCTION("""COMPUTED_VALUE"""),"Hadir")</f>
        <v>Hadir</v>
      </c>
      <c r="D297" s="1" t="str">
        <f>IFERROR(__xludf.DUMMYFUNCTION("""COMPUTED_VALUE"""),"hanahanifarifazi@gmail.com")</f>
        <v>hanahanifarifazi@gmail.com</v>
      </c>
      <c r="E297" s="1"/>
      <c r="F297" s="1"/>
      <c r="G297" s="1"/>
      <c r="H297" s="1"/>
      <c r="I297" s="1"/>
      <c r="J297" s="1"/>
      <c r="K297" s="1"/>
      <c r="L297" s="1"/>
    </row>
    <row r="298">
      <c r="A298" s="2">
        <f>IFERROR(__xludf.DUMMYFUNCTION("""COMPUTED_VALUE"""),46161.87139803241)</f>
        <v>46161.8714</v>
      </c>
      <c r="B298" s="1" t="str">
        <f>IFERROR(__xludf.DUMMYFUNCTION("""COMPUTED_VALUE"""),"0104630358 / 252610281")</f>
        <v>0104630358 / 252610281</v>
      </c>
      <c r="C298" s="1" t="str">
        <f>IFERROR(__xludf.DUMMYFUNCTION("""COMPUTED_VALUE"""),"Hadir")</f>
        <v>Hadir</v>
      </c>
      <c r="D298" s="1" t="str">
        <f>IFERROR(__xludf.DUMMYFUNCTION("""COMPUTED_VALUE"""),"hanahanifarifazi@gmail.com")</f>
        <v>hanahanifarifazi@gmail.com</v>
      </c>
      <c r="E298" s="1"/>
      <c r="F298" s="1"/>
      <c r="G298" s="1"/>
      <c r="H298" s="1"/>
      <c r="I298" s="1"/>
      <c r="J298" s="1"/>
      <c r="K298" s="1"/>
      <c r="L298" s="1"/>
    </row>
    <row r="299">
      <c r="A299" s="2">
        <f>IFERROR(__xludf.DUMMYFUNCTION("""COMPUTED_VALUE"""),46161.871492673614)</f>
        <v>46161.87149</v>
      </c>
      <c r="B299" s="1" t="str">
        <f>IFERROR(__xludf.DUMMYFUNCTION("""COMPUTED_VALUE"""),"0104630358 / 252610281")</f>
        <v>0104630358 / 252610281</v>
      </c>
      <c r="C299" s="1" t="str">
        <f>IFERROR(__xludf.DUMMYFUNCTION("""COMPUTED_VALUE"""),"Hadir")</f>
        <v>Hadir</v>
      </c>
      <c r="D299" s="1" t="str">
        <f>IFERROR(__xludf.DUMMYFUNCTION("""COMPUTED_VALUE"""),"hanahanifarifazi@gmail.com")</f>
        <v>hanahanifarifazi@gmail.com</v>
      </c>
      <c r="E299" s="1"/>
      <c r="F299" s="1"/>
      <c r="G299" s="1"/>
      <c r="H299" s="1"/>
      <c r="I299" s="1"/>
      <c r="J299" s="1"/>
      <c r="K299" s="1"/>
      <c r="L299" s="1"/>
    </row>
    <row r="300">
      <c r="A300" s="2">
        <f>IFERROR(__xludf.DUMMYFUNCTION("""COMPUTED_VALUE"""),46161.87158278935)</f>
        <v>46161.87158</v>
      </c>
      <c r="B300" s="1" t="str">
        <f>IFERROR(__xludf.DUMMYFUNCTION("""COMPUTED_VALUE"""),"0104630358 / 252610281")</f>
        <v>0104630358 / 252610281</v>
      </c>
      <c r="C300" s="1" t="str">
        <f>IFERROR(__xludf.DUMMYFUNCTION("""COMPUTED_VALUE"""),"Hadir")</f>
        <v>Hadir</v>
      </c>
      <c r="D300" s="1" t="str">
        <f>IFERROR(__xludf.DUMMYFUNCTION("""COMPUTED_VALUE"""),"hanahanifarifazi@gmail.com")</f>
        <v>hanahanifarifazi@gmail.com</v>
      </c>
      <c r="E300" s="1"/>
      <c r="F300" s="1"/>
      <c r="G300" s="1"/>
      <c r="H300" s="1"/>
      <c r="I300" s="1"/>
      <c r="J300" s="1"/>
      <c r="K300" s="1"/>
      <c r="L300" s="1"/>
    </row>
    <row r="301">
      <c r="A301" s="2">
        <f>IFERROR(__xludf.DUMMYFUNCTION("""COMPUTED_VALUE"""),46161.871678379626)</f>
        <v>46161.87168</v>
      </c>
      <c r="B301" s="1" t="str">
        <f>IFERROR(__xludf.DUMMYFUNCTION("""COMPUTED_VALUE"""),"0104630358 / 252610281")</f>
        <v>0104630358 / 252610281</v>
      </c>
      <c r="C301" s="1" t="str">
        <f>IFERROR(__xludf.DUMMYFUNCTION("""COMPUTED_VALUE"""),"Hadir")</f>
        <v>Hadir</v>
      </c>
      <c r="D301" s="1" t="str">
        <f>IFERROR(__xludf.DUMMYFUNCTION("""COMPUTED_VALUE"""),"hanahanifarifazi@gmail.com")</f>
        <v>hanahanifarifazi@gmail.com</v>
      </c>
      <c r="E301" s="1"/>
      <c r="F301" s="1"/>
      <c r="G301" s="1"/>
      <c r="H301" s="1"/>
      <c r="I301" s="1"/>
      <c r="J301" s="1"/>
      <c r="K301" s="1"/>
      <c r="L301" s="1"/>
    </row>
    <row r="302">
      <c r="A302" s="2">
        <f>IFERROR(__xludf.DUMMYFUNCTION("""COMPUTED_VALUE"""),46161.87203628472)</f>
        <v>46161.87204</v>
      </c>
      <c r="B302" s="1" t="str">
        <f>IFERROR(__xludf.DUMMYFUNCTION("""COMPUTED_VALUE"""),"0097535113 / 252610286")</f>
        <v>0097535113 / 252610286</v>
      </c>
      <c r="C302" s="1" t="str">
        <f>IFERROR(__xludf.DUMMYFUNCTION("""COMPUTED_VALUE"""),"Hadir")</f>
        <v>Hadir</v>
      </c>
      <c r="D302" s="1" t="str">
        <f>IFERROR(__xludf.DUMMYFUNCTION("""COMPUTED_VALUE"""),"hanahanifarifazi@gmail.com")</f>
        <v>hanahanifarifazi@gmail.com</v>
      </c>
      <c r="E302" s="1"/>
      <c r="F302" s="1"/>
      <c r="G302" s="1"/>
      <c r="H302" s="1"/>
      <c r="I302" s="1"/>
      <c r="J302" s="1"/>
      <c r="K302" s="1"/>
      <c r="L302" s="1"/>
    </row>
    <row r="303">
      <c r="A303" s="2">
        <f>IFERROR(__xludf.DUMMYFUNCTION("""COMPUTED_VALUE"""),46161.87212392361)</f>
        <v>46161.87212</v>
      </c>
      <c r="B303" s="1" t="str">
        <f>IFERROR(__xludf.DUMMYFUNCTION("""COMPUTED_VALUE"""),"0097535113 / 252610286")</f>
        <v>0097535113 / 252610286</v>
      </c>
      <c r="C303" s="1" t="str">
        <f>IFERROR(__xludf.DUMMYFUNCTION("""COMPUTED_VALUE"""),"Hadir")</f>
        <v>Hadir</v>
      </c>
      <c r="D303" s="1" t="str">
        <f>IFERROR(__xludf.DUMMYFUNCTION("""COMPUTED_VALUE"""),"hanahanifarifazi@gmail.com")</f>
        <v>hanahanifarifazi@gmail.com</v>
      </c>
      <c r="E303" s="1"/>
      <c r="F303" s="1"/>
      <c r="G303" s="1"/>
      <c r="H303" s="1"/>
      <c r="I303" s="1"/>
      <c r="J303" s="1"/>
      <c r="K303" s="1"/>
      <c r="L303" s="1"/>
    </row>
    <row r="304">
      <c r="A304" s="2">
        <f>IFERROR(__xludf.DUMMYFUNCTION("""COMPUTED_VALUE"""),46161.87221706018)</f>
        <v>46161.87222</v>
      </c>
      <c r="B304" s="1" t="str">
        <f>IFERROR(__xludf.DUMMYFUNCTION("""COMPUTED_VALUE"""),"0097535113 / 252610286")</f>
        <v>0097535113 / 252610286</v>
      </c>
      <c r="C304" s="1" t="str">
        <f>IFERROR(__xludf.DUMMYFUNCTION("""COMPUTED_VALUE"""),"Hadir")</f>
        <v>Hadir</v>
      </c>
      <c r="D304" s="1" t="str">
        <f>IFERROR(__xludf.DUMMYFUNCTION("""COMPUTED_VALUE"""),"hanahanifarifazi@gmail.com")</f>
        <v>hanahanifarifazi@gmail.com</v>
      </c>
      <c r="E304" s="1"/>
      <c r="F304" s="1"/>
      <c r="G304" s="1"/>
      <c r="H304" s="1"/>
      <c r="I304" s="1"/>
      <c r="J304" s="1"/>
      <c r="K304" s="1"/>
      <c r="L304" s="1"/>
    </row>
    <row r="305">
      <c r="A305" s="2">
        <f>IFERROR(__xludf.DUMMYFUNCTION("""COMPUTED_VALUE"""),46161.87231202546)</f>
        <v>46161.87231</v>
      </c>
      <c r="B305" s="1" t="str">
        <f>IFERROR(__xludf.DUMMYFUNCTION("""COMPUTED_VALUE"""),"0097535113 / 252610286")</f>
        <v>0097535113 / 252610286</v>
      </c>
      <c r="C305" s="1" t="str">
        <f>IFERROR(__xludf.DUMMYFUNCTION("""COMPUTED_VALUE"""),"Hadir")</f>
        <v>Hadir</v>
      </c>
      <c r="D305" s="1" t="str">
        <f>IFERROR(__xludf.DUMMYFUNCTION("""COMPUTED_VALUE"""),"hanahanifarifazi@gmail.com")</f>
        <v>hanahanifarifazi@gmail.com</v>
      </c>
      <c r="E305" s="1"/>
      <c r="F305" s="1"/>
      <c r="G305" s="1"/>
      <c r="H305" s="1"/>
      <c r="I305" s="1"/>
      <c r="J305" s="1"/>
      <c r="K305" s="1"/>
      <c r="L305" s="1"/>
    </row>
    <row r="306">
      <c r="A306" s="2">
        <f>IFERROR(__xludf.DUMMYFUNCTION("""COMPUTED_VALUE"""),46161.87240678241)</f>
        <v>46161.87241</v>
      </c>
      <c r="B306" s="1" t="str">
        <f>IFERROR(__xludf.DUMMYFUNCTION("""COMPUTED_VALUE"""),"0097535113 / 252610286")</f>
        <v>0097535113 / 252610286</v>
      </c>
      <c r="C306" s="1" t="str">
        <f>IFERROR(__xludf.DUMMYFUNCTION("""COMPUTED_VALUE"""),"Hadir")</f>
        <v>Hadir</v>
      </c>
      <c r="D306" s="1" t="str">
        <f>IFERROR(__xludf.DUMMYFUNCTION("""COMPUTED_VALUE"""),"hanahanifarifazi@gmail.com")</f>
        <v>hanahanifarifazi@gmail.com</v>
      </c>
      <c r="E306" s="1"/>
      <c r="F306" s="1"/>
      <c r="G306" s="1"/>
      <c r="H306" s="1"/>
      <c r="I306" s="1"/>
      <c r="J306" s="1"/>
      <c r="K306" s="1"/>
      <c r="L306" s="1"/>
    </row>
    <row r="307">
      <c r="A307" s="2">
        <f>IFERROR(__xludf.DUMMYFUNCTION("""COMPUTED_VALUE"""),46161.87249912037)</f>
        <v>46161.8725</v>
      </c>
      <c r="B307" s="1" t="str">
        <f>IFERROR(__xludf.DUMMYFUNCTION("""COMPUTED_VALUE"""),"0097535113 / 252610286")</f>
        <v>0097535113 / 252610286</v>
      </c>
      <c r="C307" s="1" t="str">
        <f>IFERROR(__xludf.DUMMYFUNCTION("""COMPUTED_VALUE"""),"Hadir")</f>
        <v>Hadir</v>
      </c>
      <c r="D307" s="1" t="str">
        <f>IFERROR(__xludf.DUMMYFUNCTION("""COMPUTED_VALUE"""),"hanahanifarifazi@gmail.com")</f>
        <v>hanahanifarifazi@gmail.com</v>
      </c>
      <c r="E307" s="1"/>
      <c r="F307" s="1"/>
      <c r="G307" s="1"/>
      <c r="H307" s="1"/>
      <c r="I307" s="1"/>
      <c r="J307" s="1"/>
      <c r="K307" s="1"/>
      <c r="L307" s="1"/>
    </row>
    <row r="308">
      <c r="A308" s="2">
        <f>IFERROR(__xludf.DUMMYFUNCTION("""COMPUTED_VALUE"""),46161.87259483796)</f>
        <v>46161.87259</v>
      </c>
      <c r="B308" s="1" t="str">
        <f>IFERROR(__xludf.DUMMYFUNCTION("""COMPUTED_VALUE"""),"0097535113 / 252610286")</f>
        <v>0097535113 / 252610286</v>
      </c>
      <c r="C308" s="1" t="str">
        <f>IFERROR(__xludf.DUMMYFUNCTION("""COMPUTED_VALUE"""),"Hadir")</f>
        <v>Hadir</v>
      </c>
      <c r="D308" s="1" t="str">
        <f>IFERROR(__xludf.DUMMYFUNCTION("""COMPUTED_VALUE"""),"hanahanifarifazi@gmail.com")</f>
        <v>hanahanifarifazi@gmail.com</v>
      </c>
      <c r="E308" s="1"/>
      <c r="F308" s="1"/>
      <c r="G308" s="1"/>
      <c r="H308" s="1"/>
      <c r="I308" s="1"/>
      <c r="J308" s="1"/>
      <c r="K308" s="1"/>
      <c r="L308" s="1"/>
    </row>
    <row r="309">
      <c r="A309" s="2">
        <f>IFERROR(__xludf.DUMMYFUNCTION("""COMPUTED_VALUE"""),46161.87268714121)</f>
        <v>46161.87269</v>
      </c>
      <c r="B309" s="1" t="str">
        <f>IFERROR(__xludf.DUMMYFUNCTION("""COMPUTED_VALUE"""),"0097535113 / 252610286")</f>
        <v>0097535113 / 252610286</v>
      </c>
      <c r="C309" s="1" t="str">
        <f>IFERROR(__xludf.DUMMYFUNCTION("""COMPUTED_VALUE"""),"Hadir")</f>
        <v>Hadir</v>
      </c>
      <c r="D309" s="1" t="str">
        <f>IFERROR(__xludf.DUMMYFUNCTION("""COMPUTED_VALUE"""),"hanahanifarifazi@gmail.com")</f>
        <v>hanahanifarifazi@gmail.com</v>
      </c>
      <c r="E309" s="1"/>
      <c r="F309" s="1"/>
      <c r="G309" s="1"/>
      <c r="H309" s="1"/>
      <c r="I309" s="1"/>
      <c r="J309" s="1"/>
      <c r="K309" s="1"/>
      <c r="L309" s="1"/>
    </row>
    <row r="310">
      <c r="A310" s="2">
        <f>IFERROR(__xludf.DUMMYFUNCTION("""COMPUTED_VALUE"""),46161.872783900464)</f>
        <v>46161.87278</v>
      </c>
      <c r="B310" s="1" t="str">
        <f>IFERROR(__xludf.DUMMYFUNCTION("""COMPUTED_VALUE"""),"0097535113 / 252610286")</f>
        <v>0097535113 / 252610286</v>
      </c>
      <c r="C310" s="1" t="str">
        <f>IFERROR(__xludf.DUMMYFUNCTION("""COMPUTED_VALUE"""),"Hadir")</f>
        <v>Hadir</v>
      </c>
      <c r="D310" s="1" t="str">
        <f>IFERROR(__xludf.DUMMYFUNCTION("""COMPUTED_VALUE"""),"hanahanifarifazi@gmail.com")</f>
        <v>hanahanifarifazi@gmail.com</v>
      </c>
      <c r="E310" s="1"/>
      <c r="F310" s="1"/>
      <c r="G310" s="1"/>
      <c r="H310" s="1"/>
      <c r="I310" s="1"/>
      <c r="J310" s="1"/>
      <c r="K310" s="1"/>
      <c r="L310" s="1"/>
    </row>
    <row r="311">
      <c r="A311" s="2">
        <f>IFERROR(__xludf.DUMMYFUNCTION("""COMPUTED_VALUE"""),46161.87288434028)</f>
        <v>46161.87288</v>
      </c>
      <c r="B311" s="1" t="str">
        <f>IFERROR(__xludf.DUMMYFUNCTION("""COMPUTED_VALUE"""),"0097535113 / 252610286")</f>
        <v>0097535113 / 252610286</v>
      </c>
      <c r="C311" s="1" t="str">
        <f>IFERROR(__xludf.DUMMYFUNCTION("""COMPUTED_VALUE"""),"Hadir")</f>
        <v>Hadir</v>
      </c>
      <c r="D311" s="1" t="str">
        <f>IFERROR(__xludf.DUMMYFUNCTION("""COMPUTED_VALUE"""),"hanahanifarifazi@gmail.com")</f>
        <v>hanahanifarifazi@gmail.com</v>
      </c>
      <c r="E311" s="1"/>
      <c r="F311" s="1"/>
      <c r="G311" s="1"/>
      <c r="H311" s="1"/>
      <c r="I311" s="1"/>
      <c r="J311" s="1"/>
      <c r="K311" s="1"/>
      <c r="L311" s="1"/>
    </row>
    <row r="312">
      <c r="A312" s="2">
        <f>IFERROR(__xludf.DUMMYFUNCTION("""COMPUTED_VALUE"""),46161.87321341435)</f>
        <v>46161.87321</v>
      </c>
      <c r="B312" s="1" t="str">
        <f>IFERROR(__xludf.DUMMYFUNCTION("""COMPUTED_VALUE"""),"0099900563 / 252610123")</f>
        <v>0099900563 / 252610123</v>
      </c>
      <c r="C312" s="1" t="str">
        <f>IFERROR(__xludf.DUMMYFUNCTION("""COMPUTED_VALUE"""),"Hadir")</f>
        <v>Hadir</v>
      </c>
      <c r="D312" s="1" t="str">
        <f>IFERROR(__xludf.DUMMYFUNCTION("""COMPUTED_VALUE"""),"hanahanifarifazi@gmail.com")</f>
        <v>hanahanifarifazi@gmail.com</v>
      </c>
      <c r="E312" s="1"/>
      <c r="F312" s="1"/>
      <c r="G312" s="1"/>
      <c r="H312" s="1"/>
      <c r="I312" s="1"/>
      <c r="J312" s="1"/>
      <c r="K312" s="1"/>
      <c r="L312" s="1"/>
    </row>
    <row r="313">
      <c r="A313" s="2">
        <f>IFERROR(__xludf.DUMMYFUNCTION("""COMPUTED_VALUE"""),46161.873326574074)</f>
        <v>46161.87333</v>
      </c>
      <c r="B313" s="1" t="str">
        <f>IFERROR(__xludf.DUMMYFUNCTION("""COMPUTED_VALUE"""),"0099900563 / 252610123")</f>
        <v>0099900563 / 252610123</v>
      </c>
      <c r="C313" s="1" t="str">
        <f>IFERROR(__xludf.DUMMYFUNCTION("""COMPUTED_VALUE"""),"Hadir")</f>
        <v>Hadir</v>
      </c>
      <c r="D313" s="1" t="str">
        <f>IFERROR(__xludf.DUMMYFUNCTION("""COMPUTED_VALUE"""),"hanahanifarifazi@gmail.com")</f>
        <v>hanahanifarifazi@gmail.com</v>
      </c>
      <c r="E313" s="1"/>
      <c r="F313" s="1"/>
      <c r="G313" s="1"/>
      <c r="H313" s="1"/>
      <c r="I313" s="1"/>
      <c r="J313" s="1"/>
      <c r="K313" s="1"/>
      <c r="L313" s="1"/>
    </row>
    <row r="314">
      <c r="A314" s="2">
        <f>IFERROR(__xludf.DUMMYFUNCTION("""COMPUTED_VALUE"""),46161.87343327547)</f>
        <v>46161.87343</v>
      </c>
      <c r="B314" s="1" t="str">
        <f>IFERROR(__xludf.DUMMYFUNCTION("""COMPUTED_VALUE"""),"0099900563 / 252610123")</f>
        <v>0099900563 / 252610123</v>
      </c>
      <c r="C314" s="1" t="str">
        <f>IFERROR(__xludf.DUMMYFUNCTION("""COMPUTED_VALUE"""),"Hadir")</f>
        <v>Hadir</v>
      </c>
      <c r="D314" s="1" t="str">
        <f>IFERROR(__xludf.DUMMYFUNCTION("""COMPUTED_VALUE"""),"hanahanifarifazi@gmail.com")</f>
        <v>hanahanifarifazi@gmail.com</v>
      </c>
      <c r="E314" s="1"/>
      <c r="F314" s="1"/>
      <c r="G314" s="1"/>
      <c r="H314" s="1"/>
      <c r="I314" s="1"/>
      <c r="J314" s="1"/>
      <c r="K314" s="1"/>
      <c r="L314" s="1"/>
    </row>
    <row r="315">
      <c r="A315" s="2">
        <f>IFERROR(__xludf.DUMMYFUNCTION("""COMPUTED_VALUE"""),46161.87355899306)</f>
        <v>46161.87356</v>
      </c>
      <c r="B315" s="1" t="str">
        <f>IFERROR(__xludf.DUMMYFUNCTION("""COMPUTED_VALUE"""),"0099900563 / 252610123")</f>
        <v>0099900563 / 252610123</v>
      </c>
      <c r="C315" s="1" t="str">
        <f>IFERROR(__xludf.DUMMYFUNCTION("""COMPUTED_VALUE"""),"Hadir")</f>
        <v>Hadir</v>
      </c>
      <c r="D315" s="1" t="str">
        <f>IFERROR(__xludf.DUMMYFUNCTION("""COMPUTED_VALUE"""),"hanahanifarifazi@gmail.com")</f>
        <v>hanahanifarifazi@gmail.com</v>
      </c>
      <c r="E315" s="1"/>
      <c r="F315" s="1"/>
      <c r="G315" s="1"/>
      <c r="H315" s="1"/>
      <c r="I315" s="1"/>
      <c r="J315" s="1"/>
      <c r="K315" s="1"/>
      <c r="L315" s="1"/>
    </row>
    <row r="316">
      <c r="A316" s="2">
        <f>IFERROR(__xludf.DUMMYFUNCTION("""COMPUTED_VALUE"""),46161.873671203706)</f>
        <v>46161.87367</v>
      </c>
      <c r="B316" s="1" t="str">
        <f>IFERROR(__xludf.DUMMYFUNCTION("""COMPUTED_VALUE"""),"0099900563 / 252610123")</f>
        <v>0099900563 / 252610123</v>
      </c>
      <c r="C316" s="1" t="str">
        <f>IFERROR(__xludf.DUMMYFUNCTION("""COMPUTED_VALUE"""),"Hadir")</f>
        <v>Hadir</v>
      </c>
      <c r="D316" s="1" t="str">
        <f>IFERROR(__xludf.DUMMYFUNCTION("""COMPUTED_VALUE"""),"hanahanifarifazi@gmail.com")</f>
        <v>hanahanifarifazi@gmail.com</v>
      </c>
      <c r="E316" s="1"/>
      <c r="F316" s="1"/>
      <c r="G316" s="1"/>
      <c r="H316" s="1"/>
      <c r="I316" s="1"/>
      <c r="J316" s="1"/>
      <c r="K316" s="1"/>
      <c r="L316" s="1"/>
    </row>
    <row r="317">
      <c r="A317" s="2">
        <f>IFERROR(__xludf.DUMMYFUNCTION("""COMPUTED_VALUE"""),46161.87376958333)</f>
        <v>46161.87377</v>
      </c>
      <c r="B317" s="1" t="str">
        <f>IFERROR(__xludf.DUMMYFUNCTION("""COMPUTED_VALUE"""),"0099900563 / 252610123")</f>
        <v>0099900563 / 252610123</v>
      </c>
      <c r="C317" s="1" t="str">
        <f>IFERROR(__xludf.DUMMYFUNCTION("""COMPUTED_VALUE"""),"Hadir")</f>
        <v>Hadir</v>
      </c>
      <c r="D317" s="1" t="str">
        <f>IFERROR(__xludf.DUMMYFUNCTION("""COMPUTED_VALUE"""),"hanahanifarifazi@gmail.com")</f>
        <v>hanahanifarifazi@gmail.com</v>
      </c>
      <c r="E317" s="1"/>
      <c r="F317" s="1"/>
      <c r="G317" s="1"/>
      <c r="H317" s="1"/>
      <c r="I317" s="1"/>
      <c r="J317" s="1"/>
      <c r="K317" s="1"/>
      <c r="L317" s="1"/>
    </row>
    <row r="318">
      <c r="A318" s="2">
        <f>IFERROR(__xludf.DUMMYFUNCTION("""COMPUTED_VALUE"""),46161.87387297454)</f>
        <v>46161.87387</v>
      </c>
      <c r="B318" s="1" t="str">
        <f>IFERROR(__xludf.DUMMYFUNCTION("""COMPUTED_VALUE"""),"0099900563 / 252610123")</f>
        <v>0099900563 / 252610123</v>
      </c>
      <c r="C318" s="1" t="str">
        <f>IFERROR(__xludf.DUMMYFUNCTION("""COMPUTED_VALUE"""),"Hadir")</f>
        <v>Hadir</v>
      </c>
      <c r="D318" s="1" t="str">
        <f>IFERROR(__xludf.DUMMYFUNCTION("""COMPUTED_VALUE"""),"hanahanifarifazi@gmail.com")</f>
        <v>hanahanifarifazi@gmail.com</v>
      </c>
      <c r="E318" s="1"/>
      <c r="F318" s="1"/>
      <c r="G318" s="1"/>
      <c r="H318" s="1"/>
      <c r="I318" s="1"/>
      <c r="J318" s="1"/>
      <c r="K318" s="1"/>
      <c r="L318" s="1"/>
    </row>
    <row r="319">
      <c r="A319" s="2">
        <f>IFERROR(__xludf.DUMMYFUNCTION("""COMPUTED_VALUE"""),46161.87403506944)</f>
        <v>46161.87404</v>
      </c>
      <c r="B319" s="1" t="str">
        <f>IFERROR(__xludf.DUMMYFUNCTION("""COMPUTED_VALUE"""),"0099900563 / 252610123")</f>
        <v>0099900563 / 252610123</v>
      </c>
      <c r="C319" s="1" t="str">
        <f>IFERROR(__xludf.DUMMYFUNCTION("""COMPUTED_VALUE"""),"Hadir")</f>
        <v>Hadir</v>
      </c>
      <c r="D319" s="1" t="str">
        <f>IFERROR(__xludf.DUMMYFUNCTION("""COMPUTED_VALUE"""),"hanahanifarifazi@gmail.com")</f>
        <v>hanahanifarifazi@gmail.com</v>
      </c>
      <c r="E319" s="1"/>
      <c r="F319" s="1"/>
      <c r="G319" s="1"/>
      <c r="H319" s="1"/>
      <c r="I319" s="1"/>
      <c r="J319" s="1"/>
      <c r="K319" s="1"/>
      <c r="L319" s="1"/>
    </row>
    <row r="320">
      <c r="A320" s="2">
        <f>IFERROR(__xludf.DUMMYFUNCTION("""COMPUTED_VALUE"""),46161.87416640046)</f>
        <v>46161.87417</v>
      </c>
      <c r="B320" s="1" t="str">
        <f>IFERROR(__xludf.DUMMYFUNCTION("""COMPUTED_VALUE"""),"0099900563 / 252610123")</f>
        <v>0099900563 / 252610123</v>
      </c>
      <c r="C320" s="1" t="str">
        <f>IFERROR(__xludf.DUMMYFUNCTION("""COMPUTED_VALUE"""),"Hadir")</f>
        <v>Hadir</v>
      </c>
      <c r="D320" s="1" t="str">
        <f>IFERROR(__xludf.DUMMYFUNCTION("""COMPUTED_VALUE"""),"hanahanifarifazi@gmail.com")</f>
        <v>hanahanifarifazi@gmail.com</v>
      </c>
      <c r="E320" s="1"/>
      <c r="F320" s="1"/>
      <c r="G320" s="1"/>
      <c r="H320" s="1"/>
      <c r="I320" s="1"/>
      <c r="J320" s="1"/>
      <c r="K320" s="1"/>
      <c r="L320" s="1"/>
    </row>
    <row r="321">
      <c r="A321" s="2">
        <f>IFERROR(__xludf.DUMMYFUNCTION("""COMPUTED_VALUE"""),46161.874736666665)</f>
        <v>46161.87474</v>
      </c>
      <c r="B321" s="1" t="str">
        <f>IFERROR(__xludf.DUMMYFUNCTION("""COMPUTED_VALUE"""),"3098845163 / 252610245")</f>
        <v>3098845163 / 252610245</v>
      </c>
      <c r="C321" s="1" t="str">
        <f>IFERROR(__xludf.DUMMYFUNCTION("""COMPUTED_VALUE"""),"Hadir")</f>
        <v>Hadir</v>
      </c>
      <c r="D321" s="1" t="str">
        <f>IFERROR(__xludf.DUMMYFUNCTION("""COMPUTED_VALUE"""),"hanahanifarifazi@gmail.com")</f>
        <v>hanahanifarifazi@gmail.com</v>
      </c>
      <c r="E321" s="1"/>
      <c r="F321" s="1"/>
      <c r="G321" s="1"/>
      <c r="H321" s="1"/>
      <c r="I321" s="1"/>
      <c r="J321" s="1"/>
      <c r="K321" s="1"/>
      <c r="L321" s="1"/>
    </row>
    <row r="322">
      <c r="A322" s="2">
        <f>IFERROR(__xludf.DUMMYFUNCTION("""COMPUTED_VALUE"""),46161.874898333335)</f>
        <v>46161.8749</v>
      </c>
      <c r="B322" s="1" t="str">
        <f>IFERROR(__xludf.DUMMYFUNCTION("""COMPUTED_VALUE"""),"3098845163 / 252610245")</f>
        <v>3098845163 / 252610245</v>
      </c>
      <c r="C322" s="1" t="str">
        <f>IFERROR(__xludf.DUMMYFUNCTION("""COMPUTED_VALUE"""),"Hadir")</f>
        <v>Hadir</v>
      </c>
      <c r="D322" s="1" t="str">
        <f>IFERROR(__xludf.DUMMYFUNCTION("""COMPUTED_VALUE"""),"hanahanifarifazi@gmail.com")</f>
        <v>hanahanifarifazi@gmail.com</v>
      </c>
      <c r="E322" s="1"/>
      <c r="F322" s="1"/>
      <c r="G322" s="1"/>
      <c r="H322" s="1"/>
      <c r="I322" s="1"/>
      <c r="J322" s="1"/>
      <c r="K322" s="1"/>
      <c r="L322" s="1"/>
    </row>
    <row r="323">
      <c r="A323" s="2">
        <f>IFERROR(__xludf.DUMMYFUNCTION("""COMPUTED_VALUE"""),46161.875172824075)</f>
        <v>46161.87517</v>
      </c>
      <c r="B323" s="1" t="str">
        <f>IFERROR(__xludf.DUMMYFUNCTION("""COMPUTED_VALUE"""),"3098845163 / 252610245")</f>
        <v>3098845163 / 252610245</v>
      </c>
      <c r="C323" s="1" t="str">
        <f>IFERROR(__xludf.DUMMYFUNCTION("""COMPUTED_VALUE"""),"Hadir")</f>
        <v>Hadir</v>
      </c>
      <c r="D323" s="1" t="str">
        <f>IFERROR(__xludf.DUMMYFUNCTION("""COMPUTED_VALUE"""),"hanahanifarifazi@gmail.com")</f>
        <v>hanahanifarifazi@gmail.com</v>
      </c>
      <c r="E323" s="1"/>
      <c r="F323" s="1"/>
      <c r="G323" s="1"/>
      <c r="H323" s="1"/>
      <c r="I323" s="1"/>
      <c r="J323" s="1"/>
      <c r="K323" s="1"/>
      <c r="L323" s="1"/>
    </row>
    <row r="324">
      <c r="A324" s="2">
        <f>IFERROR(__xludf.DUMMYFUNCTION("""COMPUTED_VALUE"""),46161.875272997684)</f>
        <v>46161.87527</v>
      </c>
      <c r="B324" s="1" t="str">
        <f>IFERROR(__xludf.DUMMYFUNCTION("""COMPUTED_VALUE"""),"3098845163 / 252610245")</f>
        <v>3098845163 / 252610245</v>
      </c>
      <c r="C324" s="1" t="str">
        <f>IFERROR(__xludf.DUMMYFUNCTION("""COMPUTED_VALUE"""),"Hadir")</f>
        <v>Hadir</v>
      </c>
      <c r="D324" s="1" t="str">
        <f>IFERROR(__xludf.DUMMYFUNCTION("""COMPUTED_VALUE"""),"hanahanifarifazi@gmail.com")</f>
        <v>hanahanifarifazi@gmail.com</v>
      </c>
      <c r="E324" s="1"/>
      <c r="F324" s="1"/>
      <c r="G324" s="1"/>
      <c r="H324" s="1"/>
      <c r="I324" s="1"/>
      <c r="J324" s="1"/>
      <c r="K324" s="1"/>
      <c r="L324" s="1"/>
    </row>
    <row r="325">
      <c r="A325" s="2">
        <f>IFERROR(__xludf.DUMMYFUNCTION("""COMPUTED_VALUE"""),46161.87536288194)</f>
        <v>46161.87536</v>
      </c>
      <c r="B325" s="1" t="str">
        <f>IFERROR(__xludf.DUMMYFUNCTION("""COMPUTED_VALUE"""),"3098845163 / 252610245")</f>
        <v>3098845163 / 252610245</v>
      </c>
      <c r="C325" s="1" t="str">
        <f>IFERROR(__xludf.DUMMYFUNCTION("""COMPUTED_VALUE"""),"Hadir")</f>
        <v>Hadir</v>
      </c>
      <c r="D325" s="1" t="str">
        <f>IFERROR(__xludf.DUMMYFUNCTION("""COMPUTED_VALUE"""),"hanahanifarifazi@gmail.com")</f>
        <v>hanahanifarifazi@gmail.com</v>
      </c>
      <c r="E325" s="1"/>
      <c r="F325" s="1"/>
      <c r="G325" s="1"/>
      <c r="H325" s="1"/>
      <c r="I325" s="1"/>
      <c r="J325" s="1"/>
      <c r="K325" s="1"/>
      <c r="L325" s="1"/>
    </row>
    <row r="326">
      <c r="A326" s="2">
        <f>IFERROR(__xludf.DUMMYFUNCTION("""COMPUTED_VALUE"""),46161.87550958333)</f>
        <v>46161.87551</v>
      </c>
      <c r="B326" s="1" t="str">
        <f>IFERROR(__xludf.DUMMYFUNCTION("""COMPUTED_VALUE"""),"3098845163 / 252610245")</f>
        <v>3098845163 / 252610245</v>
      </c>
      <c r="C326" s="1" t="str">
        <f>IFERROR(__xludf.DUMMYFUNCTION("""COMPUTED_VALUE"""),"Hadir")</f>
        <v>Hadir</v>
      </c>
      <c r="D326" s="1" t="str">
        <f>IFERROR(__xludf.DUMMYFUNCTION("""COMPUTED_VALUE"""),"hanahanifarifazi@gmail.com")</f>
        <v>hanahanifarifazi@gmail.com</v>
      </c>
      <c r="E326" s="1"/>
      <c r="F326" s="1"/>
      <c r="G326" s="1"/>
      <c r="H326" s="1"/>
      <c r="I326" s="1"/>
      <c r="J326" s="1"/>
      <c r="K326" s="1"/>
      <c r="L326" s="1"/>
    </row>
    <row r="327">
      <c r="A327" s="2">
        <f>IFERROR(__xludf.DUMMYFUNCTION("""COMPUTED_VALUE"""),46161.87565548611)</f>
        <v>46161.87566</v>
      </c>
      <c r="B327" s="1" t="str">
        <f>IFERROR(__xludf.DUMMYFUNCTION("""COMPUTED_VALUE"""),"3098845163 / 252610245")</f>
        <v>3098845163 / 252610245</v>
      </c>
      <c r="C327" s="1" t="str">
        <f>IFERROR(__xludf.DUMMYFUNCTION("""COMPUTED_VALUE"""),"Hadir")</f>
        <v>Hadir</v>
      </c>
      <c r="D327" s="1" t="str">
        <f>IFERROR(__xludf.DUMMYFUNCTION("""COMPUTED_VALUE"""),"hanahanifarifazi@gmail.com")</f>
        <v>hanahanifarifazi@gmail.com</v>
      </c>
      <c r="E327" s="1"/>
      <c r="F327" s="1"/>
      <c r="G327" s="1"/>
      <c r="H327" s="1"/>
      <c r="I327" s="1"/>
      <c r="J327" s="1"/>
      <c r="K327" s="1"/>
      <c r="L327" s="1"/>
    </row>
    <row r="328">
      <c r="A328" s="2">
        <f>IFERROR(__xludf.DUMMYFUNCTION("""COMPUTED_VALUE"""),46161.876841516205)</f>
        <v>46161.87684</v>
      </c>
      <c r="B328" s="1" t="str">
        <f>IFERROR(__xludf.DUMMYFUNCTION("""COMPUTED_VALUE"""),"0107934430 / 252610024")</f>
        <v>0107934430 / 252610024</v>
      </c>
      <c r="C328" s="1" t="str">
        <f>IFERROR(__xludf.DUMMYFUNCTION("""COMPUTED_VALUE"""),"Hadir")</f>
        <v>Hadir</v>
      </c>
      <c r="D328" s="1" t="str">
        <f>IFERROR(__xludf.DUMMYFUNCTION("""COMPUTED_VALUE"""),"hanahanifarifazi@gmail.com")</f>
        <v>hanahanifarifazi@gmail.com</v>
      </c>
      <c r="E328" s="1"/>
      <c r="F328" s="1"/>
      <c r="G328" s="1"/>
      <c r="H328" s="1"/>
      <c r="I328" s="1"/>
      <c r="J328" s="1"/>
      <c r="K328" s="1"/>
      <c r="L328" s="1"/>
    </row>
    <row r="329">
      <c r="A329" s="2">
        <f>IFERROR(__xludf.DUMMYFUNCTION("""COMPUTED_VALUE"""),46161.876970682875)</f>
        <v>46161.87697</v>
      </c>
      <c r="B329" s="1" t="str">
        <f>IFERROR(__xludf.DUMMYFUNCTION("""COMPUTED_VALUE"""),"0107934430 / 252610024")</f>
        <v>0107934430 / 252610024</v>
      </c>
      <c r="C329" s="1" t="str">
        <f>IFERROR(__xludf.DUMMYFUNCTION("""COMPUTED_VALUE"""),"Hadir")</f>
        <v>Hadir</v>
      </c>
      <c r="D329" s="1" t="str">
        <f>IFERROR(__xludf.DUMMYFUNCTION("""COMPUTED_VALUE"""),"hanahanifarifazi@gmail.com")</f>
        <v>hanahanifarifazi@gmail.com</v>
      </c>
      <c r="E329" s="1"/>
      <c r="F329" s="1"/>
      <c r="G329" s="1"/>
      <c r="H329" s="1"/>
      <c r="I329" s="1"/>
      <c r="J329" s="1"/>
      <c r="K329" s="1"/>
      <c r="L329" s="1"/>
    </row>
    <row r="330">
      <c r="A330" s="2">
        <f>IFERROR(__xludf.DUMMYFUNCTION("""COMPUTED_VALUE"""),46161.87713650463)</f>
        <v>46161.87714</v>
      </c>
      <c r="B330" s="1" t="str">
        <f>IFERROR(__xludf.DUMMYFUNCTION("""COMPUTED_VALUE"""),"0107934430 / 252610024")</f>
        <v>0107934430 / 252610024</v>
      </c>
      <c r="C330" s="1" t="str">
        <f>IFERROR(__xludf.DUMMYFUNCTION("""COMPUTED_VALUE"""),"Hadir")</f>
        <v>Hadir</v>
      </c>
      <c r="D330" s="1" t="str">
        <f>IFERROR(__xludf.DUMMYFUNCTION("""COMPUTED_VALUE"""),"hanahanifarifazi@gmail.com")</f>
        <v>hanahanifarifazi@gmail.com</v>
      </c>
      <c r="E330" s="1"/>
      <c r="F330" s="1"/>
      <c r="G330" s="1"/>
      <c r="H330" s="1"/>
      <c r="I330" s="1"/>
      <c r="J330" s="1"/>
      <c r="K330" s="1"/>
      <c r="L330" s="1"/>
    </row>
    <row r="331">
      <c r="A331" s="2">
        <f>IFERROR(__xludf.DUMMYFUNCTION("""COMPUTED_VALUE"""),46161.877285891205)</f>
        <v>46161.87729</v>
      </c>
      <c r="B331" s="1" t="str">
        <f>IFERROR(__xludf.DUMMYFUNCTION("""COMPUTED_VALUE"""),"0107934430 / 252610024")</f>
        <v>0107934430 / 252610024</v>
      </c>
      <c r="C331" s="1" t="str">
        <f>IFERROR(__xludf.DUMMYFUNCTION("""COMPUTED_VALUE"""),"Hadir")</f>
        <v>Hadir</v>
      </c>
      <c r="D331" s="1" t="str">
        <f>IFERROR(__xludf.DUMMYFUNCTION("""COMPUTED_VALUE"""),"hanahanifarifazi@gmail.com")</f>
        <v>hanahanifarifazi@gmail.com</v>
      </c>
      <c r="E331" s="1"/>
      <c r="F331" s="1"/>
      <c r="G331" s="1"/>
      <c r="H331" s="1"/>
      <c r="I331" s="1"/>
      <c r="J331" s="1"/>
      <c r="K331" s="1"/>
      <c r="L331" s="1"/>
    </row>
    <row r="332">
      <c r="A332" s="2">
        <f>IFERROR(__xludf.DUMMYFUNCTION("""COMPUTED_VALUE"""),46161.87741414351)</f>
        <v>46161.87741</v>
      </c>
      <c r="B332" s="1" t="str">
        <f>IFERROR(__xludf.DUMMYFUNCTION("""COMPUTED_VALUE"""),"0107934430 / 252610024")</f>
        <v>0107934430 / 252610024</v>
      </c>
      <c r="C332" s="1" t="str">
        <f>IFERROR(__xludf.DUMMYFUNCTION("""COMPUTED_VALUE"""),"Hadir")</f>
        <v>Hadir</v>
      </c>
      <c r="D332" s="1" t="str">
        <f>IFERROR(__xludf.DUMMYFUNCTION("""COMPUTED_VALUE"""),"hanahanifarifazi@gmail.com")</f>
        <v>hanahanifarifazi@gmail.com</v>
      </c>
      <c r="E332" s="1"/>
      <c r="F332" s="1"/>
      <c r="G332" s="1"/>
      <c r="H332" s="1"/>
      <c r="I332" s="1"/>
      <c r="J332" s="1"/>
      <c r="K332" s="1"/>
      <c r="L332" s="1"/>
    </row>
    <row r="333">
      <c r="A333" s="2">
        <f>IFERROR(__xludf.DUMMYFUNCTION("""COMPUTED_VALUE"""),46161.87753733796)</f>
        <v>46161.87754</v>
      </c>
      <c r="B333" s="1" t="str">
        <f>IFERROR(__xludf.DUMMYFUNCTION("""COMPUTED_VALUE"""),"0107934430 / 252610024")</f>
        <v>0107934430 / 252610024</v>
      </c>
      <c r="C333" s="1" t="str">
        <f>IFERROR(__xludf.DUMMYFUNCTION("""COMPUTED_VALUE"""),"Hadir")</f>
        <v>Hadir</v>
      </c>
      <c r="D333" s="1" t="str">
        <f>IFERROR(__xludf.DUMMYFUNCTION("""COMPUTED_VALUE"""),"hanahanifarifazi@gmail.com")</f>
        <v>hanahanifarifazi@gmail.com</v>
      </c>
      <c r="E333" s="1"/>
      <c r="F333" s="1"/>
      <c r="G333" s="1"/>
      <c r="H333" s="1"/>
      <c r="I333" s="1"/>
      <c r="J333" s="1"/>
      <c r="K333" s="1"/>
      <c r="L333" s="1"/>
    </row>
    <row r="334">
      <c r="A334" s="2">
        <f>IFERROR(__xludf.DUMMYFUNCTION("""COMPUTED_VALUE"""),46161.877978020835)</f>
        <v>46161.87798</v>
      </c>
      <c r="B334" s="1" t="str">
        <f>IFERROR(__xludf.DUMMYFUNCTION("""COMPUTED_VALUE"""),"0094686372 / 252610299")</f>
        <v>0094686372 / 252610299</v>
      </c>
      <c r="C334" s="1" t="str">
        <f>IFERROR(__xludf.DUMMYFUNCTION("""COMPUTED_VALUE"""),"Hadir")</f>
        <v>Hadir</v>
      </c>
      <c r="D334" s="1" t="str">
        <f>IFERROR(__xludf.DUMMYFUNCTION("""COMPUTED_VALUE"""),"hanahanifarifazi@gmail.com")</f>
        <v>hanahanifarifazi@gmail.com</v>
      </c>
      <c r="E334" s="1"/>
      <c r="F334" s="1"/>
      <c r="G334" s="1"/>
      <c r="H334" s="1"/>
      <c r="I334" s="1"/>
      <c r="J334" s="1"/>
      <c r="K334" s="1"/>
      <c r="L334" s="1"/>
    </row>
    <row r="335">
      <c r="A335" s="2">
        <f>IFERROR(__xludf.DUMMYFUNCTION("""COMPUTED_VALUE"""),46161.87838792824)</f>
        <v>46161.87839</v>
      </c>
      <c r="B335" s="1" t="str">
        <f>IFERROR(__xludf.DUMMYFUNCTION("""COMPUTED_VALUE"""),"0094686372 / 252610299")</f>
        <v>0094686372 / 252610299</v>
      </c>
      <c r="C335" s="1" t="str">
        <f>IFERROR(__xludf.DUMMYFUNCTION("""COMPUTED_VALUE"""),"Hadir")</f>
        <v>Hadir</v>
      </c>
      <c r="D335" s="1" t="str">
        <f>IFERROR(__xludf.DUMMYFUNCTION("""COMPUTED_VALUE"""),"hanahanifarifazi@gmail.com")</f>
        <v>hanahanifarifazi@gmail.com</v>
      </c>
      <c r="E335" s="1"/>
      <c r="F335" s="1"/>
      <c r="G335" s="1"/>
      <c r="H335" s="1"/>
      <c r="I335" s="1"/>
      <c r="J335" s="1"/>
      <c r="K335" s="1"/>
      <c r="L335" s="1"/>
    </row>
    <row r="336">
      <c r="A336" s="2">
        <f>IFERROR(__xludf.DUMMYFUNCTION("""COMPUTED_VALUE"""),46161.878542025464)</f>
        <v>46161.87854</v>
      </c>
      <c r="B336" s="1" t="str">
        <f>IFERROR(__xludf.DUMMYFUNCTION("""COMPUTED_VALUE"""),"0094686372 / 252610299")</f>
        <v>0094686372 / 252610299</v>
      </c>
      <c r="C336" s="1" t="str">
        <f>IFERROR(__xludf.DUMMYFUNCTION("""COMPUTED_VALUE"""),"Hadir")</f>
        <v>Hadir</v>
      </c>
      <c r="D336" s="1" t="str">
        <f>IFERROR(__xludf.DUMMYFUNCTION("""COMPUTED_VALUE"""),"hanahanifarifazi@gmail.com")</f>
        <v>hanahanifarifazi@gmail.com</v>
      </c>
      <c r="E336" s="1"/>
      <c r="F336" s="1"/>
      <c r="G336" s="1"/>
      <c r="H336" s="1"/>
      <c r="I336" s="1"/>
      <c r="J336" s="1"/>
      <c r="K336" s="1"/>
      <c r="L336" s="1"/>
    </row>
    <row r="337">
      <c r="A337" s="2">
        <f>IFERROR(__xludf.DUMMYFUNCTION("""COMPUTED_VALUE"""),46161.87864519676)</f>
        <v>46161.87865</v>
      </c>
      <c r="B337" s="1" t="str">
        <f>IFERROR(__xludf.DUMMYFUNCTION("""COMPUTED_VALUE"""),"0094686372 / 252610299")</f>
        <v>0094686372 / 252610299</v>
      </c>
      <c r="C337" s="1" t="str">
        <f>IFERROR(__xludf.DUMMYFUNCTION("""COMPUTED_VALUE"""),"Hadir")</f>
        <v>Hadir</v>
      </c>
      <c r="D337" s="1" t="str">
        <f>IFERROR(__xludf.DUMMYFUNCTION("""COMPUTED_VALUE"""),"hanahanifarifazi@gmail.com")</f>
        <v>hanahanifarifazi@gmail.com</v>
      </c>
      <c r="E337" s="1"/>
      <c r="F337" s="1"/>
      <c r="G337" s="1"/>
      <c r="H337" s="1"/>
      <c r="I337" s="1"/>
      <c r="J337" s="1"/>
      <c r="K337" s="1"/>
      <c r="L337" s="1"/>
    </row>
    <row r="338">
      <c r="A338" s="2">
        <f>IFERROR(__xludf.DUMMYFUNCTION("""COMPUTED_VALUE"""),46161.87875927083)</f>
        <v>46161.87876</v>
      </c>
      <c r="B338" s="1" t="str">
        <f>IFERROR(__xludf.DUMMYFUNCTION("""COMPUTED_VALUE"""),"0094686372 / 252610299")</f>
        <v>0094686372 / 252610299</v>
      </c>
      <c r="C338" s="1" t="str">
        <f>IFERROR(__xludf.DUMMYFUNCTION("""COMPUTED_VALUE"""),"Hadir")</f>
        <v>Hadir</v>
      </c>
      <c r="D338" s="1" t="str">
        <f>IFERROR(__xludf.DUMMYFUNCTION("""COMPUTED_VALUE"""),"hanahanifarifazi@gmail.com")</f>
        <v>hanahanifarifazi@gmail.com</v>
      </c>
      <c r="E338" s="1"/>
      <c r="F338" s="1"/>
      <c r="G338" s="1"/>
      <c r="H338" s="1"/>
      <c r="I338" s="1"/>
      <c r="J338" s="1"/>
      <c r="K338" s="1"/>
      <c r="L338" s="1"/>
    </row>
    <row r="339">
      <c r="A339" s="2">
        <f>IFERROR(__xludf.DUMMYFUNCTION("""COMPUTED_VALUE"""),46161.878883321755)</f>
        <v>46161.87888</v>
      </c>
      <c r="B339" s="1" t="str">
        <f>IFERROR(__xludf.DUMMYFUNCTION("""COMPUTED_VALUE"""),"0094686372 / 252610299")</f>
        <v>0094686372 / 252610299</v>
      </c>
      <c r="C339" s="1" t="str">
        <f>IFERROR(__xludf.DUMMYFUNCTION("""COMPUTED_VALUE"""),"Hadir")</f>
        <v>Hadir</v>
      </c>
      <c r="D339" s="1" t="str">
        <f>IFERROR(__xludf.DUMMYFUNCTION("""COMPUTED_VALUE"""),"hanahanifarifazi@gmail.com")</f>
        <v>hanahanifarifazi@gmail.com</v>
      </c>
      <c r="E339" s="1"/>
      <c r="F339" s="1"/>
      <c r="G339" s="1"/>
      <c r="H339" s="1"/>
      <c r="I339" s="1"/>
      <c r="J339" s="1"/>
      <c r="K339" s="1"/>
      <c r="L339" s="1"/>
    </row>
    <row r="340">
      <c r="A340" s="2">
        <f>IFERROR(__xludf.DUMMYFUNCTION("""COMPUTED_VALUE"""),46161.878980486115)</f>
        <v>46161.87898</v>
      </c>
      <c r="B340" s="1" t="str">
        <f>IFERROR(__xludf.DUMMYFUNCTION("""COMPUTED_VALUE"""),"0094686372 / 252610299")</f>
        <v>0094686372 / 252610299</v>
      </c>
      <c r="C340" s="1" t="str">
        <f>IFERROR(__xludf.DUMMYFUNCTION("""COMPUTED_VALUE"""),"Hadir")</f>
        <v>Hadir</v>
      </c>
      <c r="D340" s="1" t="str">
        <f>IFERROR(__xludf.DUMMYFUNCTION("""COMPUTED_VALUE"""),"hanahanifarifazi@gmail.com")</f>
        <v>hanahanifarifazi@gmail.com</v>
      </c>
      <c r="E340" s="1"/>
      <c r="F340" s="1"/>
      <c r="G340" s="1"/>
      <c r="H340" s="1"/>
      <c r="I340" s="1"/>
      <c r="J340" s="1"/>
      <c r="K340" s="1"/>
      <c r="L340" s="1"/>
    </row>
    <row r="341">
      <c r="A341" s="2">
        <f>IFERROR(__xludf.DUMMYFUNCTION("""COMPUTED_VALUE"""),46161.87907710648)</f>
        <v>46161.87908</v>
      </c>
      <c r="B341" s="1" t="str">
        <f>IFERROR(__xludf.DUMMYFUNCTION("""COMPUTED_VALUE"""),"0094686372 / 252610299")</f>
        <v>0094686372 / 252610299</v>
      </c>
      <c r="C341" s="1" t="str">
        <f>IFERROR(__xludf.DUMMYFUNCTION("""COMPUTED_VALUE"""),"Hadir")</f>
        <v>Hadir</v>
      </c>
      <c r="D341" s="1" t="str">
        <f>IFERROR(__xludf.DUMMYFUNCTION("""COMPUTED_VALUE"""),"hanahanifarifazi@gmail.com")</f>
        <v>hanahanifarifazi@gmail.com</v>
      </c>
      <c r="E341" s="1"/>
      <c r="F341" s="1"/>
      <c r="G341" s="1"/>
      <c r="H341" s="1"/>
      <c r="I341" s="1"/>
      <c r="J341" s="1"/>
      <c r="K341" s="1"/>
      <c r="L341" s="1"/>
    </row>
    <row r="342">
      <c r="A342" s="2">
        <f>IFERROR(__xludf.DUMMYFUNCTION("""COMPUTED_VALUE"""),46161.879172256944)</f>
        <v>46161.87917</v>
      </c>
      <c r="B342" s="1" t="str">
        <f>IFERROR(__xludf.DUMMYFUNCTION("""COMPUTED_VALUE"""),"0094686372 / 252610299")</f>
        <v>0094686372 / 252610299</v>
      </c>
      <c r="C342" s="1" t="str">
        <f>IFERROR(__xludf.DUMMYFUNCTION("""COMPUTED_VALUE"""),"Hadir")</f>
        <v>Hadir</v>
      </c>
      <c r="D342" s="1" t="str">
        <f>IFERROR(__xludf.DUMMYFUNCTION("""COMPUTED_VALUE"""),"hanahanifarifazi@gmail.com")</f>
        <v>hanahanifarifazi@gmail.com</v>
      </c>
      <c r="E342" s="1"/>
      <c r="F342" s="1"/>
      <c r="G342" s="1"/>
      <c r="H342" s="1"/>
      <c r="I342" s="1"/>
      <c r="J342" s="1"/>
      <c r="K342" s="1"/>
      <c r="L342" s="1"/>
    </row>
    <row r="343">
      <c r="A343" s="2">
        <f>IFERROR(__xludf.DUMMYFUNCTION("""COMPUTED_VALUE"""),46165.323443553236)</f>
        <v>46165.32344</v>
      </c>
      <c r="B343" s="1" t="str">
        <f>IFERROR(__xludf.DUMMYFUNCTION("""COMPUTED_VALUE"""),"0105614197 / 252610547")</f>
        <v>0105614197 / 252610547</v>
      </c>
      <c r="C343" s="1" t="str">
        <f>IFERROR(__xludf.DUMMYFUNCTION("""COMPUTED_VALUE"""),"Hadir")</f>
        <v>Hadir</v>
      </c>
      <c r="D343" s="1" t="str">
        <f>IFERROR(__xludf.DUMMYFUNCTION("""COMPUTED_VALUE"""),"m.rizza.alfarisi67@gmail.com")</f>
        <v>m.rizza.alfarisi67@gmail.com</v>
      </c>
      <c r="E343" s="1"/>
      <c r="F343" s="1"/>
      <c r="G343" s="1"/>
      <c r="H343" s="1"/>
      <c r="I343" s="1"/>
      <c r="J343" s="1"/>
      <c r="K343" s="1"/>
      <c r="L343" s="1"/>
    </row>
    <row r="344">
      <c r="A344" s="2">
        <f>IFERROR(__xludf.DUMMYFUNCTION("""COMPUTED_VALUE"""),46165.32360891203)</f>
        <v>46165.32361</v>
      </c>
      <c r="B344" s="1" t="str">
        <f>IFERROR(__xludf.DUMMYFUNCTION("""COMPUTED_VALUE"""),"0093678218 / 252610333")</f>
        <v>0093678218 / 252610333</v>
      </c>
      <c r="C344" s="1" t="str">
        <f>IFERROR(__xludf.DUMMYFUNCTION("""COMPUTED_VALUE"""),"Hadir")</f>
        <v>Hadir</v>
      </c>
      <c r="D344" s="1" t="str">
        <f>IFERROR(__xludf.DUMMYFUNCTION("""COMPUTED_VALUE"""),"m.rizza.alfarisi67@gmail.com")</f>
        <v>m.rizza.alfarisi67@gmail.com</v>
      </c>
      <c r="E344" s="1"/>
      <c r="F344" s="1"/>
      <c r="G344" s="1"/>
      <c r="H344" s="1"/>
      <c r="I344" s="1"/>
      <c r="J344" s="1"/>
      <c r="K344" s="1"/>
      <c r="L344" s="1"/>
    </row>
    <row r="345">
      <c r="A345" s="2">
        <f>IFERROR(__xludf.DUMMYFUNCTION("""COMPUTED_VALUE"""),46165.32375483796)</f>
        <v>46165.32375</v>
      </c>
      <c r="B345" s="1" t="str">
        <f>IFERROR(__xludf.DUMMYFUNCTION("""COMPUTED_VALUE"""),"0093078917 / 252610252")</f>
        <v>0093078917 / 252610252</v>
      </c>
      <c r="C345" s="1" t="str">
        <f>IFERROR(__xludf.DUMMYFUNCTION("""COMPUTED_VALUE"""),"Hadir")</f>
        <v>Hadir</v>
      </c>
      <c r="D345" s="1" t="str">
        <f>IFERROR(__xludf.DUMMYFUNCTION("""COMPUTED_VALUE"""),"m.rizza.alfarisi67@gmail.com")</f>
        <v>m.rizza.alfarisi67@gmail.com</v>
      </c>
      <c r="E345" s="1"/>
      <c r="F345" s="1"/>
      <c r="G345" s="1"/>
      <c r="H345" s="1"/>
      <c r="I345" s="1"/>
      <c r="J345" s="1"/>
      <c r="K345" s="1"/>
      <c r="L345" s="1"/>
    </row>
    <row r="346">
      <c r="A346" s="2">
        <f>IFERROR(__xludf.DUMMYFUNCTION("""COMPUTED_VALUE"""),46165.323879641204)</f>
        <v>46165.32388</v>
      </c>
      <c r="B346" s="1" t="str">
        <f>IFERROR(__xludf.DUMMYFUNCTION("""COMPUTED_VALUE"""),"0093828028 / 252610340")</f>
        <v>0093828028 / 252610340</v>
      </c>
      <c r="C346" s="1" t="str">
        <f>IFERROR(__xludf.DUMMYFUNCTION("""COMPUTED_VALUE"""),"Hadir")</f>
        <v>Hadir</v>
      </c>
      <c r="D346" s="1" t="str">
        <f>IFERROR(__xludf.DUMMYFUNCTION("""COMPUTED_VALUE"""),"m.rizza.alfarisi67@gmail.com")</f>
        <v>m.rizza.alfarisi67@gmail.com</v>
      </c>
      <c r="E346" s="1"/>
      <c r="F346" s="1"/>
      <c r="G346" s="1"/>
      <c r="H346" s="1"/>
      <c r="I346" s="1"/>
      <c r="J346" s="1"/>
      <c r="K346" s="1"/>
      <c r="L346" s="1"/>
    </row>
    <row r="347">
      <c r="A347" s="2">
        <f>IFERROR(__xludf.DUMMYFUNCTION("""COMPUTED_VALUE"""),46165.32406774306)</f>
        <v>46165.32407</v>
      </c>
      <c r="B347" s="1" t="str">
        <f>IFERROR(__xludf.DUMMYFUNCTION("""COMPUTED_VALUE"""),"3103220251 / 252610225")</f>
        <v>3103220251 / 252610225</v>
      </c>
      <c r="C347" s="1" t="str">
        <f>IFERROR(__xludf.DUMMYFUNCTION("""COMPUTED_VALUE"""),"Hadir")</f>
        <v>Hadir</v>
      </c>
      <c r="D347" s="1" t="str">
        <f>IFERROR(__xludf.DUMMYFUNCTION("""COMPUTED_VALUE"""),"m.rizza.alfarisi67@gmail.com")</f>
        <v>m.rizza.alfarisi67@gmail.com</v>
      </c>
      <c r="E347" s="1"/>
      <c r="F347" s="1"/>
      <c r="G347" s="1"/>
      <c r="H347" s="1"/>
      <c r="I347" s="1"/>
      <c r="J347" s="1"/>
      <c r="K347" s="1"/>
      <c r="L347" s="1"/>
    </row>
    <row r="348">
      <c r="A348" s="2">
        <f>IFERROR(__xludf.DUMMYFUNCTION("""COMPUTED_VALUE"""),46165.324170300926)</f>
        <v>46165.32417</v>
      </c>
      <c r="B348" s="1" t="str">
        <f>IFERROR(__xludf.DUMMYFUNCTION("""COMPUTED_VALUE"""),"3103220251 / 252610225")</f>
        <v>3103220251 / 252610225</v>
      </c>
      <c r="C348" s="1" t="str">
        <f>IFERROR(__xludf.DUMMYFUNCTION("""COMPUTED_VALUE"""),"Hadir")</f>
        <v>Hadir</v>
      </c>
      <c r="D348" s="1" t="str">
        <f>IFERROR(__xludf.DUMMYFUNCTION("""COMPUTED_VALUE"""),"m.rizza.alfarisi67@gmail.com")</f>
        <v>m.rizza.alfarisi67@gmail.com</v>
      </c>
      <c r="E348" s="1"/>
      <c r="F348" s="1"/>
      <c r="G348" s="1"/>
      <c r="H348" s="1"/>
      <c r="I348" s="1"/>
      <c r="J348" s="1"/>
      <c r="K348" s="1"/>
      <c r="L348" s="1"/>
    </row>
    <row r="349">
      <c r="A349" s="2">
        <f>IFERROR(__xludf.DUMMYFUNCTION("""COMPUTED_VALUE"""),46165.3247969213)</f>
        <v>46165.3248</v>
      </c>
      <c r="B349" s="1" t="str">
        <f>IFERROR(__xludf.DUMMYFUNCTION("""COMPUTED_VALUE"""),"0107936085 / 252610525")</f>
        <v>0107936085 / 252610525</v>
      </c>
      <c r="C349" s="1" t="str">
        <f>IFERROR(__xludf.DUMMYFUNCTION("""COMPUTED_VALUE"""),"Hadir")</f>
        <v>Hadir</v>
      </c>
      <c r="D349" s="1" t="str">
        <f>IFERROR(__xludf.DUMMYFUNCTION("""COMPUTED_VALUE"""),"m.rizza.alfarisi67@gmail.com")</f>
        <v>m.rizza.alfarisi67@gmail.com</v>
      </c>
      <c r="E349" s="1"/>
      <c r="F349" s="1"/>
      <c r="G349" s="1"/>
      <c r="H349" s="1"/>
      <c r="I349" s="1"/>
      <c r="J349" s="1"/>
      <c r="K349" s="1"/>
      <c r="L349" s="1"/>
    </row>
    <row r="350">
      <c r="A350" s="2">
        <f>IFERROR(__xludf.DUMMYFUNCTION("""COMPUTED_VALUE"""),46165.3249340162)</f>
        <v>46165.32493</v>
      </c>
      <c r="B350" s="1" t="str">
        <f>IFERROR(__xludf.DUMMYFUNCTION("""COMPUTED_VALUE"""),"0107487290 / 252610504")</f>
        <v>0107487290 / 252610504</v>
      </c>
      <c r="C350" s="1" t="str">
        <f>IFERROR(__xludf.DUMMYFUNCTION("""COMPUTED_VALUE"""),"Hadir")</f>
        <v>Hadir</v>
      </c>
      <c r="D350" s="1" t="str">
        <f>IFERROR(__xludf.DUMMYFUNCTION("""COMPUTED_VALUE"""),"m.rizza.alfarisi67@gmail.com")</f>
        <v>m.rizza.alfarisi67@gmail.com</v>
      </c>
      <c r="E350" s="1"/>
      <c r="F350" s="1"/>
      <c r="G350" s="1"/>
      <c r="H350" s="1"/>
      <c r="I350" s="1"/>
      <c r="J350" s="1"/>
      <c r="K350" s="1"/>
      <c r="L350" s="1"/>
    </row>
    <row r="351">
      <c r="A351" s="2">
        <f>IFERROR(__xludf.DUMMYFUNCTION("""COMPUTED_VALUE"""),46165.32644967592)</f>
        <v>46165.32645</v>
      </c>
      <c r="B351" s="1" t="str">
        <f>IFERROR(__xludf.DUMMYFUNCTION("""COMPUTED_VALUE"""),"0104328116 / 252610318")</f>
        <v>0104328116 / 252610318</v>
      </c>
      <c r="C351" s="1" t="str">
        <f>IFERROR(__xludf.DUMMYFUNCTION("""COMPUTED_VALUE"""),"Hadir")</f>
        <v>Hadir</v>
      </c>
      <c r="D351" s="1" t="str">
        <f>IFERROR(__xludf.DUMMYFUNCTION("""COMPUTED_VALUE"""),"m.rizza.alfarisi67@gmail.com")</f>
        <v>m.rizza.alfarisi67@gmail.com</v>
      </c>
      <c r="E351" s="1"/>
      <c r="F351" s="1"/>
      <c r="G351" s="1"/>
      <c r="H351" s="1"/>
      <c r="I351" s="1"/>
      <c r="J351" s="1"/>
      <c r="K351" s="1"/>
      <c r="L351" s="1"/>
    </row>
    <row r="352">
      <c r="A352" s="2">
        <f>IFERROR(__xludf.DUMMYFUNCTION("""COMPUTED_VALUE"""),46165.3285290162)</f>
        <v>46165.32853</v>
      </c>
      <c r="B352" s="1" t="str">
        <f>IFERROR(__xludf.DUMMYFUNCTION("""COMPUTED_VALUE"""),"0094782869 / 252610200")</f>
        <v>0094782869 / 252610200</v>
      </c>
      <c r="C352" s="1" t="str">
        <f>IFERROR(__xludf.DUMMYFUNCTION("""COMPUTED_VALUE"""),"Hadir")</f>
        <v>Hadir</v>
      </c>
      <c r="D352" s="1" t="str">
        <f>IFERROR(__xludf.DUMMYFUNCTION("""COMPUTED_VALUE"""),"m.rizza.alfarisi67@gmail.com")</f>
        <v>m.rizza.alfarisi67@gmail.com</v>
      </c>
      <c r="E352" s="1"/>
      <c r="F352" s="1"/>
      <c r="G352" s="1"/>
      <c r="H352" s="1"/>
      <c r="I352" s="1"/>
      <c r="J352" s="1"/>
      <c r="K352" s="1"/>
      <c r="L352" s="1"/>
    </row>
    <row r="353">
      <c r="A353" s="2">
        <f>IFERROR(__xludf.DUMMYFUNCTION("""COMPUTED_VALUE"""),46165.35064957176)</f>
        <v>46165.35065</v>
      </c>
      <c r="B353" s="1" t="str">
        <f>IFERROR(__xludf.DUMMYFUNCTION("""COMPUTED_VALUE"""),"0095243962 / 252610354")</f>
        <v>0095243962 / 252610354</v>
      </c>
      <c r="C353" s="1" t="str">
        <f>IFERROR(__xludf.DUMMYFUNCTION("""COMPUTED_VALUE"""),"Hadir")</f>
        <v>Hadir</v>
      </c>
      <c r="D353" s="1" t="str">
        <f>IFERROR(__xludf.DUMMYFUNCTION("""COMPUTED_VALUE"""),"m.rizza.alfarisi67@gmail.com")</f>
        <v>m.rizza.alfarisi67@gmail.com</v>
      </c>
      <c r="E353" s="1"/>
      <c r="F353" s="1"/>
      <c r="G353" s="1"/>
      <c r="H353" s="1"/>
      <c r="I353" s="1"/>
      <c r="J353" s="1"/>
      <c r="K353" s="1"/>
      <c r="L353" s="1"/>
    </row>
    <row r="354">
      <c r="A354" s="2">
        <f>IFERROR(__xludf.DUMMYFUNCTION("""COMPUTED_VALUE"""),46165.392726886574)</f>
        <v>46165.39273</v>
      </c>
      <c r="B354" s="1" t="str">
        <f>IFERROR(__xludf.DUMMYFUNCTION("""COMPUTED_VALUE"""),"0099164493 / 252610156")</f>
        <v>0099164493 / 252610156</v>
      </c>
      <c r="C354" s="1" t="str">
        <f>IFERROR(__xludf.DUMMYFUNCTION("""COMPUTED_VALUE"""),"Hadir")</f>
        <v>Hadir</v>
      </c>
      <c r="D354" s="1" t="str">
        <f>IFERROR(__xludf.DUMMYFUNCTION("""COMPUTED_VALUE"""),"shafaananda20@gmail.com")</f>
        <v>shafaananda20@gmail.com</v>
      </c>
      <c r="E354" s="1"/>
      <c r="F354" s="1"/>
      <c r="G354" s="1"/>
      <c r="H354" s="1"/>
      <c r="I354" s="1"/>
      <c r="J354" s="1"/>
      <c r="K354" s="1"/>
      <c r="L354" s="1"/>
    </row>
    <row r="355">
      <c r="A355" s="2">
        <f>IFERROR(__xludf.DUMMYFUNCTION("""COMPUTED_VALUE"""),46165.392916412035)</f>
        <v>46165.39292</v>
      </c>
      <c r="B355" s="1" t="str">
        <f>IFERROR(__xludf.DUMMYFUNCTION("""COMPUTED_VALUE"""),"0106758481 / 252610064")</f>
        <v>0106758481 / 252610064</v>
      </c>
      <c r="C355" s="1" t="str">
        <f>IFERROR(__xludf.DUMMYFUNCTION("""COMPUTED_VALUE"""),"Hadir")</f>
        <v>Hadir</v>
      </c>
      <c r="D355" s="1" t="str">
        <f>IFERROR(__xludf.DUMMYFUNCTION("""COMPUTED_VALUE"""),"shafaananda20@gmail.com")</f>
        <v>shafaananda20@gmail.com</v>
      </c>
      <c r="E355" s="1"/>
      <c r="F355" s="1"/>
      <c r="G355" s="1"/>
      <c r="H355" s="1"/>
      <c r="I355" s="1"/>
      <c r="J355" s="1"/>
      <c r="K355" s="1"/>
      <c r="L355" s="1"/>
    </row>
    <row r="356">
      <c r="A356" s="2">
        <f>IFERROR(__xludf.DUMMYFUNCTION("""COMPUTED_VALUE"""),46165.393072719904)</f>
        <v>46165.39307</v>
      </c>
      <c r="B356" s="1" t="str">
        <f>IFERROR(__xludf.DUMMYFUNCTION("""COMPUTED_VALUE"""),"0105055119 / 252610264")</f>
        <v>0105055119 / 252610264</v>
      </c>
      <c r="C356" s="1" t="str">
        <f>IFERROR(__xludf.DUMMYFUNCTION("""COMPUTED_VALUE"""),"Hadir")</f>
        <v>Hadir</v>
      </c>
      <c r="D356" s="1" t="str">
        <f>IFERROR(__xludf.DUMMYFUNCTION("""COMPUTED_VALUE"""),"shafaananda20@gmail.com")</f>
        <v>shafaananda20@gmail.com</v>
      </c>
      <c r="E356" s="1"/>
      <c r="F356" s="1"/>
      <c r="G356" s="1"/>
      <c r="H356" s="1"/>
      <c r="I356" s="1"/>
      <c r="J356" s="1"/>
      <c r="K356" s="1"/>
      <c r="L356" s="1"/>
    </row>
    <row r="357">
      <c r="A357" s="2">
        <f>IFERROR(__xludf.DUMMYFUNCTION("""COMPUTED_VALUE"""),46165.39320842593)</f>
        <v>46165.39321</v>
      </c>
      <c r="B357" s="1" t="str">
        <f>IFERROR(__xludf.DUMMYFUNCTION("""COMPUTED_VALUE"""),"0093281671 / 252610159")</f>
        <v>0093281671 / 252610159</v>
      </c>
      <c r="C357" s="1" t="str">
        <f>IFERROR(__xludf.DUMMYFUNCTION("""COMPUTED_VALUE"""),"Hadir")</f>
        <v>Hadir</v>
      </c>
      <c r="D357" s="1" t="str">
        <f>IFERROR(__xludf.DUMMYFUNCTION("""COMPUTED_VALUE"""),"shafaananda20@gmail.com")</f>
        <v>shafaananda20@gmail.com</v>
      </c>
      <c r="E357" s="1"/>
      <c r="F357" s="1"/>
      <c r="G357" s="1"/>
      <c r="H357" s="1"/>
      <c r="I357" s="1"/>
      <c r="J357" s="1"/>
      <c r="K357" s="1"/>
      <c r="L357" s="1"/>
    </row>
    <row r="358">
      <c r="A358" s="2">
        <f>IFERROR(__xludf.DUMMYFUNCTION("""COMPUTED_VALUE"""),46165.39334983796)</f>
        <v>46165.39335</v>
      </c>
      <c r="B358" s="1" t="str">
        <f>IFERROR(__xludf.DUMMYFUNCTION("""COMPUTED_VALUE"""),"0106222604 / 252610254")</f>
        <v>0106222604 / 252610254</v>
      </c>
      <c r="C358" s="1" t="str">
        <f>IFERROR(__xludf.DUMMYFUNCTION("""COMPUTED_VALUE"""),"Hadir")</f>
        <v>Hadir</v>
      </c>
      <c r="D358" s="1" t="str">
        <f>IFERROR(__xludf.DUMMYFUNCTION("""COMPUTED_VALUE"""),"shafaananda20@gmail.com")</f>
        <v>shafaananda20@gmail.com</v>
      </c>
      <c r="E358" s="1"/>
      <c r="F358" s="1"/>
      <c r="G358" s="1"/>
      <c r="H358" s="1"/>
      <c r="I358" s="1"/>
      <c r="J358" s="1"/>
      <c r="K358" s="1"/>
      <c r="L358" s="1"/>
    </row>
    <row r="359">
      <c r="A359" s="2">
        <f>IFERROR(__xludf.DUMMYFUNCTION("""COMPUTED_VALUE"""),46165.393485092594)</f>
        <v>46165.39349</v>
      </c>
      <c r="B359" s="1" t="str">
        <f>IFERROR(__xludf.DUMMYFUNCTION("""COMPUTED_VALUE"""),"0103468589 / 252610300")</f>
        <v>0103468589 / 252610300</v>
      </c>
      <c r="C359" s="1" t="str">
        <f>IFERROR(__xludf.DUMMYFUNCTION("""COMPUTED_VALUE"""),"Hadir")</f>
        <v>Hadir</v>
      </c>
      <c r="D359" s="1" t="str">
        <f>IFERROR(__xludf.DUMMYFUNCTION("""COMPUTED_VALUE"""),"shafaananda20@gmail.com")</f>
        <v>shafaananda20@gmail.com</v>
      </c>
      <c r="E359" s="1"/>
      <c r="F359" s="1"/>
      <c r="G359" s="1"/>
      <c r="H359" s="1"/>
      <c r="I359" s="1"/>
      <c r="J359" s="1"/>
      <c r="K359" s="1"/>
      <c r="L359" s="1"/>
    </row>
    <row r="360">
      <c r="A360" s="2">
        <f>IFERROR(__xludf.DUMMYFUNCTION("""COMPUTED_VALUE"""),46165.39362725694)</f>
        <v>46165.39363</v>
      </c>
      <c r="B360" s="1" t="str">
        <f>IFERROR(__xludf.DUMMYFUNCTION("""COMPUTED_VALUE"""),"0107335774 / 252610221")</f>
        <v>0107335774 / 252610221</v>
      </c>
      <c r="C360" s="1" t="str">
        <f>IFERROR(__xludf.DUMMYFUNCTION("""COMPUTED_VALUE"""),"Hadir")</f>
        <v>Hadir</v>
      </c>
      <c r="D360" s="1" t="str">
        <f>IFERROR(__xludf.DUMMYFUNCTION("""COMPUTED_VALUE"""),"shafaananda20@gmail.com")</f>
        <v>shafaananda20@gmail.com</v>
      </c>
      <c r="E360" s="1"/>
      <c r="F360" s="1"/>
      <c r="G360" s="1"/>
      <c r="H360" s="1"/>
      <c r="I360" s="1"/>
      <c r="J360" s="1"/>
      <c r="K360" s="1"/>
      <c r="L360" s="1"/>
    </row>
    <row r="361">
      <c r="A361" s="2">
        <f>IFERROR(__xludf.DUMMYFUNCTION("""COMPUTED_VALUE"""),46165.3937678588)</f>
        <v>46165.39377</v>
      </c>
      <c r="B361" s="1" t="str">
        <f>IFERROR(__xludf.DUMMYFUNCTION("""COMPUTED_VALUE"""),"0091524155 / 252610179")</f>
        <v>0091524155 / 252610179</v>
      </c>
      <c r="C361" s="1" t="str">
        <f>IFERROR(__xludf.DUMMYFUNCTION("""COMPUTED_VALUE"""),"Hadir")</f>
        <v>Hadir</v>
      </c>
      <c r="D361" s="1" t="str">
        <f>IFERROR(__xludf.DUMMYFUNCTION("""COMPUTED_VALUE"""),"shafaananda20@gmail.com")</f>
        <v>shafaananda20@gmail.com</v>
      </c>
      <c r="E361" s="1"/>
      <c r="F361" s="1"/>
      <c r="G361" s="1"/>
      <c r="H361" s="1"/>
      <c r="I361" s="1"/>
      <c r="J361" s="1"/>
      <c r="K361" s="1"/>
      <c r="L361" s="1"/>
    </row>
    <row r="362">
      <c r="A362" s="2">
        <f>IFERROR(__xludf.DUMMYFUNCTION("""COMPUTED_VALUE"""),46165.3940333912)</f>
        <v>46165.39403</v>
      </c>
      <c r="B362" s="1" t="str">
        <f>IFERROR(__xludf.DUMMYFUNCTION("""COMPUTED_VALUE"""),"3096764634 / 252610025")</f>
        <v>3096764634 / 252610025</v>
      </c>
      <c r="C362" s="1" t="str">
        <f>IFERROR(__xludf.DUMMYFUNCTION("""COMPUTED_VALUE"""),"Hadir")</f>
        <v>Hadir</v>
      </c>
      <c r="D362" s="1" t="str">
        <f>IFERROR(__xludf.DUMMYFUNCTION("""COMPUTED_VALUE"""),"shafaananda20@gmail.com")</f>
        <v>shafaananda20@gmail.com</v>
      </c>
      <c r="E362" s="1"/>
      <c r="F362" s="1"/>
      <c r="G362" s="1"/>
      <c r="H362" s="1"/>
      <c r="I362" s="1"/>
      <c r="J362" s="1"/>
      <c r="K362" s="1"/>
      <c r="L362" s="1"/>
    </row>
    <row r="363">
      <c r="A363" s="2">
        <f>IFERROR(__xludf.DUMMYFUNCTION("""COMPUTED_VALUE"""),46165.394223842595)</f>
        <v>46165.39422</v>
      </c>
      <c r="B363" s="1" t="str">
        <f>IFERROR(__xludf.DUMMYFUNCTION("""COMPUTED_VALUE"""),"0108763766 / 252610141")</f>
        <v>0108763766 / 252610141</v>
      </c>
      <c r="C363" s="1" t="str">
        <f>IFERROR(__xludf.DUMMYFUNCTION("""COMPUTED_VALUE"""),"Hadir")</f>
        <v>Hadir</v>
      </c>
      <c r="D363" s="1" t="str">
        <f>IFERROR(__xludf.DUMMYFUNCTION("""COMPUTED_VALUE"""),"shafaananda20@gmail.com")</f>
        <v>shafaananda20@gmail.com</v>
      </c>
      <c r="E363" s="1"/>
      <c r="F363" s="1"/>
      <c r="G363" s="1"/>
      <c r="H363" s="1"/>
      <c r="I363" s="1"/>
      <c r="J363" s="1"/>
      <c r="K363" s="1"/>
      <c r="L363" s="1"/>
    </row>
    <row r="364">
      <c r="A364" s="2">
        <f>IFERROR(__xludf.DUMMYFUNCTION("""COMPUTED_VALUE"""),46165.39437556713)</f>
        <v>46165.39438</v>
      </c>
      <c r="B364" s="1" t="str">
        <f>IFERROR(__xludf.DUMMYFUNCTION("""COMPUTED_VALUE"""),"0102239764 / 252610140")</f>
        <v>0102239764 / 252610140</v>
      </c>
      <c r="C364" s="1" t="str">
        <f>IFERROR(__xludf.DUMMYFUNCTION("""COMPUTED_VALUE"""),"Hadir")</f>
        <v>Hadir</v>
      </c>
      <c r="D364" s="1" t="str">
        <f>IFERROR(__xludf.DUMMYFUNCTION("""COMPUTED_VALUE"""),"shafaananda20@gmail.com")</f>
        <v>shafaananda20@gmail.com</v>
      </c>
      <c r="E364" s="1"/>
      <c r="F364" s="1"/>
      <c r="G364" s="1"/>
      <c r="H364" s="1"/>
      <c r="I364" s="1"/>
      <c r="J364" s="1"/>
      <c r="K364" s="1"/>
      <c r="L364" s="1"/>
    </row>
    <row r="365">
      <c r="A365" s="2">
        <f>IFERROR(__xludf.DUMMYFUNCTION("""COMPUTED_VALUE"""),46165.917041030094)</f>
        <v>46165.91704</v>
      </c>
      <c r="B365" s="1" t="str">
        <f>IFERROR(__xludf.DUMMYFUNCTION("""COMPUTED_VALUE"""),"0108389311 / 252610037")</f>
        <v>0108389311 / 252610037</v>
      </c>
      <c r="C365" s="1" t="str">
        <f>IFERROR(__xludf.DUMMYFUNCTION("""COMPUTED_VALUE"""),"Hadir")</f>
        <v>Hadir</v>
      </c>
      <c r="D365" s="1" t="str">
        <f>IFERROR(__xludf.DUMMYFUNCTION("""COMPUTED_VALUE"""),"rhnrra@gmail.com")</f>
        <v>rhnrra@gmail.com</v>
      </c>
      <c r="E365" s="1"/>
      <c r="F365" s="1"/>
      <c r="G365" s="1"/>
      <c r="H365" s="1"/>
      <c r="I365" s="1"/>
      <c r="J365" s="1"/>
      <c r="K365" s="1"/>
      <c r="L365" s="1"/>
    </row>
    <row r="366">
      <c r="A366" s="2">
        <f>IFERROR(__xludf.DUMMYFUNCTION("""COMPUTED_VALUE"""),46165.920034375)</f>
        <v>46165.92003</v>
      </c>
      <c r="B366" s="1" t="str">
        <f>IFERROR(__xludf.DUMMYFUNCTION("""COMPUTED_VALUE"""),"0104895570 / 252610099")</f>
        <v>0104895570 / 252610099</v>
      </c>
      <c r="C366" s="1" t="str">
        <f>IFERROR(__xludf.DUMMYFUNCTION("""COMPUTED_VALUE"""),"Hadir")</f>
        <v>Hadir</v>
      </c>
      <c r="D366" s="1" t="str">
        <f>IFERROR(__xludf.DUMMYFUNCTION("""COMPUTED_VALUE"""),"rhnrra@gmail.com")</f>
        <v>rhnrra@gmail.com</v>
      </c>
      <c r="E366" s="1"/>
      <c r="F366" s="1"/>
      <c r="G366" s="1"/>
      <c r="H366" s="1"/>
      <c r="I366" s="1"/>
      <c r="J366" s="1"/>
      <c r="K366" s="1"/>
      <c r="L366" s="1"/>
    </row>
    <row r="367">
      <c r="A367" s="2">
        <f>IFERROR(__xludf.DUMMYFUNCTION("""COMPUTED_VALUE"""),46165.92042699074)</f>
        <v>46165.92043</v>
      </c>
      <c r="B367" s="1" t="str">
        <f>IFERROR(__xludf.DUMMYFUNCTION("""COMPUTED_VALUE"""),"0099138854 / 252610103")</f>
        <v>0099138854 / 252610103</v>
      </c>
      <c r="C367" s="1" t="str">
        <f>IFERROR(__xludf.DUMMYFUNCTION("""COMPUTED_VALUE"""),"Hadir")</f>
        <v>Hadir</v>
      </c>
      <c r="D367" s="1" t="str">
        <f>IFERROR(__xludf.DUMMYFUNCTION("""COMPUTED_VALUE"""),"rhnrra@gmail.com")</f>
        <v>rhnrra@gmail.com</v>
      </c>
      <c r="E367" s="1"/>
      <c r="F367" s="1"/>
      <c r="G367" s="1"/>
      <c r="H367" s="1"/>
      <c r="I367" s="1"/>
      <c r="J367" s="1"/>
      <c r="K367" s="1"/>
      <c r="L367" s="1"/>
    </row>
    <row r="368">
      <c r="A368" s="2">
        <f>IFERROR(__xludf.DUMMYFUNCTION("""COMPUTED_VALUE"""),46165.92077003472)</f>
        <v>46165.92077</v>
      </c>
      <c r="B368" s="1" t="str">
        <f>IFERROR(__xludf.DUMMYFUNCTION("""COMPUTED_VALUE"""),"0105133490 / 252610119")</f>
        <v>0105133490 / 252610119</v>
      </c>
      <c r="C368" s="1" t="str">
        <f>IFERROR(__xludf.DUMMYFUNCTION("""COMPUTED_VALUE"""),"Hadir")</f>
        <v>Hadir</v>
      </c>
      <c r="D368" s="1" t="str">
        <f>IFERROR(__xludf.DUMMYFUNCTION("""COMPUTED_VALUE"""),"rhnrra@gmail.com")</f>
        <v>rhnrra@gmail.com</v>
      </c>
      <c r="E368" s="1"/>
      <c r="F368" s="1"/>
      <c r="G368" s="1"/>
      <c r="H368" s="1"/>
      <c r="I368" s="1"/>
      <c r="J368" s="1"/>
      <c r="K368" s="1"/>
      <c r="L368" s="1"/>
    </row>
    <row r="369">
      <c r="A369" s="2">
        <f>IFERROR(__xludf.DUMMYFUNCTION("""COMPUTED_VALUE"""),46165.92117450231)</f>
        <v>46165.92117</v>
      </c>
      <c r="B369" s="1" t="str">
        <f>IFERROR(__xludf.DUMMYFUNCTION("""COMPUTED_VALUE"""),"0098248691 / 252610168")</f>
        <v>0098248691 / 252610168</v>
      </c>
      <c r="C369" s="1" t="str">
        <f>IFERROR(__xludf.DUMMYFUNCTION("""COMPUTED_VALUE"""),"Hadir")</f>
        <v>Hadir</v>
      </c>
      <c r="D369" s="1" t="str">
        <f>IFERROR(__xludf.DUMMYFUNCTION("""COMPUTED_VALUE"""),"rhnrra@gmail.com")</f>
        <v>rhnrra@gmail.com</v>
      </c>
      <c r="E369" s="1"/>
      <c r="F369" s="1"/>
      <c r="G369" s="1"/>
      <c r="H369" s="1"/>
      <c r="I369" s="1"/>
      <c r="J369" s="1"/>
      <c r="K369" s="1"/>
      <c r="L369" s="1"/>
    </row>
    <row r="370">
      <c r="A370" s="2">
        <f>IFERROR(__xludf.DUMMYFUNCTION("""COMPUTED_VALUE"""),46165.92151079861)</f>
        <v>46165.92151</v>
      </c>
      <c r="B370" s="1" t="str">
        <f>IFERROR(__xludf.DUMMYFUNCTION("""COMPUTED_VALUE"""),"0102329313 / 252610222")</f>
        <v>0102329313 / 252610222</v>
      </c>
      <c r="C370" s="1" t="str">
        <f>IFERROR(__xludf.DUMMYFUNCTION("""COMPUTED_VALUE"""),"Hadir")</f>
        <v>Hadir</v>
      </c>
      <c r="D370" s="1" t="str">
        <f>IFERROR(__xludf.DUMMYFUNCTION("""COMPUTED_VALUE"""),"rhnrra@gmail.com")</f>
        <v>rhnrra@gmail.com</v>
      </c>
      <c r="E370" s="1"/>
      <c r="F370" s="1"/>
      <c r="G370" s="1"/>
      <c r="H370" s="1"/>
      <c r="I370" s="1"/>
      <c r="J370" s="1"/>
      <c r="K370" s="1"/>
      <c r="L370" s="1"/>
    </row>
    <row r="371">
      <c r="A371" s="2">
        <f>IFERROR(__xludf.DUMMYFUNCTION("""COMPUTED_VALUE"""),46165.9218453125)</f>
        <v>46165.92185</v>
      </c>
      <c r="B371" s="1" t="str">
        <f>IFERROR(__xludf.DUMMYFUNCTION("""COMPUTED_VALUE"""),"0104574006 / 252610262")</f>
        <v>0104574006 / 252610262</v>
      </c>
      <c r="C371" s="1" t="str">
        <f>IFERROR(__xludf.DUMMYFUNCTION("""COMPUTED_VALUE"""),"Hadir")</f>
        <v>Hadir</v>
      </c>
      <c r="D371" s="1" t="str">
        <f>IFERROR(__xludf.DUMMYFUNCTION("""COMPUTED_VALUE"""),"rhnrra@gmail.com")</f>
        <v>rhnrra@gmail.com</v>
      </c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</row>
    <row r="2687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</row>
    <row r="2688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</row>
    <row r="2689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</row>
    <row r="2690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</row>
    <row r="269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</row>
    <row r="269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</row>
    <row r="269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</row>
    <row r="2694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</row>
    <row r="269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</row>
    <row r="2696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</row>
    <row r="2697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</row>
    <row r="2698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</row>
    <row r="2699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</row>
    <row r="2700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</row>
    <row r="270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</row>
    <row r="270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</row>
    <row r="270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</row>
    <row r="2704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</row>
    <row r="270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</row>
    <row r="2706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</row>
    <row r="2707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</row>
    <row r="2708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</row>
    <row r="2709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</row>
    <row r="2710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</row>
    <row r="271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</row>
    <row r="271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</row>
    <row r="2714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</row>
    <row r="271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</row>
    <row r="2716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</row>
    <row r="2717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</row>
    <row r="2718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</row>
    <row r="2719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</row>
    <row r="2720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</row>
    <row r="272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</row>
    <row r="272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</row>
    <row r="27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</row>
    <row r="2724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</row>
    <row r="27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</row>
    <row r="2726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</row>
    <row r="2727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</row>
    <row r="2728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</row>
    <row r="2730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</row>
    <row r="273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</row>
    <row r="273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</row>
    <row r="273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</row>
    <row r="2734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</row>
    <row r="27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</row>
    <row r="2736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</row>
    <row r="2737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</row>
    <row r="2739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</row>
    <row r="2740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</row>
    <row r="274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</row>
    <row r="274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</row>
    <row r="274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</row>
    <row r="2744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</row>
    <row r="274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</row>
    <row r="2746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</row>
    <row r="2747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</row>
    <row r="2748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</row>
    <row r="2749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</row>
    <row r="2750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</row>
    <row r="275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</row>
    <row r="275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</row>
    <row r="275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</row>
    <row r="2754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</row>
    <row r="275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</row>
    <row r="2756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</row>
    <row r="2757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</row>
    <row r="2758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</row>
    <row r="2759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</row>
    <row r="2760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</row>
    <row r="276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</row>
    <row r="276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</row>
    <row r="276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</row>
    <row r="2766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</row>
    <row r="2767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</row>
    <row r="2768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</row>
    <row r="276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</row>
    <row r="2770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</row>
    <row r="277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</row>
    <row r="277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</row>
    <row r="277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</row>
    <row r="2774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</row>
    <row r="277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</row>
    <row r="2776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</row>
    <row r="2777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</row>
    <row r="2778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</row>
    <row r="2779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</row>
    <row r="2780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</row>
    <row r="278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</row>
    <row r="278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</row>
    <row r="278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</row>
    <row r="2784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</row>
    <row r="278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</row>
    <row r="2786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</row>
    <row r="2787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</row>
    <row r="2788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</row>
    <row r="278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</row>
    <row r="279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</row>
    <row r="279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</row>
    <row r="2794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</row>
    <row r="279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</row>
    <row r="2796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</row>
    <row r="2797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</row>
    <row r="2798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</row>
    <row r="2799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</row>
    <row r="2800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</row>
    <row r="280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</row>
    <row r="280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</row>
    <row r="280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</row>
    <row r="2804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</row>
    <row r="280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</row>
    <row r="2806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</row>
    <row r="2807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</row>
    <row r="2808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</row>
    <row r="280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</row>
    <row r="2810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</row>
    <row r="281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</row>
    <row r="281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</row>
    <row r="281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</row>
    <row r="2814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</row>
    <row r="281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</row>
    <row r="2817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</row>
    <row r="2818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</row>
    <row r="2819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</row>
    <row r="2820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</row>
    <row r="282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</row>
    <row r="282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</row>
    <row r="2824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</row>
    <row r="28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</row>
    <row r="2826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</row>
    <row r="2827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</row>
    <row r="2830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</row>
    <row r="283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</row>
    <row r="283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</row>
    <row r="283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</row>
    <row r="2834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</row>
    <row r="28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</row>
    <row r="2836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</row>
    <row r="2837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</row>
    <row r="2838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</row>
    <row r="2839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</row>
    <row r="2840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</row>
    <row r="284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</row>
    <row r="284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</row>
    <row r="2844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</row>
    <row r="284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</row>
    <row r="2846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</row>
    <row r="2847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</row>
    <row r="2848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</row>
    <row r="2849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</row>
    <row r="2850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</row>
    <row r="285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</row>
    <row r="285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</row>
    <row r="285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</row>
    <row r="2854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</row>
    <row r="285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</row>
    <row r="2856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</row>
    <row r="2857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</row>
    <row r="2858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</row>
    <row r="2859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</row>
    <row r="2860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</row>
    <row r="286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</row>
    <row r="286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</row>
    <row r="286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</row>
    <row r="2864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</row>
    <row r="286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</row>
    <row r="2866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</row>
    <row r="2867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</row>
    <row r="2869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</row>
    <row r="2870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</row>
    <row r="287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</row>
    <row r="287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</row>
    <row r="287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</row>
    <row r="2874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</row>
    <row r="287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</row>
    <row r="2876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</row>
    <row r="2877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</row>
    <row r="2878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</row>
    <row r="287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</row>
    <row r="2880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</row>
    <row r="288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</row>
    <row r="288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</row>
    <row r="288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</row>
    <row r="2884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</row>
    <row r="288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</row>
    <row r="2887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</row>
    <row r="2888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</row>
    <row r="2889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</row>
    <row r="2890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</row>
    <row r="289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</row>
    <row r="289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</row>
    <row r="289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</row>
    <row r="2894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</row>
    <row r="289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</row>
    <row r="2896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</row>
    <row r="2897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</row>
    <row r="2898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</row>
    <row r="289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</row>
    <row r="2900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</row>
    <row r="290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</row>
    <row r="290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</row>
    <row r="290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</row>
    <row r="2904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</row>
    <row r="290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</row>
    <row r="2906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</row>
    <row r="2907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</row>
    <row r="2908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</row>
    <row r="2909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</row>
    <row r="2910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</row>
    <row r="291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</row>
    <row r="291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</row>
    <row r="291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</row>
    <row r="2914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</row>
    <row r="2916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</row>
    <row r="2917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</row>
    <row r="2918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</row>
    <row r="29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</row>
    <row r="2920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</row>
    <row r="292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</row>
    <row r="292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</row>
    <row r="29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</row>
    <row r="2924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</row>
    <row r="29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</row>
    <row r="2926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</row>
    <row r="2927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</row>
    <row r="2928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</row>
    <row r="2929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</row>
    <row r="2930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</row>
    <row r="293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</row>
    <row r="293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</row>
    <row r="293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</row>
    <row r="2934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</row>
    <row r="29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</row>
    <row r="2936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</row>
    <row r="2937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</row>
    <row r="2938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</row>
    <row r="2939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</row>
    <row r="2940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</row>
    <row r="294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</row>
    <row r="294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</row>
    <row r="2944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</row>
    <row r="294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</row>
    <row r="2946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</row>
    <row r="2947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</row>
    <row r="2948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</row>
    <row r="2949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</row>
    <row r="2950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</row>
    <row r="295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</row>
    <row r="295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</row>
    <row r="295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</row>
    <row r="2954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</row>
    <row r="295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</row>
    <row r="2956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</row>
    <row r="2957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</row>
    <row r="2958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</row>
    <row r="2959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</row>
    <row r="2960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</row>
    <row r="296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</row>
    <row r="296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</row>
    <row r="296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</row>
    <row r="2964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</row>
    <row r="296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</row>
    <row r="2966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</row>
    <row r="2968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</row>
    <row r="2969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</row>
    <row r="2970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</row>
    <row r="297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</row>
    <row r="297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</row>
    <row r="297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</row>
    <row r="2974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</row>
    <row r="297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</row>
    <row r="2976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</row>
    <row r="2978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</row>
    <row r="2979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</row>
    <row r="2980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</row>
    <row r="298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</row>
    <row r="298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</row>
    <row r="298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</row>
    <row r="2984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</row>
    <row r="298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</row>
    <row r="2986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</row>
    <row r="2987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</row>
    <row r="2988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</row>
    <row r="2989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</row>
    <row r="2990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</row>
    <row r="299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</row>
    <row r="299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</row>
    <row r="2994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</row>
    <row r="299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</row>
    <row r="2996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</row>
    <row r="2997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</row>
    <row r="2998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</row>
    <row r="2999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</row>
    <row r="3000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</row>
    <row r="300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</row>
    <row r="300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</row>
    <row r="300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</row>
    <row r="3004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</row>
    <row r="300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</row>
    <row r="3006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</row>
    <row r="3007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</row>
    <row r="3008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</row>
    <row r="3009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</row>
    <row r="3010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</row>
    <row r="301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</row>
    <row r="301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</row>
    <row r="301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</row>
    <row r="3014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</row>
    <row r="301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</row>
    <row r="3016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</row>
    <row r="3017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</row>
    <row r="3018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</row>
    <row r="3019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</row>
    <row r="3020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</row>
    <row r="302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</row>
    <row r="302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</row>
    <row r="30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</row>
    <row r="3024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</row>
    <row r="30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</row>
    <row r="3026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</row>
    <row r="3027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</row>
    <row r="3028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</row>
    <row r="3029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</row>
    <row r="3030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</row>
    <row r="303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</row>
    <row r="303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</row>
    <row r="303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</row>
    <row r="3034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</row>
    <row r="30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</row>
    <row r="3036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</row>
    <row r="3037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</row>
    <row r="3038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</row>
    <row r="3039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</row>
    <row r="3040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</row>
    <row r="304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</row>
    <row r="304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</row>
    <row r="304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</row>
    <row r="3044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</row>
    <row r="304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</row>
    <row r="3046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</row>
    <row r="3047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</row>
    <row r="3048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</row>
    <row r="3049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</row>
    <row r="3050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</row>
    <row r="305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</row>
    <row r="305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</row>
    <row r="305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</row>
    <row r="3054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</row>
    <row r="305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</row>
    <row r="3056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</row>
    <row r="3057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</row>
    <row r="3058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</row>
    <row r="3059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</row>
    <row r="3060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</row>
    <row r="306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</row>
    <row r="306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</row>
    <row r="306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</row>
    <row r="3064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</row>
    <row r="306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</row>
    <row r="3066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</row>
    <row r="3067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</row>
    <row r="3068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</row>
    <row r="306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</row>
    <row r="3070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</row>
    <row r="307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</row>
    <row r="307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</row>
    <row r="307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</row>
    <row r="3074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</row>
    <row r="307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</row>
    <row r="3076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</row>
    <row r="3077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</row>
    <row r="3078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</row>
    <row r="3079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</row>
    <row r="3080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</row>
    <row r="308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</row>
    <row r="308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</row>
    <row r="308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</row>
    <row r="3084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</row>
    <row r="308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</row>
    <row r="3086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</row>
    <row r="3087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</row>
    <row r="3088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</row>
    <row r="3089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</row>
    <row r="3090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</row>
    <row r="309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</row>
    <row r="309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</row>
    <row r="309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</row>
    <row r="3094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</row>
    <row r="309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</row>
    <row r="3096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</row>
    <row r="3097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</row>
    <row r="3098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</row>
    <row r="3099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</row>
    <row r="3100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</row>
    <row r="310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</row>
    <row r="310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</row>
    <row r="310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</row>
    <row r="3104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</row>
    <row r="310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</row>
    <row r="3106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</row>
    <row r="3107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</row>
    <row r="3108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</row>
    <row r="3109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</row>
    <row r="3110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</row>
    <row r="311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</row>
    <row r="311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</row>
    <row r="311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</row>
    <row r="3114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</row>
    <row r="311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</row>
    <row r="3116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</row>
    <row r="3117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</row>
    <row r="3118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</row>
    <row r="3119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</row>
    <row r="3120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</row>
    <row r="312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</row>
    <row r="312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</row>
    <row r="31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</row>
    <row r="3124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</row>
    <row r="31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</row>
    <row r="3126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</row>
    <row r="3127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</row>
    <row r="3128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</row>
    <row r="3129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</row>
    <row r="3130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</row>
    <row r="313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</row>
    <row r="313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</row>
    <row r="313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</row>
    <row r="3134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</row>
    <row r="31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</row>
    <row r="3136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</row>
    <row r="3137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</row>
    <row r="3138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</row>
    <row r="3139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</row>
    <row r="3140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</row>
    <row r="314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</row>
    <row r="314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</row>
    <row r="314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</row>
    <row r="3144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</row>
    <row r="314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</row>
    <row r="3146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</row>
    <row r="3147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</row>
    <row r="3148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</row>
    <row r="3149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</row>
    <row r="3150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</row>
    <row r="315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</row>
    <row r="315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</row>
    <row r="315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</row>
    <row r="3154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</row>
    <row r="315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</row>
    <row r="3156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</row>
    <row r="3157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</row>
    <row r="3158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</row>
    <row r="3159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</row>
    <row r="3160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</row>
    <row r="316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</row>
    <row r="316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</row>
    <row r="316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</row>
    <row r="3164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</row>
    <row r="316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</row>
    <row r="3166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</row>
    <row r="3167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</row>
    <row r="3168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</row>
    <row r="3169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</row>
    <row r="3170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</row>
    <row r="317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</row>
    <row r="317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</row>
    <row r="317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</row>
    <row r="3174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</row>
    <row r="317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</row>
    <row r="3176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</row>
    <row r="3177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</row>
    <row r="3178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</row>
    <row r="3179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</row>
    <row r="3180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</row>
    <row r="318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</row>
    <row r="318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</row>
    <row r="318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</row>
    <row r="3184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</row>
    <row r="318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</row>
    <row r="3186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</row>
    <row r="3187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</row>
    <row r="3188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</row>
    <row r="3189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</row>
    <row r="3190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</row>
    <row r="319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</row>
    <row r="319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</row>
    <row r="319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</row>
    <row r="3194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</row>
    <row r="319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</row>
    <row r="3196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</row>
    <row r="3197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</row>
    <row r="3198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</row>
    <row r="3199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</row>
    <row r="3200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</row>
    <row r="320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</row>
    <row r="320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</row>
    <row r="320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</row>
    <row r="3204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</row>
    <row r="320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</row>
    <row r="3206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</row>
    <row r="3207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</row>
    <row r="3208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</row>
    <row r="3209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</row>
    <row r="3210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</row>
    <row r="321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</row>
    <row r="321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</row>
    <row r="321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</row>
    <row r="3214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</row>
    <row r="321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</row>
    <row r="3216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</row>
    <row r="3217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</row>
    <row r="3218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</row>
    <row r="3219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</row>
    <row r="3220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</row>
    <row r="322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</row>
    <row r="322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</row>
    <row r="32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</row>
    <row r="3224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</row>
    <row r="32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</row>
    <row r="3226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</row>
    <row r="3227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</row>
    <row r="3228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</row>
    <row r="3229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</row>
    <row r="3230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</row>
    <row r="323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</row>
    <row r="323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</row>
    <row r="323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</row>
    <row r="3234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</row>
    <row r="32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</row>
    <row r="3236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</row>
    <row r="3237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</row>
    <row r="3238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</row>
    <row r="3239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</row>
    <row r="3240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</row>
    <row r="324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</row>
    <row r="324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</row>
    <row r="324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</row>
    <row r="3244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</row>
    <row r="324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</row>
    <row r="3246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</row>
    <row r="3247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</row>
    <row r="3248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</row>
    <row r="3249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</row>
    <row r="3250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</row>
    <row r="325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</row>
    <row r="325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</row>
    <row r="325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</row>
    <row r="3254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</row>
    <row r="325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</row>
    <row r="3256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</row>
    <row r="3257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</row>
    <row r="3258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</row>
    <row r="3259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</row>
    <row r="3260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</row>
    <row r="326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</row>
    <row r="326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</row>
    <row r="326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</row>
    <row r="3264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</row>
    <row r="326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</row>
    <row r="3266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</row>
    <row r="3267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</row>
    <row r="3268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</row>
    <row r="3269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</row>
    <row r="3270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</row>
    <row r="327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</row>
    <row r="327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</row>
    <row r="327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</row>
    <row r="3274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</row>
    <row r="327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</row>
    <row r="3276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</row>
    <row r="3277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</row>
    <row r="3278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</row>
    <row r="3279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</row>
    <row r="3280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</row>
    <row r="328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</row>
    <row r="328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</row>
    <row r="328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</row>
    <row r="3284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</row>
    <row r="328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</row>
    <row r="3286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</row>
    <row r="3287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</row>
    <row r="3288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</row>
    <row r="3289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</row>
    <row r="3290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</row>
    <row r="329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</row>
    <row r="329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</row>
    <row r="329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</row>
    <row r="3294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</row>
    <row r="329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</row>
    <row r="3296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</row>
    <row r="3297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</row>
    <row r="3298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</row>
    <row r="3299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</row>
    <row r="3300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</row>
    <row r="330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</row>
    <row r="330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</row>
    <row r="330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</row>
    <row r="3304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</row>
    <row r="330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</row>
    <row r="3306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</row>
    <row r="3307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</row>
    <row r="3308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</row>
    <row r="3309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</row>
    <row r="3310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</row>
    <row r="331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</row>
    <row r="331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</row>
    <row r="331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</row>
    <row r="3314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</row>
    <row r="331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</row>
    <row r="3316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</row>
    <row r="3317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</row>
    <row r="3318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</row>
    <row r="3319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</row>
    <row r="3320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</row>
    <row r="332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</row>
    <row r="332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</row>
    <row r="33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</row>
    <row r="3324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</row>
    <row r="33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</row>
    <row r="3326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</row>
    <row r="3327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</row>
    <row r="3328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</row>
    <row r="3329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</row>
    <row r="3330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</row>
    <row r="333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</row>
    <row r="333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</row>
    <row r="333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</row>
    <row r="3334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</row>
    <row r="33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</row>
    <row r="3336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</row>
    <row r="3337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</row>
    <row r="3338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</row>
    <row r="3339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</row>
    <row r="3340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</row>
    <row r="334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</row>
    <row r="334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</row>
    <row r="334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</row>
    <row r="3344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</row>
    <row r="334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</row>
    <row r="3346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</row>
    <row r="3347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</row>
    <row r="3348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</row>
    <row r="3349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</row>
    <row r="3350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</row>
    <row r="335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</row>
    <row r="335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</row>
    <row r="335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</row>
    <row r="3354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</row>
    <row r="335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</row>
    <row r="3356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</row>
    <row r="3357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</row>
    <row r="3358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</row>
    <row r="3359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</row>
    <row r="3360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</row>
    <row r="336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</row>
    <row r="336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</row>
    <row r="336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</row>
    <row r="3364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</row>
    <row r="336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</row>
    <row r="3366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</row>
    <row r="3367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</row>
    <row r="3368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</row>
    <row r="3369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</row>
    <row r="3370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</row>
    <row r="337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</row>
    <row r="337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</row>
    <row r="337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</row>
    <row r="3374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</row>
    <row r="337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</row>
    <row r="3376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</row>
    <row r="3377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</row>
    <row r="3378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</row>
    <row r="3379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</row>
    <row r="3380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</row>
    <row r="338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</row>
    <row r="338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</row>
    <row r="338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</row>
    <row r="3384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</row>
    <row r="338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</row>
    <row r="3386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</row>
    <row r="3387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</row>
    <row r="3388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</row>
    <row r="3389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</row>
    <row r="3390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</row>
    <row r="339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</row>
    <row r="339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</row>
    <row r="339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</row>
    <row r="3394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</row>
    <row r="339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</row>
    <row r="3396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</row>
    <row r="3397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</row>
    <row r="3398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</row>
    <row r="3399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</row>
    <row r="3400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</row>
    <row r="340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</row>
    <row r="340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</row>
    <row r="340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</row>
    <row r="3404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</row>
    <row r="340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</row>
    <row r="3406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</row>
    <row r="3407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</row>
    <row r="3408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</row>
    <row r="3409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</row>
    <row r="3410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</row>
    <row r="341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</row>
    <row r="341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</row>
    <row r="341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</row>
    <row r="3414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</row>
    <row r="341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</row>
    <row r="3416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</row>
    <row r="3417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</row>
    <row r="3418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</row>
    <row r="3419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</row>
    <row r="3420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</row>
    <row r="342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</row>
    <row r="342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</row>
    <row r="34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</row>
    <row r="3424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</row>
    <row r="34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</row>
    <row r="3426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</row>
    <row r="3427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</row>
    <row r="3428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</row>
    <row r="3429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</row>
    <row r="3430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</row>
    <row r="343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</row>
    <row r="343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</row>
    <row r="343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</row>
    <row r="3434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</row>
    <row r="34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</row>
    <row r="3436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</row>
    <row r="3437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</row>
    <row r="3438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</row>
    <row r="3439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</row>
    <row r="3440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</row>
    <row r="344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</row>
    <row r="344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</row>
    <row r="344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</row>
    <row r="3444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</row>
    <row r="344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</row>
    <row r="3446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</row>
    <row r="3447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</row>
    <row r="3448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</row>
    <row r="3449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</row>
    <row r="3450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</row>
    <row r="345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</row>
    <row r="345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</row>
    <row r="345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</row>
    <row r="3454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</row>
    <row r="345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</row>
    <row r="3456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</row>
    <row r="3457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</row>
    <row r="3458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</row>
    <row r="3459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</row>
    <row r="3460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</row>
    <row r="346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</row>
    <row r="346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</row>
    <row r="346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</row>
    <row r="3464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</row>
    <row r="346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</row>
    <row r="3466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</row>
    <row r="3467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</row>
    <row r="3468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</row>
    <row r="3469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</row>
    <row r="3470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</row>
    <row r="347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</row>
    <row r="347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</row>
    <row r="347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</row>
    <row r="3474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</row>
    <row r="347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</row>
    <row r="3476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</row>
    <row r="3477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</row>
    <row r="3478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</row>
    <row r="3479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</row>
    <row r="3480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</row>
    <row r="348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</row>
    <row r="348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</row>
    <row r="348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</row>
    <row r="3484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</row>
    <row r="348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</row>
    <row r="3486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</row>
    <row r="3487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</row>
    <row r="3488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</row>
    <row r="3489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</row>
    <row r="3490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</row>
    <row r="349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</row>
    <row r="349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</row>
    <row r="349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</row>
    <row r="3494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</row>
    <row r="349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</row>
    <row r="3496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</row>
    <row r="3497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</row>
    <row r="3498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</row>
    <row r="3499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</row>
    <row r="3500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</row>
    <row r="350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</row>
    <row r="350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</row>
    <row r="350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</row>
    <row r="3504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</row>
    <row r="350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</row>
    <row r="3506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</row>
    <row r="3507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</row>
    <row r="3508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</row>
    <row r="3509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</row>
    <row r="3510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</row>
    <row r="351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</row>
    <row r="351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</row>
    <row r="351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</row>
    <row r="3514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</row>
    <row r="351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</row>
    <row r="3516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</row>
    <row r="3517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</row>
    <row r="3518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</row>
    <row r="3519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</row>
    <row r="3520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</row>
    <row r="352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</row>
    <row r="352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</row>
    <row r="35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</row>
    <row r="3524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</row>
    <row r="35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</row>
    <row r="3526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</row>
    <row r="3527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</row>
    <row r="3528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</row>
    <row r="3529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</row>
    <row r="3530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</row>
    <row r="353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</row>
    <row r="353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</row>
    <row r="353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</row>
    <row r="3534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</row>
    <row r="35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</row>
    <row r="3536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</row>
    <row r="3537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</row>
    <row r="3538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</row>
    <row r="3539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</row>
    <row r="3540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</row>
    <row r="354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</row>
    <row r="354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</row>
    <row r="354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</row>
    <row r="3544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</row>
    <row r="354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</row>
    <row r="3546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</row>
    <row r="3547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</row>
    <row r="3548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</row>
    <row r="3549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</row>
    <row r="3550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</row>
    <row r="355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</row>
    <row r="355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</row>
    <row r="355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</row>
    <row r="3554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</row>
    <row r="355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</row>
    <row r="3556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</row>
    <row r="3557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</row>
    <row r="3558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</row>
    <row r="3559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</row>
    <row r="3560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</row>
    <row r="356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</row>
    <row r="356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</row>
    <row r="356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</row>
    <row r="3564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</row>
    <row r="356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</row>
    <row r="3566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</row>
    <row r="3567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</row>
    <row r="3568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</row>
    <row r="3569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</row>
    <row r="3570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</row>
    <row r="357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</row>
    <row r="357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</row>
    <row r="357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</row>
    <row r="3574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</row>
    <row r="357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</row>
    <row r="3576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</row>
    <row r="3577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</row>
    <row r="3578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</row>
    <row r="3579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</row>
    <row r="3580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</row>
    <row r="358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</row>
    <row r="358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</row>
    <row r="358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</row>
    <row r="3584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</row>
    <row r="358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</row>
    <row r="3586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</row>
    <row r="3587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</row>
    <row r="3588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</row>
    <row r="3589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</row>
    <row r="3590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</row>
    <row r="359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</row>
    <row r="359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</row>
    <row r="359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</row>
    <row r="3594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</row>
    <row r="359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</row>
    <row r="3596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</row>
    <row r="3597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</row>
    <row r="3598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</row>
    <row r="3599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</row>
    <row r="3600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</row>
    <row r="360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</row>
    <row r="360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</row>
    <row r="360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</row>
    <row r="3604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</row>
    <row r="360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</row>
    <row r="3606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</row>
    <row r="3607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</row>
    <row r="3608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</row>
    <row r="3609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</row>
    <row r="3610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</row>
    <row r="361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</row>
    <row r="361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</row>
    <row r="361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</row>
    <row r="3614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</row>
    <row r="361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</row>
    <row r="3616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</row>
    <row r="3617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</row>
    <row r="3618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</row>
    <row r="3619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</row>
    <row r="3620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</row>
    <row r="362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</row>
    <row r="362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</row>
    <row r="36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</row>
    <row r="3624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</row>
    <row r="36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</row>
    <row r="3626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</row>
    <row r="3627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</row>
    <row r="3628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</row>
    <row r="3629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</row>
    <row r="3630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</row>
    <row r="363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</row>
    <row r="363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</row>
    <row r="363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</row>
    <row r="3634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</row>
    <row r="36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</row>
    <row r="3636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</row>
    <row r="3637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</row>
    <row r="3638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</row>
    <row r="3639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</row>
    <row r="3640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</row>
    <row r="364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</row>
    <row r="364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</row>
    <row r="364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</row>
    <row r="3644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</row>
    <row r="364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</row>
    <row r="3646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</row>
    <row r="3647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</row>
    <row r="3648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</row>
    <row r="3649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</row>
    <row r="3650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</row>
    <row r="365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</row>
    <row r="365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</row>
    <row r="365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</row>
    <row r="3654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</row>
    <row r="365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</row>
    <row r="3656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</row>
    <row r="3657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</row>
    <row r="3658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</row>
    <row r="3659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</row>
    <row r="3660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</row>
    <row r="366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</row>
    <row r="366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</row>
    <row r="366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</row>
    <row r="3664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</row>
    <row r="366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</row>
    <row r="3666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</row>
    <row r="3667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</row>
    <row r="3668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</row>
    <row r="3669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</row>
    <row r="3670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</row>
    <row r="367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</row>
    <row r="367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</row>
    <row r="367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</row>
    <row r="3674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</row>
    <row r="367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</row>
    <row r="3676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</row>
    <row r="3677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</row>
    <row r="3678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</row>
    <row r="3679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</row>
    <row r="3680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</row>
    <row r="368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</row>
    <row r="368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</row>
    <row r="368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</row>
    <row r="3684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</row>
    <row r="368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</row>
    <row r="3686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</row>
    <row r="3687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</row>
    <row r="3688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</row>
    <row r="3689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</row>
    <row r="3690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</row>
    <row r="369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</row>
    <row r="369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</row>
    <row r="369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</row>
    <row r="3694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</row>
    <row r="369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</row>
    <row r="3696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</row>
    <row r="3697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</row>
    <row r="3698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</row>
    <row r="3699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</row>
    <row r="3700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</row>
    <row r="370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</row>
    <row r="370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</row>
    <row r="370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</row>
    <row r="3704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</row>
    <row r="370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</row>
    <row r="3706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</row>
    <row r="3707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</row>
    <row r="3708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</row>
    <row r="3709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</row>
    <row r="3710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</row>
    <row r="371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</row>
    <row r="371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</row>
    <row r="371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</row>
    <row r="3714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</row>
    <row r="371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</row>
    <row r="3716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</row>
    <row r="3717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</row>
    <row r="3718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</row>
    <row r="3719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</row>
    <row r="3720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</row>
    <row r="372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</row>
    <row r="372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</row>
    <row r="37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</row>
    <row r="3724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</row>
    <row r="37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</row>
    <row r="3726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</row>
    <row r="3727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</row>
    <row r="3728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</row>
    <row r="3729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</row>
    <row r="3730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</row>
    <row r="373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</row>
    <row r="373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</row>
    <row r="373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</row>
    <row r="3734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</row>
    <row r="37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</row>
    <row r="3736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</row>
    <row r="3737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</row>
    <row r="3738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</row>
    <row r="3739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</row>
    <row r="3740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</row>
    <row r="374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</row>
    <row r="374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</row>
    <row r="374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</row>
    <row r="3744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</row>
    <row r="374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</row>
    <row r="3746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</row>
    <row r="3747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</row>
    <row r="3748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</row>
    <row r="3749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</row>
    <row r="3750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</row>
    <row r="375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</row>
    <row r="375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</row>
    <row r="375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</row>
    <row r="3754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</row>
    <row r="375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</row>
    <row r="3756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</row>
    <row r="3757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</row>
    <row r="3758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</row>
    <row r="3759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</row>
    <row r="3760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</row>
    <row r="376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</row>
    <row r="376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</row>
    <row r="376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</row>
    <row r="3764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</row>
    <row r="376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</row>
    <row r="3766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</row>
    <row r="3767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</row>
    <row r="3768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</row>
    <row r="3769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</row>
    <row r="3770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</row>
    <row r="377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</row>
    <row r="377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</row>
    <row r="377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</row>
    <row r="3774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</row>
    <row r="377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</row>
    <row r="3776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</row>
    <row r="3777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</row>
    <row r="3778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</row>
    <row r="3779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</row>
    <row r="3780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</row>
    <row r="378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</row>
    <row r="378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</row>
    <row r="378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</row>
    <row r="3784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</row>
    <row r="378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</row>
    <row r="3786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</row>
    <row r="3787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</row>
    <row r="3788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</row>
    <row r="3789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</row>
    <row r="3790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</row>
    <row r="379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</row>
    <row r="379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</row>
    <row r="379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</row>
    <row r="3794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</row>
    <row r="379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</row>
    <row r="3796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</row>
    <row r="3797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</row>
    <row r="3798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</row>
    <row r="3799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</row>
    <row r="3800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</row>
    <row r="380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</row>
    <row r="380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</row>
    <row r="380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</row>
    <row r="3804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</row>
    <row r="380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</row>
    <row r="3806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</row>
    <row r="3807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</row>
    <row r="3808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</row>
    <row r="3809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</row>
    <row r="3810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</row>
    <row r="381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</row>
    <row r="381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</row>
    <row r="381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</row>
    <row r="3814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</row>
    <row r="381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</row>
    <row r="3816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</row>
    <row r="3817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</row>
    <row r="3818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</row>
    <row r="3819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</row>
    <row r="3820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</row>
    <row r="382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</row>
    <row r="382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</row>
    <row r="38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</row>
    <row r="3824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</row>
    <row r="38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</row>
    <row r="3826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</row>
    <row r="3827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</row>
    <row r="3828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</row>
    <row r="3829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</row>
    <row r="3830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</row>
    <row r="383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</row>
    <row r="383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</row>
    <row r="383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</row>
    <row r="3834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</row>
    <row r="383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</row>
    <row r="3836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</row>
    <row r="3837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</row>
    <row r="3838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</row>
    <row r="3839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</row>
    <row r="3840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</row>
    <row r="384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</row>
    <row r="384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</row>
    <row r="384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</row>
    <row r="3844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</row>
    <row r="384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</row>
    <row r="3846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</row>
    <row r="3847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</row>
    <row r="3848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</row>
    <row r="3849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</row>
    <row r="3850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</row>
    <row r="385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</row>
    <row r="385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</row>
    <row r="385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</row>
    <row r="3854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</row>
    <row r="385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</row>
    <row r="3856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</row>
    <row r="3857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</row>
    <row r="3858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</row>
    <row r="3859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</row>
    <row r="3860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</row>
    <row r="386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</row>
    <row r="386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</row>
    <row r="386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</row>
    <row r="3864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</row>
    <row r="386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</row>
    <row r="3866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</row>
    <row r="3867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</row>
    <row r="3868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</row>
    <row r="3869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</row>
    <row r="3870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</row>
    <row r="387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</row>
    <row r="387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</row>
    <row r="387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</row>
    <row r="3874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</row>
    <row r="387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</row>
    <row r="3876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</row>
    <row r="3877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</row>
    <row r="3878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</row>
    <row r="3879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</row>
    <row r="3880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</row>
    <row r="388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</row>
    <row r="388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</row>
    <row r="388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</row>
    <row r="3884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</row>
    <row r="388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</row>
    <row r="3886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</row>
    <row r="3887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</row>
    <row r="3888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</row>
    <row r="3889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</row>
    <row r="3890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</row>
    <row r="389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</row>
    <row r="389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</row>
    <row r="389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</row>
    <row r="3894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</row>
    <row r="389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</row>
    <row r="3896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</row>
    <row r="3897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</row>
    <row r="3898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</row>
    <row r="3899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</row>
    <row r="3900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</row>
    <row r="390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</row>
    <row r="390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</row>
    <row r="390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</row>
    <row r="3904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</row>
    <row r="390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</row>
    <row r="3906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</row>
    <row r="3907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</row>
    <row r="3908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</row>
    <row r="3909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</row>
    <row r="3910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</row>
    <row r="391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</row>
    <row r="391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</row>
    <row r="391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</row>
    <row r="3914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</row>
    <row r="391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</row>
    <row r="3916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</row>
    <row r="3917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</row>
    <row r="3918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</row>
    <row r="3919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</row>
    <row r="3920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</row>
    <row r="392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</row>
    <row r="392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</row>
    <row r="39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</row>
    <row r="3924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</row>
    <row r="39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</row>
    <row r="3926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</row>
    <row r="3927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</row>
    <row r="3928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</row>
    <row r="3929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</row>
    <row r="3930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</row>
    <row r="393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</row>
    <row r="393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</row>
    <row r="393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</row>
    <row r="3934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</row>
    <row r="393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</row>
    <row r="3936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</row>
    <row r="3937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</row>
    <row r="3938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</row>
    <row r="3939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</row>
    <row r="3940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</row>
    <row r="394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</row>
    <row r="394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</row>
    <row r="394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</row>
    <row r="3944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</row>
    <row r="394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</row>
    <row r="3946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</row>
    <row r="3947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</row>
    <row r="3948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</row>
    <row r="3949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</row>
    <row r="3950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</row>
    <row r="395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</row>
    <row r="395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</row>
    <row r="395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</row>
    <row r="3954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</row>
    <row r="395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</row>
    <row r="3956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</row>
    <row r="3957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</row>
    <row r="3958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</row>
    <row r="3959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</row>
    <row r="3960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</row>
    <row r="396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</row>
    <row r="396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</row>
    <row r="396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</row>
    <row r="3964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</row>
    <row r="396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</row>
    <row r="3966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</row>
    <row r="3967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</row>
    <row r="3968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</row>
    <row r="3969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</row>
    <row r="3970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</row>
    <row r="397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</row>
    <row r="397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</row>
    <row r="397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</row>
    <row r="3974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</row>
    <row r="397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</row>
    <row r="3976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</row>
    <row r="3977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</row>
    <row r="3978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</row>
    <row r="3979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</row>
    <row r="3980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</row>
    <row r="398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</row>
    <row r="398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</row>
    <row r="398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</row>
    <row r="3984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</row>
    <row r="398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</row>
    <row r="3986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</row>
    <row r="3987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</row>
    <row r="3988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</row>
    <row r="3989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</row>
    <row r="3990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</row>
    <row r="399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</row>
    <row r="399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</row>
    <row r="399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</row>
    <row r="3994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</row>
    <row r="399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</row>
    <row r="3996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</row>
    <row r="3997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</row>
    <row r="3998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</row>
    <row r="3999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</row>
    <row r="4000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</row>
    <row r="4001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</row>
    <row r="400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</row>
    <row r="400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</row>
    <row r="4004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</row>
    <row r="400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</row>
    <row r="4006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</row>
    <row r="4007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</row>
    <row r="4008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</row>
    <row r="4009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</row>
    <row r="4010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</row>
    <row r="401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</row>
    <row r="401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</row>
    <row r="401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</row>
    <row r="4014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</row>
    <row r="401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</row>
    <row r="4016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</row>
    <row r="4017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</row>
    <row r="4018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</row>
    <row r="4019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</row>
    <row r="4020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</row>
    <row r="402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</row>
    <row r="402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</row>
    <row r="40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</row>
    <row r="402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</row>
    <row r="40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</row>
    <row r="4026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</row>
    <row r="4027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</row>
    <row r="4028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</row>
    <row r="4029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</row>
    <row r="4030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</row>
    <row r="403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</row>
    <row r="403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</row>
    <row r="403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</row>
    <row r="403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</row>
    <row r="403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</row>
    <row r="4036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</row>
    <row r="4037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</row>
    <row r="4038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</row>
    <row r="4039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</row>
    <row r="4040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</row>
    <row r="404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</row>
    <row r="404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</row>
    <row r="404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</row>
    <row r="404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</row>
    <row r="404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</row>
    <row r="4046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</row>
    <row r="4047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</row>
    <row r="4048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</row>
    <row r="4049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</row>
    <row r="4050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</row>
    <row r="405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</row>
    <row r="405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</row>
    <row r="405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</row>
    <row r="405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</row>
    <row r="405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</row>
    <row r="4056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</row>
    <row r="4057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</row>
    <row r="4058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</row>
    <row r="4059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</row>
    <row r="4060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</row>
    <row r="4061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</row>
    <row r="406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</row>
    <row r="406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</row>
    <row r="406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</row>
    <row r="406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</row>
    <row r="4066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</row>
    <row r="4067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</row>
    <row r="4068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</row>
    <row r="4069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</row>
    <row r="4070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</row>
    <row r="407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</row>
    <row r="407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</row>
    <row r="407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</row>
    <row r="407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</row>
    <row r="407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</row>
    <row r="4076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</row>
    <row r="4077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</row>
    <row r="4078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</row>
    <row r="4079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</row>
    <row r="4080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</row>
    <row r="408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</row>
    <row r="408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</row>
    <row r="408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</row>
    <row r="408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</row>
    <row r="408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</row>
    <row r="4086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</row>
    <row r="4087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</row>
    <row r="4088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</row>
    <row r="4089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</row>
    <row r="4090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</row>
    <row r="409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</row>
    <row r="409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</row>
    <row r="409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</row>
    <row r="409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</row>
    <row r="409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</row>
    <row r="4096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</row>
    <row r="4097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</row>
    <row r="4098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</row>
    <row r="4099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</row>
    <row r="4100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</row>
    <row r="4101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</row>
    <row r="410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</row>
    <row r="410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</row>
    <row r="410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</row>
    <row r="410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</row>
    <row r="4106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</row>
    <row r="4107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</row>
    <row r="4108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</row>
    <row r="4109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</row>
    <row r="4110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</row>
    <row r="411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</row>
    <row r="411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</row>
    <row r="411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</row>
    <row r="411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</row>
    <row r="411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</row>
    <row r="4116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</row>
    <row r="4117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</row>
    <row r="4118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</row>
    <row r="4119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</row>
    <row r="4120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</row>
    <row r="4121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</row>
    <row r="412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</row>
    <row r="41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</row>
    <row r="412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</row>
    <row r="41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</row>
    <row r="4126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</row>
    <row r="4127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</row>
    <row r="4128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</row>
    <row r="4129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</row>
    <row r="4130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</row>
    <row r="4131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</row>
    <row r="413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</row>
    <row r="413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</row>
    <row r="413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</row>
    <row r="413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</row>
    <row r="4136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</row>
    <row r="4137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</row>
    <row r="4138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</row>
    <row r="4139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</row>
    <row r="4140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</row>
    <row r="4141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</row>
    <row r="414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</row>
    <row r="414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</row>
    <row r="414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</row>
    <row r="414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</row>
    <row r="4146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</row>
    <row r="4147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</row>
    <row r="4148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</row>
    <row r="4149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</row>
    <row r="4150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</row>
    <row r="415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</row>
    <row r="415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</row>
    <row r="415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</row>
    <row r="415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</row>
    <row r="415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</row>
    <row r="4156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</row>
    <row r="4157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</row>
    <row r="4158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</row>
    <row r="4159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</row>
    <row r="4160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</row>
    <row r="416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</row>
    <row r="416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</row>
    <row r="416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</row>
    <row r="416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</row>
    <row r="416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</row>
    <row r="4166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</row>
    <row r="4167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</row>
    <row r="4168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</row>
    <row r="4169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</row>
    <row r="4170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</row>
    <row r="4171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</row>
    <row r="417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</row>
    <row r="417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</row>
    <row r="417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</row>
    <row r="417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</row>
    <row r="4176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</row>
    <row r="4177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</row>
    <row r="4178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</row>
    <row r="4179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</row>
    <row r="4180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</row>
    <row r="4181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</row>
    <row r="418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</row>
    <row r="418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</row>
    <row r="418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</row>
    <row r="418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</row>
    <row r="4186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</row>
    <row r="4187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</row>
    <row r="4188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</row>
    <row r="4189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</row>
    <row r="4190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</row>
    <row r="4191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</row>
    <row r="419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</row>
    <row r="419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</row>
    <row r="419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</row>
    <row r="419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</row>
    <row r="4196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</row>
    <row r="4197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</row>
    <row r="4198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</row>
    <row r="4199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</row>
    <row r="4200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</row>
    <row r="420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</row>
    <row r="420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</row>
    <row r="420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</row>
    <row r="420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</row>
    <row r="420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</row>
    <row r="4206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</row>
    <row r="4207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</row>
    <row r="4208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</row>
    <row r="4209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</row>
    <row r="4210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</row>
    <row r="4211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</row>
    <row r="421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</row>
    <row r="421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</row>
    <row r="421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</row>
    <row r="421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</row>
    <row r="4216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</row>
    <row r="4217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</row>
    <row r="4218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</row>
    <row r="4219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</row>
    <row r="4220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</row>
    <row r="4221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</row>
    <row r="422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</row>
    <row r="42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</row>
    <row r="422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</row>
    <row r="42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</row>
    <row r="4226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</row>
    <row r="4227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</row>
    <row r="4228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</row>
    <row r="4229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</row>
    <row r="4230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</row>
    <row r="4231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</row>
    <row r="423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</row>
    <row r="423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</row>
    <row r="423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</row>
    <row r="423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</row>
    <row r="4236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</row>
    <row r="4237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</row>
    <row r="4238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</row>
    <row r="4239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</row>
    <row r="4240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</row>
    <row r="424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</row>
    <row r="424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</row>
    <row r="424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</row>
    <row r="424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</row>
    <row r="424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</row>
    <row r="4246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</row>
    <row r="4247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</row>
    <row r="4248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</row>
    <row r="4249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</row>
    <row r="425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</row>
    <row r="425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</row>
    <row r="425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</row>
    <row r="425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</row>
    <row r="425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</row>
    <row r="425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</row>
    <row r="4256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</row>
    <row r="4257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</row>
    <row r="4258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</row>
    <row r="4259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</row>
    <row r="4260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</row>
    <row r="426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</row>
    <row r="426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</row>
    <row r="426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</row>
    <row r="426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</row>
    <row r="426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</row>
    <row r="4266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</row>
    <row r="4267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</row>
    <row r="4268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</row>
    <row r="426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</row>
    <row r="4270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</row>
    <row r="4271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</row>
    <row r="427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</row>
    <row r="427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</row>
    <row r="427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</row>
    <row r="427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</row>
    <row r="4276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</row>
    <row r="4277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</row>
    <row r="4278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</row>
    <row r="427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</row>
    <row r="4280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</row>
    <row r="428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</row>
    <row r="428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</row>
    <row r="428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</row>
    <row r="428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</row>
    <row r="428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</row>
    <row r="4286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</row>
    <row r="4287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</row>
    <row r="4288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</row>
    <row r="4289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</row>
    <row r="4290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</row>
    <row r="429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</row>
    <row r="429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</row>
    <row r="429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</row>
    <row r="429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</row>
    <row r="429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</row>
    <row r="4296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</row>
    <row r="4297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</row>
    <row r="4298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</row>
    <row r="429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</row>
    <row r="4300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</row>
    <row r="430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</row>
    <row r="430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</row>
    <row r="430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</row>
    <row r="430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</row>
    <row r="430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</row>
    <row r="4306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</row>
    <row r="4307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</row>
    <row r="4308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</row>
    <row r="4309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</row>
    <row r="4310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</row>
    <row r="431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</row>
    <row r="431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</row>
    <row r="431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</row>
    <row r="431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</row>
    <row r="431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</row>
    <row r="4316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</row>
    <row r="4317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</row>
    <row r="4318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</row>
    <row r="4319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</row>
    <row r="4320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</row>
    <row r="432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</row>
    <row r="432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</row>
    <row r="43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</row>
    <row r="432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</row>
    <row r="43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</row>
    <row r="4326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</row>
    <row r="4327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</row>
    <row r="4328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</row>
    <row r="432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</row>
    <row r="4330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</row>
    <row r="433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</row>
    <row r="433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</row>
    <row r="433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</row>
    <row r="433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</row>
    <row r="433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</row>
    <row r="4336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</row>
    <row r="4337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</row>
    <row r="4338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</row>
    <row r="4339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</row>
    <row r="4340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</row>
    <row r="434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</row>
    <row r="434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</row>
    <row r="434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</row>
    <row r="434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</row>
    <row r="434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</row>
    <row r="4346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</row>
    <row r="4347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</row>
    <row r="4348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</row>
    <row r="4349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</row>
    <row r="4350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</row>
    <row r="435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</row>
    <row r="435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</row>
    <row r="435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</row>
    <row r="435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</row>
    <row r="435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</row>
    <row r="4356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</row>
    <row r="4357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</row>
    <row r="4358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</row>
    <row r="435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</row>
    <row r="4360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</row>
    <row r="436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</row>
    <row r="436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</row>
    <row r="436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</row>
    <row r="436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</row>
    <row r="436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</row>
    <row r="4366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</row>
    <row r="4367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</row>
    <row r="4368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</row>
    <row r="4369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</row>
    <row r="4370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</row>
    <row r="437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</row>
    <row r="437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</row>
    <row r="437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</row>
    <row r="437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</row>
    <row r="437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</row>
    <row r="4376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</row>
    <row r="4377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</row>
    <row r="4378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</row>
    <row r="437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</row>
    <row r="4380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</row>
    <row r="438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</row>
    <row r="438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</row>
    <row r="438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</row>
    <row r="438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</row>
    <row r="438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</row>
    <row r="4386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</row>
    <row r="4387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</row>
    <row r="4388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</row>
    <row r="4389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</row>
    <row r="4390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</row>
    <row r="439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</row>
    <row r="439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</row>
    <row r="439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</row>
    <row r="439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</row>
    <row r="439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</row>
    <row r="4396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</row>
    <row r="4397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</row>
    <row r="4398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</row>
    <row r="4399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</row>
    <row r="4400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</row>
    <row r="440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</row>
    <row r="440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</row>
    <row r="440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</row>
    <row r="440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</row>
    <row r="440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</row>
    <row r="4406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</row>
    <row r="4407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</row>
    <row r="4408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</row>
    <row r="4409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</row>
    <row r="4410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</row>
    <row r="441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</row>
    <row r="441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</row>
    <row r="441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</row>
    <row r="441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</row>
    <row r="441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</row>
    <row r="4416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</row>
    <row r="4417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</row>
    <row r="4418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</row>
    <row r="4419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</row>
    <row r="4420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</row>
    <row r="442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</row>
    <row r="442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</row>
    <row r="44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</row>
    <row r="442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</row>
    <row r="44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</row>
    <row r="4426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</row>
    <row r="4427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</row>
    <row r="4428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</row>
    <row r="4429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</row>
    <row r="4430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</row>
    <row r="443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</row>
    <row r="443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</row>
    <row r="443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</row>
    <row r="443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</row>
    <row r="443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</row>
    <row r="4436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</row>
    <row r="4437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</row>
    <row r="4438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</row>
    <row r="4439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</row>
    <row r="4440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</row>
    <row r="444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</row>
    <row r="444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</row>
    <row r="444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</row>
    <row r="444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</row>
    <row r="444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</row>
    <row r="4446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</row>
    <row r="4447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</row>
    <row r="4448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</row>
    <row r="4449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</row>
    <row r="4450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</row>
    <row r="445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</row>
    <row r="445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</row>
    <row r="445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</row>
    <row r="445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</row>
    <row r="445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</row>
    <row r="4456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</row>
    <row r="4457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</row>
    <row r="4458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</row>
    <row r="4459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</row>
    <row r="4460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</row>
    <row r="446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</row>
    <row r="446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</row>
    <row r="446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</row>
    <row r="446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</row>
    <row r="446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</row>
    <row r="4466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</row>
    <row r="4467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</row>
    <row r="4468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</row>
    <row r="4469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</row>
    <row r="4470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</row>
    <row r="447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</row>
    <row r="447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</row>
    <row r="447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</row>
    <row r="447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</row>
    <row r="447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</row>
    <row r="4476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</row>
    <row r="4477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</row>
    <row r="4478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</row>
    <row r="4479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</row>
    <row r="4480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</row>
    <row r="448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</row>
    <row r="448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</row>
    <row r="448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</row>
    <row r="448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</row>
    <row r="448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</row>
    <row r="4486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</row>
    <row r="4487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</row>
    <row r="4488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</row>
    <row r="4489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</row>
    <row r="4490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</row>
    <row r="449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</row>
    <row r="449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</row>
    <row r="449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</row>
    <row r="449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</row>
    <row r="449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</row>
    <row r="4496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</row>
    <row r="4497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</row>
    <row r="4498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</row>
    <row r="4499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</row>
    <row r="4500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</row>
    <row r="450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</row>
    <row r="450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</row>
    <row r="450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</row>
    <row r="450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</row>
    <row r="450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</row>
    <row r="4506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</row>
    <row r="4507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</row>
    <row r="4508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</row>
    <row r="4509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</row>
    <row r="4510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</row>
    <row r="451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</row>
    <row r="451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</row>
    <row r="451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</row>
    <row r="451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</row>
    <row r="451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</row>
    <row r="4516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</row>
    <row r="4517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</row>
    <row r="4518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</row>
    <row r="4519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</row>
    <row r="4520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</row>
    <row r="4521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</row>
    <row r="452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</row>
    <row r="45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</row>
    <row r="4524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</row>
    <row r="45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</row>
    <row r="4526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</row>
    <row r="4527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</row>
    <row r="4528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</row>
    <row r="4529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</row>
    <row r="4530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</row>
    <row r="4531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</row>
    <row r="453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</row>
    <row r="453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</row>
    <row r="4534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</row>
    <row r="453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</row>
    <row r="4536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</row>
    <row r="4537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</row>
    <row r="4538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</row>
    <row r="4539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</row>
    <row r="4540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</row>
    <row r="4541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</row>
    <row r="454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</row>
    <row r="454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</row>
    <row r="4544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</row>
    <row r="454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</row>
    <row r="4546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</row>
    <row r="4547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</row>
    <row r="4548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</row>
    <row r="4549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</row>
    <row r="4550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</row>
    <row r="4551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</row>
    <row r="455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</row>
    <row r="455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</row>
    <row r="4554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</row>
    <row r="455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</row>
    <row r="4556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</row>
    <row r="4557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</row>
    <row r="4558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</row>
    <row r="4559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</row>
    <row r="4560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</row>
    <row r="4561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</row>
    <row r="456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</row>
    <row r="456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</row>
    <row r="4564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</row>
    <row r="456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</row>
    <row r="4566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</row>
    <row r="4567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</row>
    <row r="4568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</row>
    <row r="4569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</row>
    <row r="4570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</row>
    <row r="4571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</row>
    <row r="457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</row>
    <row r="457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</row>
    <row r="4574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</row>
    <row r="457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</row>
    <row r="4576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</row>
    <row r="4577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</row>
    <row r="4578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</row>
    <row r="4579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</row>
    <row r="4580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</row>
    <row r="4581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</row>
    <row r="458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</row>
    <row r="458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</row>
    <row r="4584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</row>
    <row r="458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</row>
    <row r="4586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</row>
    <row r="4587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</row>
    <row r="4588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</row>
    <row r="4589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</row>
    <row r="4590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</row>
    <row r="4591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</row>
    <row r="459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</row>
    <row r="459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</row>
    <row r="4594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</row>
    <row r="459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</row>
    <row r="4596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</row>
    <row r="4597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</row>
    <row r="4598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</row>
    <row r="4599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</row>
    <row r="4600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</row>
    <row r="4601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</row>
    <row r="460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</row>
    <row r="460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</row>
    <row r="4604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</row>
    <row r="460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</row>
    <row r="4606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</row>
    <row r="4607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</row>
    <row r="4608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</row>
    <row r="4609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</row>
    <row r="4610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</row>
    <row r="4611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</row>
    <row r="461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</row>
    <row r="461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</row>
    <row r="4614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</row>
    <row r="461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</row>
    <row r="4616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</row>
    <row r="4617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</row>
    <row r="4618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</row>
    <row r="4619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</row>
    <row r="4620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</row>
    <row r="4621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</row>
    <row r="462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</row>
    <row r="46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</row>
    <row r="4624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</row>
    <row r="46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</row>
    <row r="4626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</row>
    <row r="4627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</row>
    <row r="4628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</row>
    <row r="4629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</row>
    <row r="4630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</row>
    <row r="4631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</row>
    <row r="463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</row>
    <row r="463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</row>
    <row r="4634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</row>
    <row r="463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</row>
    <row r="4636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</row>
    <row r="4637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</row>
    <row r="4638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</row>
    <row r="4639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</row>
    <row r="4640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</row>
    <row r="4641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</row>
    <row r="464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</row>
    <row r="464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</row>
    <row r="4644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</row>
    <row r="464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</row>
    <row r="4646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</row>
    <row r="4647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</row>
    <row r="4648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</row>
    <row r="4649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</row>
    <row r="4650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</row>
    <row r="4651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</row>
    <row r="465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</row>
    <row r="465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</row>
    <row r="4654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</row>
    <row r="465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</row>
    <row r="4656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</row>
    <row r="4657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</row>
    <row r="4658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</row>
    <row r="4659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</row>
    <row r="4660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</row>
    <row r="4661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</row>
    <row r="466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</row>
    <row r="466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</row>
    <row r="4664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</row>
    <row r="466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</row>
    <row r="4666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</row>
    <row r="4667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</row>
    <row r="4668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</row>
    <row r="4669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</row>
    <row r="4670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</row>
    <row r="4671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</row>
    <row r="467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</row>
    <row r="467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</row>
    <row r="4674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</row>
    <row r="467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</row>
    <row r="4676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</row>
    <row r="4677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</row>
    <row r="4678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</row>
    <row r="4679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</row>
    <row r="4680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</row>
    <row r="4681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</row>
    <row r="468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</row>
    <row r="468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</row>
    <row r="4684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</row>
    <row r="468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</row>
    <row r="4686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</row>
    <row r="4687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</row>
    <row r="4688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</row>
    <row r="4689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</row>
    <row r="4690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</row>
    <row r="4691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</row>
    <row r="469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</row>
    <row r="469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</row>
    <row r="4694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</row>
    <row r="4695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</row>
    <row r="4696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</row>
    <row r="4697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</row>
    <row r="4698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</row>
    <row r="4699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</row>
    <row r="4700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</row>
    <row r="4701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</row>
    <row r="470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</row>
    <row r="470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</row>
    <row r="4704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</row>
    <row r="4705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</row>
    <row r="4706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</row>
    <row r="4707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</row>
    <row r="4708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</row>
    <row r="4709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</row>
    <row r="4710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</row>
    <row r="4711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</row>
    <row r="471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</row>
    <row r="471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</row>
    <row r="4714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</row>
    <row r="4715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</row>
    <row r="4716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</row>
    <row r="4717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</row>
    <row r="4718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</row>
    <row r="4719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</row>
    <row r="4720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</row>
    <row r="4721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</row>
    <row r="472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</row>
    <row r="47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</row>
    <row r="4724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</row>
    <row r="4725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</row>
    <row r="4726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</row>
    <row r="4727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</row>
    <row r="4728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</row>
    <row r="4729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</row>
    <row r="4730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</row>
    <row r="4731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</row>
    <row r="473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</row>
    <row r="473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</row>
    <row r="4734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</row>
    <row r="4735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</row>
    <row r="4736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</row>
    <row r="4737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</row>
    <row r="4738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</row>
    <row r="4739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</row>
    <row r="4740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</row>
    <row r="4741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</row>
    <row r="474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</row>
    <row r="474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</row>
    <row r="4744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</row>
    <row r="4745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</row>
    <row r="4746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</row>
    <row r="4747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</row>
    <row r="4748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</row>
    <row r="4749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</row>
    <row r="4750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</row>
    <row r="4751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</row>
    <row r="475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</row>
    <row r="475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</row>
    <row r="4754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</row>
    <row r="4755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</row>
    <row r="4756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</row>
    <row r="4757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</row>
    <row r="4758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</row>
    <row r="4759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</row>
    <row r="4760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</row>
    <row r="4761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</row>
    <row r="476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</row>
    <row r="476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</row>
    <row r="4764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</row>
    <row r="4765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</row>
    <row r="4766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</row>
    <row r="4767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</row>
    <row r="4768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</row>
    <row r="4769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</row>
    <row r="4770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</row>
    <row r="4771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</row>
    <row r="477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</row>
    <row r="477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</row>
    <row r="4774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</row>
    <row r="4775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</row>
    <row r="4776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</row>
    <row r="4777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</row>
    <row r="4778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</row>
    <row r="4779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</row>
    <row r="4780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</row>
    <row r="4781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</row>
    <row r="478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</row>
    <row r="478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</row>
    <row r="4784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</row>
    <row r="4785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</row>
    <row r="4786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</row>
    <row r="4787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</row>
    <row r="4788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</row>
    <row r="4789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</row>
    <row r="4790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</row>
    <row r="4791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</row>
    <row r="479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</row>
    <row r="479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</row>
    <row r="4794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</row>
    <row r="4795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</row>
    <row r="4796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</row>
    <row r="4797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</row>
    <row r="4798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</row>
    <row r="4799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</row>
    <row r="4800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</row>
    <row r="4801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</row>
    <row r="480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</row>
    <row r="480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</row>
    <row r="4804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</row>
    <row r="4805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</row>
    <row r="4806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</row>
    <row r="4807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</row>
    <row r="4808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</row>
    <row r="4809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</row>
    <row r="4810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</row>
    <row r="4811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</row>
    <row r="481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</row>
    <row r="481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</row>
    <row r="4814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</row>
    <row r="4815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</row>
    <row r="4816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</row>
    <row r="4817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</row>
    <row r="4818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</row>
    <row r="4819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</row>
    <row r="4820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</row>
    <row r="4821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</row>
    <row r="482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</row>
    <row r="48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</row>
    <row r="4824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</row>
    <row r="4825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</row>
    <row r="4826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</row>
    <row r="4827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</row>
    <row r="4828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</row>
    <row r="4829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</row>
    <row r="4830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</row>
    <row r="4831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</row>
    <row r="483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</row>
    <row r="483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</row>
    <row r="4834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</row>
    <row r="4835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</row>
    <row r="4836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</row>
    <row r="4837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</row>
    <row r="4838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</row>
    <row r="4839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</row>
    <row r="4840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</row>
    <row r="4841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</row>
    <row r="484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</row>
    <row r="484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</row>
    <row r="4844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</row>
    <row r="4845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</row>
    <row r="4846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</row>
    <row r="4847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</row>
    <row r="4848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</row>
    <row r="4849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</row>
    <row r="4850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</row>
    <row r="4851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</row>
    <row r="485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</row>
    <row r="485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</row>
    <row r="4854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</row>
    <row r="4855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</row>
    <row r="4856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</row>
    <row r="4857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</row>
    <row r="4858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</row>
    <row r="4859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</row>
    <row r="4860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</row>
    <row r="486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</row>
    <row r="486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</row>
    <row r="486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</row>
    <row r="4864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</row>
    <row r="4865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</row>
    <row r="4866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</row>
    <row r="4867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</row>
    <row r="4868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</row>
    <row r="4869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</row>
    <row r="4870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</row>
    <row r="4871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</row>
    <row r="487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</row>
    <row r="487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</row>
    <row r="4874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</row>
    <row r="4875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</row>
    <row r="4876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</row>
    <row r="4877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</row>
    <row r="4878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</row>
    <row r="4879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</row>
    <row r="4880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</row>
    <row r="488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</row>
    <row r="488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</row>
    <row r="488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</row>
    <row r="4884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</row>
    <row r="4885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</row>
    <row r="4886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</row>
    <row r="4887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</row>
    <row r="4888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</row>
    <row r="4889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</row>
    <row r="4890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</row>
    <row r="4891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</row>
    <row r="489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</row>
    <row r="489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</row>
    <row r="4894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</row>
    <row r="4895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</row>
    <row r="4896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</row>
    <row r="4897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</row>
    <row r="4898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</row>
    <row r="4899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</row>
    <row r="4900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</row>
    <row r="4901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</row>
    <row r="490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</row>
    <row r="490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</row>
    <row r="4904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</row>
    <row r="4905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</row>
    <row r="4906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</row>
    <row r="4907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</row>
    <row r="4908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</row>
    <row r="4909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</row>
    <row r="4910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</row>
    <row r="4911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</row>
    <row r="491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</row>
    <row r="491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</row>
    <row r="4914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</row>
    <row r="4915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</row>
    <row r="4916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</row>
    <row r="4917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</row>
    <row r="4918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</row>
    <row r="4919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</row>
    <row r="4920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</row>
    <row r="4921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</row>
    <row r="492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</row>
    <row r="49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</row>
    <row r="4924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</row>
    <row r="4925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</row>
    <row r="4926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</row>
    <row r="4927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</row>
    <row r="4928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</row>
    <row r="4929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</row>
    <row r="4930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</row>
    <row r="4931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</row>
    <row r="493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</row>
    <row r="493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</row>
    <row r="4934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</row>
    <row r="4935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</row>
    <row r="4936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</row>
    <row r="4937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</row>
    <row r="4938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</row>
    <row r="4939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</row>
    <row r="4940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</row>
    <row r="4941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</row>
    <row r="494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</row>
    <row r="494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</row>
    <row r="4944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</row>
    <row r="4945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</row>
    <row r="4946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</row>
    <row r="4947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</row>
    <row r="4948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</row>
    <row r="4949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</row>
    <row r="4950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</row>
    <row r="4951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</row>
    <row r="495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</row>
    <row r="495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</row>
    <row r="4954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</row>
    <row r="4955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</row>
    <row r="4956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</row>
    <row r="4957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</row>
    <row r="4958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</row>
    <row r="4959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</row>
    <row r="4960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</row>
    <row r="4961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</row>
    <row r="496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</row>
    <row r="496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</row>
    <row r="4964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</row>
    <row r="4965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</row>
    <row r="4966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</row>
    <row r="4967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</row>
    <row r="4968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</row>
    <row r="4969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</row>
    <row r="4970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</row>
    <row r="4971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</row>
    <row r="497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</row>
    <row r="497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</row>
    <row r="4974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</row>
    <row r="4975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</row>
    <row r="4976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</row>
    <row r="4977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</row>
    <row r="4978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</row>
    <row r="4979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</row>
    <row r="4980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</row>
    <row r="4981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</row>
    <row r="498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</row>
    <row r="498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</row>
    <row r="4984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</row>
    <row r="4985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</row>
    <row r="4986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</row>
    <row r="4987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</row>
    <row r="4988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</row>
    <row r="4989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</row>
    <row r="4990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</row>
    <row r="4991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</row>
    <row r="499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</row>
    <row r="499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</row>
    <row r="4994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</row>
    <row r="4995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</row>
    <row r="4996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</row>
    <row r="4997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</row>
    <row r="4998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</row>
    <row r="4999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</row>
    <row r="5000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</row>
    <row r="5001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</row>
    <row r="500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</row>
    <row r="500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</row>
    <row r="5004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</row>
    <row r="5005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</row>
    <row r="5006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</row>
    <row r="5007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</row>
    <row r="5008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</row>
    <row r="5009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</row>
    <row r="5010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</row>
    <row r="5011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</row>
    <row r="501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</row>
    <row r="501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</row>
    <row r="5014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</row>
    <row r="5015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</row>
    <row r="5016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</row>
    <row r="5017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</row>
    <row r="5018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</row>
    <row r="5019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</row>
    <row r="5020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</row>
    <row r="5021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</row>
    <row r="502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</row>
    <row r="50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</row>
    <row r="5024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</row>
    <row r="5025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</row>
    <row r="5026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</row>
    <row r="5027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</row>
    <row r="5028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</row>
    <row r="5029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</row>
    <row r="5030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</row>
    <row r="5031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</row>
    <row r="503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</row>
    <row r="503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</row>
    <row r="5034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</row>
    <row r="5035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</row>
    <row r="5036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</row>
    <row r="5037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</row>
    <row r="5038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</row>
    <row r="5039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</row>
    <row r="5040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</row>
    <row r="504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</row>
    <row r="504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</row>
    <row r="504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</row>
    <row r="5044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</row>
    <row r="5045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</row>
    <row r="5046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</row>
    <row r="5047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</row>
    <row r="5048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</row>
    <row r="5049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</row>
    <row r="5050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</row>
    <row r="5051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</row>
    <row r="505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</row>
    <row r="505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</row>
    <row r="5054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</row>
    <row r="5055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</row>
    <row r="5056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</row>
    <row r="5057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</row>
    <row r="5058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</row>
    <row r="5059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</row>
    <row r="5060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</row>
    <row r="5061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</row>
    <row r="506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</row>
    <row r="506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</row>
    <row r="5064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</row>
    <row r="5065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</row>
    <row r="5066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</row>
    <row r="5067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</row>
    <row r="5068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</row>
    <row r="5069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</row>
    <row r="5070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</row>
    <row r="5071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</row>
    <row r="507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</row>
    <row r="507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</row>
    <row r="5074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</row>
    <row r="5075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</row>
    <row r="5076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</row>
    <row r="5077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</row>
    <row r="5078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</row>
    <row r="5079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</row>
    <row r="5080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</row>
    <row r="5081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</row>
    <row r="508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</row>
    <row r="508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</row>
    <row r="5084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</row>
    <row r="5085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</row>
    <row r="5086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</row>
    <row r="5087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</row>
    <row r="5088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</row>
    <row r="5089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</row>
    <row r="5090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</row>
    <row r="5091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</row>
    <row r="509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</row>
    <row r="509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</row>
    <row r="5094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</row>
    <row r="5095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</row>
    <row r="5096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</row>
    <row r="5097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</row>
    <row r="5098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</row>
    <row r="5099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</row>
    <row r="5100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</row>
    <row r="5101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</row>
    <row r="510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</row>
    <row r="510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</row>
    <row r="5104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</row>
    <row r="5105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</row>
    <row r="5106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</row>
    <row r="5107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</row>
    <row r="5108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</row>
    <row r="5109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</row>
    <row r="5110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</row>
    <row r="5111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</row>
    <row r="511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</row>
    <row r="511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</row>
    <row r="5114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</row>
    <row r="5115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</row>
    <row r="5116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</row>
    <row r="5117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</row>
    <row r="5118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</row>
    <row r="5119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</row>
    <row r="5120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</row>
    <row r="5121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</row>
    <row r="512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</row>
    <row r="51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</row>
    <row r="5124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</row>
    <row r="5125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</row>
    <row r="5126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</row>
    <row r="5127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</row>
    <row r="5128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</row>
    <row r="5129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</row>
    <row r="5130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</row>
    <row r="5131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</row>
    <row r="513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</row>
    <row r="513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</row>
    <row r="5134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</row>
    <row r="5135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</row>
    <row r="5136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</row>
    <row r="5137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</row>
    <row r="5138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</row>
    <row r="5139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</row>
    <row r="5140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</row>
    <row r="5141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</row>
    <row r="514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</row>
    <row r="514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</row>
    <row r="5144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</row>
    <row r="5145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</row>
    <row r="5146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</row>
    <row r="5147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</row>
    <row r="5148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</row>
    <row r="5149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</row>
    <row r="5150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</row>
    <row r="5151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</row>
    <row r="515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</row>
    <row r="515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</row>
    <row r="5154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</row>
    <row r="5155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</row>
    <row r="5156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</row>
    <row r="5157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</row>
    <row r="5158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</row>
    <row r="5159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</row>
    <row r="5160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</row>
    <row r="5161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</row>
    <row r="516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</row>
    <row r="516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</row>
    <row r="5164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</row>
    <row r="5165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</row>
    <row r="5166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</row>
    <row r="5167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</row>
    <row r="5168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</row>
    <row r="5169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</row>
    <row r="5170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</row>
    <row r="5171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</row>
    <row r="517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</row>
    <row r="517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</row>
    <row r="5174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</row>
    <row r="5175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</row>
    <row r="5176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</row>
    <row r="5177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</row>
    <row r="5178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</row>
    <row r="5179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</row>
    <row r="5180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</row>
    <row r="518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</row>
    <row r="518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</row>
    <row r="518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</row>
    <row r="5184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</row>
    <row r="5185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</row>
    <row r="5186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</row>
    <row r="5187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</row>
    <row r="5188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</row>
    <row r="5189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</row>
    <row r="5190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</row>
    <row r="5191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</row>
    <row r="519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</row>
    <row r="519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</row>
    <row r="5194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</row>
    <row r="5195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</row>
    <row r="5196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</row>
    <row r="5197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</row>
    <row r="5198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</row>
    <row r="5199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</row>
    <row r="5200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</row>
    <row r="5201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</row>
    <row r="520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</row>
    <row r="520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</row>
    <row r="5204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</row>
    <row r="5205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</row>
    <row r="5206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</row>
    <row r="5207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</row>
    <row r="5208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</row>
    <row r="5209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</row>
    <row r="5210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</row>
    <row r="5211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</row>
    <row r="521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</row>
    <row r="521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</row>
    <row r="5214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</row>
    <row r="5215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</row>
    <row r="5216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</row>
    <row r="5217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</row>
    <row r="5218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</row>
    <row r="5219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</row>
    <row r="5220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</row>
    <row r="5221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</row>
    <row r="522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</row>
    <row r="52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</row>
    <row r="5224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</row>
    <row r="5225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</row>
    <row r="5226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</row>
    <row r="5227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</row>
    <row r="5228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</row>
    <row r="5229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</row>
    <row r="5230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</row>
    <row r="5231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</row>
    <row r="523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</row>
    <row r="523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</row>
    <row r="5234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</row>
    <row r="5235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</row>
    <row r="5236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</row>
    <row r="5237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</row>
    <row r="5238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</row>
    <row r="5239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</row>
    <row r="5240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</row>
    <row r="5241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</row>
    <row r="524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</row>
    <row r="524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</row>
    <row r="5244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</row>
    <row r="5245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</row>
    <row r="5246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</row>
    <row r="5247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</row>
    <row r="5248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</row>
    <row r="5249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</row>
    <row r="5250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</row>
    <row r="5251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</row>
    <row r="525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</row>
    <row r="525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</row>
    <row r="5254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</row>
    <row r="5255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</row>
    <row r="5256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</row>
    <row r="5257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</row>
    <row r="5258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</row>
    <row r="5259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</row>
    <row r="5260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</row>
    <row r="5261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</row>
    <row r="526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</row>
    <row r="526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</row>
    <row r="5264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</row>
    <row r="5265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</row>
    <row r="5266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</row>
    <row r="5267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</row>
    <row r="5268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</row>
    <row r="5269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</row>
    <row r="5270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</row>
    <row r="5271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</row>
    <row r="527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</row>
    <row r="527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</row>
    <row r="5274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</row>
    <row r="5275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</row>
    <row r="5276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</row>
    <row r="5277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</row>
    <row r="5278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</row>
    <row r="5279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</row>
    <row r="5280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</row>
    <row r="5281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</row>
    <row r="528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</row>
    <row r="528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</row>
    <row r="5284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</row>
    <row r="5285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</row>
    <row r="5286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</row>
    <row r="5287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</row>
    <row r="5288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</row>
    <row r="5289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</row>
    <row r="5290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</row>
    <row r="5291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</row>
    <row r="529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</row>
    <row r="529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</row>
    <row r="5294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</row>
    <row r="5295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</row>
    <row r="5296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</row>
    <row r="5297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</row>
    <row r="5298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</row>
    <row r="5299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</row>
    <row r="5300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</row>
    <row r="5301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</row>
    <row r="530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</row>
    <row r="530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</row>
    <row r="5304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</row>
    <row r="5305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</row>
    <row r="5306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</row>
    <row r="5307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</row>
    <row r="5308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</row>
    <row r="5309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</row>
    <row r="5310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</row>
    <row r="5311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</row>
    <row r="531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</row>
    <row r="531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</row>
    <row r="5314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</row>
    <row r="5315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</row>
    <row r="5316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</row>
    <row r="5317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</row>
    <row r="5318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</row>
    <row r="5319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</row>
    <row r="5320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</row>
    <row r="5321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</row>
    <row r="532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</row>
    <row r="53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</row>
    <row r="5324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</row>
    <row r="5325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</row>
    <row r="5326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</row>
    <row r="5327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</row>
    <row r="5328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</row>
    <row r="5329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</row>
    <row r="5330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</row>
    <row r="5331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</row>
    <row r="533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</row>
    <row r="533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</row>
    <row r="5334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</row>
    <row r="5335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</row>
    <row r="5336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</row>
    <row r="5337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</row>
    <row r="5338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</row>
    <row r="5339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</row>
    <row r="5340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</row>
    <row r="5341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</row>
    <row r="534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</row>
    <row r="534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</row>
    <row r="5344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</row>
    <row r="5345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</row>
    <row r="5346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</row>
    <row r="5347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</row>
    <row r="5348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</row>
    <row r="5349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</row>
    <row r="5350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</row>
    <row r="5351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</row>
    <row r="535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</row>
    <row r="535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</row>
    <row r="5354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</row>
    <row r="5355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</row>
    <row r="5356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</row>
    <row r="5357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</row>
    <row r="5358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</row>
    <row r="5359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</row>
    <row r="5360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</row>
    <row r="5361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</row>
    <row r="536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</row>
    <row r="536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</row>
    <row r="5364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</row>
    <row r="5365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</row>
    <row r="5366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</row>
    <row r="5367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</row>
    <row r="5368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</row>
    <row r="5369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</row>
    <row r="5370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</row>
    <row r="5371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</row>
    <row r="537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</row>
    <row r="537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</row>
    <row r="5374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</row>
    <row r="5375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</row>
    <row r="5376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</row>
    <row r="5377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</row>
    <row r="5378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</row>
    <row r="5379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</row>
    <row r="5380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</row>
    <row r="5381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</row>
    <row r="538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</row>
    <row r="538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</row>
    <row r="5384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</row>
    <row r="5385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</row>
    <row r="5386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</row>
    <row r="5387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</row>
    <row r="5388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</row>
    <row r="5389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</row>
    <row r="5390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</row>
    <row r="5391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</row>
    <row r="539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</row>
    <row r="539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</row>
    <row r="5394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</row>
    <row r="5395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</row>
    <row r="5396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</row>
    <row r="5397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</row>
    <row r="5398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</row>
    <row r="5399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</row>
    <row r="5400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</row>
    <row r="5401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</row>
    <row r="540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</row>
    <row r="540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</row>
    <row r="5404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</row>
    <row r="5405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</row>
    <row r="5406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</row>
    <row r="5407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</row>
    <row r="5408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</row>
    <row r="5409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</row>
    <row r="5410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</row>
    <row r="5411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</row>
    <row r="541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</row>
    <row r="541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</row>
    <row r="5414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</row>
    <row r="5415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</row>
    <row r="5416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</row>
    <row r="5417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</row>
    <row r="5418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</row>
    <row r="5419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</row>
    <row r="5420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</row>
    <row r="5421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</row>
    <row r="542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</row>
    <row r="54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</row>
    <row r="5424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</row>
    <row r="5425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</row>
    <row r="5426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</row>
    <row r="5427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</row>
    <row r="5428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</row>
    <row r="5429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</row>
    <row r="5430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</row>
    <row r="5431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</row>
    <row r="543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</row>
    <row r="543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</row>
    <row r="5434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</row>
    <row r="5435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</row>
    <row r="5436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</row>
    <row r="5437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</row>
    <row r="5438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</row>
    <row r="5439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</row>
    <row r="5440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</row>
    <row r="5441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</row>
    <row r="544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</row>
    <row r="544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</row>
    <row r="5444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</row>
    <row r="5445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</row>
    <row r="5446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</row>
    <row r="5447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</row>
    <row r="5448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</row>
    <row r="5449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</row>
    <row r="5450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</row>
    <row r="5451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</row>
    <row r="545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</row>
    <row r="545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</row>
    <row r="5454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</row>
    <row r="5455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</row>
    <row r="5456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</row>
    <row r="5457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</row>
    <row r="5458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</row>
    <row r="5459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</row>
    <row r="5460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</row>
    <row r="5461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</row>
    <row r="546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</row>
    <row r="546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</row>
    <row r="5464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</row>
    <row r="5465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</row>
    <row r="5466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</row>
    <row r="5467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</row>
    <row r="5468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</row>
    <row r="5469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</row>
    <row r="5470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</row>
    <row r="5471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</row>
    <row r="547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</row>
    <row r="547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</row>
    <row r="5474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</row>
    <row r="5475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</row>
    <row r="5476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</row>
    <row r="5477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</row>
    <row r="5478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</row>
    <row r="5479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</row>
    <row r="5480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</row>
    <row r="5481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</row>
    <row r="548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</row>
    <row r="548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</row>
    <row r="5484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</row>
    <row r="5485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</row>
    <row r="5486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</row>
    <row r="5487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</row>
    <row r="5488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</row>
    <row r="5489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</row>
    <row r="5490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</row>
    <row r="5491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</row>
    <row r="549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</row>
    <row r="549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</row>
    <row r="5494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</row>
    <row r="5495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</row>
    <row r="5496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</row>
    <row r="5497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</row>
    <row r="5498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</row>
    <row r="5499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</row>
    <row r="5500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</row>
    <row r="5501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</row>
    <row r="550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</row>
    <row r="550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</row>
    <row r="5504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</row>
    <row r="5505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</row>
    <row r="5506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</row>
    <row r="5507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</row>
    <row r="5508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</row>
    <row r="5509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</row>
    <row r="5510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</row>
    <row r="5511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</row>
    <row r="551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</row>
    <row r="551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</row>
    <row r="5514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</row>
    <row r="5515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</row>
    <row r="5516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</row>
    <row r="5517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</row>
    <row r="5518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</row>
    <row r="5519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</row>
    <row r="5520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</row>
    <row r="5521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</row>
    <row r="552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</row>
    <row r="55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</row>
    <row r="5524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</row>
    <row r="5525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</row>
    <row r="5526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</row>
    <row r="5527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</row>
    <row r="5528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</row>
    <row r="5529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</row>
    <row r="5530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</row>
    <row r="5531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</row>
    <row r="553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</row>
    <row r="553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</row>
    <row r="5534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</row>
    <row r="5535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</row>
    <row r="5536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</row>
    <row r="5537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</row>
    <row r="5538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</row>
    <row r="5539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</row>
    <row r="5540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</row>
    <row r="5541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</row>
    <row r="554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</row>
    <row r="554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</row>
    <row r="5544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</row>
    <row r="5545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</row>
    <row r="5546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</row>
    <row r="5547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</row>
    <row r="5548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</row>
    <row r="5549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</row>
    <row r="5550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</row>
    <row r="5551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</row>
    <row r="555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</row>
    <row r="555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</row>
    <row r="5554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</row>
    <row r="5555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</row>
    <row r="5556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</row>
    <row r="5557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</row>
    <row r="5558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</row>
    <row r="5559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</row>
    <row r="5560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</row>
    <row r="5561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</row>
    <row r="556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</row>
    <row r="556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</row>
    <row r="5564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</row>
    <row r="5565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</row>
    <row r="5566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</row>
    <row r="5567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</row>
    <row r="5568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</row>
    <row r="5569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</row>
    <row r="5570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</row>
    <row r="5571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</row>
    <row r="557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</row>
    <row r="557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</row>
    <row r="5574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</row>
    <row r="5575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</row>
    <row r="5576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</row>
    <row r="5577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</row>
    <row r="5578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</row>
    <row r="5579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</row>
    <row r="5580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</row>
    <row r="5581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</row>
    <row r="558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</row>
    <row r="558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</row>
    <row r="5584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</row>
    <row r="5585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</row>
    <row r="5586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</row>
    <row r="5587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</row>
    <row r="5588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</row>
    <row r="5589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</row>
    <row r="5590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</row>
    <row r="5591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</row>
    <row r="559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</row>
    <row r="559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</row>
    <row r="5594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</row>
    <row r="5595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</row>
    <row r="5596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</row>
    <row r="5597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</row>
    <row r="5598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</row>
    <row r="5599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</row>
    <row r="5600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</row>
    <row r="5601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</row>
    <row r="560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</row>
    <row r="560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</row>
    <row r="5604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</row>
    <row r="5605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</row>
    <row r="5606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</row>
    <row r="5607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</row>
    <row r="5608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</row>
    <row r="5609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</row>
    <row r="5610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</row>
    <row r="5611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</row>
    <row r="561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</row>
    <row r="561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</row>
    <row r="5614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</row>
    <row r="5615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</row>
    <row r="5616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</row>
    <row r="5617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</row>
    <row r="5618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</row>
    <row r="5619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</row>
    <row r="5620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</row>
    <row r="5621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</row>
    <row r="562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</row>
    <row r="56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</row>
    <row r="5624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</row>
    <row r="5625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</row>
    <row r="5626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</row>
    <row r="5627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</row>
    <row r="5628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</row>
    <row r="5629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</row>
    <row r="5630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</row>
    <row r="563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</row>
    <row r="563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</row>
    <row r="563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</row>
    <row r="5634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</row>
    <row r="5635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</row>
    <row r="5636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</row>
    <row r="5637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</row>
    <row r="5638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</row>
    <row r="5639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</row>
    <row r="5640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</row>
    <row r="5641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</row>
    <row r="564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</row>
    <row r="564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</row>
    <row r="5644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</row>
    <row r="5645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</row>
    <row r="5646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</row>
    <row r="5647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</row>
    <row r="5648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</row>
    <row r="5649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</row>
    <row r="5650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</row>
    <row r="565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</row>
    <row r="565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</row>
    <row r="565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</row>
    <row r="5654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</row>
    <row r="5655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</row>
    <row r="5656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</row>
    <row r="5657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</row>
    <row r="5658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</row>
    <row r="5659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</row>
    <row r="5660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</row>
    <row r="566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</row>
    <row r="566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</row>
    <row r="566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</row>
    <row r="5664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</row>
    <row r="5665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</row>
    <row r="5666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</row>
    <row r="5667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</row>
    <row r="5668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</row>
    <row r="5669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</row>
    <row r="5670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</row>
    <row r="5671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</row>
    <row r="567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</row>
    <row r="567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</row>
    <row r="5674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</row>
    <row r="5675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</row>
    <row r="5676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</row>
    <row r="5677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</row>
    <row r="5678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</row>
    <row r="5679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</row>
    <row r="5680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</row>
    <row r="5681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</row>
    <row r="568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</row>
    <row r="568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</row>
    <row r="5684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</row>
    <row r="5685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</row>
    <row r="5686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</row>
    <row r="5687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</row>
    <row r="5688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</row>
    <row r="5689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</row>
    <row r="5690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</row>
    <row r="569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</row>
    <row r="569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</row>
    <row r="569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</row>
    <row r="5694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</row>
    <row r="5695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</row>
    <row r="5696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</row>
    <row r="5697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</row>
    <row r="5698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</row>
    <row r="5699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</row>
    <row r="5700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</row>
    <row r="570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</row>
    <row r="570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</row>
    <row r="570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</row>
    <row r="5704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</row>
    <row r="5705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</row>
    <row r="5706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</row>
    <row r="5707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</row>
    <row r="5708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</row>
    <row r="5709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</row>
    <row r="5710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</row>
    <row r="571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</row>
    <row r="571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</row>
    <row r="571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</row>
    <row r="5714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</row>
    <row r="5715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</row>
    <row r="5716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</row>
    <row r="5717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</row>
    <row r="5718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</row>
    <row r="5719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</row>
    <row r="5720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</row>
    <row r="572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</row>
    <row r="572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</row>
    <row r="57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</row>
    <row r="5724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</row>
    <row r="5725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</row>
    <row r="5726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</row>
    <row r="5727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</row>
    <row r="5728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</row>
    <row r="5729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</row>
    <row r="5730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</row>
    <row r="573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</row>
    <row r="573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</row>
    <row r="573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</row>
    <row r="5734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</row>
    <row r="5735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</row>
    <row r="5736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</row>
    <row r="5737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</row>
    <row r="5738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</row>
    <row r="5739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</row>
    <row r="5740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</row>
    <row r="574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</row>
    <row r="574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</row>
    <row r="574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</row>
    <row r="5744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</row>
    <row r="5745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</row>
    <row r="5746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</row>
    <row r="5747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</row>
    <row r="5748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</row>
    <row r="5749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</row>
    <row r="5750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</row>
    <row r="575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</row>
    <row r="575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</row>
    <row r="575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</row>
    <row r="5754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</row>
    <row r="5755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</row>
    <row r="5756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</row>
    <row r="5757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</row>
    <row r="5758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</row>
    <row r="5759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</row>
    <row r="5760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</row>
    <row r="576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</row>
    <row r="576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</row>
    <row r="576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</row>
    <row r="5764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</row>
    <row r="5765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</row>
    <row r="5766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</row>
    <row r="5767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</row>
    <row r="5768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</row>
    <row r="5769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</row>
    <row r="5770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</row>
    <row r="577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</row>
    <row r="577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</row>
    <row r="577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</row>
    <row r="5774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</row>
    <row r="5775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</row>
    <row r="5776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</row>
    <row r="5777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</row>
    <row r="5778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</row>
    <row r="5779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</row>
    <row r="5780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</row>
    <row r="578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</row>
    <row r="578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</row>
    <row r="578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</row>
    <row r="5784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</row>
    <row r="5785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</row>
    <row r="5786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</row>
    <row r="5787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</row>
    <row r="5788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</row>
    <row r="5789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</row>
    <row r="5790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</row>
    <row r="579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</row>
    <row r="579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</row>
    <row r="579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</row>
    <row r="5794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</row>
    <row r="5795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</row>
    <row r="5796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</row>
    <row r="5797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</row>
    <row r="5798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</row>
    <row r="5799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</row>
    <row r="5800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</row>
    <row r="580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</row>
    <row r="580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</row>
    <row r="580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</row>
    <row r="5804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</row>
    <row r="5805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</row>
    <row r="5806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</row>
    <row r="5807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</row>
    <row r="5808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</row>
    <row r="5809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</row>
    <row r="5810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</row>
    <row r="581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</row>
    <row r="581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</row>
    <row r="581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</row>
    <row r="5814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</row>
    <row r="5815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</row>
    <row r="5816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</row>
    <row r="5817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</row>
    <row r="5818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</row>
    <row r="5819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</row>
    <row r="5820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</row>
    <row r="582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</row>
    <row r="582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</row>
    <row r="58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</row>
    <row r="5824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</row>
    <row r="5825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</row>
    <row r="5826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</row>
    <row r="5827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</row>
    <row r="5828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</row>
    <row r="5829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</row>
    <row r="5830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</row>
    <row r="583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</row>
    <row r="583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</row>
    <row r="583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</row>
    <row r="5834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</row>
    <row r="5835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</row>
    <row r="5836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</row>
    <row r="5837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</row>
    <row r="5838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</row>
    <row r="5839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</row>
    <row r="5840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</row>
    <row r="584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</row>
    <row r="584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</row>
    <row r="584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</row>
    <row r="5844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</row>
    <row r="5845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</row>
    <row r="5846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</row>
    <row r="5847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</row>
    <row r="5848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</row>
    <row r="5849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</row>
    <row r="5850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</row>
    <row r="585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</row>
    <row r="585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</row>
    <row r="585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</row>
    <row r="5854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</row>
    <row r="5855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</row>
    <row r="5856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</row>
    <row r="5857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</row>
    <row r="5858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</row>
    <row r="5859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</row>
    <row r="5860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</row>
    <row r="586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</row>
    <row r="586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</row>
    <row r="586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</row>
    <row r="5864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</row>
    <row r="5865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</row>
    <row r="5866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</row>
    <row r="5867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</row>
    <row r="5868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</row>
    <row r="5869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</row>
    <row r="5870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</row>
    <row r="587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</row>
    <row r="587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</row>
    <row r="587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</row>
    <row r="5874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</row>
    <row r="5875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</row>
    <row r="5876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</row>
    <row r="5877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</row>
    <row r="5878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</row>
    <row r="5879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</row>
    <row r="5880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</row>
    <row r="588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</row>
    <row r="588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</row>
    <row r="588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</row>
    <row r="5884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</row>
    <row r="5885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</row>
    <row r="5886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</row>
    <row r="5887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</row>
    <row r="5888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</row>
    <row r="5889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</row>
    <row r="5890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</row>
    <row r="589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</row>
    <row r="589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</row>
    <row r="589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</row>
    <row r="5894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</row>
    <row r="5895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</row>
    <row r="5896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</row>
    <row r="5897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</row>
    <row r="5898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</row>
    <row r="5899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</row>
    <row r="5900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</row>
    <row r="590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</row>
    <row r="590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</row>
    <row r="590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</row>
    <row r="5904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</row>
    <row r="5905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</row>
    <row r="5906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</row>
    <row r="5907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</row>
    <row r="5908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</row>
    <row r="5909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</row>
    <row r="5910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</row>
    <row r="591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</row>
    <row r="591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</row>
    <row r="591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</row>
    <row r="5914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</row>
    <row r="5915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</row>
    <row r="5916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</row>
    <row r="5917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</row>
    <row r="5918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</row>
    <row r="5919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</row>
    <row r="5920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</row>
    <row r="592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</row>
    <row r="592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</row>
    <row r="59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</row>
    <row r="5924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</row>
    <row r="5925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</row>
    <row r="5926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</row>
    <row r="5927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</row>
    <row r="5928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</row>
    <row r="5929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</row>
    <row r="5930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</row>
    <row r="5931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</row>
    <row r="593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</row>
    <row r="593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</row>
    <row r="5934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</row>
    <row r="5935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</row>
    <row r="5936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</row>
    <row r="5937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</row>
    <row r="5938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</row>
    <row r="5939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</row>
    <row r="5940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</row>
    <row r="5941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</row>
    <row r="594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</row>
    <row r="594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</row>
    <row r="5944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</row>
    <row r="5945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</row>
    <row r="5946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</row>
    <row r="5947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</row>
    <row r="5948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</row>
    <row r="5949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</row>
    <row r="5950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</row>
    <row r="5951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</row>
    <row r="595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</row>
    <row r="595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</row>
    <row r="5954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</row>
    <row r="5955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</row>
    <row r="5956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</row>
    <row r="5957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</row>
    <row r="5958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</row>
    <row r="5959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</row>
    <row r="5960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</row>
    <row r="596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</row>
    <row r="596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</row>
    <row r="596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</row>
    <row r="5964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</row>
    <row r="5965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</row>
    <row r="5966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</row>
    <row r="5967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</row>
    <row r="5968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</row>
    <row r="5969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</row>
    <row r="5970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</row>
    <row r="597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</row>
    <row r="597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</row>
    <row r="597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</row>
    <row r="5974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</row>
    <row r="5975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</row>
    <row r="5976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</row>
    <row r="5977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</row>
    <row r="5978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</row>
    <row r="5979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</row>
    <row r="5980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</row>
    <row r="5981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</row>
    <row r="598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</row>
    <row r="598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</row>
    <row r="5984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</row>
    <row r="5985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</row>
    <row r="5986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</row>
    <row r="5987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</row>
    <row r="5988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</row>
    <row r="5989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</row>
    <row r="5990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</row>
    <row r="5991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</row>
    <row r="599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</row>
    <row r="599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</row>
    <row r="5994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</row>
    <row r="5995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</row>
    <row r="5996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</row>
    <row r="5997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</row>
    <row r="5998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</row>
    <row r="5999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</row>
    <row r="6000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</row>
    <row r="6001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</row>
    <row r="600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</row>
    <row r="600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</row>
    <row r="6004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</row>
    <row r="6005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</row>
    <row r="6006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</row>
    <row r="6007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</row>
    <row r="6008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</row>
    <row r="6009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</row>
    <row r="6010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</row>
    <row r="6011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</row>
    <row r="601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</row>
    <row r="601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</row>
    <row r="6014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</row>
    <row r="6015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</row>
    <row r="6016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</row>
    <row r="6017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</row>
    <row r="6018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</row>
    <row r="6019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</row>
    <row r="6020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</row>
    <row r="602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</row>
    <row r="602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</row>
    <row r="60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</row>
    <row r="6024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</row>
    <row r="6025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</row>
    <row r="6026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</row>
    <row r="6027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</row>
    <row r="6028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</row>
    <row r="6029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</row>
    <row r="6030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</row>
    <row r="6031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</row>
    <row r="603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</row>
    <row r="603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</row>
    <row r="6034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</row>
    <row r="6035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</row>
    <row r="6036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</row>
    <row r="6037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</row>
    <row r="6038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</row>
    <row r="6039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</row>
    <row r="6040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</row>
    <row r="604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</row>
    <row r="604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</row>
    <row r="604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</row>
    <row r="6044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</row>
    <row r="6045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</row>
    <row r="6046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</row>
    <row r="6047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</row>
    <row r="6048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</row>
    <row r="6049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</row>
    <row r="6050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</row>
    <row r="6051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</row>
    <row r="605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</row>
    <row r="605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</row>
    <row r="6054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</row>
    <row r="6055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</row>
    <row r="6056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</row>
    <row r="6057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</row>
    <row r="6058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</row>
    <row r="6059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</row>
    <row r="6060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</row>
    <row r="6061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</row>
    <row r="606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</row>
    <row r="606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</row>
    <row r="6064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</row>
    <row r="6065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</row>
    <row r="6066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</row>
    <row r="6067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</row>
    <row r="6068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</row>
    <row r="6069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</row>
    <row r="6070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</row>
    <row r="6071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</row>
    <row r="607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</row>
    <row r="607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</row>
    <row r="6074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</row>
    <row r="6075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</row>
    <row r="6076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</row>
    <row r="6077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</row>
    <row r="6078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</row>
    <row r="6079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</row>
    <row r="6080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</row>
    <row r="6081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</row>
    <row r="608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</row>
    <row r="608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</row>
    <row r="6084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</row>
    <row r="6085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</row>
    <row r="6086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</row>
    <row r="6087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</row>
    <row r="6088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</row>
    <row r="6089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</row>
    <row r="6090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</row>
    <row r="6091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</row>
    <row r="609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</row>
    <row r="609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</row>
    <row r="6094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</row>
    <row r="6095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</row>
    <row r="6096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</row>
    <row r="6097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</row>
    <row r="6098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</row>
    <row r="6099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</row>
    <row r="6100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</row>
    <row r="6101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</row>
    <row r="610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</row>
    <row r="610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</row>
    <row r="6104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</row>
    <row r="6105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</row>
    <row r="6106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</row>
    <row r="6107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</row>
    <row r="6108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</row>
    <row r="6109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</row>
    <row r="6110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</row>
    <row r="6111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</row>
    <row r="611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</row>
    <row r="611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</row>
    <row r="6114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</row>
    <row r="6115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</row>
    <row r="6116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</row>
    <row r="6117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</row>
    <row r="6118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</row>
    <row r="6119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</row>
    <row r="6120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</row>
    <row r="6121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</row>
    <row r="612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</row>
    <row r="61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</row>
    <row r="6124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</row>
    <row r="6125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</row>
    <row r="6126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</row>
    <row r="6127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</row>
    <row r="6128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</row>
    <row r="6129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</row>
    <row r="6130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</row>
    <row r="6131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</row>
    <row r="613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</row>
    <row r="613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</row>
    <row r="6134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</row>
    <row r="6135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</row>
    <row r="6136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</row>
    <row r="6137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</row>
    <row r="6138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</row>
    <row r="6139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</row>
    <row r="6140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</row>
    <row r="614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</row>
    <row r="614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</row>
    <row r="614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</row>
    <row r="6144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</row>
    <row r="6145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</row>
    <row r="6146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</row>
    <row r="6147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</row>
    <row r="6148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</row>
    <row r="6149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</row>
    <row r="6150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</row>
    <row r="6151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</row>
    <row r="615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</row>
    <row r="615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</row>
    <row r="6154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</row>
    <row r="6155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</row>
    <row r="6156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</row>
    <row r="6157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</row>
    <row r="6158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</row>
    <row r="6159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</row>
    <row r="6160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</row>
    <row r="6161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</row>
    <row r="616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</row>
    <row r="616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</row>
    <row r="6164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</row>
    <row r="6165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</row>
    <row r="6166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</row>
    <row r="6167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</row>
    <row r="6168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</row>
    <row r="6169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</row>
    <row r="6170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</row>
    <row r="6171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</row>
    <row r="617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</row>
    <row r="617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</row>
    <row r="6174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</row>
    <row r="6175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</row>
    <row r="6176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</row>
    <row r="6177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</row>
    <row r="6178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</row>
    <row r="6179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</row>
    <row r="6180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</row>
    <row r="6181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</row>
    <row r="618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</row>
    <row r="618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</row>
    <row r="6184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</row>
    <row r="6185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</row>
    <row r="6186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</row>
    <row r="6187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</row>
    <row r="6188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</row>
    <row r="6189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</row>
    <row r="6190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</row>
    <row r="6191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</row>
    <row r="619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</row>
    <row r="619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</row>
    <row r="6194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</row>
    <row r="6195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</row>
    <row r="6196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</row>
    <row r="6197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</row>
    <row r="6198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</row>
    <row r="6199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</row>
    <row r="6200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</row>
    <row r="6201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</row>
    <row r="620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</row>
    <row r="620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</row>
    <row r="6204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</row>
    <row r="6205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</row>
    <row r="6206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</row>
    <row r="6207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</row>
    <row r="6208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</row>
    <row r="6209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</row>
    <row r="6210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</row>
    <row r="6211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</row>
    <row r="621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</row>
    <row r="621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</row>
    <row r="6214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</row>
    <row r="6215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</row>
    <row r="6216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</row>
    <row r="6217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</row>
    <row r="6218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</row>
    <row r="6219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</row>
    <row r="6220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</row>
    <row r="6221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</row>
    <row r="622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</row>
    <row r="62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</row>
    <row r="6224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</row>
    <row r="6225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</row>
    <row r="6226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</row>
    <row r="6227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</row>
    <row r="6228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</row>
    <row r="6229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</row>
    <row r="6230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</row>
    <row r="6231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</row>
    <row r="623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</row>
    <row r="623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</row>
    <row r="6234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</row>
    <row r="6235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</row>
    <row r="6236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</row>
    <row r="6237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</row>
    <row r="6238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</row>
    <row r="6239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</row>
    <row r="6240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</row>
    <row r="6241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</row>
    <row r="624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</row>
    <row r="624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</row>
    <row r="6244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</row>
    <row r="6245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</row>
    <row r="6246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</row>
    <row r="6247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</row>
    <row r="6248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</row>
    <row r="6249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</row>
    <row r="6250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</row>
    <row r="6251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</row>
    <row r="625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</row>
    <row r="625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</row>
    <row r="6254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</row>
    <row r="6255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</row>
    <row r="6256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</row>
    <row r="6257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</row>
    <row r="6258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</row>
    <row r="6259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</row>
    <row r="6260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</row>
    <row r="6261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</row>
    <row r="626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</row>
    <row r="626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</row>
    <row r="6264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</row>
    <row r="6265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</row>
    <row r="6266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</row>
    <row r="6267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</row>
    <row r="6268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</row>
    <row r="6269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</row>
    <row r="6270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</row>
    <row r="6271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</row>
    <row r="627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</row>
    <row r="627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</row>
    <row r="6274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</row>
    <row r="6275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</row>
    <row r="6276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</row>
    <row r="6277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</row>
    <row r="6278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</row>
    <row r="6279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</row>
    <row r="6280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</row>
    <row r="6281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</row>
    <row r="628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</row>
    <row r="628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</row>
    <row r="6284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</row>
    <row r="6285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</row>
    <row r="6286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</row>
    <row r="6287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</row>
    <row r="6288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</row>
    <row r="6289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</row>
    <row r="6290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</row>
    <row r="6291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</row>
    <row r="629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</row>
    <row r="629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</row>
    <row r="6294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</row>
    <row r="6295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</row>
    <row r="6296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</row>
    <row r="6297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</row>
    <row r="6298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</row>
    <row r="6299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</row>
    <row r="6300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</row>
    <row r="6301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</row>
    <row r="630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</row>
    <row r="630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</row>
    <row r="6304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</row>
    <row r="6305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</row>
    <row r="6306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</row>
    <row r="6307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</row>
    <row r="6308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</row>
    <row r="6309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</row>
    <row r="6310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</row>
    <row r="6311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</row>
    <row r="631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</row>
    <row r="631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</row>
    <row r="6314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</row>
    <row r="6315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</row>
    <row r="6316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</row>
    <row r="6317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</row>
    <row r="6318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</row>
    <row r="6319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</row>
    <row r="6320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</row>
    <row r="6321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</row>
    <row r="632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</row>
    <row r="63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</row>
    <row r="6324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</row>
    <row r="6325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</row>
    <row r="6326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</row>
    <row r="6327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</row>
    <row r="6328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</row>
    <row r="6329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</row>
    <row r="6330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</row>
    <row r="6331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</row>
    <row r="633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</row>
    <row r="633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</row>
    <row r="6334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</row>
    <row r="6335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</row>
    <row r="6336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</row>
    <row r="6337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</row>
    <row r="6338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</row>
    <row r="6339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</row>
    <row r="6340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</row>
    <row r="6341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</row>
    <row r="634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</row>
    <row r="634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</row>
    <row r="6344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</row>
    <row r="6345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</row>
    <row r="6346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</row>
    <row r="6347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</row>
    <row r="6348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</row>
    <row r="6349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</row>
    <row r="6350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</row>
    <row r="6351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</row>
    <row r="635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</row>
    <row r="635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</row>
    <row r="6354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</row>
    <row r="6355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</row>
    <row r="6356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</row>
    <row r="6357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</row>
    <row r="6358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</row>
    <row r="6359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</row>
    <row r="6360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</row>
    <row r="6361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</row>
    <row r="636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</row>
    <row r="636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</row>
    <row r="6364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</row>
    <row r="6365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</row>
    <row r="6366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</row>
    <row r="6367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</row>
    <row r="6368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</row>
    <row r="6369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</row>
    <row r="6370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</row>
    <row r="6371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</row>
    <row r="637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</row>
    <row r="637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</row>
    <row r="6374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</row>
    <row r="6375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</row>
    <row r="6376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</row>
    <row r="6377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</row>
    <row r="6378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</row>
    <row r="6379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</row>
    <row r="6380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</row>
    <row r="6381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</row>
    <row r="638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</row>
    <row r="638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</row>
    <row r="6384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</row>
    <row r="6385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</row>
    <row r="6386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</row>
    <row r="6387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</row>
    <row r="6388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</row>
    <row r="6389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</row>
    <row r="6390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</row>
    <row r="6391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</row>
    <row r="639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</row>
    <row r="639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</row>
    <row r="6394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</row>
    <row r="6395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</row>
    <row r="6396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</row>
    <row r="6397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</row>
    <row r="6398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</row>
    <row r="6399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</row>
    <row r="6400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</row>
    <row r="6401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</row>
    <row r="640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</row>
    <row r="640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</row>
    <row r="6404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</row>
    <row r="6405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</row>
    <row r="6406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</row>
    <row r="6407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</row>
    <row r="6408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</row>
    <row r="6409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</row>
    <row r="6410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</row>
    <row r="6411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</row>
    <row r="641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</row>
    <row r="641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</row>
    <row r="6414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</row>
    <row r="6415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</row>
    <row r="6416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</row>
    <row r="6417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</row>
    <row r="6418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</row>
    <row r="6419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</row>
    <row r="6420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</row>
    <row r="6421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</row>
    <row r="642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</row>
    <row r="64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</row>
    <row r="6424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</row>
    <row r="6425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</row>
    <row r="6426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</row>
    <row r="6427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</row>
    <row r="6428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</row>
    <row r="6429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</row>
    <row r="6430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</row>
    <row r="6431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</row>
    <row r="643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</row>
    <row r="643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</row>
    <row r="6434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</row>
    <row r="6435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</row>
    <row r="6436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</row>
    <row r="6437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</row>
    <row r="6438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</row>
    <row r="6439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</row>
    <row r="6440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</row>
    <row r="6441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</row>
    <row r="644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</row>
    <row r="644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</row>
    <row r="6444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</row>
    <row r="6445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</row>
    <row r="6446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</row>
    <row r="6447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</row>
    <row r="6448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</row>
    <row r="6449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</row>
    <row r="6450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</row>
    <row r="6451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</row>
    <row r="645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</row>
    <row r="645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</row>
    <row r="6454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</row>
    <row r="6455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</row>
    <row r="6456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</row>
    <row r="6457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</row>
    <row r="6458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</row>
    <row r="6459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</row>
    <row r="6460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</row>
    <row r="6461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</row>
    <row r="646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</row>
    <row r="646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</row>
    <row r="6464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</row>
    <row r="6465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</row>
    <row r="6466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</row>
    <row r="6467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</row>
    <row r="6468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</row>
    <row r="6469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</row>
    <row r="6470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</row>
    <row r="6471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</row>
    <row r="647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</row>
    <row r="647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</row>
    <row r="6474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</row>
    <row r="6475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</row>
    <row r="6476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</row>
    <row r="6477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</row>
    <row r="6478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</row>
    <row r="6479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</row>
    <row r="6480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</row>
    <row r="6481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</row>
    <row r="648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</row>
    <row r="648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</row>
    <row r="6484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</row>
    <row r="6485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</row>
    <row r="6486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</row>
    <row r="6487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</row>
    <row r="6488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</row>
    <row r="6489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</row>
    <row r="6490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</row>
    <row r="6491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</row>
    <row r="649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</row>
    <row r="649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</row>
    <row r="6494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</row>
    <row r="6495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</row>
    <row r="6496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</row>
    <row r="6497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</row>
    <row r="6498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</row>
    <row r="6499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</row>
    <row r="6500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</row>
    <row r="6501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</row>
    <row r="650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</row>
    <row r="650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</row>
    <row r="6504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</row>
    <row r="6505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</row>
    <row r="6506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</row>
    <row r="6507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</row>
    <row r="6508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</row>
    <row r="6509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</row>
    <row r="6510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</row>
    <row r="6511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</row>
    <row r="651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</row>
    <row r="651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</row>
    <row r="6514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</row>
    <row r="6515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</row>
    <row r="6516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</row>
    <row r="6517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</row>
    <row r="6518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</row>
    <row r="6519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</row>
    <row r="6520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</row>
    <row r="6521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</row>
    <row r="652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</row>
    <row r="65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</row>
    <row r="6524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</row>
    <row r="6525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</row>
    <row r="6526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</row>
    <row r="6527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</row>
    <row r="6528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</row>
    <row r="6529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</row>
    <row r="6530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</row>
    <row r="6531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</row>
    <row r="653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</row>
    <row r="653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</row>
    <row r="6534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</row>
    <row r="6535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</row>
    <row r="6536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</row>
    <row r="6537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</row>
    <row r="6538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</row>
    <row r="6539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</row>
    <row r="6540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</row>
    <row r="6541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</row>
    <row r="654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</row>
    <row r="654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</row>
    <row r="6544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</row>
    <row r="6545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</row>
    <row r="6546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</row>
    <row r="6547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</row>
    <row r="6548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</row>
    <row r="6549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</row>
    <row r="6550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</row>
    <row r="6551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</row>
    <row r="655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</row>
    <row r="655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</row>
    <row r="6554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</row>
    <row r="6555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</row>
    <row r="6556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</row>
    <row r="6557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</row>
    <row r="6558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</row>
    <row r="6559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</row>
    <row r="6560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</row>
    <row r="6561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</row>
    <row r="656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</row>
    <row r="656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</row>
    <row r="6564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</row>
    <row r="6565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</row>
    <row r="6566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</row>
    <row r="6567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</row>
    <row r="6568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</row>
    <row r="6569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</row>
    <row r="6570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</row>
    <row r="6571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</row>
    <row r="657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</row>
    <row r="657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</row>
    <row r="6574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</row>
    <row r="6575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</row>
    <row r="6576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</row>
    <row r="6577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</row>
    <row r="6578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</row>
    <row r="6579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</row>
    <row r="6580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</row>
    <row r="6581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</row>
    <row r="658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</row>
    <row r="658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</row>
    <row r="6584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</row>
    <row r="6585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</row>
    <row r="6586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</row>
    <row r="6587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</row>
    <row r="6588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</row>
    <row r="6589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</row>
    <row r="6590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</row>
    <row r="6591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</row>
    <row r="659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</row>
    <row r="659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</row>
    <row r="6594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</row>
    <row r="6595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</row>
    <row r="6596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</row>
    <row r="6597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</row>
    <row r="6598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</row>
    <row r="6599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</row>
    <row r="6600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</row>
    <row r="6601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</row>
    <row r="660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</row>
    <row r="660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</row>
    <row r="6604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</row>
    <row r="6605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</row>
    <row r="6606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</row>
    <row r="6607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</row>
    <row r="6608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</row>
    <row r="6609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</row>
    <row r="6610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</row>
    <row r="6611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</row>
    <row r="661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</row>
    <row r="661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</row>
    <row r="6614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</row>
    <row r="6615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</row>
    <row r="6616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</row>
    <row r="6617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</row>
    <row r="6618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</row>
    <row r="6619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</row>
    <row r="6620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</row>
    <row r="6621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</row>
    <row r="662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</row>
    <row r="66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</row>
    <row r="6624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</row>
    <row r="6625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</row>
    <row r="6626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</row>
    <row r="6627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</row>
    <row r="6628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</row>
    <row r="6629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</row>
    <row r="6630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</row>
    <row r="6631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</row>
    <row r="663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</row>
    <row r="663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</row>
    <row r="6634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</row>
    <row r="6635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</row>
    <row r="6636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</row>
    <row r="6637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</row>
    <row r="6638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</row>
    <row r="6639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</row>
    <row r="6640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</row>
    <row r="6641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</row>
    <row r="664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</row>
    <row r="664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</row>
    <row r="6644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</row>
    <row r="6645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</row>
    <row r="6646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</row>
    <row r="6647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</row>
    <row r="6648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</row>
    <row r="6649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</row>
    <row r="6650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</row>
    <row r="6651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</row>
    <row r="665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</row>
    <row r="665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</row>
    <row r="6654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</row>
    <row r="6655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</row>
    <row r="6656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</row>
    <row r="6657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</row>
    <row r="6658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</row>
    <row r="6659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</row>
    <row r="6660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</row>
    <row r="6661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</row>
    <row r="666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</row>
    <row r="666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</row>
    <row r="6664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</row>
    <row r="6665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</row>
    <row r="6666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</row>
    <row r="6667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</row>
    <row r="6668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</row>
    <row r="6669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</row>
    <row r="6670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</row>
    <row r="6671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</row>
    <row r="667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</row>
    <row r="667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</row>
    <row r="6674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</row>
    <row r="6675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</row>
    <row r="6676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</row>
    <row r="6677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</row>
    <row r="6678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</row>
    <row r="6679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</row>
    <row r="6680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</row>
    <row r="6681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</row>
    <row r="668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</row>
    <row r="668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</row>
    <row r="6684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</row>
    <row r="6685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</row>
    <row r="6686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</row>
    <row r="6687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</row>
    <row r="6688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</row>
    <row r="6689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</row>
    <row r="6690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</row>
    <row r="6691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</row>
    <row r="669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</row>
    <row r="669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</row>
    <row r="6694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</row>
    <row r="6695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</row>
    <row r="6696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</row>
    <row r="6697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</row>
    <row r="6698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</row>
    <row r="6699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</row>
    <row r="6700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</row>
    <row r="6701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</row>
    <row r="670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</row>
    <row r="670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</row>
    <row r="6704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</row>
    <row r="6705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</row>
    <row r="6706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</row>
    <row r="6707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</row>
    <row r="6708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</row>
    <row r="6709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</row>
    <row r="6710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</row>
    <row r="6711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</row>
    <row r="671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</row>
    <row r="671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</row>
    <row r="6714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</row>
    <row r="6715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</row>
    <row r="6716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</row>
    <row r="6717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</row>
    <row r="6718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</row>
    <row r="6719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</row>
    <row r="6720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</row>
    <row r="6721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</row>
    <row r="672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</row>
    <row r="67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</row>
    <row r="6724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</row>
    <row r="6725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</row>
    <row r="6726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</row>
    <row r="6727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</row>
    <row r="6728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</row>
    <row r="6729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</row>
    <row r="6730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</row>
    <row r="6731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</row>
    <row r="673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</row>
    <row r="673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</row>
    <row r="6734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</row>
    <row r="6735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</row>
    <row r="6736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</row>
    <row r="6737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</row>
    <row r="6738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</row>
    <row r="6739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</row>
    <row r="6740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</row>
    <row r="6741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</row>
    <row r="674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</row>
    <row r="674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</row>
    <row r="6744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</row>
    <row r="6745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</row>
    <row r="6746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</row>
    <row r="6747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</row>
    <row r="6748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</row>
    <row r="6749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</row>
    <row r="6750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</row>
    <row r="6751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</row>
    <row r="675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</row>
    <row r="675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</row>
    <row r="6754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</row>
    <row r="6755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</row>
    <row r="6756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</row>
    <row r="6757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</row>
    <row r="6758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</row>
    <row r="6759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</row>
    <row r="6760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</row>
    <row r="6761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</row>
    <row r="676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</row>
    <row r="676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</row>
    <row r="6764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</row>
    <row r="6765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</row>
    <row r="6766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</row>
    <row r="6767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</row>
    <row r="6768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</row>
    <row r="6769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</row>
    <row r="6770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</row>
    <row r="6771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</row>
    <row r="677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</row>
    <row r="677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</row>
    <row r="6774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</row>
    <row r="6775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</row>
    <row r="6776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</row>
    <row r="6777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</row>
    <row r="6778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</row>
    <row r="6779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</row>
    <row r="6780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</row>
    <row r="6781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</row>
    <row r="678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</row>
    <row r="678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</row>
    <row r="6784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</row>
    <row r="6785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</row>
    <row r="6786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</row>
    <row r="6787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</row>
    <row r="6788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</row>
    <row r="6789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</row>
    <row r="6790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</row>
    <row r="6791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</row>
    <row r="679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</row>
    <row r="679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</row>
    <row r="6794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</row>
    <row r="6795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</row>
    <row r="6796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</row>
    <row r="6797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</row>
    <row r="6798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</row>
    <row r="6799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</row>
    <row r="6800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</row>
    <row r="6801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</row>
    <row r="680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</row>
    <row r="680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</row>
    <row r="6804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</row>
    <row r="6805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</row>
    <row r="6806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</row>
    <row r="6807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</row>
    <row r="6808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</row>
    <row r="6809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</row>
    <row r="6810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</row>
    <row r="6811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</row>
    <row r="681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</row>
    <row r="681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</row>
    <row r="6814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</row>
    <row r="6815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</row>
    <row r="6816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</row>
    <row r="6817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</row>
    <row r="6818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</row>
    <row r="6819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</row>
    <row r="6820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</row>
    <row r="6821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</row>
    <row r="682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</row>
    <row r="68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</row>
    <row r="6824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</row>
    <row r="6825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</row>
    <row r="6826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</row>
    <row r="6827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</row>
    <row r="6828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</row>
    <row r="6829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</row>
    <row r="6830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</row>
    <row r="6831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</row>
    <row r="683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</row>
    <row r="683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</row>
    <row r="6834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</row>
    <row r="6835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</row>
    <row r="6836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</row>
    <row r="6837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</row>
    <row r="6838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</row>
    <row r="6839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</row>
    <row r="6840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</row>
    <row r="6841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</row>
    <row r="684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</row>
    <row r="684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</row>
    <row r="6844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</row>
    <row r="6845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</row>
    <row r="6846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</row>
    <row r="6847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</row>
    <row r="6848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</row>
    <row r="6849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</row>
    <row r="6850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</row>
    <row r="6851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</row>
    <row r="685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</row>
    <row r="685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</row>
    <row r="6854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</row>
    <row r="6855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</row>
    <row r="6856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</row>
    <row r="6857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</row>
    <row r="6858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</row>
    <row r="6859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</row>
    <row r="6860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</row>
    <row r="6861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</row>
    <row r="686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</row>
    <row r="686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</row>
    <row r="6864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</row>
    <row r="6865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</row>
    <row r="6866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</row>
    <row r="6867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</row>
    <row r="6868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</row>
    <row r="6869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</row>
    <row r="6870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</row>
    <row r="6871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</row>
    <row r="687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</row>
    <row r="687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</row>
    <row r="6874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</row>
    <row r="6875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</row>
    <row r="6876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</row>
    <row r="6877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</row>
    <row r="6878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</row>
    <row r="6879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</row>
    <row r="6880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</row>
    <row r="6881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</row>
    <row r="688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</row>
    <row r="688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</row>
    <row r="6884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</row>
    <row r="6885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</row>
    <row r="6886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</row>
    <row r="6887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</row>
    <row r="6888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</row>
    <row r="6889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</row>
    <row r="6890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</row>
    <row r="6891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</row>
    <row r="689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</row>
    <row r="689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</row>
    <row r="6894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</row>
    <row r="6895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</row>
    <row r="6896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</row>
    <row r="6897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</row>
    <row r="6898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</row>
    <row r="6899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</row>
    <row r="6900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</row>
    <row r="6901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</row>
    <row r="690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</row>
    <row r="690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</row>
    <row r="6904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</row>
    <row r="6905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</row>
    <row r="6906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</row>
    <row r="6907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</row>
    <row r="6908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</row>
    <row r="6909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</row>
    <row r="6910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</row>
    <row r="6911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</row>
    <row r="691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</row>
    <row r="691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</row>
    <row r="6914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</row>
    <row r="6915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</row>
    <row r="6916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</row>
    <row r="6917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</row>
    <row r="6918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</row>
    <row r="6919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</row>
    <row r="6920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</row>
    <row r="692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</row>
    <row r="692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</row>
    <row r="69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</row>
    <row r="6924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</row>
    <row r="6925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</row>
    <row r="6926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</row>
    <row r="6927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</row>
    <row r="6928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</row>
    <row r="6929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</row>
    <row r="6930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</row>
    <row r="6931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</row>
    <row r="693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</row>
    <row r="693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</row>
    <row r="6934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</row>
    <row r="6935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</row>
    <row r="6936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</row>
    <row r="6937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</row>
    <row r="6938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</row>
    <row r="6939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</row>
    <row r="6940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</row>
    <row r="6941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</row>
    <row r="694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</row>
    <row r="694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</row>
    <row r="6944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</row>
    <row r="6945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</row>
    <row r="6946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</row>
    <row r="6947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</row>
    <row r="6948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</row>
    <row r="6949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</row>
    <row r="6950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</row>
    <row r="6951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</row>
    <row r="695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</row>
    <row r="695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</row>
    <row r="6954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</row>
    <row r="6955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</row>
    <row r="6956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</row>
    <row r="6957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</row>
    <row r="6958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</row>
    <row r="6959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</row>
    <row r="6960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</row>
    <row r="6961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</row>
    <row r="696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</row>
    <row r="696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</row>
    <row r="6964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</row>
    <row r="6965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</row>
    <row r="6966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</row>
    <row r="6967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</row>
    <row r="6968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</row>
    <row r="6969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</row>
    <row r="6970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</row>
    <row r="6971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</row>
    <row r="697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</row>
    <row r="697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</row>
    <row r="6974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</row>
    <row r="6975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</row>
    <row r="6976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</row>
    <row r="6977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</row>
    <row r="6978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</row>
    <row r="6979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</row>
    <row r="6980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</row>
    <row r="6981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</row>
    <row r="698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</row>
    <row r="698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</row>
    <row r="6984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</row>
    <row r="6985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</row>
    <row r="6986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</row>
    <row r="6987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</row>
    <row r="6988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</row>
    <row r="6989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</row>
    <row r="6990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</row>
    <row r="6991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</row>
    <row r="699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</row>
    <row r="699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</row>
    <row r="6994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</row>
    <row r="6995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</row>
    <row r="6996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</row>
    <row r="6997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</row>
    <row r="6998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</row>
    <row r="6999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</row>
    <row r="7000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</row>
    <row r="7001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</row>
    <row r="700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</row>
    <row r="700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</row>
    <row r="7004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</row>
    <row r="7005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</row>
    <row r="7006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</row>
    <row r="7007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</row>
    <row r="7008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</row>
    <row r="7009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</row>
    <row r="7010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</row>
    <row r="7011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</row>
    <row r="701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</row>
    <row r="701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</row>
    <row r="7014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</row>
    <row r="7015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</row>
    <row r="7016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</row>
    <row r="7017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</row>
    <row r="7018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</row>
    <row r="7019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</row>
    <row r="7020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</row>
    <row r="7021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</row>
    <row r="702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</row>
    <row r="70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</row>
    <row r="7024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</row>
    <row r="7025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</row>
    <row r="7026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</row>
    <row r="7027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</row>
    <row r="7028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</row>
    <row r="7029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</row>
    <row r="7030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</row>
    <row r="7031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</row>
    <row r="703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</row>
    <row r="703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</row>
    <row r="7034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</row>
    <row r="7035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</row>
    <row r="7036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</row>
    <row r="7037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</row>
    <row r="7038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</row>
    <row r="7039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</row>
    <row r="7040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</row>
    <row r="7041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</row>
    <row r="704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</row>
    <row r="704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</row>
    <row r="7044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</row>
    <row r="7045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</row>
    <row r="7046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</row>
    <row r="7047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</row>
    <row r="7048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</row>
    <row r="7049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</row>
    <row r="7050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</row>
    <row r="7051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</row>
    <row r="705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</row>
    <row r="705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</row>
    <row r="7054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</row>
    <row r="7055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</row>
    <row r="7056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</row>
    <row r="7057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</row>
    <row r="7058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</row>
    <row r="7059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</row>
    <row r="7060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</row>
    <row r="7061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</row>
    <row r="706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</row>
    <row r="706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</row>
    <row r="7064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</row>
    <row r="7065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</row>
    <row r="7066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</row>
    <row r="7067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</row>
    <row r="7068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</row>
    <row r="7069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</row>
    <row r="7070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</row>
    <row r="7071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</row>
    <row r="707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</row>
    <row r="707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</row>
    <row r="7074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</row>
    <row r="7075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</row>
    <row r="7076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</row>
    <row r="7077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</row>
    <row r="7078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</row>
    <row r="7079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</row>
    <row r="7080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</row>
    <row r="7081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</row>
    <row r="708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</row>
    <row r="708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</row>
    <row r="7084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</row>
    <row r="7085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</row>
    <row r="7086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</row>
    <row r="7087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</row>
    <row r="7088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</row>
    <row r="7089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</row>
    <row r="7090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</row>
    <row r="7091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</row>
    <row r="709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</row>
    <row r="709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</row>
    <row r="7094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</row>
    <row r="7095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</row>
    <row r="7096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</row>
    <row r="7097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</row>
    <row r="7098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</row>
    <row r="7099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</row>
    <row r="7100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</row>
    <row r="7101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</row>
    <row r="710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</row>
    <row r="710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</row>
    <row r="7104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</row>
    <row r="7105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</row>
    <row r="7106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</row>
    <row r="7107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</row>
    <row r="7108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</row>
    <row r="7109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</row>
    <row r="7110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</row>
    <row r="7111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</row>
    <row r="711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</row>
    <row r="711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</row>
    <row r="7114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</row>
    <row r="7115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</row>
    <row r="7116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</row>
    <row r="7117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</row>
    <row r="7118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</row>
    <row r="7119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</row>
    <row r="7120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</row>
    <row r="7121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</row>
    <row r="712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</row>
    <row r="71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</row>
    <row r="7124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</row>
    <row r="7125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</row>
    <row r="7126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</row>
    <row r="7127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</row>
    <row r="7128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</row>
    <row r="7129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</row>
    <row r="7130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</row>
    <row r="7131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</row>
    <row r="713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</row>
    <row r="713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</row>
    <row r="7134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</row>
    <row r="7135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</row>
    <row r="7136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</row>
    <row r="7137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</row>
    <row r="7138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</row>
    <row r="7139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</row>
    <row r="7140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</row>
    <row r="7141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</row>
    <row r="714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</row>
    <row r="714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</row>
    <row r="7144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</row>
    <row r="7145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</row>
    <row r="7146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</row>
    <row r="7147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</row>
    <row r="7148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</row>
    <row r="7149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</row>
    <row r="7150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</row>
    <row r="7151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</row>
    <row r="715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</row>
    <row r="715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</row>
    <row r="7154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</row>
    <row r="7155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</row>
    <row r="7156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</row>
    <row r="7157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</row>
    <row r="7158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</row>
    <row r="7159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</row>
    <row r="7160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</row>
    <row r="7161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</row>
    <row r="716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</row>
    <row r="716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</row>
    <row r="7164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</row>
    <row r="7165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</row>
    <row r="7166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</row>
    <row r="7167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</row>
    <row r="7168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</row>
    <row r="7169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</row>
    <row r="7170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</row>
    <row r="7171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</row>
    <row r="717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</row>
    <row r="717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</row>
    <row r="7174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</row>
    <row r="7175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</row>
    <row r="7176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</row>
    <row r="7177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</row>
    <row r="7178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</row>
    <row r="7179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</row>
    <row r="7180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</row>
    <row r="7181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</row>
    <row r="718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</row>
    <row r="718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</row>
    <row r="7184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</row>
    <row r="7185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</row>
    <row r="7186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</row>
    <row r="7187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</row>
    <row r="7188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</row>
    <row r="7189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</row>
    <row r="7190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</row>
    <row r="7191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</row>
    <row r="719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</row>
    <row r="719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</row>
    <row r="7194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</row>
    <row r="7195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</row>
    <row r="7196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</row>
    <row r="7197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</row>
    <row r="7198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</row>
    <row r="7199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</row>
    <row r="7200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</row>
    <row r="7201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</row>
    <row r="720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</row>
    <row r="720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</row>
    <row r="7204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</row>
    <row r="7205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</row>
    <row r="7206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</row>
    <row r="7207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</row>
    <row r="7208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</row>
    <row r="7209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</row>
    <row r="7210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</row>
    <row r="7211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</row>
    <row r="721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</row>
    <row r="721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</row>
    <row r="7214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</row>
    <row r="7215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</row>
    <row r="7216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</row>
    <row r="7217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</row>
    <row r="7218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</row>
    <row r="7219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</row>
    <row r="7220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</row>
    <row r="7221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</row>
    <row r="722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</row>
    <row r="72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</row>
    <row r="7224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</row>
    <row r="7225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</row>
    <row r="7226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</row>
    <row r="7227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</row>
    <row r="7228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</row>
    <row r="7229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</row>
    <row r="7230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</row>
    <row r="7231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</row>
    <row r="723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</row>
    <row r="723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</row>
    <row r="7234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</row>
    <row r="7235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</row>
    <row r="7236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</row>
    <row r="7237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</row>
    <row r="7238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</row>
    <row r="7239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</row>
    <row r="7240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</row>
    <row r="7241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</row>
    <row r="724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</row>
    <row r="724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</row>
    <row r="7244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</row>
    <row r="7245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</row>
    <row r="7246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</row>
    <row r="7247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</row>
    <row r="7248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</row>
    <row r="7249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</row>
    <row r="7250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</row>
    <row r="7251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</row>
    <row r="725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</row>
    <row r="725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</row>
    <row r="7254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</row>
    <row r="7255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</row>
    <row r="7256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</row>
    <row r="7257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</row>
    <row r="7258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</row>
    <row r="7259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</row>
    <row r="7260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</row>
    <row r="7261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</row>
    <row r="726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</row>
    <row r="726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</row>
    <row r="7264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</row>
    <row r="7265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</row>
    <row r="7266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</row>
    <row r="7267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</row>
    <row r="7268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</row>
    <row r="7269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</row>
    <row r="7270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</row>
    <row r="7271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</row>
    <row r="727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</row>
    <row r="727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</row>
    <row r="7274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</row>
    <row r="7275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</row>
    <row r="7276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</row>
    <row r="7277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</row>
    <row r="7278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</row>
    <row r="7279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</row>
    <row r="7280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</row>
    <row r="7281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</row>
    <row r="728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</row>
    <row r="728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</row>
    <row r="7284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</row>
    <row r="7285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</row>
    <row r="7286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</row>
    <row r="7287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</row>
    <row r="7288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</row>
    <row r="7289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</row>
    <row r="7290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</row>
    <row r="7291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</row>
    <row r="729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</row>
    <row r="729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</row>
    <row r="7294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</row>
    <row r="7295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</row>
    <row r="7296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</row>
    <row r="7297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</row>
    <row r="7298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</row>
    <row r="7299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</row>
    <row r="7300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</row>
    <row r="7301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</row>
    <row r="730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</row>
    <row r="730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</row>
    <row r="7304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</row>
    <row r="7305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</row>
    <row r="7306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</row>
    <row r="7307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</row>
    <row r="7308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</row>
    <row r="7309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</row>
    <row r="7310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</row>
    <row r="7311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</row>
    <row r="731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</row>
    <row r="731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</row>
    <row r="7314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</row>
    <row r="7315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</row>
    <row r="7316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</row>
    <row r="7317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</row>
    <row r="7318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</row>
    <row r="7319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</row>
    <row r="7320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</row>
    <row r="7321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</row>
    <row r="732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</row>
    <row r="73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</row>
    <row r="7324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</row>
    <row r="7325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</row>
    <row r="7326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</row>
    <row r="7327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</row>
    <row r="7328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</row>
    <row r="7329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</row>
    <row r="7330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</row>
    <row r="7331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</row>
    <row r="733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</row>
    <row r="733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</row>
    <row r="7334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</row>
    <row r="7335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</row>
    <row r="7336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</row>
    <row r="7337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</row>
    <row r="7338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</row>
    <row r="7339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</row>
    <row r="7340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</row>
    <row r="7341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</row>
    <row r="734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</row>
    <row r="734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</row>
    <row r="7344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</row>
    <row r="7345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</row>
    <row r="7346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</row>
    <row r="7347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</row>
    <row r="7348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</row>
    <row r="7349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</row>
    <row r="7350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</row>
    <row r="7351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</row>
    <row r="735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</row>
    <row r="735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</row>
    <row r="7354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</row>
    <row r="7355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</row>
    <row r="7356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</row>
    <row r="7357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</row>
    <row r="7358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</row>
    <row r="7359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</row>
    <row r="7360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</row>
    <row r="7361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</row>
    <row r="736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</row>
    <row r="736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</row>
    <row r="7364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</row>
    <row r="7365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</row>
    <row r="7366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</row>
    <row r="7367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</row>
    <row r="7368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</row>
    <row r="7369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</row>
    <row r="7370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</row>
    <row r="7371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</row>
    <row r="737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</row>
    <row r="737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</row>
    <row r="7374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</row>
    <row r="7375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</row>
    <row r="7376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</row>
    <row r="7377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</row>
    <row r="7378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</row>
    <row r="7379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</row>
    <row r="7380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</row>
    <row r="7381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</row>
    <row r="738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</row>
    <row r="738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</row>
    <row r="7384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</row>
    <row r="7385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</row>
    <row r="7386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</row>
    <row r="7387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</row>
    <row r="7388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</row>
    <row r="7389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</row>
    <row r="7390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</row>
    <row r="7391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</row>
    <row r="739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</row>
    <row r="739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</row>
    <row r="7394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</row>
    <row r="7395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</row>
    <row r="7396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</row>
    <row r="7397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</row>
    <row r="7398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</row>
    <row r="7399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</row>
    <row r="7400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</row>
    <row r="7401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</row>
    <row r="740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</row>
    <row r="740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</row>
    <row r="7404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</row>
    <row r="7405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</row>
    <row r="7406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</row>
    <row r="7407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</row>
    <row r="7408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</row>
    <row r="7409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</row>
    <row r="7410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</row>
    <row r="7411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</row>
    <row r="741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</row>
    <row r="741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</row>
    <row r="7414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</row>
    <row r="7415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</row>
    <row r="7416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</row>
    <row r="7417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</row>
    <row r="7418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</row>
    <row r="7419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</row>
    <row r="7420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</row>
    <row r="7421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</row>
    <row r="742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</row>
    <row r="74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</row>
    <row r="7424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</row>
    <row r="7425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</row>
    <row r="7426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</row>
    <row r="7427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</row>
    <row r="7428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</row>
    <row r="7429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</row>
    <row r="7430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</row>
    <row r="7431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</row>
    <row r="743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</row>
    <row r="743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</row>
    <row r="7434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</row>
    <row r="7435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</row>
    <row r="7436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</row>
    <row r="7437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</row>
    <row r="7438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</row>
    <row r="7439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</row>
    <row r="7440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</row>
    <row r="7441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</row>
    <row r="744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</row>
    <row r="744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</row>
    <row r="7444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</row>
    <row r="7445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</row>
    <row r="7446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</row>
    <row r="7447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</row>
    <row r="7448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</row>
    <row r="7449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</row>
    <row r="7450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</row>
    <row r="7451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</row>
    <row r="745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</row>
    <row r="745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</row>
    <row r="7454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</row>
    <row r="7455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</row>
    <row r="7456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</row>
    <row r="7457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</row>
    <row r="7458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</row>
    <row r="7459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</row>
    <row r="7460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</row>
    <row r="7461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</row>
    <row r="746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</row>
    <row r="746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</row>
    <row r="7464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</row>
    <row r="7465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</row>
    <row r="7466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</row>
    <row r="7467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</row>
    <row r="7468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</row>
    <row r="7469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</row>
    <row r="7470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</row>
    <row r="7471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</row>
    <row r="747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</row>
    <row r="747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</row>
    <row r="7474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</row>
    <row r="7475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</row>
    <row r="7476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</row>
    <row r="7477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</row>
    <row r="7478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</row>
    <row r="7479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</row>
    <row r="7480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</row>
    <row r="7481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</row>
    <row r="748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</row>
    <row r="748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</row>
    <row r="7484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</row>
    <row r="7485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</row>
    <row r="7486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</row>
    <row r="7487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</row>
    <row r="7488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</row>
    <row r="7489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</row>
    <row r="7490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</row>
    <row r="7491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</row>
    <row r="749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</row>
    <row r="749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</row>
    <row r="7494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</row>
    <row r="7495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</row>
    <row r="7496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</row>
    <row r="7497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</row>
    <row r="7498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</row>
    <row r="7499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</row>
    <row r="7500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</row>
    <row r="7501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</row>
    <row r="750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</row>
    <row r="750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</row>
    <row r="7504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</row>
    <row r="7505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</row>
    <row r="7506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</row>
    <row r="7507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</row>
    <row r="7508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</row>
    <row r="7509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</row>
    <row r="7510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</row>
    <row r="7511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</row>
    <row r="751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</row>
    <row r="751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</row>
    <row r="7514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</row>
    <row r="7515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</row>
    <row r="7516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</row>
    <row r="7517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</row>
    <row r="7518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</row>
    <row r="7519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</row>
    <row r="7520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</row>
    <row r="7521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</row>
    <row r="752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</row>
    <row r="75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</row>
    <row r="7524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</row>
    <row r="7525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</row>
    <row r="7526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</row>
    <row r="7527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</row>
    <row r="7528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</row>
    <row r="7529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</row>
    <row r="7530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</row>
    <row r="7531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</row>
    <row r="753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</row>
    <row r="753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</row>
    <row r="7534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</row>
    <row r="7535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</row>
    <row r="7536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</row>
    <row r="7537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</row>
    <row r="7538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</row>
    <row r="7539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</row>
    <row r="7540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</row>
    <row r="7541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</row>
    <row r="754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</row>
    <row r="754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</row>
    <row r="7544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</row>
    <row r="7545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</row>
    <row r="7546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</row>
    <row r="7547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</row>
    <row r="7548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</row>
    <row r="7549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</row>
    <row r="7550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</row>
    <row r="7551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</row>
    <row r="755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</row>
    <row r="755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</row>
    <row r="7554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</row>
    <row r="7555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</row>
    <row r="7556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</row>
    <row r="7557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</row>
    <row r="7558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</row>
    <row r="7559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</row>
    <row r="7560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</row>
    <row r="7561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</row>
    <row r="756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</row>
    <row r="756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</row>
    <row r="7564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</row>
    <row r="7565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</row>
    <row r="7566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</row>
    <row r="7567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</row>
    <row r="7568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</row>
    <row r="7569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</row>
    <row r="7570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</row>
    <row r="7571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</row>
    <row r="757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</row>
    <row r="757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</row>
    <row r="7574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</row>
    <row r="7575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</row>
    <row r="7576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</row>
    <row r="7577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</row>
    <row r="7578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</row>
    <row r="7579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</row>
    <row r="7580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</row>
    <row r="7581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</row>
    <row r="758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</row>
    <row r="758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</row>
    <row r="7584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</row>
    <row r="7585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</row>
    <row r="7586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</row>
    <row r="7587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</row>
    <row r="7588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</row>
    <row r="7589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</row>
    <row r="7590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</row>
    <row r="7591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</row>
    <row r="759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</row>
    <row r="759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</row>
    <row r="7594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</row>
    <row r="7595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</row>
    <row r="7596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</row>
    <row r="7597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</row>
    <row r="7598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</row>
    <row r="7599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</row>
    <row r="7600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</row>
    <row r="7601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</row>
    <row r="760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</row>
    <row r="760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</row>
    <row r="7604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</row>
    <row r="7605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</row>
    <row r="7606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</row>
    <row r="7607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</row>
    <row r="7608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</row>
    <row r="7609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</row>
    <row r="7610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</row>
    <row r="7611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</row>
    <row r="761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</row>
    <row r="761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</row>
    <row r="7614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</row>
    <row r="7615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</row>
    <row r="7616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</row>
    <row r="7617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</row>
    <row r="7618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</row>
    <row r="7619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</row>
    <row r="7620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</row>
    <row r="7621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</row>
    <row r="762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</row>
    <row r="76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</row>
    <row r="7624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</row>
    <row r="7625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</row>
    <row r="7626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</row>
    <row r="7627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</row>
    <row r="7628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</row>
    <row r="7629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</row>
    <row r="7630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</row>
    <row r="7631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</row>
    <row r="763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</row>
    <row r="763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</row>
    <row r="7634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</row>
    <row r="7635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</row>
    <row r="7636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</row>
    <row r="7637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</row>
    <row r="7638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</row>
    <row r="7639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</row>
    <row r="7640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</row>
    <row r="7641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</row>
    <row r="764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</row>
    <row r="764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</row>
    <row r="7644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</row>
    <row r="7645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</row>
    <row r="7646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</row>
    <row r="7647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</row>
    <row r="7648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</row>
    <row r="7649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</row>
    <row r="7650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</row>
    <row r="7651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</row>
    <row r="765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</row>
    <row r="765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</row>
    <row r="7654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</row>
    <row r="7655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</row>
    <row r="7656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</row>
    <row r="7657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</row>
    <row r="7658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</row>
    <row r="7659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</row>
    <row r="7660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</row>
    <row r="7661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</row>
    <row r="766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</row>
    <row r="766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</row>
    <row r="7664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</row>
    <row r="7665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</row>
    <row r="7666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</row>
    <row r="7667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</row>
    <row r="7668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</row>
    <row r="7669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</row>
    <row r="7670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</row>
    <row r="7671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</row>
    <row r="767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</row>
    <row r="767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</row>
    <row r="7674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</row>
    <row r="7675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</row>
    <row r="7676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</row>
    <row r="7677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</row>
    <row r="7678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</row>
    <row r="7679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</row>
    <row r="7680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</row>
    <row r="7681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</row>
    <row r="768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</row>
    <row r="768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</row>
    <row r="7684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</row>
    <row r="7685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</row>
    <row r="7686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</row>
    <row r="7687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</row>
    <row r="7688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</row>
    <row r="7689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</row>
    <row r="7690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</row>
    <row r="7691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</row>
    <row r="769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</row>
    <row r="769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</row>
    <row r="7694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</row>
    <row r="7695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</row>
    <row r="7696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</row>
    <row r="7697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</row>
    <row r="7698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</row>
    <row r="7699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</row>
    <row r="7700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</row>
    <row r="7701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</row>
    <row r="770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</row>
    <row r="770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</row>
    <row r="7704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</row>
    <row r="7705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</row>
    <row r="7706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</row>
    <row r="7707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</row>
    <row r="7708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</row>
    <row r="7709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</row>
    <row r="7710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</row>
    <row r="7711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</row>
    <row r="771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</row>
    <row r="771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</row>
    <row r="7714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</row>
    <row r="7715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</row>
    <row r="7716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</row>
    <row r="7717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</row>
    <row r="7718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</row>
    <row r="7719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</row>
    <row r="7720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</row>
    <row r="7721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</row>
    <row r="772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</row>
    <row r="77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</row>
    <row r="7724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</row>
    <row r="7725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</row>
    <row r="7726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</row>
    <row r="7727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</row>
    <row r="7728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</row>
    <row r="7729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</row>
    <row r="7730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</row>
    <row r="7731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</row>
    <row r="773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</row>
    <row r="773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</row>
    <row r="7734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</row>
    <row r="7735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</row>
    <row r="7736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</row>
    <row r="7737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</row>
    <row r="7738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</row>
    <row r="7739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</row>
    <row r="7740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</row>
    <row r="7741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</row>
    <row r="774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</row>
    <row r="774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</row>
    <row r="7744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</row>
    <row r="7745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</row>
    <row r="7746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</row>
    <row r="7747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</row>
    <row r="7748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</row>
    <row r="7749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</row>
    <row r="7750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</row>
    <row r="7751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</row>
    <row r="775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</row>
    <row r="775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</row>
    <row r="7754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</row>
    <row r="7755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</row>
    <row r="7756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</row>
    <row r="7757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</row>
    <row r="7758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</row>
    <row r="7759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</row>
    <row r="7760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</row>
    <row r="7761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</row>
    <row r="776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</row>
    <row r="776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</row>
    <row r="7764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</row>
    <row r="7765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</row>
    <row r="7766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</row>
    <row r="7767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</row>
    <row r="7768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</row>
    <row r="7769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</row>
    <row r="7770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</row>
    <row r="7771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</row>
    <row r="777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</row>
    <row r="777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</row>
    <row r="7774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</row>
    <row r="7775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</row>
    <row r="7776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</row>
    <row r="7777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</row>
    <row r="7778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</row>
    <row r="7779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</row>
    <row r="7780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</row>
    <row r="7781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</row>
    <row r="778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</row>
    <row r="778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</row>
    <row r="7784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</row>
    <row r="7785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</row>
    <row r="7786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</row>
    <row r="7787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</row>
    <row r="7788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</row>
    <row r="7789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</row>
    <row r="7790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</row>
    <row r="7791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</row>
    <row r="779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</row>
    <row r="779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</row>
    <row r="7794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</row>
    <row r="7795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</row>
    <row r="7796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</row>
    <row r="7797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</row>
    <row r="7798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</row>
    <row r="7799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</row>
    <row r="7800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</row>
    <row r="7801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</row>
    <row r="780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</row>
    <row r="780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</row>
    <row r="7804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</row>
    <row r="7805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</row>
    <row r="7806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</row>
    <row r="7807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</row>
    <row r="7808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</row>
    <row r="7809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</row>
    <row r="7810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</row>
    <row r="7811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</row>
    <row r="781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</row>
    <row r="781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</row>
    <row r="7814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</row>
    <row r="7815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</row>
    <row r="7816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</row>
    <row r="7817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</row>
    <row r="7818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</row>
    <row r="7819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</row>
    <row r="7820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</row>
    <row r="7821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</row>
    <row r="782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</row>
    <row r="78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</row>
    <row r="7824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</row>
    <row r="7825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</row>
    <row r="7826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</row>
    <row r="7827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</row>
    <row r="7828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</row>
    <row r="7829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</row>
    <row r="7830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</row>
    <row r="7831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</row>
    <row r="783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</row>
    <row r="783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</row>
    <row r="7834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</row>
    <row r="7835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</row>
    <row r="7836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</row>
    <row r="7837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</row>
    <row r="7838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</row>
    <row r="7839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</row>
    <row r="7840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</row>
    <row r="7841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</row>
    <row r="784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</row>
    <row r="784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</row>
    <row r="7844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</row>
    <row r="7845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</row>
    <row r="7846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</row>
    <row r="7847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</row>
    <row r="7848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</row>
    <row r="7849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</row>
    <row r="7850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</row>
    <row r="7851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</row>
    <row r="785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</row>
    <row r="785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</row>
    <row r="7854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</row>
    <row r="7855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</row>
    <row r="7856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</row>
    <row r="7857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</row>
    <row r="7858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</row>
    <row r="7859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</row>
    <row r="7860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</row>
    <row r="7861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</row>
    <row r="786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</row>
    <row r="786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</row>
    <row r="7864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</row>
    <row r="7865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</row>
    <row r="7866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</row>
    <row r="7867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</row>
    <row r="7868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</row>
    <row r="7869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</row>
    <row r="7870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</row>
    <row r="7871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</row>
    <row r="787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</row>
    <row r="787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</row>
    <row r="7874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</row>
    <row r="7875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</row>
    <row r="7876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</row>
    <row r="7877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</row>
    <row r="7878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</row>
    <row r="7879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</row>
    <row r="7880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</row>
    <row r="7881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</row>
    <row r="788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</row>
    <row r="788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</row>
    <row r="7884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</row>
    <row r="7885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</row>
    <row r="7886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</row>
    <row r="7887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</row>
    <row r="7888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</row>
    <row r="7889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</row>
    <row r="7890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</row>
    <row r="7891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</row>
    <row r="789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</row>
    <row r="789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</row>
    <row r="7894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</row>
    <row r="7895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</row>
    <row r="7896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</row>
    <row r="7897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</row>
    <row r="7898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</row>
    <row r="7899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</row>
    <row r="7900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</row>
    <row r="7901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</row>
    <row r="790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</row>
    <row r="790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</row>
    <row r="7904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</row>
    <row r="7905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</row>
    <row r="7906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</row>
    <row r="7907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</row>
    <row r="7908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</row>
    <row r="7909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</row>
    <row r="7910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</row>
    <row r="7911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</row>
    <row r="791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</row>
    <row r="791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</row>
    <row r="7914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</row>
    <row r="7915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</row>
    <row r="7916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</row>
    <row r="7917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</row>
    <row r="7918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</row>
    <row r="7919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</row>
    <row r="7920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</row>
    <row r="7921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</row>
    <row r="792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</row>
    <row r="79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</row>
    <row r="7924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</row>
    <row r="7925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</row>
    <row r="7926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</row>
    <row r="7927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</row>
    <row r="7928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</row>
    <row r="7929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</row>
    <row r="7930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</row>
    <row r="7931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</row>
    <row r="793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</row>
    <row r="793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</row>
    <row r="7934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</row>
    <row r="7935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</row>
    <row r="7936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</row>
    <row r="7937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</row>
    <row r="7938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</row>
    <row r="7939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</row>
    <row r="7940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</row>
    <row r="7941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</row>
    <row r="794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</row>
    <row r="794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</row>
    <row r="7944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</row>
    <row r="7945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</row>
    <row r="7946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</row>
    <row r="7947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</row>
    <row r="7948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</row>
    <row r="7949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</row>
    <row r="7950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</row>
    <row r="7951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</row>
    <row r="795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</row>
    <row r="795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</row>
    <row r="7954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</row>
    <row r="7955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</row>
    <row r="7956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</row>
    <row r="7957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</row>
    <row r="7958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</row>
    <row r="7959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</row>
    <row r="7960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</row>
    <row r="7961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</row>
    <row r="796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</row>
    <row r="796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</row>
    <row r="7964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</row>
    <row r="7965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</row>
    <row r="7966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</row>
    <row r="7967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</row>
    <row r="7968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</row>
    <row r="7969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</row>
    <row r="7970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</row>
    <row r="7971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</row>
    <row r="797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</row>
    <row r="797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</row>
    <row r="7974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</row>
    <row r="7975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</row>
    <row r="7976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</row>
    <row r="7977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</row>
    <row r="7978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</row>
    <row r="7979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</row>
    <row r="7980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</row>
    <row r="7981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</row>
    <row r="798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</row>
    <row r="798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</row>
    <row r="7984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</row>
    <row r="7985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</row>
    <row r="7986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</row>
    <row r="7987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</row>
    <row r="7988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</row>
    <row r="7989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</row>
    <row r="7990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</row>
    <row r="7991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</row>
    <row r="799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</row>
    <row r="799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</row>
    <row r="7994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</row>
    <row r="7995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</row>
    <row r="7996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</row>
    <row r="7997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</row>
    <row r="7998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</row>
    <row r="7999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</row>
    <row r="8000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</row>
    <row r="8001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</row>
    <row r="800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</row>
    <row r="800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</row>
    <row r="8004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</row>
    <row r="8005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</row>
    <row r="8006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</row>
    <row r="8007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</row>
    <row r="8008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</row>
    <row r="8009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</row>
    <row r="8010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</row>
    <row r="8011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</row>
    <row r="801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</row>
    <row r="801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</row>
    <row r="8014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</row>
    <row r="8015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</row>
    <row r="8016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</row>
    <row r="8017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</row>
    <row r="8018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</row>
    <row r="8019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</row>
    <row r="8020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</row>
    <row r="8021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</row>
    <row r="802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</row>
    <row r="80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</row>
    <row r="8024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</row>
    <row r="8025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</row>
    <row r="8026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</row>
    <row r="8027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</row>
    <row r="8028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</row>
    <row r="8029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</row>
    <row r="8030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</row>
    <row r="8031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</row>
    <row r="803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</row>
    <row r="803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</row>
    <row r="8034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</row>
    <row r="8035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</row>
    <row r="8036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</row>
    <row r="8037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</row>
    <row r="8038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</row>
    <row r="8039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</row>
    <row r="8040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</row>
    <row r="8041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</row>
    <row r="804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</row>
    <row r="804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</row>
    <row r="8044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</row>
    <row r="8045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</row>
    <row r="8046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</row>
    <row r="8047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</row>
    <row r="8048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</row>
    <row r="8049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</row>
    <row r="8050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</row>
    <row r="8051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</row>
    <row r="805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</row>
    <row r="805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</row>
    <row r="8054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</row>
    <row r="8055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</row>
    <row r="8056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</row>
    <row r="8057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</row>
    <row r="8058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</row>
    <row r="8059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</row>
    <row r="8060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</row>
    <row r="8061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</row>
    <row r="806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</row>
    <row r="806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</row>
    <row r="8064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</row>
    <row r="8065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</row>
    <row r="8066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</row>
    <row r="8067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</row>
    <row r="8068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</row>
    <row r="8069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</row>
    <row r="8070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</row>
    <row r="8071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</row>
    <row r="807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</row>
    <row r="807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</row>
    <row r="8074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</row>
    <row r="8075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</row>
    <row r="8076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</row>
    <row r="8077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</row>
    <row r="8078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</row>
    <row r="8079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</row>
    <row r="8080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</row>
    <row r="8081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</row>
    <row r="808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</row>
    <row r="808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</row>
    <row r="8084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</row>
    <row r="8085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</row>
    <row r="8086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</row>
    <row r="8087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</row>
    <row r="8088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</row>
    <row r="8089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</row>
    <row r="8090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</row>
    <row r="8091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</row>
    <row r="809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</row>
    <row r="809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</row>
    <row r="8094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</row>
    <row r="8095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</row>
    <row r="8096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</row>
    <row r="8097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</row>
    <row r="8098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</row>
    <row r="8099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</row>
    <row r="8100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</row>
    <row r="8101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</row>
    <row r="810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</row>
    <row r="810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</row>
    <row r="8104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</row>
    <row r="8105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</row>
    <row r="8106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</row>
    <row r="8107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</row>
    <row r="8108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</row>
    <row r="8109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</row>
    <row r="8110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</row>
    <row r="8111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</row>
    <row r="811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</row>
    <row r="811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</row>
    <row r="8114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</row>
    <row r="8115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</row>
    <row r="8116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</row>
    <row r="8117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</row>
    <row r="8118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</row>
    <row r="8119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</row>
    <row r="8120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</row>
    <row r="8121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</row>
    <row r="812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</row>
    <row r="81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</row>
    <row r="8124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</row>
    <row r="8125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</row>
    <row r="8126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</row>
    <row r="8127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</row>
    <row r="8128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</row>
    <row r="8129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</row>
    <row r="8130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</row>
    <row r="8131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</row>
    <row r="813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</row>
    <row r="813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</row>
    <row r="8134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</row>
    <row r="8135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</row>
    <row r="8136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</row>
    <row r="8137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</row>
    <row r="8138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</row>
    <row r="8139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</row>
    <row r="8140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</row>
    <row r="8141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</row>
    <row r="814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</row>
    <row r="814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</row>
    <row r="8144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</row>
    <row r="8145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</row>
    <row r="8146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</row>
    <row r="8147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</row>
    <row r="8148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</row>
    <row r="8149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</row>
    <row r="8150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</row>
    <row r="8151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</row>
    <row r="815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</row>
    <row r="815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</row>
    <row r="8154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</row>
    <row r="8155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</row>
    <row r="8156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</row>
    <row r="8157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</row>
    <row r="8158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</row>
    <row r="8159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</row>
    <row r="8160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</row>
    <row r="8161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</row>
    <row r="816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</row>
    <row r="816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</row>
    <row r="8164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</row>
    <row r="8165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</row>
    <row r="8166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</row>
    <row r="8167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</row>
    <row r="8168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</row>
    <row r="8169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</row>
    <row r="8170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</row>
    <row r="8171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</row>
    <row r="817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</row>
    <row r="817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</row>
    <row r="8174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</row>
    <row r="8175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</row>
    <row r="8176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</row>
    <row r="8177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</row>
    <row r="8178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</row>
    <row r="8179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</row>
    <row r="8180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</row>
    <row r="8181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</row>
    <row r="818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</row>
    <row r="818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</row>
    <row r="8184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</row>
    <row r="8185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</row>
    <row r="8186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</row>
    <row r="8187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</row>
    <row r="8188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</row>
    <row r="8189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</row>
    <row r="8190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</row>
    <row r="8191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</row>
    <row r="819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</row>
    <row r="819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</row>
    <row r="8194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</row>
    <row r="8195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</row>
    <row r="8196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</row>
    <row r="8197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</row>
    <row r="8198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</row>
    <row r="8199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</row>
    <row r="8200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</row>
    <row r="8201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</row>
    <row r="820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</row>
    <row r="820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</row>
    <row r="8204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</row>
    <row r="8205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</row>
    <row r="8206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</row>
    <row r="8207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</row>
    <row r="8208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</row>
    <row r="8209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</row>
    <row r="8210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</row>
    <row r="8211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</row>
    <row r="821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</row>
    <row r="821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</row>
    <row r="8214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</row>
    <row r="8215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</row>
    <row r="8216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</row>
    <row r="8217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</row>
    <row r="8218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</row>
    <row r="8219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</row>
    <row r="8220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</row>
    <row r="8221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</row>
    <row r="822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</row>
    <row r="82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</row>
    <row r="8224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</row>
    <row r="8225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</row>
    <row r="8226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</row>
    <row r="8227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</row>
    <row r="8228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</row>
    <row r="8229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</row>
    <row r="8230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</row>
    <row r="8231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</row>
    <row r="823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</row>
    <row r="823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</row>
    <row r="8234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</row>
    <row r="8235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</row>
    <row r="8236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</row>
    <row r="8237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</row>
    <row r="8238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</row>
    <row r="8239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</row>
    <row r="8240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</row>
    <row r="8241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</row>
    <row r="824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</row>
    <row r="824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</row>
    <row r="8244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</row>
    <row r="8245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</row>
    <row r="8246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</row>
    <row r="8247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</row>
    <row r="8248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</row>
    <row r="8249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</row>
    <row r="8250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</row>
    <row r="8251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</row>
    <row r="825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</row>
    <row r="825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</row>
    <row r="8254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</row>
    <row r="8255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</row>
    <row r="8256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</row>
    <row r="8257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</row>
    <row r="8258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</row>
    <row r="8259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</row>
    <row r="8260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</row>
    <row r="8261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</row>
    <row r="826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</row>
    <row r="826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</row>
    <row r="8264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</row>
    <row r="8265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</row>
    <row r="8266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</row>
    <row r="8267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</row>
    <row r="8268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</row>
    <row r="8269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</row>
    <row r="8270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</row>
    <row r="8271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</row>
    <row r="827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</row>
    <row r="827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</row>
    <row r="8274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</row>
    <row r="8275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</row>
    <row r="8276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</row>
    <row r="8277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</row>
    <row r="8278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</row>
    <row r="8279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</row>
    <row r="8280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</row>
    <row r="8281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</row>
    <row r="828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</row>
    <row r="828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</row>
    <row r="8284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</row>
    <row r="8285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</row>
    <row r="8286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</row>
    <row r="8287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</row>
    <row r="8288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</row>
    <row r="8289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</row>
    <row r="8290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</row>
    <row r="8291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</row>
    <row r="829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</row>
    <row r="829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</row>
    <row r="8294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</row>
    <row r="8295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</row>
    <row r="8296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</row>
    <row r="8297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</row>
    <row r="8298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</row>
    <row r="8299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</row>
    <row r="8300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</row>
    <row r="8301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</row>
    <row r="830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</row>
    <row r="830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</row>
    <row r="8304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</row>
    <row r="8305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</row>
    <row r="8306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</row>
    <row r="8307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</row>
    <row r="8308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</row>
    <row r="8309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</row>
    <row r="8310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</row>
    <row r="8311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</row>
    <row r="831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</row>
    <row r="831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</row>
    <row r="8314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</row>
    <row r="8315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</row>
    <row r="8316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</row>
    <row r="8317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</row>
    <row r="8318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</row>
    <row r="8319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</row>
    <row r="8320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</row>
    <row r="8321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</row>
    <row r="832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</row>
    <row r="83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</row>
    <row r="8324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</row>
    <row r="8325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</row>
    <row r="8326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</row>
    <row r="8327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</row>
    <row r="8328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</row>
    <row r="8329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</row>
    <row r="8330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</row>
    <row r="8331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</row>
    <row r="833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</row>
    <row r="833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</row>
    <row r="8334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</row>
    <row r="8335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</row>
    <row r="8336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</row>
    <row r="8337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</row>
    <row r="8338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</row>
    <row r="8339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</row>
    <row r="8340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</row>
    <row r="8341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</row>
    <row r="834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</row>
    <row r="834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</row>
    <row r="8344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</row>
    <row r="8345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</row>
    <row r="8346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</row>
    <row r="8347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</row>
    <row r="8348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</row>
    <row r="8349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</row>
    <row r="8350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</row>
    <row r="8351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</row>
    <row r="835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</row>
    <row r="835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</row>
    <row r="8354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</row>
    <row r="8355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</row>
    <row r="8356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</row>
    <row r="8357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</row>
    <row r="8358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</row>
    <row r="8359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</row>
    <row r="8360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</row>
    <row r="8361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</row>
    <row r="836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</row>
    <row r="836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</row>
    <row r="8364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</row>
    <row r="8365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</row>
    <row r="8366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</row>
    <row r="8367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</row>
    <row r="8368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</row>
    <row r="8369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</row>
    <row r="8370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</row>
    <row r="8371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</row>
    <row r="837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</row>
    <row r="837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</row>
    <row r="8374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</row>
    <row r="8375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</row>
    <row r="8376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</row>
    <row r="8377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</row>
    <row r="8378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</row>
    <row r="8379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</row>
    <row r="8380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</row>
    <row r="8381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</row>
    <row r="838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</row>
    <row r="838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</row>
    <row r="8384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</row>
    <row r="8385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</row>
    <row r="8386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</row>
    <row r="8387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</row>
    <row r="8388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</row>
    <row r="8389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</row>
    <row r="8390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</row>
    <row r="8391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</row>
    <row r="839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</row>
    <row r="839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</row>
    <row r="8394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</row>
    <row r="8395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</row>
    <row r="8396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</row>
    <row r="8397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</row>
    <row r="8398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</row>
    <row r="8399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</row>
    <row r="8400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</row>
    <row r="8401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</row>
    <row r="840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</row>
    <row r="840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</row>
    <row r="8404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</row>
    <row r="8405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</row>
    <row r="8406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</row>
    <row r="8407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</row>
    <row r="8408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</row>
    <row r="8409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</row>
    <row r="8410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</row>
    <row r="8411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</row>
    <row r="841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</row>
    <row r="841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</row>
    <row r="8414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</row>
    <row r="8415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</row>
    <row r="8416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</row>
    <row r="8417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</row>
    <row r="8418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</row>
    <row r="8419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</row>
    <row r="8420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</row>
    <row r="8421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</row>
    <row r="842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</row>
    <row r="84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</row>
    <row r="8424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</row>
    <row r="8425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</row>
    <row r="8426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</row>
    <row r="8427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</row>
    <row r="8428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</row>
    <row r="8429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</row>
    <row r="8430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</row>
    <row r="8431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</row>
    <row r="843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</row>
    <row r="843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</row>
    <row r="8434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</row>
    <row r="8435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</row>
    <row r="8436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</row>
    <row r="8437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</row>
    <row r="8438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</row>
    <row r="8439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</row>
    <row r="8440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</row>
    <row r="8441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</row>
    <row r="844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</row>
    <row r="844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</row>
    <row r="8444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</row>
    <row r="8445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</row>
    <row r="8446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</row>
    <row r="8447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</row>
    <row r="8448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</row>
    <row r="8449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</row>
    <row r="8450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</row>
    <row r="8451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</row>
    <row r="845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</row>
    <row r="845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</row>
    <row r="8454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</row>
    <row r="8455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</row>
    <row r="8456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</row>
    <row r="8457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</row>
    <row r="8458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</row>
    <row r="8459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</row>
    <row r="8460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</row>
    <row r="8461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</row>
    <row r="846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</row>
    <row r="846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</row>
    <row r="8464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</row>
    <row r="8465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</row>
    <row r="8466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</row>
    <row r="8467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</row>
    <row r="8468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</row>
    <row r="8469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</row>
    <row r="8470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</row>
    <row r="8471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</row>
    <row r="847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</row>
    <row r="847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</row>
    <row r="8474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</row>
    <row r="8475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</row>
    <row r="8476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</row>
    <row r="8477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</row>
    <row r="8478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</row>
    <row r="8479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</row>
    <row r="8480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</row>
    <row r="8481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</row>
    <row r="848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</row>
    <row r="848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</row>
    <row r="8484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</row>
    <row r="8485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</row>
    <row r="8486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</row>
    <row r="8487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</row>
    <row r="8488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</row>
    <row r="8489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</row>
    <row r="8490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</row>
    <row r="8491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</row>
    <row r="849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</row>
    <row r="849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</row>
    <row r="8494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</row>
    <row r="8495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</row>
    <row r="8496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</row>
    <row r="8497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</row>
    <row r="8498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</row>
    <row r="8499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</row>
    <row r="8500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</row>
    <row r="8501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</row>
    <row r="850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</row>
    <row r="850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</row>
    <row r="8504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</row>
    <row r="8505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</row>
    <row r="8506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</row>
    <row r="8507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</row>
    <row r="8508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</row>
    <row r="8509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</row>
    <row r="8510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</row>
    <row r="8511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</row>
    <row r="851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</row>
    <row r="851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</row>
    <row r="8514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</row>
    <row r="8515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</row>
    <row r="8516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</row>
    <row r="8517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</row>
    <row r="8518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</row>
    <row r="8519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</row>
    <row r="8520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</row>
    <row r="8521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</row>
    <row r="852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</row>
    <row r="85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</row>
    <row r="8524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</row>
    <row r="8525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</row>
    <row r="8526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</row>
    <row r="8527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</row>
    <row r="8528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</row>
    <row r="8529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</row>
    <row r="8530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</row>
    <row r="8531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</row>
    <row r="853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</row>
    <row r="853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</row>
    <row r="8534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</row>
    <row r="8535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</row>
    <row r="8536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</row>
    <row r="8537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</row>
    <row r="8538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</row>
    <row r="8539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</row>
    <row r="8540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</row>
    <row r="8541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</row>
    <row r="854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</row>
    <row r="854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</row>
    <row r="8544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</row>
    <row r="8545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</row>
    <row r="8546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</row>
    <row r="8547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</row>
    <row r="8548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</row>
    <row r="8549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</row>
    <row r="8550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</row>
    <row r="8551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</row>
    <row r="855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</row>
    <row r="855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</row>
    <row r="8554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</row>
    <row r="8555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</row>
    <row r="8556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</row>
    <row r="8557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</row>
    <row r="8558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</row>
    <row r="8559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</row>
    <row r="8560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</row>
    <row r="8561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</row>
    <row r="856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</row>
    <row r="856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</row>
    <row r="8564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</row>
    <row r="8565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</row>
    <row r="8566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</row>
    <row r="8567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</row>
    <row r="8568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</row>
    <row r="8569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</row>
    <row r="8570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</row>
    <row r="8571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</row>
    <row r="857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</row>
    <row r="857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</row>
    <row r="8574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</row>
    <row r="8575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</row>
    <row r="8576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</row>
    <row r="8577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</row>
    <row r="8578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</row>
    <row r="8579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</row>
    <row r="8580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</row>
    <row r="8581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</row>
    <row r="858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</row>
    <row r="858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</row>
    <row r="8584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</row>
    <row r="8585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</row>
    <row r="8586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</row>
    <row r="8587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</row>
    <row r="8588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</row>
    <row r="8589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</row>
    <row r="8590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</row>
    <row r="8591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</row>
    <row r="859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</row>
    <row r="859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</row>
    <row r="8594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</row>
    <row r="8595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</row>
    <row r="8596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</row>
    <row r="8597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</row>
    <row r="8598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</row>
    <row r="8599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</row>
    <row r="8600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</row>
    <row r="8601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</row>
    <row r="860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</row>
    <row r="860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</row>
    <row r="8604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</row>
    <row r="8605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</row>
    <row r="8606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</row>
    <row r="8607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</row>
    <row r="8608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</row>
    <row r="8609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</row>
    <row r="8610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</row>
    <row r="8611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</row>
    <row r="861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</row>
    <row r="861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</row>
    <row r="8614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</row>
    <row r="8615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</row>
    <row r="8616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</row>
    <row r="8617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</row>
    <row r="8618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</row>
    <row r="8619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</row>
    <row r="8620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</row>
    <row r="8621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</row>
    <row r="862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</row>
    <row r="86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</row>
    <row r="8624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</row>
    <row r="8625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</row>
    <row r="8626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</row>
    <row r="8627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</row>
    <row r="8628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</row>
    <row r="8629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</row>
    <row r="8630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</row>
    <row r="8631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</row>
    <row r="863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</row>
    <row r="863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</row>
    <row r="8634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</row>
    <row r="8635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</row>
    <row r="8636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</row>
    <row r="8637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</row>
    <row r="8638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</row>
    <row r="8639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</row>
    <row r="8640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</row>
    <row r="8641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</row>
    <row r="864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</row>
    <row r="864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</row>
    <row r="8644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</row>
    <row r="8645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</row>
    <row r="8646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</row>
    <row r="8647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</row>
    <row r="8648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</row>
    <row r="8649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</row>
    <row r="8650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</row>
    <row r="8651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</row>
    <row r="865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</row>
    <row r="865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</row>
    <row r="8654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</row>
    <row r="8655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</row>
    <row r="8656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</row>
    <row r="8657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</row>
    <row r="8658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</row>
    <row r="8659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</row>
    <row r="8660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</row>
    <row r="8661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</row>
    <row r="866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</row>
    <row r="866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</row>
    <row r="8664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</row>
    <row r="8665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</row>
    <row r="8666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</row>
    <row r="8667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</row>
    <row r="8668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</row>
    <row r="8669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</row>
    <row r="8670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</row>
    <row r="8671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</row>
    <row r="867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</row>
    <row r="867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</row>
    <row r="8674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</row>
    <row r="8675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</row>
    <row r="8676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</row>
    <row r="8677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</row>
    <row r="8678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</row>
    <row r="8679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</row>
    <row r="8680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</row>
    <row r="8681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</row>
    <row r="868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</row>
    <row r="868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</row>
    <row r="8684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</row>
    <row r="8685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</row>
    <row r="8686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</row>
    <row r="8687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</row>
    <row r="8688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</row>
    <row r="8689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</row>
    <row r="8690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</row>
    <row r="8691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</row>
    <row r="869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</row>
    <row r="869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</row>
    <row r="8694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</row>
    <row r="8695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</row>
    <row r="8696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</row>
    <row r="8697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</row>
    <row r="8698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</row>
    <row r="8699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</row>
    <row r="8700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</row>
    <row r="8701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</row>
    <row r="870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</row>
    <row r="870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</row>
    <row r="8704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</row>
    <row r="8705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</row>
    <row r="8706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</row>
    <row r="8707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</row>
    <row r="8708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</row>
    <row r="8709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</row>
    <row r="8710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</row>
    <row r="8711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</row>
    <row r="871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</row>
    <row r="871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</row>
    <row r="8714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</row>
    <row r="8715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</row>
    <row r="8716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</row>
    <row r="8717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</row>
    <row r="8718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</row>
    <row r="8719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</row>
    <row r="8720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</row>
    <row r="8721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</row>
    <row r="872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</row>
    <row r="87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</row>
    <row r="8724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</row>
    <row r="8725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</row>
    <row r="8726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</row>
    <row r="8727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</row>
    <row r="8728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</row>
    <row r="8729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</row>
    <row r="8730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</row>
    <row r="8731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</row>
    <row r="873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</row>
    <row r="873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</row>
    <row r="8734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</row>
    <row r="8735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</row>
    <row r="8736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</row>
    <row r="8737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</row>
    <row r="8738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</row>
    <row r="8739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</row>
    <row r="8740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</row>
    <row r="8741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</row>
    <row r="874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</row>
    <row r="874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</row>
    <row r="8744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</row>
    <row r="8745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</row>
    <row r="8746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</row>
    <row r="8747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</row>
    <row r="8748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</row>
    <row r="8749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</row>
    <row r="8750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</row>
    <row r="8751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</row>
    <row r="875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</row>
    <row r="875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</row>
    <row r="8754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</row>
    <row r="8755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</row>
    <row r="8756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</row>
    <row r="8757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</row>
    <row r="8758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</row>
    <row r="8759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</row>
    <row r="8760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</row>
    <row r="8761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</row>
    <row r="876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</row>
    <row r="876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</row>
    <row r="8764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</row>
    <row r="8765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</row>
    <row r="8766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</row>
    <row r="8767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</row>
    <row r="8768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</row>
    <row r="8769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</row>
    <row r="8770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</row>
    <row r="8771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</row>
    <row r="877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</row>
    <row r="877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</row>
    <row r="8774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</row>
    <row r="8775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</row>
    <row r="8776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</row>
    <row r="8777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</row>
    <row r="8778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</row>
    <row r="8779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</row>
    <row r="8780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</row>
    <row r="8781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</row>
    <row r="878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</row>
    <row r="878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</row>
    <row r="8784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</row>
    <row r="8785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</row>
    <row r="8786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</row>
    <row r="8787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</row>
    <row r="8788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</row>
    <row r="8789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</row>
    <row r="8790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</row>
    <row r="8791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</row>
    <row r="879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</row>
    <row r="879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</row>
    <row r="8794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</row>
    <row r="8795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</row>
    <row r="8796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</row>
    <row r="8797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</row>
    <row r="8798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</row>
    <row r="8799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</row>
    <row r="8800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</row>
    <row r="8801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</row>
    <row r="880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</row>
    <row r="880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</row>
    <row r="8804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</row>
    <row r="8805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</row>
    <row r="8806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</row>
    <row r="8807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</row>
    <row r="8808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</row>
    <row r="8809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</row>
    <row r="8810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</row>
    <row r="8811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</row>
    <row r="881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</row>
    <row r="881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</row>
    <row r="8814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</row>
    <row r="8815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</row>
    <row r="8816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</row>
    <row r="8817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</row>
    <row r="8818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</row>
    <row r="8819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</row>
    <row r="8820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</row>
    <row r="8821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</row>
    <row r="882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</row>
    <row r="88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</row>
    <row r="8824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</row>
    <row r="8825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</row>
    <row r="8826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</row>
    <row r="8827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</row>
    <row r="8828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</row>
    <row r="8829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</row>
    <row r="8830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</row>
    <row r="8831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</row>
    <row r="883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</row>
    <row r="883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</row>
    <row r="8834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</row>
    <row r="8835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</row>
    <row r="8836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</row>
    <row r="8837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</row>
    <row r="8838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</row>
    <row r="8839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</row>
    <row r="8840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</row>
    <row r="8841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</row>
    <row r="884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</row>
    <row r="884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</row>
    <row r="8844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</row>
    <row r="8845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</row>
    <row r="8846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</row>
    <row r="8847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</row>
    <row r="8848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</row>
    <row r="8849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</row>
    <row r="8850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</row>
    <row r="8851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</row>
    <row r="885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</row>
    <row r="885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</row>
    <row r="8854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</row>
    <row r="8855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</row>
    <row r="8856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</row>
    <row r="8857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</row>
    <row r="8858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</row>
    <row r="8859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</row>
    <row r="8860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</row>
    <row r="8861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</row>
    <row r="886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</row>
    <row r="886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</row>
    <row r="8864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</row>
    <row r="8865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</row>
    <row r="8866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</row>
    <row r="8867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</row>
    <row r="8868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</row>
    <row r="8869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</row>
    <row r="8870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</row>
    <row r="8871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</row>
    <row r="887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</row>
    <row r="887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</row>
    <row r="8874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</row>
    <row r="8875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</row>
    <row r="8876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</row>
    <row r="8877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</row>
    <row r="8878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</row>
    <row r="8879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</row>
    <row r="8880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</row>
    <row r="8881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</row>
    <row r="888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</row>
    <row r="888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</row>
    <row r="8884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</row>
    <row r="8885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</row>
    <row r="8886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</row>
    <row r="8887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</row>
    <row r="8888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</row>
    <row r="8889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</row>
    <row r="8890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</row>
    <row r="8891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</row>
    <row r="889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</row>
    <row r="889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</row>
    <row r="8894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</row>
    <row r="8895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</row>
    <row r="8896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</row>
    <row r="8897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</row>
    <row r="8898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</row>
    <row r="8899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</row>
    <row r="8900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</row>
    <row r="8901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</row>
    <row r="890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</row>
    <row r="890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</row>
    <row r="8904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</row>
    <row r="8905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</row>
    <row r="8906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</row>
    <row r="8907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</row>
    <row r="8908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</row>
    <row r="8909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</row>
    <row r="8910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</row>
    <row r="8911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</row>
    <row r="891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</row>
    <row r="891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</row>
    <row r="8914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</row>
    <row r="8915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</row>
    <row r="8916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</row>
    <row r="8917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</row>
    <row r="8918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</row>
    <row r="8919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</row>
    <row r="8920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</row>
    <row r="8921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</row>
    <row r="892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</row>
    <row r="89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</row>
    <row r="8924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</row>
    <row r="8925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</row>
    <row r="8926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</row>
    <row r="8927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</row>
    <row r="8928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</row>
    <row r="8929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</row>
    <row r="8930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</row>
    <row r="8931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</row>
    <row r="893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</row>
    <row r="893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</row>
    <row r="8934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</row>
    <row r="8935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</row>
    <row r="8936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</row>
    <row r="8937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</row>
    <row r="8938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</row>
    <row r="8939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</row>
    <row r="8940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</row>
    <row r="8941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</row>
    <row r="894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</row>
    <row r="894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</row>
    <row r="8944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</row>
    <row r="8945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</row>
    <row r="8946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</row>
    <row r="8947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</row>
    <row r="8948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</row>
    <row r="8949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</row>
    <row r="8950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</row>
    <row r="8951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</row>
    <row r="895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</row>
    <row r="895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</row>
    <row r="8954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</row>
    <row r="8955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</row>
    <row r="8956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</row>
    <row r="8957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</row>
    <row r="8958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</row>
    <row r="8959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</row>
    <row r="8960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</row>
    <row r="8961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</row>
    <row r="896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</row>
    <row r="896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</row>
    <row r="8964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</row>
    <row r="8965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</row>
    <row r="8966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</row>
    <row r="8967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</row>
    <row r="8968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</row>
    <row r="8969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</row>
    <row r="8970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</row>
    <row r="8971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</row>
    <row r="897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</row>
    <row r="897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</row>
    <row r="8974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</row>
    <row r="8975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</row>
    <row r="8976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</row>
    <row r="8977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</row>
    <row r="8978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</row>
    <row r="8979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</row>
    <row r="8980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</row>
    <row r="8981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</row>
    <row r="898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</row>
    <row r="898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</row>
    <row r="8984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</row>
    <row r="8985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</row>
    <row r="8986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</row>
    <row r="8987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</row>
    <row r="8988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</row>
    <row r="8989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</row>
    <row r="8990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</row>
    <row r="8991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</row>
    <row r="899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</row>
    <row r="899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</row>
    <row r="8994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</row>
    <row r="8995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</row>
    <row r="8996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</row>
    <row r="8997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</row>
    <row r="8998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</row>
    <row r="8999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</row>
    <row r="9000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</row>
    <row r="9001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</row>
    <row r="900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</row>
    <row r="900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</row>
    <row r="9004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</row>
    <row r="9005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</row>
    <row r="9006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</row>
    <row r="9007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</row>
    <row r="9008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</row>
    <row r="9009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</row>
    <row r="9010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</row>
    <row r="9011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</row>
    <row r="901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</row>
    <row r="901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</row>
    <row r="9014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</row>
    <row r="9015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</row>
    <row r="9016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</row>
    <row r="9017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</row>
    <row r="9018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</row>
    <row r="9019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</row>
    <row r="9020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</row>
    <row r="9021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</row>
    <row r="902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</row>
    <row r="90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</row>
    <row r="9024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</row>
    <row r="9025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</row>
    <row r="9026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</row>
    <row r="9027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</row>
    <row r="9028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</row>
    <row r="9029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</row>
    <row r="9030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</row>
    <row r="9031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</row>
    <row r="903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</row>
    <row r="903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</row>
    <row r="9034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</row>
    <row r="9035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</row>
    <row r="9036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</row>
    <row r="9037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</row>
    <row r="9038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</row>
    <row r="9039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</row>
    <row r="9040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</row>
    <row r="9041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</row>
    <row r="904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</row>
    <row r="904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</row>
    <row r="9044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</row>
    <row r="9045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</row>
    <row r="9046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</row>
    <row r="9047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</row>
    <row r="9048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</row>
    <row r="9049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</row>
    <row r="9050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</row>
    <row r="9051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</row>
    <row r="905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</row>
    <row r="905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</row>
    <row r="9054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</row>
    <row r="9055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</row>
    <row r="9056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</row>
    <row r="9057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</row>
    <row r="9058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</row>
    <row r="9059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</row>
    <row r="9060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</row>
    <row r="9061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</row>
    <row r="906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</row>
    <row r="906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</row>
    <row r="9064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</row>
    <row r="9065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</row>
    <row r="9066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</row>
    <row r="9067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</row>
    <row r="9068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</row>
    <row r="9069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</row>
    <row r="9070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</row>
    <row r="9071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</row>
    <row r="907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</row>
    <row r="907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</row>
    <row r="9074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</row>
    <row r="9075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</row>
    <row r="9076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</row>
    <row r="9077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</row>
    <row r="9078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</row>
    <row r="9079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</row>
    <row r="9080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</row>
    <row r="9081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</row>
    <row r="908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</row>
    <row r="908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</row>
    <row r="9084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</row>
    <row r="9085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</row>
    <row r="9086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</row>
    <row r="9087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</row>
    <row r="9088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</row>
    <row r="9089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</row>
    <row r="9090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</row>
    <row r="9091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</row>
    <row r="909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</row>
    <row r="909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</row>
    <row r="9094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</row>
    <row r="9095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</row>
    <row r="9096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</row>
    <row r="9097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</row>
    <row r="9098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</row>
    <row r="9099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</row>
    <row r="9100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</row>
    <row r="9101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</row>
    <row r="910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</row>
    <row r="910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</row>
    <row r="9104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</row>
    <row r="9105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</row>
    <row r="9106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</row>
    <row r="9107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</row>
    <row r="9108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</row>
    <row r="9109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</row>
    <row r="9110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</row>
    <row r="9111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</row>
    <row r="911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</row>
    <row r="911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</row>
    <row r="9114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</row>
    <row r="9115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</row>
    <row r="9116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</row>
    <row r="9117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</row>
    <row r="9118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</row>
    <row r="9119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</row>
    <row r="9120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</row>
    <row r="9121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</row>
    <row r="912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</row>
    <row r="91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</row>
    <row r="9124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</row>
    <row r="9125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</row>
    <row r="9126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</row>
    <row r="9127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</row>
    <row r="9128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</row>
    <row r="9129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</row>
    <row r="9130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</row>
    <row r="9131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</row>
    <row r="913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</row>
    <row r="913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</row>
    <row r="9134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</row>
    <row r="9135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</row>
    <row r="9136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</row>
    <row r="9137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</row>
    <row r="9138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</row>
    <row r="9139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</row>
    <row r="9140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</row>
    <row r="9141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</row>
    <row r="914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</row>
    <row r="914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</row>
    <row r="9144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</row>
    <row r="9145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</row>
    <row r="9146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</row>
    <row r="9147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</row>
    <row r="9148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</row>
    <row r="9149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</row>
    <row r="9150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</row>
    <row r="9151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</row>
    <row r="915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</row>
    <row r="915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</row>
    <row r="9154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</row>
    <row r="9155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</row>
    <row r="9156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</row>
    <row r="9157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</row>
    <row r="9158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</row>
    <row r="9159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</row>
    <row r="9160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</row>
    <row r="9161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</row>
    <row r="916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</row>
    <row r="916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</row>
    <row r="9164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</row>
    <row r="9165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</row>
    <row r="9166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</row>
    <row r="9167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</row>
    <row r="9168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</row>
    <row r="9169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</row>
    <row r="9170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</row>
    <row r="9171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</row>
    <row r="917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</row>
    <row r="917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</row>
    <row r="9174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</row>
    <row r="9175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</row>
    <row r="9176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</row>
    <row r="9177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</row>
    <row r="9178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</row>
    <row r="9179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</row>
    <row r="9180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</row>
    <row r="9181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</row>
    <row r="918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</row>
    <row r="918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</row>
    <row r="9184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</row>
    <row r="9185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</row>
    <row r="9186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</row>
    <row r="9187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</row>
    <row r="9188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</row>
    <row r="9189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</row>
    <row r="9190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</row>
    <row r="9191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</row>
    <row r="919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</row>
    <row r="919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</row>
    <row r="9194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</row>
    <row r="9195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</row>
    <row r="9196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</row>
    <row r="9197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</row>
    <row r="9198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</row>
    <row r="9199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</row>
    <row r="9200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</row>
    <row r="9201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</row>
    <row r="920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</row>
    <row r="920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</row>
    <row r="9204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</row>
    <row r="9205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</row>
    <row r="9206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</row>
    <row r="9207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</row>
    <row r="9208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</row>
    <row r="9209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</row>
    <row r="9210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</row>
    <row r="9211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</row>
    <row r="921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</row>
    <row r="921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</row>
    <row r="9214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</row>
    <row r="9215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</row>
    <row r="9216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</row>
    <row r="9217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</row>
    <row r="9218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</row>
    <row r="9219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</row>
    <row r="9220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</row>
    <row r="9221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</row>
    <row r="922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</row>
    <row r="92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</row>
    <row r="9224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</row>
    <row r="9225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</row>
    <row r="9226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</row>
    <row r="9227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</row>
    <row r="9228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</row>
    <row r="9229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</row>
    <row r="9230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</row>
    <row r="9231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</row>
    <row r="923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</row>
    <row r="923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</row>
    <row r="9234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</row>
    <row r="9235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</row>
    <row r="9236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</row>
    <row r="9237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</row>
    <row r="9238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</row>
    <row r="9239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</row>
    <row r="9240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</row>
    <row r="9241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</row>
    <row r="924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</row>
    <row r="924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</row>
    <row r="9244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</row>
    <row r="9245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</row>
    <row r="9246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</row>
    <row r="9247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</row>
    <row r="9248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</row>
    <row r="9249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</row>
    <row r="9250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</row>
    <row r="9251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</row>
    <row r="925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</row>
    <row r="925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</row>
    <row r="9254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</row>
    <row r="9255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</row>
    <row r="9256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</row>
    <row r="9257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</row>
    <row r="9258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</row>
    <row r="9259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</row>
    <row r="9260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</row>
    <row r="9261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</row>
    <row r="926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</row>
    <row r="926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</row>
    <row r="9264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</row>
    <row r="9265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</row>
    <row r="9266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</row>
    <row r="9267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</row>
    <row r="9268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</row>
    <row r="9269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</row>
    <row r="9270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</row>
    <row r="9271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</row>
    <row r="927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</row>
    <row r="927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</row>
    <row r="9274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</row>
    <row r="9275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</row>
    <row r="9276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</row>
    <row r="9277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</row>
    <row r="9278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</row>
    <row r="9279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</row>
    <row r="9280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</row>
    <row r="9281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</row>
    <row r="928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</row>
    <row r="928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</row>
    <row r="9284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</row>
    <row r="9285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</row>
    <row r="9286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</row>
    <row r="9287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</row>
    <row r="9288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</row>
    <row r="9289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</row>
    <row r="9290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</row>
    <row r="9291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</row>
    <row r="929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</row>
    <row r="929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</row>
    <row r="9294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</row>
    <row r="9295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</row>
    <row r="9296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</row>
    <row r="9297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</row>
    <row r="9298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</row>
    <row r="9299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</row>
    <row r="9300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</row>
    <row r="9301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</row>
    <row r="930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</row>
    <row r="930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</row>
    <row r="9304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</row>
    <row r="9305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</row>
    <row r="9306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</row>
    <row r="9307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</row>
    <row r="9308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</row>
    <row r="9309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</row>
    <row r="9310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</row>
    <row r="9311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</row>
    <row r="931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</row>
    <row r="931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</row>
    <row r="9314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</row>
    <row r="9315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</row>
    <row r="9316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</row>
    <row r="9317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</row>
    <row r="9318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</row>
    <row r="9319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</row>
    <row r="9320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</row>
    <row r="9321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</row>
    <row r="932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</row>
    <row r="93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</row>
    <row r="9324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</row>
    <row r="9325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</row>
    <row r="9326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</row>
    <row r="9327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</row>
    <row r="9328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</row>
    <row r="9329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</row>
    <row r="9330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</row>
    <row r="9331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</row>
    <row r="933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</row>
    <row r="933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</row>
    <row r="9334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</row>
    <row r="9335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</row>
    <row r="9336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</row>
    <row r="9337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</row>
    <row r="9338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</row>
    <row r="9339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</row>
    <row r="9340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</row>
    <row r="9341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</row>
    <row r="934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</row>
    <row r="934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</row>
    <row r="9344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</row>
    <row r="9345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</row>
    <row r="9346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</row>
    <row r="9347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</row>
    <row r="9348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</row>
    <row r="9349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</row>
    <row r="9350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</row>
    <row r="9351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</row>
    <row r="935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</row>
    <row r="935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</row>
    <row r="9354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</row>
    <row r="9355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</row>
    <row r="9356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</row>
    <row r="9357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</row>
    <row r="9358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</row>
    <row r="9359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</row>
    <row r="9360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</row>
    <row r="9361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</row>
    <row r="936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</row>
    <row r="936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</row>
    <row r="9364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</row>
    <row r="9365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</row>
    <row r="9366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</row>
    <row r="9367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</row>
    <row r="9368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</row>
    <row r="9369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</row>
    <row r="9370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</row>
    <row r="9371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</row>
    <row r="937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</row>
    <row r="937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</row>
    <row r="9374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</row>
    <row r="9375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</row>
    <row r="9376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</row>
    <row r="9377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</row>
    <row r="9378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</row>
    <row r="9379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</row>
    <row r="9380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</row>
    <row r="9381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</row>
    <row r="938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</row>
    <row r="938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</row>
    <row r="9384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</row>
    <row r="9385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</row>
    <row r="9386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</row>
    <row r="9387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</row>
    <row r="9388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</row>
    <row r="9389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</row>
    <row r="9390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</row>
    <row r="9391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</row>
    <row r="939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</row>
    <row r="939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</row>
    <row r="9394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</row>
    <row r="9395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</row>
    <row r="9396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</row>
    <row r="9397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</row>
    <row r="9398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</row>
    <row r="9399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</row>
    <row r="9400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</row>
    <row r="9401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</row>
    <row r="940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</row>
    <row r="940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</row>
    <row r="9404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</row>
    <row r="9405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</row>
    <row r="9406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</row>
    <row r="9407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</row>
    <row r="9408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</row>
    <row r="9409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</row>
    <row r="9410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</row>
    <row r="9411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</row>
    <row r="941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</row>
    <row r="941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</row>
    <row r="9414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</row>
    <row r="9415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</row>
    <row r="9416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</row>
    <row r="9417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</row>
    <row r="9418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</row>
    <row r="9419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</row>
    <row r="9420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</row>
    <row r="9421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</row>
    <row r="942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</row>
    <row r="94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</row>
    <row r="9424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</row>
    <row r="9425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</row>
    <row r="9426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</row>
    <row r="9427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</row>
    <row r="9428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</row>
    <row r="9429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</row>
    <row r="9430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</row>
    <row r="9431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</row>
    <row r="943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</row>
    <row r="943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</row>
    <row r="9434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</row>
    <row r="9435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</row>
    <row r="9436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</row>
    <row r="9437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</row>
    <row r="9438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</row>
    <row r="9439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</row>
    <row r="9440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</row>
    <row r="9441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</row>
    <row r="944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</row>
    <row r="944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</row>
    <row r="9444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</row>
    <row r="9445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</row>
    <row r="9446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</row>
    <row r="9447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</row>
    <row r="9448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</row>
    <row r="9449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</row>
    <row r="9450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</row>
    <row r="9451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</row>
    <row r="945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</row>
    <row r="945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</row>
    <row r="9454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</row>
    <row r="9455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</row>
    <row r="9456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</row>
    <row r="9457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</row>
    <row r="9458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</row>
    <row r="9459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</row>
    <row r="9460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</row>
    <row r="9461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</row>
    <row r="946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</row>
    <row r="946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</row>
    <row r="9464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</row>
    <row r="9465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</row>
    <row r="9466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</row>
    <row r="9467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</row>
    <row r="9468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</row>
    <row r="9469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</row>
    <row r="9470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</row>
    <row r="9471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</row>
    <row r="947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</row>
    <row r="947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</row>
    <row r="9474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</row>
    <row r="9475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</row>
    <row r="9476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</row>
    <row r="9477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</row>
    <row r="9478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</row>
    <row r="9479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</row>
    <row r="9480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</row>
    <row r="9481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</row>
    <row r="948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</row>
    <row r="948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</row>
    <row r="9484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</row>
    <row r="9485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</row>
    <row r="9486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</row>
    <row r="9487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</row>
    <row r="9488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</row>
    <row r="9489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</row>
    <row r="9490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</row>
    <row r="9491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</row>
    <row r="949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</row>
    <row r="949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</row>
    <row r="9494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</row>
    <row r="9495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</row>
    <row r="9496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</row>
    <row r="9497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</row>
    <row r="9498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</row>
    <row r="9499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</row>
    <row r="9500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</row>
    <row r="9501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</row>
    <row r="950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</row>
    <row r="950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</row>
    <row r="9504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</row>
    <row r="9505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</row>
    <row r="9506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</row>
    <row r="9507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</row>
    <row r="9508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</row>
    <row r="9509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</row>
    <row r="9510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</row>
    <row r="9511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</row>
    <row r="951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</row>
    <row r="951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</row>
    <row r="9514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</row>
    <row r="9515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</row>
    <row r="9516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</row>
    <row r="9517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</row>
    <row r="9518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</row>
    <row r="9519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</row>
    <row r="9520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</row>
    <row r="9521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</row>
    <row r="952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</row>
    <row r="95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</row>
    <row r="9524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</row>
    <row r="9525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</row>
    <row r="9526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</row>
    <row r="9527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</row>
    <row r="9528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</row>
    <row r="9529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</row>
    <row r="9530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</row>
    <row r="9531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</row>
    <row r="953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</row>
    <row r="953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</row>
    <row r="9534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</row>
    <row r="9535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</row>
    <row r="9536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</row>
    <row r="9537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</row>
    <row r="9538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</row>
    <row r="9539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</row>
    <row r="9540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</row>
    <row r="9541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</row>
    <row r="954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</row>
    <row r="954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</row>
    <row r="9544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</row>
    <row r="9545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</row>
    <row r="9546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</row>
    <row r="9547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</row>
    <row r="9548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</row>
    <row r="9549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</row>
    <row r="9550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</row>
    <row r="9551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</row>
    <row r="955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</row>
    <row r="955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</row>
    <row r="9554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</row>
    <row r="9555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</row>
    <row r="9556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</row>
    <row r="9557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</row>
    <row r="9558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</row>
    <row r="9559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</row>
    <row r="9560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</row>
    <row r="9561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</row>
    <row r="956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</row>
    <row r="956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</row>
    <row r="9564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</row>
    <row r="9565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</row>
    <row r="9566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</row>
    <row r="9567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</row>
    <row r="9568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</row>
    <row r="9569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</row>
    <row r="9570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</row>
    <row r="9571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</row>
    <row r="957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</row>
    <row r="957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</row>
    <row r="9574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</row>
    <row r="9575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</row>
    <row r="9576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</row>
    <row r="9577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</row>
    <row r="9578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</row>
    <row r="9579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</row>
    <row r="9580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</row>
    <row r="9581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</row>
    <row r="958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</row>
    <row r="958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</row>
    <row r="9584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</row>
    <row r="9585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</row>
    <row r="9586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</row>
    <row r="9587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</row>
    <row r="9588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</row>
    <row r="9589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</row>
    <row r="9590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</row>
    <row r="9591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</row>
    <row r="959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</row>
    <row r="959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</row>
    <row r="9594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</row>
    <row r="9595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</row>
    <row r="9596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</row>
    <row r="9597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</row>
    <row r="9598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</row>
    <row r="9599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</row>
    <row r="9600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</row>
    <row r="9601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</row>
    <row r="960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</row>
    <row r="960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</row>
    <row r="9604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</row>
    <row r="9605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</row>
    <row r="9606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</row>
    <row r="9607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</row>
    <row r="9608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</row>
    <row r="9609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</row>
    <row r="9610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</row>
    <row r="9611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</row>
    <row r="961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</row>
    <row r="961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</row>
    <row r="9614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</row>
    <row r="9615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</row>
    <row r="9616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</row>
    <row r="9617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</row>
    <row r="9618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</row>
    <row r="9619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</row>
    <row r="9620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</row>
    <row r="9621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</row>
    <row r="962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</row>
    <row r="96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</row>
    <row r="9624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</row>
    <row r="9625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</row>
    <row r="9626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</row>
    <row r="9627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</row>
    <row r="9628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</row>
    <row r="9629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</row>
    <row r="9630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</row>
    <row r="9631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</row>
    <row r="963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</row>
    <row r="963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</row>
    <row r="9634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</row>
    <row r="9635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</row>
    <row r="9636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</row>
    <row r="9637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</row>
    <row r="9638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</row>
    <row r="9639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</row>
    <row r="9640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</row>
    <row r="9641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</row>
    <row r="964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</row>
    <row r="964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</row>
    <row r="9644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</row>
    <row r="9645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</row>
    <row r="9646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</row>
    <row r="9647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</row>
    <row r="9648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</row>
    <row r="9649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</row>
    <row r="9650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</row>
    <row r="9651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</row>
    <row r="965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</row>
    <row r="965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</row>
    <row r="9654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</row>
    <row r="9655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</row>
    <row r="9656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</row>
    <row r="9657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</row>
    <row r="9658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</row>
    <row r="9659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</row>
    <row r="9660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</row>
    <row r="9661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</row>
    <row r="966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</row>
    <row r="966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</row>
    <row r="9664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</row>
    <row r="9665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</row>
    <row r="9666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</row>
    <row r="9667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</row>
    <row r="9668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</row>
    <row r="9669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</row>
    <row r="9670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</row>
    <row r="9671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</row>
    <row r="967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</row>
    <row r="967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</row>
    <row r="9674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</row>
    <row r="9675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</row>
    <row r="9676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</row>
    <row r="9677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</row>
    <row r="9678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</row>
    <row r="9679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</row>
    <row r="9680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</row>
    <row r="9681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</row>
    <row r="968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</row>
    <row r="968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</row>
    <row r="9684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</row>
    <row r="9685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</row>
    <row r="9686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</row>
    <row r="9687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</row>
    <row r="9688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</row>
    <row r="9689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</row>
    <row r="9690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</row>
    <row r="9691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</row>
    <row r="969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</row>
    <row r="969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</row>
    <row r="9694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</row>
    <row r="9695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</row>
    <row r="9696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</row>
    <row r="9697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</row>
    <row r="9698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</row>
    <row r="9699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</row>
    <row r="9700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</row>
    <row r="9701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</row>
    <row r="970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</row>
    <row r="970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</row>
    <row r="9704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</row>
    <row r="9705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</row>
    <row r="9706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</row>
    <row r="9707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</row>
    <row r="9708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</row>
    <row r="9709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</row>
    <row r="9710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</row>
    <row r="9711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</row>
    <row r="971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</row>
    <row r="971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</row>
    <row r="9714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</row>
    <row r="9715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</row>
    <row r="9716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</row>
    <row r="9717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</row>
    <row r="9718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</row>
    <row r="9719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</row>
    <row r="9720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</row>
    <row r="9721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</row>
    <row r="972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</row>
    <row r="97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</row>
    <row r="9724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</row>
    <row r="9725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</row>
    <row r="9726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</row>
    <row r="9727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</row>
    <row r="9728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</row>
    <row r="9729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</row>
    <row r="9730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</row>
    <row r="9731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</row>
    <row r="973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</row>
    <row r="973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</row>
    <row r="9734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</row>
    <row r="9735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</row>
    <row r="9736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</row>
    <row r="9737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</row>
    <row r="9738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</row>
    <row r="9739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</row>
    <row r="9740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</row>
    <row r="9741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</row>
    <row r="974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</row>
    <row r="974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</row>
    <row r="9744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</row>
    <row r="9745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</row>
    <row r="9746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</row>
    <row r="9747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</row>
    <row r="9748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</row>
    <row r="9749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</row>
    <row r="9750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</row>
    <row r="9751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</row>
    <row r="975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</row>
    <row r="975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</row>
    <row r="9754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</row>
    <row r="9755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</row>
    <row r="9756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</row>
    <row r="9757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</row>
    <row r="9758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</row>
    <row r="9759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</row>
    <row r="9760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</row>
    <row r="9761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</row>
    <row r="976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</row>
    <row r="976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</row>
    <row r="9764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</row>
    <row r="9765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</row>
    <row r="9766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</row>
    <row r="9767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</row>
    <row r="9768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</row>
    <row r="9769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</row>
    <row r="9770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</row>
    <row r="9771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</row>
    <row r="977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</row>
    <row r="977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</row>
    <row r="9774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</row>
    <row r="9775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</row>
    <row r="9776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</row>
    <row r="9777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</row>
    <row r="9778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</row>
    <row r="9779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</row>
    <row r="9780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</row>
    <row r="9781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</row>
    <row r="978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</row>
    <row r="978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</row>
    <row r="9784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</row>
    <row r="9785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</row>
    <row r="9786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</row>
    <row r="9787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</row>
    <row r="9788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</row>
    <row r="9789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</row>
    <row r="9790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</row>
    <row r="9791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</row>
    <row r="979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</row>
    <row r="979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</row>
    <row r="9794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</row>
    <row r="9795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</row>
    <row r="9796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</row>
    <row r="9797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</row>
    <row r="9798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</row>
    <row r="9799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</row>
    <row r="9800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</row>
    <row r="9801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</row>
    <row r="980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</row>
    <row r="980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</row>
    <row r="9804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</row>
    <row r="9805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</row>
    <row r="9806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</row>
    <row r="9807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</row>
    <row r="9808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</row>
    <row r="9809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</row>
    <row r="9810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</row>
    <row r="9811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</row>
    <row r="981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</row>
    <row r="981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</row>
    <row r="9814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</row>
    <row r="9815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</row>
    <row r="9816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</row>
    <row r="9817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</row>
    <row r="9818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</row>
    <row r="9819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</row>
    <row r="9820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</row>
    <row r="9821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</row>
    <row r="982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</row>
    <row r="98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</row>
    <row r="9824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</row>
    <row r="9825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</row>
    <row r="9826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</row>
    <row r="9827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</row>
    <row r="9828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</row>
    <row r="9829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</row>
    <row r="9830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</row>
    <row r="9831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</row>
    <row r="983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</row>
    <row r="983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</row>
    <row r="9834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</row>
    <row r="9835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</row>
    <row r="9836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</row>
    <row r="9837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</row>
    <row r="9838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</row>
    <row r="9839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</row>
    <row r="9840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</row>
    <row r="9841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</row>
    <row r="984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</row>
    <row r="984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</row>
    <row r="9844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</row>
    <row r="9845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</row>
    <row r="9846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</row>
    <row r="9847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</row>
    <row r="9848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</row>
    <row r="9849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</row>
    <row r="9850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</row>
    <row r="9851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</row>
    <row r="985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</row>
    <row r="985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</row>
    <row r="9854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</row>
    <row r="9855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</row>
    <row r="9856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</row>
    <row r="9857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</row>
    <row r="9858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</row>
    <row r="9859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</row>
    <row r="9860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</row>
    <row r="9861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</row>
    <row r="986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</row>
    <row r="986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</row>
    <row r="9864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</row>
    <row r="9865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</row>
    <row r="9866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</row>
    <row r="9867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</row>
    <row r="9868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</row>
    <row r="9869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</row>
    <row r="9870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</row>
    <row r="9871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</row>
    <row r="987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</row>
    <row r="987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</row>
    <row r="9874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</row>
    <row r="9875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</row>
    <row r="9876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</row>
    <row r="9877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</row>
    <row r="9878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</row>
    <row r="9879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</row>
    <row r="9880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</row>
    <row r="9881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</row>
    <row r="988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</row>
    <row r="988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</row>
    <row r="9884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</row>
    <row r="9885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</row>
    <row r="9886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</row>
    <row r="9887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</row>
    <row r="9888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</row>
    <row r="9889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</row>
    <row r="9890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</row>
    <row r="9891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</row>
    <row r="989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</row>
    <row r="989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</row>
    <row r="9894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</row>
    <row r="9895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</row>
    <row r="9896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</row>
    <row r="9897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</row>
    <row r="9898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</row>
    <row r="9899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</row>
    <row r="9900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</row>
    <row r="9901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</row>
    <row r="990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</row>
    <row r="990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</row>
    <row r="9904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</row>
    <row r="9905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</row>
    <row r="9906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</row>
    <row r="9907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</row>
    <row r="9908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</row>
    <row r="9909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</row>
    <row r="9910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</row>
    <row r="9911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</row>
    <row r="991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</row>
    <row r="991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</row>
    <row r="9914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</row>
    <row r="9915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</row>
    <row r="9916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</row>
    <row r="9917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</row>
    <row r="9918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</row>
    <row r="9919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</row>
    <row r="9920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</row>
    <row r="9921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</row>
    <row r="992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</row>
    <row r="99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</row>
    <row r="9924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</row>
    <row r="9925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</row>
    <row r="9926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</row>
    <row r="9927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</row>
    <row r="9928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</row>
    <row r="9929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</row>
    <row r="9930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</row>
    <row r="9931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</row>
    <row r="993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</row>
    <row r="993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</row>
    <row r="9934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</row>
    <row r="9935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</row>
    <row r="9936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</row>
    <row r="9937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</row>
    <row r="9938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</row>
    <row r="9939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</row>
    <row r="9940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</row>
    <row r="9941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</row>
    <row r="994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</row>
    <row r="994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</row>
    <row r="9944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</row>
    <row r="9945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</row>
    <row r="9946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</row>
    <row r="9947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</row>
    <row r="9948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</row>
    <row r="9949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</row>
    <row r="9950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</row>
    <row r="9951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</row>
    <row r="995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</row>
    <row r="995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</row>
    <row r="9954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</row>
    <row r="9955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</row>
    <row r="9956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</row>
    <row r="9957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</row>
    <row r="9958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</row>
    <row r="9959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</row>
    <row r="9960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</row>
    <row r="9961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</row>
    <row r="996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</row>
    <row r="996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</row>
    <row r="9964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</row>
    <row r="9965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</row>
    <row r="9966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</row>
    <row r="9967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</row>
    <row r="9968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</row>
    <row r="9969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</row>
    <row r="9970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</row>
    <row r="9971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</row>
    <row r="997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</row>
    <row r="997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</row>
    <row r="9974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</row>
    <row r="9975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</row>
    <row r="9976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</row>
    <row r="9977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</row>
    <row r="9978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</row>
    <row r="9979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</row>
    <row r="9980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</row>
    <row r="9981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</row>
    <row r="998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</row>
    <row r="998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</row>
    <row r="9984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</row>
    <row r="9985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</row>
    <row r="9986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</row>
    <row r="9987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</row>
    <row r="9988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</row>
    <row r="9989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</row>
    <row r="9990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</row>
    <row r="9991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</row>
    <row r="999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</row>
    <row r="999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</row>
    <row r="9994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</row>
    <row r="9995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</row>
    <row r="9996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</row>
    <row r="9997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</row>
    <row r="9998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</row>
    <row r="9999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</row>
    <row r="10000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</row>
    <row r="10001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</row>
    <row r="1000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</row>
    <row r="1000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</row>
    <row r="10004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</row>
    <row r="10005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</row>
    <row r="10006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</row>
    <row r="10007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</row>
    <row r="10008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</row>
    <row r="10009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</row>
    <row r="10010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</row>
    <row r="10011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</row>
    <row r="1001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</row>
    <row r="1001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</row>
    <row r="10014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</row>
    <row r="10015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</row>
    <row r="10016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</row>
    <row r="10017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</row>
    <row r="10018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</row>
    <row r="10019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</row>
    <row r="10020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</row>
    <row r="10021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</row>
    <row r="1002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</row>
    <row r="100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</row>
    <row r="10024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</row>
    <row r="10025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</row>
    <row r="10026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</row>
    <row r="10027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</row>
    <row r="10028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</row>
    <row r="10029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</row>
    <row r="10030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</row>
    <row r="10031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</row>
    <row r="1003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</row>
    <row r="1003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</row>
    <row r="10034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</row>
    <row r="10035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</row>
    <row r="10036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</row>
    <row r="10037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</row>
    <row r="10038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</row>
    <row r="10039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</row>
    <row r="10040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</row>
    <row r="10041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</row>
    <row r="1004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</row>
    <row r="1004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</row>
    <row r="10044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</row>
    <row r="10045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</row>
    <row r="10046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</row>
    <row r="10047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</row>
    <row r="10048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</row>
    <row r="10049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</row>
    <row r="10050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</row>
    <row r="10051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</row>
    <row r="1005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</row>
    <row r="1005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</row>
    <row r="10054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</row>
    <row r="10055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</row>
    <row r="10056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</row>
    <row r="10057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</row>
    <row r="10058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</row>
    <row r="10059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</row>
    <row r="10060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</row>
    <row r="10061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</row>
    <row r="1006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</row>
    <row r="1006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</row>
    <row r="10064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</row>
    <row r="10065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</row>
    <row r="10066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</row>
    <row r="10067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</row>
    <row r="10068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</row>
    <row r="10069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</row>
    <row r="10070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</row>
    <row r="10071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</row>
    <row r="1007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</row>
    <row r="1007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</row>
    <row r="10074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</row>
    <row r="10075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</row>
    <row r="10076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</row>
    <row r="10077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</row>
    <row r="10078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</row>
    <row r="10079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</row>
    <row r="10080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</row>
    <row r="10081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</row>
    <row r="1008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</row>
    <row r="1008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</row>
    <row r="10084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</row>
    <row r="10085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</row>
    <row r="10086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</row>
    <row r="10087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</row>
    <row r="10088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</row>
    <row r="10089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</row>
    <row r="10090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</row>
    <row r="10091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</row>
    <row r="1009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</row>
    <row r="1009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</row>
    <row r="10094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</row>
    <row r="10095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</row>
    <row r="10096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</row>
    <row r="10097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</row>
    <row r="10098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</row>
    <row r="10099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</row>
    <row r="10100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</row>
    <row r="10101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</row>
    <row r="1010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</row>
    <row r="1010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</row>
    <row r="10104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</row>
    <row r="10105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</row>
    <row r="10106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</row>
    <row r="10107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</row>
    <row r="10108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</row>
    <row r="10109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</row>
    <row r="10110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</row>
    <row r="10111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</row>
    <row r="1011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</row>
    <row r="1011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</row>
    <row r="10114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</row>
    <row r="10115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</row>
    <row r="10116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</row>
    <row r="10117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</row>
    <row r="10118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</row>
    <row r="10119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</row>
    <row r="10120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</row>
    <row r="10121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</row>
    <row r="1012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</row>
    <row r="101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</row>
    <row r="10124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</row>
    <row r="10125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</row>
    <row r="10126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</row>
    <row r="10127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</row>
    <row r="10128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</row>
    <row r="10129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</row>
    <row r="10130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</row>
    <row r="10131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</row>
    <row r="1013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</row>
    <row r="1013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</row>
    <row r="10134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</row>
    <row r="10135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</row>
    <row r="10136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</row>
    <row r="10137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</row>
    <row r="10138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</row>
    <row r="10139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</row>
    <row r="10140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</row>
    <row r="10141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</row>
    <row r="1014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</row>
    <row r="1014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</row>
    <row r="10144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</row>
    <row r="10145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</row>
    <row r="10146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</row>
    <row r="10147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</row>
    <row r="10148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</row>
    <row r="10149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</row>
    <row r="10150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</row>
    <row r="10151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</row>
    <row r="1015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</row>
    <row r="1015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</row>
    <row r="10154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</row>
    <row r="10155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</row>
    <row r="10156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</row>
    <row r="10157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</row>
    <row r="10158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</row>
    <row r="10159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</row>
    <row r="10160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</row>
    <row r="10161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</row>
    <row r="1016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</row>
    <row r="1016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</row>
    <row r="10164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</row>
    <row r="10165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</row>
    <row r="10166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</row>
    <row r="10167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</row>
    <row r="10168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</row>
    <row r="10169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</row>
    <row r="10170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</row>
    <row r="10171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</row>
    <row r="1017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</row>
    <row r="1017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</row>
    <row r="10174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</row>
    <row r="10175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</row>
    <row r="10176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</row>
    <row r="10177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</row>
    <row r="10178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</row>
    <row r="10179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</row>
    <row r="10180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</row>
    <row r="10181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</row>
    <row r="1018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</row>
    <row r="1018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</row>
    <row r="10184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</row>
    <row r="10185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</row>
    <row r="10186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</row>
    <row r="10187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</row>
    <row r="10188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</row>
    <row r="10189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</row>
    <row r="10190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</row>
    <row r="10191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</row>
    <row r="1019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</row>
    <row r="1019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</row>
    <row r="10194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</row>
    <row r="10195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</row>
    <row r="10196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</row>
    <row r="10197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</row>
    <row r="10198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</row>
    <row r="10199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</row>
    <row r="10200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</row>
    <row r="10201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</row>
    <row r="1020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</row>
    <row r="1020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</row>
    <row r="10204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</row>
    <row r="10205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</row>
    <row r="10206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</row>
    <row r="10207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</row>
    <row r="10208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</row>
    <row r="10209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</row>
    <row r="10210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</row>
    <row r="10211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</row>
    <row r="1021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</row>
    <row r="1021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</row>
    <row r="10214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</row>
    <row r="10215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</row>
    <row r="10216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</row>
    <row r="10217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</row>
    <row r="10218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</row>
    <row r="10219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</row>
    <row r="10220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</row>
    <row r="10221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</row>
    <row r="1022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</row>
    <row r="102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</row>
    <row r="10224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</row>
    <row r="10225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</row>
    <row r="10226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</row>
    <row r="10227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</row>
    <row r="10228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</row>
    <row r="10229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</row>
    <row r="10230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</row>
    <row r="10231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</row>
    <row r="1023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</row>
    <row r="1023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</row>
    <row r="10234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</row>
    <row r="10235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</row>
    <row r="10236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</row>
    <row r="10237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</row>
    <row r="10238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</row>
    <row r="10239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</row>
    <row r="10240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</row>
    <row r="10241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</row>
    <row r="1024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</row>
    <row r="1024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</row>
    <row r="10244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</row>
    <row r="10245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</row>
    <row r="10246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</row>
    <row r="10247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</row>
    <row r="10248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</row>
    <row r="10249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</row>
    <row r="10250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</row>
    <row r="10251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</row>
    <row r="1025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</row>
    <row r="1025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</row>
    <row r="10254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</row>
    <row r="10255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</row>
    <row r="10256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</row>
    <row r="10257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</row>
    <row r="10258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</row>
    <row r="10259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</row>
    <row r="10260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</row>
    <row r="10261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</row>
    <row r="1026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</row>
    <row r="1026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</row>
    <row r="10264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</row>
    <row r="10265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</row>
    <row r="10266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</row>
    <row r="10267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</row>
    <row r="10268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</row>
    <row r="10269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</row>
    <row r="10270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</row>
    <row r="10271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</row>
    <row r="1027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</row>
    <row r="1027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</row>
    <row r="10274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</row>
    <row r="10275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</row>
    <row r="10276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</row>
    <row r="10277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</row>
    <row r="10278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</row>
    <row r="10279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</row>
    <row r="10280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</row>
    <row r="10281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</row>
    <row r="1028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</row>
    <row r="1028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</row>
    <row r="10284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</row>
    <row r="10285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</row>
    <row r="10286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</row>
    <row r="10287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</row>
    <row r="10288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</row>
    <row r="10289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</row>
    <row r="10290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</row>
    <row r="10291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</row>
    <row r="1029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</row>
    <row r="1029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</row>
    <row r="10294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</row>
    <row r="10295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</row>
    <row r="10296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</row>
    <row r="10297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</row>
    <row r="10298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</row>
    <row r="10299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</row>
    <row r="10300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</row>
    <row r="10301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</row>
    <row r="1030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</row>
    <row r="1030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</row>
    <row r="10304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</row>
    <row r="10305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</row>
    <row r="10306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</row>
    <row r="10307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</row>
    <row r="10308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</row>
    <row r="10309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</row>
    <row r="10310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</row>
    <row r="10311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</row>
    <row r="1031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</row>
    <row r="1031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</row>
    <row r="10314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</row>
    <row r="10315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</row>
    <row r="10316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</row>
    <row r="10317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</row>
    <row r="10318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</row>
    <row r="10319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</row>
    <row r="10320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</row>
    <row r="10321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</row>
    <row r="1032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</row>
    <row r="103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</row>
    <row r="10324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</row>
    <row r="10325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</row>
    <row r="10326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</row>
    <row r="10327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</row>
    <row r="10328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</row>
    <row r="10329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</row>
    <row r="10330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</row>
    <row r="10331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</row>
    <row r="1033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</row>
    <row r="1033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</row>
    <row r="10334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</row>
    <row r="10335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</row>
    <row r="10336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</row>
    <row r="10337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</row>
    <row r="10338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</row>
    <row r="10339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</row>
    <row r="10340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</row>
    <row r="10341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</row>
    <row r="1034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</row>
    <row r="1034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</row>
    <row r="10344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</row>
    <row r="10345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</row>
    <row r="10346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</row>
    <row r="10347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</row>
    <row r="10348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</row>
    <row r="10349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</row>
    <row r="10350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</row>
    <row r="10351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</row>
    <row r="1035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</row>
    <row r="1035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</row>
    <row r="10354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</row>
    <row r="10355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</row>
    <row r="10356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</row>
    <row r="10357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</row>
    <row r="10358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</row>
    <row r="10359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</row>
    <row r="10360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</row>
    <row r="10361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</row>
    <row r="1036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</row>
    <row r="1036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</row>
    <row r="10364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</row>
    <row r="10365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</row>
    <row r="10366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</row>
    <row r="10367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</row>
    <row r="10368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</row>
    <row r="10369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</row>
    <row r="10370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</row>
    <row r="10371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</row>
    <row r="1037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</row>
    <row r="1037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</row>
    <row r="10374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</row>
    <row r="10375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</row>
    <row r="10376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</row>
    <row r="10377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</row>
    <row r="10378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</row>
    <row r="10379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</row>
    <row r="10380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</row>
    <row r="10381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</row>
    <row r="1038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</row>
    <row r="1038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</row>
    <row r="10384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</row>
    <row r="10385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</row>
    <row r="10386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</row>
    <row r="10387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</row>
    <row r="10388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</row>
    <row r="10389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</row>
    <row r="10390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</row>
    <row r="10391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</row>
    <row r="1039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</row>
    <row r="1039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</row>
    <row r="10394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</row>
    <row r="10395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</row>
    <row r="10396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</row>
    <row r="10397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</row>
    <row r="10398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</row>
    <row r="10399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</row>
    <row r="10400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</row>
    <row r="10401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</row>
    <row r="1040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</row>
    <row r="1040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</row>
    <row r="10404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</row>
    <row r="10405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</row>
    <row r="10406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</row>
    <row r="10407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</row>
    <row r="10408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</row>
    <row r="10409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</row>
    <row r="10410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</row>
    <row r="10411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</row>
    <row r="1041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</row>
    <row r="1041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</row>
    <row r="10414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</row>
    <row r="10415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</row>
    <row r="10416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</row>
    <row r="10417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</row>
    <row r="10418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</row>
    <row r="10419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</row>
    <row r="10420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</row>
    <row r="10421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</row>
    <row r="1042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</row>
    <row r="104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</row>
    <row r="10424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</row>
    <row r="10425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</row>
    <row r="10426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</row>
    <row r="10427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</row>
    <row r="10428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</row>
    <row r="10429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</row>
    <row r="10430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</row>
    <row r="10431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</row>
    <row r="1043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</row>
    <row r="1043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</row>
    <row r="10434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</row>
    <row r="10435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</row>
    <row r="10436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</row>
    <row r="10437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</row>
    <row r="10438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</row>
    <row r="10439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</row>
    <row r="10440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</row>
    <row r="10441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</row>
    <row r="1044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</row>
    <row r="1044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</row>
    <row r="10444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</row>
    <row r="10445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</row>
    <row r="10446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</row>
    <row r="10447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</row>
    <row r="10448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</row>
    <row r="10449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</row>
    <row r="10450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</row>
    <row r="10451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</row>
    <row r="1045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</row>
    <row r="1045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</row>
    <row r="10454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</row>
    <row r="10455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</row>
    <row r="10456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</row>
    <row r="10457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</row>
    <row r="10458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</row>
    <row r="10459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</row>
    <row r="10460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</row>
    <row r="10461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</row>
    <row r="1046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</row>
    <row r="1046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</row>
    <row r="10464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</row>
    <row r="10465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</row>
    <row r="10466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</row>
    <row r="10467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</row>
    <row r="10468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</row>
    <row r="10469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</row>
    <row r="10470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</row>
    <row r="10471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</row>
    <row r="1047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</row>
    <row r="1047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</row>
    <row r="10474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</row>
    <row r="10475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</row>
    <row r="10476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</row>
    <row r="10477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</row>
    <row r="10478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</row>
    <row r="10479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</row>
    <row r="10480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</row>
    <row r="10481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</row>
    <row r="1048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</row>
    <row r="1048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</row>
    <row r="10484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</row>
    <row r="10485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</row>
    <row r="10486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</row>
    <row r="10487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</row>
    <row r="10488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</row>
    <row r="10489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</row>
    <row r="10490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</row>
    <row r="10491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</row>
    <row r="1049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</row>
    <row r="1049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</row>
    <row r="10494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</row>
    <row r="10495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</row>
    <row r="10496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</row>
    <row r="10497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</row>
    <row r="10498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</row>
    <row r="10499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</row>
    <row r="10500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</row>
    <row r="10501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</row>
    <row r="1050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</row>
    <row r="1050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</row>
    <row r="10504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</row>
    <row r="10505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</row>
    <row r="10506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</row>
    <row r="10507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</row>
    <row r="10508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</row>
    <row r="10509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</row>
    <row r="10510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</row>
    <row r="10511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</row>
    <row r="1051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</row>
    <row r="1051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</row>
    <row r="10514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</row>
    <row r="10515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</row>
    <row r="10516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</row>
    <row r="10517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</row>
    <row r="10518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</row>
    <row r="10519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</row>
    <row r="10520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</row>
    <row r="10521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</row>
    <row r="1052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</row>
    <row r="105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</row>
    <row r="10524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</row>
    <row r="10525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</row>
    <row r="10526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</row>
    <row r="10527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</row>
    <row r="10528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</row>
    <row r="10529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</row>
    <row r="10530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</row>
    <row r="10531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</row>
    <row r="1053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</row>
    <row r="1053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</row>
    <row r="10534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</row>
    <row r="10535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</row>
    <row r="10536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</row>
    <row r="10537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</row>
    <row r="10538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</row>
    <row r="10539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</row>
    <row r="10540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</row>
    <row r="10541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</row>
    <row r="1054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</row>
    <row r="1054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</row>
    <row r="10544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</row>
    <row r="10545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</row>
    <row r="10546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</row>
    <row r="10547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</row>
    <row r="10548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</row>
    <row r="10549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</row>
    <row r="10550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</row>
    <row r="10551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</row>
    <row r="1055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</row>
    <row r="1055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</row>
    <row r="10554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</row>
    <row r="10555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</row>
    <row r="10556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</row>
    <row r="10557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</row>
    <row r="10558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</row>
    <row r="10559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</row>
    <row r="10560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</row>
    <row r="10561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</row>
    <row r="1056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</row>
    <row r="1056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</row>
    <row r="10564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</row>
    <row r="10565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</row>
    <row r="10566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</row>
    <row r="10567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</row>
    <row r="10568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</row>
    <row r="10569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</row>
    <row r="10570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</row>
    <row r="10571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</row>
    <row r="1057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</row>
    <row r="1057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</row>
    <row r="10574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</row>
    <row r="10575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</row>
    <row r="10576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</row>
    <row r="10577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</row>
    <row r="10578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</row>
    <row r="10579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</row>
    <row r="10580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</row>
    <row r="10581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</row>
    <row r="1058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</row>
    <row r="1058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</row>
    <row r="10584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</row>
    <row r="10585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</row>
    <row r="10586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</row>
    <row r="10587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</row>
    <row r="10588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</row>
    <row r="10589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</row>
    <row r="10590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</row>
    <row r="10591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</row>
    <row r="1059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</row>
    <row r="1059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</row>
    <row r="10594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</row>
    <row r="10595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</row>
    <row r="10596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</row>
    <row r="10597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</row>
    <row r="10598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</row>
    <row r="10599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</row>
    <row r="10600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</row>
    <row r="10601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</row>
    <row r="1060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</row>
    <row r="1060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</row>
    <row r="10604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</row>
    <row r="10605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</row>
    <row r="10606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</row>
    <row r="10607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</row>
    <row r="10608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</row>
    <row r="10609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</row>
    <row r="10610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</row>
    <row r="10611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</row>
    <row r="1061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</row>
    <row r="1061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</row>
    <row r="10614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</row>
    <row r="10615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</row>
    <row r="10616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</row>
    <row r="10617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</row>
    <row r="10618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</row>
    <row r="10619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</row>
    <row r="10620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</row>
    <row r="10621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</row>
    <row r="1062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</row>
    <row r="106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</row>
    <row r="10624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</row>
    <row r="10625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</row>
    <row r="10626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</row>
    <row r="10627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</row>
    <row r="10628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</row>
    <row r="10629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</row>
    <row r="10630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</row>
    <row r="10631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</row>
    <row r="1063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</row>
    <row r="1063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</row>
    <row r="10634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</row>
    <row r="10635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</row>
    <row r="10636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</row>
    <row r="10637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</row>
    <row r="10638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</row>
    <row r="10639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</row>
    <row r="10640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</row>
    <row r="10641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</row>
    <row r="1064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</row>
    <row r="1064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</row>
    <row r="10644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</row>
    <row r="10645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</row>
    <row r="10646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</row>
    <row r="10647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</row>
    <row r="10648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</row>
    <row r="10649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</row>
    <row r="10650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</row>
    <row r="10651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</row>
    <row r="1065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</row>
    <row r="1065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</row>
    <row r="10654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</row>
    <row r="10655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</row>
    <row r="10656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</row>
    <row r="10657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</row>
    <row r="10658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</row>
    <row r="10659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</row>
    <row r="10660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</row>
    <row r="10661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</row>
    <row r="1066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</row>
    <row r="1066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</row>
    <row r="10664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</row>
    <row r="10665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</row>
    <row r="10666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</row>
    <row r="10667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</row>
    <row r="10668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</row>
    <row r="10669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</row>
    <row r="10670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</row>
    <row r="10671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</row>
    <row r="1067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</row>
    <row r="1067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</row>
    <row r="10674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</row>
    <row r="10675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</row>
    <row r="10676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</row>
    <row r="10677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</row>
    <row r="10678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</row>
    <row r="10679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</row>
    <row r="10680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</row>
    <row r="10681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</row>
    <row r="1068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</row>
    <row r="1068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</row>
    <row r="10684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</row>
    <row r="10685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</row>
    <row r="10686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</row>
    <row r="10687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</row>
    <row r="10688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</row>
    <row r="10689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</row>
    <row r="10690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</row>
    <row r="10691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</row>
    <row r="1069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</row>
    <row r="1069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</row>
    <row r="10694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</row>
    <row r="10695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</row>
    <row r="10696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</row>
    <row r="10697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</row>
    <row r="10698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</row>
    <row r="10699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</row>
    <row r="10700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</row>
    <row r="10701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</row>
    <row r="1070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</row>
    <row r="1070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</row>
    <row r="10704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</row>
    <row r="10705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</row>
    <row r="10706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</row>
    <row r="10707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</row>
    <row r="10708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</row>
    <row r="10709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</row>
    <row r="10710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</row>
    <row r="10711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</row>
    <row r="1071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</row>
    <row r="1071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</row>
    <row r="10714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</row>
    <row r="10715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</row>
    <row r="10716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</row>
    <row r="10717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</row>
    <row r="10718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</row>
    <row r="10719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</row>
    <row r="10720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</row>
    <row r="10721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</row>
    <row r="1072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</row>
    <row r="107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</row>
    <row r="10724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</row>
    <row r="10725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</row>
    <row r="10726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</row>
    <row r="10727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</row>
    <row r="10728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</row>
    <row r="10729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</row>
    <row r="10730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</row>
    <row r="10731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</row>
    <row r="1073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</row>
    <row r="1073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</row>
    <row r="10734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</row>
    <row r="10735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</row>
    <row r="10736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</row>
    <row r="10737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</row>
    <row r="10738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</row>
    <row r="10739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</row>
    <row r="10740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</row>
    <row r="10741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</row>
    <row r="1074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</row>
    <row r="1074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</row>
    <row r="10744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</row>
    <row r="10745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</row>
    <row r="10746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</row>
    <row r="10747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</row>
    <row r="10748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</row>
    <row r="10749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</row>
    <row r="10750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</row>
    <row r="10751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</row>
    <row r="1075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</row>
    <row r="1075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</row>
    <row r="10754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</row>
    <row r="10755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</row>
    <row r="10756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</row>
    <row r="10757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</row>
    <row r="10758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</row>
    <row r="10759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</row>
    <row r="10760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</row>
    <row r="10761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</row>
    <row r="1076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</row>
    <row r="1076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</row>
    <row r="10764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</row>
    <row r="10765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</row>
    <row r="10766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</row>
    <row r="10767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</row>
    <row r="10768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</row>
    <row r="10769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</row>
    <row r="10770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</row>
    <row r="10771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</row>
    <row r="1077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</row>
    <row r="1077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</row>
    <row r="10774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</row>
    <row r="10775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</row>
    <row r="10776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</row>
    <row r="10777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</row>
    <row r="10778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</row>
    <row r="10779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</row>
    <row r="10780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</row>
    <row r="10781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</row>
    <row r="1078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</row>
    <row r="1078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</row>
    <row r="10784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</row>
    <row r="10785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</row>
    <row r="10786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</row>
    <row r="10787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</row>
    <row r="10788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</row>
    <row r="10789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</row>
    <row r="10790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</row>
    <row r="10791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</row>
    <row r="1079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</row>
    <row r="1079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</row>
    <row r="10794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</row>
    <row r="10795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</row>
    <row r="10796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</row>
    <row r="10797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</row>
    <row r="10798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</row>
    <row r="10799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</row>
    <row r="10800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</row>
    <row r="10801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</row>
    <row r="1080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</row>
    <row r="1080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</row>
    <row r="10804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</row>
    <row r="10805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</row>
    <row r="10806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</row>
    <row r="10807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</row>
    <row r="10808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</row>
    <row r="10809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</row>
    <row r="10810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</row>
    <row r="10811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</row>
    <row r="1081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</row>
    <row r="1081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</row>
    <row r="10814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</row>
    <row r="10815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</row>
    <row r="10816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</row>
    <row r="10817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</row>
    <row r="10818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</row>
    <row r="10819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</row>
    <row r="10820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</row>
    <row r="10821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</row>
    <row r="1082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</row>
    <row r="108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</row>
    <row r="10824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</row>
    <row r="10825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</row>
    <row r="10826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</row>
    <row r="10827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</row>
    <row r="10828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</row>
    <row r="10829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</row>
    <row r="10830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</row>
    <row r="10831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</row>
    <row r="1083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</row>
    <row r="1083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</row>
    <row r="10834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</row>
    <row r="10835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</row>
    <row r="10836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</row>
    <row r="10837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</row>
    <row r="10838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</row>
    <row r="10839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</row>
    <row r="10840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</row>
    <row r="10841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</row>
    <row r="1084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</row>
    <row r="1084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</row>
    <row r="10844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</row>
    <row r="10845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</row>
    <row r="10846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</row>
    <row r="10847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</row>
    <row r="10848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</row>
    <row r="10849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</row>
    <row r="10850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</row>
    <row r="10851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</row>
    <row r="1085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</row>
    <row r="1085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</row>
    <row r="10854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</row>
    <row r="10855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</row>
    <row r="10856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</row>
    <row r="10857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</row>
    <row r="10858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</row>
    <row r="10859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</row>
    <row r="10860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</row>
    <row r="10861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</row>
    <row r="10862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</row>
    <row r="1086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</row>
    <row r="10864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</row>
    <row r="10865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</row>
    <row r="10866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</row>
    <row r="10867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</row>
    <row r="10868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</row>
    <row r="10869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</row>
    <row r="10870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</row>
    <row r="10871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</row>
    <row r="10872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</row>
    <row r="1087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</row>
    <row r="10874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</row>
    <row r="10875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</row>
    <row r="10876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</row>
    <row r="10877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</row>
    <row r="10878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</row>
    <row r="10879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</row>
    <row r="10880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</row>
    <row r="10881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</row>
    <row r="10882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</row>
    <row r="1088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</row>
    <row r="10884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</row>
    <row r="10885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</row>
    <row r="10886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</row>
    <row r="10887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</row>
    <row r="10888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</row>
    <row r="10889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</row>
    <row r="10890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</row>
    <row r="10891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</row>
    <row r="10892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</row>
    <row r="1089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</row>
    <row r="10894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</row>
    <row r="10895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</row>
    <row r="10896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</row>
    <row r="10897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</row>
    <row r="10898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</row>
    <row r="10899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</row>
    <row r="10900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</row>
    <row r="10901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</row>
    <row r="10902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</row>
    <row r="1090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</row>
    <row r="10904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</row>
    <row r="10905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</row>
    <row r="10906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</row>
    <row r="10907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</row>
    <row r="10908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</row>
    <row r="10909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</row>
    <row r="10910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</row>
    <row r="10911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</row>
    <row r="10912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</row>
    <row r="1091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</row>
    <row r="10914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</row>
    <row r="10915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</row>
    <row r="10916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</row>
    <row r="10917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</row>
    <row r="10918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</row>
    <row r="10919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</row>
    <row r="10920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</row>
    <row r="10921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</row>
    <row r="10922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</row>
    <row r="109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</row>
    <row r="10924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</row>
    <row r="10925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</row>
    <row r="10926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</row>
    <row r="10927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</row>
    <row r="10928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</row>
    <row r="10929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</row>
    <row r="10930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</row>
    <row r="10931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</row>
    <row r="10932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</row>
    <row r="1093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</row>
    <row r="10934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</row>
    <row r="10935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</row>
    <row r="10936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</row>
    <row r="10937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</row>
    <row r="10938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</row>
    <row r="10939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</row>
    <row r="10940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</row>
    <row r="10941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</row>
    <row r="10942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</row>
    <row r="1094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</row>
    <row r="10944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</row>
    <row r="10945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</row>
    <row r="10946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</row>
    <row r="10947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</row>
    <row r="10948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</row>
    <row r="10949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</row>
    <row r="10950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</row>
    <row r="10951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</row>
    <row r="10952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</row>
    <row r="1095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</row>
    <row r="10954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</row>
    <row r="10955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</row>
    <row r="10956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</row>
    <row r="10957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</row>
    <row r="10958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</row>
    <row r="10959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</row>
    <row r="10960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</row>
    <row r="10961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</row>
    <row r="10962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</row>
    <row r="1096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</row>
    <row r="10964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</row>
    <row r="10965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</row>
    <row r="10966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</row>
    <row r="10967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</row>
    <row r="10968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</row>
    <row r="10969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</row>
    <row r="10970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</row>
    <row r="10971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</row>
    <row r="10972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</row>
    <row r="1097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</row>
    <row r="10974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</row>
    <row r="10975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</row>
    <row r="10976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</row>
    <row r="10977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</row>
    <row r="10978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</row>
    <row r="10979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</row>
    <row r="10980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</row>
    <row r="10981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</row>
    <row r="10982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</row>
    <row r="1098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</row>
    <row r="10984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</row>
    <row r="10985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</row>
    <row r="10986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</row>
    <row r="10987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</row>
    <row r="10988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</row>
    <row r="10989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</row>
    <row r="10990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</row>
    <row r="10991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</row>
    <row r="10992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</row>
    <row r="1099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</row>
    <row r="10994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</row>
    <row r="10995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</row>
    <row r="10996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</row>
    <row r="10997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</row>
    <row r="10998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</row>
    <row r="10999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</row>
    <row r="11000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</row>
    <row r="11001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</row>
    <row r="11002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</row>
    <row r="1100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</row>
    <row r="11004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</row>
    <row r="11005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</row>
    <row r="11006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</row>
    <row r="11007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</row>
    <row r="11008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</row>
    <row r="11009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</row>
    <row r="11010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</row>
    <row r="11011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</row>
    <row r="11012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</row>
    <row r="1101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</row>
    <row r="11014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</row>
    <row r="11015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</row>
    <row r="11016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</row>
    <row r="11017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</row>
    <row r="11018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</row>
    <row r="11019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</row>
    <row r="11020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</row>
    <row r="11021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</row>
    <row r="11022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</row>
    <row r="110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</row>
    <row r="11024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</row>
    <row r="11025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</row>
    <row r="11026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</row>
    <row r="11027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</row>
    <row r="11028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</row>
    <row r="11029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</row>
    <row r="11030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</row>
    <row r="11031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</row>
    <row r="11032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</row>
    <row r="1103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</row>
    <row r="11034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</row>
    <row r="11035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</row>
    <row r="11036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</row>
    <row r="11037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</row>
    <row r="11038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</row>
    <row r="11039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</row>
    <row r="11040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</row>
    <row r="11041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</row>
    <row r="11042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</row>
    <row r="1104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</row>
    <row r="11044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</row>
    <row r="11045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</row>
    <row r="11046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</row>
    <row r="11047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</row>
    <row r="11048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</row>
    <row r="11049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</row>
    <row r="11050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</row>
    <row r="11051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</row>
    <row r="11052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</row>
    <row r="1105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</row>
    <row r="11054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</row>
    <row r="11055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</row>
    <row r="11056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</row>
    <row r="11057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</row>
    <row r="11058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</row>
    <row r="11059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</row>
    <row r="11060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</row>
    <row r="11061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</row>
    <row r="11062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</row>
    <row r="1106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</row>
    <row r="11064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</row>
    <row r="11065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</row>
    <row r="11066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</row>
    <row r="11067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</row>
    <row r="11068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</row>
    <row r="11069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</row>
    <row r="11070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</row>
    <row r="11071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</row>
    <row r="11072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</row>
    <row r="1107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</row>
    <row r="11074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</row>
    <row r="11075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</row>
    <row r="11076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</row>
    <row r="11077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</row>
    <row r="11078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</row>
    <row r="11079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</row>
    <row r="11080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</row>
    <row r="11081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</row>
    <row r="11082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</row>
    <row r="1108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</row>
    <row r="11084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</row>
    <row r="11085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</row>
    <row r="11086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</row>
    <row r="11087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</row>
    <row r="11088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</row>
    <row r="11089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</row>
    <row r="11090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</row>
    <row r="11091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</row>
    <row r="11092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</row>
    <row r="1109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</row>
    <row r="11094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</row>
    <row r="11095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</row>
    <row r="11096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</row>
    <row r="11097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</row>
    <row r="11098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</row>
    <row r="11099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</row>
    <row r="11100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</row>
    <row r="11101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</row>
    <row r="11102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</row>
    <row r="1110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</row>
    <row r="11104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</row>
    <row r="11105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</row>
    <row r="11106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</row>
    <row r="11107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</row>
    <row r="11108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</row>
    <row r="11109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</row>
    <row r="11110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</row>
    <row r="11111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</row>
    <row r="11112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</row>
    <row r="1111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</row>
    <row r="11114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</row>
    <row r="11115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</row>
    <row r="11116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</row>
    <row r="11117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</row>
    <row r="11118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</row>
    <row r="11119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</row>
    <row r="11120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</row>
    <row r="11121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</row>
    <row r="11122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</row>
    <row r="111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</row>
    <row r="11124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</row>
    <row r="11125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</row>
    <row r="11126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</row>
    <row r="11127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</row>
    <row r="11128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</row>
    <row r="11129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</row>
    <row r="11130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</row>
    <row r="11131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</row>
    <row r="11132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</row>
    <row r="1113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</row>
    <row r="11134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</row>
    <row r="11135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</row>
    <row r="11136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</row>
    <row r="11137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</row>
    <row r="11138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</row>
    <row r="11139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</row>
    <row r="11140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</row>
    <row r="11141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</row>
    <row r="11142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</row>
    <row r="1114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</row>
    <row r="11144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</row>
    <row r="11145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</row>
    <row r="11146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</row>
    <row r="11147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</row>
    <row r="11148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</row>
    <row r="11149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</row>
    <row r="11150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</row>
    <row r="11151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</row>
    <row r="11152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</row>
    <row r="1115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</row>
    <row r="11154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</row>
    <row r="11155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</row>
    <row r="11156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</row>
    <row r="11157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</row>
    <row r="11158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</row>
    <row r="11159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</row>
    <row r="11160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</row>
    <row r="11161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</row>
    <row r="11162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</row>
    <row r="1116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</row>
    <row r="11164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</row>
    <row r="11165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</row>
    <row r="11166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</row>
    <row r="11167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</row>
    <row r="11168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</row>
    <row r="11169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</row>
    <row r="11170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</row>
    <row r="11171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</row>
    <row r="11172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</row>
    <row r="1117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</row>
    <row r="11174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</row>
    <row r="11175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</row>
    <row r="11176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</row>
    <row r="11177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</row>
    <row r="11178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</row>
    <row r="11179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</row>
    <row r="11180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</row>
    <row r="11181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</row>
    <row r="11182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</row>
    <row r="1118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</row>
    <row r="11184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</row>
    <row r="11185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</row>
    <row r="11186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</row>
    <row r="11187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</row>
    <row r="11188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</row>
    <row r="11189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</row>
    <row r="11190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</row>
    <row r="11191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</row>
    <row r="11192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</row>
    <row r="1119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</row>
    <row r="11194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</row>
    <row r="11195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</row>
    <row r="11196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</row>
    <row r="11197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</row>
    <row r="11198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</row>
    <row r="11199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</row>
    <row r="11200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</row>
    <row r="11201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</row>
    <row r="11202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</row>
    <row r="1120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</row>
    <row r="11204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</row>
    <row r="11205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</row>
    <row r="11206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</row>
    <row r="11207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</row>
    <row r="11208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</row>
    <row r="11209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</row>
    <row r="11210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</row>
    <row r="11211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</row>
    <row r="11212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</row>
    <row r="1121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</row>
    <row r="11214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</row>
    <row r="11215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</row>
    <row r="11216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</row>
    <row r="11217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</row>
    <row r="11218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</row>
    <row r="11219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</row>
    <row r="11220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</row>
    <row r="11221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</row>
    <row r="11222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</row>
    <row r="112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</row>
    <row r="11224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</row>
    <row r="11225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</row>
    <row r="11226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</row>
    <row r="11227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</row>
    <row r="11228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</row>
    <row r="11229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</row>
    <row r="11230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</row>
    <row r="11231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</row>
    <row r="11232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</row>
    <row r="1123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</row>
    <row r="11234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</row>
    <row r="11235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</row>
    <row r="11236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</row>
    <row r="11237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</row>
    <row r="11238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</row>
    <row r="11239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</row>
    <row r="11240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</row>
    <row r="11241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</row>
    <row r="11242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</row>
    <row r="1124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</row>
    <row r="11244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</row>
    <row r="11245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</row>
    <row r="11246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</row>
    <row r="11247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</row>
    <row r="11248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</row>
    <row r="11249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</row>
    <row r="11250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</row>
    <row r="11251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</row>
    <row r="11252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</row>
    <row r="1125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</row>
    <row r="11254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</row>
    <row r="11255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</row>
    <row r="11256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</row>
    <row r="11257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</row>
    <row r="11258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</row>
    <row r="11259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</row>
    <row r="11260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</row>
    <row r="11261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</row>
    <row r="11262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</row>
    <row r="1126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</row>
    <row r="11264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</row>
    <row r="11265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</row>
    <row r="11266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</row>
    <row r="11267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</row>
    <row r="11268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</row>
    <row r="11269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</row>
    <row r="11270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</row>
    <row r="11271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</row>
    <row r="11272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</row>
    <row r="1127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</row>
    <row r="11274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</row>
    <row r="11275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</row>
    <row r="11276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</row>
    <row r="11277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</row>
    <row r="11278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</row>
    <row r="11279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</row>
    <row r="11280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</row>
    <row r="11281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</row>
    <row r="11282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</row>
    <row r="1128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</row>
    <row r="11284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</row>
    <row r="11285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</row>
    <row r="11286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</row>
    <row r="11287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</row>
    <row r="11288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</row>
    <row r="11289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</row>
    <row r="11290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</row>
    <row r="11291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</row>
    <row r="11292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</row>
    <row r="1129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</row>
    <row r="11294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</row>
    <row r="11295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</row>
    <row r="11296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</row>
    <row r="11297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</row>
    <row r="11298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</row>
    <row r="11299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</row>
    <row r="11300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</row>
    <row r="11301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</row>
    <row r="11302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</row>
    <row r="1130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</row>
    <row r="11304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</row>
    <row r="11305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</row>
    <row r="11306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</row>
    <row r="11307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</row>
    <row r="11308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</row>
    <row r="11309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</row>
    <row r="11310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</row>
    <row r="11311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</row>
    <row r="11312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</row>
    <row r="1131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</row>
    <row r="11314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</row>
    <row r="11315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</row>
    <row r="11316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</row>
    <row r="11317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</row>
    <row r="11318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</row>
    <row r="11319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</row>
    <row r="11320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</row>
    <row r="11321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</row>
    <row r="11322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</row>
    <row r="113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</row>
    <row r="11324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</row>
    <row r="11325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</row>
    <row r="11326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</row>
    <row r="11327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</row>
    <row r="11328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</row>
    <row r="11329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</row>
    <row r="11330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</row>
    <row r="11331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</row>
    <row r="11332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</row>
    <row r="1133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</row>
    <row r="11334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</row>
    <row r="11335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</row>
    <row r="11336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</row>
    <row r="11337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</row>
    <row r="11338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</row>
    <row r="11339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</row>
    <row r="11340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</row>
    <row r="11341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</row>
    <row r="11342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</row>
    <row r="1134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</row>
    <row r="11344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</row>
    <row r="11345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</row>
    <row r="11346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</row>
    <row r="11347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</row>
    <row r="11348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</row>
    <row r="11349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</row>
    <row r="11350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</row>
    <row r="11351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</row>
    <row r="11352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</row>
    <row r="1135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</row>
    <row r="11354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</row>
    <row r="11355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</row>
    <row r="11356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</row>
    <row r="11357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</row>
    <row r="11358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</row>
    <row r="11359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</row>
    <row r="11360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</row>
    <row r="11361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</row>
    <row r="11362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</row>
    <row r="1136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</row>
    <row r="11364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</row>
    <row r="11365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</row>
    <row r="11366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</row>
    <row r="11367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</row>
    <row r="11368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</row>
    <row r="11369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</row>
    <row r="11370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</row>
    <row r="11371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</row>
    <row r="11372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</row>
    <row r="1137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</row>
    <row r="11374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</row>
    <row r="11375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</row>
    <row r="11376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</row>
    <row r="11377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</row>
    <row r="11378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</row>
    <row r="11379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</row>
    <row r="11380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</row>
    <row r="11381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</row>
    <row r="11382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</row>
    <row r="1138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</row>
    <row r="11384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</row>
    <row r="11385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</row>
    <row r="11386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</row>
    <row r="11387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</row>
    <row r="11388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</row>
    <row r="11389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</row>
    <row r="11390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</row>
    <row r="11391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</row>
    <row r="11392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</row>
    <row r="1139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</row>
    <row r="11394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</row>
    <row r="11395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</row>
    <row r="11396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</row>
    <row r="11397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</row>
    <row r="11398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</row>
    <row r="11399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</row>
    <row r="11400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</row>
    <row r="11401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</row>
    <row r="11402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</row>
    <row r="1140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</row>
    <row r="11404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</row>
    <row r="11405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</row>
    <row r="11406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</row>
    <row r="11407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</row>
    <row r="11408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</row>
    <row r="11409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</row>
    <row r="11410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</row>
    <row r="11411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</row>
    <row r="11412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</row>
    <row r="1141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</row>
    <row r="11414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</row>
    <row r="11415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</row>
    <row r="11416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</row>
    <row r="11417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</row>
    <row r="11418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</row>
    <row r="11419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</row>
    <row r="11420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</row>
    <row r="11421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</row>
    <row r="11422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</row>
    <row r="114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</row>
    <row r="11424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</row>
    <row r="11425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</row>
    <row r="11426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</row>
    <row r="11427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</row>
    <row r="11428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</row>
    <row r="11429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</row>
    <row r="11430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</row>
    <row r="11431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</row>
    <row r="11432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</row>
    <row r="1143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</row>
    <row r="11434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</row>
    <row r="11435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</row>
    <row r="11436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</row>
    <row r="11437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</row>
    <row r="11438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</row>
    <row r="11439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</row>
    <row r="11440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</row>
    <row r="11441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</row>
    <row r="11442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</row>
    <row r="1144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</row>
    <row r="11444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</row>
    <row r="11445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</row>
    <row r="11446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</row>
    <row r="11447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</row>
    <row r="11448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</row>
    <row r="11449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</row>
    <row r="11450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</row>
    <row r="11451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</row>
    <row r="11452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</row>
    <row r="1145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</row>
    <row r="11454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</row>
    <row r="11455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</row>
    <row r="11456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</row>
    <row r="11457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</row>
    <row r="11458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</row>
    <row r="11459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</row>
    <row r="11460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</row>
    <row r="11461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</row>
    <row r="11462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</row>
    <row r="1146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</row>
    <row r="11464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</row>
    <row r="11465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</row>
    <row r="11466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</row>
    <row r="11467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</row>
    <row r="11468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</row>
    <row r="11469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</row>
    <row r="11470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</row>
    <row r="11471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</row>
    <row r="11472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</row>
    <row r="1147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</row>
    <row r="11474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</row>
    <row r="11475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</row>
    <row r="11476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</row>
    <row r="11477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</row>
    <row r="11478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</row>
    <row r="11479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</row>
    <row r="11480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</row>
    <row r="11481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</row>
    <row r="11482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</row>
    <row r="1148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</row>
    <row r="11484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</row>
    <row r="11485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</row>
    <row r="11486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</row>
    <row r="11487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</row>
    <row r="11488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</row>
    <row r="11489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</row>
    <row r="11490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</row>
    <row r="11491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</row>
    <row r="11492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</row>
    <row r="1149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</row>
    <row r="11494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</row>
    <row r="11495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</row>
    <row r="11496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</row>
    <row r="11497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</row>
    <row r="11498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</row>
    <row r="11499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</row>
    <row r="11500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</row>
    <row r="11501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</row>
    <row r="11502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</row>
    <row r="1150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</row>
    <row r="11504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</row>
    <row r="11505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</row>
    <row r="11506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</row>
    <row r="11507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</row>
    <row r="11508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</row>
    <row r="11509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</row>
    <row r="11510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</row>
    <row r="11511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</row>
    <row r="11512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</row>
    <row r="1151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</row>
    <row r="11514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</row>
    <row r="11515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</row>
    <row r="11516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</row>
    <row r="11517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</row>
    <row r="11518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</row>
    <row r="11519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</row>
    <row r="11520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</row>
    <row r="11521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</row>
    <row r="11522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</row>
    <row r="115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</row>
    <row r="11524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</row>
    <row r="11525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</row>
    <row r="11526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</row>
    <row r="11527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</row>
    <row r="11528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</row>
    <row r="11529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</row>
    <row r="11530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</row>
    <row r="11531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</row>
    <row r="11532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</row>
    <row r="1153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</row>
    <row r="11534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</row>
    <row r="11535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</row>
    <row r="11536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</row>
    <row r="11537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</row>
    <row r="11538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</row>
    <row r="11539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</row>
    <row r="11540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</row>
    <row r="11541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</row>
    <row r="11542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</row>
    <row r="1154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</row>
    <row r="11544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</row>
    <row r="11545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</row>
    <row r="11546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</row>
    <row r="11547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</row>
    <row r="11548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</row>
    <row r="11549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</row>
    <row r="11550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</row>
    <row r="11551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</row>
    <row r="11552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</row>
    <row r="1155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</row>
    <row r="11554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</row>
    <row r="11555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</row>
    <row r="11556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</row>
    <row r="11557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</row>
    <row r="11558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</row>
    <row r="11559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</row>
    <row r="11560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</row>
    <row r="11561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</row>
    <row r="11562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</row>
    <row r="1156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</row>
    <row r="11564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</row>
    <row r="11565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</row>
    <row r="11566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</row>
    <row r="11567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</row>
    <row r="11568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</row>
    <row r="11569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</row>
    <row r="11570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</row>
    <row r="11571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</row>
    <row r="11572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</row>
    <row r="1157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</row>
    <row r="11574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</row>
    <row r="11575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</row>
    <row r="11576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</row>
    <row r="11577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</row>
    <row r="11578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</row>
    <row r="11579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</row>
    <row r="11580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</row>
    <row r="11581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</row>
    <row r="11582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</row>
    <row r="1158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</row>
    <row r="11584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</row>
    <row r="11585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</row>
    <row r="11586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</row>
    <row r="11587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</row>
    <row r="11588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</row>
    <row r="11589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</row>
    <row r="11590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</row>
    <row r="11591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</row>
    <row r="11592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</row>
    <row r="1159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</row>
    <row r="11594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</row>
    <row r="11595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</row>
    <row r="11596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</row>
    <row r="11597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</row>
    <row r="11598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</row>
    <row r="11599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</row>
    <row r="11600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</row>
    <row r="11601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</row>
    <row r="11602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</row>
    <row r="1160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</row>
    <row r="11604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</row>
    <row r="11605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</row>
    <row r="11606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</row>
    <row r="11607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</row>
    <row r="11608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</row>
    <row r="11609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</row>
    <row r="11610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</row>
    <row r="11611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</row>
    <row r="11612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</row>
    <row r="1161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</row>
    <row r="11614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</row>
    <row r="11615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</row>
    <row r="11616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</row>
    <row r="11617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</row>
    <row r="11618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</row>
    <row r="11619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</row>
    <row r="11620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</row>
    <row r="11621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</row>
    <row r="11622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</row>
    <row r="116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</row>
    <row r="11624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</row>
    <row r="11625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</row>
    <row r="11626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</row>
    <row r="11627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</row>
    <row r="11628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</row>
    <row r="11629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</row>
    <row r="11630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</row>
    <row r="11631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</row>
    <row r="11632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</row>
    <row r="1163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</row>
    <row r="11634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</row>
    <row r="11635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</row>
    <row r="11636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</row>
    <row r="11637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</row>
    <row r="11638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</row>
    <row r="11639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</row>
    <row r="11640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</row>
    <row r="11641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</row>
    <row r="11642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</row>
    <row r="1164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</row>
    <row r="11644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</row>
    <row r="11645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</row>
    <row r="11646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</row>
    <row r="11647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</row>
    <row r="11648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</row>
    <row r="11649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</row>
    <row r="11650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</row>
    <row r="11651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</row>
    <row r="11652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</row>
    <row r="1165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</row>
    <row r="11654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</row>
    <row r="11655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</row>
    <row r="11656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</row>
    <row r="11657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</row>
    <row r="11658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</row>
    <row r="11659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</row>
    <row r="11660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</row>
    <row r="11661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</row>
    <row r="11662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</row>
    <row r="1166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</row>
    <row r="11664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</row>
    <row r="11665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</row>
    <row r="11666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</row>
    <row r="11667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</row>
    <row r="11668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</row>
    <row r="11669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</row>
    <row r="11670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</row>
    <row r="11671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</row>
    <row r="11672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</row>
    <row r="1167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</row>
    <row r="11674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</row>
    <row r="11675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</row>
    <row r="11676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</row>
    <row r="11677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</row>
    <row r="11678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</row>
    <row r="11679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</row>
    <row r="11680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</row>
    <row r="11681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</row>
    <row r="11682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</row>
    <row r="1168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</row>
    <row r="11684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</row>
    <row r="11685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</row>
    <row r="11686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</row>
    <row r="11687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</row>
    <row r="11688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</row>
    <row r="11689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</row>
    <row r="11690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</row>
    <row r="11691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</row>
    <row r="11692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</row>
    <row r="1169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</row>
    <row r="11694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</row>
    <row r="11695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</row>
    <row r="11696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</row>
    <row r="11697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</row>
    <row r="11698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</row>
    <row r="11699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</row>
    <row r="11700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</row>
    <row r="11701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</row>
    <row r="11702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</row>
    <row r="1170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</row>
    <row r="11704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</row>
    <row r="11705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</row>
    <row r="11706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</row>
    <row r="11707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</row>
    <row r="11708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</row>
    <row r="11709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</row>
    <row r="11710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</row>
    <row r="11711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</row>
    <row r="11712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</row>
    <row r="1171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</row>
    <row r="11714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</row>
    <row r="11715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</row>
    <row r="11716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</row>
    <row r="11717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</row>
    <row r="11718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</row>
    <row r="11719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</row>
    <row r="11720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</row>
    <row r="11721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</row>
    <row r="11722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</row>
    <row r="117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</row>
    <row r="11724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</row>
    <row r="11725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</row>
    <row r="11726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</row>
    <row r="11727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</row>
    <row r="11728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</row>
    <row r="11729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</row>
    <row r="11730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</row>
    <row r="11731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</row>
    <row r="11732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</row>
    <row r="1173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</row>
    <row r="11734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</row>
    <row r="11735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</row>
    <row r="11736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</row>
    <row r="11737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</row>
    <row r="11738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</row>
    <row r="11739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</row>
    <row r="11740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</row>
    <row r="11741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</row>
    <row r="11742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</row>
    <row r="1174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</row>
    <row r="11744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</row>
    <row r="11745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</row>
    <row r="11746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</row>
    <row r="11747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</row>
    <row r="11748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</row>
    <row r="11749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</row>
    <row r="11750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</row>
    <row r="11751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</row>
    <row r="11752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</row>
    <row r="1175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</row>
    <row r="11754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</row>
    <row r="11755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</row>
    <row r="11756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</row>
    <row r="11757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</row>
    <row r="11758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</row>
    <row r="11759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</row>
    <row r="11760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</row>
    <row r="11761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</row>
    <row r="11762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</row>
    <row r="1176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</row>
    <row r="11764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</row>
    <row r="11765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</row>
    <row r="11766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</row>
    <row r="11767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</row>
    <row r="11768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</row>
    <row r="11769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</row>
    <row r="11770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</row>
    <row r="11771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</row>
    <row r="11772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</row>
    <row r="1177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</row>
    <row r="11774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</row>
    <row r="11775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</row>
    <row r="11776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</row>
    <row r="11777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</row>
    <row r="11778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</row>
    <row r="11779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</row>
    <row r="11780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</row>
    <row r="11781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</row>
    <row r="11782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</row>
    <row r="1178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</row>
    <row r="11784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</row>
    <row r="11785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</row>
    <row r="11786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</row>
    <row r="11787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</row>
    <row r="11788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</row>
    <row r="11789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</row>
    <row r="11790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</row>
    <row r="11791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</row>
    <row r="11792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</row>
    <row r="1179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</row>
    <row r="11794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</row>
    <row r="11795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</row>
    <row r="11796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</row>
    <row r="11797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</row>
    <row r="11798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</row>
    <row r="11799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</row>
    <row r="11800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</row>
    <row r="11801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</row>
    <row r="11802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</row>
    <row r="1180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</row>
    <row r="11804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</row>
    <row r="11805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</row>
    <row r="11806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</row>
    <row r="11807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</row>
    <row r="11808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</row>
    <row r="11809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</row>
    <row r="11810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</row>
    <row r="11811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</row>
    <row r="11812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</row>
    <row r="1181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</row>
    <row r="11814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</row>
    <row r="11815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</row>
    <row r="11816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</row>
    <row r="11817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</row>
    <row r="11818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</row>
    <row r="11819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</row>
    <row r="11820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</row>
    <row r="11821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</row>
    <row r="11822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</row>
    <row r="118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</row>
    <row r="11824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</row>
    <row r="11825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</row>
    <row r="11826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</row>
    <row r="11827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</row>
    <row r="11828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</row>
    <row r="11829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</row>
    <row r="11830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</row>
    <row r="11831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</row>
    <row r="11832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</row>
    <row r="1183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</row>
    <row r="11834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</row>
    <row r="11835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</row>
    <row r="11836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</row>
    <row r="11837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</row>
    <row r="11838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</row>
    <row r="11839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</row>
    <row r="11840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</row>
    <row r="11841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</row>
    <row r="11842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</row>
    <row r="1184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</row>
    <row r="11844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</row>
    <row r="11845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</row>
    <row r="11846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</row>
    <row r="11847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</row>
    <row r="11848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</row>
    <row r="11849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</row>
    <row r="11850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</row>
    <row r="11851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</row>
    <row r="11852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</row>
    <row r="1185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</row>
    <row r="11854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</row>
    <row r="11855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</row>
    <row r="11856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</row>
    <row r="11857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</row>
    <row r="11858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</row>
    <row r="11859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</row>
    <row r="11860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</row>
    <row r="11861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</row>
    <row r="11862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</row>
    <row r="1186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</row>
    <row r="11864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</row>
    <row r="11865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</row>
    <row r="11866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</row>
    <row r="11867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</row>
    <row r="11868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</row>
    <row r="11869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</row>
    <row r="11870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</row>
    <row r="11871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</row>
    <row r="11872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</row>
    <row r="1187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</row>
    <row r="11874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</row>
    <row r="11875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</row>
    <row r="11876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</row>
    <row r="11877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</row>
    <row r="11878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</row>
    <row r="11879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</row>
    <row r="11880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</row>
    <row r="11881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</row>
    <row r="11882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</row>
    <row r="1188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</row>
    <row r="11884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</row>
    <row r="11885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</row>
    <row r="11886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</row>
    <row r="11887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</row>
    <row r="11888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</row>
    <row r="11889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</row>
    <row r="11890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</row>
    <row r="11891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</row>
    <row r="11892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</row>
    <row r="1189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</row>
    <row r="11894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</row>
    <row r="11895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</row>
    <row r="11896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</row>
    <row r="11897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</row>
    <row r="11898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</row>
    <row r="11899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</row>
    <row r="11900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</row>
    <row r="11901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</row>
    <row r="11902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</row>
    <row r="1190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</row>
    <row r="11904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</row>
    <row r="11905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</row>
    <row r="11906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</row>
    <row r="11907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</row>
    <row r="11908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</row>
    <row r="11909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</row>
    <row r="11910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</row>
    <row r="11911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</row>
    <row r="11912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</row>
    <row r="1191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</row>
    <row r="11914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</row>
    <row r="11915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</row>
    <row r="11916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</row>
    <row r="11917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</row>
    <row r="11918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</row>
    <row r="11919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</row>
    <row r="11920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</row>
    <row r="11921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</row>
    <row r="11922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</row>
    <row r="119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</row>
    <row r="11924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</row>
    <row r="11925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</row>
    <row r="11926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</row>
    <row r="11927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</row>
    <row r="11928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</row>
    <row r="11929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</row>
    <row r="11930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</row>
    <row r="11931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</row>
    <row r="11932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</row>
    <row r="1193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</row>
    <row r="11934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</row>
    <row r="11935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</row>
    <row r="11936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</row>
    <row r="11937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</row>
    <row r="11938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</row>
    <row r="11939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</row>
    <row r="11940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</row>
    <row r="11941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</row>
    <row r="11942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</row>
    <row r="1194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</row>
    <row r="11944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</row>
    <row r="11945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</row>
    <row r="11946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</row>
    <row r="11947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</row>
    <row r="11948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</row>
    <row r="11949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</row>
    <row r="11950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</row>
    <row r="11951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</row>
    <row r="11952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</row>
    <row r="1195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</row>
    <row r="11954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</row>
    <row r="11955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</row>
    <row r="11956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</row>
    <row r="11957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</row>
    <row r="11958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</row>
    <row r="11959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</row>
    <row r="11960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</row>
    <row r="11961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</row>
    <row r="11962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</row>
    <row r="1196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</row>
    <row r="11964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</row>
    <row r="11965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</row>
    <row r="11966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</row>
    <row r="11967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</row>
    <row r="11968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</row>
    <row r="11969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</row>
    <row r="11970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</row>
    <row r="11971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</row>
    <row r="11972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</row>
    <row r="1197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</row>
    <row r="11974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</row>
    <row r="11975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</row>
    <row r="11976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</row>
    <row r="11977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</row>
    <row r="11978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</row>
    <row r="11979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</row>
    <row r="11980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</row>
    <row r="11981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</row>
    <row r="11982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</row>
    <row r="1198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</row>
    <row r="11984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</row>
    <row r="11985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</row>
    <row r="11986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</row>
    <row r="11987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</row>
    <row r="11988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</row>
    <row r="11989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</row>
    <row r="11990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</row>
    <row r="11991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</row>
    <row r="11992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</row>
    <row r="1199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</row>
    <row r="11994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</row>
    <row r="11995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</row>
    <row r="11996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</row>
    <row r="11997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</row>
    <row r="11998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</row>
    <row r="11999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</row>
    <row r="12000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</row>
    <row r="12001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</row>
    <row r="12002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</row>
    <row r="1200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</row>
    <row r="12004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</row>
    <row r="12005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</row>
    <row r="12006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</row>
    <row r="12007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</row>
    <row r="12008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</row>
    <row r="12009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</row>
    <row r="12010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</row>
    <row r="12011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</row>
    <row r="12012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</row>
    <row r="1201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</row>
    <row r="12014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</row>
    <row r="12015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</row>
    <row r="12016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</row>
    <row r="12017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</row>
    <row r="12018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</row>
    <row r="12019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</row>
    <row r="12020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</row>
    <row r="12021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</row>
    <row r="12022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</row>
    <row r="120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</row>
    <row r="12024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</row>
    <row r="12025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</row>
    <row r="12026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</row>
    <row r="12027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</row>
    <row r="12028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</row>
    <row r="12029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</row>
    <row r="12030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</row>
    <row r="12031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</row>
    <row r="12032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</row>
    <row r="1203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</row>
    <row r="12034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</row>
    <row r="12035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</row>
    <row r="12036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</row>
    <row r="12037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</row>
    <row r="12038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</row>
    <row r="12039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</row>
    <row r="12040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</row>
    <row r="12041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</row>
    <row r="12042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</row>
    <row r="1204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</row>
    <row r="12044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</row>
    <row r="12045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</row>
    <row r="12046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</row>
    <row r="12047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</row>
    <row r="12048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</row>
    <row r="12049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</row>
    <row r="12050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</row>
    <row r="12051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</row>
    <row r="12052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</row>
    <row r="1205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</row>
    <row r="12054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</row>
    <row r="12055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</row>
    <row r="12056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</row>
    <row r="12057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</row>
    <row r="12058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</row>
    <row r="12059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</row>
    <row r="12060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</row>
    <row r="12061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</row>
    <row r="12062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</row>
    <row r="1206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</row>
    <row r="12064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</row>
    <row r="12065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</row>
    <row r="12066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</row>
    <row r="12067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</row>
    <row r="12068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</row>
    <row r="12069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</row>
    <row r="12070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</row>
    <row r="12071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</row>
    <row r="12072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</row>
    <row r="1207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</row>
    <row r="12074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</row>
    <row r="12075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</row>
    <row r="12076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</row>
    <row r="12077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</row>
    <row r="12078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</row>
    <row r="12079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</row>
    <row r="12080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</row>
    <row r="12081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</row>
    <row r="12082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</row>
    <row r="1208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</row>
    <row r="12084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</row>
    <row r="12085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</row>
    <row r="12086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</row>
    <row r="12087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</row>
    <row r="12088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</row>
    <row r="12089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</row>
    <row r="12090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</row>
    <row r="12091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</row>
    <row r="12092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</row>
    <row r="1209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</row>
    <row r="12094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</row>
    <row r="12095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</row>
    <row r="12096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</row>
    <row r="12097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</row>
    <row r="12098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</row>
    <row r="12099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</row>
    <row r="12100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</row>
    <row r="12101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</row>
    <row r="12102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</row>
    <row r="1210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</row>
    <row r="12104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</row>
    <row r="12105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</row>
    <row r="12106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</row>
    <row r="12107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</row>
    <row r="12108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</row>
    <row r="12109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</row>
    <row r="12110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</row>
    <row r="12111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</row>
    <row r="12112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</row>
    <row r="1211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</row>
    <row r="12114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</row>
    <row r="12115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</row>
    <row r="12116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</row>
    <row r="12117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</row>
    <row r="12118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</row>
    <row r="12119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</row>
    <row r="12120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</row>
    <row r="12121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</row>
    <row r="12122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</row>
    <row r="121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</row>
    <row r="12124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</row>
    <row r="12125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</row>
    <row r="12126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</row>
    <row r="12127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</row>
    <row r="12128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</row>
    <row r="12129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</row>
    <row r="12130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</row>
    <row r="12131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</row>
    <row r="12132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</row>
    <row r="1213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</row>
    <row r="12134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</row>
    <row r="12135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</row>
    <row r="12136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</row>
    <row r="12137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</row>
    <row r="12138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</row>
    <row r="12139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</row>
    <row r="12140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</row>
    <row r="12141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</row>
    <row r="12142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</row>
    <row r="1214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</row>
    <row r="12144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</row>
    <row r="12145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</row>
    <row r="12146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</row>
    <row r="12147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</row>
    <row r="12148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</row>
    <row r="12149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</row>
    <row r="12150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</row>
    <row r="12151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</row>
    <row r="12152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</row>
    <row r="1215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</row>
    <row r="12154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</row>
    <row r="12155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</row>
    <row r="12156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</row>
    <row r="12157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</row>
    <row r="12158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</row>
    <row r="12159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</row>
    <row r="12160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</row>
    <row r="12161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</row>
    <row r="12162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</row>
    <row r="1216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</row>
    <row r="12164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</row>
    <row r="12165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</row>
    <row r="12166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</row>
    <row r="12167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</row>
    <row r="12168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</row>
    <row r="12169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</row>
    <row r="12170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</row>
    <row r="12171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</row>
    <row r="12172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</row>
    <row r="1217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</row>
    <row r="12174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</row>
    <row r="12175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</row>
    <row r="12176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</row>
    <row r="12177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</row>
    <row r="12178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</row>
    <row r="12179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</row>
    <row r="12180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</row>
    <row r="12181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</row>
    <row r="12182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</row>
    <row r="1218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</row>
    <row r="12184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</row>
    <row r="12185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</row>
    <row r="12186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</row>
    <row r="12187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</row>
    <row r="12188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</row>
    <row r="12189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</row>
    <row r="12190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</row>
    <row r="12191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</row>
    <row r="12192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</row>
    <row r="1219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</row>
    <row r="12194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</row>
    <row r="12195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</row>
    <row r="12196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</row>
    <row r="12197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</row>
    <row r="12198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</row>
    <row r="12199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</row>
    <row r="12200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</row>
    <row r="12201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</row>
    <row r="12202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</row>
    <row r="1220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</row>
    <row r="12204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</row>
    <row r="12205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</row>
    <row r="12206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</row>
    <row r="12207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</row>
    <row r="12208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</row>
    <row r="12209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</row>
    <row r="12210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</row>
    <row r="12211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</row>
    <row r="12212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</row>
    <row r="1221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</row>
    <row r="12214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</row>
    <row r="12215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</row>
    <row r="12216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</row>
    <row r="12217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</row>
    <row r="12218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</row>
    <row r="12219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</row>
    <row r="12220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</row>
    <row r="12221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</row>
    <row r="12222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</row>
    <row r="122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</row>
    <row r="12224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</row>
    <row r="12225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</row>
    <row r="12226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</row>
    <row r="12227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</row>
    <row r="12228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</row>
    <row r="12229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</row>
    <row r="12230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</row>
    <row r="12231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</row>
    <row r="12232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</row>
    <row r="1223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</row>
    <row r="12234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</row>
    <row r="12235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</row>
    <row r="12236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</row>
    <row r="12237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</row>
    <row r="12238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</row>
    <row r="12239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</row>
    <row r="12240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</row>
    <row r="12241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</row>
    <row r="12242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</row>
    <row r="1224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</row>
    <row r="12244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</row>
    <row r="12245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</row>
    <row r="12246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</row>
    <row r="12247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</row>
    <row r="12248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</row>
    <row r="12249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</row>
    <row r="12250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</row>
    <row r="12251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</row>
    <row r="12252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</row>
    <row r="1225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</row>
    <row r="12254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</row>
    <row r="12255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</row>
    <row r="12256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</row>
    <row r="12257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</row>
    <row r="12258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</row>
    <row r="12259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</row>
    <row r="12260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</row>
    <row r="12261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</row>
    <row r="12262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</row>
    <row r="1226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</row>
    <row r="12264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</row>
    <row r="12265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</row>
    <row r="12266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</row>
    <row r="12267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</row>
    <row r="12268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</row>
    <row r="12269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</row>
    <row r="12270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</row>
    <row r="12271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</row>
    <row r="12272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</row>
    <row r="1227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</row>
    <row r="12274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</row>
    <row r="12275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</row>
    <row r="12276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</row>
    <row r="12277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</row>
    <row r="12278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</row>
    <row r="12279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</row>
    <row r="12280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</row>
    <row r="12281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</row>
    <row r="12282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</row>
    <row r="1228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</row>
    <row r="12284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</row>
    <row r="12285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</row>
    <row r="12286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</row>
    <row r="12287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</row>
    <row r="12288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</row>
    <row r="12289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</row>
    <row r="12290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</row>
    <row r="12291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</row>
    <row r="12292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</row>
    <row r="1229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</row>
    <row r="12294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</row>
    <row r="12295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</row>
    <row r="12296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</row>
    <row r="12297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</row>
    <row r="12298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</row>
    <row r="12299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</row>
    <row r="12300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</row>
    <row r="12301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</row>
    <row r="12302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</row>
    <row r="1230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</row>
    <row r="12304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</row>
    <row r="12305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</row>
    <row r="12306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</row>
    <row r="12307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</row>
    <row r="12308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</row>
    <row r="12309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</row>
    <row r="12310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</row>
    <row r="12311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</row>
    <row r="12312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</row>
    <row r="1231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</row>
    <row r="12314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</row>
    <row r="12315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</row>
    <row r="12316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</row>
    <row r="12317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</row>
    <row r="12318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</row>
    <row r="12319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</row>
    <row r="12320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</row>
    <row r="12321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</row>
    <row r="12322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</row>
    <row r="123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</row>
    <row r="12324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</row>
    <row r="12325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</row>
    <row r="12326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</row>
    <row r="12327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</row>
    <row r="12328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</row>
    <row r="12329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</row>
    <row r="12330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</row>
    <row r="12331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</row>
    <row r="12332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</row>
    <row r="1233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</row>
    <row r="12334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</row>
    <row r="12335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</row>
    <row r="12336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</row>
    <row r="12337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</row>
    <row r="12338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</row>
    <row r="12339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</row>
    <row r="12340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</row>
    <row r="12341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</row>
    <row r="12342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</row>
    <row r="1234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</row>
    <row r="12344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</row>
    <row r="12345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</row>
    <row r="12346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</row>
    <row r="12347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</row>
    <row r="12348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</row>
    <row r="12349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</row>
    <row r="12350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</row>
    <row r="12351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</row>
    <row r="12352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</row>
    <row r="1235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</row>
    <row r="12354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</row>
    <row r="12355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</row>
    <row r="12356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</row>
    <row r="12357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</row>
    <row r="12358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</row>
    <row r="12359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</row>
    <row r="12360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</row>
    <row r="12361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</row>
    <row r="12362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</row>
    <row r="1236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</row>
    <row r="12364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</row>
    <row r="12365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</row>
    <row r="12366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</row>
    <row r="12367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</row>
    <row r="12368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</row>
    <row r="12369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</row>
    <row r="12370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</row>
    <row r="12371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</row>
    <row r="12372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</row>
    <row r="1237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</row>
    <row r="12374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</row>
    <row r="12375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</row>
    <row r="12376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</row>
    <row r="12377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</row>
    <row r="12378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</row>
    <row r="12379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</row>
    <row r="12380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</row>
    <row r="12381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</row>
    <row r="12382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</row>
    <row r="1238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</row>
    <row r="12384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</row>
    <row r="12385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</row>
    <row r="12386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</row>
    <row r="12387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</row>
    <row r="12388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</row>
    <row r="12389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</row>
    <row r="12390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</row>
    <row r="12391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</row>
    <row r="12392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</row>
    <row r="1239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</row>
    <row r="12394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</row>
    <row r="12395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</row>
    <row r="12396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</row>
    <row r="12397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</row>
    <row r="12398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</row>
    <row r="12399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</row>
    <row r="12400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</row>
    <row r="1240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</row>
    <row r="12402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</row>
    <row r="1240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</row>
    <row r="12404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</row>
    <row r="12405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</row>
    <row r="12406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</row>
    <row r="12407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</row>
    <row r="12408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</row>
    <row r="12409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</row>
    <row r="12410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</row>
    <row r="12411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</row>
    <row r="12412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</row>
    <row r="1241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</row>
    <row r="12414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</row>
    <row r="12415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</row>
    <row r="12416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</row>
    <row r="12417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</row>
    <row r="12418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</row>
    <row r="12419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</row>
    <row r="12420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</row>
    <row r="12421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</row>
    <row r="12422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</row>
    <row r="124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</row>
    <row r="12424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</row>
    <row r="12425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</row>
    <row r="12426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</row>
    <row r="12427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</row>
    <row r="12428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</row>
    <row r="12429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</row>
    <row r="12430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</row>
    <row r="12431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</row>
    <row r="12432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</row>
    <row r="1243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</row>
    <row r="12434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</row>
    <row r="12435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</row>
    <row r="12436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</row>
    <row r="12437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</row>
    <row r="12438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</row>
    <row r="12439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</row>
    <row r="12440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</row>
    <row r="12441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</row>
    <row r="12442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</row>
    <row r="1244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</row>
    <row r="12444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</row>
    <row r="12445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</row>
    <row r="12446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</row>
    <row r="12447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</row>
    <row r="12448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</row>
    <row r="12449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</row>
    <row r="12450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</row>
    <row r="12451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</row>
    <row r="12452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</row>
    <row r="1245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</row>
    <row r="12454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</row>
    <row r="12455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</row>
    <row r="12456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</row>
    <row r="12457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</row>
    <row r="12458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</row>
    <row r="12459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</row>
    <row r="12460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</row>
    <row r="12461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</row>
    <row r="12462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</row>
    <row r="1246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</row>
    <row r="12464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</row>
    <row r="12465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</row>
    <row r="12466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</row>
    <row r="12467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</row>
    <row r="12468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</row>
    <row r="12469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</row>
    <row r="12470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</row>
    <row r="12471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</row>
    <row r="12472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</row>
    <row r="1247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</row>
    <row r="12474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</row>
    <row r="12475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</row>
    <row r="12476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</row>
    <row r="12477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</row>
    <row r="12478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</row>
    <row r="12479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</row>
    <row r="12480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</row>
    <row r="12481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</row>
    <row r="12482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</row>
    <row r="1248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</row>
    <row r="12484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</row>
    <row r="12485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</row>
    <row r="12486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</row>
    <row r="12487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</row>
    <row r="12488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</row>
    <row r="12489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</row>
    <row r="12490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</row>
    <row r="12491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</row>
    <row r="12492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</row>
    <row r="1249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</row>
    <row r="12494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</row>
    <row r="12495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</row>
    <row r="12496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</row>
    <row r="12497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</row>
    <row r="12498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</row>
    <row r="12499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</row>
    <row r="12500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</row>
    <row r="12501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</row>
    <row r="12502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</row>
    <row r="1250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</row>
    <row r="12504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</row>
    <row r="12505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</row>
    <row r="12506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</row>
    <row r="12507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</row>
    <row r="12508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</row>
    <row r="12509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</row>
    <row r="12510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</row>
    <row r="12511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</row>
    <row r="12512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</row>
    <row r="1251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</row>
    <row r="12514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</row>
    <row r="12515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</row>
    <row r="12516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</row>
    <row r="12517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</row>
    <row r="12518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</row>
    <row r="12519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</row>
    <row r="12520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</row>
    <row r="12521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</row>
    <row r="12522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</row>
    <row r="125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</row>
    <row r="12524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</row>
    <row r="12525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</row>
    <row r="12526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</row>
    <row r="12527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</row>
    <row r="12528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</row>
    <row r="12529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</row>
    <row r="12530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</row>
    <row r="12531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</row>
    <row r="12532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</row>
    <row r="1253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</row>
    <row r="12534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</row>
    <row r="12535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</row>
    <row r="12536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</row>
    <row r="12537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</row>
    <row r="12538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</row>
    <row r="12539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</row>
    <row r="12540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</row>
    <row r="12541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</row>
    <row r="12542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</row>
    <row r="1254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</row>
    <row r="12544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</row>
    <row r="12545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</row>
    <row r="12546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</row>
    <row r="12547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</row>
    <row r="12548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</row>
    <row r="12549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</row>
    <row r="12550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</row>
    <row r="12551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</row>
    <row r="12552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</row>
    <row r="1255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</row>
    <row r="12554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</row>
    <row r="12555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</row>
    <row r="12556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</row>
    <row r="12557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</row>
    <row r="12558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</row>
    <row r="12559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</row>
    <row r="12560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</row>
    <row r="12561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</row>
    <row r="12562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</row>
    <row r="1256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</row>
    <row r="12564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</row>
    <row r="12565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</row>
    <row r="12566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</row>
    <row r="12567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</row>
    <row r="12568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</row>
    <row r="12569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</row>
    <row r="12570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</row>
    <row r="12571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</row>
    <row r="12572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</row>
    <row r="1257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</row>
    <row r="12574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</row>
    <row r="12575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</row>
    <row r="12576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</row>
    <row r="12577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</row>
    <row r="12578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</row>
    <row r="12579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</row>
    <row r="12580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</row>
    <row r="12581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</row>
    <row r="12582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</row>
    <row r="1258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</row>
    <row r="12584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</row>
    <row r="12585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</row>
    <row r="12586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</row>
    <row r="12587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</row>
    <row r="12588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</row>
    <row r="12589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</row>
    <row r="12590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</row>
    <row r="12591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</row>
    <row r="12592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</row>
    <row r="1259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</row>
    <row r="12594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</row>
    <row r="12595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</row>
    <row r="12596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</row>
    <row r="12597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</row>
    <row r="12598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</row>
    <row r="12599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</row>
    <row r="12600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</row>
    <row r="12601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</row>
    <row r="12602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</row>
    <row r="1260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</row>
    <row r="12604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</row>
    <row r="12605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</row>
    <row r="12606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</row>
    <row r="12607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</row>
    <row r="12608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</row>
    <row r="12609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</row>
    <row r="12610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</row>
    <row r="12611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</row>
    <row r="12612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</row>
    <row r="1261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</row>
    <row r="12614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</row>
    <row r="12615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</row>
    <row r="12616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</row>
    <row r="12617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</row>
    <row r="12618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</row>
    <row r="12619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</row>
    <row r="12620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</row>
    <row r="12621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</row>
    <row r="12622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</row>
    <row r="126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</row>
    <row r="12624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</row>
    <row r="12625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</row>
    <row r="12626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</row>
    <row r="12627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</row>
    <row r="12628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</row>
    <row r="12629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</row>
    <row r="12630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</row>
    <row r="12631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</row>
    <row r="12632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</row>
    <row r="1263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</row>
    <row r="12634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</row>
    <row r="12635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</row>
    <row r="12636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</row>
    <row r="12637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</row>
    <row r="12638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</row>
    <row r="12639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</row>
    <row r="12640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</row>
    <row r="12641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</row>
    <row r="12642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</row>
    <row r="1264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</row>
    <row r="12644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</row>
    <row r="12645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</row>
    <row r="12646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</row>
    <row r="12647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</row>
    <row r="12648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</row>
    <row r="12649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</row>
    <row r="12650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</row>
    <row r="12651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</row>
    <row r="12652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</row>
    <row r="1265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</row>
    <row r="12654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</row>
    <row r="12655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</row>
    <row r="12656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</row>
    <row r="12657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</row>
    <row r="12658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</row>
    <row r="12659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</row>
    <row r="12660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</row>
    <row r="12661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</row>
    <row r="12662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</row>
    <row r="1266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</row>
    <row r="12664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</row>
    <row r="12665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</row>
    <row r="12666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</row>
    <row r="12667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</row>
    <row r="12668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</row>
    <row r="12669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</row>
    <row r="12670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</row>
    <row r="12671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</row>
    <row r="12672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</row>
    <row r="1267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</row>
    <row r="12674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</row>
    <row r="12675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</row>
    <row r="12676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</row>
    <row r="12677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</row>
    <row r="12678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</row>
    <row r="12679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</row>
    <row r="12680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</row>
    <row r="12681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</row>
    <row r="12682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</row>
    <row r="1268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</row>
    <row r="12684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</row>
    <row r="12685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</row>
    <row r="12686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</row>
    <row r="12687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</row>
    <row r="12688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</row>
    <row r="12689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</row>
    <row r="12690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</row>
    <row r="12691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</row>
    <row r="12692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</row>
    <row r="1269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</row>
    <row r="12694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</row>
    <row r="12695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</row>
    <row r="12696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</row>
    <row r="12697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</row>
    <row r="12698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</row>
    <row r="12699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</row>
    <row r="12700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</row>
    <row r="12701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</row>
    <row r="12702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</row>
    <row r="1270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</row>
    <row r="12704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</row>
    <row r="12705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</row>
    <row r="12706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</row>
    <row r="12707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</row>
    <row r="12708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</row>
    <row r="12709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</row>
    <row r="12710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</row>
    <row r="12711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</row>
    <row r="12712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</row>
    <row r="1271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</row>
    <row r="12714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</row>
    <row r="12715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</row>
    <row r="12716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</row>
    <row r="12717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</row>
    <row r="12718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</row>
    <row r="12719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</row>
    <row r="12720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</row>
    <row r="12721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</row>
    <row r="12722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</row>
    <row r="127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</row>
    <row r="12724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</row>
    <row r="12725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</row>
    <row r="12726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</row>
    <row r="12727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</row>
    <row r="12728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</row>
    <row r="12729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</row>
    <row r="12730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</row>
    <row r="12731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</row>
    <row r="12732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</row>
    <row r="1273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</row>
    <row r="12734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</row>
    <row r="12735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</row>
    <row r="12736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</row>
    <row r="12737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</row>
    <row r="12738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</row>
    <row r="12739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</row>
    <row r="12740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</row>
    <row r="12741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</row>
    <row r="12742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</row>
    <row r="1274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</row>
    <row r="12744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</row>
    <row r="12745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</row>
    <row r="12746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</row>
    <row r="12747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</row>
    <row r="12748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</row>
    <row r="12749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</row>
    <row r="12750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</row>
    <row r="12751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</row>
    <row r="12752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</row>
    <row r="1275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</row>
    <row r="12754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</row>
    <row r="12755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</row>
    <row r="12756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</row>
    <row r="12757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</row>
    <row r="12758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</row>
    <row r="12759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</row>
    <row r="12760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</row>
    <row r="12761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</row>
    <row r="12762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</row>
    <row r="1276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</row>
    <row r="12764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</row>
    <row r="12765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</row>
    <row r="12766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</row>
    <row r="12767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</row>
    <row r="12768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</row>
    <row r="12769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</row>
    <row r="12770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</row>
    <row r="12771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</row>
    <row r="12772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</row>
    <row r="1277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</row>
    <row r="12774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</row>
    <row r="12775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</row>
    <row r="12776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</row>
    <row r="12777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</row>
    <row r="12778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</row>
    <row r="12779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</row>
    <row r="12780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</row>
    <row r="12781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</row>
    <row r="12782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</row>
    <row r="1278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</row>
    <row r="12784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</row>
    <row r="12785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</row>
    <row r="12786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</row>
    <row r="12787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</row>
    <row r="12788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</row>
    <row r="12789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</row>
    <row r="12790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</row>
    <row r="12791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</row>
    <row r="12792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</row>
    <row r="1279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</row>
    <row r="12794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</row>
    <row r="12795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</row>
    <row r="12796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</row>
    <row r="12797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</row>
    <row r="12798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</row>
    <row r="12799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</row>
    <row r="12800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</row>
    <row r="12801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</row>
    <row r="12802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</row>
    <row r="1280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</row>
    <row r="12804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</row>
    <row r="12805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</row>
    <row r="12806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</row>
    <row r="12807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</row>
    <row r="12808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</row>
    <row r="12809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</row>
    <row r="12810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</row>
    <row r="12811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</row>
    <row r="12812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</row>
    <row r="1281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</row>
    <row r="12814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</row>
    <row r="12815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</row>
    <row r="12816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</row>
    <row r="12817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</row>
    <row r="12818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</row>
    <row r="12819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</row>
    <row r="12820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</row>
    <row r="12821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</row>
    <row r="12822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</row>
    <row r="128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</row>
    <row r="12824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</row>
    <row r="12825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</row>
    <row r="12826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</row>
    <row r="12827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</row>
    <row r="12828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</row>
    <row r="12829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</row>
    <row r="12830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</row>
    <row r="12831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</row>
    <row r="12832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</row>
    <row r="1283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</row>
    <row r="12834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</row>
    <row r="12835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</row>
    <row r="12836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</row>
    <row r="12837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</row>
    <row r="12838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</row>
    <row r="12839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</row>
    <row r="12840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</row>
    <row r="12841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</row>
    <row r="12842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</row>
    <row r="1284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</row>
    <row r="12844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</row>
    <row r="12845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</row>
    <row r="12846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</row>
    <row r="12847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</row>
    <row r="12848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</row>
    <row r="12849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</row>
    <row r="12850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</row>
    <row r="12851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</row>
    <row r="12852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</row>
    <row r="1285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</row>
    <row r="12854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</row>
    <row r="12855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</row>
    <row r="12856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</row>
    <row r="12857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</row>
    <row r="12858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</row>
    <row r="12859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</row>
    <row r="12860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</row>
    <row r="12861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</row>
    <row r="12862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</row>
    <row r="1286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</row>
    <row r="12864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</row>
    <row r="12865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</row>
    <row r="12866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</row>
    <row r="12867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</row>
    <row r="12868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</row>
    <row r="12869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</row>
    <row r="12870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</row>
    <row r="12871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</row>
    <row r="12872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</row>
    <row r="1287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</row>
    <row r="12874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</row>
    <row r="12875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</row>
    <row r="12876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</row>
    <row r="12877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</row>
    <row r="12878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</row>
    <row r="12879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</row>
    <row r="12880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</row>
    <row r="12881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</row>
    <row r="12882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</row>
    <row r="1288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</row>
    <row r="12884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</row>
    <row r="12885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</row>
    <row r="12886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</row>
    <row r="12887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</row>
    <row r="12888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</row>
    <row r="12889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</row>
    <row r="12890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</row>
    <row r="12891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</row>
    <row r="12892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</row>
    <row r="1289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</row>
    <row r="12894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</row>
    <row r="12895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</row>
    <row r="12896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</row>
    <row r="12897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</row>
    <row r="12898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</row>
    <row r="12899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</row>
    <row r="12900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</row>
    <row r="12901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</row>
    <row r="12902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</row>
    <row r="1290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</row>
    <row r="12904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</row>
    <row r="12905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</row>
    <row r="12906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</row>
    <row r="12907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</row>
    <row r="12908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</row>
    <row r="12909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</row>
    <row r="12910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</row>
    <row r="12911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</row>
    <row r="12912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</row>
    <row r="1291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</row>
    <row r="12914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</row>
    <row r="12915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</row>
    <row r="12916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</row>
    <row r="12917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</row>
    <row r="12918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</row>
    <row r="12919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</row>
    <row r="12920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</row>
    <row r="12921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</row>
    <row r="12922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</row>
    <row r="129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</row>
    <row r="12924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</row>
    <row r="12925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</row>
    <row r="12926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</row>
    <row r="12927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</row>
    <row r="12928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</row>
    <row r="12929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</row>
    <row r="12930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</row>
    <row r="12931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</row>
    <row r="12932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</row>
    <row r="1293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</row>
    <row r="12934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</row>
    <row r="12935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</row>
    <row r="12936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</row>
    <row r="12937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</row>
    <row r="12938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</row>
    <row r="12939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</row>
    <row r="12940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</row>
    <row r="12941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</row>
    <row r="12942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</row>
    <row r="1294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</row>
    <row r="12944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</row>
    <row r="12945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</row>
    <row r="12946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</row>
    <row r="12947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</row>
    <row r="12948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</row>
    <row r="12949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</row>
    <row r="12950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</row>
    <row r="12951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</row>
    <row r="12952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</row>
    <row r="1295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</row>
    <row r="12954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</row>
    <row r="12955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</row>
    <row r="12956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</row>
    <row r="12957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</row>
    <row r="12958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</row>
    <row r="12959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</row>
    <row r="12960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</row>
    <row r="12961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</row>
    <row r="12962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</row>
    <row r="1296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</row>
    <row r="12964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</row>
    <row r="12965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</row>
    <row r="12966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</row>
    <row r="12967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</row>
    <row r="12968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</row>
    <row r="12969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</row>
    <row r="12970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</row>
    <row r="12971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</row>
    <row r="12972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</row>
    <row r="1297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</row>
    <row r="12974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</row>
    <row r="12975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</row>
    <row r="12976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</row>
    <row r="12977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</row>
    <row r="12978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</row>
    <row r="12979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</row>
    <row r="12980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</row>
    <row r="12981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</row>
    <row r="12982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</row>
    <row r="1298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</row>
    <row r="12984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</row>
    <row r="12985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</row>
    <row r="12986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</row>
    <row r="12987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</row>
    <row r="12988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</row>
    <row r="12989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</row>
    <row r="12990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</row>
    <row r="12991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</row>
    <row r="12992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</row>
    <row r="1299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</row>
    <row r="12994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</row>
    <row r="12995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</row>
    <row r="12996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</row>
    <row r="12997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</row>
    <row r="12998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</row>
    <row r="12999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</row>
    <row r="13000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</row>
    <row r="13001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</row>
    <row r="13002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</row>
    <row r="1300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</row>
    <row r="13004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</row>
    <row r="13005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</row>
    <row r="13006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</row>
    <row r="13007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</row>
    <row r="13008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</row>
    <row r="13009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</row>
    <row r="13010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</row>
    <row r="13011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</row>
    <row r="13012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</row>
    <row r="1301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</row>
    <row r="13014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</row>
    <row r="13015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</row>
    <row r="13016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</row>
    <row r="13017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</row>
    <row r="13018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</row>
    <row r="13019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</row>
    <row r="13020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</row>
    <row r="13021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</row>
    <row r="13022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</row>
    <row r="130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</row>
    <row r="13024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</row>
    <row r="13025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</row>
    <row r="13026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</row>
    <row r="13027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</row>
    <row r="13028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</row>
    <row r="13029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</row>
    <row r="13030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</row>
    <row r="13031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</row>
    <row r="13032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</row>
    <row r="1303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</row>
    <row r="13034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</row>
    <row r="13035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</row>
    <row r="13036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</row>
    <row r="13037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</row>
    <row r="13038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</row>
    <row r="13039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</row>
    <row r="13040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</row>
    <row r="13041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</row>
    <row r="13042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</row>
    <row r="1304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</row>
    <row r="13044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</row>
    <row r="13045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</row>
    <row r="13046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</row>
    <row r="13047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</row>
    <row r="13048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</row>
    <row r="13049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</row>
    <row r="13050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</row>
    <row r="13051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</row>
    <row r="13052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</row>
    <row r="1305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</row>
    <row r="13054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</row>
    <row r="13055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</row>
    <row r="13056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</row>
    <row r="13057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</row>
    <row r="13058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</row>
    <row r="13059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</row>
    <row r="13060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</row>
    <row r="13061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</row>
    <row r="13062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</row>
    <row r="1306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</row>
    <row r="13064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</row>
    <row r="13065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</row>
    <row r="13066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</row>
    <row r="13067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</row>
    <row r="13068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</row>
    <row r="13069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</row>
    <row r="13070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</row>
    <row r="13071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</row>
    <row r="13072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</row>
    <row r="1307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</row>
    <row r="13074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</row>
    <row r="13075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</row>
    <row r="13076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</row>
    <row r="13077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</row>
    <row r="13078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</row>
    <row r="13079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</row>
    <row r="13080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</row>
    <row r="13081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</row>
    <row r="13082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</row>
    <row r="1308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</row>
    <row r="13084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</row>
    <row r="13085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</row>
    <row r="13086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</row>
    <row r="13087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</row>
    <row r="13088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</row>
    <row r="13089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</row>
    <row r="13090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</row>
    <row r="13091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</row>
    <row r="13092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</row>
    <row r="1309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</row>
    <row r="13094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</row>
    <row r="13095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</row>
    <row r="13096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</row>
    <row r="13097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</row>
    <row r="13098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</row>
    <row r="13099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</row>
    <row r="13100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</row>
    <row r="13101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</row>
    <row r="13102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</row>
    <row r="1310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</row>
    <row r="13104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</row>
    <row r="13105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</row>
    <row r="13106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</row>
    <row r="13107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</row>
    <row r="13108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</row>
    <row r="13109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</row>
    <row r="13110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</row>
    <row r="13111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</row>
    <row r="13112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</row>
    <row r="1311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</row>
    <row r="13114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</row>
    <row r="13115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</row>
    <row r="13116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</row>
    <row r="13117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</row>
    <row r="13118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</row>
    <row r="13119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</row>
    <row r="13120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</row>
    <row r="13121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</row>
    <row r="13122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</row>
    <row r="131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</row>
    <row r="13124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</row>
    <row r="13125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</row>
    <row r="13126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</row>
    <row r="13127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</row>
    <row r="13128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</row>
    <row r="13129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</row>
    <row r="13130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</row>
    <row r="13131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</row>
    <row r="13132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</row>
    <row r="1313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</row>
    <row r="13134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</row>
    <row r="13135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</row>
    <row r="13136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</row>
    <row r="13137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</row>
    <row r="13138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</row>
    <row r="13139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</row>
    <row r="13140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</row>
    <row r="13141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</row>
    <row r="13142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</row>
    <row r="1314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</row>
    <row r="13144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</row>
    <row r="13145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</row>
    <row r="13146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</row>
    <row r="13147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</row>
    <row r="13148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</row>
    <row r="13149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</row>
    <row r="13150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</row>
    <row r="13151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</row>
    <row r="13152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</row>
    <row r="1315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</row>
    <row r="13154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</row>
    <row r="13155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</row>
    <row r="13156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</row>
    <row r="13157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</row>
    <row r="13158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</row>
    <row r="13159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</row>
    <row r="13160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</row>
    <row r="13161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</row>
    <row r="13162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</row>
    <row r="1316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</row>
    <row r="13164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</row>
    <row r="13165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</row>
    <row r="13166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</row>
    <row r="13167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</row>
    <row r="13168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</row>
    <row r="13169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</row>
    <row r="13170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</row>
    <row r="13171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</row>
    <row r="13172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</row>
    <row r="1317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</row>
    <row r="13174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</row>
    <row r="13175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</row>
    <row r="13176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</row>
    <row r="13177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</row>
    <row r="13178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</row>
    <row r="13179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</row>
    <row r="13180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</row>
    <row r="13181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</row>
    <row r="13182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</row>
    <row r="1318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</row>
    <row r="13184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</row>
    <row r="13185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</row>
    <row r="13186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</row>
    <row r="13187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</row>
    <row r="13188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</row>
    <row r="13189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</row>
    <row r="13190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</row>
    <row r="13191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</row>
    <row r="13192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</row>
    <row r="1319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</row>
    <row r="13194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</row>
    <row r="13195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</row>
    <row r="13196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</row>
    <row r="13197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</row>
    <row r="13198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</row>
    <row r="13199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</row>
    <row r="13200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</row>
    <row r="13201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</row>
    <row r="13202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</row>
    <row r="1320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</row>
    <row r="13204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</row>
    <row r="13205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</row>
    <row r="13206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</row>
    <row r="13207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</row>
    <row r="13208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</row>
    <row r="13209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</row>
    <row r="13210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</row>
    <row r="13211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</row>
    <row r="13212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</row>
    <row r="1321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</row>
    <row r="13214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</row>
    <row r="13215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</row>
    <row r="13216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</row>
    <row r="13217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</row>
    <row r="13218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</row>
    <row r="13219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</row>
    <row r="13220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</row>
    <row r="13221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</row>
    <row r="13222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</row>
    <row r="132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</row>
    <row r="13224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</row>
    <row r="13225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</row>
    <row r="13226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</row>
    <row r="13227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</row>
    <row r="13228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</row>
    <row r="13229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</row>
    <row r="13230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</row>
    <row r="13231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</row>
    <row r="13232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</row>
    <row r="1323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</row>
    <row r="13234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</row>
    <row r="13235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</row>
    <row r="13236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</row>
    <row r="13237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</row>
    <row r="13238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</row>
    <row r="13239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</row>
    <row r="13240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</row>
    <row r="13241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</row>
    <row r="13242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</row>
    <row r="1324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</row>
    <row r="13244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</row>
    <row r="13245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</row>
    <row r="13246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</row>
    <row r="13247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</row>
    <row r="13248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</row>
    <row r="13249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</row>
    <row r="13250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</row>
    <row r="13251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</row>
    <row r="13252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</row>
    <row r="1325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</row>
    <row r="13254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</row>
    <row r="13255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</row>
    <row r="13256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</row>
    <row r="13257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</row>
    <row r="13258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</row>
    <row r="13259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</row>
    <row r="13260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</row>
    <row r="13261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</row>
    <row r="13262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</row>
    <row r="1326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</row>
    <row r="13264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</row>
    <row r="13265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</row>
    <row r="13266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</row>
    <row r="13267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</row>
    <row r="13268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</row>
    <row r="13269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</row>
    <row r="13270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</row>
    <row r="13271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</row>
    <row r="13272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</row>
    <row r="1327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</row>
    <row r="13274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</row>
    <row r="13275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</row>
    <row r="13276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</row>
    <row r="13277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</row>
    <row r="13278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</row>
    <row r="13279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</row>
    <row r="13280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</row>
    <row r="13281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</row>
    <row r="13282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</row>
    <row r="1328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</row>
    <row r="13284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</row>
    <row r="13285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</row>
    <row r="13286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</row>
    <row r="13287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</row>
    <row r="13288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</row>
    <row r="13289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</row>
    <row r="13290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</row>
    <row r="13291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</row>
    <row r="13292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</row>
    <row r="1329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</row>
    <row r="13294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</row>
    <row r="13295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</row>
    <row r="13296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</row>
    <row r="13297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</row>
    <row r="13298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</row>
    <row r="13299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</row>
    <row r="13300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</row>
    <row r="13301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</row>
    <row r="13302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</row>
    <row r="1330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</row>
    <row r="13304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</row>
    <row r="13305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</row>
    <row r="13306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</row>
    <row r="13307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</row>
    <row r="13308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</row>
    <row r="13309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</row>
    <row r="13310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</row>
    <row r="13311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</row>
    <row r="13312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</row>
    <row r="1331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</row>
    <row r="13314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</row>
    <row r="13315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</row>
    <row r="13316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</row>
    <row r="13317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</row>
    <row r="13318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</row>
    <row r="13319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</row>
    <row r="13320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</row>
    <row r="13321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</row>
    <row r="13322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</row>
    <row r="133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</row>
    <row r="13324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</row>
    <row r="13325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</row>
    <row r="13326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</row>
    <row r="13327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</row>
    <row r="13328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</row>
    <row r="13329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</row>
    <row r="13330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</row>
    <row r="13331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</row>
    <row r="13332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</row>
    <row r="1333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</row>
    <row r="13334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</row>
    <row r="13335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</row>
    <row r="13336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</row>
    <row r="13337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</row>
    <row r="13338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</row>
    <row r="13339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</row>
    <row r="13340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</row>
    <row r="13341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</row>
    <row r="13342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</row>
    <row r="1334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</row>
    <row r="13344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</row>
    <row r="13345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</row>
    <row r="13346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</row>
    <row r="13347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</row>
    <row r="13348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</row>
    <row r="13349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</row>
    <row r="13350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</row>
    <row r="13351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</row>
    <row r="13352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</row>
    <row r="1335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</row>
    <row r="13354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</row>
    <row r="13355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</row>
    <row r="13356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</row>
    <row r="13357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</row>
    <row r="13358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</row>
    <row r="13359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</row>
    <row r="13360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</row>
    <row r="13361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</row>
    <row r="13362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</row>
    <row r="1336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</row>
    <row r="13364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</row>
    <row r="13365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</row>
    <row r="13366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</row>
    <row r="13367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</row>
    <row r="13368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</row>
    <row r="13369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</row>
    <row r="13370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</row>
    <row r="13371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</row>
    <row r="13372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</row>
    <row r="1337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</row>
    <row r="13374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</row>
    <row r="13375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</row>
    <row r="13376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</row>
    <row r="13377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</row>
    <row r="13378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</row>
    <row r="13379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</row>
    <row r="13380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</row>
    <row r="13381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</row>
    <row r="13382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</row>
    <row r="1338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</row>
    <row r="13384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</row>
    <row r="13385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</row>
    <row r="13386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</row>
    <row r="13387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</row>
    <row r="13388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</row>
    <row r="13389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</row>
    <row r="13390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</row>
    <row r="13391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</row>
    <row r="13392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</row>
    <row r="1339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</row>
    <row r="13394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</row>
    <row r="13395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</row>
    <row r="13396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</row>
    <row r="13397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</row>
    <row r="13398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</row>
    <row r="13399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</row>
    <row r="13400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</row>
    <row r="13401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</row>
    <row r="13402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</row>
    <row r="1340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</row>
    <row r="13404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</row>
    <row r="13405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</row>
    <row r="13406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</row>
    <row r="13407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</row>
    <row r="13408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</row>
    <row r="13409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</row>
    <row r="13410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</row>
    <row r="13411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</row>
    <row r="13412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</row>
    <row r="1341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</row>
    <row r="13414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</row>
    <row r="13415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</row>
    <row r="13416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</row>
    <row r="13417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</row>
    <row r="13418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</row>
    <row r="13419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</row>
    <row r="13420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</row>
    <row r="13421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</row>
    <row r="13422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</row>
    <row r="134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</row>
    <row r="13424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</row>
    <row r="13425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</row>
    <row r="13426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</row>
    <row r="13427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</row>
    <row r="13428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</row>
    <row r="13429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</row>
    <row r="13430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</row>
    <row r="13431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</row>
    <row r="13432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</row>
    <row r="1343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</row>
    <row r="13434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</row>
    <row r="13435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</row>
    <row r="13436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</row>
    <row r="13437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</row>
    <row r="13438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</row>
    <row r="13439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</row>
    <row r="13440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</row>
    <row r="13441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</row>
    <row r="13442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</row>
    <row r="1344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</row>
    <row r="13444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</row>
    <row r="13445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</row>
    <row r="13446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</row>
    <row r="13447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</row>
    <row r="13448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</row>
    <row r="13449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</row>
    <row r="13450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</row>
    <row r="13451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</row>
    <row r="13452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</row>
    <row r="1345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</row>
    <row r="13454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</row>
    <row r="13455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</row>
    <row r="13456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</row>
    <row r="13457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</row>
    <row r="13458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</row>
    <row r="13459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</row>
    <row r="13460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</row>
    <row r="13461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</row>
    <row r="13462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</row>
    <row r="1346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</row>
    <row r="13464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</row>
    <row r="13465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</row>
    <row r="13466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</row>
    <row r="13467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</row>
    <row r="13468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</row>
    <row r="13469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</row>
    <row r="13470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</row>
    <row r="13471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</row>
    <row r="13472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</row>
    <row r="1347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</row>
    <row r="13474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</row>
    <row r="13475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</row>
    <row r="13476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</row>
    <row r="13477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</row>
    <row r="13478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</row>
    <row r="13479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</row>
    <row r="13480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</row>
    <row r="13481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</row>
    <row r="13482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</row>
    <row r="1348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</row>
    <row r="13484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</row>
    <row r="13485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</row>
    <row r="13486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</row>
    <row r="13487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</row>
    <row r="13488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</row>
    <row r="13489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</row>
    <row r="13490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</row>
    <row r="13491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</row>
    <row r="13492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</row>
    <row r="1349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</row>
    <row r="13494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</row>
    <row r="13495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</row>
    <row r="13496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</row>
    <row r="13497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</row>
    <row r="13498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</row>
    <row r="13499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</row>
    <row r="13500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</row>
    <row r="13501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</row>
    <row r="13502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</row>
    <row r="1350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</row>
    <row r="13504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</row>
    <row r="13505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</row>
    <row r="13506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</row>
    <row r="13507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</row>
    <row r="13508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</row>
    <row r="13509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</row>
    <row r="13510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</row>
    <row r="13511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</row>
    <row r="13512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</row>
    <row r="1351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</row>
    <row r="13514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</row>
    <row r="13515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</row>
    <row r="13516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</row>
    <row r="13517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</row>
    <row r="13518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</row>
    <row r="13519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</row>
    <row r="13520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</row>
    <row r="13521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</row>
    <row r="13522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</row>
    <row r="135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</row>
    <row r="13524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</row>
    <row r="13525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</row>
    <row r="13526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</row>
    <row r="13527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</row>
    <row r="13528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</row>
    <row r="13529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</row>
    <row r="13530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</row>
    <row r="13531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</row>
    <row r="13532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</row>
    <row r="1353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</row>
    <row r="13534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</row>
    <row r="13535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</row>
    <row r="13536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</row>
    <row r="13537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</row>
    <row r="13538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</row>
    <row r="13539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</row>
    <row r="13540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</row>
    <row r="13541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</row>
    <row r="13542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</row>
    <row r="1354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</row>
    <row r="13544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</row>
    <row r="13545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</row>
    <row r="13546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</row>
    <row r="13547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</row>
    <row r="13548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</row>
    <row r="13549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</row>
    <row r="13550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</row>
    <row r="13551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</row>
    <row r="13552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</row>
    <row r="1355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</row>
    <row r="13554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</row>
    <row r="13555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</row>
    <row r="13556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</row>
    <row r="13557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</row>
    <row r="13558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</row>
    <row r="13559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</row>
    <row r="13560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</row>
    <row r="13561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</row>
    <row r="13562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</row>
    <row r="1356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</row>
    <row r="13564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</row>
    <row r="13565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</row>
    <row r="13566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</row>
    <row r="13567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</row>
    <row r="13568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</row>
    <row r="13569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</row>
    <row r="13570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</row>
    <row r="13571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</row>
    <row r="13572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</row>
    <row r="1357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</row>
    <row r="13574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</row>
    <row r="13575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</row>
    <row r="13576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</row>
    <row r="13577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</row>
    <row r="13578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</row>
    <row r="13579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</row>
    <row r="13580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</row>
    <row r="13581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</row>
    <row r="13582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</row>
    <row r="1358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</row>
    <row r="13584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</row>
    <row r="13585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</row>
    <row r="13586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</row>
    <row r="13587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</row>
    <row r="13588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</row>
    <row r="13589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</row>
    <row r="13590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</row>
    <row r="13591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</row>
    <row r="13592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</row>
    <row r="1359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</row>
    <row r="13594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</row>
    <row r="13595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</row>
    <row r="13596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</row>
    <row r="13597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</row>
    <row r="13598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</row>
    <row r="13599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</row>
    <row r="13600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</row>
    <row r="13601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</row>
    <row r="13602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</row>
    <row r="1360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</row>
    <row r="13604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</row>
    <row r="13605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</row>
    <row r="13606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</row>
    <row r="13607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</row>
    <row r="13608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</row>
    <row r="13609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</row>
    <row r="13610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</row>
    <row r="13611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</row>
    <row r="13612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</row>
    <row r="1361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</row>
    <row r="13614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</row>
    <row r="13615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</row>
    <row r="13616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</row>
    <row r="13617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</row>
    <row r="13618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</row>
    <row r="13619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</row>
    <row r="13620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</row>
    <row r="13621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</row>
    <row r="13622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</row>
    <row r="136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</row>
    <row r="13624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</row>
    <row r="13625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</row>
    <row r="13626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</row>
    <row r="13627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</row>
    <row r="13628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</row>
    <row r="13629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</row>
    <row r="13630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</row>
    <row r="13631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</row>
    <row r="13632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</row>
    <row r="1363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</row>
    <row r="13634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</row>
    <row r="13635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</row>
    <row r="13636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</row>
    <row r="13637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</row>
    <row r="13638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</row>
    <row r="13639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</row>
    <row r="13640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</row>
    <row r="13641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</row>
    <row r="13642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</row>
    <row r="1364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</row>
    <row r="13644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</row>
    <row r="13645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</row>
    <row r="13646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</row>
    <row r="13647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</row>
    <row r="13648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</row>
    <row r="13649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</row>
    <row r="13650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</row>
    <row r="13651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</row>
    <row r="13652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</row>
    <row r="1365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</row>
    <row r="13654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</row>
    <row r="13655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</row>
    <row r="13656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</row>
    <row r="13657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</row>
    <row r="13658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</row>
    <row r="13659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</row>
    <row r="13660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</row>
    <row r="13661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</row>
    <row r="13662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</row>
    <row r="1366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</row>
    <row r="13664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</row>
    <row r="13665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</row>
    <row r="13666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</row>
    <row r="13667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</row>
    <row r="13668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</row>
    <row r="13669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</row>
    <row r="13670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</row>
    <row r="13671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</row>
    <row r="13672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</row>
    <row r="1367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</row>
    <row r="13674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</row>
    <row r="13675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</row>
    <row r="13676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</row>
    <row r="13677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</row>
    <row r="13678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</row>
    <row r="13679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</row>
    <row r="13680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</row>
    <row r="13681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</row>
    <row r="13682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</row>
    <row r="1368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</row>
    <row r="13684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</row>
    <row r="13685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</row>
    <row r="13686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</row>
    <row r="13687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</row>
    <row r="13688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</row>
    <row r="13689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</row>
    <row r="13690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</row>
    <row r="13691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</row>
    <row r="13692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</row>
    <row r="1369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</row>
    <row r="13694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</row>
    <row r="13695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</row>
    <row r="13696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</row>
    <row r="13697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</row>
    <row r="13698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</row>
    <row r="13699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</row>
    <row r="13700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</row>
    <row r="13701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</row>
    <row r="13702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</row>
    <row r="1370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</row>
    <row r="13704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</row>
    <row r="13705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</row>
    <row r="13706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</row>
    <row r="13707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</row>
    <row r="13708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</row>
    <row r="13709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</row>
    <row r="13710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</row>
    <row r="13711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</row>
    <row r="13712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</row>
    <row r="1371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</row>
    <row r="13714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</row>
    <row r="13715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</row>
    <row r="13716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</row>
    <row r="13717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</row>
    <row r="13718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</row>
    <row r="13719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</row>
    <row r="13720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</row>
    <row r="13721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</row>
    <row r="13722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</row>
    <row r="137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</row>
    <row r="13724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</row>
    <row r="13725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</row>
    <row r="13726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</row>
    <row r="13727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</row>
    <row r="13728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</row>
    <row r="13729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</row>
    <row r="13730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</row>
    <row r="13731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</row>
    <row r="13732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</row>
    <row r="1373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</row>
    <row r="13734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</row>
    <row r="13735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</row>
    <row r="13736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</row>
    <row r="13737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</row>
    <row r="13738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</row>
    <row r="13739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</row>
    <row r="13740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</row>
    <row r="13741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</row>
    <row r="13742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</row>
    <row r="1374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</row>
    <row r="13744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</row>
    <row r="13745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</row>
    <row r="13746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</row>
    <row r="13747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</row>
    <row r="13748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</row>
    <row r="13749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</row>
    <row r="13750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</row>
    <row r="13751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</row>
    <row r="13752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</row>
    <row r="1375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</row>
    <row r="13754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</row>
    <row r="13755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</row>
    <row r="13756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</row>
    <row r="13757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</row>
    <row r="13758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</row>
    <row r="13759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</row>
    <row r="13760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</row>
    <row r="13761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</row>
    <row r="13762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</row>
    <row r="1376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</row>
    <row r="13764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</row>
    <row r="13765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</row>
    <row r="13766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</row>
    <row r="13767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</row>
    <row r="13768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</row>
    <row r="13769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</row>
    <row r="13770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</row>
    <row r="13771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</row>
    <row r="13772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</row>
    <row r="1377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</row>
    <row r="13774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</row>
    <row r="13775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</row>
    <row r="13776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</row>
    <row r="13777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</row>
    <row r="13778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</row>
    <row r="13779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</row>
    <row r="13780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</row>
    <row r="13781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</row>
    <row r="13782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</row>
    <row r="1378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</row>
    <row r="13784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</row>
    <row r="13785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</row>
    <row r="13786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</row>
    <row r="13787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</row>
    <row r="13788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</row>
    <row r="13789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</row>
    <row r="13790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</row>
    <row r="13791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</row>
    <row r="13792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</row>
    <row r="1379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</row>
    <row r="13794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</row>
    <row r="13795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</row>
    <row r="13796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</row>
    <row r="13797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</row>
    <row r="13798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</row>
    <row r="13799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</row>
    <row r="13800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</row>
    <row r="13801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</row>
    <row r="13802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</row>
    <row r="1380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</row>
    <row r="13804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</row>
    <row r="13805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</row>
    <row r="13806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</row>
    <row r="13807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</row>
    <row r="13808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</row>
    <row r="13809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</row>
    <row r="13810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</row>
    <row r="13811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</row>
    <row r="13812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</row>
    <row r="1381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</row>
    <row r="13814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</row>
    <row r="13815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</row>
    <row r="13816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</row>
    <row r="13817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</row>
    <row r="13818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</row>
    <row r="13819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</row>
    <row r="13820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</row>
    <row r="13821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</row>
    <row r="13822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</row>
    <row r="138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</row>
    <row r="13824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</row>
    <row r="13825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</row>
    <row r="13826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</row>
    <row r="13827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</row>
    <row r="13828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</row>
    <row r="13829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</row>
    <row r="13830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</row>
    <row r="13831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</row>
    <row r="13832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</row>
    <row r="1383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</row>
    <row r="13834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</row>
    <row r="13835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</row>
    <row r="13836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</row>
    <row r="13837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</row>
    <row r="13838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</row>
    <row r="13839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</row>
    <row r="13840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</row>
    <row r="13841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</row>
    <row r="13842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</row>
    <row r="1384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</row>
    <row r="13844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</row>
    <row r="13845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</row>
    <row r="13846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</row>
    <row r="13847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</row>
    <row r="13848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</row>
    <row r="13849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</row>
    <row r="13850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</row>
    <row r="13851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</row>
    <row r="13852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</row>
    <row r="1385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</row>
    <row r="13854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</row>
    <row r="13855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</row>
    <row r="13856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</row>
    <row r="13857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</row>
    <row r="13858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</row>
    <row r="13859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</row>
    <row r="13860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</row>
    <row r="13861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</row>
    <row r="13862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</row>
    <row r="1386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</row>
    <row r="13864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</row>
    <row r="13865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</row>
    <row r="13866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</row>
    <row r="13867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</row>
    <row r="13868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</row>
    <row r="13869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</row>
    <row r="13870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</row>
    <row r="13871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</row>
    <row r="13872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</row>
    <row r="1387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</row>
    <row r="13874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</row>
    <row r="13875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</row>
    <row r="13876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</row>
    <row r="13877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</row>
    <row r="13878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</row>
    <row r="13879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</row>
    <row r="13880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</row>
    <row r="13881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</row>
    <row r="13882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</row>
    <row r="1388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</row>
    <row r="13884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</row>
    <row r="13885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</row>
    <row r="13886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</row>
    <row r="13887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</row>
    <row r="13888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</row>
    <row r="13889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</row>
    <row r="13890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</row>
    <row r="13891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</row>
    <row r="13892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</row>
    <row r="1389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</row>
    <row r="13894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</row>
    <row r="13895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</row>
    <row r="13896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</row>
    <row r="13897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</row>
    <row r="13898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</row>
    <row r="13899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</row>
    <row r="13900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</row>
    <row r="13901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</row>
    <row r="13902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</row>
    <row r="1390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</row>
    <row r="13904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</row>
    <row r="13905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</row>
    <row r="13906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</row>
    <row r="13907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</row>
    <row r="13908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</row>
    <row r="13909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</row>
    <row r="13910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</row>
    <row r="13911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</row>
    <row r="13912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</row>
    <row r="1391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</row>
    <row r="13914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</row>
    <row r="13915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</row>
    <row r="13916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</row>
    <row r="13917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</row>
    <row r="13918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</row>
    <row r="13919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</row>
    <row r="13920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</row>
    <row r="13921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</row>
    <row r="13922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</row>
    <row r="139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</row>
    <row r="13924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</row>
    <row r="13925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</row>
    <row r="13926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</row>
    <row r="13927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</row>
    <row r="13928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</row>
    <row r="13929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</row>
    <row r="13930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</row>
    <row r="13931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</row>
    <row r="13932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</row>
    <row r="1393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</row>
    <row r="13934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</row>
    <row r="13935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</row>
    <row r="13936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</row>
    <row r="13937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</row>
    <row r="13938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</row>
    <row r="13939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</row>
    <row r="13940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</row>
    <row r="13941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</row>
    <row r="13942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</row>
    <row r="1394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</row>
    <row r="13944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</row>
    <row r="13945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</row>
    <row r="13946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</row>
    <row r="13947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</row>
    <row r="13948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</row>
    <row r="13949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</row>
    <row r="13950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</row>
    <row r="13951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</row>
    <row r="13952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</row>
    <row r="1395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</row>
    <row r="13954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</row>
    <row r="13955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</row>
    <row r="13956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</row>
    <row r="13957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</row>
    <row r="13958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</row>
    <row r="13959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</row>
    <row r="13960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</row>
    <row r="13961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</row>
    <row r="13962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</row>
    <row r="1396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</row>
    <row r="13964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</row>
    <row r="13965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</row>
    <row r="13966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</row>
    <row r="13967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</row>
    <row r="13968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</row>
    <row r="13969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</row>
    <row r="13970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</row>
    <row r="13971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</row>
    <row r="13972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</row>
    <row r="1397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</row>
    <row r="13974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</row>
    <row r="13975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</row>
    <row r="13976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</row>
    <row r="13977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</row>
    <row r="13978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</row>
    <row r="13979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</row>
    <row r="13980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</row>
    <row r="13981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</row>
    <row r="13982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</row>
    <row r="1398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</row>
    <row r="13984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</row>
    <row r="13985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</row>
    <row r="13986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</row>
    <row r="13987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</row>
    <row r="13988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</row>
    <row r="13989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</row>
    <row r="13990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</row>
    <row r="13991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</row>
    <row r="13992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</row>
    <row r="1399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</row>
    <row r="13994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</row>
    <row r="13995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</row>
    <row r="13996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</row>
    <row r="13997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</row>
    <row r="13998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</row>
    <row r="13999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</row>
    <row r="14000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</row>
    <row r="14001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</row>
    <row r="14002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</row>
    <row r="1400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</row>
    <row r="14004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</row>
    <row r="14005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</row>
    <row r="14006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</row>
    <row r="14007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</row>
    <row r="14008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</row>
    <row r="14009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</row>
    <row r="14010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</row>
    <row r="14011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</row>
    <row r="14012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</row>
    <row r="1401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</row>
    <row r="14014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</row>
    <row r="14015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</row>
    <row r="14016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</row>
    <row r="14017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</row>
    <row r="14018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</row>
    <row r="14019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</row>
    <row r="14020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</row>
    <row r="14021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</row>
    <row r="14022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</row>
    <row r="140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</row>
    <row r="14024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</row>
    <row r="14025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</row>
    <row r="14026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</row>
    <row r="14027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</row>
    <row r="14028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</row>
    <row r="14029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</row>
    <row r="14030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</row>
    <row r="14031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</row>
    <row r="14032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</row>
    <row r="1403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</row>
    <row r="14034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</row>
    <row r="14035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</row>
    <row r="14036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</row>
    <row r="14037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</row>
    <row r="14038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</row>
    <row r="14039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</row>
    <row r="14040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</row>
    <row r="14041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</row>
    <row r="14042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</row>
    <row r="1404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</row>
    <row r="14044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</row>
    <row r="14045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</row>
    <row r="14046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</row>
    <row r="14047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</row>
    <row r="14048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</row>
    <row r="14049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</row>
    <row r="14050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</row>
    <row r="14051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</row>
    <row r="14052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</row>
    <row r="1405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</row>
    <row r="14054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</row>
    <row r="14055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</row>
    <row r="14056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</row>
    <row r="14057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</row>
    <row r="14058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</row>
    <row r="14059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</row>
    <row r="14060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</row>
    <row r="14061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</row>
    <row r="14062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</row>
    <row r="1406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</row>
    <row r="14064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</row>
    <row r="14065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</row>
    <row r="14066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</row>
    <row r="14067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</row>
    <row r="14068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</row>
    <row r="14069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</row>
    <row r="14070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</row>
    <row r="14071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</row>
    <row r="14072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</row>
    <row r="1407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</row>
    <row r="14074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</row>
    <row r="14075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</row>
    <row r="14076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</row>
    <row r="14077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</row>
    <row r="14078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</row>
    <row r="14079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</row>
    <row r="14080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</row>
    <row r="14081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</row>
    <row r="14082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</row>
    <row r="1408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</row>
    <row r="14084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</row>
    <row r="14085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</row>
    <row r="14086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</row>
    <row r="14087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</row>
    <row r="14088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</row>
    <row r="14089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</row>
    <row r="14090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</row>
    <row r="14091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</row>
    <row r="14092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</row>
    <row r="1409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</row>
    <row r="14094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</row>
    <row r="14095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</row>
    <row r="14096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</row>
    <row r="14097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</row>
    <row r="14098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</row>
    <row r="14099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</row>
    <row r="14100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</row>
    <row r="14101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</row>
    <row r="14102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</row>
    <row r="1410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</row>
    <row r="14104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</row>
    <row r="14105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</row>
    <row r="14106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</row>
    <row r="14107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</row>
    <row r="14108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</row>
    <row r="14109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</row>
    <row r="14110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</row>
    <row r="14111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</row>
    <row r="14112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</row>
    <row r="1411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</row>
    <row r="14114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</row>
    <row r="14115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</row>
    <row r="14116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</row>
    <row r="14117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</row>
    <row r="14118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</row>
    <row r="14119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</row>
    <row r="14120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</row>
    <row r="14121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</row>
    <row r="14122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</row>
    <row r="141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</row>
    <row r="14124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</row>
    <row r="14125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</row>
    <row r="14126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</row>
    <row r="14127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</row>
    <row r="14128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</row>
    <row r="14129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</row>
    <row r="14130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</row>
    <row r="14131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</row>
    <row r="14132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</row>
    <row r="1413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</row>
    <row r="14134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</row>
    <row r="14135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</row>
    <row r="14136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</row>
    <row r="14137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</row>
    <row r="14138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</row>
    <row r="14139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</row>
    <row r="14140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</row>
    <row r="14141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</row>
    <row r="14142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</row>
    <row r="1414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</row>
    <row r="14144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</row>
    <row r="14145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</row>
    <row r="14146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</row>
    <row r="14147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</row>
    <row r="14148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</row>
    <row r="14149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</row>
    <row r="14150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</row>
    <row r="14151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</row>
    <row r="14152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</row>
    <row r="1415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</row>
    <row r="14154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</row>
    <row r="14155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</row>
    <row r="14156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</row>
    <row r="14157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</row>
    <row r="14158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</row>
    <row r="14159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</row>
    <row r="14160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</row>
    <row r="14161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</row>
    <row r="14162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</row>
    <row r="1416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</row>
    <row r="14164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</row>
    <row r="14165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</row>
    <row r="14166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</row>
    <row r="14167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</row>
    <row r="14168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</row>
    <row r="14169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</row>
    <row r="14170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</row>
    <row r="14171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</row>
    <row r="14172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</row>
    <row r="1417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</row>
    <row r="14174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</row>
    <row r="14175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</row>
    <row r="14176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</row>
    <row r="14177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</row>
    <row r="14178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</row>
    <row r="14179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</row>
    <row r="14180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</row>
    <row r="14181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</row>
    <row r="14182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</row>
    <row r="1418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</row>
    <row r="14184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</row>
    <row r="14185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</row>
    <row r="14186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</row>
    <row r="14187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</row>
    <row r="14188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</row>
    <row r="14189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</row>
    <row r="14190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</row>
    <row r="14191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</row>
    <row r="14192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</row>
    <row r="1419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</row>
    <row r="14194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</row>
    <row r="14195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</row>
    <row r="14196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</row>
    <row r="14197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</row>
    <row r="14198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</row>
    <row r="14199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</row>
    <row r="14200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</row>
    <row r="14201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</row>
    <row r="14202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</row>
    <row r="1420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</row>
    <row r="14204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</row>
    <row r="14205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</row>
    <row r="14206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</row>
    <row r="14207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</row>
    <row r="14208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</row>
    <row r="14209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</row>
    <row r="14210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</row>
    <row r="14211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</row>
    <row r="14212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</row>
    <row r="1421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</row>
    <row r="14214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</row>
    <row r="14215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</row>
    <row r="14216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</row>
    <row r="14217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</row>
    <row r="14218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</row>
    <row r="14219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</row>
    <row r="14220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</row>
    <row r="14221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</row>
    <row r="14222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</row>
    <row r="142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</row>
    <row r="14224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</row>
    <row r="14225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</row>
    <row r="14226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</row>
    <row r="14227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</row>
    <row r="14228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</row>
    <row r="14229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</row>
    <row r="14230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</row>
    <row r="14231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</row>
    <row r="14232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</row>
    <row r="1423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</row>
    <row r="14234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</row>
    <row r="14235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</row>
    <row r="14236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</row>
    <row r="14237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</row>
    <row r="14238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</row>
    <row r="14239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</row>
    <row r="14240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</row>
    <row r="14241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</row>
    <row r="14242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</row>
    <row r="1424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</row>
    <row r="14244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</row>
    <row r="14245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</row>
    <row r="14246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</row>
    <row r="14247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</row>
    <row r="14248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</row>
    <row r="14249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</row>
    <row r="14250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</row>
    <row r="14251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</row>
    <row r="14252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</row>
    <row r="1425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</row>
    <row r="14254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</row>
    <row r="14255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</row>
    <row r="14256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</row>
    <row r="14257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</row>
    <row r="14258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</row>
    <row r="14259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</row>
    <row r="14260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</row>
    <row r="14261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</row>
    <row r="14262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</row>
    <row r="1426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</row>
    <row r="14264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</row>
    <row r="14265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</row>
    <row r="14266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</row>
    <row r="14267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</row>
    <row r="14268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</row>
    <row r="14269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</row>
    <row r="14270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</row>
    <row r="14271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</row>
    <row r="14272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</row>
    <row r="1427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</row>
    <row r="14274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</row>
    <row r="14275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</row>
    <row r="14276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</row>
    <row r="14277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</row>
    <row r="14278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</row>
    <row r="14279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</row>
    <row r="14280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</row>
    <row r="14281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</row>
    <row r="14282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</row>
    <row r="1428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</row>
    <row r="14284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</row>
    <row r="14285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</row>
    <row r="14286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</row>
    <row r="14287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</row>
    <row r="14288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</row>
    <row r="14289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</row>
    <row r="14290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</row>
    <row r="14291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</row>
    <row r="14292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</row>
    <row r="1429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</row>
    <row r="14294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</row>
    <row r="14295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</row>
    <row r="14296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</row>
    <row r="14297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</row>
    <row r="14298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</row>
    <row r="14299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</row>
    <row r="14300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</row>
    <row r="14301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</row>
    <row r="14302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</row>
    <row r="1430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</row>
    <row r="14304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</row>
    <row r="14305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</row>
    <row r="14306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</row>
    <row r="14307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</row>
    <row r="14308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</row>
    <row r="14309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</row>
    <row r="14310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</row>
    <row r="14311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</row>
    <row r="14312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</row>
    <row r="1431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</row>
    <row r="14314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</row>
    <row r="14315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</row>
    <row r="14316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</row>
    <row r="14317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</row>
    <row r="14318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</row>
    <row r="14319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</row>
    <row r="14320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</row>
    <row r="14321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</row>
    <row r="14322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</row>
    <row r="143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</row>
    <row r="14324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</row>
    <row r="14325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</row>
    <row r="14326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</row>
    <row r="14327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</row>
    <row r="14328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</row>
    <row r="14329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</row>
    <row r="14330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</row>
    <row r="14331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</row>
    <row r="14332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</row>
    <row r="1433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</row>
    <row r="14334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</row>
    <row r="14335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</row>
    <row r="14336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</row>
    <row r="14337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</row>
    <row r="14338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</row>
    <row r="14339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</row>
    <row r="14340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</row>
    <row r="14341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</row>
    <row r="14342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</row>
    <row r="1434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</row>
    <row r="14344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</row>
    <row r="14345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</row>
    <row r="14346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</row>
    <row r="14347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</row>
    <row r="14348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</row>
    <row r="14349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</row>
    <row r="14350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</row>
    <row r="14351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</row>
    <row r="14352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</row>
    <row r="1435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</row>
    <row r="14354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</row>
    <row r="14355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</row>
    <row r="14356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</row>
    <row r="14357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</row>
    <row r="14358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</row>
    <row r="14359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</row>
    <row r="14360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</row>
    <row r="14361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</row>
    <row r="14362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</row>
    <row r="1436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</row>
    <row r="14364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</row>
    <row r="14365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</row>
    <row r="14366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</row>
    <row r="14367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</row>
    <row r="14368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</row>
    <row r="14369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</row>
    <row r="14370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</row>
    <row r="14371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</row>
    <row r="14372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</row>
    <row r="1437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</row>
    <row r="14374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</row>
    <row r="14375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</row>
    <row r="14376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</row>
    <row r="14377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</row>
    <row r="14378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</row>
    <row r="14379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</row>
    <row r="14380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</row>
    <row r="14381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</row>
    <row r="14382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</row>
    <row r="1438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</row>
    <row r="14384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</row>
    <row r="14385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</row>
    <row r="14386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</row>
    <row r="14387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</row>
    <row r="14388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</row>
    <row r="14389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</row>
    <row r="14390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</row>
    <row r="14391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</row>
    <row r="14392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</row>
    <row r="1439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</row>
    <row r="14394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</row>
    <row r="14395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</row>
    <row r="14396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</row>
    <row r="14397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</row>
    <row r="14398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</row>
    <row r="14399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</row>
    <row r="14400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</row>
    <row r="14401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</row>
    <row r="14402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</row>
    <row r="1440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</row>
    <row r="14404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</row>
    <row r="14405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</row>
    <row r="14406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</row>
    <row r="14407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</row>
    <row r="14408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</row>
    <row r="14409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</row>
    <row r="14410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</row>
    <row r="14411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</row>
    <row r="14412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</row>
    <row r="1441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</row>
    <row r="14414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</row>
    <row r="14415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</row>
    <row r="14416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</row>
    <row r="14417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</row>
    <row r="14418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</row>
    <row r="14419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</row>
    <row r="14420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</row>
    <row r="14421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</row>
    <row r="14422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</row>
    <row r="144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</row>
    <row r="14424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</row>
    <row r="14425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</row>
    <row r="14426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</row>
    <row r="14427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</row>
    <row r="14428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</row>
    <row r="14429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</row>
    <row r="14430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</row>
    <row r="14431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</row>
    <row r="14432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</row>
    <row r="1443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</row>
    <row r="14434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</row>
    <row r="14435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</row>
    <row r="14436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</row>
    <row r="14437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</row>
    <row r="14438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</row>
    <row r="14439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</row>
    <row r="14440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</row>
    <row r="14441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</row>
    <row r="14442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</row>
    <row r="1444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</row>
    <row r="14444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</row>
    <row r="14445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</row>
    <row r="14446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</row>
    <row r="14447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</row>
    <row r="14448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</row>
    <row r="14449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</row>
    <row r="14450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</row>
    <row r="14451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</row>
    <row r="14452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</row>
    <row r="1445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</row>
    <row r="14454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</row>
    <row r="14455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</row>
    <row r="14456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</row>
    <row r="14457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</row>
    <row r="14458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</row>
    <row r="14459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</row>
    <row r="14460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</row>
    <row r="14461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</row>
    <row r="14462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</row>
    <row r="1446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</row>
    <row r="14464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</row>
    <row r="14465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</row>
    <row r="14466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</row>
    <row r="14467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</row>
    <row r="14468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</row>
    <row r="14469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</row>
    <row r="14470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</row>
    <row r="14471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</row>
    <row r="14472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</row>
    <row r="1447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</row>
    <row r="14474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</row>
    <row r="14475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</row>
    <row r="14476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</row>
    <row r="14477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</row>
    <row r="14478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</row>
    <row r="14479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</row>
    <row r="14480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</row>
    <row r="14481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</row>
    <row r="14482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</row>
    <row r="1448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</row>
    <row r="14484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</row>
    <row r="14485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</row>
    <row r="14486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</row>
    <row r="14487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</row>
    <row r="14488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</row>
    <row r="14489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</row>
    <row r="14490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</row>
    <row r="14491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</row>
    <row r="14492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</row>
    <row r="1449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</row>
    <row r="14494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</row>
    <row r="14495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</row>
    <row r="14496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</row>
    <row r="14497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</row>
    <row r="14498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</row>
    <row r="14499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</row>
    <row r="14500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</row>
    <row r="14501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</row>
    <row r="14502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</row>
    <row r="1450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</row>
    <row r="14504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</row>
    <row r="14505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</row>
    <row r="14506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</row>
    <row r="14507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</row>
    <row r="14508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</row>
    <row r="14509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</row>
    <row r="14510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</row>
    <row r="14511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</row>
    <row r="14512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</row>
    <row r="1451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</row>
    <row r="14514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</row>
    <row r="14515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</row>
    <row r="14516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</row>
    <row r="14517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</row>
    <row r="14518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</row>
    <row r="14519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</row>
    <row r="14520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</row>
    <row r="14521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</row>
    <row r="14522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</row>
    <row r="145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</row>
    <row r="14524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</row>
    <row r="14525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</row>
    <row r="14526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</row>
    <row r="14527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</row>
    <row r="14528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</row>
    <row r="14529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</row>
    <row r="14530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</row>
    <row r="14531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</row>
    <row r="14532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</row>
    <row r="1453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</row>
    <row r="14534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</row>
    <row r="14535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</row>
    <row r="14536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</row>
    <row r="14537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</row>
    <row r="14538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</row>
    <row r="14539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</row>
    <row r="14540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</row>
    <row r="14541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</row>
    <row r="14542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</row>
    <row r="1454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</row>
    <row r="14544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</row>
    <row r="14545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</row>
    <row r="14546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</row>
    <row r="14547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</row>
    <row r="14548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</row>
    <row r="14549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</row>
    <row r="14550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</row>
    <row r="14551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</row>
    <row r="14552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</row>
    <row r="1455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</row>
    <row r="14554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</row>
    <row r="14555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</row>
    <row r="14556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</row>
    <row r="14557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</row>
    <row r="14558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</row>
    <row r="14559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</row>
    <row r="14560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</row>
    <row r="14561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</row>
    <row r="14562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</row>
    <row r="1456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</row>
    <row r="14564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</row>
    <row r="14565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</row>
    <row r="14566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</row>
    <row r="14567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</row>
    <row r="14568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</row>
    <row r="14569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</row>
    <row r="14570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</row>
    <row r="14571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</row>
    <row r="14572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</row>
    <row r="1457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</row>
    <row r="14574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</row>
    <row r="14575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</row>
    <row r="14576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</row>
    <row r="14577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</row>
    <row r="14578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</row>
    <row r="14579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</row>
    <row r="14580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</row>
    <row r="14581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</row>
    <row r="14582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</row>
    <row r="1458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</row>
    <row r="14584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</row>
    <row r="14585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</row>
    <row r="14586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</row>
    <row r="14587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</row>
    <row r="14588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</row>
    <row r="14589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</row>
    <row r="14590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</row>
    <row r="14591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</row>
    <row r="14592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</row>
    <row r="1459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</row>
    <row r="14594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</row>
    <row r="14595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</row>
    <row r="14596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</row>
    <row r="14597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</row>
    <row r="14598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</row>
    <row r="14599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</row>
    <row r="14600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</row>
    <row r="14601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</row>
    <row r="14602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</row>
    <row r="1460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</row>
    <row r="14604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</row>
    <row r="14605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</row>
    <row r="14606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</row>
    <row r="14607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</row>
    <row r="14608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</row>
    <row r="14609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</row>
    <row r="14610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</row>
    <row r="14611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</row>
    <row r="14612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</row>
    <row r="1461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</row>
    <row r="14614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</row>
    <row r="14615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</row>
    <row r="14616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</row>
    <row r="14617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</row>
    <row r="14618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</row>
    <row r="14619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</row>
    <row r="14620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</row>
    <row r="14621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</row>
    <row r="14622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</row>
    <row r="146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</row>
    <row r="14624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</row>
    <row r="14625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</row>
    <row r="14626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</row>
    <row r="14627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</row>
    <row r="14628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</row>
    <row r="14629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</row>
    <row r="14630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</row>
    <row r="14631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</row>
    <row r="14632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</row>
    <row r="1463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</row>
    <row r="14634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</row>
    <row r="14635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</row>
    <row r="14636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</row>
    <row r="14637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</row>
    <row r="14638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</row>
    <row r="14639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</row>
    <row r="14640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</row>
    <row r="14641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</row>
    <row r="14642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</row>
    <row r="1464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</row>
    <row r="14644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</row>
    <row r="14645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</row>
    <row r="14646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</row>
    <row r="14647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</row>
    <row r="14648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</row>
    <row r="14649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</row>
    <row r="14650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</row>
    <row r="14651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</row>
    <row r="14652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</row>
    <row r="1465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</row>
    <row r="14654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</row>
    <row r="14655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</row>
    <row r="14656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</row>
    <row r="14657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</row>
    <row r="14658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</row>
    <row r="14659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</row>
    <row r="14660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</row>
    <row r="14661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</row>
    <row r="14662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</row>
    <row r="1466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</row>
    <row r="14664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</row>
    <row r="14665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</row>
    <row r="14666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</row>
    <row r="14667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</row>
    <row r="14668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</row>
    <row r="14669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</row>
    <row r="14670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</row>
    <row r="14671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</row>
    <row r="14672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</row>
    <row r="1467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</row>
    <row r="14674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</row>
    <row r="14675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</row>
    <row r="14676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</row>
    <row r="14677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</row>
    <row r="14678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</row>
    <row r="14679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</row>
    <row r="14680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</row>
    <row r="14681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</row>
    <row r="14682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</row>
    <row r="1468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</row>
    <row r="14684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</row>
    <row r="14685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</row>
    <row r="14686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</row>
    <row r="14687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</row>
    <row r="14688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</row>
    <row r="14689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</row>
    <row r="14690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</row>
    <row r="14691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</row>
    <row r="14692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</row>
    <row r="1469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</row>
    <row r="14694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</row>
    <row r="14695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</row>
    <row r="14696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</row>
    <row r="14697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</row>
    <row r="14698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</row>
    <row r="14699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</row>
    <row r="14700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</row>
    <row r="14701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</row>
    <row r="14702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</row>
    <row r="1470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</row>
    <row r="14704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</row>
    <row r="14705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</row>
    <row r="14706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</row>
    <row r="14707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</row>
    <row r="14708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</row>
    <row r="14709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</row>
    <row r="14710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</row>
    <row r="14711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</row>
    <row r="14712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</row>
    <row r="1471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</row>
    <row r="14714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</row>
    <row r="14715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</row>
    <row r="14716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</row>
    <row r="14717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</row>
    <row r="14718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</row>
    <row r="14719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</row>
    <row r="14720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</row>
    <row r="14721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</row>
    <row r="14722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</row>
    <row r="147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</row>
    <row r="14724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</row>
    <row r="14725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</row>
    <row r="14726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</row>
    <row r="14727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</row>
    <row r="14728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</row>
    <row r="14729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</row>
    <row r="14730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</row>
    <row r="14731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</row>
    <row r="14732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</row>
    <row r="1473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</row>
    <row r="14734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</row>
    <row r="14735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</row>
    <row r="14736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</row>
    <row r="14737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</row>
    <row r="14738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</row>
    <row r="14739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</row>
    <row r="14740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</row>
    <row r="14741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</row>
    <row r="14742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</row>
    <row r="1474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</row>
    <row r="14744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</row>
    <row r="14745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</row>
    <row r="14746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</row>
    <row r="14747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</row>
    <row r="14748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</row>
    <row r="14749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</row>
    <row r="14750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</row>
    <row r="14751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</row>
    <row r="14752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</row>
    <row r="1475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</row>
    <row r="14754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</row>
    <row r="14755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</row>
    <row r="14756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</row>
    <row r="14757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</row>
    <row r="14758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</row>
    <row r="14759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</row>
    <row r="14760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</row>
    <row r="14761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</row>
    <row r="14762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</row>
    <row r="1476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</row>
    <row r="14764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</row>
    <row r="14765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</row>
    <row r="14766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</row>
    <row r="14767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</row>
    <row r="14768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</row>
    <row r="14769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</row>
    <row r="14770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</row>
    <row r="14771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</row>
    <row r="14772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</row>
    <row r="1477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</row>
    <row r="14774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</row>
    <row r="14775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</row>
    <row r="14776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</row>
    <row r="14777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</row>
    <row r="14778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</row>
    <row r="14779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</row>
    <row r="14780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</row>
    <row r="14781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</row>
    <row r="14782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</row>
    <row r="1478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</row>
    <row r="14784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</row>
    <row r="14785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</row>
    <row r="14786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</row>
    <row r="14787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</row>
    <row r="14788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</row>
    <row r="14789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</row>
    <row r="14790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</row>
    <row r="14791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</row>
    <row r="14792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</row>
    <row r="1479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</row>
    <row r="14794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</row>
    <row r="14795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</row>
    <row r="14796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</row>
    <row r="14797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</row>
    <row r="14798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</row>
    <row r="14799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</row>
    <row r="14800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</row>
    <row r="14801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</row>
    <row r="14802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</row>
    <row r="1480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</row>
    <row r="14804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</row>
    <row r="14805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</row>
    <row r="14806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</row>
    <row r="14807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</row>
    <row r="14808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</row>
    <row r="14809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</row>
    <row r="14810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</row>
    <row r="14811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</row>
    <row r="14812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</row>
    <row r="1481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</row>
    <row r="14814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</row>
    <row r="14815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</row>
    <row r="14816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</row>
    <row r="14817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</row>
    <row r="14818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</row>
    <row r="14819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</row>
    <row r="14820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</row>
    <row r="14821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</row>
    <row r="14822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</row>
    <row r="148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</row>
    <row r="14824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</row>
    <row r="14825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</row>
    <row r="14826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</row>
    <row r="14827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</row>
    <row r="14828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</row>
    <row r="14829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</row>
    <row r="14830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</row>
    <row r="14831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</row>
    <row r="14832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</row>
    <row r="1483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</row>
    <row r="14834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</row>
    <row r="14835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</row>
    <row r="14836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</row>
    <row r="14837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</row>
    <row r="14838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</row>
    <row r="14839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</row>
    <row r="14840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</row>
    <row r="14841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</row>
    <row r="14842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</row>
    <row r="1484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</row>
    <row r="14844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</row>
    <row r="14845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</row>
    <row r="14846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</row>
    <row r="14847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</row>
    <row r="14848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</row>
    <row r="14849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</row>
    <row r="14850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</row>
    <row r="14851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</row>
    <row r="14852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</row>
    <row r="1485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</row>
    <row r="14854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</row>
    <row r="14855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</row>
    <row r="14856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</row>
    <row r="14857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</row>
    <row r="14858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</row>
    <row r="14859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</row>
    <row r="14860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</row>
    <row r="14861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</row>
    <row r="14862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</row>
    <row r="1486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</row>
    <row r="14864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</row>
    <row r="14865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</row>
    <row r="14866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</row>
    <row r="14867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</row>
    <row r="14868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</row>
    <row r="14869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</row>
    <row r="14870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</row>
    <row r="14871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</row>
    <row r="14872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</row>
    <row r="1487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</row>
    <row r="14874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</row>
    <row r="14875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</row>
    <row r="14876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</row>
    <row r="14877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</row>
    <row r="14878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</row>
    <row r="14879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</row>
    <row r="14880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</row>
    <row r="14881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</row>
    <row r="14882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</row>
    <row r="1488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</row>
    <row r="14884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</row>
    <row r="14885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</row>
    <row r="14886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</row>
    <row r="14887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</row>
    <row r="14888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</row>
    <row r="14889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</row>
    <row r="14890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</row>
    <row r="14891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</row>
    <row r="14892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</row>
    <row r="1489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</row>
    <row r="14894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</row>
    <row r="14895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</row>
    <row r="14896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</row>
    <row r="14897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</row>
    <row r="14898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</row>
    <row r="14899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</row>
    <row r="14900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</row>
    <row r="14901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</row>
    <row r="14902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</row>
    <row r="1490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</row>
    <row r="14904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</row>
    <row r="14905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</row>
    <row r="14906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</row>
    <row r="14907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</row>
    <row r="14908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</row>
    <row r="14909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</row>
    <row r="14910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</row>
    <row r="14911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</row>
    <row r="14912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</row>
    <row r="1491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</row>
    <row r="14914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</row>
    <row r="14915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</row>
    <row r="14916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</row>
    <row r="14917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</row>
    <row r="14918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</row>
    <row r="14919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</row>
    <row r="14920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</row>
    <row r="14921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</row>
    <row r="14922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</row>
    <row r="149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</row>
    <row r="14924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</row>
    <row r="14925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</row>
    <row r="14926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</row>
    <row r="14927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</row>
    <row r="14928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</row>
    <row r="14929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</row>
    <row r="14930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</row>
    <row r="14931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</row>
    <row r="14932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</row>
    <row r="1493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</row>
    <row r="14934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</row>
    <row r="14935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</row>
    <row r="14936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</row>
    <row r="14937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</row>
    <row r="14938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</row>
    <row r="14939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</row>
    <row r="14940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</row>
    <row r="14941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</row>
    <row r="14942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</row>
    <row r="1494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</row>
    <row r="14944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</row>
    <row r="14945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</row>
    <row r="14946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</row>
    <row r="14947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</row>
    <row r="14948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</row>
    <row r="14949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</row>
    <row r="14950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</row>
    <row r="14951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</row>
    <row r="14952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</row>
    <row r="1495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</row>
    <row r="14954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</row>
    <row r="14955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</row>
    <row r="14956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</row>
    <row r="14957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</row>
    <row r="14958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</row>
    <row r="14959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</row>
    <row r="14960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</row>
    <row r="14961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</row>
    <row r="14962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</row>
    <row r="1496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</row>
    <row r="14964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</row>
    <row r="14965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</row>
    <row r="14966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</row>
    <row r="14967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</row>
    <row r="14968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</row>
    <row r="14969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</row>
    <row r="14970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</row>
    <row r="14971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</row>
    <row r="14972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</row>
    <row r="1497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</row>
    <row r="14974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</row>
    <row r="14975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</row>
    <row r="14976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</row>
    <row r="14977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</row>
    <row r="14978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</row>
    <row r="14979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</row>
    <row r="14980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</row>
    <row r="14981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</row>
    <row r="14982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</row>
    <row r="1498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</row>
    <row r="14984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</row>
    <row r="14985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</row>
    <row r="14986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</row>
    <row r="14987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</row>
    <row r="14988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</row>
    <row r="14989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</row>
    <row r="14990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</row>
    <row r="14991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</row>
    <row r="14992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</row>
    <row r="1499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</row>
    <row r="14994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</row>
    <row r="14995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</row>
    <row r="14996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</row>
    <row r="14997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</row>
    <row r="14998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</row>
    <row r="14999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</row>
    <row r="15000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</row>
    <row r="15001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</row>
    <row r="15002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</row>
    <row r="1500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</row>
    <row r="15004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</row>
    <row r="15005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</row>
    <row r="15006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</row>
    <row r="15007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</row>
    <row r="15008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</row>
    <row r="15009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</row>
    <row r="15010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</row>
    <row r="15011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</row>
    <row r="15012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</row>
    <row r="1501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</row>
    <row r="15014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</row>
    <row r="15015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</row>
    <row r="15016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</row>
    <row r="15017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</row>
    <row r="15018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</row>
    <row r="15019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</row>
    <row r="15020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</row>
    <row r="15021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</row>
    <row r="15022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</row>
    <row r="150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</row>
    <row r="15024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</row>
    <row r="15025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</row>
    <row r="15026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</row>
    <row r="15027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</row>
    <row r="15028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</row>
    <row r="15029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</row>
    <row r="15030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</row>
    <row r="15031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</row>
    <row r="15032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</row>
    <row r="1503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</row>
    <row r="15034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</row>
    <row r="15035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</row>
    <row r="15036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</row>
    <row r="15037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</row>
    <row r="15038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</row>
    <row r="15039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</row>
    <row r="15040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</row>
    <row r="15041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</row>
    <row r="15042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</row>
    <row r="1504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</row>
    <row r="15044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</row>
    <row r="15045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</row>
    <row r="15046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</row>
    <row r="15047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</row>
    <row r="15048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</row>
    <row r="15049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</row>
    <row r="15050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</row>
    <row r="15051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</row>
    <row r="15052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</row>
    <row r="1505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</row>
    <row r="15054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</row>
    <row r="15055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</row>
    <row r="15056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</row>
    <row r="15057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</row>
    <row r="15058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</row>
    <row r="15059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</row>
    <row r="15060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</row>
    <row r="15061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</row>
    <row r="15062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</row>
    <row r="1506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</row>
    <row r="15064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</row>
    <row r="15065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</row>
    <row r="15066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</row>
    <row r="15067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</row>
    <row r="15068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</row>
    <row r="15069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</row>
    <row r="15070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</row>
    <row r="15071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</row>
    <row r="15072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</row>
    <row r="1507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</row>
    <row r="15074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</row>
    <row r="15075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</row>
    <row r="15076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</row>
    <row r="15077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</row>
    <row r="15078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</row>
    <row r="15079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</row>
    <row r="15080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</row>
    <row r="15081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</row>
    <row r="15082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</row>
    <row r="1508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</row>
    <row r="15084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</row>
    <row r="15085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</row>
    <row r="15086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</row>
    <row r="15087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</row>
    <row r="15088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</row>
    <row r="15089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</row>
    <row r="15090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</row>
    <row r="15091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</row>
    <row r="15092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</row>
    <row r="1509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</row>
    <row r="15094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</row>
    <row r="15095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</row>
    <row r="15096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</row>
    <row r="15097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</row>
    <row r="15098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</row>
    <row r="15099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</row>
    <row r="15100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</row>
    <row r="15101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</row>
    <row r="15102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</row>
    <row r="1510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</row>
    <row r="15104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</row>
    <row r="15105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</row>
    <row r="15106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</row>
    <row r="15107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</row>
    <row r="15108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</row>
    <row r="15109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</row>
    <row r="15110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</row>
    <row r="15111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</row>
    <row r="15112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</row>
    <row r="1511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</row>
    <row r="15114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</row>
    <row r="15115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</row>
    <row r="15116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</row>
    <row r="15117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</row>
    <row r="15118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</row>
    <row r="15119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</row>
    <row r="15120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</row>
    <row r="15121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</row>
    <row r="15122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</row>
    <row r="151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</row>
    <row r="15124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</row>
    <row r="15125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</row>
    <row r="15126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</row>
    <row r="15127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</row>
    <row r="15128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</row>
    <row r="15129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</row>
    <row r="15130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</row>
    <row r="15131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</row>
    <row r="15132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</row>
    <row r="1513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</row>
    <row r="15134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</row>
    <row r="15135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</row>
    <row r="15136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</row>
    <row r="15137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</row>
    <row r="15138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</row>
    <row r="15139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</row>
    <row r="15140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</row>
    <row r="15141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</row>
    <row r="15142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</row>
    <row r="1514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</row>
    <row r="15144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</row>
    <row r="15145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</row>
    <row r="15146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</row>
    <row r="15147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</row>
    <row r="15148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</row>
    <row r="15149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</row>
    <row r="15150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</row>
    <row r="15151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</row>
    <row r="15152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</row>
    <row r="1515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</row>
    <row r="15154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</row>
    <row r="15155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</row>
    <row r="15156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</row>
    <row r="15157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</row>
    <row r="15158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</row>
    <row r="15159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</row>
    <row r="15160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</row>
    <row r="15161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</row>
    <row r="15162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</row>
    <row r="1516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</row>
    <row r="15164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</row>
    <row r="15165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</row>
    <row r="15166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</row>
    <row r="15167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</row>
    <row r="15168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</row>
    <row r="15169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</row>
    <row r="15170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</row>
    <row r="15171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</row>
    <row r="15172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</row>
    <row r="1517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</row>
    <row r="15174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</row>
    <row r="15175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</row>
    <row r="15176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</row>
    <row r="15177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</row>
    <row r="15178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</row>
    <row r="15179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</row>
    <row r="15180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</row>
    <row r="15181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</row>
    <row r="15182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</row>
    <row r="1518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</row>
    <row r="15184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</row>
    <row r="15185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</row>
    <row r="15186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</row>
    <row r="15187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</row>
    <row r="15188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</row>
    <row r="15189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</row>
    <row r="15190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</row>
    <row r="15191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</row>
    <row r="15192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</row>
    <row r="1519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</row>
    <row r="15194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</row>
    <row r="15195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</row>
    <row r="15196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</row>
    <row r="15197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</row>
    <row r="15198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</row>
    <row r="15199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</row>
    <row r="15200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</row>
    <row r="15201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</row>
    <row r="15202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</row>
    <row r="1520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</row>
    <row r="15204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</row>
    <row r="15205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</row>
    <row r="15206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</row>
    <row r="15207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</row>
    <row r="15208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</row>
    <row r="15209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</row>
    <row r="15210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</row>
    <row r="15211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</row>
    <row r="15212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</row>
    <row r="1521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</row>
    <row r="15214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</row>
    <row r="15215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</row>
    <row r="15216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</row>
    <row r="15217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</row>
    <row r="15218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</row>
    <row r="15219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</row>
    <row r="15220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</row>
    <row r="15221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</row>
    <row r="15222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</row>
    <row r="152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</row>
    <row r="15224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</row>
    <row r="15225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</row>
    <row r="15226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</row>
    <row r="15227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</row>
    <row r="15228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</row>
    <row r="15229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</row>
    <row r="15230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</row>
    <row r="15231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</row>
    <row r="15232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</row>
    <row r="1523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</row>
    <row r="15234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</row>
    <row r="15235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</row>
    <row r="15236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</row>
    <row r="15237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</row>
    <row r="15238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</row>
    <row r="15239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</row>
    <row r="15240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</row>
    <row r="15241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</row>
    <row r="15242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</row>
    <row r="1524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</row>
    <row r="15244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</row>
    <row r="15245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</row>
    <row r="15246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</row>
    <row r="15247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</row>
    <row r="15248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</row>
    <row r="15249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</row>
    <row r="15250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</row>
    <row r="15251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</row>
    <row r="15252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</row>
    <row r="1525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</row>
    <row r="15254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</row>
    <row r="15255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</row>
    <row r="15256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</row>
    <row r="15257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</row>
    <row r="15258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</row>
    <row r="15259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</row>
    <row r="15260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</row>
    <row r="15261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</row>
    <row r="15262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</row>
    <row r="1526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</row>
    <row r="15264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</row>
    <row r="15265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</row>
    <row r="15266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</row>
    <row r="15267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</row>
    <row r="15268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</row>
    <row r="15269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</row>
    <row r="15270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</row>
    <row r="15271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</row>
    <row r="15272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</row>
    <row r="1527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</row>
    <row r="15274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</row>
    <row r="15275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</row>
    <row r="15276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</row>
    <row r="15277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</row>
    <row r="15278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</row>
    <row r="15279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</row>
    <row r="15280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</row>
    <row r="15281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</row>
    <row r="15282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</row>
    <row r="1528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</row>
    <row r="15284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</row>
    <row r="15285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</row>
    <row r="15286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</row>
    <row r="15287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</row>
    <row r="15288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</row>
    <row r="15289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</row>
    <row r="15290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</row>
    <row r="15291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</row>
    <row r="15292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</row>
    <row r="1529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</row>
    <row r="15294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</row>
    <row r="15295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</row>
    <row r="15296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</row>
    <row r="15297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</row>
    <row r="15298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</row>
    <row r="15299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</row>
    <row r="15300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</row>
    <row r="15301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</row>
    <row r="15302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</row>
    <row r="1530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</row>
    <row r="15304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</row>
    <row r="15305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</row>
    <row r="15306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</row>
    <row r="15307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</row>
    <row r="15308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</row>
    <row r="15309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</row>
    <row r="15310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</row>
    <row r="15311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</row>
    <row r="15312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</row>
    <row r="1531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</row>
    <row r="15314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</row>
    <row r="15315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</row>
    <row r="15316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</row>
    <row r="15317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</row>
    <row r="15318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</row>
    <row r="15319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</row>
    <row r="15320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</row>
    <row r="15321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</row>
    <row r="15322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</row>
    <row r="153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</row>
    <row r="15324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</row>
    <row r="15325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</row>
    <row r="15326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</row>
    <row r="15327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</row>
    <row r="15328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</row>
    <row r="15329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</row>
    <row r="15330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</row>
    <row r="15331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</row>
    <row r="15332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</row>
    <row r="1533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</row>
    <row r="15334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</row>
    <row r="15335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</row>
    <row r="15336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</row>
    <row r="15337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</row>
    <row r="15338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</row>
    <row r="15339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</row>
    <row r="15340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</row>
    <row r="15341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</row>
    <row r="15342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</row>
    <row r="1534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</row>
    <row r="15344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</row>
    <row r="15345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</row>
    <row r="15346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</row>
    <row r="15347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</row>
    <row r="15348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</row>
    <row r="15349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</row>
    <row r="15350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</row>
    <row r="15351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</row>
    <row r="15352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</row>
    <row r="1535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</row>
    <row r="15354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</row>
    <row r="15355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</row>
    <row r="15356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</row>
    <row r="15357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</row>
    <row r="15358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</row>
    <row r="15359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</row>
    <row r="15360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</row>
    <row r="15361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</row>
    <row r="15362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</row>
    <row r="1536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</row>
    <row r="15364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</row>
    <row r="15365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</row>
    <row r="15366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</row>
    <row r="15367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</row>
    <row r="15368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</row>
    <row r="15369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</row>
    <row r="15370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</row>
    <row r="15371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</row>
    <row r="15372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</row>
    <row r="1537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</row>
    <row r="15374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</row>
    <row r="15375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</row>
    <row r="15376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</row>
    <row r="15377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</row>
    <row r="15378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</row>
    <row r="15379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</row>
    <row r="15380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</row>
    <row r="15381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</row>
    <row r="15382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</row>
    <row r="1538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</row>
    <row r="15384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</row>
    <row r="15385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</row>
    <row r="15386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</row>
    <row r="15387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</row>
    <row r="15388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</row>
    <row r="15389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</row>
    <row r="15390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</row>
    <row r="15391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</row>
    <row r="15392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</row>
    <row r="1539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</row>
    <row r="15394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</row>
    <row r="15395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</row>
    <row r="15396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</row>
    <row r="15397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</row>
    <row r="15398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</row>
    <row r="15399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</row>
    <row r="15400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</row>
    <row r="15401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</row>
    <row r="15402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</row>
    <row r="1540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</row>
    <row r="15404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</row>
    <row r="15405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</row>
    <row r="15406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</row>
    <row r="15407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</row>
    <row r="15408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</row>
    <row r="15409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</row>
    <row r="15410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</row>
    <row r="15411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</row>
    <row r="15412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</row>
    <row r="1541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</row>
    <row r="15414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</row>
    <row r="15415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</row>
    <row r="15416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</row>
    <row r="15417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</row>
    <row r="15418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</row>
    <row r="15419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</row>
    <row r="15420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</row>
    <row r="15421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</row>
    <row r="15422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</row>
    <row r="154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</row>
    <row r="15424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</row>
    <row r="15425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</row>
    <row r="15426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</row>
    <row r="15427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</row>
    <row r="15428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</row>
    <row r="15429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</row>
    <row r="15430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</row>
    <row r="15431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</row>
    <row r="15432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</row>
    <row r="1543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</row>
    <row r="15434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</row>
    <row r="15435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</row>
    <row r="15436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</row>
    <row r="15437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</row>
    <row r="15438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</row>
    <row r="15439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</row>
    <row r="15440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</row>
    <row r="15441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</row>
    <row r="15442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</row>
    <row r="1544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</row>
    <row r="15444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</row>
    <row r="15445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</row>
    <row r="15446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</row>
    <row r="15447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</row>
    <row r="15448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</row>
    <row r="15449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</row>
    <row r="15450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</row>
    <row r="15451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</row>
    <row r="15452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</row>
    <row r="1545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</row>
    <row r="15454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</row>
    <row r="15455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</row>
    <row r="15456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</row>
    <row r="15457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</row>
    <row r="15458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</row>
    <row r="15459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</row>
    <row r="15460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</row>
    <row r="15461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</row>
    <row r="15462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</row>
    <row r="1546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</row>
    <row r="15464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</row>
    <row r="15465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</row>
    <row r="15466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</row>
    <row r="15467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</row>
    <row r="15468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</row>
    <row r="15469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</row>
    <row r="15470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</row>
    <row r="15471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</row>
    <row r="15472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</row>
    <row r="1547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</row>
    <row r="15474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</row>
    <row r="15475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</row>
    <row r="15476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</row>
    <row r="15477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</row>
    <row r="15478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</row>
    <row r="15479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</row>
    <row r="15480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</row>
    <row r="15481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</row>
    <row r="15482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</row>
    <row r="1548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</row>
    <row r="15484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</row>
    <row r="15485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</row>
    <row r="15486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</row>
    <row r="15487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</row>
    <row r="15488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</row>
    <row r="15489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</row>
    <row r="15490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</row>
    <row r="15491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</row>
    <row r="15492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</row>
    <row r="1549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</row>
    <row r="15494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</row>
    <row r="15495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</row>
    <row r="15496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</row>
    <row r="15497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</row>
    <row r="15498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</row>
    <row r="15499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</row>
    <row r="15500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</row>
    <row r="15501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</row>
    <row r="15502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</row>
    <row r="1550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</row>
    <row r="15504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</row>
    <row r="15505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</row>
    <row r="15506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</row>
    <row r="15507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</row>
    <row r="15508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</row>
    <row r="15509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</row>
    <row r="15510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</row>
    <row r="15511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</row>
    <row r="15512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</row>
    <row r="1551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</row>
    <row r="15514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</row>
    <row r="15515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</row>
    <row r="15516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</row>
    <row r="15517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</row>
    <row r="15518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</row>
    <row r="15519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</row>
    <row r="15520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</row>
    <row r="15521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</row>
    <row r="15522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</row>
    <row r="155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</row>
    <row r="15524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</row>
    <row r="15525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</row>
    <row r="15526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</row>
    <row r="15527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</row>
    <row r="15528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</row>
    <row r="15529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</row>
    <row r="15530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</row>
    <row r="15531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</row>
    <row r="15532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</row>
    <row r="1553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</row>
    <row r="15534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</row>
    <row r="15535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</row>
    <row r="15536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</row>
    <row r="15537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</row>
    <row r="15538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</row>
    <row r="15539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</row>
    <row r="15540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</row>
    <row r="15541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</row>
    <row r="15542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</row>
    <row r="1554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</row>
    <row r="15544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</row>
    <row r="15545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</row>
    <row r="15546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</row>
    <row r="15547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</row>
    <row r="15548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</row>
    <row r="15549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</row>
    <row r="15550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</row>
    <row r="15551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</row>
    <row r="15552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</row>
    <row r="1555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</row>
    <row r="15554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</row>
    <row r="15555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</row>
    <row r="15556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</row>
    <row r="15557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</row>
    <row r="15558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</row>
    <row r="15559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</row>
    <row r="15560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</row>
    <row r="15561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</row>
    <row r="15562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</row>
    <row r="1556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</row>
    <row r="15564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</row>
    <row r="15565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</row>
    <row r="15566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</row>
    <row r="15567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</row>
    <row r="15568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</row>
    <row r="15569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</row>
    <row r="15570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</row>
    <row r="15571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</row>
    <row r="15572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</row>
    <row r="1557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</row>
    <row r="15574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</row>
    <row r="15575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</row>
    <row r="15576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</row>
    <row r="15577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</row>
    <row r="15578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</row>
    <row r="15579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</row>
    <row r="15580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</row>
    <row r="15581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</row>
    <row r="15582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</row>
    <row r="1558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</row>
    <row r="15584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</row>
    <row r="15585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</row>
    <row r="15586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</row>
    <row r="15587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</row>
    <row r="15588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</row>
    <row r="15589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</row>
    <row r="15590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</row>
    <row r="15591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</row>
    <row r="15592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</row>
    <row r="1559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</row>
    <row r="15594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</row>
    <row r="15595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</row>
    <row r="15596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</row>
    <row r="15597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</row>
    <row r="15598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</row>
    <row r="15599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</row>
    <row r="15600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</row>
    <row r="15601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</row>
    <row r="15602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</row>
    <row r="1560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</row>
    <row r="15604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</row>
    <row r="15605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</row>
    <row r="15606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</row>
    <row r="15607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</row>
    <row r="15608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</row>
    <row r="15609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</row>
    <row r="15610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</row>
    <row r="15611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</row>
    <row r="15612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</row>
    <row r="1561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</row>
    <row r="15614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</row>
    <row r="15615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</row>
    <row r="15616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</row>
    <row r="15617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</row>
    <row r="15618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</row>
    <row r="15619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</row>
    <row r="15620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</row>
    <row r="15621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</row>
    <row r="15622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</row>
    <row r="156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</row>
    <row r="15624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</row>
    <row r="15625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</row>
    <row r="15626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</row>
    <row r="15627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</row>
    <row r="15628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</row>
    <row r="15629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</row>
    <row r="15630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</row>
    <row r="15631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</row>
    <row r="15632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</row>
    <row r="1563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</row>
    <row r="15634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</row>
    <row r="15635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</row>
    <row r="15636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</row>
    <row r="15637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</row>
    <row r="15638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</row>
    <row r="15639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</row>
    <row r="15640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</row>
    <row r="15641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</row>
    <row r="15642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</row>
    <row r="1564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</row>
    <row r="15644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</row>
    <row r="15645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</row>
    <row r="15646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</row>
    <row r="15647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</row>
    <row r="15648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</row>
    <row r="15649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</row>
    <row r="15650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</row>
    <row r="15651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</row>
    <row r="15652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</row>
    <row r="1565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</row>
    <row r="15654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</row>
    <row r="15655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</row>
    <row r="15656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</row>
    <row r="15657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</row>
    <row r="15658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</row>
    <row r="15659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</row>
    <row r="15660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</row>
    <row r="15661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</row>
    <row r="15662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</row>
    <row r="1566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</row>
    <row r="15664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</row>
    <row r="15665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</row>
    <row r="15666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</row>
    <row r="15667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</row>
    <row r="15668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</row>
    <row r="15669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</row>
    <row r="15670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</row>
    <row r="15671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</row>
    <row r="15672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</row>
    <row r="1567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</row>
    <row r="15674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</row>
    <row r="15675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</row>
    <row r="15676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</row>
    <row r="15677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</row>
    <row r="15678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</row>
    <row r="15679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</row>
    <row r="15680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</row>
    <row r="15681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</row>
    <row r="15682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</row>
    <row r="1568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</row>
    <row r="15684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</row>
    <row r="15685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</row>
    <row r="15686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</row>
    <row r="15687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</row>
    <row r="15688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</row>
    <row r="15689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</row>
    <row r="15690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</row>
    <row r="15691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</row>
    <row r="15692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</row>
    <row r="1569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</row>
    <row r="15694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</row>
    <row r="15695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</row>
    <row r="15696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</row>
    <row r="15697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</row>
    <row r="15698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</row>
    <row r="15699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</row>
    <row r="15700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</row>
    <row r="15701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</row>
    <row r="15702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</row>
    <row r="1570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</row>
    <row r="15704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</row>
    <row r="15705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</row>
    <row r="15706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</row>
    <row r="15707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</row>
    <row r="15708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</row>
    <row r="15709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</row>
    <row r="15710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</row>
    <row r="15711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</row>
    <row r="15712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</row>
    <row r="1571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</row>
    <row r="15714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</row>
    <row r="15715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</row>
    <row r="15716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</row>
    <row r="15717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</row>
    <row r="15718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</row>
    <row r="15719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</row>
    <row r="15720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</row>
    <row r="15721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</row>
    <row r="15722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</row>
    <row r="157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</row>
    <row r="15724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</row>
    <row r="15725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</row>
    <row r="15726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</row>
    <row r="15727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</row>
    <row r="15728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</row>
    <row r="15729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</row>
    <row r="15730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</row>
    <row r="15731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</row>
    <row r="15732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</row>
    <row r="1573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</row>
    <row r="15734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</row>
    <row r="15735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</row>
    <row r="15736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</row>
    <row r="15737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</row>
    <row r="15738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</row>
    <row r="15739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</row>
    <row r="15740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</row>
    <row r="15741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</row>
    <row r="15742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</row>
    <row r="1574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</row>
    <row r="15744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</row>
    <row r="15745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</row>
    <row r="15746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</row>
    <row r="15747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</row>
    <row r="15748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</row>
    <row r="15749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</row>
    <row r="15750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</row>
    <row r="15751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</row>
    <row r="15752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</row>
    <row r="1575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</row>
    <row r="15754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</row>
    <row r="15755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</row>
    <row r="15756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</row>
    <row r="15757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</row>
    <row r="15758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</row>
    <row r="15759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</row>
    <row r="15760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</row>
    <row r="15761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</row>
    <row r="15762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</row>
    <row r="1576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</row>
    <row r="15764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</row>
    <row r="15765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</row>
    <row r="15766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</row>
    <row r="15767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</row>
    <row r="15768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</row>
    <row r="15769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</row>
    <row r="15770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</row>
    <row r="15771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</row>
    <row r="15772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</row>
    <row r="1577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</row>
    <row r="15774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</row>
    <row r="15775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</row>
    <row r="15776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</row>
    <row r="15777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</row>
    <row r="15778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</row>
    <row r="15779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</row>
    <row r="15780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</row>
    <row r="15781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</row>
    <row r="15782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</row>
    <row r="1578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</row>
    <row r="15784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</row>
    <row r="15785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</row>
    <row r="15786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</row>
    <row r="15787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</row>
    <row r="15788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</row>
    <row r="15789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</row>
    <row r="15790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</row>
    <row r="15791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</row>
    <row r="15792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</row>
    <row r="1579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</row>
    <row r="15794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</row>
    <row r="15795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</row>
    <row r="15796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</row>
    <row r="15797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</row>
    <row r="15798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</row>
    <row r="15799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</row>
    <row r="15800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</row>
    <row r="15801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</row>
    <row r="15802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</row>
    <row r="1580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</row>
    <row r="15804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</row>
    <row r="15805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</row>
    <row r="15806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</row>
    <row r="15807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</row>
    <row r="15808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</row>
    <row r="15809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</row>
    <row r="15810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</row>
    <row r="15811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</row>
    <row r="15812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</row>
    <row r="1581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</row>
    <row r="15814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</row>
    <row r="15815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</row>
    <row r="15816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</row>
    <row r="15817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</row>
    <row r="15818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</row>
    <row r="15819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</row>
    <row r="15820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</row>
    <row r="15821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</row>
    <row r="15822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</row>
    <row r="158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</row>
    <row r="15824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</row>
    <row r="15825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</row>
    <row r="15826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</row>
    <row r="15827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</row>
    <row r="15828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</row>
    <row r="15829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</row>
    <row r="15830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</row>
    <row r="15831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</row>
    <row r="15832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</row>
    <row r="1583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</row>
    <row r="15834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</row>
    <row r="15835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</row>
    <row r="15836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</row>
    <row r="15837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</row>
    <row r="15838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</row>
    <row r="15839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</row>
    <row r="15840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</row>
    <row r="15841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</row>
    <row r="15842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</row>
    <row r="1584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</row>
    <row r="15844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</row>
    <row r="15845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</row>
    <row r="15846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</row>
    <row r="15847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</row>
    <row r="15848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</row>
    <row r="15849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</row>
    <row r="15850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</row>
    <row r="15851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</row>
    <row r="15852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</row>
    <row r="1585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</row>
    <row r="15854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</row>
    <row r="15855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</row>
    <row r="15856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</row>
    <row r="15857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</row>
    <row r="15858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</row>
    <row r="15859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</row>
    <row r="15860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</row>
    <row r="15861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</row>
    <row r="15862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</row>
    <row r="1586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</row>
    <row r="15864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</row>
    <row r="15865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</row>
    <row r="15866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</row>
    <row r="15867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</row>
    <row r="15868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</row>
    <row r="15869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</row>
    <row r="15870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</row>
    <row r="15871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</row>
    <row r="15872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</row>
    <row r="1587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</row>
    <row r="15874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</row>
    <row r="15875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</row>
    <row r="15876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</row>
    <row r="15877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</row>
    <row r="15878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</row>
    <row r="15879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</row>
    <row r="15880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</row>
    <row r="15881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</row>
    <row r="15882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</row>
    <row r="1588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</row>
    <row r="15884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</row>
    <row r="15885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</row>
    <row r="15886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</row>
    <row r="15887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</row>
    <row r="15888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</row>
    <row r="15889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</row>
    <row r="15890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</row>
    <row r="15891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</row>
    <row r="15892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</row>
    <row r="1589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</row>
    <row r="15894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</row>
    <row r="15895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</row>
    <row r="15896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</row>
    <row r="15897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</row>
    <row r="15898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</row>
    <row r="15899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</row>
    <row r="15900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</row>
    <row r="15901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</row>
    <row r="15902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</row>
    <row r="1590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</row>
    <row r="15904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</row>
    <row r="15905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</row>
    <row r="15906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</row>
    <row r="15907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</row>
    <row r="15908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</row>
    <row r="15909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</row>
    <row r="15910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</row>
    <row r="15911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</row>
    <row r="15912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</row>
    <row r="1591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</row>
    <row r="15914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</row>
    <row r="15915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</row>
    <row r="15916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</row>
    <row r="15917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</row>
    <row r="15918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</row>
    <row r="15919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</row>
    <row r="15920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</row>
    <row r="15921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</row>
    <row r="15922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</row>
    <row r="159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</row>
    <row r="15924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</row>
    <row r="15925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</row>
    <row r="15926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</row>
    <row r="15927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</row>
    <row r="15928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</row>
    <row r="15929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</row>
    <row r="15930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</row>
    <row r="15931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</row>
    <row r="15932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</row>
    <row r="1593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</row>
    <row r="15934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</row>
    <row r="15935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</row>
    <row r="15936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</row>
    <row r="15937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</row>
    <row r="15938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</row>
    <row r="15939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</row>
    <row r="15940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</row>
    <row r="15941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</row>
    <row r="15942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</row>
    <row r="1594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</row>
    <row r="15944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</row>
    <row r="15945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</row>
    <row r="15946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</row>
    <row r="15947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</row>
    <row r="15948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</row>
    <row r="15949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</row>
    <row r="15950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</row>
    <row r="15951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</row>
    <row r="15952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</row>
    <row r="1595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</row>
    <row r="15954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</row>
    <row r="15955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</row>
    <row r="15956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</row>
    <row r="15957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</row>
    <row r="15958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</row>
    <row r="15959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</row>
    <row r="15960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</row>
    <row r="15961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</row>
    <row r="15962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</row>
    <row r="1596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</row>
    <row r="15964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</row>
    <row r="15965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</row>
    <row r="15966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</row>
    <row r="15967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</row>
    <row r="15968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</row>
    <row r="15969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</row>
    <row r="15970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</row>
    <row r="15971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</row>
    <row r="15972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</row>
    <row r="1597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</row>
    <row r="15974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</row>
    <row r="15975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</row>
    <row r="15976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</row>
    <row r="15977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</row>
    <row r="15978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</row>
    <row r="15979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</row>
    <row r="15980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</row>
    <row r="15981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</row>
    <row r="15982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</row>
    <row r="1598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</row>
    <row r="15984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</row>
    <row r="15985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</row>
    <row r="15986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</row>
    <row r="15987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</row>
    <row r="15988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</row>
    <row r="15989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</row>
    <row r="15990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</row>
    <row r="15991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</row>
    <row r="15992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</row>
    <row r="1599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</row>
    <row r="15994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</row>
    <row r="15995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</row>
    <row r="15996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</row>
    <row r="15997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</row>
    <row r="15998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</row>
    <row r="15999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</row>
    <row r="16000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</row>
    <row r="16001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</row>
    <row r="16002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</row>
    <row r="1600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</row>
    <row r="16004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</row>
    <row r="16005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</row>
    <row r="16006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</row>
    <row r="16007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</row>
    <row r="16008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</row>
    <row r="16009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</row>
    <row r="16010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</row>
    <row r="16011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</row>
    <row r="16012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</row>
    <row r="1601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</row>
    <row r="16014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</row>
    <row r="16015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</row>
    <row r="16016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</row>
    <row r="16017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</row>
    <row r="16018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</row>
    <row r="16019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</row>
    <row r="16020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</row>
    <row r="16021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</row>
    <row r="16022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</row>
    <row r="160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</row>
    <row r="16024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</row>
    <row r="16025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</row>
    <row r="16026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</row>
    <row r="16027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</row>
    <row r="16028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</row>
    <row r="16029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</row>
    <row r="16030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</row>
    <row r="16031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</row>
    <row r="16032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</row>
    <row r="1603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</row>
    <row r="16034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</row>
    <row r="16035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</row>
    <row r="16036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</row>
    <row r="16037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</row>
    <row r="16038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</row>
    <row r="16039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</row>
    <row r="16040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</row>
    <row r="16041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</row>
    <row r="16042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</row>
    <row r="1604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</row>
    <row r="16044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</row>
    <row r="16045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</row>
    <row r="16046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</row>
    <row r="16047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</row>
    <row r="16048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</row>
    <row r="16049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</row>
    <row r="16050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</row>
    <row r="16051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</row>
    <row r="16052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</row>
    <row r="1605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</row>
    <row r="16054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</row>
    <row r="16055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</row>
    <row r="16056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</row>
    <row r="16057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</row>
    <row r="16058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</row>
    <row r="16059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</row>
    <row r="16060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</row>
    <row r="16061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</row>
    <row r="16062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</row>
    <row r="1606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</row>
    <row r="16064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</row>
    <row r="16065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</row>
    <row r="16066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</row>
    <row r="16067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</row>
    <row r="16068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</row>
    <row r="16069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</row>
    <row r="16070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</row>
    <row r="16071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</row>
    <row r="16072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</row>
    <row r="1607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</row>
    <row r="16074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</row>
    <row r="16075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</row>
    <row r="16076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</row>
    <row r="16077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</row>
    <row r="16078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</row>
    <row r="16079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</row>
    <row r="16080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</row>
    <row r="16081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</row>
    <row r="16082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</row>
    <row r="1608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</row>
    <row r="16084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</row>
    <row r="16085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</row>
    <row r="16086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</row>
    <row r="16087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</row>
    <row r="16088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</row>
    <row r="16089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</row>
    <row r="16090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</row>
    <row r="16091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</row>
    <row r="16092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</row>
    <row r="1609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</row>
    <row r="16094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</row>
    <row r="16095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</row>
    <row r="16096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</row>
    <row r="16097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</row>
    <row r="16098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</row>
    <row r="16099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</row>
    <row r="16100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</row>
    <row r="16101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</row>
    <row r="16102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</row>
    <row r="1610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</row>
    <row r="16104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</row>
    <row r="16105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</row>
    <row r="16106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</row>
    <row r="16107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</row>
    <row r="16108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</row>
    <row r="16109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</row>
    <row r="16110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</row>
    <row r="16111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</row>
    <row r="16112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</row>
    <row r="1611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</row>
    <row r="16114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</row>
    <row r="16115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</row>
    <row r="16116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</row>
    <row r="16117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</row>
    <row r="16118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</row>
    <row r="16119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</row>
    <row r="16120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</row>
    <row r="16121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</row>
    <row r="16122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</row>
    <row r="161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</row>
    <row r="16124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</row>
    <row r="16125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</row>
    <row r="16126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</row>
    <row r="16127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</row>
    <row r="16128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</row>
    <row r="16129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</row>
    <row r="16130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</row>
    <row r="16131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</row>
    <row r="16132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</row>
    <row r="1613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</row>
    <row r="16134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</row>
    <row r="16135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</row>
    <row r="16136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</row>
    <row r="16137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</row>
    <row r="16138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</row>
    <row r="16139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</row>
    <row r="16140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</row>
    <row r="16141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</row>
    <row r="16142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</row>
    <row r="1614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</row>
    <row r="16144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</row>
    <row r="16145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</row>
    <row r="16146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</row>
    <row r="16147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</row>
    <row r="16148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</row>
    <row r="16149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</row>
    <row r="16150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</row>
    <row r="16151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</row>
    <row r="16152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</row>
    <row r="1615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</row>
    <row r="16154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</row>
    <row r="16155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</row>
    <row r="16156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</row>
    <row r="16157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</row>
    <row r="16158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</row>
    <row r="16159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</row>
    <row r="16160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</row>
    <row r="16161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</row>
    <row r="16162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</row>
    <row r="1616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</row>
    <row r="16164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</row>
    <row r="16165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</row>
    <row r="16166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</row>
    <row r="16167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</row>
    <row r="16168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</row>
    <row r="16169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</row>
    <row r="16170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</row>
    <row r="16171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</row>
    <row r="16172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</row>
    <row r="1617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</row>
    <row r="16174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</row>
    <row r="16175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</row>
    <row r="16176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</row>
    <row r="16177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</row>
    <row r="16178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</row>
    <row r="16179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</row>
    <row r="16180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</row>
    <row r="16181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</row>
    <row r="16182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</row>
    <row r="1618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</row>
    <row r="16184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</row>
    <row r="16185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</row>
    <row r="16186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</row>
    <row r="16187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</row>
    <row r="16188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</row>
    <row r="16189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</row>
    <row r="16190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</row>
    <row r="16191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</row>
    <row r="16192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</row>
    <row r="1619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</row>
    <row r="16194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</row>
    <row r="16195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</row>
    <row r="16196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</row>
    <row r="16197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</row>
    <row r="16198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</row>
    <row r="16199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</row>
    <row r="16200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</row>
    <row r="16201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</row>
    <row r="16202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</row>
    <row r="1620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</row>
    <row r="16204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</row>
    <row r="16205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</row>
    <row r="16206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</row>
    <row r="16207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</row>
    <row r="16208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</row>
    <row r="16209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</row>
    <row r="16210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</row>
    <row r="16211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</row>
    <row r="16212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</row>
    <row r="1621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</row>
    <row r="16214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</row>
    <row r="16215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</row>
    <row r="16216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</row>
    <row r="16217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</row>
    <row r="16218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</row>
    <row r="16219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</row>
    <row r="16220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</row>
    <row r="16221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</row>
    <row r="16222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</row>
    <row r="162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</row>
    <row r="16224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</row>
    <row r="16225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</row>
    <row r="16226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</row>
    <row r="16227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</row>
    <row r="16228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</row>
    <row r="16229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</row>
    <row r="16230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</row>
    <row r="16231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</row>
    <row r="16232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</row>
    <row r="1623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</row>
    <row r="16234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</row>
    <row r="16235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</row>
    <row r="16236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</row>
    <row r="16237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</row>
    <row r="16238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</row>
    <row r="16239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</row>
    <row r="16240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</row>
    <row r="16241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</row>
    <row r="16242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</row>
    <row r="1624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</row>
    <row r="16244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</row>
    <row r="16245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</row>
    <row r="16246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</row>
    <row r="16247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</row>
    <row r="16248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</row>
    <row r="16249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</row>
    <row r="16250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</row>
    <row r="16251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</row>
    <row r="16252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</row>
    <row r="1625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</row>
    <row r="16254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</row>
    <row r="16255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</row>
    <row r="16256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</row>
    <row r="16257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</row>
    <row r="16258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</row>
    <row r="16259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</row>
    <row r="16260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</row>
    <row r="16261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</row>
    <row r="16262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</row>
    <row r="1626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</row>
    <row r="16264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</row>
    <row r="16265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</row>
    <row r="16266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</row>
    <row r="16267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</row>
    <row r="16268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</row>
    <row r="16269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</row>
    <row r="16270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</row>
    <row r="16271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</row>
    <row r="16272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</row>
    <row r="1627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</row>
    <row r="16274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</row>
    <row r="16275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</row>
    <row r="16276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</row>
    <row r="16277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</row>
    <row r="16278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</row>
    <row r="16279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</row>
    <row r="16280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</row>
    <row r="16281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</row>
    <row r="16282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</row>
    <row r="1628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</row>
    <row r="16284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</row>
    <row r="16285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</row>
    <row r="16286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</row>
    <row r="16287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</row>
    <row r="16288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</row>
    <row r="16289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</row>
    <row r="16290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</row>
    <row r="16291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</row>
    <row r="16292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</row>
    <row r="1629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</row>
    <row r="16294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</row>
    <row r="16295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</row>
    <row r="16296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</row>
    <row r="16297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</row>
    <row r="16298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</row>
    <row r="16299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</row>
    <row r="16300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</row>
    <row r="16301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</row>
    <row r="16302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</row>
    <row r="1630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</row>
    <row r="16304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</row>
    <row r="16305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</row>
    <row r="16306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</row>
    <row r="16307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</row>
    <row r="16308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</row>
    <row r="16309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</row>
    <row r="16310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</row>
    <row r="16311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</row>
    <row r="16312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</row>
    <row r="1631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</row>
    <row r="16314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</row>
    <row r="16315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</row>
    <row r="16316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</row>
    <row r="16317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</row>
    <row r="16318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</row>
    <row r="16319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</row>
    <row r="16320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</row>
    <row r="16321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</row>
    <row r="16322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</row>
    <row r="163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</row>
    <row r="16324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</row>
    <row r="16325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</row>
    <row r="16326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</row>
    <row r="16327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</row>
    <row r="16328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</row>
    <row r="16329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</row>
    <row r="16330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</row>
    <row r="16331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</row>
    <row r="16332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</row>
    <row r="1633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</row>
    <row r="16334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</row>
    <row r="16335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</row>
    <row r="16336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</row>
    <row r="16337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</row>
    <row r="16338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</row>
    <row r="16339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</row>
    <row r="16340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</row>
    <row r="16341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</row>
    <row r="16342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</row>
    <row r="1634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</row>
    <row r="16344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</row>
    <row r="16345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</row>
    <row r="16346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</row>
    <row r="16347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</row>
    <row r="16348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</row>
    <row r="16349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</row>
    <row r="16350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</row>
    <row r="16351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</row>
    <row r="16352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</row>
    <row r="1635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</row>
    <row r="16354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</row>
    <row r="16355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</row>
    <row r="16356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</row>
    <row r="16357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</row>
    <row r="16358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</row>
    <row r="16359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</row>
    <row r="16360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</row>
    <row r="16361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</row>
    <row r="16362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</row>
    <row r="1636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</row>
    <row r="16364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</row>
    <row r="16365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</row>
    <row r="16366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</row>
    <row r="16367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</row>
    <row r="16368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</row>
    <row r="16369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</row>
    <row r="16370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</row>
    <row r="16371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</row>
    <row r="16372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</row>
    <row r="1637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</row>
    <row r="16374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</row>
    <row r="16375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</row>
    <row r="16376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</row>
    <row r="16377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</row>
    <row r="16378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</row>
    <row r="16379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</row>
    <row r="16380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</row>
    <row r="16381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</row>
    <row r="16382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</row>
    <row r="1638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</row>
    <row r="16384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</row>
    <row r="16385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</row>
    <row r="16386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</row>
    <row r="16387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</row>
    <row r="16388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</row>
    <row r="16389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</row>
    <row r="16390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</row>
    <row r="16391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</row>
    <row r="16392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</row>
    <row r="1639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</row>
    <row r="16394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</row>
    <row r="16395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</row>
    <row r="16396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</row>
    <row r="16397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</row>
    <row r="16398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</row>
    <row r="16399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</row>
    <row r="16400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</row>
    <row r="16401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</row>
    <row r="16402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</row>
    <row r="1640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</row>
    <row r="16404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</row>
    <row r="16405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</row>
    <row r="16406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</row>
    <row r="16407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</row>
    <row r="16408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</row>
    <row r="16409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</row>
    <row r="16410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</row>
    <row r="16411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</row>
    <row r="16412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</row>
    <row r="1641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</row>
    <row r="16414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</row>
    <row r="16415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</row>
    <row r="16416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</row>
    <row r="16417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</row>
    <row r="16418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</row>
    <row r="16419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</row>
    <row r="16420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</row>
    <row r="16421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</row>
    <row r="16422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</row>
    <row r="164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</row>
    <row r="16424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</row>
    <row r="16425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</row>
    <row r="16426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</row>
    <row r="16427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</row>
    <row r="16428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</row>
    <row r="16429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</row>
    <row r="16430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</row>
    <row r="16431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</row>
    <row r="16432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</row>
    <row r="1643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</row>
    <row r="16434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</row>
    <row r="16435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</row>
    <row r="16436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</row>
    <row r="16437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</row>
    <row r="16438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</row>
    <row r="16439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</row>
    <row r="16440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</row>
    <row r="16441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</row>
    <row r="16442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</row>
    <row r="1644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</row>
    <row r="16444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</row>
    <row r="16445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</row>
    <row r="16446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</row>
    <row r="16447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</row>
    <row r="16448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</row>
    <row r="16449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</row>
    <row r="16450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</row>
    <row r="16451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</row>
    <row r="16452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</row>
    <row r="1645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</row>
    <row r="16454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</row>
    <row r="16455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</row>
    <row r="16456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</row>
    <row r="16457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</row>
    <row r="16458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</row>
    <row r="16459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</row>
    <row r="16460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</row>
    <row r="16461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</row>
    <row r="16462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</row>
    <row r="1646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</row>
    <row r="16464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</row>
    <row r="16465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</row>
    <row r="16466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</row>
    <row r="16467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</row>
    <row r="16468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</row>
    <row r="16469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</row>
    <row r="16470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</row>
    <row r="16471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</row>
    <row r="16472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</row>
    <row r="1647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</row>
    <row r="16474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</row>
    <row r="16475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</row>
    <row r="16476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</row>
    <row r="16477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</row>
    <row r="16478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</row>
    <row r="16479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</row>
    <row r="16480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</row>
    <row r="16481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</row>
    <row r="16482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</row>
    <row r="1648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</row>
    <row r="16484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</row>
    <row r="16485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</row>
    <row r="16486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</row>
    <row r="16487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</row>
    <row r="16488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</row>
    <row r="16489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</row>
    <row r="16490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</row>
    <row r="16491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</row>
    <row r="16492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</row>
    <row r="1649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</row>
    <row r="16494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</row>
    <row r="16495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</row>
    <row r="16496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</row>
    <row r="16497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</row>
    <row r="16498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</row>
    <row r="16499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</row>
    <row r="16500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</row>
    <row r="16501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</row>
    <row r="16502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</row>
    <row r="1650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</row>
    <row r="16504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</row>
    <row r="16505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</row>
    <row r="16506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</row>
    <row r="16507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</row>
    <row r="16508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</row>
    <row r="16509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</row>
    <row r="16510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</row>
    <row r="16511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</row>
    <row r="16512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</row>
    <row r="1651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</row>
    <row r="16514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</row>
    <row r="16515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</row>
    <row r="16516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</row>
    <row r="16517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</row>
    <row r="16518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</row>
    <row r="16519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</row>
    <row r="16520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</row>
    <row r="16521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</row>
    <row r="16522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</row>
    <row r="165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</row>
    <row r="16524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</row>
    <row r="16525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</row>
    <row r="16526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</row>
    <row r="16527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</row>
    <row r="16528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</row>
    <row r="16529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</row>
    <row r="16530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</row>
    <row r="16531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</row>
    <row r="16532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</row>
    <row r="1653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</row>
    <row r="16534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</row>
    <row r="16535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</row>
    <row r="16536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</row>
    <row r="16537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</row>
    <row r="16538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</row>
    <row r="16539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</row>
    <row r="16540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</row>
    <row r="16541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</row>
    <row r="16542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</row>
    <row r="1654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</row>
    <row r="16544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</row>
    <row r="16545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</row>
    <row r="16546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</row>
    <row r="16547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</row>
    <row r="16548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</row>
    <row r="16549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</row>
    <row r="16550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</row>
    <row r="16551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</row>
    <row r="16552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</row>
    <row r="1655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</row>
    <row r="16554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</row>
    <row r="16555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</row>
    <row r="16556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</row>
    <row r="16557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</row>
    <row r="16558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</row>
    <row r="16559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</row>
    <row r="16560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</row>
    <row r="16561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</row>
    <row r="16562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</row>
    <row r="1656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</row>
    <row r="16564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</row>
    <row r="16565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</row>
    <row r="16566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</row>
    <row r="16567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</row>
    <row r="16568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</row>
    <row r="16569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</row>
    <row r="16570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</row>
    <row r="16571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</row>
    <row r="16572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</row>
    <row r="1657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</row>
    <row r="16574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</row>
    <row r="16575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</row>
    <row r="16576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</row>
    <row r="16577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</row>
    <row r="16578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</row>
    <row r="16579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</row>
    <row r="16580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</row>
    <row r="16581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</row>
    <row r="16582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</row>
    <row r="1658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</row>
    <row r="16584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</row>
    <row r="16585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</row>
    <row r="16586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</row>
    <row r="16587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</row>
    <row r="16588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</row>
    <row r="16589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</row>
    <row r="16590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</row>
    <row r="16591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</row>
    <row r="16592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</row>
    <row r="1659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</row>
    <row r="16594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</row>
    <row r="16595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</row>
    <row r="16596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</row>
    <row r="16597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</row>
    <row r="16598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</row>
    <row r="16599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</row>
    <row r="16600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</row>
    <row r="16601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</row>
    <row r="16602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</row>
    <row r="1660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</row>
    <row r="16604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</row>
    <row r="16605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</row>
    <row r="16606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</row>
    <row r="16607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</row>
    <row r="16608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</row>
    <row r="16609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</row>
    <row r="16610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</row>
    <row r="16611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</row>
    <row r="16612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</row>
    <row r="1661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</row>
    <row r="16614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</row>
    <row r="16615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</row>
    <row r="16616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</row>
    <row r="16617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</row>
    <row r="16618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</row>
    <row r="16619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</row>
    <row r="16620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</row>
    <row r="16621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</row>
    <row r="16622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</row>
    <row r="166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</row>
    <row r="16624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</row>
    <row r="16625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</row>
    <row r="16626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</row>
    <row r="16627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</row>
    <row r="16628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</row>
    <row r="16629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</row>
    <row r="16630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</row>
    <row r="16631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</row>
    <row r="16632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</row>
    <row r="1663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</row>
    <row r="16634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</row>
    <row r="16635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</row>
    <row r="16636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</row>
    <row r="16637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</row>
    <row r="16638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</row>
    <row r="16639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</row>
    <row r="16640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</row>
    <row r="16641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</row>
    <row r="16642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</row>
    <row r="1664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</row>
    <row r="16644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</row>
    <row r="16645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</row>
    <row r="16646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</row>
    <row r="16647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</row>
    <row r="16648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</row>
    <row r="16649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</row>
    <row r="16650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</row>
    <row r="16651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</row>
    <row r="16652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</row>
    <row r="1665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</row>
    <row r="16654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</row>
    <row r="16655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</row>
    <row r="16656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</row>
    <row r="16657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</row>
    <row r="16658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</row>
    <row r="16659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</row>
    <row r="16660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</row>
    <row r="16661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</row>
    <row r="16662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</row>
    <row r="1666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</row>
    <row r="16664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</row>
    <row r="16665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</row>
    <row r="16666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</row>
    <row r="16667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</row>
    <row r="16668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</row>
    <row r="16669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</row>
    <row r="16670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</row>
    <row r="16671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</row>
    <row r="16672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</row>
    <row r="1667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</row>
    <row r="16674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</row>
    <row r="16675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</row>
    <row r="16676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</row>
    <row r="16677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</row>
    <row r="16678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</row>
    <row r="16679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</row>
    <row r="16680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</row>
    <row r="16681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</row>
    <row r="16682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</row>
    <row r="1668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</row>
    <row r="16684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</row>
    <row r="16685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</row>
    <row r="16686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</row>
    <row r="16687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</row>
    <row r="16688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</row>
    <row r="16689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</row>
    <row r="16690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</row>
    <row r="16691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</row>
    <row r="16692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</row>
    <row r="1669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</row>
    <row r="16694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</row>
    <row r="16695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</row>
    <row r="16696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</row>
    <row r="16697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</row>
    <row r="16698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</row>
    <row r="16699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</row>
    <row r="16700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</row>
    <row r="16701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</row>
    <row r="16702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</row>
    <row r="1670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</row>
    <row r="16704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</row>
    <row r="16705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</row>
    <row r="16706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</row>
    <row r="16707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</row>
    <row r="16708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</row>
    <row r="16709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</row>
    <row r="16710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</row>
    <row r="16711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</row>
    <row r="16712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</row>
    <row r="1671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</row>
    <row r="16714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</row>
    <row r="16715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</row>
    <row r="16716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</row>
    <row r="16717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</row>
    <row r="16718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</row>
    <row r="16719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</row>
    <row r="16720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</row>
    <row r="16721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</row>
    <row r="16722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</row>
    <row r="167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</row>
    <row r="16724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</row>
    <row r="16725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</row>
    <row r="16726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</row>
    <row r="16727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</row>
    <row r="16728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</row>
    <row r="16729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</row>
    <row r="16730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</row>
    <row r="16731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</row>
    <row r="16732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</row>
    <row r="1673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</row>
    <row r="16734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</row>
    <row r="16735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</row>
    <row r="16736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</row>
    <row r="16737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</row>
    <row r="16738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</row>
    <row r="16739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</row>
    <row r="16740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</row>
    <row r="16741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</row>
    <row r="16742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</row>
    <row r="1674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</row>
    <row r="16744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</row>
    <row r="16745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</row>
    <row r="16746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</row>
    <row r="16747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</row>
    <row r="16748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</row>
    <row r="16749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</row>
    <row r="16750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</row>
    <row r="16751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</row>
    <row r="16752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</row>
    <row r="1675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</row>
    <row r="16754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</row>
    <row r="16755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</row>
    <row r="16756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</row>
    <row r="16757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</row>
    <row r="16758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</row>
    <row r="16759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</row>
    <row r="16760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</row>
    <row r="16761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</row>
    <row r="16762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</row>
    <row r="1676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</row>
    <row r="16764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</row>
    <row r="16765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</row>
    <row r="16766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</row>
    <row r="16767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</row>
    <row r="16768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</row>
    <row r="16769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</row>
    <row r="16770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</row>
    <row r="16771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</row>
    <row r="16772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</row>
    <row r="1677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</row>
    <row r="16774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</row>
    <row r="16775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</row>
    <row r="16776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</row>
    <row r="16777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</row>
    <row r="16778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</row>
    <row r="16779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</row>
    <row r="16780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</row>
    <row r="16781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</row>
    <row r="16782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</row>
    <row r="1678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</row>
    <row r="16784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</row>
    <row r="16785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</row>
    <row r="16786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</row>
    <row r="16787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</row>
    <row r="16788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</row>
    <row r="16789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</row>
    <row r="16790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</row>
    <row r="16791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</row>
    <row r="16792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</row>
    <row r="1679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</row>
    <row r="16794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</row>
    <row r="16795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</row>
    <row r="16796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</row>
    <row r="16797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</row>
    <row r="16798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</row>
    <row r="16799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</row>
    <row r="16800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</row>
    <row r="16801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</row>
    <row r="16802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</row>
    <row r="1680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</row>
    <row r="16804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</row>
    <row r="16805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</row>
    <row r="16806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</row>
    <row r="16807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</row>
    <row r="16808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</row>
    <row r="16809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</row>
    <row r="16810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</row>
    <row r="16811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</row>
    <row r="16812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</row>
    <row r="1681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</row>
    <row r="16814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</row>
    <row r="16815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</row>
    <row r="16816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</row>
    <row r="16817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</row>
    <row r="16818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</row>
    <row r="16819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</row>
    <row r="16820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</row>
    <row r="16821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</row>
    <row r="16822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</row>
    <row r="168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</row>
    <row r="16824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</row>
    <row r="16825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</row>
    <row r="16826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</row>
    <row r="16827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</row>
    <row r="16828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</row>
    <row r="16829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</row>
    <row r="16830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</row>
    <row r="16831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</row>
    <row r="16832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</row>
    <row r="1683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</row>
    <row r="16834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</row>
    <row r="16835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</row>
    <row r="16836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</row>
    <row r="16837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</row>
    <row r="16838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</row>
    <row r="16839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</row>
    <row r="16840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</row>
    <row r="16841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</row>
    <row r="16842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</row>
    <row r="1684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</row>
    <row r="16844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</row>
    <row r="16845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</row>
    <row r="16846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</row>
    <row r="16847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</row>
    <row r="16848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</row>
    <row r="16849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</row>
    <row r="16850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</row>
    <row r="16851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</row>
    <row r="16852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</row>
    <row r="1685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</row>
    <row r="16854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</row>
    <row r="16855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</row>
    <row r="16856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</row>
    <row r="16857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</row>
    <row r="16858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</row>
    <row r="16859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</row>
    <row r="16860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</row>
    <row r="16861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</row>
    <row r="16862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</row>
    <row r="1686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</row>
    <row r="16864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</row>
    <row r="16865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</row>
    <row r="16866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</row>
    <row r="16867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</row>
    <row r="16868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</row>
    <row r="16869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</row>
    <row r="16870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</row>
    <row r="16871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</row>
    <row r="16872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</row>
    <row r="1687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</row>
    <row r="16874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</row>
    <row r="16875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</row>
    <row r="16876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</row>
    <row r="16877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</row>
    <row r="16878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</row>
    <row r="16879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</row>
    <row r="16880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</row>
    <row r="16881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</row>
    <row r="16882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</row>
    <row r="1688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</row>
    <row r="16884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</row>
    <row r="16885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</row>
    <row r="16886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</row>
    <row r="16887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</row>
    <row r="16888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</row>
    <row r="16889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</row>
    <row r="16890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</row>
    <row r="16891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</row>
    <row r="16892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</row>
    <row r="1689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</row>
    <row r="16894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</row>
    <row r="16895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</row>
    <row r="16896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</row>
    <row r="16897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</row>
    <row r="16898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</row>
    <row r="16899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</row>
    <row r="16900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</row>
    <row r="16901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</row>
    <row r="16902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</row>
    <row r="1690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</row>
    <row r="16904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</row>
    <row r="16905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</row>
    <row r="16906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</row>
    <row r="16907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</row>
    <row r="16908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</row>
    <row r="16909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</row>
    <row r="16910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</row>
    <row r="16911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</row>
    <row r="16912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</row>
    <row r="1691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</row>
    <row r="16914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</row>
    <row r="16915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</row>
    <row r="16916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</row>
    <row r="16917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</row>
    <row r="16918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</row>
    <row r="16919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</row>
    <row r="16920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</row>
    <row r="16921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</row>
    <row r="16922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</row>
    <row r="169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</row>
    <row r="16924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</row>
    <row r="16925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</row>
    <row r="16926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</row>
    <row r="16927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</row>
    <row r="16928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</row>
    <row r="16929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</row>
    <row r="16930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</row>
    <row r="16931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</row>
    <row r="16932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</row>
    <row r="1693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</row>
    <row r="16934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</row>
    <row r="16935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</row>
    <row r="16936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</row>
    <row r="16937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</row>
    <row r="16938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</row>
    <row r="16939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</row>
    <row r="16940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</row>
    <row r="16941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</row>
    <row r="16942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</row>
    <row r="1694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</row>
    <row r="16944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</row>
    <row r="16945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</row>
    <row r="16946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</row>
    <row r="16947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</row>
    <row r="16948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</row>
    <row r="16949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</row>
    <row r="16950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</row>
    <row r="16951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</row>
    <row r="16952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</row>
    <row r="1695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</row>
    <row r="16954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</row>
    <row r="16955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</row>
    <row r="16956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</row>
    <row r="16957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</row>
    <row r="16958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</row>
    <row r="16959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</row>
    <row r="16960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</row>
    <row r="16961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</row>
    <row r="16962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</row>
    <row r="1696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</row>
    <row r="16964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</row>
    <row r="16965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</row>
    <row r="16966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</row>
    <row r="16967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</row>
    <row r="16968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</row>
    <row r="16969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</row>
    <row r="16970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</row>
    <row r="16971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</row>
    <row r="16972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</row>
    <row r="1697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</row>
    <row r="16974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</row>
    <row r="16975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</row>
    <row r="16976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</row>
    <row r="16977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</row>
    <row r="16978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</row>
    <row r="16979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</row>
    <row r="16980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</row>
    <row r="16981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</row>
    <row r="16982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</row>
    <row r="1698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</row>
    <row r="16984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</row>
    <row r="16985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</row>
    <row r="16986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</row>
    <row r="16987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</row>
    <row r="16988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</row>
    <row r="16989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</row>
    <row r="16990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</row>
    <row r="16991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</row>
    <row r="16992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</row>
    <row r="1699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</row>
    <row r="16994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</row>
    <row r="16995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</row>
    <row r="16996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</row>
    <row r="16997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</row>
    <row r="16998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</row>
    <row r="16999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</row>
    <row r="17000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</row>
    <row r="17001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</row>
    <row r="17002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</row>
    <row r="1700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</row>
    <row r="17004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</row>
    <row r="17005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</row>
    <row r="17006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</row>
    <row r="17007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</row>
    <row r="17008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</row>
    <row r="17009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</row>
    <row r="17010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</row>
    <row r="17011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</row>
    <row r="17012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</row>
    <row r="1701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</row>
    <row r="17014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</row>
    <row r="17015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</row>
    <row r="17016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</row>
    <row r="17017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</row>
    <row r="17018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</row>
    <row r="17019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</row>
    <row r="17020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</row>
    <row r="17021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</row>
    <row r="17022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</row>
    <row r="170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</row>
    <row r="17024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</row>
    <row r="17025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</row>
    <row r="17026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</row>
    <row r="17027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</row>
    <row r="17028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</row>
    <row r="17029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</row>
    <row r="17030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</row>
    <row r="17031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</row>
    <row r="17032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</row>
    <row r="1703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</row>
    <row r="17034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</row>
    <row r="17035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</row>
    <row r="17036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</row>
    <row r="17037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</row>
    <row r="17038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</row>
    <row r="17039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</row>
    <row r="17040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</row>
    <row r="17041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</row>
    <row r="17042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</row>
    <row r="1704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</row>
    <row r="17044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</row>
    <row r="17045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</row>
    <row r="17046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</row>
    <row r="17047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</row>
    <row r="17048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</row>
    <row r="17049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</row>
    <row r="17050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</row>
    <row r="17051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</row>
    <row r="17052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</row>
    <row r="1705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</row>
    <row r="17054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</row>
    <row r="17055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</row>
    <row r="17056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</row>
    <row r="17057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</row>
    <row r="17058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</row>
    <row r="17059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</row>
    <row r="17060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</row>
    <row r="17061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</row>
    <row r="17062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</row>
    <row r="1706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</row>
    <row r="17064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</row>
    <row r="17065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</row>
    <row r="17066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</row>
    <row r="17067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</row>
    <row r="17068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</row>
    <row r="17069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</row>
    <row r="17070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</row>
    <row r="17071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</row>
    <row r="17072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</row>
    <row r="1707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</row>
    <row r="17074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</row>
    <row r="17075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</row>
    <row r="17076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</row>
    <row r="17077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</row>
    <row r="17078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</row>
    <row r="17079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</row>
    <row r="17080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</row>
    <row r="17081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</row>
    <row r="17082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</row>
    <row r="1708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</row>
    <row r="17084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</row>
    <row r="17085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</row>
    <row r="17086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</row>
    <row r="17087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</row>
    <row r="17088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</row>
    <row r="17089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</row>
    <row r="17090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</row>
    <row r="17091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</row>
    <row r="17092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</row>
    <row r="1709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</row>
    <row r="17094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</row>
    <row r="17095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</row>
    <row r="17096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</row>
    <row r="17097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</row>
    <row r="17098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</row>
    <row r="17099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</row>
    <row r="17100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</row>
    <row r="17101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</row>
    <row r="17102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</row>
    <row r="1710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</row>
    <row r="17104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</row>
    <row r="17105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</row>
    <row r="17106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</row>
    <row r="17107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</row>
    <row r="17108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</row>
    <row r="17109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</row>
    <row r="17110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</row>
    <row r="17111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</row>
    <row r="17112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</row>
    <row r="1711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</row>
    <row r="17114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</row>
    <row r="17115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</row>
    <row r="17116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</row>
    <row r="17117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</row>
    <row r="17118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</row>
    <row r="17119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</row>
    <row r="17120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</row>
    <row r="17121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</row>
    <row r="17122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</row>
    <row r="171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</row>
    <row r="17124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</row>
    <row r="17125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</row>
    <row r="17126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</row>
    <row r="17127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</row>
    <row r="17128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</row>
    <row r="17129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</row>
    <row r="17130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</row>
    <row r="17131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</row>
    <row r="17132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</row>
    <row r="1713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</row>
    <row r="17134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</row>
    <row r="17135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</row>
    <row r="17136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</row>
    <row r="17137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</row>
    <row r="17138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</row>
    <row r="17139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</row>
    <row r="17140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</row>
    <row r="17141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</row>
    <row r="17142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</row>
    <row r="1714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</row>
    <row r="17144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</row>
    <row r="17145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</row>
    <row r="17146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</row>
    <row r="17147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</row>
    <row r="17148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</row>
    <row r="17149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</row>
    <row r="17150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</row>
    <row r="17151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</row>
    <row r="17152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</row>
    <row r="1715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</row>
    <row r="17154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</row>
    <row r="17155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</row>
    <row r="17156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</row>
    <row r="17157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</row>
    <row r="17158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</row>
    <row r="17159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</row>
    <row r="17160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</row>
    <row r="17161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</row>
    <row r="17162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</row>
    <row r="1716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</row>
    <row r="17164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</row>
    <row r="17165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</row>
    <row r="17166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</row>
    <row r="17167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</row>
    <row r="17168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</row>
    <row r="17169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</row>
    <row r="17170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</row>
    <row r="17171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</row>
    <row r="17172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</row>
    <row r="1717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</row>
    <row r="17174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</row>
    <row r="17175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</row>
    <row r="17176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</row>
    <row r="17177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</row>
    <row r="17178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</row>
    <row r="17179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</row>
    <row r="17180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</row>
    <row r="17181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</row>
    <row r="17182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</row>
    <row r="1718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</row>
    <row r="17184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</row>
    <row r="17185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</row>
    <row r="17186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</row>
    <row r="17187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</row>
    <row r="17188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</row>
    <row r="17189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</row>
    <row r="17190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</row>
    <row r="17191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</row>
    <row r="17192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</row>
    <row r="1719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</row>
    <row r="17194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</row>
    <row r="17195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</row>
    <row r="17196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</row>
    <row r="17197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</row>
    <row r="17198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</row>
    <row r="17199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</row>
    <row r="17200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</row>
    <row r="17201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</row>
    <row r="17202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</row>
    <row r="1720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</row>
    <row r="17204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</row>
    <row r="17205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</row>
    <row r="17206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</row>
    <row r="17207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</row>
    <row r="17208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</row>
    <row r="17209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</row>
    <row r="17210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</row>
    <row r="17211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</row>
    <row r="17212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</row>
    <row r="1721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</row>
    <row r="17214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</row>
    <row r="17215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</row>
    <row r="17216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</row>
    <row r="17217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</row>
    <row r="17218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</row>
    <row r="17219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</row>
    <row r="17220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</row>
    <row r="17221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</row>
    <row r="17222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</row>
    <row r="172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</row>
    <row r="17224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</row>
    <row r="17225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</row>
    <row r="17226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</row>
    <row r="17227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</row>
    <row r="17228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</row>
    <row r="17229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</row>
    <row r="17230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</row>
    <row r="17231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</row>
    <row r="17232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</row>
    <row r="1723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</row>
    <row r="17234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</row>
    <row r="17235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</row>
    <row r="17236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</row>
    <row r="17237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</row>
    <row r="17238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</row>
    <row r="17239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</row>
    <row r="17240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</row>
    <row r="17241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</row>
    <row r="17242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</row>
    <row r="1724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</row>
    <row r="17244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</row>
    <row r="17245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</row>
    <row r="17246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</row>
    <row r="17247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</row>
    <row r="17248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</row>
    <row r="17249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</row>
    <row r="17250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</row>
    <row r="17251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</row>
    <row r="17252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</row>
    <row r="1725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</row>
    <row r="17254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</row>
    <row r="17255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</row>
    <row r="17256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</row>
    <row r="17257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</row>
    <row r="17258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</row>
    <row r="17259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</row>
    <row r="17260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</row>
    <row r="17261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</row>
    <row r="17262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</row>
    <row r="1726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</row>
    <row r="17264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</row>
    <row r="17265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</row>
    <row r="17266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</row>
    <row r="17267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</row>
    <row r="17268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</row>
    <row r="17269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</row>
    <row r="17270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</row>
    <row r="17271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</row>
    <row r="17272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</row>
    <row r="1727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</row>
    <row r="17274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</row>
    <row r="17275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</row>
    <row r="17276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</row>
    <row r="17277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</row>
    <row r="17278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</row>
    <row r="17279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</row>
    <row r="17280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</row>
    <row r="17281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</row>
    <row r="17282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</row>
    <row r="1728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</row>
    <row r="17284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</row>
    <row r="17285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</row>
    <row r="17286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</row>
    <row r="17287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</row>
    <row r="17288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</row>
    <row r="17289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</row>
    <row r="17290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</row>
    <row r="17291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</row>
    <row r="17292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</row>
    <row r="1729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</row>
    <row r="17294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</row>
    <row r="17295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</row>
    <row r="17296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</row>
    <row r="17297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</row>
    <row r="17298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</row>
    <row r="17299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</row>
    <row r="17300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</row>
    <row r="17301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</row>
    <row r="17302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</row>
    <row r="1730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</row>
    <row r="17304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</row>
    <row r="17305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</row>
    <row r="17306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</row>
    <row r="17307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</row>
    <row r="17308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</row>
    <row r="17309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</row>
    <row r="17310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</row>
    <row r="17311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</row>
    <row r="17312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</row>
    <row r="1731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</row>
    <row r="17314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</row>
    <row r="17315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</row>
    <row r="17316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</row>
    <row r="17317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</row>
    <row r="17318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</row>
    <row r="17319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</row>
    <row r="17320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</row>
    <row r="17321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</row>
    <row r="17322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</row>
    <row r="173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</row>
    <row r="17324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</row>
    <row r="17325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</row>
    <row r="17326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</row>
    <row r="17327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</row>
    <row r="17328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</row>
    <row r="17329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</row>
    <row r="17330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</row>
    <row r="17331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</row>
    <row r="17332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</row>
    <row r="1733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</row>
    <row r="17334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</row>
    <row r="17335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</row>
    <row r="17336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</row>
    <row r="17337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</row>
    <row r="17338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</row>
    <row r="17339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</row>
    <row r="17340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</row>
    <row r="17341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</row>
    <row r="17342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</row>
    <row r="1734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</row>
    <row r="17344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</row>
    <row r="17345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</row>
    <row r="17346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</row>
    <row r="17347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</row>
    <row r="17348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</row>
    <row r="17349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</row>
    <row r="17350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</row>
    <row r="17351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</row>
    <row r="17352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</row>
    <row r="1735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</row>
    <row r="17354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</row>
    <row r="17355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</row>
    <row r="17356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</row>
    <row r="17357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</row>
    <row r="17358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</row>
    <row r="17359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</row>
    <row r="17360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</row>
    <row r="17361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</row>
    <row r="17362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</row>
    <row r="1736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</row>
    <row r="17364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</row>
    <row r="17365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</row>
    <row r="17366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</row>
    <row r="17367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</row>
    <row r="17368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</row>
    <row r="17369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</row>
    <row r="17370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</row>
    <row r="17371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</row>
    <row r="17372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</row>
    <row r="1737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</row>
    <row r="17374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</row>
    <row r="17375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</row>
    <row r="17376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</row>
    <row r="17377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</row>
    <row r="17378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</row>
    <row r="17379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</row>
    <row r="17380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</row>
    <row r="17381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</row>
    <row r="17382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</row>
    <row r="1738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</row>
    <row r="17384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</row>
    <row r="17385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</row>
    <row r="17386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</row>
    <row r="17387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</row>
    <row r="17388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</row>
    <row r="17389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</row>
    <row r="17390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</row>
    <row r="17391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</row>
    <row r="17392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</row>
    <row r="1739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</row>
    <row r="17394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</row>
    <row r="17395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</row>
    <row r="17396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</row>
    <row r="17397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</row>
    <row r="17398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</row>
    <row r="17399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</row>
    <row r="17400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</row>
    <row r="17401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</row>
    <row r="17402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</row>
    <row r="1740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</row>
    <row r="17404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</row>
    <row r="17405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</row>
    <row r="17406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</row>
    <row r="17407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</row>
    <row r="17408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</row>
    <row r="17409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</row>
    <row r="17410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</row>
    <row r="17411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</row>
    <row r="17412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</row>
    <row r="1741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</row>
    <row r="17414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</row>
    <row r="17415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</row>
    <row r="17416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</row>
    <row r="17417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</row>
    <row r="17418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</row>
    <row r="17419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</row>
    <row r="17420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</row>
    <row r="17421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</row>
    <row r="17422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</row>
    <row r="174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</row>
    <row r="17424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</row>
    <row r="17425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</row>
    <row r="17426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</row>
    <row r="17427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</row>
    <row r="17428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</row>
    <row r="17429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</row>
    <row r="17430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</row>
    <row r="17431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</row>
    <row r="17432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</row>
    <row r="1743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</row>
    <row r="17434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</row>
    <row r="17435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</row>
    <row r="17436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</row>
    <row r="17437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</row>
    <row r="17438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</row>
    <row r="17439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</row>
    <row r="17440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</row>
    <row r="17441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</row>
    <row r="17442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</row>
    <row r="1744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</row>
    <row r="17444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</row>
    <row r="17445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</row>
    <row r="17446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</row>
    <row r="17447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</row>
    <row r="17448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</row>
    <row r="17449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</row>
    <row r="17450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</row>
    <row r="17451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</row>
    <row r="17452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</row>
    <row r="1745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</row>
    <row r="17454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</row>
    <row r="17455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</row>
    <row r="17456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</row>
    <row r="17457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</row>
    <row r="17458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</row>
    <row r="17459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</row>
    <row r="17460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</row>
    <row r="17461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</row>
    <row r="17462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</row>
    <row r="1746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</row>
    <row r="17464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</row>
    <row r="17465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</row>
    <row r="17466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</row>
    <row r="17467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</row>
    <row r="17468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</row>
    <row r="17469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</row>
    <row r="17470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</row>
    <row r="17471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</row>
    <row r="17472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</row>
    <row r="1747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</row>
    <row r="17474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</row>
    <row r="17475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</row>
    <row r="17476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</row>
    <row r="17477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</row>
    <row r="17478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</row>
    <row r="17479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</row>
    <row r="17480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</row>
    <row r="17481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</row>
    <row r="17482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</row>
    <row r="1748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</row>
    <row r="17484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</row>
    <row r="17485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</row>
    <row r="17486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</row>
    <row r="17487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</row>
    <row r="17488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</row>
    <row r="17489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</row>
    <row r="17490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</row>
    <row r="17491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</row>
    <row r="17492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</row>
    <row r="1749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</row>
    <row r="17494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</row>
    <row r="17495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</row>
    <row r="17496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</row>
    <row r="17497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</row>
    <row r="17498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</row>
    <row r="17499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</row>
    <row r="17500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</row>
    <row r="17501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</row>
    <row r="17502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</row>
    <row r="1750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</row>
    <row r="17504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</row>
    <row r="17505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</row>
    <row r="17506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</row>
    <row r="17507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</row>
    <row r="17508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</row>
    <row r="17509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</row>
    <row r="17510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</row>
    <row r="17511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</row>
    <row r="17512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</row>
    <row r="1751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</row>
    <row r="17514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</row>
    <row r="17515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</row>
    <row r="17516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</row>
    <row r="17517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</row>
    <row r="17518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</row>
    <row r="17519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</row>
    <row r="17520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</row>
    <row r="17521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</row>
    <row r="17522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</row>
    <row r="175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</row>
    <row r="17524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</row>
    <row r="17525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</row>
    <row r="17526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</row>
    <row r="17527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</row>
    <row r="17528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</row>
    <row r="17529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</row>
    <row r="17530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</row>
    <row r="17531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</row>
    <row r="17532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</row>
    <row r="1753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</row>
    <row r="17534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</row>
    <row r="17535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</row>
    <row r="17536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</row>
    <row r="17537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</row>
    <row r="17538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</row>
    <row r="17539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</row>
    <row r="17540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</row>
    <row r="17541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</row>
    <row r="17542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</row>
    <row r="1754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</row>
    <row r="17544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</row>
    <row r="17545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</row>
    <row r="17546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</row>
    <row r="17547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</row>
    <row r="17548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</row>
    <row r="17549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</row>
    <row r="17550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</row>
    <row r="17551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</row>
    <row r="17552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</row>
    <row r="1755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</row>
    <row r="17554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</row>
    <row r="17555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</row>
    <row r="17556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</row>
    <row r="17557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</row>
    <row r="17558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</row>
    <row r="17559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</row>
    <row r="17560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</row>
    <row r="17561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</row>
    <row r="17562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</row>
    <row r="1756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</row>
    <row r="17564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</row>
    <row r="17565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</row>
    <row r="17566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</row>
    <row r="17567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</row>
    <row r="17568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</row>
    <row r="17569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</row>
    <row r="17570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</row>
    <row r="17571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</row>
    <row r="17572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</row>
    <row r="1757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</row>
    <row r="17574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</row>
    <row r="17575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</row>
    <row r="17576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</row>
    <row r="17577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</row>
    <row r="17578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</row>
    <row r="17579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</row>
    <row r="17580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</row>
    <row r="17581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</row>
    <row r="17582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</row>
    <row r="1758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</row>
    <row r="17584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</row>
    <row r="17585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</row>
    <row r="17586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</row>
    <row r="17587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</row>
    <row r="17588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</row>
    <row r="17589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</row>
    <row r="17590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</row>
    <row r="17591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</row>
    <row r="17592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</row>
    <row r="1759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</row>
    <row r="17594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</row>
    <row r="17595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</row>
    <row r="17596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</row>
    <row r="17597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</row>
    <row r="17598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</row>
    <row r="17599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</row>
    <row r="17600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</row>
    <row r="17601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</row>
    <row r="17602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</row>
    <row r="1760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</row>
    <row r="17604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</row>
    <row r="17605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</row>
    <row r="17606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</row>
    <row r="17607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</row>
    <row r="17608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</row>
    <row r="17609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</row>
    <row r="17610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</row>
    <row r="17611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</row>
    <row r="17612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</row>
    <row r="1761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</row>
    <row r="17614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</row>
    <row r="17615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</row>
    <row r="17616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</row>
    <row r="17617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</row>
    <row r="17618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</row>
    <row r="17619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</row>
    <row r="17620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</row>
    <row r="17621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</row>
    <row r="17622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</row>
    <row r="176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</row>
    <row r="17624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</row>
    <row r="17625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</row>
    <row r="17626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</row>
    <row r="17627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</row>
    <row r="17628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</row>
    <row r="17629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</row>
    <row r="17630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</row>
    <row r="17631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</row>
    <row r="17632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</row>
    <row r="1763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</row>
    <row r="17634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</row>
    <row r="17635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</row>
    <row r="17636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</row>
    <row r="17637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</row>
    <row r="17638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</row>
    <row r="17639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</row>
    <row r="17640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</row>
    <row r="17641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</row>
    <row r="17642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</row>
    <row r="1764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</row>
    <row r="17644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</row>
    <row r="17645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</row>
    <row r="17646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</row>
    <row r="17647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</row>
    <row r="17648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</row>
    <row r="17649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</row>
    <row r="17650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</row>
    <row r="17651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</row>
    <row r="17652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</row>
    <row r="1765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</row>
    <row r="17654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</row>
    <row r="17655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</row>
    <row r="17656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</row>
    <row r="17657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</row>
    <row r="17658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</row>
    <row r="17659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</row>
    <row r="17660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</row>
    <row r="17661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</row>
    <row r="17662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</row>
    <row r="1766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</row>
    <row r="17664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</row>
    <row r="17665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</row>
    <row r="17666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</row>
    <row r="17667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</row>
    <row r="17668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</row>
    <row r="17669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</row>
    <row r="17670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</row>
    <row r="17671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</row>
    <row r="17672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</row>
    <row r="1767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</row>
    <row r="17674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</row>
    <row r="17675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</row>
    <row r="17676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</row>
    <row r="17677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</row>
    <row r="17678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</row>
    <row r="17679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</row>
    <row r="17680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</row>
    <row r="17681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</row>
    <row r="17682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</row>
    <row r="1768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</row>
    <row r="17684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</row>
    <row r="17685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</row>
    <row r="17686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</row>
    <row r="17687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</row>
    <row r="17688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</row>
    <row r="17689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</row>
    <row r="17690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</row>
    <row r="17691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</row>
    <row r="17692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</row>
    <row r="1769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</row>
    <row r="17694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</row>
    <row r="17695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</row>
    <row r="17696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</row>
    <row r="17697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</row>
    <row r="17698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</row>
    <row r="17699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</row>
    <row r="17700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</row>
    <row r="17701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</row>
    <row r="17702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</row>
    <row r="1770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</row>
    <row r="17704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</row>
    <row r="17705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</row>
    <row r="17706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</row>
    <row r="17707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</row>
    <row r="17708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</row>
    <row r="17709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</row>
    <row r="17710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</row>
    <row r="17711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</row>
    <row r="17712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</row>
    <row r="1771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</row>
    <row r="17714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</row>
    <row r="17715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</row>
    <row r="17716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</row>
    <row r="17717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</row>
    <row r="17718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</row>
    <row r="17719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</row>
    <row r="17720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</row>
    <row r="17721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</row>
    <row r="17722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</row>
    <row r="177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</row>
    <row r="17724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</row>
    <row r="17725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</row>
    <row r="17726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</row>
    <row r="17727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</row>
    <row r="17728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</row>
    <row r="17729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</row>
    <row r="17730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</row>
    <row r="17731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</row>
    <row r="17732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</row>
    <row r="1773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</row>
    <row r="17734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</row>
    <row r="17735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</row>
    <row r="17736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</row>
    <row r="17737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</row>
    <row r="17738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</row>
    <row r="17739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</row>
    <row r="17740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</row>
    <row r="17741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</row>
    <row r="17742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</row>
    <row r="1774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</row>
    <row r="17744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</row>
    <row r="17745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</row>
    <row r="17746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</row>
    <row r="17747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</row>
    <row r="17748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</row>
    <row r="17749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</row>
    <row r="17750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</row>
    <row r="17751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</row>
    <row r="17752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</row>
    <row r="1775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</row>
    <row r="17754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</row>
    <row r="17755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</row>
    <row r="17756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</row>
    <row r="17757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</row>
    <row r="17758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</row>
    <row r="17759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</row>
    <row r="17760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</row>
    <row r="17761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</row>
    <row r="17762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</row>
    <row r="1776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</row>
    <row r="17764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</row>
    <row r="17765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</row>
    <row r="17766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</row>
    <row r="17767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</row>
    <row r="17768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</row>
    <row r="17769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</row>
    <row r="17770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</row>
    <row r="17771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</row>
    <row r="17772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</row>
    <row r="1777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</row>
    <row r="17774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</row>
    <row r="17775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</row>
    <row r="17776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</row>
    <row r="17777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</row>
    <row r="17778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</row>
    <row r="17779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</row>
    <row r="17780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</row>
    <row r="17781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</row>
    <row r="17782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</row>
    <row r="1778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</row>
    <row r="17784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</row>
    <row r="17785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</row>
    <row r="17786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</row>
    <row r="17787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</row>
    <row r="17788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</row>
    <row r="17789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</row>
    <row r="17790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</row>
    <row r="17791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</row>
    <row r="17792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</row>
    <row r="1779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</row>
    <row r="17794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</row>
    <row r="17795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</row>
    <row r="17796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</row>
    <row r="17797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</row>
    <row r="17798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</row>
    <row r="17799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</row>
    <row r="17800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</row>
    <row r="17801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</row>
    <row r="17802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</row>
    <row r="1780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</row>
    <row r="17804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</row>
    <row r="17805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</row>
    <row r="17806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</row>
    <row r="17807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</row>
    <row r="17808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</row>
    <row r="17809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</row>
    <row r="17810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</row>
    <row r="17811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</row>
    <row r="17812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</row>
    <row r="1781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</row>
    <row r="17814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</row>
    <row r="17815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</row>
    <row r="17816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</row>
    <row r="17817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</row>
    <row r="17818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</row>
    <row r="17819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</row>
    <row r="17820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</row>
    <row r="17821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</row>
    <row r="17822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</row>
    <row r="178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</row>
    <row r="17824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</row>
    <row r="17825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</row>
    <row r="17826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</row>
    <row r="17827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</row>
    <row r="17828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</row>
    <row r="17829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</row>
    <row r="17830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</row>
    <row r="17831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</row>
    <row r="17832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</row>
    <row r="1783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</row>
    <row r="17834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</row>
    <row r="17835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</row>
    <row r="17836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</row>
    <row r="17837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</row>
    <row r="17838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</row>
    <row r="17839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</row>
    <row r="17840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</row>
    <row r="17841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</row>
    <row r="17842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</row>
    <row r="1784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</row>
    <row r="17844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</row>
    <row r="17845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</row>
    <row r="17846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</row>
    <row r="17847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</row>
    <row r="17848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</row>
    <row r="17849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</row>
    <row r="17850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</row>
    <row r="17851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</row>
    <row r="17852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</row>
    <row r="1785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</row>
    <row r="17854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</row>
    <row r="17855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</row>
    <row r="17856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</row>
    <row r="17857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</row>
    <row r="17858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</row>
    <row r="17859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</row>
    <row r="17860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</row>
    <row r="17861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</row>
    <row r="17862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</row>
    <row r="1786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</row>
    <row r="17864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</row>
    <row r="17865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</row>
    <row r="17866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</row>
    <row r="17867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</row>
    <row r="17868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</row>
    <row r="17869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</row>
    <row r="17870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</row>
    <row r="17871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</row>
    <row r="17872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</row>
    <row r="1787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</row>
    <row r="17874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</row>
    <row r="17875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</row>
    <row r="17876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</row>
    <row r="17877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</row>
    <row r="17878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</row>
    <row r="17879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</row>
    <row r="17880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</row>
    <row r="17881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</row>
    <row r="17882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</row>
    <row r="1788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</row>
    <row r="17884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</row>
    <row r="17885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</row>
    <row r="17886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</row>
    <row r="17887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</row>
    <row r="17888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</row>
    <row r="17889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</row>
    <row r="17890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</row>
    <row r="17891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</row>
    <row r="17892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</row>
    <row r="1789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</row>
    <row r="17894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</row>
    <row r="17895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</row>
    <row r="17896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</row>
    <row r="17897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</row>
    <row r="17898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</row>
    <row r="17899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</row>
    <row r="17900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</row>
    <row r="17901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</row>
    <row r="17902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</row>
    <row r="1790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</row>
    <row r="17904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</row>
    <row r="17905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</row>
    <row r="17906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</row>
    <row r="17907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</row>
    <row r="17908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</row>
    <row r="17909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</row>
    <row r="17910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</row>
    <row r="17911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</row>
    <row r="17912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</row>
    <row r="1791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</row>
    <row r="17914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</row>
    <row r="17915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</row>
    <row r="17916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</row>
    <row r="17917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</row>
    <row r="17918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</row>
    <row r="17919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</row>
    <row r="17920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</row>
    <row r="17921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</row>
    <row r="17922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</row>
    <row r="179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</row>
    <row r="17924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</row>
    <row r="17925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</row>
    <row r="17926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</row>
    <row r="17927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</row>
    <row r="17928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</row>
    <row r="17929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</row>
    <row r="17930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</row>
    <row r="17931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</row>
    <row r="17932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</row>
    <row r="1793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</row>
    <row r="17934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</row>
    <row r="17935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</row>
    <row r="17936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</row>
    <row r="17937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</row>
    <row r="17938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</row>
    <row r="17939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</row>
    <row r="17940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</row>
    <row r="17941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</row>
    <row r="17942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</row>
    <row r="1794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</row>
    <row r="17944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</row>
    <row r="17945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</row>
    <row r="17946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</row>
    <row r="17947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</row>
    <row r="17948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</row>
    <row r="17949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</row>
    <row r="17950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</row>
    <row r="17951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</row>
    <row r="17952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</row>
    <row r="1795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</row>
    <row r="17954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</row>
    <row r="17955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</row>
    <row r="17956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</row>
    <row r="17957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</row>
    <row r="17958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</row>
    <row r="17959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</row>
    <row r="17960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</row>
    <row r="17961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</row>
    <row r="17962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</row>
    <row r="1796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</row>
    <row r="17964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</row>
    <row r="17965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</row>
    <row r="17966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</row>
    <row r="17967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</row>
    <row r="17968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</row>
    <row r="17969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</row>
    <row r="17970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</row>
    <row r="17971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</row>
    <row r="17972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</row>
    <row r="1797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</row>
    <row r="17974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</row>
    <row r="17975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</row>
    <row r="17976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</row>
    <row r="17977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</row>
    <row r="17978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</row>
    <row r="17979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</row>
    <row r="17980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</row>
    <row r="17981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</row>
    <row r="17982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</row>
    <row r="1798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</row>
    <row r="17984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</row>
    <row r="17985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</row>
    <row r="17986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</row>
    <row r="17987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</row>
    <row r="17988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</row>
    <row r="17989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</row>
    <row r="17990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</row>
    <row r="17991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</row>
    <row r="17992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</row>
    <row r="1799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</row>
    <row r="17994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</row>
    <row r="17995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</row>
    <row r="17996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</row>
    <row r="17997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</row>
    <row r="17998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</row>
    <row r="17999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</row>
    <row r="18000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</row>
    <row r="18001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</row>
    <row r="18002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</row>
    <row r="1800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</row>
    <row r="18004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</row>
    <row r="18005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</row>
    <row r="18006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</row>
    <row r="18007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</row>
    <row r="18008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</row>
    <row r="18009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</row>
    <row r="18010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</row>
    <row r="18011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</row>
    <row r="18012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</row>
    <row r="1801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</row>
    <row r="18014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</row>
    <row r="18015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</row>
    <row r="18016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</row>
    <row r="18017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</row>
    <row r="18018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</row>
    <row r="18019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</row>
    <row r="18020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</row>
    <row r="18021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</row>
    <row r="18022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</row>
    <row r="180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</row>
    <row r="18024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</row>
    <row r="18025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</row>
    <row r="18026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</row>
    <row r="18027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</row>
    <row r="18028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</row>
    <row r="18029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</row>
    <row r="18030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</row>
    <row r="18031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</row>
    <row r="18032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</row>
    <row r="1803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</row>
    <row r="18034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</row>
    <row r="18035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</row>
    <row r="18036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</row>
    <row r="18037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</row>
    <row r="18038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</row>
    <row r="18039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</row>
    <row r="18040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</row>
    <row r="18041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</row>
    <row r="18042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</row>
    <row r="1804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</row>
    <row r="18044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</row>
    <row r="18045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</row>
    <row r="18046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</row>
    <row r="18047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</row>
    <row r="18048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</row>
    <row r="18049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</row>
    <row r="18050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</row>
    <row r="18051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</row>
    <row r="18052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</row>
    <row r="1805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</row>
    <row r="18054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</row>
    <row r="18055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</row>
    <row r="18056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</row>
    <row r="18057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</row>
    <row r="18058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</row>
    <row r="18059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</row>
    <row r="18060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</row>
    <row r="18061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</row>
    <row r="18062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</row>
    <row r="1806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</row>
    <row r="18064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</row>
    <row r="18065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</row>
    <row r="18066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</row>
    <row r="18067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</row>
    <row r="18068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</row>
    <row r="18069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</row>
    <row r="18070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</row>
    <row r="18071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</row>
    <row r="18072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</row>
    <row r="1807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</row>
    <row r="18074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</row>
    <row r="18075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</row>
    <row r="18076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</row>
    <row r="18077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</row>
    <row r="18078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</row>
    <row r="18079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</row>
    <row r="18080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</row>
    <row r="18081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</row>
    <row r="18082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</row>
    <row r="1808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</row>
    <row r="18084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</row>
    <row r="18085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</row>
    <row r="18086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</row>
    <row r="18087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</row>
    <row r="18088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</row>
    <row r="18089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</row>
    <row r="18090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</row>
    <row r="18091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</row>
    <row r="18092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</row>
    <row r="1809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</row>
    <row r="18094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</row>
    <row r="18095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</row>
    <row r="18096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</row>
    <row r="18097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</row>
    <row r="18098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</row>
    <row r="18099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</row>
    <row r="18100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</row>
    <row r="18101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</row>
    <row r="18102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</row>
    <row r="1810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</row>
    <row r="18104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</row>
    <row r="18105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</row>
    <row r="18106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</row>
    <row r="18107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</row>
    <row r="18108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</row>
    <row r="18109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</row>
    <row r="18110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</row>
    <row r="18111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</row>
    <row r="18112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</row>
    <row r="1811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</row>
    <row r="18114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</row>
    <row r="18115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</row>
    <row r="18116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</row>
    <row r="18117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</row>
    <row r="18118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</row>
    <row r="18119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</row>
    <row r="18120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</row>
    <row r="18121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</row>
    <row r="18122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</row>
    <row r="181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</row>
    <row r="18124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</row>
    <row r="18125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</row>
    <row r="18126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</row>
    <row r="18127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</row>
    <row r="18128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</row>
    <row r="18129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</row>
    <row r="18130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</row>
    <row r="18131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</row>
    <row r="18132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</row>
    <row r="1813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</row>
    <row r="18134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</row>
    <row r="18135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</row>
    <row r="18136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</row>
    <row r="18137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</row>
    <row r="18138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</row>
    <row r="18139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</row>
    <row r="18140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</row>
    <row r="18141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</row>
    <row r="18142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</row>
    <row r="1814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</row>
    <row r="18144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</row>
    <row r="18145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</row>
    <row r="18146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</row>
    <row r="18147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</row>
    <row r="18148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</row>
    <row r="18149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</row>
    <row r="18150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</row>
    <row r="18151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</row>
    <row r="18152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</row>
    <row r="1815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</row>
    <row r="18154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</row>
    <row r="18155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</row>
    <row r="18156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</row>
    <row r="18157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</row>
    <row r="18158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</row>
    <row r="18159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</row>
    <row r="18160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</row>
    <row r="18161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</row>
    <row r="18162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</row>
    <row r="1816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</row>
    <row r="18164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</row>
    <row r="18165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</row>
    <row r="18166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</row>
    <row r="18167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</row>
    <row r="18168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</row>
    <row r="18169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</row>
    <row r="18170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</row>
    <row r="18171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</row>
    <row r="18172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</row>
    <row r="1817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</row>
    <row r="18174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</row>
    <row r="18175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</row>
    <row r="18176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</row>
    <row r="18177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</row>
    <row r="18178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</row>
    <row r="18179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</row>
    <row r="18180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</row>
    <row r="18181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</row>
    <row r="18182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</row>
    <row r="1818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</row>
    <row r="18184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</row>
    <row r="18185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</row>
    <row r="18186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</row>
    <row r="18187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</row>
    <row r="18188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</row>
    <row r="18189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</row>
    <row r="18190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</row>
    <row r="18191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</row>
    <row r="18192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</row>
    <row r="1819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</row>
    <row r="18194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</row>
    <row r="18195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</row>
    <row r="18196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</row>
    <row r="18197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</row>
    <row r="18198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</row>
    <row r="18199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</row>
    <row r="18200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</row>
    <row r="18201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</row>
    <row r="18202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</row>
    <row r="1820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</row>
    <row r="18204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</row>
    <row r="18205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</row>
    <row r="18206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</row>
    <row r="18207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</row>
    <row r="18208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</row>
    <row r="18209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</row>
    <row r="18210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</row>
    <row r="18211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</row>
    <row r="18212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</row>
    <row r="1821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</row>
    <row r="18214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</row>
    <row r="18215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</row>
    <row r="18216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</row>
    <row r="18217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</row>
    <row r="18218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</row>
    <row r="18219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</row>
    <row r="18220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</row>
    <row r="18221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</row>
    <row r="18222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</row>
    <row r="182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</row>
    <row r="18224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</row>
    <row r="18225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</row>
    <row r="18226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</row>
    <row r="18227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</row>
    <row r="18228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</row>
    <row r="18229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</row>
    <row r="18230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</row>
    <row r="18231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</row>
    <row r="18232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</row>
    <row r="1823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</row>
    <row r="18234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</row>
    <row r="18235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</row>
    <row r="18236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</row>
    <row r="18237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</row>
    <row r="18238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</row>
    <row r="18239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</row>
    <row r="18240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</row>
    <row r="18241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</row>
    <row r="18242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</row>
    <row r="1824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</row>
    <row r="18244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</row>
    <row r="18245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</row>
    <row r="18246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</row>
    <row r="18247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</row>
    <row r="18248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</row>
    <row r="18249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</row>
    <row r="18250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</row>
    <row r="18251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</row>
    <row r="18252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</row>
    <row r="1825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</row>
    <row r="18254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</row>
    <row r="18255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</row>
    <row r="18256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</row>
    <row r="18257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</row>
    <row r="18258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</row>
    <row r="18259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</row>
    <row r="18260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</row>
    <row r="18261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</row>
    <row r="18262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</row>
    <row r="1826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</row>
    <row r="18264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</row>
    <row r="18265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</row>
    <row r="18266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</row>
    <row r="18267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</row>
    <row r="18268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</row>
    <row r="18269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</row>
    <row r="18270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</row>
    <row r="18271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</row>
    <row r="18272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</row>
    <row r="1827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</row>
    <row r="18274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</row>
    <row r="18275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</row>
    <row r="18276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</row>
    <row r="18277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</row>
    <row r="18278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</row>
    <row r="18279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</row>
    <row r="18280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</row>
    <row r="18281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</row>
    <row r="18282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</row>
    <row r="1828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</row>
    <row r="18284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</row>
    <row r="18285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</row>
    <row r="18286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</row>
    <row r="18287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</row>
    <row r="18288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</row>
    <row r="18289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</row>
    <row r="18290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</row>
    <row r="18291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</row>
    <row r="18292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</row>
    <row r="1829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</row>
    <row r="18294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</row>
    <row r="18295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</row>
    <row r="18296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</row>
    <row r="18297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</row>
    <row r="18298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</row>
    <row r="18299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</row>
    <row r="18300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</row>
    <row r="18301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</row>
    <row r="18302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</row>
    <row r="1830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</row>
    <row r="18304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</row>
    <row r="18305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</row>
    <row r="18306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</row>
    <row r="18307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</row>
    <row r="18308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</row>
    <row r="18309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</row>
    <row r="18310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</row>
    <row r="18311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</row>
    <row r="18312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</row>
    <row r="1831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</row>
    <row r="18314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</row>
    <row r="18315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</row>
    <row r="18316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</row>
    <row r="18317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</row>
    <row r="18318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</row>
    <row r="18319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</row>
    <row r="18320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</row>
    <row r="18321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</row>
    <row r="18322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</row>
    <row r="183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</row>
    <row r="18324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</row>
    <row r="18325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</row>
    <row r="18326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</row>
    <row r="18327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</row>
    <row r="18328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</row>
    <row r="18329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</row>
    <row r="18330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</row>
    <row r="18331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</row>
    <row r="18332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</row>
    <row r="1833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</row>
    <row r="18334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</row>
    <row r="18335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</row>
    <row r="18336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</row>
    <row r="18337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</row>
    <row r="18338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</row>
    <row r="18339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</row>
    <row r="18340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</row>
    <row r="18341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</row>
    <row r="18342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</row>
    <row r="1834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</row>
    <row r="18344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</row>
    <row r="18345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</row>
    <row r="18346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</row>
    <row r="18347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</row>
    <row r="18348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</row>
    <row r="18349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</row>
    <row r="18350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</row>
    <row r="18351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</row>
    <row r="18352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</row>
    <row r="1835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</row>
    <row r="18354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</row>
    <row r="18355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</row>
    <row r="18356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</row>
    <row r="18357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</row>
    <row r="18358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</row>
    <row r="18359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</row>
    <row r="18360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</row>
    <row r="18361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</row>
    <row r="18362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</row>
    <row r="1836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</row>
    <row r="18364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</row>
    <row r="18365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</row>
    <row r="18366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</row>
    <row r="18367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</row>
    <row r="18368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</row>
    <row r="18369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</row>
    <row r="18370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</row>
    <row r="18371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</row>
    <row r="18372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</row>
    <row r="1837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</row>
    <row r="18374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</row>
    <row r="18375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</row>
    <row r="18376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</row>
    <row r="18377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</row>
    <row r="18378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</row>
    <row r="18379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</row>
    <row r="18380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</row>
    <row r="18381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</row>
    <row r="18382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</row>
    <row r="1838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</row>
    <row r="18384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</row>
    <row r="18385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</row>
    <row r="18386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</row>
    <row r="18387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</row>
    <row r="18388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</row>
    <row r="18389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</row>
    <row r="18390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</row>
    <row r="18391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</row>
    <row r="18392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</row>
    <row r="1839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</row>
    <row r="18394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</row>
    <row r="18395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</row>
    <row r="18396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</row>
    <row r="18397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</row>
    <row r="18398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</row>
    <row r="18399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</row>
    <row r="18400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</row>
    <row r="18401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</row>
    <row r="18402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</row>
    <row r="1840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</row>
    <row r="18404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</row>
    <row r="18405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</row>
    <row r="18406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</row>
    <row r="18407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</row>
    <row r="18408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</row>
    <row r="18409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</row>
    <row r="18410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</row>
    <row r="18411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</row>
    <row r="18412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</row>
    <row r="1841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</row>
    <row r="18414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</row>
    <row r="18415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</row>
    <row r="18416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</row>
    <row r="18417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</row>
    <row r="18418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</row>
    <row r="18419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</row>
    <row r="18420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</row>
    <row r="18421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</row>
    <row r="18422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</row>
    <row r="184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</row>
    <row r="18424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</row>
    <row r="18425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</row>
    <row r="18426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</row>
    <row r="18427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</row>
    <row r="18428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</row>
    <row r="18429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</row>
    <row r="18430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</row>
    <row r="18431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</row>
    <row r="18432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</row>
    <row r="1843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</row>
    <row r="18434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</row>
    <row r="18435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</row>
    <row r="18436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</row>
    <row r="18437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</row>
    <row r="18438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</row>
    <row r="18439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</row>
    <row r="18440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</row>
    <row r="18441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</row>
    <row r="18442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</row>
    <row r="1844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</row>
    <row r="18444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</row>
    <row r="18445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</row>
    <row r="18446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</row>
    <row r="18447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</row>
    <row r="18448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</row>
    <row r="18449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</row>
    <row r="18450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</row>
    <row r="18451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</row>
    <row r="18452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</row>
    <row r="1845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</row>
    <row r="18454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</row>
    <row r="18455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</row>
    <row r="18456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</row>
    <row r="18457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</row>
    <row r="18458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</row>
    <row r="18459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</row>
    <row r="18460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</row>
    <row r="18461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</row>
    <row r="18462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</row>
    <row r="1846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</row>
    <row r="18464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</row>
    <row r="18465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</row>
    <row r="18466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</row>
    <row r="18467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</row>
    <row r="18468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</row>
    <row r="18469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</row>
    <row r="18470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</row>
    <row r="18471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</row>
    <row r="18472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</row>
    <row r="1847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</row>
    <row r="18474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</row>
    <row r="18475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</row>
    <row r="18476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</row>
    <row r="18477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</row>
    <row r="18478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</row>
    <row r="18479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</row>
    <row r="18480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</row>
    <row r="18481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</row>
    <row r="18482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</row>
    <row r="1848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</row>
    <row r="18484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</row>
    <row r="18485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</row>
    <row r="18486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</row>
    <row r="18487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</row>
    <row r="18488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</row>
    <row r="18489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</row>
    <row r="18490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</row>
    <row r="18491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</row>
    <row r="18492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</row>
    <row r="1849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</row>
    <row r="18494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</row>
    <row r="18495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</row>
    <row r="18496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</row>
    <row r="18497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</row>
    <row r="18498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</row>
    <row r="18499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</row>
    <row r="18500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</row>
    <row r="18501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</row>
    <row r="18502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</row>
    <row r="1850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</row>
    <row r="18504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</row>
    <row r="18505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</row>
    <row r="18506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</row>
    <row r="18507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</row>
    <row r="18508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</row>
    <row r="18509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</row>
    <row r="18510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</row>
    <row r="18511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</row>
    <row r="18512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</row>
    <row r="1851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</row>
    <row r="18514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</row>
    <row r="18515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</row>
    <row r="18516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</row>
    <row r="18517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</row>
    <row r="18518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</row>
    <row r="18519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</row>
    <row r="18520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</row>
    <row r="18521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</row>
    <row r="18522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</row>
    <row r="185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</row>
    <row r="18524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</row>
    <row r="18525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</row>
    <row r="18526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</row>
    <row r="18527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</row>
    <row r="18528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</row>
    <row r="18529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</row>
    <row r="18530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</row>
    <row r="18531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</row>
    <row r="18532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</row>
    <row r="1853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</row>
    <row r="18534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</row>
    <row r="18535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</row>
    <row r="18536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</row>
    <row r="18537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</row>
    <row r="18538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</row>
    <row r="18539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</row>
    <row r="18540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</row>
    <row r="18541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</row>
    <row r="18542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</row>
    <row r="1854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</row>
    <row r="18544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</row>
    <row r="18545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</row>
    <row r="18546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</row>
    <row r="18547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</row>
    <row r="18548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</row>
    <row r="18549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</row>
    <row r="18550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</row>
    <row r="18551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</row>
    <row r="18552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</row>
    <row r="1855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</row>
    <row r="18554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</row>
    <row r="18555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</row>
    <row r="18556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</row>
    <row r="18557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</row>
    <row r="18558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</row>
    <row r="18559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</row>
    <row r="18560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</row>
    <row r="18561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</row>
    <row r="18562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</row>
    <row r="1856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</row>
    <row r="18564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</row>
    <row r="18565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</row>
    <row r="18566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</row>
    <row r="18567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</row>
    <row r="18568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</row>
    <row r="18569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</row>
    <row r="18570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</row>
    <row r="18571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</row>
    <row r="18572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</row>
    <row r="1857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</row>
    <row r="18574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</row>
    <row r="18575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</row>
    <row r="18576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</row>
    <row r="18577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</row>
    <row r="18578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</row>
    <row r="18579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</row>
    <row r="18580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</row>
    <row r="18581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</row>
    <row r="18582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</row>
    <row r="1858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</row>
    <row r="18584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</row>
    <row r="18585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</row>
    <row r="18586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</row>
    <row r="18587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</row>
    <row r="18588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</row>
    <row r="18589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</row>
    <row r="18590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</row>
    <row r="18591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</row>
    <row r="18592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</row>
    <row r="1859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</row>
    <row r="18594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</row>
    <row r="18595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</row>
    <row r="18596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</row>
    <row r="18597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</row>
    <row r="18598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</row>
    <row r="18599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</row>
    <row r="18600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</row>
    <row r="18601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</row>
    <row r="18602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</row>
    <row r="1860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</row>
    <row r="18604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</row>
    <row r="18605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</row>
    <row r="18606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</row>
    <row r="18607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</row>
    <row r="18608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</row>
    <row r="18609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</row>
    <row r="18610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</row>
    <row r="18611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</row>
    <row r="18612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</row>
    <row r="1861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</row>
    <row r="18614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</row>
    <row r="18615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</row>
    <row r="18616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</row>
    <row r="18617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</row>
    <row r="18618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</row>
    <row r="18619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</row>
    <row r="18620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</row>
    <row r="18621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</row>
    <row r="18622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</row>
    <row r="186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</row>
    <row r="18624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</row>
    <row r="18625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</row>
    <row r="18626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</row>
    <row r="18627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</row>
    <row r="18628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</row>
    <row r="18629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</row>
    <row r="18630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</row>
    <row r="18631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</row>
    <row r="18632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</row>
    <row r="1863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</row>
    <row r="18634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</row>
    <row r="18635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</row>
    <row r="18636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</row>
    <row r="18637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</row>
    <row r="18638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</row>
    <row r="18639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</row>
    <row r="18640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</row>
    <row r="18641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</row>
    <row r="18642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</row>
    <row r="1864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</row>
    <row r="18644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</row>
    <row r="18645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</row>
    <row r="18646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</row>
    <row r="18647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</row>
    <row r="18648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</row>
    <row r="18649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</row>
    <row r="18650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</row>
    <row r="18651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</row>
    <row r="18652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</row>
    <row r="1865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</row>
    <row r="18654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</row>
    <row r="18655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</row>
    <row r="18656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</row>
    <row r="18657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</row>
    <row r="18658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</row>
    <row r="18659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</row>
    <row r="18660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</row>
    <row r="18661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</row>
    <row r="18662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</row>
    <row r="1866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</row>
    <row r="18664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</row>
    <row r="18665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</row>
    <row r="18666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</row>
    <row r="18667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</row>
    <row r="18668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</row>
    <row r="18669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</row>
    <row r="18670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</row>
    <row r="18671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</row>
    <row r="18672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</row>
    <row r="1867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</row>
    <row r="18674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</row>
    <row r="18675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</row>
    <row r="18676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</row>
    <row r="18677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</row>
    <row r="18678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</row>
    <row r="18679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</row>
    <row r="18680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</row>
    <row r="18681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</row>
    <row r="18682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</row>
    <row r="1868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</row>
    <row r="18684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</row>
    <row r="18685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</row>
    <row r="18686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</row>
    <row r="18687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</row>
    <row r="18688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</row>
    <row r="18689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</row>
    <row r="18690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</row>
    <row r="18691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</row>
    <row r="18692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</row>
    <row r="1869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</row>
    <row r="18694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</row>
    <row r="18695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</row>
    <row r="18696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</row>
    <row r="18697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</row>
    <row r="18698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</row>
    <row r="18699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</row>
    <row r="18700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</row>
    <row r="18701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</row>
    <row r="18702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</row>
    <row r="1870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</row>
    <row r="18704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</row>
    <row r="18705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</row>
    <row r="18706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</row>
    <row r="18707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</row>
    <row r="18708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</row>
    <row r="18709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</row>
    <row r="18710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</row>
    <row r="18711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</row>
    <row r="18712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</row>
    <row r="1871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</row>
    <row r="18714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</row>
    <row r="18715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</row>
    <row r="18716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</row>
    <row r="18717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</row>
    <row r="18718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</row>
    <row r="18719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</row>
    <row r="18720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</row>
    <row r="18721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</row>
    <row r="18722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</row>
    <row r="187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</row>
    <row r="18724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</row>
    <row r="18725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</row>
    <row r="18726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</row>
    <row r="18727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</row>
    <row r="18728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</row>
    <row r="18729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</row>
    <row r="18730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</row>
    <row r="18731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</row>
    <row r="18732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</row>
    <row r="1873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</row>
    <row r="18734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</row>
    <row r="18735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</row>
    <row r="18736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</row>
    <row r="18737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</row>
    <row r="18738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</row>
    <row r="18739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</row>
    <row r="18740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</row>
    <row r="18741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</row>
    <row r="18742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</row>
    <row r="1874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</row>
    <row r="18744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</row>
    <row r="18745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</row>
    <row r="18746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</row>
    <row r="18747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</row>
    <row r="18748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</row>
    <row r="18749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</row>
    <row r="18750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</row>
    <row r="18751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</row>
    <row r="18752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</row>
    <row r="1875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</row>
    <row r="18754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</row>
    <row r="18755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</row>
    <row r="18756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</row>
    <row r="18757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</row>
    <row r="18758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</row>
    <row r="18759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</row>
    <row r="18760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</row>
    <row r="18761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</row>
    <row r="18762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</row>
    <row r="1876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</row>
    <row r="18764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</row>
    <row r="18765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</row>
    <row r="18766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</row>
    <row r="18767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</row>
    <row r="18768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</row>
    <row r="18769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</row>
    <row r="18770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</row>
    <row r="18771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</row>
    <row r="18772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</row>
    <row r="1877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</row>
    <row r="18774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</row>
    <row r="18775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</row>
    <row r="18776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</row>
    <row r="18777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</row>
    <row r="18778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</row>
    <row r="18779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</row>
    <row r="18780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</row>
    <row r="18781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</row>
    <row r="18782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</row>
    <row r="1878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</row>
    <row r="18784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</row>
    <row r="18785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</row>
    <row r="18786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</row>
    <row r="18787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</row>
    <row r="18788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</row>
    <row r="18789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</row>
    <row r="18790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</row>
    <row r="18791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</row>
    <row r="18792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</row>
    <row r="1879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</row>
    <row r="18794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</row>
    <row r="18795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</row>
    <row r="18796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</row>
    <row r="18797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</row>
    <row r="18798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</row>
    <row r="18799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</row>
    <row r="18800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</row>
    <row r="18801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</row>
    <row r="18802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</row>
    <row r="1880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</row>
    <row r="18804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</row>
    <row r="18805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</row>
    <row r="18806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</row>
    <row r="18807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</row>
    <row r="18808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</row>
    <row r="18809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</row>
    <row r="18810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</row>
    <row r="18811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</row>
    <row r="18812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</row>
    <row r="1881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</row>
    <row r="18814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</row>
    <row r="18815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</row>
    <row r="18816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</row>
    <row r="18817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</row>
    <row r="18818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</row>
    <row r="18819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</row>
    <row r="18820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</row>
    <row r="18821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</row>
    <row r="18822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</row>
    <row r="188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</row>
    <row r="18824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</row>
    <row r="18825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</row>
    <row r="18826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</row>
    <row r="18827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</row>
    <row r="18828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</row>
    <row r="18829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</row>
    <row r="18830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</row>
    <row r="18831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</row>
    <row r="18832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</row>
    <row r="1883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</row>
    <row r="18834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</row>
    <row r="18835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</row>
    <row r="18836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</row>
    <row r="18837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</row>
    <row r="18838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</row>
    <row r="18839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</row>
    <row r="18840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</row>
    <row r="18841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</row>
    <row r="18842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</row>
    <row r="1884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</row>
    <row r="18844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</row>
    <row r="18845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</row>
    <row r="18846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</row>
    <row r="18847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</row>
    <row r="18848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</row>
    <row r="18849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</row>
    <row r="18850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</row>
    <row r="18851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</row>
    <row r="18852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</row>
    <row r="1885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</row>
    <row r="18854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</row>
    <row r="18855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</row>
    <row r="18856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</row>
    <row r="18857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</row>
    <row r="18858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</row>
    <row r="18859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</row>
    <row r="18860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</row>
    <row r="18861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</row>
    <row r="18862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</row>
    <row r="1886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</row>
    <row r="18864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</row>
    <row r="18865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</row>
    <row r="18866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</row>
    <row r="18867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</row>
    <row r="18868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</row>
    <row r="18869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</row>
    <row r="18870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</row>
    <row r="18871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</row>
    <row r="18872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</row>
    <row r="1887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</row>
    <row r="18874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</row>
    <row r="18875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</row>
    <row r="18876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</row>
    <row r="18877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</row>
    <row r="18878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</row>
    <row r="18879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</row>
    <row r="18880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</row>
    <row r="18881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</row>
    <row r="18882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</row>
    <row r="1888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</row>
    <row r="18884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</row>
    <row r="18885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</row>
    <row r="18886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</row>
    <row r="18887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</row>
    <row r="18888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</row>
    <row r="18889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</row>
    <row r="18890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</row>
    <row r="18891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</row>
    <row r="18892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</row>
    <row r="1889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</row>
    <row r="18894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</row>
    <row r="18895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</row>
    <row r="18896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</row>
    <row r="18897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</row>
    <row r="18898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</row>
    <row r="18899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</row>
    <row r="18900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</row>
    <row r="18901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</row>
    <row r="18902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</row>
    <row r="1890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</row>
    <row r="18904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</row>
    <row r="18905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</row>
    <row r="18906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</row>
    <row r="18907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</row>
    <row r="18908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</row>
    <row r="18909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</row>
    <row r="18910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</row>
    <row r="18911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</row>
    <row r="18912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</row>
    <row r="1891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</row>
    <row r="18914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</row>
    <row r="18915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</row>
    <row r="18916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</row>
    <row r="18917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</row>
    <row r="18918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</row>
    <row r="18919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</row>
    <row r="18920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</row>
    <row r="18921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</row>
    <row r="18922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</row>
    <row r="189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</row>
    <row r="18924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</row>
    <row r="18925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</row>
    <row r="18926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</row>
    <row r="18927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</row>
    <row r="18928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</row>
    <row r="18929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</row>
    <row r="18930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</row>
    <row r="18931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</row>
    <row r="18932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</row>
    <row r="1893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</row>
    <row r="18934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</row>
    <row r="18935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</row>
    <row r="18936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</row>
    <row r="18937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</row>
    <row r="18938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</row>
    <row r="18939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</row>
    <row r="18940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</row>
    <row r="18941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</row>
    <row r="18942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</row>
    <row r="1894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</row>
    <row r="18944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</row>
    <row r="18945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</row>
    <row r="18946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</row>
    <row r="18947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</row>
    <row r="18948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</row>
    <row r="18949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</row>
    <row r="18950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</row>
    <row r="18951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</row>
    <row r="18952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</row>
    <row r="1895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</row>
    <row r="18954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</row>
    <row r="18955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</row>
    <row r="18956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</row>
    <row r="18957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</row>
    <row r="18958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</row>
    <row r="18959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</row>
    <row r="18960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</row>
    <row r="18961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</row>
    <row r="18962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</row>
    <row r="1896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</row>
    <row r="18964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</row>
    <row r="18965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</row>
    <row r="18966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</row>
    <row r="18967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</row>
    <row r="18968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</row>
    <row r="18969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</row>
    <row r="18970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</row>
    <row r="18971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</row>
    <row r="18972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</row>
    <row r="1897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</row>
    <row r="18974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</row>
    <row r="18975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</row>
    <row r="18976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</row>
    <row r="18977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</row>
    <row r="18978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</row>
    <row r="18979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</row>
    <row r="18980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</row>
    <row r="18981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</row>
    <row r="18982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</row>
    <row r="1898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</row>
    <row r="18984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</row>
    <row r="18985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</row>
    <row r="18986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</row>
    <row r="18987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</row>
    <row r="18988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</row>
    <row r="18989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</row>
    <row r="18990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</row>
    <row r="18991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</row>
    <row r="18992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</row>
    <row r="1899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</row>
    <row r="18994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</row>
    <row r="18995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</row>
    <row r="18996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</row>
    <row r="18997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</row>
    <row r="18998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</row>
    <row r="18999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</row>
    <row r="19000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</row>
    <row r="19001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</row>
    <row r="19002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</row>
    <row r="1900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</row>
    <row r="19004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</row>
    <row r="19005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</row>
    <row r="19006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</row>
    <row r="19007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</row>
    <row r="19008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</row>
    <row r="19009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</row>
    <row r="19010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</row>
    <row r="19011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</row>
    <row r="19012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</row>
    <row r="1901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</row>
    <row r="19014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</row>
    <row r="19015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</row>
    <row r="19016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</row>
    <row r="19017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</row>
    <row r="19018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</row>
    <row r="19019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</row>
    <row r="19020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</row>
    <row r="19021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</row>
    <row r="19022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</row>
    <row r="190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</row>
    <row r="19024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</row>
    <row r="19025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</row>
    <row r="19026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</row>
    <row r="19027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</row>
    <row r="19028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</row>
    <row r="19029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</row>
    <row r="19030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</row>
    <row r="19031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</row>
    <row r="19032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</row>
    <row r="1903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</row>
    <row r="19034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</row>
    <row r="19035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</row>
    <row r="19036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</row>
    <row r="19037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</row>
    <row r="19038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</row>
    <row r="19039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</row>
    <row r="19040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</row>
    <row r="19041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</row>
    <row r="19042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</row>
    <row r="1904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</row>
    <row r="19044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</row>
    <row r="19045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</row>
    <row r="19046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</row>
    <row r="19047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</row>
    <row r="19048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</row>
    <row r="19049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</row>
    <row r="19050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</row>
    <row r="19051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</row>
    <row r="19052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</row>
    <row r="1905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</row>
    <row r="19054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</row>
    <row r="19055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</row>
    <row r="19056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</row>
    <row r="19057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</row>
    <row r="19058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</row>
    <row r="19059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</row>
    <row r="19060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</row>
    <row r="19061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</row>
    <row r="19062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</row>
    <row r="1906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</row>
    <row r="19064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</row>
    <row r="19065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</row>
    <row r="19066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</row>
    <row r="19067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</row>
    <row r="19068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</row>
    <row r="19069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</row>
    <row r="19070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</row>
    <row r="19071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</row>
    <row r="19072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</row>
    <row r="1907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</row>
    <row r="19074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</row>
    <row r="19075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</row>
    <row r="19076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</row>
    <row r="19077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</row>
    <row r="19078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</row>
    <row r="19079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</row>
    <row r="19080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</row>
    <row r="19081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</row>
    <row r="19082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</row>
    <row r="1908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</row>
    <row r="19084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</row>
    <row r="19085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</row>
    <row r="19086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</row>
    <row r="19087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</row>
    <row r="19088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</row>
    <row r="19089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</row>
    <row r="19090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</row>
    <row r="19091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</row>
    <row r="19092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</row>
    <row r="1909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</row>
    <row r="19094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</row>
    <row r="19095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</row>
    <row r="19096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</row>
    <row r="19097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</row>
    <row r="19098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</row>
    <row r="19099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</row>
    <row r="19100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</row>
    <row r="19101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</row>
    <row r="19102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</row>
    <row r="1910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</row>
    <row r="19104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</row>
    <row r="19105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</row>
    <row r="19106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</row>
    <row r="19107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</row>
    <row r="19108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</row>
    <row r="19109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</row>
    <row r="19110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</row>
    <row r="19111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</row>
    <row r="19112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</row>
    <row r="1911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</row>
    <row r="19114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</row>
    <row r="19115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</row>
    <row r="19116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</row>
    <row r="19117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</row>
    <row r="19118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</row>
    <row r="19119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</row>
    <row r="19120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</row>
    <row r="19121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</row>
    <row r="19122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</row>
    <row r="191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</row>
    <row r="19124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</row>
    <row r="19125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</row>
    <row r="19126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</row>
    <row r="19127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</row>
    <row r="19128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</row>
    <row r="19129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</row>
    <row r="19130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</row>
    <row r="19131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</row>
    <row r="19132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</row>
    <row r="1913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</row>
    <row r="19134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</row>
    <row r="19135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</row>
    <row r="19136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</row>
    <row r="19137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</row>
    <row r="19138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</row>
    <row r="19139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</row>
    <row r="19140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</row>
    <row r="19141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</row>
    <row r="19142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</row>
    <row r="1914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</row>
    <row r="19144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</row>
    <row r="19145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</row>
    <row r="19146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</row>
    <row r="19147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</row>
    <row r="19148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</row>
    <row r="19149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</row>
    <row r="19150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</row>
    <row r="19151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</row>
    <row r="19152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</row>
    <row r="1915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</row>
    <row r="19154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</row>
    <row r="19155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</row>
    <row r="19156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</row>
    <row r="19157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</row>
    <row r="19158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</row>
    <row r="19159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</row>
    <row r="19160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</row>
    <row r="19161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</row>
    <row r="19162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</row>
    <row r="1916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</row>
    <row r="19164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</row>
    <row r="19165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</row>
    <row r="19166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</row>
    <row r="19167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</row>
    <row r="19168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</row>
    <row r="19169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</row>
    <row r="19170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</row>
    <row r="19171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</row>
    <row r="19172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</row>
    <row r="1917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</row>
    <row r="19174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</row>
    <row r="19175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</row>
    <row r="19176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</row>
    <row r="19177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</row>
    <row r="19178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</row>
    <row r="19179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</row>
    <row r="19180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</row>
    <row r="19181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</row>
    <row r="19182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</row>
    <row r="1918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</row>
    <row r="19184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</row>
    <row r="19185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</row>
    <row r="19186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</row>
    <row r="19187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</row>
    <row r="19188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</row>
    <row r="19189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</row>
    <row r="19190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</row>
    <row r="19191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</row>
    <row r="19192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</row>
    <row r="1919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</row>
    <row r="19194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</row>
    <row r="19195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</row>
    <row r="19196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</row>
    <row r="19197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</row>
    <row r="19198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</row>
    <row r="19199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</row>
    <row r="19200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</row>
    <row r="19201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</row>
    <row r="19202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</row>
    <row r="1920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</row>
    <row r="19204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</row>
    <row r="19205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</row>
    <row r="19206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</row>
    <row r="19207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</row>
    <row r="19208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</row>
    <row r="19209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</row>
    <row r="19210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</row>
    <row r="19211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</row>
    <row r="19212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</row>
    <row r="1921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</row>
    <row r="19214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</row>
    <row r="19215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</row>
    <row r="19216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</row>
    <row r="19217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</row>
    <row r="19218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</row>
    <row r="19219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</row>
    <row r="19220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</row>
    <row r="19221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</row>
    <row r="19222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</row>
    <row r="192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</row>
    <row r="19224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</row>
    <row r="19225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</row>
    <row r="19226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</row>
    <row r="19227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</row>
    <row r="19228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</row>
    <row r="19229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</row>
    <row r="19230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</row>
    <row r="19231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</row>
    <row r="19232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</row>
    <row r="1923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</row>
    <row r="19234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</row>
    <row r="19235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</row>
    <row r="19236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</row>
    <row r="19237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</row>
    <row r="19238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</row>
    <row r="19239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</row>
    <row r="19240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</row>
    <row r="19241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</row>
    <row r="19242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</row>
    <row r="1924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</row>
    <row r="19244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</row>
    <row r="19245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</row>
    <row r="19246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</row>
    <row r="19247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</row>
    <row r="19248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</row>
    <row r="19249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</row>
    <row r="19250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</row>
    <row r="19251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</row>
    <row r="19252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</row>
    <row r="1925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</row>
    <row r="19254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</row>
    <row r="19255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</row>
    <row r="19256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</row>
    <row r="19257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</row>
    <row r="19258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</row>
    <row r="19259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</row>
    <row r="19260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</row>
    <row r="19261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</row>
    <row r="19262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</row>
    <row r="1926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</row>
    <row r="19264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</row>
    <row r="19265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</row>
    <row r="19266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</row>
    <row r="19267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</row>
    <row r="19268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</row>
    <row r="19269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</row>
    <row r="19270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</row>
    <row r="19271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</row>
    <row r="19272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</row>
    <row r="1927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</row>
    <row r="19274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</row>
    <row r="19275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</row>
    <row r="19276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</row>
    <row r="19277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</row>
    <row r="19278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</row>
    <row r="19279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</row>
    <row r="19280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</row>
    <row r="19281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</row>
    <row r="19282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</row>
    <row r="1928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</row>
    <row r="19284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</row>
    <row r="19285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</row>
    <row r="19286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</row>
    <row r="19287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</row>
    <row r="19288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</row>
    <row r="19289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</row>
    <row r="19290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</row>
    <row r="19291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</row>
    <row r="19292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</row>
    <row r="1929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</row>
    <row r="19294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</row>
    <row r="19295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</row>
    <row r="19296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</row>
    <row r="19297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</row>
    <row r="19298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</row>
    <row r="19299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</row>
    <row r="19300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</row>
    <row r="19301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</row>
    <row r="19302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</row>
    <row r="1930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</row>
    <row r="19304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</row>
    <row r="19305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</row>
    <row r="19306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</row>
    <row r="19307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</row>
    <row r="19308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</row>
    <row r="19309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</row>
    <row r="19310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</row>
    <row r="19311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</row>
    <row r="19312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</row>
    <row r="1931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</row>
    <row r="19314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</row>
    <row r="19315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</row>
    <row r="19316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</row>
    <row r="19317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</row>
    <row r="19318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</row>
    <row r="19319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</row>
    <row r="19320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</row>
    <row r="19321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</row>
    <row r="19322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</row>
    <row r="193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</row>
    <row r="19324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</row>
    <row r="19325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</row>
    <row r="19326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</row>
    <row r="19327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</row>
    <row r="19328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</row>
    <row r="19329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</row>
    <row r="19330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</row>
    <row r="19331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</row>
    <row r="19332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</row>
    <row r="1933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</row>
    <row r="19334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</row>
    <row r="19335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</row>
    <row r="19336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</row>
    <row r="19337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</row>
    <row r="19338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</row>
    <row r="19339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</row>
    <row r="19340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</row>
    <row r="19341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</row>
    <row r="19342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</row>
    <row r="1934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</row>
    <row r="19344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</row>
    <row r="19345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</row>
    <row r="19346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</row>
    <row r="19347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</row>
    <row r="19348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</row>
    <row r="19349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</row>
    <row r="19350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</row>
    <row r="19351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</row>
    <row r="19352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</row>
    <row r="1935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</row>
    <row r="19354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</row>
    <row r="19355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</row>
    <row r="19356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</row>
    <row r="19357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</row>
    <row r="19358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</row>
    <row r="19359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</row>
    <row r="19360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</row>
    <row r="19361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</row>
    <row r="19362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</row>
    <row r="1936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</row>
    <row r="19364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</row>
    <row r="19365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</row>
    <row r="19366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</row>
    <row r="19367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</row>
    <row r="19368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</row>
    <row r="19369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</row>
    <row r="19370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</row>
    <row r="19371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</row>
    <row r="19372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</row>
    <row r="1937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</row>
    <row r="19374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</row>
    <row r="19375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</row>
    <row r="19376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</row>
    <row r="19377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</row>
    <row r="19378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</row>
    <row r="19379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</row>
    <row r="19380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</row>
    <row r="19381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</row>
    <row r="19382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</row>
    <row r="1938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</row>
    <row r="19384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</row>
    <row r="19385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</row>
    <row r="19386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</row>
    <row r="19387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</row>
    <row r="19388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</row>
    <row r="19389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</row>
    <row r="19390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</row>
    <row r="19391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</row>
    <row r="19392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</row>
    <row r="1939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</row>
    <row r="19394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</row>
    <row r="19395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</row>
    <row r="19396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</row>
    <row r="19397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</row>
    <row r="19398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</row>
    <row r="19399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</row>
    <row r="19400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</row>
    <row r="19401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</row>
    <row r="19402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</row>
    <row r="1940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</row>
    <row r="19404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</row>
    <row r="19405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</row>
    <row r="19406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</row>
    <row r="19407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</row>
    <row r="19408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</row>
    <row r="19409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</row>
    <row r="19410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</row>
    <row r="19411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</row>
    <row r="19412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</row>
    <row r="1941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</row>
    <row r="19414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</row>
    <row r="19415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</row>
    <row r="19416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</row>
    <row r="19417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</row>
    <row r="19418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</row>
    <row r="19419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</row>
    <row r="19420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</row>
    <row r="19421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</row>
    <row r="19422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</row>
    <row r="194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</row>
    <row r="19424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</row>
    <row r="19425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</row>
    <row r="19426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</row>
    <row r="19427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</row>
    <row r="19428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</row>
    <row r="19429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</row>
    <row r="19430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</row>
    <row r="19431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</row>
    <row r="19432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</row>
    <row r="1943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</row>
    <row r="19434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</row>
    <row r="19435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</row>
    <row r="19436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</row>
    <row r="19437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</row>
    <row r="19438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</row>
    <row r="19439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</row>
    <row r="19440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</row>
    <row r="19441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</row>
    <row r="19442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</row>
    <row r="1944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</row>
    <row r="19444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</row>
    <row r="19445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</row>
    <row r="19446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</row>
    <row r="19447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</row>
    <row r="19448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</row>
    <row r="19449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</row>
    <row r="19450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</row>
    <row r="19451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</row>
    <row r="19452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</row>
    <row r="1945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</row>
    <row r="19454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</row>
    <row r="19455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</row>
    <row r="19456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</row>
    <row r="19457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</row>
    <row r="19458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</row>
    <row r="19459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</row>
    <row r="19460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</row>
    <row r="19461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</row>
    <row r="19462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</row>
    <row r="1946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</row>
    <row r="19464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</row>
    <row r="19465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</row>
    <row r="19466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</row>
    <row r="19467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</row>
    <row r="19468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</row>
    <row r="19469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</row>
    <row r="19470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</row>
    <row r="19471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</row>
    <row r="19472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</row>
    <row r="1947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</row>
    <row r="19474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</row>
    <row r="19475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</row>
    <row r="19476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</row>
    <row r="19477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</row>
    <row r="19478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</row>
    <row r="19479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</row>
    <row r="19480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</row>
    <row r="19481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</row>
    <row r="19482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</row>
    <row r="1948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</row>
    <row r="19484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</row>
    <row r="19485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</row>
    <row r="19486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</row>
    <row r="19487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</row>
    <row r="19488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</row>
    <row r="19489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</row>
    <row r="19490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</row>
    <row r="19491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</row>
    <row r="19492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</row>
    <row r="1949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</row>
    <row r="19494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</row>
    <row r="19495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</row>
    <row r="19496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</row>
    <row r="19497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</row>
    <row r="19498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</row>
    <row r="19499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</row>
    <row r="19500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</row>
    <row r="19501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</row>
    <row r="19502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</row>
    <row r="1950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</row>
    <row r="19504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</row>
    <row r="19505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</row>
    <row r="19506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</row>
    <row r="19507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</row>
    <row r="19508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</row>
    <row r="19509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</row>
    <row r="19510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</row>
    <row r="19511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</row>
    <row r="19512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</row>
    <row r="1951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</row>
    <row r="19514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</row>
    <row r="19515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</row>
    <row r="19516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</row>
    <row r="19517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</row>
    <row r="19518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</row>
    <row r="19519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</row>
    <row r="19520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</row>
    <row r="19521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</row>
    <row r="19522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</row>
    <row r="195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</row>
    <row r="19524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</row>
    <row r="19525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</row>
    <row r="19526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</row>
    <row r="19527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</row>
    <row r="19528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</row>
    <row r="19529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</row>
    <row r="19530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</row>
    <row r="19531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</row>
    <row r="19532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</row>
    <row r="1953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</row>
    <row r="19534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</row>
    <row r="19535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</row>
    <row r="19536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</row>
    <row r="19537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</row>
    <row r="19538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</row>
    <row r="19539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</row>
    <row r="19540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</row>
    <row r="19541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</row>
    <row r="19542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</row>
    <row r="1954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</row>
    <row r="19544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</row>
    <row r="19545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</row>
    <row r="19546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</row>
    <row r="19547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</row>
    <row r="19548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</row>
    <row r="19549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</row>
    <row r="19550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</row>
    <row r="19551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</row>
    <row r="19552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</row>
    <row r="1955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</row>
    <row r="19554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</row>
    <row r="19555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</row>
    <row r="19556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</row>
    <row r="19557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</row>
    <row r="19558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</row>
    <row r="19559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</row>
    <row r="19560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</row>
    <row r="19561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</row>
    <row r="19562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</row>
    <row r="1956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</row>
    <row r="19564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</row>
    <row r="19565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</row>
    <row r="19566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</row>
    <row r="19567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</row>
    <row r="19568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</row>
    <row r="19569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</row>
    <row r="19570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</row>
    <row r="19571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</row>
    <row r="19572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</row>
    <row r="1957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</row>
    <row r="19574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</row>
    <row r="19575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</row>
    <row r="19576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</row>
    <row r="19577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</row>
    <row r="19578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</row>
    <row r="19579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</row>
    <row r="19580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</row>
    <row r="19581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</row>
    <row r="19582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</row>
    <row r="1958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</row>
    <row r="19584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</row>
    <row r="19585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</row>
    <row r="19586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</row>
    <row r="19587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</row>
    <row r="19588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</row>
    <row r="19589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</row>
    <row r="19590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</row>
    <row r="19591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</row>
    <row r="19592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</row>
    <row r="1959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</row>
    <row r="19594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</row>
    <row r="19595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</row>
    <row r="19596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</row>
    <row r="19597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</row>
    <row r="19598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</row>
    <row r="19599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</row>
    <row r="19600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</row>
    <row r="19601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</row>
    <row r="19602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</row>
    <row r="1960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</row>
    <row r="19604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</row>
    <row r="19605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</row>
    <row r="19606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</row>
    <row r="19607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</row>
    <row r="19608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</row>
    <row r="19609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</row>
    <row r="19610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</row>
    <row r="19611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</row>
    <row r="19612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</row>
    <row r="1961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</row>
    <row r="19614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</row>
    <row r="19615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</row>
    <row r="19616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</row>
    <row r="19617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</row>
    <row r="19618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</row>
    <row r="19619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</row>
    <row r="19620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</row>
    <row r="19621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</row>
    <row r="19622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</row>
    <row r="196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</row>
    <row r="19624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</row>
    <row r="19625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</row>
    <row r="19626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</row>
    <row r="19627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</row>
    <row r="19628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</row>
    <row r="19629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</row>
    <row r="19630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</row>
    <row r="19631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</row>
    <row r="19632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</row>
    <row r="1963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</row>
    <row r="19634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</row>
    <row r="19635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</row>
    <row r="19636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</row>
    <row r="19637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</row>
    <row r="19638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</row>
    <row r="19639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</row>
    <row r="19640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</row>
    <row r="19641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</row>
    <row r="19642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</row>
    <row r="1964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</row>
    <row r="19644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</row>
    <row r="19645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</row>
    <row r="19646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</row>
    <row r="19647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</row>
    <row r="19648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</row>
    <row r="19649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</row>
    <row r="19650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</row>
    <row r="19651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</row>
    <row r="19652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</row>
    <row r="1965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</row>
    <row r="19654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</row>
    <row r="19655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</row>
    <row r="19656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</row>
    <row r="19657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</row>
    <row r="19658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</row>
    <row r="19659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</row>
    <row r="19660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</row>
    <row r="19661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</row>
    <row r="19662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</row>
    <row r="1966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</row>
    <row r="19664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</row>
    <row r="19665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</row>
    <row r="19666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</row>
    <row r="19667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</row>
    <row r="19668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</row>
    <row r="19669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</row>
    <row r="19670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</row>
    <row r="19671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</row>
    <row r="19672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</row>
    <row r="1967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</row>
    <row r="19674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</row>
    <row r="19675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</row>
    <row r="19676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</row>
    <row r="19677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</row>
    <row r="19678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</row>
    <row r="19679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</row>
    <row r="19680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</row>
    <row r="19681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</row>
    <row r="19682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</row>
    <row r="1968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</row>
    <row r="19684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</row>
    <row r="19685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</row>
    <row r="19686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</row>
    <row r="19687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</row>
    <row r="19688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</row>
    <row r="19689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</row>
    <row r="19690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</row>
    <row r="19691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</row>
    <row r="19692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</row>
    <row r="1969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</row>
    <row r="19694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</row>
    <row r="19695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</row>
    <row r="19696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</row>
    <row r="19697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</row>
    <row r="19698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</row>
    <row r="19699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</row>
    <row r="19700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</row>
    <row r="19701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</row>
    <row r="19702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</row>
    <row r="1970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</row>
    <row r="19704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</row>
    <row r="19705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</row>
    <row r="19706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</row>
    <row r="19707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</row>
    <row r="19708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</row>
    <row r="19709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</row>
    <row r="19710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</row>
    <row r="19711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</row>
    <row r="19712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</row>
    <row r="1971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</row>
    <row r="19714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</row>
    <row r="19715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</row>
    <row r="19716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</row>
    <row r="19717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</row>
    <row r="19718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</row>
    <row r="19719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</row>
    <row r="19720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</row>
    <row r="19721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</row>
    <row r="19722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</row>
    <row r="197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</row>
    <row r="19724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</row>
    <row r="19725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</row>
    <row r="19726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</row>
    <row r="19727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</row>
    <row r="19728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</row>
    <row r="19729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</row>
    <row r="19730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</row>
    <row r="19731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</row>
    <row r="19732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</row>
    <row r="1973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</row>
    <row r="19734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</row>
    <row r="19735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</row>
    <row r="19736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</row>
    <row r="19737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</row>
    <row r="19738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</row>
    <row r="19739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</row>
    <row r="19740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</row>
    <row r="19741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</row>
    <row r="19742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</row>
    <row r="1974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</row>
    <row r="19744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</row>
    <row r="19745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</row>
    <row r="19746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</row>
    <row r="19747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</row>
    <row r="19748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</row>
    <row r="19749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</row>
    <row r="19750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</row>
    <row r="19751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</row>
    <row r="19752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</row>
    <row r="1975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</row>
    <row r="19754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</row>
    <row r="19755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</row>
    <row r="19756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</row>
    <row r="19757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</row>
    <row r="19758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</row>
    <row r="19759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</row>
    <row r="19760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</row>
    <row r="19761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</row>
    <row r="19762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</row>
    <row r="1976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</row>
    <row r="19764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</row>
    <row r="19765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</row>
    <row r="19766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</row>
    <row r="19767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</row>
    <row r="19768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</row>
    <row r="19769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</row>
    <row r="19770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</row>
    <row r="19771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</row>
    <row r="19772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</row>
    <row r="1977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</row>
    <row r="19774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</row>
    <row r="19775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</row>
    <row r="19776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</row>
    <row r="19777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</row>
    <row r="19778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</row>
    <row r="19779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</row>
    <row r="19780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</row>
    <row r="19781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</row>
    <row r="19782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</row>
    <row r="1978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</row>
    <row r="19784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</row>
    <row r="19785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</row>
    <row r="19786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</row>
    <row r="19787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</row>
    <row r="19788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</row>
    <row r="19789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</row>
    <row r="19790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</row>
    <row r="19791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</row>
    <row r="19792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</row>
    <row r="1979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</row>
    <row r="19794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</row>
    <row r="19795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</row>
    <row r="19796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</row>
    <row r="19797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</row>
    <row r="19798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</row>
    <row r="19799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</row>
    <row r="19800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</row>
    <row r="19801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</row>
    <row r="19802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</row>
    <row r="1980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</row>
    <row r="19804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</row>
    <row r="19805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</row>
    <row r="19806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</row>
    <row r="19807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</row>
    <row r="19808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</row>
    <row r="19809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</row>
    <row r="19810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</row>
    <row r="19811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</row>
    <row r="19812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</row>
    <row r="1981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</row>
    <row r="19814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</row>
    <row r="19815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</row>
    <row r="19816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</row>
    <row r="19817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</row>
    <row r="19818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</row>
    <row r="19819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</row>
    <row r="19820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</row>
    <row r="19821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</row>
    <row r="19822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</row>
    <row r="198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</row>
    <row r="19824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</row>
    <row r="19825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</row>
    <row r="19826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</row>
    <row r="19827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</row>
    <row r="19828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</row>
    <row r="19829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</row>
    <row r="19830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</row>
    <row r="19831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</row>
    <row r="19832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</row>
    <row r="1983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</row>
    <row r="19834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</row>
    <row r="19835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</row>
    <row r="19836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</row>
    <row r="19837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</row>
    <row r="19838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</row>
    <row r="19839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</row>
    <row r="19840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</row>
    <row r="19841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</row>
    <row r="19842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</row>
    <row r="1984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</row>
    <row r="19844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</row>
    <row r="19845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</row>
    <row r="19846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</row>
    <row r="19847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</row>
    <row r="19848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</row>
    <row r="19849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</row>
    <row r="19850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</row>
    <row r="19851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</row>
    <row r="19852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</row>
    <row r="1985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</row>
    <row r="19854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</row>
    <row r="19855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</row>
    <row r="19856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</row>
    <row r="19857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</row>
    <row r="19858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</row>
    <row r="19859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</row>
    <row r="19860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</row>
    <row r="19861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</row>
    <row r="19862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</row>
    <row r="1986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</row>
    <row r="19864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</row>
    <row r="19865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</row>
    <row r="19866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</row>
    <row r="19867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</row>
    <row r="19868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</row>
    <row r="19869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</row>
    <row r="19870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</row>
    <row r="19871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</row>
    <row r="19872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</row>
    <row r="1987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</row>
    <row r="19874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</row>
    <row r="19875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</row>
    <row r="19876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</row>
    <row r="19877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</row>
    <row r="19878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</row>
    <row r="19879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</row>
    <row r="19880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</row>
    <row r="19881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</row>
    <row r="19882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</row>
    <row r="1988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</row>
    <row r="19884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</row>
    <row r="19885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</row>
    <row r="19886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</row>
    <row r="19887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</row>
    <row r="19888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</row>
    <row r="19889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</row>
    <row r="19890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</row>
    <row r="19891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</row>
    <row r="19892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</row>
    <row r="1989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</row>
    <row r="19894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</row>
    <row r="19895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</row>
    <row r="19896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</row>
    <row r="19897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</row>
    <row r="19898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</row>
    <row r="19899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</row>
    <row r="19900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</row>
    <row r="19901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</row>
    <row r="19902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</row>
    <row r="1990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</row>
    <row r="19904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</row>
    <row r="19905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</row>
    <row r="19906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</row>
    <row r="19907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</row>
    <row r="19908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</row>
    <row r="19909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</row>
    <row r="19910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</row>
    <row r="19911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</row>
    <row r="19912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</row>
    <row r="1991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</row>
    <row r="19914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</row>
    <row r="19915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</row>
    <row r="19916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</row>
    <row r="19917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</row>
    <row r="19918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</row>
    <row r="19919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</row>
    <row r="19920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</row>
    <row r="19921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</row>
    <row r="19922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</row>
    <row r="199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</row>
    <row r="19924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</row>
    <row r="19925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</row>
    <row r="19926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</row>
    <row r="19927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</row>
    <row r="19928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</row>
    <row r="19929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</row>
    <row r="19930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</row>
    <row r="19931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</row>
    <row r="19932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</row>
    <row r="1993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</row>
    <row r="19934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</row>
    <row r="19935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</row>
    <row r="19936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</row>
    <row r="19937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</row>
    <row r="19938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</row>
    <row r="19939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</row>
    <row r="19940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</row>
    <row r="19941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</row>
    <row r="19942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</row>
    <row r="1994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</row>
    <row r="19944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</row>
    <row r="19945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</row>
    <row r="19946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</row>
    <row r="19947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</row>
    <row r="19948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</row>
    <row r="19949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</row>
    <row r="19950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</row>
    <row r="19951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</row>
    <row r="19952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</row>
    <row r="1995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</row>
    <row r="19954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</row>
    <row r="19955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</row>
    <row r="19956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</row>
    <row r="19957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</row>
    <row r="19958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</row>
    <row r="19959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</row>
    <row r="19960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</row>
    <row r="19961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</row>
    <row r="19962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</row>
    <row r="1996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</row>
    <row r="19964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</row>
    <row r="19965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</row>
    <row r="19966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</row>
    <row r="19967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</row>
    <row r="19968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</row>
    <row r="19969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</row>
    <row r="19970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</row>
    <row r="19971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</row>
    <row r="19972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</row>
    <row r="1997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</row>
    <row r="19974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</row>
    <row r="19975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</row>
    <row r="19976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</row>
    <row r="19977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</row>
    <row r="19978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</row>
    <row r="19979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</row>
    <row r="19980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</row>
    <row r="19981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</row>
    <row r="19982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</row>
    <row r="1998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</row>
    <row r="19984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</row>
    <row r="19985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</row>
    <row r="19986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</row>
    <row r="19987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</row>
    <row r="19988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</row>
    <row r="19989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</row>
    <row r="19990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</row>
    <row r="19991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</row>
    <row r="19992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</row>
    <row r="1999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</row>
    <row r="19994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</row>
    <row r="19995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</row>
    <row r="19996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</row>
    <row r="19997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</row>
    <row r="19998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</row>
    <row r="19999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</row>
    <row r="20000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</row>
    <row r="20001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</row>
    <row r="20002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</row>
    <row r="2000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</row>
    <row r="20004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</row>
    <row r="20005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</row>
    <row r="20006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</row>
    <row r="20007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</row>
    <row r="20008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</row>
    <row r="20009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</row>
    <row r="20010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</row>
    <row r="20011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</row>
    <row r="20012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</row>
    <row r="2001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</row>
    <row r="20014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</row>
    <row r="20015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</row>
    <row r="20016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</row>
    <row r="20017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</row>
    <row r="20018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</row>
    <row r="20019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</row>
    <row r="20020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</row>
    <row r="20021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</row>
    <row r="20022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</row>
    <row r="200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</row>
    <row r="20024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</row>
    <row r="20025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</row>
    <row r="20026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</row>
    <row r="20027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</row>
    <row r="20028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</row>
    <row r="20029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</row>
    <row r="20030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</row>
    <row r="20031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</row>
    <row r="20032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</row>
    <row r="2003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</row>
    <row r="20034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</row>
    <row r="20035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</row>
    <row r="20036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</row>
    <row r="20037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</row>
    <row r="20038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</row>
    <row r="20039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</row>
    <row r="20040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</row>
    <row r="20041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</row>
    <row r="20042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</row>
    <row r="2004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</row>
    <row r="20044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</row>
    <row r="20045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</row>
    <row r="20046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</row>
    <row r="20047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</row>
    <row r="20048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</row>
    <row r="20049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</row>
    <row r="20050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</row>
    <row r="20051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</row>
    <row r="20052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</row>
    <row r="2005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</row>
    <row r="20054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</row>
    <row r="20055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</row>
    <row r="20056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</row>
    <row r="20057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</row>
    <row r="20058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</row>
    <row r="20059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</row>
    <row r="20060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</row>
    <row r="20061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</row>
    <row r="20062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</row>
    <row r="2006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</row>
    <row r="20064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</row>
    <row r="20065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</row>
    <row r="20066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</row>
    <row r="20067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</row>
    <row r="20068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</row>
    <row r="20069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</row>
    <row r="20070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</row>
    <row r="20071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</row>
    <row r="20072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</row>
    <row r="2007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</row>
    <row r="20074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</row>
    <row r="20075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</row>
    <row r="20076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</row>
    <row r="20077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</row>
    <row r="20078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</row>
    <row r="20079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</row>
    <row r="20080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</row>
    <row r="20081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</row>
    <row r="20082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</row>
    <row r="2008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</row>
    <row r="20084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</row>
    <row r="20085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</row>
    <row r="20086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</row>
    <row r="20087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</row>
    <row r="20088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</row>
    <row r="20089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</row>
    <row r="20090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</row>
    <row r="20091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</row>
    <row r="20092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</row>
    <row r="2009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</row>
    <row r="20094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</row>
    <row r="20095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</row>
    <row r="20096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</row>
    <row r="20097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</row>
    <row r="20098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</row>
    <row r="20099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</row>
    <row r="20100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</row>
    <row r="20101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</row>
    <row r="20102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</row>
    <row r="2010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</row>
    <row r="20104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</row>
    <row r="20105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</row>
    <row r="20106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</row>
    <row r="20107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</row>
    <row r="20108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</row>
    <row r="20109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</row>
    <row r="20110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</row>
    <row r="20111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</row>
    <row r="20112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</row>
    <row r="2011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</row>
    <row r="20114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</row>
    <row r="20115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</row>
    <row r="20116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</row>
    <row r="20117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</row>
    <row r="20118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</row>
    <row r="20119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</row>
    <row r="20120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</row>
    <row r="20121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</row>
    <row r="20122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</row>
    <row r="201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</row>
    <row r="20124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</row>
    <row r="20125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</row>
    <row r="20126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</row>
    <row r="20127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</row>
    <row r="20128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</row>
    <row r="20129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</row>
    <row r="20130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</row>
    <row r="20131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</row>
    <row r="20132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</row>
    <row r="2013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</row>
    <row r="20134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</row>
    <row r="20135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</row>
    <row r="20136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</row>
    <row r="20137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</row>
    <row r="20138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</row>
    <row r="20139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</row>
    <row r="20140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</row>
    <row r="20141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</row>
    <row r="20142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</row>
    <row r="2014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</row>
    <row r="20144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</row>
    <row r="20145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</row>
    <row r="20146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</row>
    <row r="20147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</row>
    <row r="20148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</row>
    <row r="20149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</row>
    <row r="20150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</row>
    <row r="20151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</row>
    <row r="20152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</row>
    <row r="2015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</row>
    <row r="20154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</row>
    <row r="20155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</row>
    <row r="20156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</row>
    <row r="20157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</row>
    <row r="20158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</row>
    <row r="20159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</row>
    <row r="20160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</row>
    <row r="20161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</row>
    <row r="20162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</row>
    <row r="2016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</row>
    <row r="20164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</row>
    <row r="20165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</row>
    <row r="20166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</row>
    <row r="20167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</row>
    <row r="20168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</row>
    <row r="20169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</row>
    <row r="20170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</row>
    <row r="20171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</row>
    <row r="20172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</row>
    <row r="2017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</row>
    <row r="20174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</row>
    <row r="20175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</row>
    <row r="20176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</row>
    <row r="20177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</row>
    <row r="20178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</row>
    <row r="20179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</row>
    <row r="20180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</row>
    <row r="20181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</row>
    <row r="20182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</row>
    <row r="2018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</row>
    <row r="20184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</row>
    <row r="20185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</row>
    <row r="20186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</row>
    <row r="20187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</row>
    <row r="20188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</row>
    <row r="20189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</row>
    <row r="20190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</row>
    <row r="20191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</row>
    <row r="20192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</row>
    <row r="2019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</row>
    <row r="20194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</row>
    <row r="20195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</row>
    <row r="20196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</row>
    <row r="20197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</row>
    <row r="20198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</row>
    <row r="20199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</row>
    <row r="20200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</row>
    <row r="20201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</row>
    <row r="20202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</row>
    <row r="2020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</row>
    <row r="20204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</row>
    <row r="20205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</row>
    <row r="20206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</row>
    <row r="20207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</row>
    <row r="20208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</row>
    <row r="20209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</row>
    <row r="20210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</row>
    <row r="20211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</row>
    <row r="20212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</row>
    <row r="2021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</row>
    <row r="20214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</row>
    <row r="20215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</row>
    <row r="20216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</row>
    <row r="20217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</row>
    <row r="20218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</row>
    <row r="20219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</row>
    <row r="20220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</row>
    <row r="20221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</row>
    <row r="20222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</row>
    <row r="202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</row>
    <row r="20224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</row>
    <row r="20225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</row>
    <row r="20226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</row>
    <row r="20227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</row>
    <row r="20228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</row>
    <row r="20229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</row>
    <row r="20230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</row>
    <row r="20231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</row>
    <row r="20232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</row>
    <row r="2023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</row>
    <row r="20234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</row>
    <row r="20235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</row>
    <row r="20236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</row>
    <row r="20237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</row>
    <row r="20238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</row>
    <row r="20239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</row>
    <row r="20240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</row>
    <row r="20241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</row>
    <row r="20242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</row>
    <row r="2024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</row>
    <row r="20244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</row>
    <row r="20245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</row>
    <row r="20246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</row>
    <row r="20247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</row>
    <row r="20248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</row>
    <row r="20249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</row>
    <row r="20250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</row>
    <row r="20251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</row>
    <row r="20252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</row>
    <row r="2025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</row>
    <row r="20254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</row>
    <row r="20255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</row>
    <row r="20256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</row>
    <row r="20257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</row>
    <row r="20258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</row>
    <row r="20259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</row>
    <row r="20260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</row>
    <row r="20261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</row>
    <row r="20262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</row>
    <row r="2026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</row>
    <row r="20264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</row>
    <row r="20265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</row>
    <row r="20266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</row>
    <row r="20267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</row>
    <row r="20268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</row>
    <row r="20269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</row>
    <row r="20270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</row>
    <row r="20271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</row>
    <row r="20272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</row>
    <row r="2027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</row>
    <row r="20274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</row>
    <row r="20275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</row>
    <row r="20276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</row>
    <row r="20277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</row>
    <row r="20278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</row>
    <row r="20279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</row>
    <row r="20280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</row>
    <row r="20281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</row>
    <row r="20282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</row>
    <row r="2028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</row>
    <row r="20284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</row>
    <row r="20285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</row>
    <row r="20286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</row>
    <row r="20287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</row>
    <row r="20288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</row>
    <row r="20289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</row>
    <row r="20290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</row>
    <row r="20291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</row>
    <row r="20292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</row>
    <row r="2029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</row>
    <row r="20294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</row>
    <row r="20295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</row>
    <row r="20296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</row>
    <row r="20297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</row>
    <row r="20298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</row>
    <row r="20299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</row>
    <row r="20300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</row>
    <row r="20301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</row>
    <row r="20302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</row>
    <row r="2030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</row>
    <row r="20304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</row>
    <row r="20305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</row>
    <row r="20306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</row>
    <row r="20307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</row>
    <row r="20308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</row>
    <row r="20309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</row>
    <row r="20310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</row>
    <row r="20311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</row>
    <row r="20312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</row>
    <row r="2031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</row>
    <row r="20314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</row>
    <row r="20315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</row>
    <row r="20316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</row>
    <row r="20317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</row>
    <row r="20318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</row>
    <row r="20319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</row>
    <row r="20320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</row>
    <row r="20321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</row>
    <row r="20322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</row>
    <row r="203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</row>
    <row r="20324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</row>
    <row r="20325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</row>
    <row r="20326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</row>
    <row r="20327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</row>
    <row r="20328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</row>
    <row r="20329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</row>
    <row r="20330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</row>
    <row r="20331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</row>
    <row r="20332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</row>
    <row r="2033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</row>
    <row r="20334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</row>
    <row r="20335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</row>
    <row r="20336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</row>
    <row r="20337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</row>
    <row r="20338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</row>
    <row r="20339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</row>
    <row r="20340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</row>
    <row r="20341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</row>
    <row r="20342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</row>
    <row r="2034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</row>
    <row r="20344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</row>
    <row r="20345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</row>
    <row r="20346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</row>
    <row r="20347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</row>
    <row r="20348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</row>
    <row r="20349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</row>
    <row r="20350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</row>
    <row r="20351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</row>
    <row r="20352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</row>
    <row r="2035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</row>
    <row r="20354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</row>
    <row r="20355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</row>
    <row r="20356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</row>
    <row r="20357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</row>
    <row r="20358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</row>
    <row r="20359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</row>
    <row r="20360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</row>
    <row r="20361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</row>
    <row r="20362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</row>
    <row r="2036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</row>
    <row r="20364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</row>
    <row r="20365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</row>
    <row r="20366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</row>
    <row r="20367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</row>
    <row r="20368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</row>
    <row r="20369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</row>
    <row r="20370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</row>
    <row r="20371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</row>
    <row r="20372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</row>
    <row r="2037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</row>
    <row r="20374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</row>
    <row r="20375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</row>
    <row r="20376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</row>
    <row r="20377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</row>
    <row r="20378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</row>
    <row r="20379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</row>
    <row r="20380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</row>
    <row r="20381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</row>
    <row r="20382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</row>
    <row r="2038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</row>
    <row r="20384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</row>
    <row r="20385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</row>
    <row r="20386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</row>
    <row r="20387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</row>
    <row r="20388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</row>
    <row r="20389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</row>
    <row r="20390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</row>
    <row r="20391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</row>
    <row r="20392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</row>
    <row r="2039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</row>
    <row r="20394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</row>
    <row r="20395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</row>
    <row r="20396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</row>
    <row r="20397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</row>
    <row r="20398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</row>
    <row r="20399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</row>
    <row r="20400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</row>
    <row r="20401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</row>
    <row r="20402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</row>
    <row r="2040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</row>
    <row r="20404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</row>
    <row r="20405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</row>
    <row r="20406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</row>
    <row r="20407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</row>
    <row r="20408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</row>
    <row r="20409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</row>
    <row r="20410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</row>
    <row r="20411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</row>
    <row r="20412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</row>
    <row r="2041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</row>
    <row r="20414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</row>
    <row r="20415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</row>
    <row r="20416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</row>
    <row r="20417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</row>
    <row r="20418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</row>
    <row r="20419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</row>
    <row r="20420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</row>
    <row r="20421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</row>
    <row r="20422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</row>
    <row r="204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</row>
    <row r="20424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</row>
    <row r="20425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</row>
    <row r="20426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</row>
    <row r="20427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</row>
    <row r="20428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</row>
    <row r="20429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</row>
    <row r="20430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</row>
    <row r="20431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</row>
    <row r="20432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</row>
    <row r="2043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</row>
    <row r="20434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</row>
    <row r="20435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</row>
    <row r="20436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</row>
    <row r="20437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</row>
    <row r="20438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</row>
    <row r="20439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</row>
    <row r="20440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</row>
    <row r="20441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</row>
    <row r="20442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</row>
    <row r="2044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</row>
    <row r="20444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</row>
    <row r="20445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</row>
    <row r="20446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</row>
    <row r="20447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</row>
    <row r="20448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</row>
    <row r="20449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</row>
    <row r="20450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</row>
    <row r="20451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</row>
    <row r="20452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</row>
    <row r="2045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</row>
    <row r="20454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</row>
    <row r="20455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</row>
    <row r="20456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</row>
    <row r="20457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</row>
    <row r="20458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</row>
    <row r="20459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</row>
    <row r="20460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</row>
    <row r="20461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</row>
    <row r="20462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</row>
    <row r="2046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</row>
    <row r="20464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</row>
    <row r="20465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</row>
    <row r="20466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</row>
    <row r="20467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</row>
    <row r="20468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</row>
    <row r="20469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</row>
    <row r="20470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</row>
    <row r="20471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</row>
    <row r="20472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</row>
    <row r="2047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</row>
    <row r="20474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</row>
    <row r="20475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</row>
    <row r="20476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</row>
    <row r="20477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</row>
    <row r="20478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</row>
    <row r="20479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</row>
    <row r="20480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</row>
    <row r="20481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</row>
    <row r="20482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</row>
    <row r="2048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</row>
    <row r="20484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</row>
    <row r="20485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</row>
    <row r="20486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</row>
    <row r="20487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</row>
    <row r="20488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</row>
    <row r="20489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</row>
    <row r="20490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</row>
    <row r="20491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</row>
    <row r="20492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</row>
    <row r="2049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</row>
    <row r="20494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</row>
    <row r="20495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</row>
    <row r="20496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</row>
    <row r="20497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</row>
    <row r="20498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</row>
    <row r="20499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</row>
    <row r="20500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</row>
    <row r="20501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</row>
    <row r="20502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</row>
    <row r="2050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</row>
    <row r="20504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</row>
    <row r="20505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</row>
    <row r="20506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</row>
    <row r="20507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</row>
    <row r="20508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</row>
    <row r="20509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</row>
    <row r="20510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</row>
    <row r="20511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</row>
    <row r="20512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</row>
    <row r="2051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</row>
    <row r="20514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</row>
    <row r="20515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</row>
    <row r="20516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</row>
    <row r="20517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</row>
    <row r="20518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</row>
    <row r="20519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</row>
    <row r="20520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</row>
    <row r="20521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</row>
    <row r="20522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</row>
    <row r="205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</row>
    <row r="20524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</row>
    <row r="20525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</row>
    <row r="20526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</row>
    <row r="20527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</row>
    <row r="20528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</row>
    <row r="20529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</row>
    <row r="20530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</row>
    <row r="20531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</row>
    <row r="20532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</row>
    <row r="2053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</row>
    <row r="20534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</row>
    <row r="20535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</row>
    <row r="20536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</row>
    <row r="20537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</row>
    <row r="20538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</row>
    <row r="20539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</row>
    <row r="20540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</row>
    <row r="20541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</row>
    <row r="20542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</row>
    <row r="2054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</row>
    <row r="20544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</row>
    <row r="20545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</row>
    <row r="20546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</row>
    <row r="20547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</row>
    <row r="20548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</row>
    <row r="20549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</row>
    <row r="20550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</row>
    <row r="20551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</row>
    <row r="20552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</row>
    <row r="2055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</row>
    <row r="20554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</row>
    <row r="20555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</row>
    <row r="20556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</row>
    <row r="20557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</row>
    <row r="20558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</row>
    <row r="20559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</row>
    <row r="20560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</row>
    <row r="20561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</row>
    <row r="20562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</row>
    <row r="2056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</row>
    <row r="20564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</row>
    <row r="20565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</row>
    <row r="20566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</row>
    <row r="20567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</row>
    <row r="20568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</row>
    <row r="20569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</row>
    <row r="20570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</row>
    <row r="20571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</row>
    <row r="20572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</row>
    <row r="2057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</row>
    <row r="20574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</row>
    <row r="20575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</row>
    <row r="20576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</row>
    <row r="20577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</row>
    <row r="20578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</row>
    <row r="20579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</row>
    <row r="20580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</row>
    <row r="20581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</row>
    <row r="20582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</row>
    <row r="2058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</row>
    <row r="20584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</row>
    <row r="20585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</row>
    <row r="20586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</row>
    <row r="20587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</row>
    <row r="20588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</row>
    <row r="20589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</row>
    <row r="20590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</row>
    <row r="20591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</row>
    <row r="20592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</row>
    <row r="2059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</row>
    <row r="20594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</row>
    <row r="20595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</row>
    <row r="20596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</row>
    <row r="20597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</row>
    <row r="20598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</row>
    <row r="20599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</row>
    <row r="20600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</row>
    <row r="20601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</row>
    <row r="20602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</row>
    <row r="2060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</row>
    <row r="20604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</row>
    <row r="20605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</row>
    <row r="20606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</row>
    <row r="20607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</row>
    <row r="20608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</row>
    <row r="20609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</row>
    <row r="20610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</row>
    <row r="20611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</row>
    <row r="20612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</row>
    <row r="2061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</row>
    <row r="20614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</row>
    <row r="20615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</row>
    <row r="20616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</row>
    <row r="20617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</row>
    <row r="20618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</row>
    <row r="20619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</row>
    <row r="20620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</row>
    <row r="20621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</row>
    <row r="20622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</row>
    <row r="206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</row>
    <row r="20624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</row>
    <row r="20625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</row>
    <row r="20626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</row>
    <row r="20627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</row>
    <row r="20628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</row>
    <row r="20629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</row>
    <row r="20630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</row>
    <row r="20631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</row>
    <row r="20632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</row>
    <row r="2063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</row>
    <row r="20634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</row>
    <row r="20635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</row>
    <row r="20636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</row>
    <row r="20637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</row>
    <row r="20638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</row>
    <row r="20639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</row>
    <row r="20640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</row>
    <row r="20641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</row>
    <row r="20642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</row>
    <row r="2064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</row>
    <row r="20644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</row>
    <row r="20645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</row>
    <row r="20646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</row>
    <row r="20647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</row>
    <row r="20648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</row>
    <row r="20649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</row>
    <row r="20650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</row>
    <row r="20651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</row>
    <row r="20652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</row>
    <row r="2065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</row>
    <row r="20654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</row>
    <row r="20655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</row>
    <row r="20656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</row>
    <row r="20657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</row>
    <row r="20658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</row>
    <row r="20659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</row>
    <row r="20660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</row>
    <row r="20661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</row>
    <row r="20662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</row>
    <row r="2066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</row>
    <row r="20664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</row>
    <row r="20665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</row>
    <row r="20666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</row>
    <row r="20667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</row>
    <row r="20668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</row>
    <row r="20669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</row>
    <row r="20670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</row>
    <row r="20671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</row>
    <row r="20672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</row>
    <row r="2067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</row>
    <row r="20674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</row>
    <row r="20675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</row>
    <row r="20676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</row>
    <row r="20677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</row>
    <row r="20678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</row>
    <row r="20679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</row>
    <row r="20680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</row>
    <row r="20681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</row>
    <row r="20682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</row>
    <row r="2068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</row>
    <row r="20684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</row>
    <row r="20685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</row>
    <row r="20686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</row>
    <row r="20687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</row>
    <row r="20688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</row>
    <row r="20689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</row>
    <row r="20690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</row>
    <row r="20691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</row>
    <row r="20692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</row>
    <row r="2069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</row>
    <row r="20694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</row>
    <row r="20695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</row>
    <row r="20696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</row>
    <row r="20697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</row>
    <row r="20698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</row>
    <row r="20699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</row>
    <row r="20700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</row>
    <row r="20701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</row>
    <row r="20702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</row>
    <row r="2070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</row>
    <row r="20704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</row>
    <row r="20705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</row>
    <row r="20706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</row>
    <row r="20707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</row>
    <row r="20708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</row>
    <row r="20709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</row>
    <row r="20710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</row>
    <row r="20711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</row>
    <row r="20712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</row>
    <row r="2071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</row>
    <row r="20714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</row>
    <row r="20715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</row>
    <row r="20716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</row>
    <row r="20717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</row>
    <row r="20718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</row>
    <row r="20719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</row>
    <row r="20720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</row>
    <row r="20721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</row>
    <row r="20722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</row>
    <row r="207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</row>
    <row r="20724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</row>
    <row r="20725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</row>
    <row r="20726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</row>
    <row r="20727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</row>
    <row r="20728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</row>
    <row r="20729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</row>
    <row r="20730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</row>
    <row r="20731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</row>
    <row r="20732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</row>
    <row r="2073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</row>
    <row r="20734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</row>
    <row r="20735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</row>
    <row r="20736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</row>
    <row r="20737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</row>
    <row r="20738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</row>
    <row r="20739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</row>
    <row r="20740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</row>
    <row r="20741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</row>
    <row r="20742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</row>
    <row r="2074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</row>
    <row r="20744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</row>
    <row r="20745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</row>
    <row r="20746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</row>
    <row r="20747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</row>
    <row r="20748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</row>
    <row r="20749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</row>
    <row r="20750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</row>
    <row r="20751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</row>
    <row r="20752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</row>
    <row r="2075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</row>
    <row r="20754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</row>
    <row r="20755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</row>
    <row r="20756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</row>
    <row r="20757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</row>
    <row r="20758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</row>
    <row r="20759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</row>
    <row r="20760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</row>
    <row r="20761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</row>
    <row r="20762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</row>
    <row r="2076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</row>
    <row r="20764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</row>
    <row r="20765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</row>
    <row r="20766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</row>
    <row r="20767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</row>
    <row r="20768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</row>
    <row r="20769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</row>
    <row r="20770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</row>
    <row r="20771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</row>
    <row r="20772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</row>
    <row r="2077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</row>
    <row r="20774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</row>
    <row r="20775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</row>
    <row r="20776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</row>
    <row r="20777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</row>
    <row r="20778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</row>
    <row r="20779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</row>
    <row r="20780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</row>
    <row r="20781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</row>
    <row r="20782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</row>
    <row r="2078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</row>
    <row r="20784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</row>
    <row r="20785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</row>
    <row r="20786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</row>
    <row r="20787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</row>
    <row r="20788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</row>
    <row r="20789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</row>
    <row r="20790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</row>
    <row r="20791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</row>
    <row r="20792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</row>
    <row r="2079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</row>
    <row r="20794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</row>
    <row r="20795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</row>
    <row r="20796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</row>
    <row r="20797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</row>
    <row r="20798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</row>
    <row r="20799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</row>
    <row r="20800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</row>
    <row r="20801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</row>
    <row r="20802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</row>
    <row r="2080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</row>
    <row r="20804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</row>
    <row r="20805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</row>
    <row r="20806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</row>
    <row r="20807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</row>
    <row r="20808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</row>
    <row r="20809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</row>
    <row r="20810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</row>
    <row r="20811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</row>
    <row r="20812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</row>
    <row r="2081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</row>
    <row r="20814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</row>
    <row r="20815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</row>
    <row r="20816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</row>
    <row r="20817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</row>
    <row r="20818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</row>
    <row r="20819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</row>
    <row r="20820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</row>
    <row r="20821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</row>
    <row r="20822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</row>
    <row r="208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</row>
    <row r="20824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</row>
    <row r="20825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</row>
    <row r="20826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</row>
    <row r="20827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</row>
    <row r="20828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</row>
    <row r="20829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</row>
    <row r="20830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</row>
    <row r="20831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</row>
    <row r="20832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</row>
    <row r="2083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</row>
    <row r="20834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</row>
    <row r="20835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</row>
    <row r="20836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</row>
    <row r="20837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</row>
    <row r="20838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</row>
    <row r="20839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</row>
    <row r="20840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</row>
    <row r="20841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</row>
    <row r="20842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</row>
    <row r="2084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</row>
    <row r="20844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</row>
    <row r="20845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</row>
    <row r="20846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</row>
    <row r="20847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</row>
    <row r="20848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</row>
    <row r="20849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</row>
    <row r="20850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</row>
    <row r="20851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</row>
    <row r="20852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</row>
    <row r="2085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</row>
    <row r="20854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</row>
    <row r="20855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</row>
    <row r="20856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</row>
    <row r="20857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</row>
    <row r="20858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</row>
    <row r="20859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</row>
    <row r="20860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</row>
    <row r="20861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</row>
    <row r="20862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</row>
    <row r="2086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</row>
    <row r="20864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</row>
    <row r="20865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</row>
    <row r="20866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</row>
    <row r="20867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</row>
    <row r="20868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</row>
    <row r="20869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</row>
    <row r="20870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</row>
    <row r="20871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</row>
    <row r="20872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</row>
    <row r="2087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</row>
    <row r="20874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</row>
    <row r="20875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</row>
    <row r="20876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</row>
    <row r="20877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</row>
    <row r="20878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</row>
    <row r="20879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</row>
    <row r="20880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</row>
    <row r="20881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</row>
    <row r="20882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</row>
    <row r="2088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</row>
    <row r="20884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</row>
    <row r="20885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</row>
    <row r="20886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</row>
    <row r="20887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</row>
    <row r="20888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</row>
    <row r="20889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</row>
    <row r="20890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</row>
    <row r="20891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</row>
    <row r="20892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</row>
    <row r="2089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</row>
    <row r="20894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</row>
    <row r="20895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</row>
    <row r="20896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</row>
    <row r="20897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</row>
    <row r="20898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</row>
    <row r="20899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</row>
    <row r="20900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</row>
    <row r="20901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</row>
    <row r="20902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</row>
    <row r="2090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</row>
    <row r="20904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</row>
    <row r="20905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</row>
    <row r="20906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</row>
    <row r="20907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</row>
    <row r="20908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</row>
    <row r="20909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</row>
    <row r="20910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</row>
    <row r="20911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</row>
    <row r="20912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</row>
    <row r="2091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</row>
    <row r="20914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</row>
    <row r="20915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</row>
    <row r="20916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</row>
    <row r="20917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</row>
    <row r="20918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</row>
    <row r="20919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</row>
    <row r="20920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</row>
    <row r="20921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</row>
    <row r="20922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</row>
    <row r="209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</row>
    <row r="20924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</row>
    <row r="20925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</row>
    <row r="20926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</row>
    <row r="20927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</row>
    <row r="20928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</row>
    <row r="20929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</row>
    <row r="20930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</row>
    <row r="20931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</row>
    <row r="20932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</row>
    <row r="2093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</row>
    <row r="20934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</row>
    <row r="20935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</row>
    <row r="20936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</row>
    <row r="20937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</row>
    <row r="20938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</row>
    <row r="20939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</row>
    <row r="20940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</row>
    <row r="20941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</row>
    <row r="20942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</row>
    <row r="2094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</row>
    <row r="20944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</row>
    <row r="20945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</row>
    <row r="20946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</row>
    <row r="20947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</row>
    <row r="20948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</row>
    <row r="20949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</row>
    <row r="20950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</row>
    <row r="20951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</row>
    <row r="20952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</row>
    <row r="2095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</row>
    <row r="20954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</row>
    <row r="20955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</row>
    <row r="20956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</row>
    <row r="20957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</row>
    <row r="20958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</row>
    <row r="20959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</row>
    <row r="20960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</row>
    <row r="20961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</row>
    <row r="20962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</row>
    <row r="2096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</row>
    <row r="20964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</row>
    <row r="20965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</row>
    <row r="20966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</row>
    <row r="20967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</row>
    <row r="20968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</row>
    <row r="20969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</row>
    <row r="20970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</row>
    <row r="20971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</row>
    <row r="20972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</row>
    <row r="2097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</row>
    <row r="20974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</row>
    <row r="20975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</row>
    <row r="20976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</row>
    <row r="20977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</row>
    <row r="20978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</row>
    <row r="20979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</row>
    <row r="20980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</row>
    <row r="20981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</row>
    <row r="20982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</row>
    <row r="2098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</row>
    <row r="20984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</row>
    <row r="20985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</row>
    <row r="20986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</row>
    <row r="20987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</row>
    <row r="20988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</row>
    <row r="20989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</row>
    <row r="20990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</row>
    <row r="20991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</row>
    <row r="20992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</row>
    <row r="2099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</row>
    <row r="20994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</row>
    <row r="20995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</row>
    <row r="20996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</row>
    <row r="20997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</row>
    <row r="20998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</row>
    <row r="20999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</row>
    <row r="21000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</row>
    <row r="21001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</row>
    <row r="21002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</row>
    <row r="2100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</row>
    <row r="21004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</row>
    <row r="21005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</row>
    <row r="21006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</row>
    <row r="21007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</row>
    <row r="21008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</row>
    <row r="21009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</row>
    <row r="21010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</row>
    <row r="21011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</row>
    <row r="21012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</row>
    <row r="2101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</row>
    <row r="21014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</row>
    <row r="21015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</row>
    <row r="21016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</row>
    <row r="21017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</row>
    <row r="21018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</row>
    <row r="21019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</row>
    <row r="21020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</row>
    <row r="21021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</row>
    <row r="21022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</row>
    <row r="210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</row>
    <row r="21024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</row>
    <row r="21025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</row>
    <row r="21026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</row>
    <row r="21027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</row>
    <row r="21028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</row>
    <row r="21029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</row>
    <row r="21030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</row>
    <row r="21031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</row>
    <row r="21032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</row>
    <row r="2103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</row>
    <row r="21034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</row>
    <row r="21035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</row>
    <row r="21036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</row>
    <row r="21037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</row>
    <row r="21038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</row>
    <row r="21039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</row>
    <row r="21040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</row>
    <row r="21041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</row>
    <row r="21042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</row>
    <row r="2104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</row>
    <row r="21044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</row>
    <row r="21045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</row>
    <row r="21046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</row>
    <row r="21047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</row>
    <row r="21048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</row>
    <row r="21049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</row>
    <row r="21050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</row>
    <row r="21051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</row>
    <row r="21052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</row>
    <row r="2105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</row>
    <row r="21054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</row>
    <row r="21055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</row>
    <row r="21056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</row>
    <row r="21057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</row>
    <row r="21058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</row>
    <row r="21059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</row>
    <row r="21060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</row>
    <row r="21061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</row>
    <row r="21062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</row>
    <row r="2106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</row>
    <row r="21064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</row>
    <row r="21065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</row>
    <row r="21066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</row>
    <row r="21067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</row>
    <row r="21068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</row>
    <row r="21069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</row>
    <row r="21070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</row>
    <row r="21071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</row>
    <row r="21072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</row>
    <row r="2107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</row>
    <row r="21074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</row>
    <row r="21075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</row>
    <row r="21076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</row>
    <row r="21077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</row>
    <row r="21078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</row>
    <row r="21079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</row>
    <row r="21080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</row>
    <row r="21081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</row>
    <row r="21082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</row>
    <row r="2108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</row>
    <row r="21084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</row>
    <row r="21085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</row>
    <row r="21086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</row>
    <row r="21087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</row>
    <row r="21088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</row>
    <row r="21089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</row>
    <row r="21090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</row>
    <row r="21091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</row>
    <row r="21092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</row>
    <row r="2109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</row>
    <row r="21094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</row>
    <row r="21095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</row>
    <row r="21096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</row>
    <row r="21097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</row>
    <row r="21098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</row>
    <row r="21099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</row>
    <row r="21100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</row>
    <row r="21101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</row>
    <row r="21102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</row>
    <row r="2110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</row>
    <row r="21104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</row>
    <row r="21105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</row>
    <row r="21106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</row>
    <row r="21107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</row>
    <row r="21108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</row>
    <row r="21109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</row>
    <row r="21110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</row>
    <row r="21111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</row>
    <row r="21112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</row>
    <row r="2111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</row>
    <row r="21114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</row>
    <row r="21115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</row>
    <row r="21116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</row>
    <row r="21117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</row>
    <row r="21118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</row>
    <row r="21119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</row>
    <row r="21120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</row>
    <row r="21121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</row>
    <row r="21122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</row>
    <row r="211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</row>
    <row r="21124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</row>
    <row r="21125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</row>
    <row r="21126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</row>
    <row r="21127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</row>
    <row r="21128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</row>
    <row r="21129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</row>
    <row r="21130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</row>
    <row r="21131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</row>
    <row r="21132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</row>
    <row r="2113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</row>
    <row r="21134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</row>
    <row r="21135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</row>
    <row r="21136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</row>
    <row r="21137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</row>
    <row r="21138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</row>
    <row r="21139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</row>
    <row r="21140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</row>
    <row r="21141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</row>
    <row r="21142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</row>
    <row r="2114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</row>
    <row r="21144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</row>
    <row r="21145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</row>
    <row r="21146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</row>
    <row r="21147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</row>
    <row r="21148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</row>
    <row r="21149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</row>
    <row r="21150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</row>
    <row r="21151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</row>
    <row r="21152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</row>
    <row r="2115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</row>
    <row r="21154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</row>
    <row r="21155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</row>
    <row r="21156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</row>
    <row r="21157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</row>
    <row r="21158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</row>
    <row r="21159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</row>
    <row r="21160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</row>
    <row r="21161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</row>
    <row r="21162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</row>
    <row r="2116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</row>
    <row r="21164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</row>
    <row r="21165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</row>
    <row r="21166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</row>
    <row r="21167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</row>
    <row r="21168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</row>
    <row r="21169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</row>
    <row r="21170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</row>
    <row r="21171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</row>
    <row r="21172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</row>
    <row r="2117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</row>
    <row r="21174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</row>
    <row r="21175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</row>
    <row r="21176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</row>
    <row r="21177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</row>
    <row r="21178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</row>
    <row r="21179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</row>
    <row r="21180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</row>
    <row r="21181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</row>
    <row r="21182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</row>
    <row r="2118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</row>
    <row r="21184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</row>
    <row r="21185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</row>
    <row r="21186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</row>
    <row r="21187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</row>
    <row r="21188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</row>
    <row r="21189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</row>
    <row r="21190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</row>
    <row r="21191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</row>
    <row r="21192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</row>
    <row r="2119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</row>
    <row r="21194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</row>
    <row r="21195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</row>
    <row r="21196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</row>
    <row r="21197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</row>
    <row r="21198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</row>
    <row r="21199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</row>
    <row r="21200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</row>
    <row r="21201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</row>
    <row r="21202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</row>
    <row r="2120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</row>
    <row r="21204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</row>
    <row r="21205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</row>
    <row r="21206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</row>
    <row r="21207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</row>
    <row r="21208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</row>
    <row r="21209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</row>
    <row r="21210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</row>
    <row r="21211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</row>
    <row r="21212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</row>
    <row r="2121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</row>
    <row r="21214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</row>
    <row r="21215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</row>
    <row r="21216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</row>
    <row r="21217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</row>
    <row r="21218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</row>
    <row r="21219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</row>
    <row r="21220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</row>
    <row r="21221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</row>
    <row r="21222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</row>
    <row r="212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</row>
    <row r="21224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</row>
    <row r="21225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</row>
    <row r="21226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</row>
    <row r="21227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</row>
    <row r="21228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</row>
    <row r="21229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</row>
    <row r="21230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</row>
    <row r="21231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</row>
    <row r="21232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</row>
    <row r="2123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</row>
    <row r="21234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</row>
    <row r="21235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</row>
    <row r="21236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</row>
    <row r="21237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</row>
    <row r="21238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</row>
    <row r="21239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</row>
    <row r="21240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</row>
    <row r="21241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</row>
    <row r="21242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</row>
    <row r="2124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</row>
    <row r="21244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</row>
    <row r="21245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</row>
    <row r="21246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</row>
    <row r="21247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</row>
    <row r="21248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</row>
    <row r="21249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</row>
    <row r="21250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</row>
    <row r="21251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</row>
    <row r="21252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</row>
    <row r="2125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</row>
    <row r="21254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</row>
    <row r="21255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</row>
    <row r="21256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</row>
    <row r="21257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</row>
    <row r="21258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</row>
    <row r="21259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</row>
    <row r="21260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</row>
    <row r="21261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</row>
    <row r="21262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</row>
    <row r="2126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</row>
    <row r="21264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</row>
    <row r="21265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</row>
    <row r="21266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</row>
    <row r="21267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</row>
    <row r="21268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</row>
    <row r="21269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</row>
    <row r="21270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</row>
    <row r="21271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</row>
    <row r="21272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</row>
    <row r="2127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</row>
    <row r="21274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</row>
    <row r="21275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</row>
    <row r="21276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</row>
    <row r="21277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</row>
    <row r="21278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</row>
    <row r="21279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</row>
    <row r="21280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</row>
    <row r="21281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</row>
    <row r="21282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</row>
    <row r="2128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</row>
    <row r="21284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</row>
    <row r="21285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</row>
    <row r="21286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</row>
    <row r="21287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</row>
    <row r="21288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</row>
    <row r="21289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</row>
    <row r="21290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</row>
    <row r="21291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</row>
    <row r="21292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</row>
    <row r="2129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</row>
    <row r="21294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</row>
    <row r="21295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</row>
    <row r="21296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</row>
    <row r="21297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</row>
    <row r="21298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</row>
    <row r="21299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</row>
    <row r="21300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</row>
    <row r="21301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</row>
    <row r="21302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</row>
    <row r="2130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</row>
    <row r="21304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</row>
    <row r="21305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</row>
    <row r="21306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</row>
    <row r="21307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</row>
    <row r="21308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</row>
    <row r="21309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</row>
    <row r="21310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</row>
    <row r="21311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</row>
    <row r="21312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</row>
    <row r="2131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</row>
    <row r="21314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</row>
    <row r="21315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</row>
    <row r="21316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</row>
    <row r="21317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</row>
    <row r="21318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</row>
    <row r="21319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</row>
    <row r="21320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</row>
    <row r="21321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</row>
    <row r="21322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</row>
    <row r="213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</row>
    <row r="21324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</row>
    <row r="21325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</row>
    <row r="21326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</row>
    <row r="21327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</row>
    <row r="21328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</row>
    <row r="21329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</row>
    <row r="21330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</row>
    <row r="21331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</row>
    <row r="21332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</row>
    <row r="2133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</row>
    <row r="21334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</row>
    <row r="21335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</row>
    <row r="21336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</row>
    <row r="21337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</row>
    <row r="21338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</row>
    <row r="21339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</row>
    <row r="21340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</row>
    <row r="21341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</row>
    <row r="21342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</row>
    <row r="2134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</row>
    <row r="21344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</row>
    <row r="21345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</row>
    <row r="21346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</row>
    <row r="21347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</row>
    <row r="21348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</row>
    <row r="21349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</row>
    <row r="21350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</row>
    <row r="21351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</row>
    <row r="21352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</row>
    <row r="2135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</row>
    <row r="21354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</row>
    <row r="21355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</row>
    <row r="21356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</row>
    <row r="21357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</row>
    <row r="21358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</row>
    <row r="21359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</row>
    <row r="21360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</row>
    <row r="21361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</row>
    <row r="21362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</row>
    <row r="2136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</row>
    <row r="21364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</row>
    <row r="21365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</row>
    <row r="21366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</row>
    <row r="21367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</row>
    <row r="21368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</row>
    <row r="21369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</row>
    <row r="21370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</row>
    <row r="21371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</row>
    <row r="21372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</row>
    <row r="2137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</row>
    <row r="21374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</row>
    <row r="21375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</row>
    <row r="21376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</row>
    <row r="21377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</row>
    <row r="21378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</row>
    <row r="21379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</row>
    <row r="21380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</row>
    <row r="21381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</row>
    <row r="21382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</row>
    <row r="2138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</row>
    <row r="21384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</row>
    <row r="21385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</row>
    <row r="21386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</row>
    <row r="21387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</row>
    <row r="21388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</row>
    <row r="21389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</row>
    <row r="21390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</row>
    <row r="21391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</row>
    <row r="21392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</row>
    <row r="2139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</row>
    <row r="21394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</row>
    <row r="21395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</row>
    <row r="21396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</row>
    <row r="21397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</row>
    <row r="21398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</row>
    <row r="21399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</row>
    <row r="21400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</row>
    <row r="21401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</row>
    <row r="21402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</row>
    <row r="2140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</row>
    <row r="21404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</row>
    <row r="21405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</row>
    <row r="21406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</row>
    <row r="21407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</row>
    <row r="21408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</row>
    <row r="21409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</row>
    <row r="21410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</row>
    <row r="21411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</row>
    <row r="21412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</row>
    <row r="2141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</row>
    <row r="21414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</row>
    <row r="21415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</row>
    <row r="21416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</row>
    <row r="21417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</row>
    <row r="21418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</row>
    <row r="21419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</row>
    <row r="21420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</row>
    <row r="21421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</row>
    <row r="21422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</row>
    <row r="214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</row>
    <row r="21424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</row>
    <row r="21425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</row>
    <row r="21426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</row>
    <row r="21427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</row>
    <row r="21428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</row>
    <row r="21429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</row>
    <row r="21430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</row>
    <row r="21431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</row>
    <row r="21432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</row>
    <row r="21433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</row>
    <row r="21434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</row>
    <row r="21435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</row>
    <row r="21436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</row>
    <row r="21437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</row>
    <row r="21438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</row>
    <row r="21439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</row>
    <row r="21440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</row>
    <row r="21441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</row>
    <row r="21442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</row>
    <row r="2144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</row>
    <row r="21444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</row>
    <row r="21445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</row>
    <row r="21446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</row>
    <row r="21447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</row>
    <row r="21448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</row>
    <row r="21449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</row>
    <row r="21450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</row>
    <row r="21451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</row>
    <row r="21452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</row>
    <row r="2145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</row>
    <row r="21454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</row>
    <row r="21455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</row>
    <row r="21456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</row>
    <row r="21457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</row>
    <row r="21458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</row>
    <row r="21459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</row>
    <row r="21460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</row>
    <row r="21461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</row>
    <row r="21462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</row>
    <row r="2146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</row>
    <row r="21464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</row>
    <row r="21465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</row>
    <row r="21466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</row>
    <row r="21467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</row>
    <row r="21468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</row>
    <row r="21469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</row>
    <row r="21470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</row>
    <row r="21471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</row>
    <row r="21472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</row>
    <row r="2147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</row>
    <row r="21474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</row>
    <row r="21475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</row>
    <row r="21476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</row>
    <row r="21477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</row>
    <row r="21478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</row>
    <row r="21479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</row>
    <row r="21480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</row>
    <row r="21481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</row>
    <row r="21482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</row>
    <row r="21483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</row>
    <row r="21484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</row>
    <row r="21485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</row>
    <row r="21486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</row>
    <row r="21487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</row>
    <row r="21488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</row>
    <row r="21489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</row>
    <row r="21490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</row>
    <row r="21491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</row>
    <row r="21492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</row>
    <row r="21493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</row>
    <row r="21494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</row>
    <row r="21495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</row>
    <row r="21496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</row>
    <row r="21497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</row>
    <row r="21498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</row>
    <row r="21499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</row>
    <row r="21500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</row>
    <row r="21501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</row>
    <row r="21502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</row>
    <row r="2150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</row>
    <row r="21504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</row>
    <row r="21505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</row>
    <row r="21506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</row>
    <row r="21507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</row>
    <row r="21508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</row>
    <row r="21509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</row>
    <row r="21510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</row>
    <row r="21511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</row>
    <row r="21512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</row>
    <row r="2151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3" width="11.75"/>
    <col customWidth="1" min="4" max="4" width="33.88"/>
    <col customWidth="1" min="5" max="5" width="11.75"/>
    <col customWidth="1" min="6" max="7" width="17.1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ht="22.5" customHeight="1">
      <c r="A2" s="6" t="s">
        <v>7</v>
      </c>
      <c r="B2" s="6"/>
      <c r="C2" s="6"/>
      <c r="D2" s="6"/>
      <c r="E2" s="6"/>
      <c r="F2" s="5"/>
      <c r="G2" s="7"/>
    </row>
    <row r="3" ht="22.5" customHeight="1">
      <c r="A3" s="8" t="s">
        <v>8</v>
      </c>
      <c r="B3" s="8"/>
      <c r="C3" s="8"/>
      <c r="D3" s="8"/>
      <c r="E3" s="8" t="s">
        <v>9</v>
      </c>
      <c r="F3" s="9"/>
    </row>
    <row r="4" ht="22.5" customHeight="1">
      <c r="A4" s="10" t="s">
        <v>10</v>
      </c>
      <c r="B4" s="11" t="s">
        <v>11</v>
      </c>
      <c r="C4" s="11" t="s">
        <v>12</v>
      </c>
      <c r="D4" s="11" t="s">
        <v>13</v>
      </c>
      <c r="E4" s="11" t="s">
        <v>14</v>
      </c>
      <c r="F4" s="12" t="s">
        <v>15</v>
      </c>
      <c r="G4" s="13" t="s">
        <v>16</v>
      </c>
    </row>
    <row r="5" ht="22.5" customHeight="1">
      <c r="A5" s="10">
        <v>1.0</v>
      </c>
      <c r="B5" s="11" t="s">
        <v>17</v>
      </c>
      <c r="C5" s="11">
        <v>2.52610008E8</v>
      </c>
      <c r="D5" s="11" t="s">
        <v>18</v>
      </c>
      <c r="E5" s="11" t="s">
        <v>19</v>
      </c>
      <c r="F5" s="14">
        <f>IFERROR(__xludf.DUMMYFUNCTION("IFERROR(
  COUNTUNIQUEIFS('Form Presensi SCC'!$J:$J,
                 'Form Presensi SCC'!$B:$B,$B5,      
                 'Form Presensi SCC'!$H:$H,$D5,      
                 'Form Presensi SCC'!$K:$K,$E5)     
  /
  COUNTUNIQUEIFS('Form Presensi SCC'!"&amp;"$J:$J,
                 'Form Presensi SCC'!$H:$H,$D5,      
                 'Form Presensi SCC'!$K:$K,$E5),   
0)
"),0.0)</f>
        <v>0</v>
      </c>
      <c r="G5" s="15"/>
    </row>
    <row r="6" ht="22.5" customHeight="1">
      <c r="A6" s="10">
        <v>2.0</v>
      </c>
      <c r="B6" s="11" t="s">
        <v>20</v>
      </c>
      <c r="C6" s="11">
        <v>2.52610048E8</v>
      </c>
      <c r="D6" s="11" t="s">
        <v>21</v>
      </c>
      <c r="E6" s="11" t="s">
        <v>22</v>
      </c>
      <c r="F6" s="14"/>
      <c r="G6" s="15"/>
    </row>
    <row r="7" ht="22.5" customHeight="1">
      <c r="A7" s="10">
        <v>3.0</v>
      </c>
      <c r="B7" s="11" t="s">
        <v>23</v>
      </c>
      <c r="C7" s="11">
        <v>2.52610053E8</v>
      </c>
      <c r="D7" s="11" t="s">
        <v>24</v>
      </c>
      <c r="E7" s="11" t="s">
        <v>22</v>
      </c>
      <c r="F7" s="14"/>
      <c r="G7" s="15"/>
    </row>
    <row r="8" ht="22.5" customHeight="1">
      <c r="A8" s="10">
        <v>4.0</v>
      </c>
      <c r="B8" s="11" t="s">
        <v>25</v>
      </c>
      <c r="C8" s="11">
        <v>2.52610082E8</v>
      </c>
      <c r="D8" s="11" t="s">
        <v>26</v>
      </c>
      <c r="E8" s="11" t="s">
        <v>19</v>
      </c>
      <c r="F8" s="14"/>
      <c r="G8" s="15"/>
    </row>
    <row r="9" ht="22.5" customHeight="1">
      <c r="A9" s="10">
        <v>5.0</v>
      </c>
      <c r="B9" s="11" t="s">
        <v>27</v>
      </c>
      <c r="C9" s="11">
        <v>2.52610083E8</v>
      </c>
      <c r="D9" s="11" t="s">
        <v>28</v>
      </c>
      <c r="E9" s="11" t="s">
        <v>22</v>
      </c>
      <c r="F9" s="14"/>
      <c r="G9" s="15"/>
    </row>
    <row r="10" ht="22.5" customHeight="1">
      <c r="A10" s="10">
        <v>6.0</v>
      </c>
      <c r="B10" s="11" t="s">
        <v>29</v>
      </c>
      <c r="C10" s="11">
        <v>2.52610087E8</v>
      </c>
      <c r="D10" s="11" t="s">
        <v>30</v>
      </c>
      <c r="E10" s="11" t="s">
        <v>22</v>
      </c>
      <c r="F10" s="14"/>
      <c r="G10" s="15"/>
    </row>
    <row r="11" ht="22.5" customHeight="1">
      <c r="A11" s="10">
        <v>7.0</v>
      </c>
      <c r="B11" s="11" t="s">
        <v>31</v>
      </c>
      <c r="C11" s="11">
        <v>2.52610088E8</v>
      </c>
      <c r="D11" s="11" t="s">
        <v>32</v>
      </c>
      <c r="E11" s="11" t="s">
        <v>22</v>
      </c>
      <c r="F11" s="14"/>
      <c r="G11" s="15"/>
    </row>
    <row r="12" ht="22.5" customHeight="1">
      <c r="A12" s="10">
        <v>8.0</v>
      </c>
      <c r="B12" s="11" t="s">
        <v>33</v>
      </c>
      <c r="C12" s="11">
        <v>2.526101E8</v>
      </c>
      <c r="D12" s="11" t="s">
        <v>34</v>
      </c>
      <c r="E12" s="11" t="s">
        <v>22</v>
      </c>
      <c r="F12" s="14"/>
      <c r="G12" s="15"/>
    </row>
    <row r="13" ht="22.5" customHeight="1">
      <c r="A13" s="10">
        <v>9.0</v>
      </c>
      <c r="B13" s="11" t="s">
        <v>35</v>
      </c>
      <c r="C13" s="11">
        <v>2.52610101E8</v>
      </c>
      <c r="D13" s="11" t="s">
        <v>36</v>
      </c>
      <c r="E13" s="11" t="s">
        <v>22</v>
      </c>
      <c r="F13" s="14"/>
      <c r="G13" s="15"/>
    </row>
    <row r="14" ht="22.5" customHeight="1">
      <c r="A14" s="10">
        <v>10.0</v>
      </c>
      <c r="B14" s="11" t="s">
        <v>37</v>
      </c>
      <c r="C14" s="11">
        <v>2.52610109E8</v>
      </c>
      <c r="D14" s="11" t="s">
        <v>38</v>
      </c>
      <c r="E14" s="11" t="s">
        <v>22</v>
      </c>
      <c r="F14" s="14"/>
      <c r="G14" s="15"/>
    </row>
    <row r="15" ht="22.5" customHeight="1">
      <c r="A15" s="10">
        <v>11.0</v>
      </c>
      <c r="B15" s="11" t="s">
        <v>39</v>
      </c>
      <c r="C15" s="11">
        <v>2.52610122E8</v>
      </c>
      <c r="D15" s="11" t="s">
        <v>40</v>
      </c>
      <c r="E15" s="11" t="s">
        <v>22</v>
      </c>
      <c r="F15" s="14"/>
      <c r="G15" s="15"/>
    </row>
    <row r="16" ht="22.5" customHeight="1">
      <c r="A16" s="10">
        <v>12.0</v>
      </c>
      <c r="B16" s="11" t="s">
        <v>41</v>
      </c>
      <c r="C16" s="11">
        <v>2.52610126E8</v>
      </c>
      <c r="D16" s="11" t="s">
        <v>42</v>
      </c>
      <c r="E16" s="11" t="s">
        <v>19</v>
      </c>
      <c r="F16" s="14"/>
      <c r="G16" s="15"/>
    </row>
    <row r="17" ht="22.5" customHeight="1">
      <c r="A17" s="10">
        <v>13.0</v>
      </c>
      <c r="B17" s="11" t="s">
        <v>43</v>
      </c>
      <c r="C17" s="11">
        <v>2.5261013E8</v>
      </c>
      <c r="D17" s="11" t="s">
        <v>44</v>
      </c>
      <c r="E17" s="11" t="s">
        <v>22</v>
      </c>
      <c r="F17" s="14"/>
      <c r="G17" s="15"/>
    </row>
    <row r="18" ht="22.5" customHeight="1">
      <c r="A18" s="10">
        <v>14.0</v>
      </c>
      <c r="B18" s="11" t="s">
        <v>45</v>
      </c>
      <c r="C18" s="11">
        <v>2.52610171E8</v>
      </c>
      <c r="D18" s="11" t="s">
        <v>46</v>
      </c>
      <c r="E18" s="11" t="s">
        <v>19</v>
      </c>
      <c r="F18" s="14"/>
      <c r="G18" s="15"/>
    </row>
    <row r="19" ht="22.5" customHeight="1">
      <c r="A19" s="10">
        <v>15.0</v>
      </c>
      <c r="B19" s="11" t="s">
        <v>47</v>
      </c>
      <c r="C19" s="11">
        <v>2.52610175E8</v>
      </c>
      <c r="D19" s="11" t="s">
        <v>48</v>
      </c>
      <c r="E19" s="11" t="s">
        <v>22</v>
      </c>
      <c r="F19" s="14"/>
      <c r="G19" s="15"/>
    </row>
    <row r="20" ht="22.5" customHeight="1">
      <c r="A20" s="10">
        <v>16.0</v>
      </c>
      <c r="B20" s="11" t="s">
        <v>49</v>
      </c>
      <c r="C20" s="11">
        <v>2.52610193E8</v>
      </c>
      <c r="D20" s="11" t="s">
        <v>50</v>
      </c>
      <c r="E20" s="11" t="s">
        <v>19</v>
      </c>
      <c r="F20" s="14"/>
      <c r="G20" s="15"/>
    </row>
    <row r="21" ht="22.5" customHeight="1">
      <c r="A21" s="10">
        <v>17.0</v>
      </c>
      <c r="B21" s="11" t="s">
        <v>51</v>
      </c>
      <c r="C21" s="11">
        <v>2.52610202E8</v>
      </c>
      <c r="D21" s="11" t="s">
        <v>52</v>
      </c>
      <c r="E21" s="11" t="s">
        <v>19</v>
      </c>
      <c r="F21" s="14"/>
      <c r="G21" s="15"/>
    </row>
    <row r="22" ht="22.5" customHeight="1">
      <c r="A22" s="10">
        <v>18.0</v>
      </c>
      <c r="B22" s="11" t="s">
        <v>53</v>
      </c>
      <c r="C22" s="11">
        <v>2.52610206E8</v>
      </c>
      <c r="D22" s="11" t="s">
        <v>54</v>
      </c>
      <c r="E22" s="11" t="s">
        <v>22</v>
      </c>
      <c r="F22" s="14"/>
      <c r="G22" s="15"/>
    </row>
    <row r="23" ht="22.5" customHeight="1">
      <c r="A23" s="10">
        <v>19.0</v>
      </c>
      <c r="B23" s="11" t="s">
        <v>55</v>
      </c>
      <c r="C23" s="11">
        <v>2.52610224E8</v>
      </c>
      <c r="D23" s="11" t="s">
        <v>56</v>
      </c>
      <c r="E23" s="11" t="s">
        <v>22</v>
      </c>
      <c r="F23" s="14"/>
      <c r="G23" s="15"/>
    </row>
    <row r="24" ht="22.5" customHeight="1">
      <c r="A24" s="10">
        <v>20.0</v>
      </c>
      <c r="B24" s="11" t="s">
        <v>57</v>
      </c>
      <c r="C24" s="11">
        <v>2.52610239E8</v>
      </c>
      <c r="D24" s="11" t="s">
        <v>58</v>
      </c>
      <c r="E24" s="11" t="s">
        <v>22</v>
      </c>
      <c r="F24" s="14"/>
      <c r="G24" s="15"/>
    </row>
    <row r="25" ht="22.5" customHeight="1">
      <c r="A25" s="10">
        <v>21.0</v>
      </c>
      <c r="B25" s="11" t="s">
        <v>59</v>
      </c>
      <c r="C25" s="11">
        <v>2.52610244E8</v>
      </c>
      <c r="D25" s="11" t="s">
        <v>60</v>
      </c>
      <c r="E25" s="11" t="s">
        <v>22</v>
      </c>
      <c r="F25" s="14"/>
      <c r="G25" s="15"/>
    </row>
    <row r="26" ht="22.5" customHeight="1">
      <c r="A26" s="10">
        <v>22.0</v>
      </c>
      <c r="B26" s="11" t="s">
        <v>61</v>
      </c>
      <c r="C26" s="11">
        <v>2.52610246E8</v>
      </c>
      <c r="D26" s="11" t="s">
        <v>62</v>
      </c>
      <c r="E26" s="11" t="s">
        <v>22</v>
      </c>
      <c r="F26" s="14"/>
      <c r="G26" s="15"/>
    </row>
    <row r="27" ht="22.5" customHeight="1">
      <c r="A27" s="10">
        <v>23.0</v>
      </c>
      <c r="B27" s="11" t="s">
        <v>63</v>
      </c>
      <c r="C27" s="11">
        <v>2.5261025E8</v>
      </c>
      <c r="D27" s="11" t="s">
        <v>64</v>
      </c>
      <c r="E27" s="11" t="s">
        <v>19</v>
      </c>
      <c r="F27" s="14"/>
      <c r="G27" s="15"/>
    </row>
    <row r="28" ht="22.5" customHeight="1">
      <c r="A28" s="10">
        <v>24.0</v>
      </c>
      <c r="B28" s="11" t="s">
        <v>65</v>
      </c>
      <c r="C28" s="11">
        <v>2.52610257E8</v>
      </c>
      <c r="D28" s="11" t="s">
        <v>66</v>
      </c>
      <c r="E28" s="11" t="s">
        <v>19</v>
      </c>
      <c r="F28" s="14"/>
      <c r="G28" s="15"/>
    </row>
    <row r="29" ht="22.5" customHeight="1">
      <c r="A29" s="10">
        <v>25.0</v>
      </c>
      <c r="B29" s="11" t="s">
        <v>67</v>
      </c>
      <c r="C29" s="11">
        <v>2.52610304E8</v>
      </c>
      <c r="D29" s="11" t="s">
        <v>68</v>
      </c>
      <c r="E29" s="11" t="s">
        <v>22</v>
      </c>
      <c r="F29" s="14"/>
      <c r="G29" s="15"/>
    </row>
    <row r="30" ht="22.5" customHeight="1">
      <c r="A30" s="10">
        <v>26.0</v>
      </c>
      <c r="B30" s="11" t="s">
        <v>69</v>
      </c>
      <c r="C30" s="11">
        <v>2.52610311E8</v>
      </c>
      <c r="D30" s="11" t="s">
        <v>70</v>
      </c>
      <c r="E30" s="11" t="s">
        <v>22</v>
      </c>
      <c r="F30" s="14"/>
      <c r="G30" s="15"/>
    </row>
    <row r="31" ht="22.5" customHeight="1">
      <c r="A31" s="10">
        <v>27.0</v>
      </c>
      <c r="B31" s="11" t="s">
        <v>71</v>
      </c>
      <c r="C31" s="11">
        <v>2.52610313E8</v>
      </c>
      <c r="D31" s="11" t="s">
        <v>72</v>
      </c>
      <c r="E31" s="11" t="s">
        <v>19</v>
      </c>
      <c r="F31" s="14"/>
      <c r="G31" s="15"/>
    </row>
    <row r="32" ht="22.5" customHeight="1">
      <c r="A32" s="10">
        <v>28.0</v>
      </c>
      <c r="B32" s="11" t="s">
        <v>73</v>
      </c>
      <c r="C32" s="11">
        <v>2.52610316E8</v>
      </c>
      <c r="D32" s="11" t="s">
        <v>74</v>
      </c>
      <c r="E32" s="11" t="s">
        <v>19</v>
      </c>
      <c r="F32" s="14"/>
      <c r="G32" s="15"/>
    </row>
    <row r="33" ht="22.5" customHeight="1">
      <c r="A33" s="10">
        <v>29.0</v>
      </c>
      <c r="B33" s="11" t="s">
        <v>75</v>
      </c>
      <c r="C33" s="11">
        <v>2.5261033E8</v>
      </c>
      <c r="D33" s="11" t="s">
        <v>76</v>
      </c>
      <c r="E33" s="11" t="s">
        <v>19</v>
      </c>
      <c r="F33" s="14"/>
      <c r="G33" s="15"/>
    </row>
    <row r="34" ht="22.5" customHeight="1">
      <c r="A34" s="10">
        <v>30.0</v>
      </c>
      <c r="B34" s="11" t="s">
        <v>77</v>
      </c>
      <c r="C34" s="11">
        <v>2.52610334E8</v>
      </c>
      <c r="D34" s="11" t="s">
        <v>78</v>
      </c>
      <c r="E34" s="11" t="s">
        <v>19</v>
      </c>
      <c r="F34" s="14"/>
      <c r="G34" s="15"/>
    </row>
    <row r="35" ht="22.5" customHeight="1">
      <c r="A35" s="10">
        <v>31.0</v>
      </c>
      <c r="B35" s="11" t="s">
        <v>79</v>
      </c>
      <c r="C35" s="11">
        <v>2.52610343E8</v>
      </c>
      <c r="D35" s="11" t="s">
        <v>80</v>
      </c>
      <c r="E35" s="11" t="s">
        <v>19</v>
      </c>
      <c r="F35" s="14"/>
      <c r="G35" s="15"/>
    </row>
    <row r="36" ht="22.5" customHeight="1">
      <c r="A36" s="10">
        <v>32.0</v>
      </c>
      <c r="B36" s="11" t="s">
        <v>81</v>
      </c>
      <c r="C36" s="11">
        <v>2.52610351E8</v>
      </c>
      <c r="D36" s="11" t="s">
        <v>82</v>
      </c>
      <c r="E36" s="11" t="s">
        <v>19</v>
      </c>
      <c r="F36" s="14"/>
      <c r="G36" s="15"/>
    </row>
    <row r="37" ht="22.5" customHeight="1">
      <c r="A37" s="10">
        <v>33.0</v>
      </c>
      <c r="B37" s="11" t="s">
        <v>83</v>
      </c>
      <c r="C37" s="11">
        <v>2.52610369E8</v>
      </c>
      <c r="D37" s="11" t="s">
        <v>84</v>
      </c>
      <c r="E37" s="11" t="s">
        <v>19</v>
      </c>
      <c r="F37" s="14"/>
      <c r="G37" s="15"/>
    </row>
    <row r="38" ht="22.5" customHeight="1">
      <c r="A38" s="10">
        <v>34.0</v>
      </c>
      <c r="B38" s="11" t="s">
        <v>85</v>
      </c>
      <c r="C38" s="11">
        <v>2.52610371E8</v>
      </c>
      <c r="D38" s="11" t="s">
        <v>86</v>
      </c>
      <c r="E38" s="11" t="s">
        <v>19</v>
      </c>
      <c r="F38" s="14"/>
      <c r="G38" s="15"/>
    </row>
    <row r="39" ht="22.5" customHeight="1">
      <c r="A39" s="10">
        <v>35.0</v>
      </c>
      <c r="B39" s="11" t="s">
        <v>87</v>
      </c>
      <c r="C39" s="11">
        <v>2.5261039E8</v>
      </c>
      <c r="D39" s="11" t="s">
        <v>88</v>
      </c>
      <c r="E39" s="11" t="s">
        <v>22</v>
      </c>
      <c r="F39" s="14"/>
      <c r="G39" s="15"/>
    </row>
    <row r="40" ht="22.5" customHeight="1">
      <c r="A40" s="10">
        <v>36.0</v>
      </c>
      <c r="B40" s="11" t="s">
        <v>89</v>
      </c>
      <c r="C40" s="11">
        <v>2.52610393E8</v>
      </c>
      <c r="D40" s="11" t="s">
        <v>90</v>
      </c>
      <c r="E40" s="11" t="s">
        <v>22</v>
      </c>
      <c r="F40" s="14"/>
      <c r="G40" s="15"/>
    </row>
    <row r="41" ht="22.5" customHeight="1">
      <c r="A41" s="10">
        <v>37.0</v>
      </c>
      <c r="B41" s="11" t="s">
        <v>91</v>
      </c>
      <c r="C41" s="11">
        <v>2.52610423E8</v>
      </c>
      <c r="D41" s="11" t="s">
        <v>92</v>
      </c>
      <c r="E41" s="11" t="s">
        <v>22</v>
      </c>
      <c r="F41" s="14"/>
      <c r="G41" s="15"/>
    </row>
    <row r="42" ht="22.5" customHeight="1">
      <c r="A42" s="10">
        <v>38.0</v>
      </c>
      <c r="B42" s="11" t="s">
        <v>93</v>
      </c>
      <c r="C42" s="11">
        <v>2.52610424E8</v>
      </c>
      <c r="D42" s="11" t="s">
        <v>94</v>
      </c>
      <c r="E42" s="11" t="s">
        <v>22</v>
      </c>
      <c r="F42" s="14"/>
      <c r="G42" s="15"/>
    </row>
    <row r="43" ht="22.5" customHeight="1">
      <c r="A43" s="10">
        <v>39.0</v>
      </c>
      <c r="B43" s="11" t="s">
        <v>95</v>
      </c>
      <c r="C43" s="11">
        <v>2.52610436E8</v>
      </c>
      <c r="D43" s="11" t="s">
        <v>96</v>
      </c>
      <c r="E43" s="11" t="s">
        <v>19</v>
      </c>
      <c r="F43" s="14"/>
      <c r="G43" s="15"/>
    </row>
    <row r="44" ht="22.5" customHeight="1">
      <c r="A44" s="10">
        <v>40.0</v>
      </c>
      <c r="B44" s="11" t="s">
        <v>97</v>
      </c>
      <c r="C44" s="11">
        <v>2.52610452E8</v>
      </c>
      <c r="D44" s="11" t="s">
        <v>98</v>
      </c>
      <c r="E44" s="11" t="s">
        <v>19</v>
      </c>
      <c r="F44" s="14"/>
      <c r="G44" s="15"/>
    </row>
    <row r="45" ht="22.5" customHeight="1">
      <c r="A45" s="10">
        <v>41.0</v>
      </c>
      <c r="B45" s="11" t="s">
        <v>99</v>
      </c>
      <c r="C45" s="11">
        <v>2.52610454E8</v>
      </c>
      <c r="D45" s="11" t="s">
        <v>100</v>
      </c>
      <c r="E45" s="11" t="s">
        <v>19</v>
      </c>
      <c r="F45" s="14"/>
      <c r="G45" s="15"/>
    </row>
    <row r="46" ht="22.5" customHeight="1">
      <c r="A46" s="10">
        <v>42.0</v>
      </c>
      <c r="B46" s="11" t="s">
        <v>101</v>
      </c>
      <c r="C46" s="11">
        <v>2.52610476E8</v>
      </c>
      <c r="D46" s="11" t="s">
        <v>102</v>
      </c>
      <c r="E46" s="11" t="s">
        <v>19</v>
      </c>
      <c r="F46" s="14"/>
      <c r="G46" s="15"/>
    </row>
    <row r="47" ht="22.5" customHeight="1">
      <c r="A47" s="10">
        <v>43.0</v>
      </c>
      <c r="B47" s="11" t="s">
        <v>103</v>
      </c>
      <c r="C47" s="11">
        <v>2.52610477E8</v>
      </c>
      <c r="D47" s="11" t="s">
        <v>104</v>
      </c>
      <c r="E47" s="11" t="s">
        <v>22</v>
      </c>
      <c r="F47" s="14"/>
      <c r="G47" s="15"/>
    </row>
    <row r="48" ht="22.5" customHeight="1">
      <c r="A48" s="10">
        <v>44.0</v>
      </c>
      <c r="B48" s="11" t="s">
        <v>105</v>
      </c>
      <c r="C48" s="11">
        <v>2.52610489E8</v>
      </c>
      <c r="D48" s="11" t="s">
        <v>106</v>
      </c>
      <c r="E48" s="11" t="s">
        <v>22</v>
      </c>
      <c r="F48" s="14"/>
      <c r="G48" s="15"/>
    </row>
    <row r="49" ht="22.5" customHeight="1">
      <c r="A49" s="10">
        <v>45.0</v>
      </c>
      <c r="B49" s="11" t="s">
        <v>107</v>
      </c>
      <c r="C49" s="11">
        <v>2.52610508E8</v>
      </c>
      <c r="D49" s="11" t="s">
        <v>108</v>
      </c>
      <c r="E49" s="11" t="s">
        <v>22</v>
      </c>
      <c r="F49" s="14"/>
      <c r="G49" s="15"/>
    </row>
    <row r="50" ht="22.5" customHeight="1">
      <c r="A50" s="10">
        <v>46.0</v>
      </c>
      <c r="B50" s="11" t="s">
        <v>109</v>
      </c>
      <c r="C50" s="11">
        <v>2.52610513E8</v>
      </c>
      <c r="D50" s="11" t="s">
        <v>110</v>
      </c>
      <c r="E50" s="11" t="s">
        <v>22</v>
      </c>
      <c r="F50" s="14"/>
      <c r="G50" s="15"/>
    </row>
    <row r="51" ht="22.5" customHeight="1">
      <c r="A51" s="10">
        <v>47.0</v>
      </c>
      <c r="B51" s="11" t="s">
        <v>111</v>
      </c>
      <c r="C51" s="11">
        <v>2.52610564E8</v>
      </c>
      <c r="D51" s="11" t="s">
        <v>112</v>
      </c>
      <c r="E51" s="11" t="s">
        <v>19</v>
      </c>
      <c r="F51" s="14"/>
      <c r="G51" s="15"/>
    </row>
    <row r="52" ht="22.5" customHeight="1">
      <c r="A52" s="10">
        <v>48.0</v>
      </c>
      <c r="B52" s="11" t="s">
        <v>113</v>
      </c>
      <c r="C52" s="11">
        <v>2.52610566E8</v>
      </c>
      <c r="D52" s="11" t="s">
        <v>114</v>
      </c>
      <c r="E52" s="11" t="s">
        <v>22</v>
      </c>
      <c r="F52" s="14"/>
      <c r="G52" s="15"/>
    </row>
    <row r="53" ht="22.5" customHeight="1">
      <c r="A53" s="15"/>
      <c r="B53" s="15"/>
      <c r="C53" s="15"/>
      <c r="D53" s="8"/>
      <c r="E53" s="8"/>
      <c r="F53" s="14"/>
      <c r="G53" s="15"/>
    </row>
    <row r="54" ht="22.5" customHeight="1">
      <c r="A54" s="15"/>
      <c r="B54" s="15"/>
      <c r="C54" s="16"/>
      <c r="D54" s="11" t="s">
        <v>115</v>
      </c>
      <c r="E54" s="11" t="str">
        <f>COUNTIF(R[-49]C[0]:R[-2]C[0],"P")</f>
        <v>#ERROR!</v>
      </c>
      <c r="F54" s="14"/>
      <c r="G54" s="15"/>
    </row>
    <row r="55" ht="22.5" customHeight="1">
      <c r="A55" s="15"/>
      <c r="B55" s="15"/>
      <c r="C55" s="16"/>
      <c r="D55" s="11" t="s">
        <v>116</v>
      </c>
      <c r="E55" s="11" t="str">
        <f>COUNTIF(R[-50]C[0]:R[-3]C[0],"L")</f>
        <v>#ERROR!</v>
      </c>
      <c r="F55" s="14"/>
      <c r="G55" s="15"/>
    </row>
    <row r="56" ht="22.5" customHeight="1">
      <c r="A56" s="15"/>
      <c r="B56" s="15"/>
      <c r="C56" s="15"/>
      <c r="D56" s="15"/>
      <c r="E56" s="15"/>
      <c r="F56" s="14"/>
      <c r="G56" s="15"/>
    </row>
    <row r="57" ht="22.5" customHeight="1">
      <c r="A57" s="15"/>
      <c r="B57" s="15"/>
      <c r="C57" s="15"/>
      <c r="D57" s="15"/>
      <c r="E57" s="15"/>
      <c r="F57" s="14"/>
      <c r="G57" s="15"/>
    </row>
    <row r="58" ht="22.5" customHeight="1">
      <c r="A58" s="8" t="s">
        <v>117</v>
      </c>
      <c r="B58" s="8"/>
      <c r="C58" s="8"/>
      <c r="D58" s="8"/>
      <c r="E58" s="8" t="s">
        <v>118</v>
      </c>
      <c r="F58" s="14"/>
      <c r="G58" s="15"/>
    </row>
    <row r="59" ht="22.5" customHeight="1">
      <c r="A59" s="10" t="s">
        <v>10</v>
      </c>
      <c r="B59" s="11" t="s">
        <v>11</v>
      </c>
      <c r="C59" s="11" t="s">
        <v>12</v>
      </c>
      <c r="D59" s="11" t="s">
        <v>13</v>
      </c>
      <c r="E59" s="11" t="s">
        <v>14</v>
      </c>
      <c r="F59" s="12" t="s">
        <v>119</v>
      </c>
      <c r="G59" s="13" t="s">
        <v>120</v>
      </c>
    </row>
    <row r="60" ht="22.5" customHeight="1">
      <c r="A60" s="10">
        <v>1.0</v>
      </c>
      <c r="B60" s="11" t="s">
        <v>121</v>
      </c>
      <c r="C60" s="11">
        <v>2.52610011E8</v>
      </c>
      <c r="D60" s="11" t="s">
        <v>122</v>
      </c>
      <c r="E60" s="11" t="s">
        <v>22</v>
      </c>
      <c r="F60" s="14"/>
      <c r="G60" s="15"/>
    </row>
    <row r="61" ht="22.5" customHeight="1">
      <c r="A61" s="10">
        <v>2.0</v>
      </c>
      <c r="B61" s="11" t="s">
        <v>123</v>
      </c>
      <c r="C61" s="11">
        <v>2.52610023E8</v>
      </c>
      <c r="D61" s="17" t="s">
        <v>124</v>
      </c>
      <c r="E61" s="11" t="s">
        <v>22</v>
      </c>
      <c r="F61" s="14"/>
      <c r="G61" s="15"/>
    </row>
    <row r="62" ht="22.5" customHeight="1">
      <c r="A62" s="10">
        <v>3.0</v>
      </c>
      <c r="B62" s="11" t="s">
        <v>125</v>
      </c>
      <c r="C62" s="11">
        <v>2.52610026E8</v>
      </c>
      <c r="D62" s="17" t="s">
        <v>126</v>
      </c>
      <c r="E62" s="11" t="s">
        <v>22</v>
      </c>
      <c r="F62" s="14"/>
      <c r="G62" s="15"/>
    </row>
    <row r="63" ht="22.5" customHeight="1">
      <c r="A63" s="10">
        <v>4.0</v>
      </c>
      <c r="B63" s="11" t="s">
        <v>127</v>
      </c>
      <c r="C63" s="11">
        <v>2.52610039E8</v>
      </c>
      <c r="D63" s="11" t="s">
        <v>128</v>
      </c>
      <c r="E63" s="11" t="s">
        <v>22</v>
      </c>
      <c r="F63" s="14"/>
      <c r="G63" s="15"/>
    </row>
    <row r="64" ht="22.5" customHeight="1">
      <c r="A64" s="10">
        <v>5.0</v>
      </c>
      <c r="B64" s="11" t="s">
        <v>129</v>
      </c>
      <c r="C64" s="11">
        <v>2.5261005E8</v>
      </c>
      <c r="D64" s="11" t="s">
        <v>130</v>
      </c>
      <c r="E64" s="11" t="s">
        <v>22</v>
      </c>
      <c r="F64" s="14"/>
      <c r="G64" s="15"/>
    </row>
    <row r="65" ht="22.5" customHeight="1">
      <c r="A65" s="10">
        <v>6.0</v>
      </c>
      <c r="B65" s="11" t="s">
        <v>131</v>
      </c>
      <c r="C65" s="11">
        <v>2.52610052E8</v>
      </c>
      <c r="D65" s="17" t="s">
        <v>132</v>
      </c>
      <c r="E65" s="11" t="s">
        <v>22</v>
      </c>
      <c r="F65" s="14"/>
      <c r="G65" s="15"/>
    </row>
    <row r="66" ht="22.5" customHeight="1">
      <c r="A66" s="10">
        <v>7.0</v>
      </c>
      <c r="B66" s="11" t="s">
        <v>133</v>
      </c>
      <c r="C66" s="11">
        <v>2.52610058E8</v>
      </c>
      <c r="D66" s="11" t="s">
        <v>134</v>
      </c>
      <c r="E66" s="11" t="s">
        <v>19</v>
      </c>
      <c r="F66" s="14"/>
      <c r="G66" s="15"/>
    </row>
    <row r="67" ht="22.5" customHeight="1">
      <c r="A67" s="10">
        <v>8.0</v>
      </c>
      <c r="B67" s="11" t="s">
        <v>135</v>
      </c>
      <c r="C67" s="11">
        <v>2.52610062E8</v>
      </c>
      <c r="D67" s="17" t="s">
        <v>136</v>
      </c>
      <c r="E67" s="11" t="s">
        <v>22</v>
      </c>
      <c r="F67" s="14"/>
      <c r="G67" s="15"/>
    </row>
    <row r="68" ht="22.5" customHeight="1">
      <c r="A68" s="10">
        <v>9.0</v>
      </c>
      <c r="B68" s="11" t="s">
        <v>137</v>
      </c>
      <c r="C68" s="11">
        <v>2.5261007E8</v>
      </c>
      <c r="D68" s="11" t="s">
        <v>138</v>
      </c>
      <c r="E68" s="11" t="s">
        <v>22</v>
      </c>
      <c r="F68" s="14"/>
      <c r="G68" s="15"/>
    </row>
    <row r="69" ht="22.5" customHeight="1">
      <c r="A69" s="10">
        <v>10.0</v>
      </c>
      <c r="B69" s="11" t="s">
        <v>139</v>
      </c>
      <c r="C69" s="11">
        <v>2.52610075E8</v>
      </c>
      <c r="D69" s="11" t="s">
        <v>140</v>
      </c>
      <c r="E69" s="11" t="s">
        <v>19</v>
      </c>
      <c r="F69" s="14"/>
      <c r="G69" s="15"/>
    </row>
    <row r="70" ht="22.5" customHeight="1">
      <c r="A70" s="10">
        <v>11.0</v>
      </c>
      <c r="B70" s="11" t="s">
        <v>141</v>
      </c>
      <c r="C70" s="11">
        <v>2.52610084E8</v>
      </c>
      <c r="D70" s="11" t="s">
        <v>142</v>
      </c>
      <c r="E70" s="11" t="s">
        <v>22</v>
      </c>
      <c r="F70" s="14"/>
      <c r="G70" s="15"/>
    </row>
    <row r="71" ht="22.5" customHeight="1">
      <c r="A71" s="10">
        <v>12.0</v>
      </c>
      <c r="B71" s="11" t="s">
        <v>143</v>
      </c>
      <c r="C71" s="11">
        <v>2.5261009E8</v>
      </c>
      <c r="D71" s="11" t="s">
        <v>144</v>
      </c>
      <c r="E71" s="11" t="s">
        <v>22</v>
      </c>
      <c r="F71" s="14"/>
      <c r="G71" s="15"/>
    </row>
    <row r="72" ht="22.5" customHeight="1">
      <c r="A72" s="10">
        <v>13.0</v>
      </c>
      <c r="B72" s="11" t="s">
        <v>145</v>
      </c>
      <c r="C72" s="11">
        <v>2.52610102E8</v>
      </c>
      <c r="D72" s="11" t="s">
        <v>146</v>
      </c>
      <c r="E72" s="11" t="s">
        <v>22</v>
      </c>
      <c r="F72" s="14"/>
      <c r="G72" s="15"/>
    </row>
    <row r="73" ht="22.5" customHeight="1">
      <c r="A73" s="10">
        <v>14.0</v>
      </c>
      <c r="B73" s="11" t="s">
        <v>147</v>
      </c>
      <c r="C73" s="11">
        <v>2.52610124E8</v>
      </c>
      <c r="D73" s="11" t="s">
        <v>148</v>
      </c>
      <c r="E73" s="11" t="s">
        <v>19</v>
      </c>
      <c r="F73" s="14"/>
      <c r="G73" s="15"/>
    </row>
    <row r="74" ht="22.5" customHeight="1">
      <c r="A74" s="10">
        <v>15.0</v>
      </c>
      <c r="B74" s="11" t="s">
        <v>149</v>
      </c>
      <c r="C74" s="11">
        <v>2.52610139E8</v>
      </c>
      <c r="D74" s="11" t="s">
        <v>150</v>
      </c>
      <c r="E74" s="11" t="s">
        <v>22</v>
      </c>
      <c r="F74" s="14"/>
      <c r="G74" s="15"/>
    </row>
    <row r="75" ht="22.5" customHeight="1">
      <c r="A75" s="10">
        <v>16.0</v>
      </c>
      <c r="B75" s="11" t="s">
        <v>151</v>
      </c>
      <c r="C75" s="11">
        <v>2.52610145E8</v>
      </c>
      <c r="D75" s="11" t="s">
        <v>152</v>
      </c>
      <c r="E75" s="11" t="s">
        <v>19</v>
      </c>
      <c r="F75" s="14"/>
      <c r="G75" s="15"/>
    </row>
    <row r="76" ht="22.5" customHeight="1">
      <c r="A76" s="10">
        <v>17.0</v>
      </c>
      <c r="B76" s="11" t="s">
        <v>153</v>
      </c>
      <c r="C76" s="11">
        <v>2.52610153E8</v>
      </c>
      <c r="D76" s="11" t="s">
        <v>154</v>
      </c>
      <c r="E76" s="11" t="s">
        <v>22</v>
      </c>
      <c r="F76" s="14"/>
      <c r="G76" s="15"/>
    </row>
    <row r="77" ht="22.5" customHeight="1">
      <c r="A77" s="10">
        <v>18.0</v>
      </c>
      <c r="B77" s="11" t="s">
        <v>155</v>
      </c>
      <c r="C77" s="11">
        <v>2.52610154E8</v>
      </c>
      <c r="D77" s="11" t="s">
        <v>156</v>
      </c>
      <c r="E77" s="11" t="s">
        <v>22</v>
      </c>
      <c r="F77" s="14"/>
      <c r="G77" s="15"/>
    </row>
    <row r="78" ht="22.5" customHeight="1">
      <c r="A78" s="10">
        <v>19.0</v>
      </c>
      <c r="B78" s="11" t="s">
        <v>157</v>
      </c>
      <c r="C78" s="11">
        <v>2.52610164E8</v>
      </c>
      <c r="D78" s="17" t="s">
        <v>158</v>
      </c>
      <c r="E78" s="11" t="s">
        <v>19</v>
      </c>
      <c r="F78" s="14"/>
      <c r="G78" s="15"/>
    </row>
    <row r="79" ht="22.5" customHeight="1">
      <c r="A79" s="10">
        <v>20.0</v>
      </c>
      <c r="B79" s="11" t="s">
        <v>159</v>
      </c>
      <c r="C79" s="11">
        <v>2.5261018E8</v>
      </c>
      <c r="D79" s="11" t="s">
        <v>160</v>
      </c>
      <c r="E79" s="11" t="s">
        <v>19</v>
      </c>
      <c r="F79" s="14"/>
      <c r="G79" s="15"/>
    </row>
    <row r="80" ht="22.5" customHeight="1">
      <c r="A80" s="10">
        <v>21.0</v>
      </c>
      <c r="B80" s="11" t="s">
        <v>161</v>
      </c>
      <c r="C80" s="11">
        <v>2.52610181E8</v>
      </c>
      <c r="D80" s="11" t="s">
        <v>162</v>
      </c>
      <c r="E80" s="11" t="s">
        <v>22</v>
      </c>
      <c r="F80" s="14"/>
      <c r="G80" s="15"/>
    </row>
    <row r="81" ht="22.5" customHeight="1">
      <c r="A81" s="10">
        <v>22.0</v>
      </c>
      <c r="B81" s="11" t="s">
        <v>163</v>
      </c>
      <c r="C81" s="11">
        <v>2.52610185E8</v>
      </c>
      <c r="D81" s="11" t="s">
        <v>164</v>
      </c>
      <c r="E81" s="11" t="s">
        <v>19</v>
      </c>
      <c r="F81" s="14"/>
      <c r="G81" s="15"/>
    </row>
    <row r="82" ht="22.5" customHeight="1">
      <c r="A82" s="10">
        <v>23.0</v>
      </c>
      <c r="B82" s="11" t="s">
        <v>165</v>
      </c>
      <c r="C82" s="11">
        <v>2.52610186E8</v>
      </c>
      <c r="D82" s="17" t="s">
        <v>166</v>
      </c>
      <c r="E82" s="11" t="s">
        <v>19</v>
      </c>
      <c r="F82" s="14"/>
      <c r="G82" s="15"/>
    </row>
    <row r="83" ht="22.5" customHeight="1">
      <c r="A83" s="10">
        <v>24.0</v>
      </c>
      <c r="B83" s="11" t="s">
        <v>167</v>
      </c>
      <c r="C83" s="11">
        <v>2.52610207E8</v>
      </c>
      <c r="D83" s="11" t="s">
        <v>168</v>
      </c>
      <c r="E83" s="11" t="s">
        <v>22</v>
      </c>
      <c r="F83" s="14"/>
      <c r="G83" s="15"/>
    </row>
    <row r="84" ht="22.5" customHeight="1">
      <c r="A84" s="10">
        <v>25.0</v>
      </c>
      <c r="B84" s="11" t="s">
        <v>169</v>
      </c>
      <c r="C84" s="11">
        <v>2.52610238E8</v>
      </c>
      <c r="D84" s="11" t="s">
        <v>170</v>
      </c>
      <c r="E84" s="11" t="s">
        <v>22</v>
      </c>
      <c r="F84" s="14"/>
      <c r="G84" s="15"/>
    </row>
    <row r="85" ht="22.5" customHeight="1">
      <c r="A85" s="10">
        <v>26.0</v>
      </c>
      <c r="B85" s="11" t="s">
        <v>171</v>
      </c>
      <c r="C85" s="11">
        <v>2.52610277E8</v>
      </c>
      <c r="D85" s="11" t="s">
        <v>172</v>
      </c>
      <c r="E85" s="11" t="s">
        <v>19</v>
      </c>
      <c r="F85" s="14"/>
      <c r="G85" s="15"/>
    </row>
    <row r="86" ht="22.5" customHeight="1">
      <c r="A86" s="10">
        <v>27.0</v>
      </c>
      <c r="B86" s="11" t="s">
        <v>173</v>
      </c>
      <c r="C86" s="11">
        <v>2.5261028E8</v>
      </c>
      <c r="D86" s="11" t="s">
        <v>174</v>
      </c>
      <c r="E86" s="11" t="s">
        <v>22</v>
      </c>
      <c r="F86" s="14"/>
      <c r="G86" s="15"/>
    </row>
    <row r="87" ht="22.5" customHeight="1">
      <c r="A87" s="10">
        <v>28.0</v>
      </c>
      <c r="B87" s="11" t="s">
        <v>175</v>
      </c>
      <c r="C87" s="11">
        <v>2.5261029E8</v>
      </c>
      <c r="D87" s="11" t="s">
        <v>176</v>
      </c>
      <c r="E87" s="11" t="s">
        <v>19</v>
      </c>
      <c r="F87" s="14"/>
      <c r="G87" s="15"/>
    </row>
    <row r="88" ht="22.5" customHeight="1">
      <c r="A88" s="10">
        <v>29.0</v>
      </c>
      <c r="B88" s="11" t="s">
        <v>177</v>
      </c>
      <c r="C88" s="11">
        <v>2.52610302E8</v>
      </c>
      <c r="D88" s="11" t="s">
        <v>178</v>
      </c>
      <c r="E88" s="11" t="s">
        <v>19</v>
      </c>
      <c r="F88" s="14"/>
      <c r="G88" s="15"/>
    </row>
    <row r="89" ht="22.5" customHeight="1">
      <c r="A89" s="10">
        <v>30.0</v>
      </c>
      <c r="B89" s="11" t="s">
        <v>179</v>
      </c>
      <c r="C89" s="11">
        <v>2.52610319E8</v>
      </c>
      <c r="D89" s="11" t="s">
        <v>180</v>
      </c>
      <c r="E89" s="11" t="s">
        <v>19</v>
      </c>
      <c r="F89" s="14"/>
      <c r="G89" s="15"/>
    </row>
    <row r="90" ht="22.5" customHeight="1">
      <c r="A90" s="10">
        <v>31.0</v>
      </c>
      <c r="B90" s="11" t="s">
        <v>181</v>
      </c>
      <c r="C90" s="11">
        <v>2.5261032E8</v>
      </c>
      <c r="D90" s="17" t="s">
        <v>182</v>
      </c>
      <c r="E90" s="11" t="s">
        <v>19</v>
      </c>
      <c r="F90" s="14"/>
      <c r="G90" s="15"/>
    </row>
    <row r="91" ht="22.5" customHeight="1">
      <c r="A91" s="10">
        <v>32.0</v>
      </c>
      <c r="B91" s="11" t="s">
        <v>183</v>
      </c>
      <c r="C91" s="11">
        <v>2.52610332E8</v>
      </c>
      <c r="D91" s="11" t="s">
        <v>184</v>
      </c>
      <c r="E91" s="11" t="s">
        <v>19</v>
      </c>
      <c r="F91" s="14"/>
      <c r="G91" s="15"/>
    </row>
    <row r="92" ht="22.5" customHeight="1">
      <c r="A92" s="10">
        <v>33.0</v>
      </c>
      <c r="B92" s="11" t="s">
        <v>185</v>
      </c>
      <c r="C92" s="11">
        <v>2.52610336E8</v>
      </c>
      <c r="D92" s="11" t="s">
        <v>186</v>
      </c>
      <c r="E92" s="11" t="s">
        <v>19</v>
      </c>
      <c r="F92" s="14"/>
      <c r="G92" s="15"/>
    </row>
    <row r="93" ht="22.5" customHeight="1">
      <c r="A93" s="10">
        <v>34.0</v>
      </c>
      <c r="B93" s="11" t="s">
        <v>187</v>
      </c>
      <c r="C93" s="11">
        <v>2.52610338E8</v>
      </c>
      <c r="D93" s="17" t="s">
        <v>188</v>
      </c>
      <c r="E93" s="11" t="s">
        <v>19</v>
      </c>
      <c r="F93" s="14"/>
      <c r="G93" s="15"/>
    </row>
    <row r="94" ht="22.5" customHeight="1">
      <c r="A94" s="10">
        <v>35.0</v>
      </c>
      <c r="B94" s="11" t="s">
        <v>189</v>
      </c>
      <c r="C94" s="11">
        <v>2.52610362E8</v>
      </c>
      <c r="D94" s="11" t="s">
        <v>190</v>
      </c>
      <c r="E94" s="11" t="s">
        <v>19</v>
      </c>
      <c r="F94" s="14"/>
      <c r="G94" s="15"/>
    </row>
    <row r="95" ht="22.5" customHeight="1">
      <c r="A95" s="10">
        <v>36.0</v>
      </c>
      <c r="B95" s="11" t="s">
        <v>191</v>
      </c>
      <c r="C95" s="11">
        <v>2.52610365E8</v>
      </c>
      <c r="D95" s="11" t="s">
        <v>192</v>
      </c>
      <c r="E95" s="11" t="s">
        <v>19</v>
      </c>
      <c r="F95" s="14"/>
      <c r="G95" s="15"/>
    </row>
    <row r="96" ht="22.5" customHeight="1">
      <c r="A96" s="10">
        <v>37.0</v>
      </c>
      <c r="B96" s="11" t="s">
        <v>193</v>
      </c>
      <c r="C96" s="11">
        <v>2.52610416E8</v>
      </c>
      <c r="D96" s="11" t="s">
        <v>194</v>
      </c>
      <c r="E96" s="11" t="s">
        <v>22</v>
      </c>
      <c r="F96" s="14"/>
      <c r="G96" s="15"/>
    </row>
    <row r="97" ht="22.5" customHeight="1">
      <c r="A97" s="10">
        <v>38.0</v>
      </c>
      <c r="B97" s="11" t="s">
        <v>195</v>
      </c>
      <c r="C97" s="11">
        <v>2.52610419E8</v>
      </c>
      <c r="D97" s="11" t="s">
        <v>196</v>
      </c>
      <c r="E97" s="11" t="s">
        <v>22</v>
      </c>
      <c r="F97" s="14"/>
      <c r="G97" s="15"/>
    </row>
    <row r="98" ht="22.5" customHeight="1">
      <c r="A98" s="10">
        <v>39.0</v>
      </c>
      <c r="B98" s="11" t="s">
        <v>197</v>
      </c>
      <c r="C98" s="11">
        <v>2.52610431E8</v>
      </c>
      <c r="D98" s="11" t="s">
        <v>198</v>
      </c>
      <c r="E98" s="11" t="s">
        <v>22</v>
      </c>
      <c r="F98" s="14"/>
      <c r="G98" s="15"/>
    </row>
    <row r="99" ht="22.5" customHeight="1">
      <c r="A99" s="10">
        <v>40.0</v>
      </c>
      <c r="B99" s="11" t="s">
        <v>199</v>
      </c>
      <c r="C99" s="11">
        <v>2.52610434E8</v>
      </c>
      <c r="D99" s="11" t="s">
        <v>200</v>
      </c>
      <c r="E99" s="11" t="s">
        <v>22</v>
      </c>
      <c r="F99" s="14"/>
      <c r="G99" s="15"/>
    </row>
    <row r="100" ht="22.5" customHeight="1">
      <c r="A100" s="10">
        <v>41.0</v>
      </c>
      <c r="B100" s="11" t="s">
        <v>201</v>
      </c>
      <c r="C100" s="11">
        <v>2.5261044E8</v>
      </c>
      <c r="D100" s="11" t="s">
        <v>202</v>
      </c>
      <c r="E100" s="11" t="s">
        <v>22</v>
      </c>
      <c r="F100" s="14"/>
      <c r="G100" s="15"/>
    </row>
    <row r="101" ht="22.5" customHeight="1">
      <c r="A101" s="10">
        <v>42.0</v>
      </c>
      <c r="B101" s="11" t="s">
        <v>203</v>
      </c>
      <c r="C101" s="11">
        <v>2.52610467E8</v>
      </c>
      <c r="D101" s="11" t="s">
        <v>204</v>
      </c>
      <c r="E101" s="11" t="s">
        <v>22</v>
      </c>
      <c r="F101" s="14"/>
      <c r="G101" s="15"/>
    </row>
    <row r="102" ht="22.5" customHeight="1">
      <c r="A102" s="10">
        <v>43.0</v>
      </c>
      <c r="B102" s="11" t="s">
        <v>205</v>
      </c>
      <c r="C102" s="11">
        <v>2.52610474E8</v>
      </c>
      <c r="D102" s="11" t="s">
        <v>206</v>
      </c>
      <c r="E102" s="11" t="s">
        <v>22</v>
      </c>
      <c r="F102" s="14"/>
      <c r="G102" s="15"/>
    </row>
    <row r="103" ht="22.5" customHeight="1">
      <c r="A103" s="10">
        <v>44.0</v>
      </c>
      <c r="B103" s="11" t="s">
        <v>207</v>
      </c>
      <c r="C103" s="11">
        <v>2.52610497E8</v>
      </c>
      <c r="D103" s="11" t="s">
        <v>208</v>
      </c>
      <c r="E103" s="11" t="s">
        <v>22</v>
      </c>
      <c r="F103" s="14"/>
      <c r="G103" s="15"/>
    </row>
    <row r="104" ht="22.5" customHeight="1">
      <c r="A104" s="10">
        <v>45.0</v>
      </c>
      <c r="B104" s="11" t="s">
        <v>209</v>
      </c>
      <c r="C104" s="11">
        <v>2.52610498E8</v>
      </c>
      <c r="D104" s="11" t="s">
        <v>210</v>
      </c>
      <c r="E104" s="11" t="s">
        <v>22</v>
      </c>
      <c r="F104" s="14"/>
      <c r="G104" s="15"/>
    </row>
    <row r="105" ht="22.5" customHeight="1">
      <c r="A105" s="10">
        <v>46.0</v>
      </c>
      <c r="B105" s="11" t="s">
        <v>211</v>
      </c>
      <c r="C105" s="11">
        <v>2.52610546E8</v>
      </c>
      <c r="D105" s="11" t="s">
        <v>212</v>
      </c>
      <c r="E105" s="11" t="s">
        <v>22</v>
      </c>
      <c r="F105" s="14"/>
      <c r="G105" s="15"/>
    </row>
    <row r="106" ht="22.5" customHeight="1">
      <c r="A106" s="10">
        <v>47.0</v>
      </c>
      <c r="B106" s="11" t="s">
        <v>213</v>
      </c>
      <c r="C106" s="11">
        <v>2.5261056E8</v>
      </c>
      <c r="D106" s="11" t="s">
        <v>214</v>
      </c>
      <c r="E106" s="11" t="s">
        <v>19</v>
      </c>
      <c r="F106" s="14"/>
      <c r="G106" s="15"/>
    </row>
    <row r="107" ht="22.5" customHeight="1">
      <c r="A107" s="10">
        <v>48.0</v>
      </c>
      <c r="B107" s="11" t="s">
        <v>215</v>
      </c>
      <c r="C107" s="11">
        <v>2.52610563E8</v>
      </c>
      <c r="D107" s="11" t="s">
        <v>216</v>
      </c>
      <c r="E107" s="11" t="s">
        <v>22</v>
      </c>
      <c r="F107" s="14"/>
      <c r="G107" s="15"/>
    </row>
    <row r="108" ht="22.5" customHeight="1">
      <c r="A108" s="15"/>
      <c r="B108" s="15"/>
      <c r="C108" s="15"/>
      <c r="D108" s="8"/>
      <c r="E108" s="8"/>
      <c r="F108" s="14"/>
      <c r="G108" s="15"/>
    </row>
    <row r="109" ht="22.5" customHeight="1">
      <c r="A109" s="15"/>
      <c r="B109" s="15"/>
      <c r="C109" s="16"/>
      <c r="D109" s="11" t="s">
        <v>115</v>
      </c>
      <c r="E109" s="11" t="str">
        <f>COUNTIF(R[-49]C[0]:R[-2]C[0],"P")</f>
        <v>#ERROR!</v>
      </c>
      <c r="F109" s="14"/>
      <c r="G109" s="15"/>
    </row>
    <row r="110" ht="22.5" customHeight="1">
      <c r="A110" s="15"/>
      <c r="B110" s="15"/>
      <c r="C110" s="16"/>
      <c r="D110" s="11" t="s">
        <v>116</v>
      </c>
      <c r="E110" s="11" t="str">
        <f>COUNTIF(R[-50]C[0]:R[-3]C[0],"L")</f>
        <v>#ERROR!</v>
      </c>
      <c r="F110" s="14"/>
      <c r="G110" s="15"/>
    </row>
    <row r="111" ht="22.5" customHeight="1">
      <c r="A111" s="15"/>
      <c r="B111" s="15"/>
      <c r="C111" s="15"/>
      <c r="D111" s="15"/>
      <c r="E111" s="15"/>
      <c r="F111" s="14"/>
      <c r="G111" s="15"/>
    </row>
    <row r="112" ht="22.5" customHeight="1">
      <c r="A112" s="8" t="s">
        <v>217</v>
      </c>
      <c r="B112" s="8"/>
      <c r="C112" s="8"/>
      <c r="D112" s="8"/>
      <c r="E112" s="8" t="s">
        <v>218</v>
      </c>
      <c r="F112" s="14"/>
      <c r="G112" s="15"/>
    </row>
    <row r="113" ht="22.5" customHeight="1">
      <c r="A113" s="10" t="s">
        <v>10</v>
      </c>
      <c r="B113" s="11" t="s">
        <v>11</v>
      </c>
      <c r="C113" s="11" t="s">
        <v>12</v>
      </c>
      <c r="D113" s="11" t="s">
        <v>13</v>
      </c>
      <c r="E113" s="11" t="s">
        <v>14</v>
      </c>
      <c r="F113" s="12" t="s">
        <v>119</v>
      </c>
      <c r="G113" s="13" t="s">
        <v>120</v>
      </c>
    </row>
    <row r="114" ht="22.5" customHeight="1">
      <c r="A114" s="10">
        <v>1.0</v>
      </c>
      <c r="B114" s="11" t="s">
        <v>219</v>
      </c>
      <c r="C114" s="11">
        <v>2.52610002E8</v>
      </c>
      <c r="D114" s="11" t="s">
        <v>220</v>
      </c>
      <c r="E114" s="11" t="s">
        <v>19</v>
      </c>
      <c r="F114" s="14"/>
      <c r="G114" s="15"/>
    </row>
    <row r="115" ht="22.5" customHeight="1">
      <c r="A115" s="10">
        <v>2.0</v>
      </c>
      <c r="B115" s="11" t="s">
        <v>221</v>
      </c>
      <c r="C115" s="11">
        <v>2.52610063E8</v>
      </c>
      <c r="D115" s="11" t="s">
        <v>222</v>
      </c>
      <c r="E115" s="11" t="s">
        <v>19</v>
      </c>
      <c r="F115" s="14"/>
      <c r="G115" s="15"/>
    </row>
    <row r="116" ht="22.5" customHeight="1">
      <c r="A116" s="10">
        <v>3.0</v>
      </c>
      <c r="B116" s="11" t="s">
        <v>223</v>
      </c>
      <c r="C116" s="11">
        <v>2.52610065E8</v>
      </c>
      <c r="D116" s="11" t="s">
        <v>224</v>
      </c>
      <c r="E116" s="11" t="s">
        <v>22</v>
      </c>
      <c r="F116" s="14"/>
      <c r="G116" s="15"/>
    </row>
    <row r="117" ht="22.5" customHeight="1">
      <c r="A117" s="10">
        <v>4.0</v>
      </c>
      <c r="B117" s="11" t="s">
        <v>225</v>
      </c>
      <c r="C117" s="11">
        <v>2.52610076E8</v>
      </c>
      <c r="D117" s="11" t="s">
        <v>226</v>
      </c>
      <c r="E117" s="11" t="s">
        <v>19</v>
      </c>
      <c r="F117" s="14"/>
      <c r="G117" s="15"/>
    </row>
    <row r="118" ht="22.5" customHeight="1">
      <c r="A118" s="10">
        <v>5.0</v>
      </c>
      <c r="B118" s="11" t="s">
        <v>227</v>
      </c>
      <c r="C118" s="11">
        <v>2.52610079E8</v>
      </c>
      <c r="D118" s="11" t="s">
        <v>228</v>
      </c>
      <c r="E118" s="11" t="s">
        <v>19</v>
      </c>
      <c r="F118" s="14"/>
      <c r="G118" s="15"/>
    </row>
    <row r="119" ht="22.5" customHeight="1">
      <c r="A119" s="10">
        <v>6.0</v>
      </c>
      <c r="B119" s="11" t="s">
        <v>229</v>
      </c>
      <c r="C119" s="11">
        <v>2.52610093E8</v>
      </c>
      <c r="D119" s="11" t="s">
        <v>230</v>
      </c>
      <c r="E119" s="11" t="s">
        <v>22</v>
      </c>
      <c r="F119" s="14"/>
      <c r="G119" s="15"/>
    </row>
    <row r="120" ht="22.5" customHeight="1">
      <c r="A120" s="10">
        <v>7.0</v>
      </c>
      <c r="B120" s="11" t="s">
        <v>231</v>
      </c>
      <c r="C120" s="11">
        <v>2.52610094E8</v>
      </c>
      <c r="D120" s="11" t="s">
        <v>232</v>
      </c>
      <c r="E120" s="11" t="s">
        <v>22</v>
      </c>
      <c r="F120" s="14"/>
      <c r="G120" s="15"/>
    </row>
    <row r="121" ht="22.5" customHeight="1">
      <c r="A121" s="10">
        <v>8.0</v>
      </c>
      <c r="B121" s="11" t="s">
        <v>233</v>
      </c>
      <c r="C121" s="11">
        <v>2.52610096E8</v>
      </c>
      <c r="D121" s="11" t="s">
        <v>234</v>
      </c>
      <c r="E121" s="11" t="s">
        <v>22</v>
      </c>
      <c r="F121" s="14"/>
      <c r="G121" s="15"/>
    </row>
    <row r="122" ht="22.5" customHeight="1">
      <c r="A122" s="10">
        <v>9.0</v>
      </c>
      <c r="B122" s="11" t="s">
        <v>235</v>
      </c>
      <c r="C122" s="11">
        <v>2.52610121E8</v>
      </c>
      <c r="D122" s="11" t="s">
        <v>236</v>
      </c>
      <c r="E122" s="11" t="s">
        <v>22</v>
      </c>
      <c r="F122" s="14"/>
      <c r="G122" s="15"/>
    </row>
    <row r="123" ht="22.5" customHeight="1">
      <c r="A123" s="10">
        <v>10.0</v>
      </c>
      <c r="B123" s="11" t="s">
        <v>237</v>
      </c>
      <c r="C123" s="11">
        <v>2.52610129E8</v>
      </c>
      <c r="D123" s="11" t="s">
        <v>238</v>
      </c>
      <c r="E123" s="11" t="s">
        <v>19</v>
      </c>
      <c r="F123" s="14"/>
      <c r="G123" s="15"/>
    </row>
    <row r="124" ht="22.5" customHeight="1">
      <c r="A124" s="10">
        <v>11.0</v>
      </c>
      <c r="B124" s="11" t="s">
        <v>239</v>
      </c>
      <c r="C124" s="11">
        <v>2.52610136E8</v>
      </c>
      <c r="D124" s="11" t="s">
        <v>240</v>
      </c>
      <c r="E124" s="11" t="s">
        <v>22</v>
      </c>
      <c r="F124" s="14"/>
      <c r="G124" s="15"/>
    </row>
    <row r="125" ht="22.5" customHeight="1">
      <c r="A125" s="10">
        <v>12.0</v>
      </c>
      <c r="B125" s="11" t="s">
        <v>241</v>
      </c>
      <c r="C125" s="11">
        <v>2.52610138E8</v>
      </c>
      <c r="D125" s="11" t="s">
        <v>242</v>
      </c>
      <c r="E125" s="11" t="s">
        <v>22</v>
      </c>
      <c r="F125" s="14"/>
      <c r="G125" s="15"/>
    </row>
    <row r="126" ht="22.5" customHeight="1">
      <c r="A126" s="10">
        <v>13.0</v>
      </c>
      <c r="B126" s="11" t="s">
        <v>243</v>
      </c>
      <c r="C126" s="11">
        <v>2.52610148E8</v>
      </c>
      <c r="D126" s="11" t="s">
        <v>244</v>
      </c>
      <c r="E126" s="11" t="s">
        <v>19</v>
      </c>
      <c r="F126" s="14"/>
      <c r="G126" s="15"/>
    </row>
    <row r="127" ht="22.5" customHeight="1">
      <c r="A127" s="10">
        <v>14.0</v>
      </c>
      <c r="B127" s="11" t="s">
        <v>245</v>
      </c>
      <c r="C127" s="11">
        <v>2.52610158E8</v>
      </c>
      <c r="D127" s="11" t="s">
        <v>246</v>
      </c>
      <c r="E127" s="11" t="s">
        <v>19</v>
      </c>
      <c r="F127" s="14"/>
      <c r="G127" s="15"/>
    </row>
    <row r="128" ht="22.5" customHeight="1">
      <c r="A128" s="10">
        <v>15.0</v>
      </c>
      <c r="B128" s="11" t="s">
        <v>247</v>
      </c>
      <c r="C128" s="11">
        <v>2.52610187E8</v>
      </c>
      <c r="D128" s="11" t="s">
        <v>248</v>
      </c>
      <c r="E128" s="11" t="s">
        <v>22</v>
      </c>
      <c r="F128" s="14"/>
      <c r="G128" s="15"/>
    </row>
    <row r="129" ht="22.5" customHeight="1">
      <c r="A129" s="10">
        <v>16.0</v>
      </c>
      <c r="B129" s="11" t="s">
        <v>249</v>
      </c>
      <c r="C129" s="11">
        <v>2.5261019E8</v>
      </c>
      <c r="D129" s="11" t="s">
        <v>250</v>
      </c>
      <c r="E129" s="11" t="s">
        <v>19</v>
      </c>
      <c r="F129" s="14"/>
      <c r="G129" s="15"/>
    </row>
    <row r="130" ht="22.5" customHeight="1">
      <c r="A130" s="10">
        <v>17.0</v>
      </c>
      <c r="B130" s="11" t="s">
        <v>251</v>
      </c>
      <c r="C130" s="11">
        <v>2.52610201E8</v>
      </c>
      <c r="D130" s="11" t="s">
        <v>252</v>
      </c>
      <c r="E130" s="11" t="s">
        <v>19</v>
      </c>
      <c r="F130" s="14"/>
      <c r="G130" s="15"/>
    </row>
    <row r="131" ht="22.5" customHeight="1">
      <c r="A131" s="10">
        <v>18.0</v>
      </c>
      <c r="B131" s="11" t="s">
        <v>253</v>
      </c>
      <c r="C131" s="11">
        <v>2.52610204E8</v>
      </c>
      <c r="D131" s="11" t="s">
        <v>254</v>
      </c>
      <c r="E131" s="11" t="s">
        <v>22</v>
      </c>
      <c r="F131" s="14"/>
      <c r="G131" s="15"/>
    </row>
    <row r="132" ht="22.5" customHeight="1">
      <c r="A132" s="10">
        <v>19.0</v>
      </c>
      <c r="B132" s="11" t="s">
        <v>255</v>
      </c>
      <c r="C132" s="11">
        <v>2.52610213E8</v>
      </c>
      <c r="D132" s="11" t="s">
        <v>256</v>
      </c>
      <c r="E132" s="11" t="s">
        <v>22</v>
      </c>
      <c r="F132" s="14"/>
      <c r="G132" s="15"/>
    </row>
    <row r="133" ht="22.5" customHeight="1">
      <c r="A133" s="10">
        <v>20.0</v>
      </c>
      <c r="B133" s="11" t="s">
        <v>257</v>
      </c>
      <c r="C133" s="11">
        <v>2.52610215E8</v>
      </c>
      <c r="D133" s="11" t="s">
        <v>258</v>
      </c>
      <c r="E133" s="11" t="s">
        <v>22</v>
      </c>
      <c r="F133" s="14"/>
      <c r="G133" s="15"/>
    </row>
    <row r="134" ht="22.5" customHeight="1">
      <c r="A134" s="10">
        <v>21.0</v>
      </c>
      <c r="B134" s="11" t="s">
        <v>259</v>
      </c>
      <c r="C134" s="11">
        <v>2.52610219E8</v>
      </c>
      <c r="D134" s="11" t="s">
        <v>260</v>
      </c>
      <c r="E134" s="11" t="s">
        <v>19</v>
      </c>
      <c r="F134" s="14"/>
      <c r="G134" s="15"/>
    </row>
    <row r="135" ht="22.5" customHeight="1">
      <c r="A135" s="10">
        <v>22.0</v>
      </c>
      <c r="B135" s="11" t="s">
        <v>261</v>
      </c>
      <c r="C135" s="11">
        <v>2.52610237E8</v>
      </c>
      <c r="D135" s="11" t="s">
        <v>262</v>
      </c>
      <c r="E135" s="11" t="s">
        <v>19</v>
      </c>
      <c r="F135" s="14"/>
      <c r="G135" s="15"/>
    </row>
    <row r="136" ht="22.5" customHeight="1">
      <c r="A136" s="10">
        <v>23.0</v>
      </c>
      <c r="B136" s="11" t="s">
        <v>263</v>
      </c>
      <c r="C136" s="11">
        <v>2.52610259E8</v>
      </c>
      <c r="D136" s="11" t="s">
        <v>264</v>
      </c>
      <c r="E136" s="11" t="s">
        <v>22</v>
      </c>
      <c r="F136" s="14"/>
      <c r="G136" s="15"/>
    </row>
    <row r="137" ht="22.5" customHeight="1">
      <c r="A137" s="10">
        <v>24.0</v>
      </c>
      <c r="B137" s="11" t="s">
        <v>265</v>
      </c>
      <c r="C137" s="11">
        <v>2.52610274E8</v>
      </c>
      <c r="D137" s="11" t="s">
        <v>266</v>
      </c>
      <c r="E137" s="11" t="s">
        <v>22</v>
      </c>
      <c r="F137" s="14"/>
      <c r="G137" s="15"/>
    </row>
    <row r="138" ht="22.5" customHeight="1">
      <c r="A138" s="10">
        <v>25.0</v>
      </c>
      <c r="B138" s="11" t="s">
        <v>267</v>
      </c>
      <c r="C138" s="11">
        <v>2.52610276E8</v>
      </c>
      <c r="D138" s="11" t="s">
        <v>268</v>
      </c>
      <c r="E138" s="11" t="s">
        <v>22</v>
      </c>
      <c r="F138" s="14"/>
      <c r="G138" s="15"/>
    </row>
    <row r="139" ht="22.5" customHeight="1">
      <c r="A139" s="10">
        <v>26.0</v>
      </c>
      <c r="B139" s="11" t="s">
        <v>269</v>
      </c>
      <c r="C139" s="11">
        <v>2.52610278E8</v>
      </c>
      <c r="D139" s="11" t="s">
        <v>270</v>
      </c>
      <c r="E139" s="11" t="s">
        <v>19</v>
      </c>
      <c r="F139" s="14"/>
      <c r="G139" s="15"/>
    </row>
    <row r="140" ht="22.5" customHeight="1">
      <c r="A140" s="10">
        <v>27.0</v>
      </c>
      <c r="B140" s="11" t="s">
        <v>271</v>
      </c>
      <c r="C140" s="11">
        <v>2.52610287E8</v>
      </c>
      <c r="D140" s="11" t="s">
        <v>272</v>
      </c>
      <c r="E140" s="11" t="s">
        <v>22</v>
      </c>
      <c r="F140" s="14"/>
      <c r="G140" s="15"/>
    </row>
    <row r="141" ht="22.5" customHeight="1">
      <c r="A141" s="10">
        <v>28.0</v>
      </c>
      <c r="B141" s="11" t="s">
        <v>273</v>
      </c>
      <c r="C141" s="11">
        <v>2.52610288E8</v>
      </c>
      <c r="D141" s="11" t="s">
        <v>274</v>
      </c>
      <c r="E141" s="11" t="s">
        <v>22</v>
      </c>
      <c r="F141" s="14"/>
      <c r="G141" s="15"/>
    </row>
    <row r="142" ht="22.5" customHeight="1">
      <c r="A142" s="10">
        <v>29.0</v>
      </c>
      <c r="B142" s="11" t="s">
        <v>275</v>
      </c>
      <c r="C142" s="11">
        <v>2.52610301E8</v>
      </c>
      <c r="D142" s="11" t="s">
        <v>276</v>
      </c>
      <c r="E142" s="11" t="s">
        <v>22</v>
      </c>
      <c r="F142" s="14"/>
      <c r="G142" s="15"/>
    </row>
    <row r="143" ht="22.5" customHeight="1">
      <c r="A143" s="10">
        <v>30.0</v>
      </c>
      <c r="B143" s="11" t="s">
        <v>277</v>
      </c>
      <c r="C143" s="11">
        <v>2.5261037E8</v>
      </c>
      <c r="D143" s="11" t="s">
        <v>278</v>
      </c>
      <c r="E143" s="11" t="s">
        <v>19</v>
      </c>
      <c r="F143" s="14"/>
      <c r="G143" s="15"/>
    </row>
    <row r="144" ht="22.5" customHeight="1">
      <c r="A144" s="10">
        <v>31.0</v>
      </c>
      <c r="B144" s="11" t="s">
        <v>279</v>
      </c>
      <c r="C144" s="11">
        <v>2.52610381E8</v>
      </c>
      <c r="D144" s="11" t="s">
        <v>280</v>
      </c>
      <c r="E144" s="11" t="s">
        <v>19</v>
      </c>
      <c r="F144" s="14"/>
      <c r="G144" s="15"/>
    </row>
    <row r="145" ht="22.5" customHeight="1">
      <c r="A145" s="10">
        <v>32.0</v>
      </c>
      <c r="B145" s="11" t="s">
        <v>281</v>
      </c>
      <c r="C145" s="11">
        <v>2.52610386E8</v>
      </c>
      <c r="D145" s="11" t="s">
        <v>282</v>
      </c>
      <c r="E145" s="11" t="s">
        <v>22</v>
      </c>
      <c r="F145" s="14"/>
      <c r="G145" s="15"/>
    </row>
    <row r="146" ht="22.5" customHeight="1">
      <c r="A146" s="10">
        <v>33.0</v>
      </c>
      <c r="B146" s="11" t="s">
        <v>283</v>
      </c>
      <c r="C146" s="11">
        <v>2.52610415E8</v>
      </c>
      <c r="D146" s="11" t="s">
        <v>284</v>
      </c>
      <c r="E146" s="11" t="s">
        <v>22</v>
      </c>
      <c r="F146" s="14"/>
      <c r="G146" s="15"/>
    </row>
    <row r="147" ht="22.5" customHeight="1">
      <c r="A147" s="10">
        <v>34.0</v>
      </c>
      <c r="B147" s="11" t="s">
        <v>285</v>
      </c>
      <c r="C147" s="11">
        <v>2.52610422E8</v>
      </c>
      <c r="D147" s="11" t="s">
        <v>286</v>
      </c>
      <c r="E147" s="11" t="s">
        <v>19</v>
      </c>
      <c r="F147" s="14"/>
      <c r="G147" s="15"/>
    </row>
    <row r="148" ht="22.5" customHeight="1">
      <c r="A148" s="10">
        <v>35.0</v>
      </c>
      <c r="B148" s="11" t="s">
        <v>287</v>
      </c>
      <c r="C148" s="11">
        <v>2.52610426E8</v>
      </c>
      <c r="D148" s="11" t="s">
        <v>288</v>
      </c>
      <c r="E148" s="11" t="s">
        <v>22</v>
      </c>
      <c r="F148" s="14"/>
      <c r="G148" s="15"/>
    </row>
    <row r="149" ht="22.5" customHeight="1">
      <c r="A149" s="10">
        <v>36.0</v>
      </c>
      <c r="B149" s="11" t="s">
        <v>289</v>
      </c>
      <c r="C149" s="11">
        <v>2.52610432E8</v>
      </c>
      <c r="D149" s="11" t="s">
        <v>290</v>
      </c>
      <c r="E149" s="11" t="s">
        <v>19</v>
      </c>
      <c r="F149" s="14"/>
      <c r="G149" s="15"/>
    </row>
    <row r="150" ht="22.5" customHeight="1">
      <c r="A150" s="10">
        <v>37.0</v>
      </c>
      <c r="B150" s="11" t="s">
        <v>291</v>
      </c>
      <c r="C150" s="11">
        <v>2.52610438E8</v>
      </c>
      <c r="D150" s="11" t="s">
        <v>292</v>
      </c>
      <c r="E150" s="11" t="s">
        <v>22</v>
      </c>
      <c r="F150" s="14"/>
      <c r="G150" s="15"/>
    </row>
    <row r="151" ht="22.5" customHeight="1">
      <c r="A151" s="10">
        <v>38.0</v>
      </c>
      <c r="B151" s="11" t="s">
        <v>293</v>
      </c>
      <c r="C151" s="11">
        <v>2.52610439E8</v>
      </c>
      <c r="D151" s="11" t="s">
        <v>294</v>
      </c>
      <c r="E151" s="11" t="s">
        <v>22</v>
      </c>
      <c r="F151" s="14"/>
      <c r="G151" s="15"/>
    </row>
    <row r="152" ht="22.5" customHeight="1">
      <c r="A152" s="10">
        <v>39.0</v>
      </c>
      <c r="B152" s="11" t="s">
        <v>295</v>
      </c>
      <c r="C152" s="11">
        <v>2.52610461E8</v>
      </c>
      <c r="D152" s="11" t="s">
        <v>296</v>
      </c>
      <c r="E152" s="11" t="s">
        <v>22</v>
      </c>
      <c r="F152" s="14"/>
      <c r="G152" s="15"/>
    </row>
    <row r="153" ht="22.5" customHeight="1">
      <c r="A153" s="10">
        <v>40.0</v>
      </c>
      <c r="B153" s="11" t="s">
        <v>297</v>
      </c>
      <c r="C153" s="11">
        <v>2.52610485E8</v>
      </c>
      <c r="D153" s="11" t="s">
        <v>298</v>
      </c>
      <c r="E153" s="11" t="s">
        <v>19</v>
      </c>
      <c r="F153" s="14"/>
      <c r="G153" s="15"/>
    </row>
    <row r="154" ht="22.5" customHeight="1">
      <c r="A154" s="10">
        <v>41.0</v>
      </c>
      <c r="B154" s="11" t="s">
        <v>299</v>
      </c>
      <c r="C154" s="11">
        <v>2.52610501E8</v>
      </c>
      <c r="D154" s="11" t="s">
        <v>300</v>
      </c>
      <c r="E154" s="11" t="s">
        <v>22</v>
      </c>
      <c r="F154" s="14"/>
      <c r="G154" s="15"/>
    </row>
    <row r="155" ht="22.5" customHeight="1">
      <c r="A155" s="10">
        <v>42.0</v>
      </c>
      <c r="B155" s="11" t="s">
        <v>301</v>
      </c>
      <c r="C155" s="11">
        <v>2.5261052E8</v>
      </c>
      <c r="D155" s="11" t="s">
        <v>302</v>
      </c>
      <c r="E155" s="11" t="s">
        <v>22</v>
      </c>
      <c r="F155" s="14"/>
      <c r="G155" s="15"/>
    </row>
    <row r="156" ht="22.5" customHeight="1">
      <c r="A156" s="10">
        <v>43.0</v>
      </c>
      <c r="B156" s="11" t="s">
        <v>303</v>
      </c>
      <c r="C156" s="11">
        <v>2.52610555E8</v>
      </c>
      <c r="D156" s="11" t="s">
        <v>304</v>
      </c>
      <c r="E156" s="11" t="s">
        <v>22</v>
      </c>
      <c r="F156" s="14"/>
      <c r="G156" s="15"/>
    </row>
    <row r="157" ht="22.5" customHeight="1">
      <c r="A157" s="10">
        <v>44.0</v>
      </c>
      <c r="B157" s="11" t="s">
        <v>305</v>
      </c>
      <c r="C157" s="11">
        <v>2.52610556E8</v>
      </c>
      <c r="D157" s="11" t="s">
        <v>306</v>
      </c>
      <c r="E157" s="11" t="s">
        <v>22</v>
      </c>
      <c r="F157" s="14"/>
      <c r="G157" s="15"/>
    </row>
    <row r="158" ht="22.5" customHeight="1">
      <c r="A158" s="10">
        <v>45.0</v>
      </c>
      <c r="B158" s="11" t="s">
        <v>307</v>
      </c>
      <c r="C158" s="11">
        <v>2.52610247E8</v>
      </c>
      <c r="D158" s="11" t="s">
        <v>308</v>
      </c>
      <c r="E158" s="11" t="s">
        <v>22</v>
      </c>
      <c r="F158" s="14"/>
      <c r="G158" s="15"/>
    </row>
    <row r="159" ht="22.5" customHeight="1">
      <c r="A159" s="15"/>
      <c r="B159" s="15"/>
      <c r="C159" s="15"/>
      <c r="D159" s="8"/>
      <c r="E159" s="8"/>
      <c r="F159" s="14"/>
      <c r="G159" s="15"/>
    </row>
    <row r="160" ht="22.5" customHeight="1">
      <c r="A160" s="15"/>
      <c r="B160" s="15"/>
      <c r="C160" s="16"/>
      <c r="D160" s="11" t="s">
        <v>115</v>
      </c>
      <c r="E160" s="11" t="str">
        <f>COUNTIF(R[-46]C[0]:R[-2]C[0],"P")</f>
        <v>#ERROR!</v>
      </c>
      <c r="F160" s="14"/>
      <c r="G160" s="15"/>
    </row>
    <row r="161" ht="22.5" customHeight="1">
      <c r="A161" s="15"/>
      <c r="B161" s="15"/>
      <c r="C161" s="16"/>
      <c r="D161" s="11" t="s">
        <v>116</v>
      </c>
      <c r="E161" s="11" t="str">
        <f>COUNTIF(R[-47]C[0]:R[-3]C[0],"L")</f>
        <v>#ERROR!</v>
      </c>
      <c r="F161" s="14"/>
      <c r="G161" s="15"/>
    </row>
    <row r="162" ht="22.5" customHeight="1">
      <c r="A162" s="15"/>
      <c r="B162" s="15"/>
      <c r="C162" s="15"/>
      <c r="D162" s="15"/>
      <c r="E162" s="15"/>
      <c r="F162" s="14"/>
      <c r="G162" s="15"/>
    </row>
    <row r="163" ht="22.5" customHeight="1">
      <c r="A163" s="8" t="s">
        <v>309</v>
      </c>
      <c r="B163" s="8"/>
      <c r="C163" s="8"/>
      <c r="D163" s="8"/>
      <c r="E163" s="8" t="s">
        <v>310</v>
      </c>
      <c r="F163" s="14"/>
      <c r="G163" s="15"/>
    </row>
    <row r="164" ht="22.5" customHeight="1">
      <c r="A164" s="10" t="s">
        <v>10</v>
      </c>
      <c r="B164" s="11" t="s">
        <v>11</v>
      </c>
      <c r="C164" s="11" t="s">
        <v>12</v>
      </c>
      <c r="D164" s="11" t="s">
        <v>13</v>
      </c>
      <c r="E164" s="11" t="s">
        <v>14</v>
      </c>
      <c r="F164" s="12" t="s">
        <v>119</v>
      </c>
      <c r="G164" s="13" t="s">
        <v>120</v>
      </c>
    </row>
    <row r="165" ht="22.5" customHeight="1">
      <c r="A165" s="10">
        <v>1.0</v>
      </c>
      <c r="B165" s="11" t="s">
        <v>311</v>
      </c>
      <c r="C165" s="11">
        <v>2.52610016E8</v>
      </c>
      <c r="D165" s="11" t="s">
        <v>312</v>
      </c>
      <c r="E165" s="11" t="s">
        <v>19</v>
      </c>
      <c r="F165" s="14"/>
      <c r="G165" s="15"/>
    </row>
    <row r="166" ht="22.5" customHeight="1">
      <c r="A166" s="10">
        <v>2.0</v>
      </c>
      <c r="B166" s="11" t="s">
        <v>313</v>
      </c>
      <c r="C166" s="11">
        <v>2.52610018E8</v>
      </c>
      <c r="D166" s="11" t="s">
        <v>314</v>
      </c>
      <c r="E166" s="11" t="s">
        <v>19</v>
      </c>
      <c r="F166" s="14"/>
      <c r="G166" s="15"/>
    </row>
    <row r="167" ht="22.5" customHeight="1">
      <c r="A167" s="10">
        <v>3.0</v>
      </c>
      <c r="B167" s="11" t="s">
        <v>315</v>
      </c>
      <c r="C167" s="11">
        <v>2.52610038E8</v>
      </c>
      <c r="D167" s="11" t="s">
        <v>316</v>
      </c>
      <c r="E167" s="11" t="s">
        <v>19</v>
      </c>
      <c r="F167" s="14"/>
      <c r="G167" s="15"/>
    </row>
    <row r="168" ht="22.5" customHeight="1">
      <c r="A168" s="10">
        <v>4.0</v>
      </c>
      <c r="B168" s="11" t="s">
        <v>317</v>
      </c>
      <c r="C168" s="11">
        <v>2.52610045E8</v>
      </c>
      <c r="D168" s="11" t="s">
        <v>318</v>
      </c>
      <c r="E168" s="11" t="s">
        <v>22</v>
      </c>
      <c r="F168" s="14"/>
      <c r="G168" s="15"/>
    </row>
    <row r="169" ht="22.5" customHeight="1">
      <c r="A169" s="10">
        <v>5.0</v>
      </c>
      <c r="B169" s="11" t="s">
        <v>319</v>
      </c>
      <c r="C169" s="11">
        <v>2.52610049E8</v>
      </c>
      <c r="D169" s="11" t="s">
        <v>320</v>
      </c>
      <c r="E169" s="11" t="s">
        <v>22</v>
      </c>
      <c r="F169" s="14"/>
      <c r="G169" s="15"/>
    </row>
    <row r="170" ht="22.5" customHeight="1">
      <c r="A170" s="10">
        <v>6.0</v>
      </c>
      <c r="B170" s="11" t="s">
        <v>321</v>
      </c>
      <c r="C170" s="11">
        <v>2.52610056E8</v>
      </c>
      <c r="D170" s="11" t="s">
        <v>322</v>
      </c>
      <c r="E170" s="11" t="s">
        <v>22</v>
      </c>
      <c r="F170" s="14"/>
      <c r="G170" s="15"/>
    </row>
    <row r="171" ht="22.5" customHeight="1">
      <c r="A171" s="10">
        <v>7.0</v>
      </c>
      <c r="B171" s="11" t="s">
        <v>323</v>
      </c>
      <c r="C171" s="11">
        <v>2.52610069E8</v>
      </c>
      <c r="D171" s="11" t="s">
        <v>324</v>
      </c>
      <c r="E171" s="11" t="s">
        <v>22</v>
      </c>
      <c r="F171" s="14"/>
      <c r="G171" s="15"/>
    </row>
    <row r="172" ht="22.5" customHeight="1">
      <c r="A172" s="10">
        <v>8.0</v>
      </c>
      <c r="B172" s="11" t="s">
        <v>325</v>
      </c>
      <c r="C172" s="11">
        <v>2.52610074E8</v>
      </c>
      <c r="D172" s="11" t="s">
        <v>326</v>
      </c>
      <c r="E172" s="11" t="s">
        <v>22</v>
      </c>
      <c r="F172" s="14"/>
      <c r="G172" s="15"/>
    </row>
    <row r="173" ht="22.5" customHeight="1">
      <c r="A173" s="10">
        <v>9.0</v>
      </c>
      <c r="B173" s="11" t="s">
        <v>327</v>
      </c>
      <c r="C173" s="11">
        <v>2.52610132E8</v>
      </c>
      <c r="D173" s="11" t="s">
        <v>328</v>
      </c>
      <c r="E173" s="11" t="s">
        <v>22</v>
      </c>
      <c r="F173" s="14"/>
      <c r="G173" s="15"/>
    </row>
    <row r="174" ht="22.5" customHeight="1">
      <c r="A174" s="10">
        <v>10.0</v>
      </c>
      <c r="B174" s="11" t="s">
        <v>329</v>
      </c>
      <c r="C174" s="11">
        <v>2.52610155E8</v>
      </c>
      <c r="D174" s="11" t="s">
        <v>330</v>
      </c>
      <c r="E174" s="11" t="s">
        <v>22</v>
      </c>
      <c r="F174" s="14"/>
      <c r="G174" s="15"/>
    </row>
    <row r="175" ht="22.5" customHeight="1">
      <c r="A175" s="10">
        <v>11.0</v>
      </c>
      <c r="B175" s="11" t="s">
        <v>331</v>
      </c>
      <c r="C175" s="11">
        <v>2.52610162E8</v>
      </c>
      <c r="D175" s="11" t="s">
        <v>332</v>
      </c>
      <c r="E175" s="11" t="s">
        <v>19</v>
      </c>
      <c r="F175" s="14"/>
      <c r="G175" s="15"/>
    </row>
    <row r="176" ht="22.5" customHeight="1">
      <c r="A176" s="10">
        <v>12.0</v>
      </c>
      <c r="B176" s="11" t="s">
        <v>333</v>
      </c>
      <c r="C176" s="11">
        <v>2.52610173E8</v>
      </c>
      <c r="D176" s="11" t="s">
        <v>334</v>
      </c>
      <c r="E176" s="11" t="s">
        <v>22</v>
      </c>
      <c r="F176" s="14"/>
      <c r="G176" s="15"/>
    </row>
    <row r="177" ht="22.5" customHeight="1">
      <c r="A177" s="10">
        <v>13.0</v>
      </c>
      <c r="B177" s="11" t="s">
        <v>335</v>
      </c>
      <c r="C177" s="11">
        <v>2.52610183E8</v>
      </c>
      <c r="D177" s="11" t="s">
        <v>336</v>
      </c>
      <c r="E177" s="11" t="s">
        <v>19</v>
      </c>
      <c r="F177" s="14"/>
      <c r="G177" s="15"/>
    </row>
    <row r="178" ht="22.5" customHeight="1">
      <c r="A178" s="10">
        <v>14.0</v>
      </c>
      <c r="B178" s="11" t="s">
        <v>337</v>
      </c>
      <c r="C178" s="11">
        <v>2.52610188E8</v>
      </c>
      <c r="D178" s="11" t="s">
        <v>338</v>
      </c>
      <c r="E178" s="11" t="s">
        <v>19</v>
      </c>
      <c r="F178" s="14"/>
      <c r="G178" s="15"/>
    </row>
    <row r="179" ht="22.5" customHeight="1">
      <c r="A179" s="10">
        <v>15.0</v>
      </c>
      <c r="B179" s="11" t="s">
        <v>339</v>
      </c>
      <c r="C179" s="11">
        <v>2.52610191E8</v>
      </c>
      <c r="D179" s="11" t="s">
        <v>340</v>
      </c>
      <c r="E179" s="11" t="s">
        <v>19</v>
      </c>
      <c r="F179" s="14"/>
      <c r="G179" s="15"/>
    </row>
    <row r="180" ht="22.5" customHeight="1">
      <c r="A180" s="10">
        <v>16.0</v>
      </c>
      <c r="B180" s="11" t="s">
        <v>341</v>
      </c>
      <c r="C180" s="11">
        <v>2.52610216E8</v>
      </c>
      <c r="D180" s="11" t="s">
        <v>342</v>
      </c>
      <c r="E180" s="11" t="s">
        <v>22</v>
      </c>
      <c r="F180" s="14"/>
      <c r="G180" s="15"/>
    </row>
    <row r="181" ht="22.5" customHeight="1">
      <c r="A181" s="10">
        <v>17.0</v>
      </c>
      <c r="B181" s="11" t="s">
        <v>343</v>
      </c>
      <c r="C181" s="11">
        <v>2.52610233E8</v>
      </c>
      <c r="D181" s="11" t="s">
        <v>344</v>
      </c>
      <c r="E181" s="11" t="s">
        <v>22</v>
      </c>
      <c r="F181" s="14"/>
      <c r="G181" s="15"/>
    </row>
    <row r="182" ht="22.5" customHeight="1">
      <c r="A182" s="10">
        <v>18.0</v>
      </c>
      <c r="B182" s="11" t="s">
        <v>345</v>
      </c>
      <c r="C182" s="11">
        <v>2.52610258E8</v>
      </c>
      <c r="D182" s="11" t="s">
        <v>346</v>
      </c>
      <c r="E182" s="11" t="s">
        <v>22</v>
      </c>
      <c r="F182" s="14"/>
      <c r="G182" s="15"/>
    </row>
    <row r="183" ht="22.5" customHeight="1">
      <c r="A183" s="10">
        <v>19.0</v>
      </c>
      <c r="B183" s="11" t="s">
        <v>347</v>
      </c>
      <c r="C183" s="11">
        <v>2.5261026E8</v>
      </c>
      <c r="D183" s="11" t="s">
        <v>348</v>
      </c>
      <c r="E183" s="11" t="s">
        <v>22</v>
      </c>
      <c r="F183" s="14"/>
      <c r="G183" s="15"/>
    </row>
    <row r="184" ht="22.5" customHeight="1">
      <c r="A184" s="10">
        <v>20.0</v>
      </c>
      <c r="B184" s="11" t="s">
        <v>349</v>
      </c>
      <c r="C184" s="11">
        <v>2.52610266E8</v>
      </c>
      <c r="D184" s="11" t="s">
        <v>350</v>
      </c>
      <c r="E184" s="11" t="s">
        <v>22</v>
      </c>
      <c r="F184" s="14"/>
      <c r="G184" s="15"/>
    </row>
    <row r="185" ht="22.5" customHeight="1">
      <c r="A185" s="10">
        <v>21.0</v>
      </c>
      <c r="B185" s="11" t="s">
        <v>351</v>
      </c>
      <c r="C185" s="11">
        <v>2.52610275E8</v>
      </c>
      <c r="D185" s="11" t="s">
        <v>352</v>
      </c>
      <c r="E185" s="11" t="s">
        <v>19</v>
      </c>
      <c r="F185" s="14"/>
      <c r="G185" s="15"/>
    </row>
    <row r="186" ht="22.5" customHeight="1">
      <c r="A186" s="10">
        <v>22.0</v>
      </c>
      <c r="B186" s="11" t="s">
        <v>353</v>
      </c>
      <c r="C186" s="11">
        <v>2.52610282E8</v>
      </c>
      <c r="D186" s="11" t="s">
        <v>354</v>
      </c>
      <c r="E186" s="11" t="s">
        <v>22</v>
      </c>
      <c r="F186" s="14"/>
      <c r="G186" s="15"/>
    </row>
    <row r="187" ht="22.5" customHeight="1">
      <c r="A187" s="10">
        <v>23.0</v>
      </c>
      <c r="B187" s="11" t="s">
        <v>355</v>
      </c>
      <c r="C187" s="11">
        <v>2.52610294E8</v>
      </c>
      <c r="D187" s="11" t="s">
        <v>356</v>
      </c>
      <c r="E187" s="11" t="s">
        <v>22</v>
      </c>
      <c r="F187" s="14"/>
      <c r="G187" s="15"/>
    </row>
    <row r="188" ht="22.5" customHeight="1">
      <c r="A188" s="10">
        <v>24.0</v>
      </c>
      <c r="B188" s="11" t="s">
        <v>357</v>
      </c>
      <c r="C188" s="11">
        <v>2.52610306E8</v>
      </c>
      <c r="D188" s="11" t="s">
        <v>358</v>
      </c>
      <c r="E188" s="11" t="s">
        <v>22</v>
      </c>
      <c r="F188" s="14"/>
      <c r="G188" s="15"/>
    </row>
    <row r="189" ht="22.5" customHeight="1">
      <c r="A189" s="10">
        <v>25.0</v>
      </c>
      <c r="B189" s="11" t="s">
        <v>359</v>
      </c>
      <c r="C189" s="11">
        <v>2.52610309E8</v>
      </c>
      <c r="D189" s="11" t="s">
        <v>360</v>
      </c>
      <c r="E189" s="11" t="s">
        <v>22</v>
      </c>
      <c r="F189" s="14"/>
      <c r="G189" s="15"/>
    </row>
    <row r="190" ht="22.5" customHeight="1">
      <c r="A190" s="10">
        <v>26.0</v>
      </c>
      <c r="B190" s="11" t="s">
        <v>361</v>
      </c>
      <c r="C190" s="11">
        <v>2.52610329E8</v>
      </c>
      <c r="D190" s="11" t="s">
        <v>362</v>
      </c>
      <c r="E190" s="11" t="s">
        <v>19</v>
      </c>
      <c r="F190" s="14"/>
      <c r="G190" s="15"/>
    </row>
    <row r="191" ht="22.5" customHeight="1">
      <c r="A191" s="10">
        <v>27.0</v>
      </c>
      <c r="B191" s="11" t="s">
        <v>363</v>
      </c>
      <c r="C191" s="11">
        <v>2.52610357E8</v>
      </c>
      <c r="D191" s="11" t="s">
        <v>364</v>
      </c>
      <c r="E191" s="11" t="s">
        <v>19</v>
      </c>
      <c r="F191" s="14"/>
      <c r="G191" s="15"/>
    </row>
    <row r="192" ht="22.5" customHeight="1">
      <c r="A192" s="10">
        <v>28.0</v>
      </c>
      <c r="B192" s="11" t="s">
        <v>365</v>
      </c>
      <c r="C192" s="11">
        <v>2.52610363E8</v>
      </c>
      <c r="D192" s="11" t="s">
        <v>366</v>
      </c>
      <c r="E192" s="11" t="s">
        <v>19</v>
      </c>
      <c r="F192" s="14"/>
      <c r="G192" s="15"/>
    </row>
    <row r="193" ht="22.5" customHeight="1">
      <c r="A193" s="10">
        <v>29.0</v>
      </c>
      <c r="B193" s="11" t="s">
        <v>367</v>
      </c>
      <c r="C193" s="11">
        <v>2.52610373E8</v>
      </c>
      <c r="D193" s="11" t="s">
        <v>368</v>
      </c>
      <c r="E193" s="11" t="s">
        <v>19</v>
      </c>
      <c r="F193" s="14"/>
      <c r="G193" s="15"/>
    </row>
    <row r="194" ht="22.5" customHeight="1">
      <c r="A194" s="10">
        <v>30.0</v>
      </c>
      <c r="B194" s="11" t="s">
        <v>369</v>
      </c>
      <c r="C194" s="11">
        <v>2.52610378E8</v>
      </c>
      <c r="D194" s="11" t="s">
        <v>370</v>
      </c>
      <c r="E194" s="11" t="s">
        <v>19</v>
      </c>
      <c r="F194" s="14"/>
      <c r="G194" s="15"/>
    </row>
    <row r="195" ht="22.5" customHeight="1">
      <c r="A195" s="10">
        <v>31.0</v>
      </c>
      <c r="B195" s="11" t="s">
        <v>371</v>
      </c>
      <c r="C195" s="11">
        <v>2.52610382E8</v>
      </c>
      <c r="D195" s="11" t="s">
        <v>372</v>
      </c>
      <c r="E195" s="11" t="s">
        <v>22</v>
      </c>
      <c r="F195" s="14"/>
      <c r="G195" s="15"/>
    </row>
    <row r="196" ht="22.5" customHeight="1">
      <c r="A196" s="10">
        <v>32.0</v>
      </c>
      <c r="B196" s="11" t="s">
        <v>373</v>
      </c>
      <c r="C196" s="11">
        <v>2.52610433E8</v>
      </c>
      <c r="D196" s="11" t="s">
        <v>374</v>
      </c>
      <c r="E196" s="11" t="s">
        <v>22</v>
      </c>
      <c r="F196" s="14"/>
      <c r="G196" s="15"/>
    </row>
    <row r="197" ht="22.5" customHeight="1">
      <c r="A197" s="10">
        <v>33.0</v>
      </c>
      <c r="B197" s="11" t="s">
        <v>375</v>
      </c>
      <c r="C197" s="11">
        <v>2.52610435E8</v>
      </c>
      <c r="D197" s="11" t="s">
        <v>376</v>
      </c>
      <c r="E197" s="11" t="s">
        <v>19</v>
      </c>
      <c r="F197" s="14"/>
      <c r="G197" s="15"/>
    </row>
    <row r="198" ht="22.5" customHeight="1">
      <c r="A198" s="10">
        <v>34.0</v>
      </c>
      <c r="B198" s="11" t="s">
        <v>377</v>
      </c>
      <c r="C198" s="11">
        <v>2.52610447E8</v>
      </c>
      <c r="D198" s="11" t="s">
        <v>378</v>
      </c>
      <c r="E198" s="11" t="s">
        <v>19</v>
      </c>
      <c r="F198" s="14"/>
      <c r="G198" s="15"/>
    </row>
    <row r="199" ht="22.5" customHeight="1">
      <c r="A199" s="10">
        <v>35.0</v>
      </c>
      <c r="B199" s="11" t="s">
        <v>379</v>
      </c>
      <c r="C199" s="11">
        <v>2.52610472E8</v>
      </c>
      <c r="D199" s="11" t="s">
        <v>380</v>
      </c>
      <c r="E199" s="11" t="s">
        <v>19</v>
      </c>
      <c r="F199" s="14"/>
      <c r="G199" s="15"/>
    </row>
    <row r="200" ht="22.5" customHeight="1">
      <c r="A200" s="10">
        <v>36.0</v>
      </c>
      <c r="B200" s="11" t="s">
        <v>381</v>
      </c>
      <c r="C200" s="11">
        <v>2.52610475E8</v>
      </c>
      <c r="D200" s="11" t="s">
        <v>382</v>
      </c>
      <c r="E200" s="11" t="s">
        <v>19</v>
      </c>
      <c r="F200" s="14"/>
      <c r="G200" s="15"/>
    </row>
    <row r="201" ht="22.5" customHeight="1">
      <c r="A201" s="10">
        <v>37.0</v>
      </c>
      <c r="B201" s="11" t="s">
        <v>383</v>
      </c>
      <c r="C201" s="11">
        <v>2.5261048E8</v>
      </c>
      <c r="D201" s="11" t="s">
        <v>384</v>
      </c>
      <c r="E201" s="11" t="s">
        <v>19</v>
      </c>
      <c r="F201" s="14"/>
      <c r="G201" s="15"/>
    </row>
    <row r="202" ht="22.5" customHeight="1">
      <c r="A202" s="10">
        <v>38.0</v>
      </c>
      <c r="B202" s="11" t="s">
        <v>385</v>
      </c>
      <c r="C202" s="11">
        <v>2.52610483E8</v>
      </c>
      <c r="D202" s="11" t="s">
        <v>386</v>
      </c>
      <c r="E202" s="11" t="s">
        <v>22</v>
      </c>
      <c r="F202" s="14"/>
      <c r="G202" s="15"/>
    </row>
    <row r="203" ht="22.5" customHeight="1">
      <c r="A203" s="10">
        <v>39.0</v>
      </c>
      <c r="B203" s="11" t="s">
        <v>387</v>
      </c>
      <c r="C203" s="11">
        <v>2.52610492E8</v>
      </c>
      <c r="D203" s="11" t="s">
        <v>388</v>
      </c>
      <c r="E203" s="11" t="s">
        <v>19</v>
      </c>
      <c r="F203" s="14"/>
      <c r="G203" s="15"/>
    </row>
    <row r="204" ht="22.5" customHeight="1">
      <c r="A204" s="10">
        <v>40.0</v>
      </c>
      <c r="B204" s="11" t="s">
        <v>389</v>
      </c>
      <c r="C204" s="11">
        <v>2.52610512E8</v>
      </c>
      <c r="D204" s="11" t="s">
        <v>390</v>
      </c>
      <c r="E204" s="11" t="s">
        <v>22</v>
      </c>
      <c r="F204" s="14"/>
      <c r="G204" s="15"/>
    </row>
    <row r="205" ht="22.5" customHeight="1">
      <c r="A205" s="10">
        <v>41.0</v>
      </c>
      <c r="B205" s="11" t="s">
        <v>391</v>
      </c>
      <c r="C205" s="11">
        <v>2.52610514E8</v>
      </c>
      <c r="D205" s="11" t="s">
        <v>392</v>
      </c>
      <c r="E205" s="11" t="s">
        <v>22</v>
      </c>
      <c r="F205" s="14"/>
      <c r="G205" s="15"/>
    </row>
    <row r="206" ht="22.5" customHeight="1">
      <c r="A206" s="10">
        <v>42.0</v>
      </c>
      <c r="B206" s="11" t="s">
        <v>393</v>
      </c>
      <c r="C206" s="11">
        <v>2.52610515E8</v>
      </c>
      <c r="D206" s="11" t="s">
        <v>394</v>
      </c>
      <c r="E206" s="11" t="s">
        <v>22</v>
      </c>
      <c r="F206" s="14"/>
      <c r="G206" s="15"/>
    </row>
    <row r="207" ht="22.5" customHeight="1">
      <c r="A207" s="10">
        <v>43.0</v>
      </c>
      <c r="B207" s="11" t="s">
        <v>395</v>
      </c>
      <c r="C207" s="11">
        <v>2.52610519E8</v>
      </c>
      <c r="D207" s="11" t="s">
        <v>396</v>
      </c>
      <c r="E207" s="11" t="s">
        <v>22</v>
      </c>
      <c r="F207" s="14"/>
      <c r="G207" s="15"/>
    </row>
    <row r="208" ht="22.5" customHeight="1">
      <c r="A208" s="10">
        <v>44.0</v>
      </c>
      <c r="B208" s="11" t="s">
        <v>397</v>
      </c>
      <c r="C208" s="11">
        <v>2.52610533E8</v>
      </c>
      <c r="D208" s="11" t="s">
        <v>398</v>
      </c>
      <c r="E208" s="11" t="s">
        <v>22</v>
      </c>
      <c r="F208" s="14"/>
      <c r="G208" s="15"/>
    </row>
    <row r="209" ht="22.5" customHeight="1">
      <c r="A209" s="10">
        <v>45.0</v>
      </c>
      <c r="B209" s="11" t="s">
        <v>399</v>
      </c>
      <c r="C209" s="11">
        <v>2.52610534E8</v>
      </c>
      <c r="D209" s="11" t="s">
        <v>400</v>
      </c>
      <c r="E209" s="11" t="s">
        <v>22</v>
      </c>
      <c r="F209" s="14"/>
      <c r="G209" s="15"/>
    </row>
    <row r="210" ht="22.5" customHeight="1">
      <c r="A210" s="10">
        <v>46.0</v>
      </c>
      <c r="B210" s="11" t="s">
        <v>401</v>
      </c>
      <c r="C210" s="11">
        <v>2.52610544E8</v>
      </c>
      <c r="D210" s="11" t="s">
        <v>402</v>
      </c>
      <c r="E210" s="11" t="s">
        <v>22</v>
      </c>
      <c r="F210" s="14"/>
      <c r="G210" s="15"/>
    </row>
    <row r="211" ht="22.5" customHeight="1">
      <c r="A211" s="15"/>
      <c r="B211" s="15"/>
      <c r="C211" s="15"/>
      <c r="D211" s="8"/>
      <c r="E211" s="8"/>
      <c r="F211" s="14"/>
      <c r="G211" s="15"/>
    </row>
    <row r="212" ht="22.5" customHeight="1">
      <c r="A212" s="15"/>
      <c r="B212" s="15"/>
      <c r="C212" s="16"/>
      <c r="D212" s="11" t="s">
        <v>115</v>
      </c>
      <c r="E212" s="11" t="str">
        <f>COUNTIF(R[-47]C[0]:R[-2]C[0],"P")</f>
        <v>#ERROR!</v>
      </c>
      <c r="F212" s="14"/>
      <c r="G212" s="15"/>
    </row>
    <row r="213" ht="22.5" customHeight="1">
      <c r="A213" s="15"/>
      <c r="B213" s="15"/>
      <c r="C213" s="16"/>
      <c r="D213" s="11" t="s">
        <v>116</v>
      </c>
      <c r="E213" s="11" t="str">
        <f>COUNTIF(R[-48]C[0]:R[-3]C[0],"L")</f>
        <v>#ERROR!</v>
      </c>
      <c r="F213" s="14"/>
      <c r="G213" s="15"/>
    </row>
    <row r="214" ht="22.5" customHeight="1">
      <c r="A214" s="15"/>
      <c r="B214" s="15"/>
      <c r="C214" s="15"/>
      <c r="D214" s="15"/>
      <c r="E214" s="15"/>
      <c r="F214" s="14"/>
      <c r="G214" s="15"/>
    </row>
    <row r="215" ht="22.5" customHeight="1">
      <c r="A215" s="8" t="s">
        <v>403</v>
      </c>
      <c r="B215" s="8"/>
      <c r="C215" s="8"/>
      <c r="D215" s="8"/>
      <c r="E215" s="8" t="s">
        <v>404</v>
      </c>
      <c r="F215" s="14"/>
      <c r="G215" s="15"/>
    </row>
    <row r="216" ht="22.5" customHeight="1">
      <c r="A216" s="10" t="s">
        <v>10</v>
      </c>
      <c r="B216" s="11" t="s">
        <v>11</v>
      </c>
      <c r="C216" s="11" t="s">
        <v>12</v>
      </c>
      <c r="D216" s="11" t="s">
        <v>13</v>
      </c>
      <c r="E216" s="11" t="s">
        <v>14</v>
      </c>
      <c r="F216" s="12" t="s">
        <v>119</v>
      </c>
      <c r="G216" s="13" t="s">
        <v>120</v>
      </c>
    </row>
    <row r="217" ht="22.5" customHeight="1">
      <c r="A217" s="10">
        <v>1.0</v>
      </c>
      <c r="B217" s="11" t="s">
        <v>405</v>
      </c>
      <c r="C217" s="11">
        <v>2.52610004E8</v>
      </c>
      <c r="D217" s="11" t="s">
        <v>406</v>
      </c>
      <c r="E217" s="11" t="s">
        <v>19</v>
      </c>
      <c r="F217" s="14"/>
      <c r="G217" s="15"/>
    </row>
    <row r="218" ht="22.5" customHeight="1">
      <c r="A218" s="10">
        <v>2.0</v>
      </c>
      <c r="B218" s="11" t="s">
        <v>407</v>
      </c>
      <c r="C218" s="11">
        <v>2.52610013E8</v>
      </c>
      <c r="D218" s="11" t="s">
        <v>408</v>
      </c>
      <c r="E218" s="11" t="s">
        <v>19</v>
      </c>
      <c r="F218" s="14"/>
      <c r="G218" s="15"/>
    </row>
    <row r="219" ht="22.5" customHeight="1">
      <c r="A219" s="10">
        <v>3.0</v>
      </c>
      <c r="B219" s="11" t="s">
        <v>409</v>
      </c>
      <c r="C219" s="11">
        <v>2.52610022E8</v>
      </c>
      <c r="D219" s="11" t="s">
        <v>410</v>
      </c>
      <c r="E219" s="11" t="s">
        <v>22</v>
      </c>
      <c r="F219" s="14"/>
      <c r="G219" s="15"/>
    </row>
    <row r="220" ht="22.5" customHeight="1">
      <c r="A220" s="10">
        <v>4.0</v>
      </c>
      <c r="B220" s="11" t="s">
        <v>411</v>
      </c>
      <c r="C220" s="11">
        <v>2.52610024E8</v>
      </c>
      <c r="D220" s="11" t="s">
        <v>412</v>
      </c>
      <c r="E220" s="11" t="s">
        <v>22</v>
      </c>
      <c r="F220" s="14"/>
      <c r="G220" s="15"/>
    </row>
    <row r="221" ht="22.5" customHeight="1">
      <c r="A221" s="10">
        <v>5.0</v>
      </c>
      <c r="B221" s="11" t="s">
        <v>413</v>
      </c>
      <c r="C221" s="11">
        <v>2.52610034E8</v>
      </c>
      <c r="D221" s="11" t="s">
        <v>414</v>
      </c>
      <c r="E221" s="11" t="s">
        <v>19</v>
      </c>
      <c r="F221" s="14"/>
      <c r="G221" s="15"/>
    </row>
    <row r="222" ht="22.5" customHeight="1">
      <c r="A222" s="10">
        <v>6.0</v>
      </c>
      <c r="B222" s="11" t="s">
        <v>415</v>
      </c>
      <c r="C222" s="11">
        <v>2.52610043E8</v>
      </c>
      <c r="D222" s="11" t="s">
        <v>416</v>
      </c>
      <c r="E222" s="11" t="s">
        <v>22</v>
      </c>
      <c r="F222" s="14"/>
      <c r="G222" s="15"/>
    </row>
    <row r="223" ht="22.5" customHeight="1">
      <c r="A223" s="10">
        <v>7.0</v>
      </c>
      <c r="B223" s="11" t="s">
        <v>417</v>
      </c>
      <c r="C223" s="11">
        <v>2.52610055E8</v>
      </c>
      <c r="D223" s="11" t="s">
        <v>418</v>
      </c>
      <c r="E223" s="11" t="s">
        <v>22</v>
      </c>
      <c r="F223" s="14"/>
      <c r="G223" s="15"/>
    </row>
    <row r="224" ht="22.5" customHeight="1">
      <c r="A224" s="10">
        <v>8.0</v>
      </c>
      <c r="B224" s="11" t="s">
        <v>419</v>
      </c>
      <c r="C224" s="11">
        <v>2.52610057E8</v>
      </c>
      <c r="D224" s="11" t="s">
        <v>420</v>
      </c>
      <c r="E224" s="11" t="s">
        <v>22</v>
      </c>
      <c r="F224" s="14"/>
      <c r="G224" s="15"/>
    </row>
    <row r="225" ht="22.5" customHeight="1">
      <c r="A225" s="10">
        <v>9.0</v>
      </c>
      <c r="B225" s="11" t="s">
        <v>421</v>
      </c>
      <c r="C225" s="11">
        <v>2.5261006E8</v>
      </c>
      <c r="D225" s="11" t="s">
        <v>422</v>
      </c>
      <c r="E225" s="11" t="s">
        <v>19</v>
      </c>
      <c r="F225" s="14"/>
      <c r="G225" s="15"/>
    </row>
    <row r="226" ht="22.5" customHeight="1">
      <c r="A226" s="10">
        <v>10.0</v>
      </c>
      <c r="B226" s="11" t="s">
        <v>423</v>
      </c>
      <c r="C226" s="11">
        <v>2.52610067E8</v>
      </c>
      <c r="D226" s="11" t="s">
        <v>424</v>
      </c>
      <c r="E226" s="11" t="s">
        <v>22</v>
      </c>
      <c r="F226" s="14"/>
      <c r="G226" s="15"/>
    </row>
    <row r="227" ht="22.5" customHeight="1">
      <c r="A227" s="10">
        <v>11.0</v>
      </c>
      <c r="B227" s="11" t="s">
        <v>425</v>
      </c>
      <c r="C227" s="11">
        <v>2.52610115E8</v>
      </c>
      <c r="D227" s="11" t="s">
        <v>426</v>
      </c>
      <c r="E227" s="11" t="s">
        <v>19</v>
      </c>
      <c r="F227" s="14"/>
      <c r="G227" s="15"/>
    </row>
    <row r="228" ht="22.5" customHeight="1">
      <c r="A228" s="10">
        <v>12.0</v>
      </c>
      <c r="B228" s="11" t="s">
        <v>427</v>
      </c>
      <c r="C228" s="11">
        <v>2.52610123E8</v>
      </c>
      <c r="D228" s="11" t="s">
        <v>428</v>
      </c>
      <c r="E228" s="11" t="s">
        <v>22</v>
      </c>
      <c r="F228" s="14"/>
      <c r="G228" s="15"/>
    </row>
    <row r="229" ht="22.5" customHeight="1">
      <c r="A229" s="10">
        <v>13.0</v>
      </c>
      <c r="B229" s="11" t="s">
        <v>429</v>
      </c>
      <c r="C229" s="11">
        <v>2.52610163E8</v>
      </c>
      <c r="D229" s="11" t="s">
        <v>430</v>
      </c>
      <c r="E229" s="11" t="s">
        <v>22</v>
      </c>
      <c r="F229" s="14"/>
      <c r="G229" s="15"/>
    </row>
    <row r="230" ht="22.5" customHeight="1">
      <c r="A230" s="10">
        <v>14.0</v>
      </c>
      <c r="B230" s="11" t="s">
        <v>431</v>
      </c>
      <c r="C230" s="11">
        <v>2.52610166E8</v>
      </c>
      <c r="D230" s="11" t="s">
        <v>432</v>
      </c>
      <c r="E230" s="11" t="s">
        <v>22</v>
      </c>
      <c r="F230" s="14"/>
      <c r="G230" s="15"/>
    </row>
    <row r="231" ht="22.5" customHeight="1">
      <c r="A231" s="10">
        <v>15.0</v>
      </c>
      <c r="B231" s="11" t="s">
        <v>433</v>
      </c>
      <c r="C231" s="11">
        <v>2.52610177E8</v>
      </c>
      <c r="D231" s="11"/>
      <c r="E231" s="11" t="s">
        <v>19</v>
      </c>
      <c r="F231" s="14"/>
      <c r="G231" s="15"/>
    </row>
    <row r="232" ht="22.5" customHeight="1">
      <c r="A232" s="10">
        <v>16.0</v>
      </c>
      <c r="B232" s="11" t="s">
        <v>434</v>
      </c>
      <c r="C232" s="11">
        <v>2.52610192E8</v>
      </c>
      <c r="D232" s="11"/>
      <c r="E232" s="11" t="s">
        <v>19</v>
      </c>
      <c r="F232" s="14"/>
      <c r="G232" s="15"/>
    </row>
    <row r="233" ht="22.5" customHeight="1">
      <c r="A233" s="10">
        <v>17.0</v>
      </c>
      <c r="B233" s="11" t="s">
        <v>435</v>
      </c>
      <c r="C233" s="11">
        <v>2.52610205E8</v>
      </c>
      <c r="D233" s="11" t="s">
        <v>436</v>
      </c>
      <c r="E233" s="11" t="s">
        <v>22</v>
      </c>
      <c r="F233" s="14"/>
      <c r="G233" s="15"/>
    </row>
    <row r="234" ht="22.5" customHeight="1">
      <c r="A234" s="10">
        <v>18.0</v>
      </c>
      <c r="B234" s="11" t="s">
        <v>437</v>
      </c>
      <c r="C234" s="11">
        <v>2.52610229E8</v>
      </c>
      <c r="D234" s="11" t="s">
        <v>438</v>
      </c>
      <c r="E234" s="11" t="s">
        <v>22</v>
      </c>
      <c r="F234" s="14"/>
      <c r="G234" s="15"/>
    </row>
    <row r="235" ht="22.5" customHeight="1">
      <c r="A235" s="10">
        <v>19.0</v>
      </c>
      <c r="B235" s="11" t="s">
        <v>439</v>
      </c>
      <c r="C235" s="11">
        <v>2.5261023E8</v>
      </c>
      <c r="D235" s="11" t="s">
        <v>440</v>
      </c>
      <c r="E235" s="11" t="s">
        <v>19</v>
      </c>
      <c r="F235" s="14"/>
      <c r="G235" s="15"/>
    </row>
    <row r="236" ht="22.5" customHeight="1">
      <c r="A236" s="10">
        <v>20.0</v>
      </c>
      <c r="B236" s="11" t="s">
        <v>441</v>
      </c>
      <c r="C236" s="11">
        <v>2.52610245E8</v>
      </c>
      <c r="D236" s="11" t="s">
        <v>442</v>
      </c>
      <c r="E236" s="11" t="s">
        <v>22</v>
      </c>
      <c r="F236" s="14"/>
      <c r="G236" s="15"/>
    </row>
    <row r="237" ht="22.5" customHeight="1">
      <c r="A237" s="10">
        <v>21.0</v>
      </c>
      <c r="B237" s="11" t="s">
        <v>443</v>
      </c>
      <c r="C237" s="11">
        <v>2.52610281E8</v>
      </c>
      <c r="D237" s="11" t="s">
        <v>444</v>
      </c>
      <c r="E237" s="11" t="s">
        <v>22</v>
      </c>
      <c r="F237" s="14"/>
      <c r="G237" s="15"/>
    </row>
    <row r="238" ht="22.5" customHeight="1">
      <c r="A238" s="10">
        <v>22.0</v>
      </c>
      <c r="B238" s="11" t="s">
        <v>445</v>
      </c>
      <c r="C238" s="11">
        <v>2.52610286E8</v>
      </c>
      <c r="D238" s="11" t="s">
        <v>446</v>
      </c>
      <c r="E238" s="11" t="s">
        <v>22</v>
      </c>
      <c r="F238" s="14"/>
      <c r="G238" s="15"/>
    </row>
    <row r="239" ht="22.5" customHeight="1">
      <c r="A239" s="10">
        <v>23.0</v>
      </c>
      <c r="B239" s="11" t="s">
        <v>447</v>
      </c>
      <c r="C239" s="11">
        <v>2.52610299E8</v>
      </c>
      <c r="D239" s="11" t="s">
        <v>448</v>
      </c>
      <c r="E239" s="11" t="s">
        <v>22</v>
      </c>
      <c r="F239" s="14"/>
      <c r="G239" s="15"/>
    </row>
    <row r="240" ht="22.5" customHeight="1">
      <c r="A240" s="10">
        <v>24.0</v>
      </c>
      <c r="B240" s="11" t="s">
        <v>449</v>
      </c>
      <c r="C240" s="11">
        <v>2.52610322E8</v>
      </c>
      <c r="D240" s="11" t="s">
        <v>450</v>
      </c>
      <c r="E240" s="11" t="s">
        <v>19</v>
      </c>
      <c r="F240" s="14"/>
      <c r="G240" s="15"/>
    </row>
    <row r="241" ht="22.5" customHeight="1">
      <c r="A241" s="10">
        <v>25.0</v>
      </c>
      <c r="B241" s="11" t="s">
        <v>451</v>
      </c>
      <c r="C241" s="11">
        <v>2.52610323E8</v>
      </c>
      <c r="D241" s="11" t="s">
        <v>452</v>
      </c>
      <c r="E241" s="11" t="s">
        <v>19</v>
      </c>
      <c r="F241" s="14"/>
      <c r="G241" s="15"/>
    </row>
    <row r="242" ht="22.5" customHeight="1">
      <c r="A242" s="10">
        <v>26.0</v>
      </c>
      <c r="B242" s="11" t="s">
        <v>453</v>
      </c>
      <c r="C242" s="11">
        <v>2.52610361E8</v>
      </c>
      <c r="D242" s="11" t="s">
        <v>454</v>
      </c>
      <c r="E242" s="11" t="s">
        <v>19</v>
      </c>
      <c r="F242" s="14"/>
      <c r="G242" s="15"/>
    </row>
    <row r="243" ht="22.5" customHeight="1">
      <c r="A243" s="10">
        <v>27.0</v>
      </c>
      <c r="B243" s="11" t="s">
        <v>455</v>
      </c>
      <c r="C243" s="11">
        <v>2.52610366E8</v>
      </c>
      <c r="D243" s="11" t="s">
        <v>456</v>
      </c>
      <c r="E243" s="11" t="s">
        <v>19</v>
      </c>
      <c r="F243" s="14"/>
      <c r="G243" s="15"/>
    </row>
    <row r="244" ht="22.5" customHeight="1">
      <c r="A244" s="10">
        <v>28.0</v>
      </c>
      <c r="B244" s="11" t="s">
        <v>457</v>
      </c>
      <c r="C244" s="11">
        <v>2.52610374E8</v>
      </c>
      <c r="D244" s="11" t="s">
        <v>458</v>
      </c>
      <c r="E244" s="11" t="s">
        <v>19</v>
      </c>
      <c r="F244" s="14"/>
      <c r="G244" s="15"/>
    </row>
    <row r="245" ht="22.5" customHeight="1">
      <c r="A245" s="10">
        <v>29.0</v>
      </c>
      <c r="B245" s="11" t="s">
        <v>459</v>
      </c>
      <c r="C245" s="11">
        <v>2.52610379E8</v>
      </c>
      <c r="D245" s="11" t="s">
        <v>460</v>
      </c>
      <c r="E245" s="11" t="s">
        <v>19</v>
      </c>
      <c r="F245" s="14"/>
      <c r="G245" s="15"/>
    </row>
    <row r="246" ht="22.5" customHeight="1">
      <c r="A246" s="10">
        <v>30.0</v>
      </c>
      <c r="B246" s="11" t="s">
        <v>461</v>
      </c>
      <c r="C246" s="11">
        <v>2.52610384E8</v>
      </c>
      <c r="D246" s="11" t="s">
        <v>462</v>
      </c>
      <c r="E246" s="11" t="s">
        <v>22</v>
      </c>
      <c r="F246" s="14"/>
      <c r="G246" s="15"/>
    </row>
    <row r="247" ht="22.5" customHeight="1">
      <c r="A247" s="10">
        <v>31.0</v>
      </c>
      <c r="B247" s="11" t="s">
        <v>463</v>
      </c>
      <c r="C247" s="11">
        <v>2.52610401E8</v>
      </c>
      <c r="D247" s="11" t="s">
        <v>464</v>
      </c>
      <c r="E247" s="11" t="s">
        <v>19</v>
      </c>
      <c r="F247" s="14"/>
      <c r="G247" s="15"/>
    </row>
    <row r="248" ht="22.5" customHeight="1">
      <c r="A248" s="10">
        <v>32.0</v>
      </c>
      <c r="B248" s="11" t="s">
        <v>465</v>
      </c>
      <c r="C248" s="11">
        <v>2.52610412E8</v>
      </c>
      <c r="D248" s="11" t="s">
        <v>466</v>
      </c>
      <c r="E248" s="11" t="s">
        <v>22</v>
      </c>
      <c r="F248" s="14"/>
      <c r="G248" s="15"/>
    </row>
    <row r="249" ht="22.5" customHeight="1">
      <c r="A249" s="10">
        <v>33.0</v>
      </c>
      <c r="B249" s="11" t="s">
        <v>467</v>
      </c>
      <c r="C249" s="11">
        <v>2.52610414E8</v>
      </c>
      <c r="D249" s="11" t="s">
        <v>468</v>
      </c>
      <c r="E249" s="11" t="s">
        <v>22</v>
      </c>
      <c r="F249" s="14"/>
      <c r="G249" s="15"/>
    </row>
    <row r="250" ht="22.5" customHeight="1">
      <c r="A250" s="10">
        <v>34.0</v>
      </c>
      <c r="B250" s="11" t="s">
        <v>469</v>
      </c>
      <c r="C250" s="11">
        <v>2.52610427E8</v>
      </c>
      <c r="D250" s="11" t="s">
        <v>470</v>
      </c>
      <c r="E250" s="11" t="s">
        <v>22</v>
      </c>
      <c r="F250" s="14"/>
      <c r="G250" s="15"/>
    </row>
    <row r="251" ht="22.5" customHeight="1">
      <c r="A251" s="10">
        <v>35.0</v>
      </c>
      <c r="B251" s="11" t="s">
        <v>471</v>
      </c>
      <c r="C251" s="11">
        <v>2.52610429E8</v>
      </c>
      <c r="D251" s="11" t="s">
        <v>472</v>
      </c>
      <c r="E251" s="11" t="s">
        <v>19</v>
      </c>
      <c r="F251" s="14"/>
      <c r="G251" s="15"/>
    </row>
    <row r="252" ht="22.5" customHeight="1">
      <c r="A252" s="10">
        <v>36.0</v>
      </c>
      <c r="B252" s="11" t="s">
        <v>473</v>
      </c>
      <c r="C252" s="11">
        <v>2.52610437E8</v>
      </c>
      <c r="D252" s="11" t="s">
        <v>474</v>
      </c>
      <c r="E252" s="11" t="s">
        <v>22</v>
      </c>
      <c r="F252" s="14"/>
      <c r="G252" s="15"/>
    </row>
    <row r="253" ht="22.5" customHeight="1">
      <c r="A253" s="10">
        <v>37.0</v>
      </c>
      <c r="B253" s="11" t="s">
        <v>475</v>
      </c>
      <c r="C253" s="11">
        <v>2.5261045E8</v>
      </c>
      <c r="D253" s="11" t="s">
        <v>476</v>
      </c>
      <c r="E253" s="11" t="s">
        <v>22</v>
      </c>
      <c r="F253" s="14"/>
      <c r="G253" s="15"/>
    </row>
    <row r="254" ht="22.5" customHeight="1">
      <c r="A254" s="10">
        <v>38.0</v>
      </c>
      <c r="B254" s="11" t="s">
        <v>477</v>
      </c>
      <c r="C254" s="11">
        <v>2.52610451E8</v>
      </c>
      <c r="D254" s="11" t="s">
        <v>478</v>
      </c>
      <c r="E254" s="11" t="s">
        <v>22</v>
      </c>
      <c r="F254" s="14"/>
      <c r="G254" s="15"/>
    </row>
    <row r="255" ht="22.5" customHeight="1">
      <c r="A255" s="10">
        <v>39.0</v>
      </c>
      <c r="B255" s="11" t="s">
        <v>479</v>
      </c>
      <c r="C255" s="11">
        <v>2.52610471E8</v>
      </c>
      <c r="D255" s="11" t="s">
        <v>480</v>
      </c>
      <c r="E255" s="11" t="s">
        <v>19</v>
      </c>
      <c r="F255" s="14"/>
      <c r="G255" s="15"/>
    </row>
    <row r="256" ht="22.5" customHeight="1">
      <c r="A256" s="10">
        <v>40.0</v>
      </c>
      <c r="B256" s="11" t="s">
        <v>481</v>
      </c>
      <c r="C256" s="11">
        <v>2.52610481E8</v>
      </c>
      <c r="D256" s="11" t="s">
        <v>482</v>
      </c>
      <c r="E256" s="11" t="s">
        <v>22</v>
      </c>
      <c r="F256" s="14"/>
      <c r="G256" s="15"/>
    </row>
    <row r="257" ht="22.5" customHeight="1">
      <c r="A257" s="10">
        <v>41.0</v>
      </c>
      <c r="B257" s="11" t="s">
        <v>483</v>
      </c>
      <c r="C257" s="11">
        <v>2.52610488E8</v>
      </c>
      <c r="D257" s="11" t="s">
        <v>484</v>
      </c>
      <c r="E257" s="11" t="s">
        <v>22</v>
      </c>
      <c r="F257" s="14"/>
      <c r="G257" s="15"/>
    </row>
    <row r="258" ht="22.5" customHeight="1">
      <c r="A258" s="10">
        <v>42.0</v>
      </c>
      <c r="B258" s="11" t="s">
        <v>485</v>
      </c>
      <c r="C258" s="11">
        <v>2.52610507E8</v>
      </c>
      <c r="D258" s="11" t="s">
        <v>486</v>
      </c>
      <c r="E258" s="11" t="s">
        <v>22</v>
      </c>
      <c r="F258" s="14"/>
      <c r="G258" s="15"/>
    </row>
    <row r="259" ht="22.5" customHeight="1">
      <c r="A259" s="10">
        <v>43.0</v>
      </c>
      <c r="B259" s="11" t="s">
        <v>487</v>
      </c>
      <c r="C259" s="11">
        <v>2.52610535E8</v>
      </c>
      <c r="D259" s="11" t="s">
        <v>488</v>
      </c>
      <c r="E259" s="11" t="s">
        <v>22</v>
      </c>
      <c r="F259" s="14"/>
      <c r="G259" s="15"/>
    </row>
    <row r="260" ht="22.5" customHeight="1">
      <c r="A260" s="10">
        <v>44.0</v>
      </c>
      <c r="B260" s="11" t="s">
        <v>489</v>
      </c>
      <c r="C260" s="11">
        <v>2.5261054E8</v>
      </c>
      <c r="D260" s="11" t="s">
        <v>490</v>
      </c>
      <c r="E260" s="11" t="s">
        <v>22</v>
      </c>
      <c r="F260" s="14"/>
      <c r="G260" s="15"/>
    </row>
    <row r="261" ht="22.5" customHeight="1">
      <c r="A261" s="10">
        <v>45.0</v>
      </c>
      <c r="B261" s="11" t="s">
        <v>491</v>
      </c>
      <c r="C261" s="11">
        <v>2.52610543E8</v>
      </c>
      <c r="D261" s="11" t="s">
        <v>492</v>
      </c>
      <c r="E261" s="11" t="s">
        <v>22</v>
      </c>
      <c r="F261" s="14"/>
      <c r="G261" s="15"/>
    </row>
    <row r="262" ht="22.5" customHeight="1">
      <c r="A262" s="10">
        <v>46.0</v>
      </c>
      <c r="B262" s="11" t="s">
        <v>493</v>
      </c>
      <c r="C262" s="11">
        <v>2.52610549E8</v>
      </c>
      <c r="D262" s="11" t="s">
        <v>494</v>
      </c>
      <c r="E262" s="11" t="s">
        <v>19</v>
      </c>
      <c r="F262" s="14"/>
      <c r="G262" s="15"/>
    </row>
    <row r="263" ht="22.5" customHeight="1">
      <c r="A263" s="10">
        <v>47.0</v>
      </c>
      <c r="B263" s="11" t="s">
        <v>495</v>
      </c>
      <c r="C263" s="11">
        <v>2.52610554E8</v>
      </c>
      <c r="D263" s="11" t="s">
        <v>496</v>
      </c>
      <c r="E263" s="11" t="s">
        <v>22</v>
      </c>
      <c r="F263" s="14"/>
      <c r="G263" s="15"/>
    </row>
    <row r="264" ht="22.5" customHeight="1">
      <c r="A264" s="15"/>
      <c r="B264" s="15"/>
      <c r="C264" s="15"/>
      <c r="D264" s="8"/>
      <c r="E264" s="8"/>
      <c r="F264" s="14"/>
      <c r="G264" s="15"/>
    </row>
    <row r="265" ht="22.5" customHeight="1">
      <c r="A265" s="15"/>
      <c r="B265" s="15"/>
      <c r="C265" s="16"/>
      <c r="D265" s="11" t="s">
        <v>115</v>
      </c>
      <c r="E265" s="11" t="str">
        <f>COUNTIF(R[-48]C[0]:R[-2]C[0],"P")</f>
        <v>#ERROR!</v>
      </c>
      <c r="F265" s="14"/>
      <c r="G265" s="15"/>
    </row>
    <row r="266" ht="22.5" customHeight="1">
      <c r="A266" s="15"/>
      <c r="B266" s="15"/>
      <c r="C266" s="16"/>
      <c r="D266" s="11" t="s">
        <v>116</v>
      </c>
      <c r="E266" s="11" t="str">
        <f>COUNTIF(R[-49]C[0]:R[-3]C[0],"L")</f>
        <v>#ERROR!</v>
      </c>
      <c r="F266" s="14"/>
      <c r="G266" s="15"/>
    </row>
    <row r="267" ht="22.5" customHeight="1">
      <c r="A267" s="15"/>
      <c r="B267" s="15"/>
      <c r="C267" s="15"/>
      <c r="D267" s="15"/>
      <c r="E267" s="15"/>
      <c r="F267" s="14"/>
      <c r="G267" s="15"/>
    </row>
    <row r="268" ht="22.5" customHeight="1">
      <c r="A268" s="15"/>
      <c r="B268" s="15"/>
      <c r="C268" s="15"/>
      <c r="D268" s="15"/>
      <c r="E268" s="15"/>
      <c r="F268" s="14"/>
      <c r="G268" s="15"/>
    </row>
    <row r="269" ht="22.5" customHeight="1">
      <c r="A269" s="8" t="s">
        <v>497</v>
      </c>
      <c r="B269" s="8"/>
      <c r="C269" s="8"/>
      <c r="D269" s="8"/>
      <c r="E269" s="8" t="s">
        <v>498</v>
      </c>
      <c r="F269" s="14"/>
      <c r="G269" s="15"/>
    </row>
    <row r="270" ht="22.5" customHeight="1">
      <c r="A270" s="10" t="s">
        <v>10</v>
      </c>
      <c r="B270" s="11" t="s">
        <v>11</v>
      </c>
      <c r="C270" s="11" t="s">
        <v>12</v>
      </c>
      <c r="D270" s="11" t="s">
        <v>13</v>
      </c>
      <c r="E270" s="11" t="s">
        <v>14</v>
      </c>
      <c r="F270" s="12" t="s">
        <v>119</v>
      </c>
      <c r="G270" s="13" t="s">
        <v>120</v>
      </c>
    </row>
    <row r="271" ht="22.5" customHeight="1">
      <c r="A271" s="10">
        <v>1.0</v>
      </c>
      <c r="B271" s="11" t="s">
        <v>499</v>
      </c>
      <c r="C271" s="11">
        <v>2.52610005E8</v>
      </c>
      <c r="D271" s="11" t="s">
        <v>500</v>
      </c>
      <c r="E271" s="11" t="s">
        <v>19</v>
      </c>
      <c r="F271" s="14"/>
      <c r="G271" s="15"/>
    </row>
    <row r="272" ht="22.5" customHeight="1">
      <c r="A272" s="10">
        <v>2.0</v>
      </c>
      <c r="B272" s="11" t="s">
        <v>501</v>
      </c>
      <c r="C272" s="11">
        <v>2.52610009E8</v>
      </c>
      <c r="D272" s="11" t="s">
        <v>502</v>
      </c>
      <c r="E272" s="11" t="s">
        <v>19</v>
      </c>
      <c r="F272" s="14"/>
      <c r="G272" s="15"/>
    </row>
    <row r="273" ht="22.5" customHeight="1">
      <c r="A273" s="10">
        <v>3.0</v>
      </c>
      <c r="B273" s="11" t="s">
        <v>503</v>
      </c>
      <c r="C273" s="11">
        <v>2.52610036E8</v>
      </c>
      <c r="D273" s="11" t="s">
        <v>504</v>
      </c>
      <c r="E273" s="11" t="s">
        <v>22</v>
      </c>
      <c r="F273" s="14"/>
      <c r="G273" s="15"/>
    </row>
    <row r="274" ht="22.5" customHeight="1">
      <c r="A274" s="10">
        <v>4.0</v>
      </c>
      <c r="B274" s="11" t="s">
        <v>505</v>
      </c>
      <c r="C274" s="11">
        <v>2.52610042E8</v>
      </c>
      <c r="D274" s="11" t="s">
        <v>506</v>
      </c>
      <c r="E274" s="11" t="s">
        <v>22</v>
      </c>
      <c r="F274" s="14"/>
      <c r="G274" s="15"/>
    </row>
    <row r="275" ht="22.5" customHeight="1">
      <c r="A275" s="10">
        <v>5.0</v>
      </c>
      <c r="B275" s="11" t="s">
        <v>507</v>
      </c>
      <c r="C275" s="11">
        <v>2.52610072E8</v>
      </c>
      <c r="D275" s="11" t="s">
        <v>508</v>
      </c>
      <c r="E275" s="11" t="s">
        <v>22</v>
      </c>
      <c r="F275" s="14"/>
      <c r="G275" s="15"/>
    </row>
    <row r="276" ht="22.5" customHeight="1">
      <c r="A276" s="10">
        <v>6.0</v>
      </c>
      <c r="B276" s="11" t="s">
        <v>509</v>
      </c>
      <c r="C276" s="11">
        <v>2.5261012E8</v>
      </c>
      <c r="D276" s="11" t="s">
        <v>510</v>
      </c>
      <c r="E276" s="11" t="s">
        <v>22</v>
      </c>
      <c r="F276" s="14"/>
      <c r="G276" s="15"/>
    </row>
    <row r="277" ht="22.5" customHeight="1">
      <c r="A277" s="10">
        <v>7.0</v>
      </c>
      <c r="B277" s="11" t="s">
        <v>511</v>
      </c>
      <c r="C277" s="11">
        <v>2.52610134E8</v>
      </c>
      <c r="D277" s="11" t="s">
        <v>512</v>
      </c>
      <c r="E277" s="11" t="s">
        <v>22</v>
      </c>
      <c r="F277" s="14"/>
      <c r="G277" s="15"/>
    </row>
    <row r="278" ht="22.5" customHeight="1">
      <c r="A278" s="10">
        <v>8.0</v>
      </c>
      <c r="B278" s="11" t="s">
        <v>513</v>
      </c>
      <c r="C278" s="11">
        <v>2.5261015E8</v>
      </c>
      <c r="D278" s="11" t="s">
        <v>514</v>
      </c>
      <c r="E278" s="11" t="s">
        <v>19</v>
      </c>
      <c r="F278" s="14"/>
      <c r="G278" s="15"/>
    </row>
    <row r="279" ht="22.5" customHeight="1">
      <c r="A279" s="10">
        <v>9.0</v>
      </c>
      <c r="B279" s="11" t="s">
        <v>515</v>
      </c>
      <c r="C279" s="11">
        <v>2.52610157E8</v>
      </c>
      <c r="D279" s="11" t="s">
        <v>516</v>
      </c>
      <c r="E279" s="11" t="s">
        <v>22</v>
      </c>
      <c r="F279" s="14"/>
      <c r="G279" s="15"/>
    </row>
    <row r="280" ht="22.5" customHeight="1">
      <c r="A280" s="10">
        <v>10.0</v>
      </c>
      <c r="B280" s="11" t="s">
        <v>517</v>
      </c>
      <c r="C280" s="11">
        <v>2.52610167E8</v>
      </c>
      <c r="D280" s="11" t="s">
        <v>518</v>
      </c>
      <c r="E280" s="11" t="s">
        <v>22</v>
      </c>
      <c r="F280" s="14"/>
      <c r="G280" s="15"/>
    </row>
    <row r="281" ht="22.5" customHeight="1">
      <c r="A281" s="10">
        <v>11.0</v>
      </c>
      <c r="B281" s="11" t="s">
        <v>519</v>
      </c>
      <c r="C281" s="11">
        <v>2.52610172E8</v>
      </c>
      <c r="D281" s="11" t="s">
        <v>520</v>
      </c>
      <c r="E281" s="11" t="s">
        <v>22</v>
      </c>
      <c r="F281" s="14"/>
      <c r="G281" s="15"/>
    </row>
    <row r="282" ht="22.5" customHeight="1">
      <c r="A282" s="10">
        <v>12.0</v>
      </c>
      <c r="B282" s="11" t="s">
        <v>521</v>
      </c>
      <c r="C282" s="11">
        <v>2.52610176E8</v>
      </c>
      <c r="D282" s="11" t="s">
        <v>522</v>
      </c>
      <c r="E282" s="11" t="s">
        <v>19</v>
      </c>
      <c r="F282" s="14"/>
      <c r="G282" s="15"/>
    </row>
    <row r="283" ht="22.5" customHeight="1">
      <c r="A283" s="10">
        <v>13.0</v>
      </c>
      <c r="B283" s="11" t="s">
        <v>523</v>
      </c>
      <c r="C283" s="11">
        <v>2.52610189E8</v>
      </c>
      <c r="D283" s="11" t="s">
        <v>524</v>
      </c>
      <c r="E283" s="11" t="s">
        <v>22</v>
      </c>
      <c r="F283" s="14"/>
      <c r="G283" s="15"/>
    </row>
    <row r="284" ht="22.5" customHeight="1">
      <c r="A284" s="10">
        <v>14.0</v>
      </c>
      <c r="B284" s="11" t="s">
        <v>525</v>
      </c>
      <c r="C284" s="11">
        <v>2.52610194E8</v>
      </c>
      <c r="D284" s="11" t="s">
        <v>526</v>
      </c>
      <c r="E284" s="11" t="s">
        <v>22</v>
      </c>
      <c r="F284" s="14"/>
      <c r="G284" s="15"/>
    </row>
    <row r="285" ht="22.5" customHeight="1">
      <c r="A285" s="10">
        <v>15.0</v>
      </c>
      <c r="B285" s="11" t="s">
        <v>527</v>
      </c>
      <c r="C285" s="11">
        <v>2.52610195E8</v>
      </c>
      <c r="D285" s="11" t="s">
        <v>528</v>
      </c>
      <c r="E285" s="11" t="s">
        <v>22</v>
      </c>
      <c r="F285" s="14"/>
      <c r="G285" s="15"/>
    </row>
    <row r="286" ht="22.5" customHeight="1">
      <c r="A286" s="10">
        <v>16.0</v>
      </c>
      <c r="B286" s="11" t="s">
        <v>529</v>
      </c>
      <c r="C286" s="11">
        <v>2.52610198E8</v>
      </c>
      <c r="D286" s="11" t="s">
        <v>530</v>
      </c>
      <c r="E286" s="11" t="s">
        <v>19</v>
      </c>
      <c r="F286" s="14"/>
      <c r="G286" s="15"/>
    </row>
    <row r="287" ht="22.5" customHeight="1">
      <c r="A287" s="10">
        <v>17.0</v>
      </c>
      <c r="B287" s="11" t="s">
        <v>531</v>
      </c>
      <c r="C287" s="11">
        <v>2.52610209E8</v>
      </c>
      <c r="D287" s="11" t="s">
        <v>532</v>
      </c>
      <c r="E287" s="11" t="s">
        <v>22</v>
      </c>
      <c r="F287" s="14"/>
      <c r="G287" s="15"/>
    </row>
    <row r="288" ht="22.5" customHeight="1">
      <c r="A288" s="10">
        <v>18.0</v>
      </c>
      <c r="B288" s="11" t="s">
        <v>533</v>
      </c>
      <c r="C288" s="11">
        <v>2.5261021E8</v>
      </c>
      <c r="D288" s="11" t="s">
        <v>534</v>
      </c>
      <c r="E288" s="11" t="s">
        <v>22</v>
      </c>
      <c r="F288" s="14"/>
      <c r="G288" s="15"/>
    </row>
    <row r="289" ht="22.5" customHeight="1">
      <c r="A289" s="10">
        <v>19.0</v>
      </c>
      <c r="B289" s="11" t="s">
        <v>535</v>
      </c>
      <c r="C289" s="11">
        <v>2.52610214E8</v>
      </c>
      <c r="D289" s="11" t="s">
        <v>536</v>
      </c>
      <c r="E289" s="11" t="s">
        <v>22</v>
      </c>
      <c r="F289" s="14"/>
      <c r="G289" s="15"/>
    </row>
    <row r="290" ht="22.5" customHeight="1">
      <c r="A290" s="10">
        <v>20.0</v>
      </c>
      <c r="B290" s="11" t="s">
        <v>537</v>
      </c>
      <c r="C290" s="11">
        <v>2.52610227E8</v>
      </c>
      <c r="D290" s="11" t="s">
        <v>538</v>
      </c>
      <c r="E290" s="11" t="s">
        <v>22</v>
      </c>
      <c r="F290" s="14"/>
      <c r="G290" s="15"/>
    </row>
    <row r="291" ht="22.5" customHeight="1">
      <c r="A291" s="10">
        <v>21.0</v>
      </c>
      <c r="B291" s="11" t="s">
        <v>539</v>
      </c>
      <c r="C291" s="11">
        <v>2.52610249E8</v>
      </c>
      <c r="D291" s="11" t="s">
        <v>540</v>
      </c>
      <c r="E291" s="11" t="s">
        <v>22</v>
      </c>
      <c r="F291" s="14"/>
      <c r="G291" s="15"/>
    </row>
    <row r="292" ht="22.5" customHeight="1">
      <c r="A292" s="10">
        <v>22.0</v>
      </c>
      <c r="B292" s="11" t="s">
        <v>541</v>
      </c>
      <c r="C292" s="11">
        <v>2.52610261E8</v>
      </c>
      <c r="D292" s="11" t="s">
        <v>542</v>
      </c>
      <c r="E292" s="11" t="s">
        <v>22</v>
      </c>
      <c r="F292" s="14"/>
      <c r="G292" s="15"/>
    </row>
    <row r="293" ht="22.5" customHeight="1">
      <c r="A293" s="10">
        <v>23.0</v>
      </c>
      <c r="B293" s="11" t="s">
        <v>543</v>
      </c>
      <c r="C293" s="11">
        <v>2.52610273E8</v>
      </c>
      <c r="D293" s="11" t="s">
        <v>544</v>
      </c>
      <c r="E293" s="11" t="s">
        <v>22</v>
      </c>
      <c r="F293" s="14"/>
      <c r="G293" s="15"/>
    </row>
    <row r="294" ht="22.5" customHeight="1">
      <c r="A294" s="10">
        <v>24.0</v>
      </c>
      <c r="B294" s="11" t="s">
        <v>545</v>
      </c>
      <c r="C294" s="11">
        <v>2.52610279E8</v>
      </c>
      <c r="D294" s="11" t="s">
        <v>546</v>
      </c>
      <c r="E294" s="11" t="s">
        <v>22</v>
      </c>
      <c r="F294" s="14"/>
      <c r="G294" s="15"/>
    </row>
    <row r="295" ht="22.5" customHeight="1">
      <c r="A295" s="10">
        <v>25.0</v>
      </c>
      <c r="B295" s="11" t="s">
        <v>547</v>
      </c>
      <c r="C295" s="11">
        <v>2.52610285E8</v>
      </c>
      <c r="D295" s="11" t="s">
        <v>548</v>
      </c>
      <c r="E295" s="11" t="s">
        <v>22</v>
      </c>
      <c r="F295" s="14"/>
      <c r="G295" s="15"/>
    </row>
    <row r="296" ht="22.5" customHeight="1">
      <c r="A296" s="10">
        <v>26.0</v>
      </c>
      <c r="B296" s="11" t="s">
        <v>549</v>
      </c>
      <c r="C296" s="11">
        <v>2.52610308E8</v>
      </c>
      <c r="D296" s="11" t="s">
        <v>550</v>
      </c>
      <c r="E296" s="11" t="s">
        <v>22</v>
      </c>
      <c r="F296" s="14"/>
      <c r="G296" s="15"/>
    </row>
    <row r="297" ht="22.5" customHeight="1">
      <c r="A297" s="10">
        <v>27.0</v>
      </c>
      <c r="B297" s="11" t="s">
        <v>551</v>
      </c>
      <c r="C297" s="11">
        <v>2.52610312E8</v>
      </c>
      <c r="D297" s="11" t="s">
        <v>552</v>
      </c>
      <c r="E297" s="11" t="s">
        <v>22</v>
      </c>
      <c r="F297" s="14"/>
      <c r="G297" s="15"/>
    </row>
    <row r="298" ht="22.5" customHeight="1">
      <c r="A298" s="10">
        <v>28.0</v>
      </c>
      <c r="B298" s="11" t="s">
        <v>553</v>
      </c>
      <c r="C298" s="11">
        <v>2.52610342E8</v>
      </c>
      <c r="D298" s="11" t="s">
        <v>554</v>
      </c>
      <c r="E298" s="11" t="s">
        <v>19</v>
      </c>
      <c r="F298" s="14"/>
      <c r="G298" s="15"/>
    </row>
    <row r="299" ht="22.5" customHeight="1">
      <c r="A299" s="10">
        <v>29.0</v>
      </c>
      <c r="B299" s="11" t="s">
        <v>555</v>
      </c>
      <c r="C299" s="11">
        <v>2.52610355E8</v>
      </c>
      <c r="D299" s="11" t="s">
        <v>556</v>
      </c>
      <c r="E299" s="11" t="s">
        <v>19</v>
      </c>
      <c r="F299" s="14"/>
      <c r="G299" s="15"/>
    </row>
    <row r="300" ht="22.5" customHeight="1">
      <c r="A300" s="10">
        <v>30.0</v>
      </c>
      <c r="B300" s="11" t="s">
        <v>557</v>
      </c>
      <c r="C300" s="11">
        <v>2.5261036E8</v>
      </c>
      <c r="D300" s="11" t="s">
        <v>558</v>
      </c>
      <c r="E300" s="11" t="s">
        <v>19</v>
      </c>
      <c r="F300" s="14"/>
      <c r="G300" s="15"/>
    </row>
    <row r="301" ht="22.5" customHeight="1">
      <c r="A301" s="10">
        <v>31.0</v>
      </c>
      <c r="B301" s="11" t="s">
        <v>559</v>
      </c>
      <c r="C301" s="11">
        <v>2.52610394E8</v>
      </c>
      <c r="D301" s="11" t="s">
        <v>560</v>
      </c>
      <c r="E301" s="11" t="s">
        <v>22</v>
      </c>
      <c r="F301" s="14"/>
      <c r="G301" s="15"/>
    </row>
    <row r="302" ht="22.5" customHeight="1">
      <c r="A302" s="10">
        <v>32.0</v>
      </c>
      <c r="B302" s="11" t="s">
        <v>561</v>
      </c>
      <c r="C302" s="11">
        <v>2.5261041E8</v>
      </c>
      <c r="D302" s="11" t="s">
        <v>562</v>
      </c>
      <c r="E302" s="11" t="s">
        <v>22</v>
      </c>
      <c r="F302" s="14"/>
      <c r="G302" s="15"/>
    </row>
    <row r="303" ht="22.5" customHeight="1">
      <c r="A303" s="10">
        <v>33.0</v>
      </c>
      <c r="B303" s="11" t="s">
        <v>563</v>
      </c>
      <c r="C303" s="11">
        <v>2.52610442E8</v>
      </c>
      <c r="D303" s="11" t="s">
        <v>564</v>
      </c>
      <c r="E303" s="11" t="s">
        <v>22</v>
      </c>
      <c r="F303" s="14"/>
      <c r="G303" s="15"/>
    </row>
    <row r="304" ht="22.5" customHeight="1">
      <c r="A304" s="10">
        <v>34.0</v>
      </c>
      <c r="B304" s="11" t="s">
        <v>565</v>
      </c>
      <c r="C304" s="11">
        <v>2.52610446E8</v>
      </c>
      <c r="D304" s="11" t="s">
        <v>566</v>
      </c>
      <c r="E304" s="11" t="s">
        <v>22</v>
      </c>
      <c r="F304" s="14"/>
      <c r="G304" s="15"/>
    </row>
    <row r="305" ht="22.5" customHeight="1">
      <c r="A305" s="10">
        <v>35.0</v>
      </c>
      <c r="B305" s="11" t="s">
        <v>567</v>
      </c>
      <c r="C305" s="11">
        <v>2.52610449E8</v>
      </c>
      <c r="D305" s="11" t="s">
        <v>568</v>
      </c>
      <c r="E305" s="11" t="s">
        <v>19</v>
      </c>
      <c r="F305" s="14"/>
      <c r="G305" s="15"/>
    </row>
    <row r="306" ht="22.5" customHeight="1">
      <c r="A306" s="10">
        <v>36.0</v>
      </c>
      <c r="B306" s="11" t="s">
        <v>569</v>
      </c>
      <c r="C306" s="11">
        <v>2.52610453E8</v>
      </c>
      <c r="D306" s="11" t="s">
        <v>570</v>
      </c>
      <c r="E306" s="11" t="s">
        <v>19</v>
      </c>
      <c r="F306" s="14"/>
      <c r="G306" s="15"/>
    </row>
    <row r="307" ht="22.5" customHeight="1">
      <c r="A307" s="10">
        <v>37.0</v>
      </c>
      <c r="B307" s="11" t="s">
        <v>571</v>
      </c>
      <c r="C307" s="11">
        <v>2.52610456E8</v>
      </c>
      <c r="D307" s="11" t="s">
        <v>572</v>
      </c>
      <c r="E307" s="11" t="s">
        <v>19</v>
      </c>
      <c r="F307" s="14"/>
      <c r="G307" s="15"/>
    </row>
    <row r="308" ht="22.5" customHeight="1">
      <c r="A308" s="10">
        <v>38.0</v>
      </c>
      <c r="B308" s="11" t="s">
        <v>573</v>
      </c>
      <c r="C308" s="11">
        <v>2.52610478E8</v>
      </c>
      <c r="D308" s="11" t="s">
        <v>574</v>
      </c>
      <c r="E308" s="11" t="s">
        <v>19</v>
      </c>
      <c r="F308" s="14"/>
      <c r="G308" s="15"/>
    </row>
    <row r="309" ht="22.5" customHeight="1">
      <c r="A309" s="10">
        <v>39.0</v>
      </c>
      <c r="B309" s="11" t="s">
        <v>575</v>
      </c>
      <c r="C309" s="11">
        <v>2.52610479E8</v>
      </c>
      <c r="D309" s="11" t="s">
        <v>576</v>
      </c>
      <c r="E309" s="11" t="s">
        <v>19</v>
      </c>
      <c r="F309" s="14"/>
      <c r="G309" s="15"/>
    </row>
    <row r="310" ht="22.5" customHeight="1">
      <c r="A310" s="10">
        <v>40.0</v>
      </c>
      <c r="B310" s="11" t="s">
        <v>577</v>
      </c>
      <c r="C310" s="11">
        <v>2.52610484E8</v>
      </c>
      <c r="D310" s="11" t="s">
        <v>578</v>
      </c>
      <c r="E310" s="11" t="s">
        <v>22</v>
      </c>
      <c r="F310" s="14"/>
      <c r="G310" s="15"/>
    </row>
    <row r="311" ht="22.5" customHeight="1">
      <c r="A311" s="10">
        <v>41.0</v>
      </c>
      <c r="B311" s="11" t="s">
        <v>579</v>
      </c>
      <c r="C311" s="11">
        <v>2.52610486E8</v>
      </c>
      <c r="D311" s="11" t="s">
        <v>580</v>
      </c>
      <c r="E311" s="11" t="s">
        <v>22</v>
      </c>
      <c r="F311" s="14"/>
      <c r="G311" s="15"/>
    </row>
    <row r="312" ht="22.5" customHeight="1">
      <c r="A312" s="10">
        <v>42.0</v>
      </c>
      <c r="B312" s="11" t="s">
        <v>581</v>
      </c>
      <c r="C312" s="11">
        <v>2.52610495E8</v>
      </c>
      <c r="D312" s="11" t="s">
        <v>582</v>
      </c>
      <c r="E312" s="11" t="s">
        <v>22</v>
      </c>
      <c r="F312" s="14"/>
      <c r="G312" s="15"/>
    </row>
    <row r="313" ht="22.5" customHeight="1">
      <c r="A313" s="10">
        <v>43.0</v>
      </c>
      <c r="B313" s="11" t="s">
        <v>583</v>
      </c>
      <c r="C313" s="11">
        <v>2.52610505E8</v>
      </c>
      <c r="D313" s="11" t="s">
        <v>584</v>
      </c>
      <c r="E313" s="11" t="s">
        <v>22</v>
      </c>
      <c r="F313" s="14"/>
      <c r="G313" s="15"/>
    </row>
    <row r="314" ht="22.5" customHeight="1">
      <c r="A314" s="10">
        <v>44.0</v>
      </c>
      <c r="B314" s="11" t="s">
        <v>585</v>
      </c>
      <c r="C314" s="11">
        <v>2.52610517E8</v>
      </c>
      <c r="D314" s="11" t="s">
        <v>586</v>
      </c>
      <c r="E314" s="11" t="s">
        <v>22</v>
      </c>
      <c r="F314" s="14"/>
      <c r="G314" s="15"/>
    </row>
    <row r="315" ht="22.5" customHeight="1">
      <c r="A315" s="10">
        <v>45.0</v>
      </c>
      <c r="B315" s="11" t="s">
        <v>587</v>
      </c>
      <c r="C315" s="11">
        <v>2.52610528E8</v>
      </c>
      <c r="D315" s="11" t="s">
        <v>588</v>
      </c>
      <c r="E315" s="11" t="s">
        <v>19</v>
      </c>
      <c r="F315" s="14"/>
      <c r="G315" s="15"/>
    </row>
    <row r="316" ht="22.5" customHeight="1">
      <c r="A316" s="10">
        <v>46.0</v>
      </c>
      <c r="B316" s="11" t="s">
        <v>589</v>
      </c>
      <c r="C316" s="11">
        <v>2.52610529E8</v>
      </c>
      <c r="D316" s="11" t="s">
        <v>590</v>
      </c>
      <c r="E316" s="11" t="s">
        <v>22</v>
      </c>
      <c r="F316" s="14"/>
      <c r="G316" s="15"/>
    </row>
    <row r="317" ht="22.5" customHeight="1">
      <c r="A317" s="10">
        <v>47.0</v>
      </c>
      <c r="B317" s="11" t="s">
        <v>591</v>
      </c>
      <c r="C317" s="11">
        <v>2.52610541E8</v>
      </c>
      <c r="D317" s="11" t="s">
        <v>592</v>
      </c>
      <c r="E317" s="11" t="s">
        <v>19</v>
      </c>
      <c r="F317" s="14"/>
      <c r="G317" s="15"/>
    </row>
    <row r="318" ht="22.5" customHeight="1">
      <c r="A318" s="15"/>
      <c r="B318" s="15"/>
      <c r="C318" s="15"/>
      <c r="D318" s="8"/>
      <c r="E318" s="8"/>
      <c r="F318" s="14"/>
      <c r="G318" s="15"/>
    </row>
    <row r="319" ht="22.5" customHeight="1">
      <c r="A319" s="15"/>
      <c r="B319" s="15"/>
      <c r="C319" s="16"/>
      <c r="D319" s="11" t="s">
        <v>115</v>
      </c>
      <c r="E319" s="11" t="str">
        <f>COUNTIF(R[-48]C[0]:R[-2]C[0],"P")</f>
        <v>#ERROR!</v>
      </c>
      <c r="F319" s="14"/>
      <c r="G319" s="15"/>
    </row>
    <row r="320" ht="22.5" customHeight="1">
      <c r="A320" s="15"/>
      <c r="B320" s="15"/>
      <c r="C320" s="16"/>
      <c r="D320" s="11" t="s">
        <v>116</v>
      </c>
      <c r="E320" s="11" t="str">
        <f>COUNTIF(R[-49]C[0]:R[-3]C[0],"L")</f>
        <v>#ERROR!</v>
      </c>
      <c r="F320" s="14"/>
      <c r="G320" s="15"/>
    </row>
    <row r="321" ht="22.5" customHeight="1">
      <c r="A321" s="15"/>
      <c r="B321" s="15"/>
      <c r="C321" s="15"/>
      <c r="D321" s="15"/>
      <c r="E321" s="15"/>
      <c r="F321" s="14"/>
      <c r="G321" s="15"/>
    </row>
    <row r="322" ht="22.5" customHeight="1">
      <c r="A322" s="15"/>
      <c r="B322" s="15"/>
      <c r="C322" s="15"/>
      <c r="D322" s="15"/>
      <c r="E322" s="15"/>
      <c r="F322" s="14"/>
      <c r="G322" s="15"/>
    </row>
    <row r="323" ht="22.5" customHeight="1">
      <c r="A323" s="8" t="s">
        <v>593</v>
      </c>
      <c r="B323" s="8"/>
      <c r="C323" s="8"/>
      <c r="D323" s="8"/>
      <c r="E323" s="8" t="s">
        <v>594</v>
      </c>
      <c r="F323" s="14"/>
      <c r="G323" s="15"/>
    </row>
    <row r="324" ht="22.5" customHeight="1">
      <c r="A324" s="10" t="s">
        <v>10</v>
      </c>
      <c r="B324" s="11" t="s">
        <v>11</v>
      </c>
      <c r="C324" s="11" t="s">
        <v>12</v>
      </c>
      <c r="D324" s="11" t="s">
        <v>13</v>
      </c>
      <c r="E324" s="11" t="s">
        <v>14</v>
      </c>
      <c r="F324" s="12" t="s">
        <v>119</v>
      </c>
      <c r="G324" s="13" t="s">
        <v>120</v>
      </c>
    </row>
    <row r="325" ht="22.5" customHeight="1">
      <c r="A325" s="10">
        <v>1.0</v>
      </c>
      <c r="B325" s="11" t="s">
        <v>595</v>
      </c>
      <c r="C325" s="11">
        <v>2.52610006E8</v>
      </c>
      <c r="D325" s="11" t="s">
        <v>596</v>
      </c>
      <c r="E325" s="11" t="s">
        <v>22</v>
      </c>
      <c r="F325" s="14"/>
      <c r="G325" s="15"/>
    </row>
    <row r="326" ht="22.5" customHeight="1">
      <c r="A326" s="10">
        <v>2.0</v>
      </c>
      <c r="B326" s="11" t="s">
        <v>597</v>
      </c>
      <c r="C326" s="11">
        <v>2.52610017E8</v>
      </c>
      <c r="D326" s="11" t="s">
        <v>598</v>
      </c>
      <c r="E326" s="11" t="s">
        <v>19</v>
      </c>
      <c r="F326" s="14"/>
      <c r="G326" s="15"/>
    </row>
    <row r="327" ht="22.5" customHeight="1">
      <c r="A327" s="10">
        <v>3.0</v>
      </c>
      <c r="B327" s="11" t="s">
        <v>599</v>
      </c>
      <c r="C327" s="11">
        <v>2.52610025E8</v>
      </c>
      <c r="D327" s="11" t="s">
        <v>600</v>
      </c>
      <c r="E327" s="11" t="s">
        <v>22</v>
      </c>
      <c r="F327" s="14"/>
      <c r="G327" s="15"/>
    </row>
    <row r="328" ht="22.5" customHeight="1">
      <c r="A328" s="10">
        <v>4.0</v>
      </c>
      <c r="B328" s="11" t="s">
        <v>601</v>
      </c>
      <c r="C328" s="11">
        <v>2.52610044E8</v>
      </c>
      <c r="D328" s="11" t="s">
        <v>602</v>
      </c>
      <c r="E328" s="11" t="s">
        <v>22</v>
      </c>
      <c r="F328" s="14"/>
      <c r="G328" s="15"/>
    </row>
    <row r="329" ht="22.5" customHeight="1">
      <c r="A329" s="10">
        <v>5.0</v>
      </c>
      <c r="B329" s="11" t="s">
        <v>603</v>
      </c>
      <c r="C329" s="11">
        <v>2.52610051E8</v>
      </c>
      <c r="D329" s="11" t="s">
        <v>604</v>
      </c>
      <c r="E329" s="11" t="s">
        <v>22</v>
      </c>
      <c r="F329" s="14"/>
      <c r="G329" s="15"/>
    </row>
    <row r="330" ht="22.5" customHeight="1">
      <c r="A330" s="10">
        <v>6.0</v>
      </c>
      <c r="B330" s="11" t="s">
        <v>605</v>
      </c>
      <c r="C330" s="11">
        <v>2.52610064E8</v>
      </c>
      <c r="D330" s="11" t="s">
        <v>606</v>
      </c>
      <c r="E330" s="11" t="s">
        <v>22</v>
      </c>
      <c r="F330" s="14"/>
      <c r="G330" s="15"/>
    </row>
    <row r="331" ht="22.5" customHeight="1">
      <c r="A331" s="10">
        <v>7.0</v>
      </c>
      <c r="B331" s="11" t="s">
        <v>607</v>
      </c>
      <c r="C331" s="11">
        <v>2.52610113E8</v>
      </c>
      <c r="D331" s="11" t="s">
        <v>608</v>
      </c>
      <c r="E331" s="11" t="s">
        <v>19</v>
      </c>
      <c r="F331" s="14"/>
      <c r="G331" s="15"/>
    </row>
    <row r="332" ht="22.5" customHeight="1">
      <c r="A332" s="10">
        <v>8.0</v>
      </c>
      <c r="B332" s="11" t="s">
        <v>609</v>
      </c>
      <c r="C332" s="11">
        <v>2.5261014E8</v>
      </c>
      <c r="D332" s="11" t="s">
        <v>610</v>
      </c>
      <c r="E332" s="11" t="s">
        <v>22</v>
      </c>
      <c r="F332" s="14"/>
      <c r="G332" s="15"/>
    </row>
    <row r="333" ht="22.5" customHeight="1">
      <c r="A333" s="10">
        <v>9.0</v>
      </c>
      <c r="B333" s="11" t="s">
        <v>611</v>
      </c>
      <c r="C333" s="11">
        <v>2.52610141E8</v>
      </c>
      <c r="D333" s="11" t="s">
        <v>612</v>
      </c>
      <c r="E333" s="11" t="s">
        <v>22</v>
      </c>
      <c r="F333" s="14"/>
      <c r="G333" s="15"/>
    </row>
    <row r="334" ht="22.5" customHeight="1">
      <c r="A334" s="10">
        <v>10.0</v>
      </c>
      <c r="B334" s="11" t="s">
        <v>613</v>
      </c>
      <c r="C334" s="11">
        <v>2.52610144E8</v>
      </c>
      <c r="D334" s="11" t="s">
        <v>614</v>
      </c>
      <c r="E334" s="11" t="s">
        <v>19</v>
      </c>
      <c r="F334" s="14"/>
      <c r="G334" s="15"/>
    </row>
    <row r="335" ht="22.5" customHeight="1">
      <c r="A335" s="10">
        <v>11.0</v>
      </c>
      <c r="B335" s="11" t="s">
        <v>615</v>
      </c>
      <c r="C335" s="11">
        <v>2.52610156E8</v>
      </c>
      <c r="D335" s="11" t="s">
        <v>616</v>
      </c>
      <c r="E335" s="11" t="s">
        <v>22</v>
      </c>
      <c r="F335" s="14"/>
      <c r="G335" s="15"/>
    </row>
    <row r="336" ht="22.5" customHeight="1">
      <c r="A336" s="10">
        <v>12.0</v>
      </c>
      <c r="B336" s="11" t="s">
        <v>617</v>
      </c>
      <c r="C336" s="11">
        <v>2.52610159E8</v>
      </c>
      <c r="D336" s="11" t="s">
        <v>618</v>
      </c>
      <c r="E336" s="11" t="s">
        <v>22</v>
      </c>
      <c r="F336" s="14"/>
      <c r="G336" s="15"/>
    </row>
    <row r="337" ht="22.5" customHeight="1">
      <c r="A337" s="10">
        <v>13.0</v>
      </c>
      <c r="B337" s="11" t="s">
        <v>619</v>
      </c>
      <c r="C337" s="11">
        <v>2.52610179E8</v>
      </c>
      <c r="D337" s="11" t="s">
        <v>620</v>
      </c>
      <c r="E337" s="11" t="s">
        <v>22</v>
      </c>
      <c r="F337" s="14"/>
      <c r="G337" s="15"/>
    </row>
    <row r="338" ht="22.5" customHeight="1">
      <c r="A338" s="10">
        <v>14.0</v>
      </c>
      <c r="B338" s="11" t="s">
        <v>621</v>
      </c>
      <c r="C338" s="11">
        <v>2.52610182E8</v>
      </c>
      <c r="D338" s="11" t="s">
        <v>622</v>
      </c>
      <c r="E338" s="11" t="s">
        <v>19</v>
      </c>
      <c r="F338" s="14"/>
      <c r="G338" s="15"/>
    </row>
    <row r="339" ht="22.5" customHeight="1">
      <c r="A339" s="10">
        <v>15.0</v>
      </c>
      <c r="B339" s="11" t="s">
        <v>623</v>
      </c>
      <c r="C339" s="11">
        <v>2.52610197E8</v>
      </c>
      <c r="D339" s="11" t="s">
        <v>624</v>
      </c>
      <c r="E339" s="11" t="s">
        <v>19</v>
      </c>
      <c r="F339" s="14"/>
      <c r="G339" s="15"/>
    </row>
    <row r="340" ht="22.5" customHeight="1">
      <c r="A340" s="10">
        <v>16.0</v>
      </c>
      <c r="B340" s="11" t="s">
        <v>625</v>
      </c>
      <c r="C340" s="11">
        <v>2.526102E8</v>
      </c>
      <c r="D340" s="11" t="s">
        <v>626</v>
      </c>
      <c r="E340" s="11" t="s">
        <v>19</v>
      </c>
      <c r="F340" s="14"/>
      <c r="G340" s="15"/>
    </row>
    <row r="341" ht="22.5" customHeight="1">
      <c r="A341" s="10">
        <v>17.0</v>
      </c>
      <c r="B341" s="11" t="s">
        <v>627</v>
      </c>
      <c r="C341" s="11">
        <v>2.52610221E8</v>
      </c>
      <c r="D341" s="11" t="s">
        <v>628</v>
      </c>
      <c r="E341" s="11" t="s">
        <v>22</v>
      </c>
      <c r="F341" s="14"/>
      <c r="G341" s="15"/>
    </row>
    <row r="342" ht="22.5" customHeight="1">
      <c r="A342" s="10">
        <v>18.0</v>
      </c>
      <c r="B342" s="11" t="s">
        <v>629</v>
      </c>
      <c r="C342" s="11">
        <v>2.52610225E8</v>
      </c>
      <c r="D342" s="11" t="s">
        <v>630</v>
      </c>
      <c r="E342" s="11" t="s">
        <v>19</v>
      </c>
      <c r="F342" s="14"/>
      <c r="G342" s="15"/>
    </row>
    <row r="343" ht="22.5" customHeight="1">
      <c r="A343" s="10">
        <v>19.0</v>
      </c>
      <c r="B343" s="11" t="s">
        <v>631</v>
      </c>
      <c r="C343" s="11">
        <v>2.52610252E8</v>
      </c>
      <c r="D343" s="11" t="s">
        <v>632</v>
      </c>
      <c r="E343" s="11" t="s">
        <v>19</v>
      </c>
      <c r="F343" s="14"/>
      <c r="G343" s="15"/>
    </row>
    <row r="344" ht="22.5" customHeight="1">
      <c r="A344" s="10">
        <v>20.0</v>
      </c>
      <c r="B344" s="11" t="s">
        <v>633</v>
      </c>
      <c r="C344" s="11">
        <v>2.52610254E8</v>
      </c>
      <c r="D344" s="11" t="s">
        <v>634</v>
      </c>
      <c r="E344" s="11" t="s">
        <v>22</v>
      </c>
      <c r="F344" s="14"/>
      <c r="G344" s="15"/>
    </row>
    <row r="345" ht="22.5" customHeight="1">
      <c r="A345" s="10">
        <v>21.0</v>
      </c>
      <c r="B345" s="11" t="s">
        <v>635</v>
      </c>
      <c r="C345" s="11">
        <v>2.52610264E8</v>
      </c>
      <c r="D345" s="11" t="s">
        <v>636</v>
      </c>
      <c r="E345" s="11" t="s">
        <v>22</v>
      </c>
      <c r="F345" s="14"/>
      <c r="G345" s="15"/>
    </row>
    <row r="346" ht="22.5" customHeight="1">
      <c r="A346" s="10">
        <v>22.0</v>
      </c>
      <c r="B346" s="11" t="s">
        <v>637</v>
      </c>
      <c r="C346" s="11">
        <v>2.52610268E8</v>
      </c>
      <c r="D346" s="11" t="s">
        <v>638</v>
      </c>
      <c r="E346" s="11" t="s">
        <v>22</v>
      </c>
      <c r="F346" s="14"/>
      <c r="G346" s="15"/>
    </row>
    <row r="347" ht="22.5" customHeight="1">
      <c r="A347" s="10">
        <v>23.0</v>
      </c>
      <c r="B347" s="11" t="s">
        <v>639</v>
      </c>
      <c r="C347" s="11">
        <v>2.52610284E8</v>
      </c>
      <c r="D347" s="11" t="s">
        <v>640</v>
      </c>
      <c r="E347" s="11" t="s">
        <v>22</v>
      </c>
      <c r="F347" s="14"/>
      <c r="G347" s="15"/>
    </row>
    <row r="348" ht="22.5" customHeight="1">
      <c r="A348" s="10">
        <v>24.0</v>
      </c>
      <c r="B348" s="11" t="s">
        <v>641</v>
      </c>
      <c r="C348" s="11">
        <v>2.52610291E8</v>
      </c>
      <c r="D348" s="11" t="s">
        <v>642</v>
      </c>
      <c r="E348" s="11" t="s">
        <v>22</v>
      </c>
      <c r="F348" s="14"/>
      <c r="G348" s="15"/>
    </row>
    <row r="349" ht="22.5" customHeight="1">
      <c r="A349" s="10">
        <v>25.0</v>
      </c>
      <c r="B349" s="11" t="s">
        <v>643</v>
      </c>
      <c r="C349" s="11">
        <v>2.526103E8</v>
      </c>
      <c r="D349" s="11" t="s">
        <v>644</v>
      </c>
      <c r="E349" s="11" t="s">
        <v>19</v>
      </c>
      <c r="F349" s="14"/>
      <c r="G349" s="15"/>
    </row>
    <row r="350" ht="22.5" customHeight="1">
      <c r="A350" s="10">
        <v>26.0</v>
      </c>
      <c r="B350" s="11" t="s">
        <v>645</v>
      </c>
      <c r="C350" s="11">
        <v>2.52610318E8</v>
      </c>
      <c r="D350" s="11" t="s">
        <v>646</v>
      </c>
      <c r="E350" s="11" t="s">
        <v>19</v>
      </c>
      <c r="F350" s="14"/>
      <c r="G350" s="15"/>
    </row>
    <row r="351" ht="22.5" customHeight="1">
      <c r="A351" s="10">
        <v>27.0</v>
      </c>
      <c r="B351" s="11" t="s">
        <v>647</v>
      </c>
      <c r="C351" s="11">
        <v>2.52610333E8</v>
      </c>
      <c r="D351" s="11" t="s">
        <v>648</v>
      </c>
      <c r="E351" s="11" t="s">
        <v>19</v>
      </c>
      <c r="F351" s="14"/>
      <c r="G351" s="15"/>
    </row>
    <row r="352" ht="22.5" customHeight="1">
      <c r="A352" s="10">
        <v>28.0</v>
      </c>
      <c r="B352" s="11" t="s">
        <v>649</v>
      </c>
      <c r="C352" s="11">
        <v>2.5261034E8</v>
      </c>
      <c r="D352" s="11" t="s">
        <v>650</v>
      </c>
      <c r="E352" s="11" t="s">
        <v>19</v>
      </c>
      <c r="F352" s="14"/>
      <c r="G352" s="15"/>
    </row>
    <row r="353" ht="22.5" customHeight="1">
      <c r="A353" s="10">
        <v>29.0</v>
      </c>
      <c r="B353" s="11" t="s">
        <v>651</v>
      </c>
      <c r="C353" s="11">
        <v>2.52610345E8</v>
      </c>
      <c r="D353" s="11" t="s">
        <v>652</v>
      </c>
      <c r="E353" s="11" t="s">
        <v>19</v>
      </c>
      <c r="F353" s="14"/>
      <c r="G353" s="15"/>
    </row>
    <row r="354" ht="22.5" customHeight="1">
      <c r="A354" s="10">
        <v>30.0</v>
      </c>
      <c r="B354" s="11" t="s">
        <v>653</v>
      </c>
      <c r="C354" s="11">
        <v>2.52610352E8</v>
      </c>
      <c r="D354" s="11" t="s">
        <v>654</v>
      </c>
      <c r="E354" s="11" t="s">
        <v>19</v>
      </c>
      <c r="F354" s="14"/>
      <c r="G354" s="15"/>
    </row>
    <row r="355" ht="22.5" customHeight="1">
      <c r="A355" s="10">
        <v>31.0</v>
      </c>
      <c r="B355" s="11" t="s">
        <v>655</v>
      </c>
      <c r="C355" s="11">
        <v>2.52610354E8</v>
      </c>
      <c r="D355" s="11" t="s">
        <v>656</v>
      </c>
      <c r="E355" s="11" t="s">
        <v>19</v>
      </c>
      <c r="F355" s="14"/>
      <c r="G355" s="15"/>
    </row>
    <row r="356" ht="22.5" customHeight="1">
      <c r="A356" s="10">
        <v>32.0</v>
      </c>
      <c r="B356" s="11" t="s">
        <v>657</v>
      </c>
      <c r="C356" s="11">
        <v>2.52610383E8</v>
      </c>
      <c r="D356" s="11" t="s">
        <v>658</v>
      </c>
      <c r="E356" s="11" t="s">
        <v>22</v>
      </c>
      <c r="F356" s="14"/>
      <c r="G356" s="15"/>
    </row>
    <row r="357" ht="22.5" customHeight="1">
      <c r="A357" s="10">
        <v>33.0</v>
      </c>
      <c r="B357" s="11" t="s">
        <v>659</v>
      </c>
      <c r="C357" s="11">
        <v>2.52610389E8</v>
      </c>
      <c r="D357" s="11" t="s">
        <v>660</v>
      </c>
      <c r="E357" s="11" t="s">
        <v>22</v>
      </c>
      <c r="F357" s="14"/>
      <c r="G357" s="15"/>
    </row>
    <row r="358" ht="22.5" customHeight="1">
      <c r="A358" s="10">
        <v>34.0</v>
      </c>
      <c r="B358" s="11" t="s">
        <v>661</v>
      </c>
      <c r="C358" s="11">
        <v>2.52610404E8</v>
      </c>
      <c r="D358" s="11" t="s">
        <v>662</v>
      </c>
      <c r="E358" s="11" t="s">
        <v>22</v>
      </c>
      <c r="F358" s="14"/>
      <c r="G358" s="15"/>
    </row>
    <row r="359" ht="22.5" customHeight="1">
      <c r="A359" s="10">
        <v>35.0</v>
      </c>
      <c r="B359" s="11" t="s">
        <v>663</v>
      </c>
      <c r="C359" s="11">
        <v>2.52610409E8</v>
      </c>
      <c r="D359" s="11" t="s">
        <v>664</v>
      </c>
      <c r="E359" s="11" t="s">
        <v>22</v>
      </c>
      <c r="F359" s="14"/>
      <c r="G359" s="15"/>
    </row>
    <row r="360" ht="22.5" customHeight="1">
      <c r="A360" s="10">
        <v>36.0</v>
      </c>
      <c r="B360" s="11" t="s">
        <v>665</v>
      </c>
      <c r="C360" s="11">
        <v>2.52610428E8</v>
      </c>
      <c r="D360" s="11" t="s">
        <v>666</v>
      </c>
      <c r="E360" s="11" t="s">
        <v>22</v>
      </c>
      <c r="F360" s="14"/>
      <c r="G360" s="15"/>
    </row>
    <row r="361" ht="22.5" customHeight="1">
      <c r="A361" s="10">
        <v>37.0</v>
      </c>
      <c r="B361" s="11" t="s">
        <v>667</v>
      </c>
      <c r="C361" s="11">
        <v>2.52610464E8</v>
      </c>
      <c r="D361" s="11" t="s">
        <v>668</v>
      </c>
      <c r="E361" s="11" t="s">
        <v>22</v>
      </c>
      <c r="F361" s="14"/>
      <c r="G361" s="15"/>
    </row>
    <row r="362" ht="22.5" customHeight="1">
      <c r="A362" s="10">
        <v>38.0</v>
      </c>
      <c r="B362" s="11" t="s">
        <v>669</v>
      </c>
      <c r="C362" s="11">
        <v>2.52610466E8</v>
      </c>
      <c r="D362" s="11" t="s">
        <v>670</v>
      </c>
      <c r="E362" s="11" t="s">
        <v>22</v>
      </c>
      <c r="F362" s="14"/>
      <c r="G362" s="15"/>
    </row>
    <row r="363" ht="22.5" customHeight="1">
      <c r="A363" s="10">
        <v>39.0</v>
      </c>
      <c r="B363" s="11" t="s">
        <v>671</v>
      </c>
      <c r="C363" s="11">
        <v>2.52610468E8</v>
      </c>
      <c r="D363" s="11" t="s">
        <v>672</v>
      </c>
      <c r="E363" s="11" t="s">
        <v>22</v>
      </c>
      <c r="F363" s="14"/>
      <c r="G363" s="15"/>
    </row>
    <row r="364" ht="22.5" customHeight="1">
      <c r="A364" s="10">
        <v>40.0</v>
      </c>
      <c r="B364" s="11" t="s">
        <v>673</v>
      </c>
      <c r="C364" s="11">
        <v>2.52610491E8</v>
      </c>
      <c r="D364" s="11" t="s">
        <v>674</v>
      </c>
      <c r="E364" s="11" t="s">
        <v>22</v>
      </c>
      <c r="F364" s="14"/>
      <c r="G364" s="15"/>
    </row>
    <row r="365" ht="22.5" customHeight="1">
      <c r="A365" s="10">
        <v>41.0</v>
      </c>
      <c r="B365" s="11" t="s">
        <v>675</v>
      </c>
      <c r="C365" s="11">
        <v>2.52610504E8</v>
      </c>
      <c r="D365" s="11" t="s">
        <v>676</v>
      </c>
      <c r="E365" s="11" t="s">
        <v>19</v>
      </c>
      <c r="F365" s="14"/>
      <c r="G365" s="15"/>
    </row>
    <row r="366" ht="22.5" customHeight="1">
      <c r="A366" s="10">
        <v>42.0</v>
      </c>
      <c r="B366" s="11" t="s">
        <v>677</v>
      </c>
      <c r="C366" s="11">
        <v>2.52610523E8</v>
      </c>
      <c r="D366" s="11" t="s">
        <v>678</v>
      </c>
      <c r="E366" s="11" t="s">
        <v>22</v>
      </c>
      <c r="F366" s="14"/>
      <c r="G366" s="15"/>
    </row>
    <row r="367" ht="22.5" customHeight="1">
      <c r="A367" s="10">
        <v>43.0</v>
      </c>
      <c r="B367" s="11" t="s">
        <v>679</v>
      </c>
      <c r="C367" s="11">
        <v>2.52610525E8</v>
      </c>
      <c r="D367" s="11" t="s">
        <v>680</v>
      </c>
      <c r="E367" s="11" t="s">
        <v>19</v>
      </c>
      <c r="F367" s="14"/>
      <c r="G367" s="15"/>
    </row>
    <row r="368" ht="22.5" customHeight="1">
      <c r="A368" s="10">
        <v>44.0</v>
      </c>
      <c r="B368" s="11" t="s">
        <v>681</v>
      </c>
      <c r="C368" s="11">
        <v>2.52610527E8</v>
      </c>
      <c r="D368" s="11" t="s">
        <v>682</v>
      </c>
      <c r="E368" s="11" t="s">
        <v>22</v>
      </c>
      <c r="F368" s="14"/>
      <c r="G368" s="15"/>
    </row>
    <row r="369" ht="22.5" customHeight="1">
      <c r="A369" s="10">
        <v>45.0</v>
      </c>
      <c r="B369" s="11" t="s">
        <v>683</v>
      </c>
      <c r="C369" s="11">
        <v>2.52610532E8</v>
      </c>
      <c r="D369" s="11" t="s">
        <v>684</v>
      </c>
      <c r="E369" s="11" t="s">
        <v>22</v>
      </c>
      <c r="F369" s="14"/>
      <c r="G369" s="15"/>
    </row>
    <row r="370" ht="22.5" customHeight="1">
      <c r="A370" s="10">
        <v>46.0</v>
      </c>
      <c r="B370" s="11" t="s">
        <v>685</v>
      </c>
      <c r="C370" s="11">
        <v>2.52610539E8</v>
      </c>
      <c r="D370" s="11" t="s">
        <v>686</v>
      </c>
      <c r="E370" s="11" t="s">
        <v>19</v>
      </c>
      <c r="F370" s="14"/>
      <c r="G370" s="15"/>
    </row>
    <row r="371" ht="22.5" customHeight="1">
      <c r="A371" s="10">
        <v>47.0</v>
      </c>
      <c r="B371" s="11" t="s">
        <v>687</v>
      </c>
      <c r="C371" s="11">
        <v>2.52610547E8</v>
      </c>
      <c r="D371" s="11" t="s">
        <v>688</v>
      </c>
      <c r="E371" s="11" t="s">
        <v>19</v>
      </c>
      <c r="F371" s="14"/>
      <c r="G371" s="15"/>
    </row>
    <row r="372" ht="22.5" customHeight="1">
      <c r="A372" s="10">
        <v>48.0</v>
      </c>
      <c r="B372" s="11" t="s">
        <v>689</v>
      </c>
      <c r="C372" s="11">
        <v>2.52610559E8</v>
      </c>
      <c r="D372" s="11" t="s">
        <v>690</v>
      </c>
      <c r="E372" s="11" t="s">
        <v>22</v>
      </c>
      <c r="F372" s="14"/>
      <c r="G372" s="15"/>
    </row>
    <row r="373" ht="22.5" customHeight="1">
      <c r="A373" s="15"/>
      <c r="B373" s="15"/>
      <c r="C373" s="15"/>
      <c r="D373" s="8"/>
      <c r="E373" s="8"/>
      <c r="F373" s="14"/>
      <c r="G373" s="15"/>
    </row>
    <row r="374" ht="22.5" customHeight="1">
      <c r="A374" s="15"/>
      <c r="B374" s="15"/>
      <c r="C374" s="16"/>
      <c r="D374" s="11" t="s">
        <v>115</v>
      </c>
      <c r="E374" s="11" t="str">
        <f>COUNTIF(R[-49]C[0]:R[-2]C[0],"P")</f>
        <v>#ERROR!</v>
      </c>
      <c r="F374" s="14"/>
      <c r="G374" s="15"/>
    </row>
    <row r="375" ht="22.5" customHeight="1">
      <c r="A375" s="15"/>
      <c r="B375" s="15"/>
      <c r="C375" s="16"/>
      <c r="D375" s="11" t="s">
        <v>116</v>
      </c>
      <c r="E375" s="11" t="str">
        <f>COUNTIF(R[-50]C[0]:R[-3]C[0],"L")</f>
        <v>#ERROR!</v>
      </c>
      <c r="F375" s="14"/>
      <c r="G375" s="15"/>
    </row>
    <row r="376" ht="22.5" customHeight="1">
      <c r="A376" s="15"/>
      <c r="B376" s="15"/>
      <c r="C376" s="15"/>
      <c r="D376" s="15"/>
      <c r="E376" s="15"/>
      <c r="F376" s="14"/>
      <c r="G376" s="15"/>
    </row>
    <row r="377" ht="22.5" customHeight="1">
      <c r="A377" s="15"/>
      <c r="B377" s="15"/>
      <c r="C377" s="15"/>
      <c r="D377" s="15"/>
      <c r="E377" s="15"/>
      <c r="F377" s="14"/>
      <c r="G377" s="15"/>
    </row>
    <row r="378" ht="22.5" customHeight="1">
      <c r="A378" s="8" t="s">
        <v>691</v>
      </c>
      <c r="B378" s="8"/>
      <c r="C378" s="8"/>
      <c r="D378" s="8"/>
      <c r="E378" s="8" t="s">
        <v>692</v>
      </c>
      <c r="F378" s="14"/>
      <c r="G378" s="15"/>
    </row>
    <row r="379" ht="22.5" customHeight="1">
      <c r="A379" s="10" t="s">
        <v>10</v>
      </c>
      <c r="B379" s="11" t="s">
        <v>11</v>
      </c>
      <c r="C379" s="11" t="s">
        <v>12</v>
      </c>
      <c r="D379" s="11" t="s">
        <v>13</v>
      </c>
      <c r="E379" s="11" t="s">
        <v>14</v>
      </c>
      <c r="F379" s="12" t="s">
        <v>119</v>
      </c>
      <c r="G379" s="13" t="s">
        <v>120</v>
      </c>
    </row>
    <row r="380" ht="22.5" customHeight="1">
      <c r="A380" s="10">
        <v>1.0</v>
      </c>
      <c r="B380" s="11" t="s">
        <v>693</v>
      </c>
      <c r="C380" s="11">
        <v>2.52610007E8</v>
      </c>
      <c r="D380" s="11" t="s">
        <v>694</v>
      </c>
      <c r="E380" s="11" t="s">
        <v>22</v>
      </c>
      <c r="F380" s="14"/>
      <c r="G380" s="15"/>
    </row>
    <row r="381" ht="22.5" customHeight="1">
      <c r="A381" s="10">
        <v>2.0</v>
      </c>
      <c r="B381" s="11" t="s">
        <v>695</v>
      </c>
      <c r="C381" s="11">
        <v>2.52610028E8</v>
      </c>
      <c r="D381" s="11" t="s">
        <v>696</v>
      </c>
      <c r="E381" s="11" t="s">
        <v>22</v>
      </c>
      <c r="F381" s="14"/>
      <c r="G381" s="15"/>
    </row>
    <row r="382" ht="22.5" customHeight="1">
      <c r="A382" s="10">
        <v>3.0</v>
      </c>
      <c r="B382" s="11" t="s">
        <v>697</v>
      </c>
      <c r="C382" s="11">
        <v>2.52610035E8</v>
      </c>
      <c r="D382" s="11" t="s">
        <v>698</v>
      </c>
      <c r="E382" s="11" t="s">
        <v>22</v>
      </c>
      <c r="F382" s="14"/>
      <c r="G382" s="15"/>
    </row>
    <row r="383" ht="22.5" customHeight="1">
      <c r="A383" s="10">
        <v>4.0</v>
      </c>
      <c r="B383" s="11" t="s">
        <v>699</v>
      </c>
      <c r="C383" s="11">
        <v>2.5261004E8</v>
      </c>
      <c r="D383" s="11" t="s">
        <v>700</v>
      </c>
      <c r="E383" s="11" t="s">
        <v>22</v>
      </c>
      <c r="F383" s="14"/>
      <c r="G383" s="15"/>
    </row>
    <row r="384" ht="22.5" customHeight="1">
      <c r="A384" s="10">
        <v>5.0</v>
      </c>
      <c r="B384" s="11" t="s">
        <v>701</v>
      </c>
      <c r="C384" s="11">
        <v>2.52610041E8</v>
      </c>
      <c r="D384" s="11" t="s">
        <v>702</v>
      </c>
      <c r="E384" s="11" t="s">
        <v>22</v>
      </c>
      <c r="F384" s="14"/>
      <c r="G384" s="15"/>
    </row>
    <row r="385" ht="22.5" customHeight="1">
      <c r="A385" s="10">
        <v>6.0</v>
      </c>
      <c r="B385" s="11" t="s">
        <v>703</v>
      </c>
      <c r="C385" s="11">
        <v>2.52610061E8</v>
      </c>
      <c r="D385" s="11" t="s">
        <v>704</v>
      </c>
      <c r="E385" s="11" t="s">
        <v>22</v>
      </c>
      <c r="F385" s="14"/>
      <c r="G385" s="15"/>
    </row>
    <row r="386" ht="22.5" customHeight="1">
      <c r="A386" s="10">
        <v>7.0</v>
      </c>
      <c r="B386" s="11" t="s">
        <v>705</v>
      </c>
      <c r="C386" s="11">
        <v>2.52610077E8</v>
      </c>
      <c r="D386" s="17" t="s">
        <v>706</v>
      </c>
      <c r="E386" s="11" t="s">
        <v>22</v>
      </c>
      <c r="F386" s="14"/>
      <c r="G386" s="15"/>
    </row>
    <row r="387" ht="22.5" customHeight="1">
      <c r="A387" s="10">
        <v>8.0</v>
      </c>
      <c r="B387" s="11" t="s">
        <v>707</v>
      </c>
      <c r="C387" s="11">
        <v>2.52610097E8</v>
      </c>
      <c r="D387" s="11" t="s">
        <v>708</v>
      </c>
      <c r="E387" s="11" t="s">
        <v>22</v>
      </c>
      <c r="F387" s="14"/>
      <c r="G387" s="15"/>
    </row>
    <row r="388" ht="22.5" customHeight="1">
      <c r="A388" s="10">
        <v>9.0</v>
      </c>
      <c r="B388" s="11" t="s">
        <v>709</v>
      </c>
      <c r="C388" s="11">
        <v>2.52610108E8</v>
      </c>
      <c r="D388" s="11" t="s">
        <v>710</v>
      </c>
      <c r="E388" s="11" t="s">
        <v>22</v>
      </c>
      <c r="F388" s="14"/>
      <c r="G388" s="15"/>
    </row>
    <row r="389" ht="22.5" customHeight="1">
      <c r="A389" s="10">
        <v>10.0</v>
      </c>
      <c r="B389" s="11" t="s">
        <v>711</v>
      </c>
      <c r="C389" s="11">
        <v>2.52610118E8</v>
      </c>
      <c r="D389" s="11" t="s">
        <v>712</v>
      </c>
      <c r="E389" s="11" t="s">
        <v>22</v>
      </c>
      <c r="F389" s="14"/>
      <c r="G389" s="15"/>
    </row>
    <row r="390" ht="22.5" customHeight="1">
      <c r="A390" s="10">
        <v>11.0</v>
      </c>
      <c r="B390" s="11" t="s">
        <v>713</v>
      </c>
      <c r="C390" s="11">
        <v>2.52610125E8</v>
      </c>
      <c r="D390" s="11" t="s">
        <v>714</v>
      </c>
      <c r="E390" s="11" t="s">
        <v>19</v>
      </c>
      <c r="F390" s="14"/>
      <c r="G390" s="15"/>
    </row>
    <row r="391" ht="22.5" customHeight="1">
      <c r="A391" s="10">
        <v>12.0</v>
      </c>
      <c r="B391" s="11" t="s">
        <v>715</v>
      </c>
      <c r="C391" s="11">
        <v>2.52610151E8</v>
      </c>
      <c r="D391" s="11" t="s">
        <v>716</v>
      </c>
      <c r="E391" s="11" t="s">
        <v>22</v>
      </c>
      <c r="F391" s="14"/>
      <c r="G391" s="15"/>
    </row>
    <row r="392" ht="22.5" customHeight="1">
      <c r="A392" s="10">
        <v>13.0</v>
      </c>
      <c r="B392" s="11" t="s">
        <v>717</v>
      </c>
      <c r="C392" s="11">
        <v>2.5261016E8</v>
      </c>
      <c r="D392" s="11" t="s">
        <v>718</v>
      </c>
      <c r="E392" s="11" t="s">
        <v>22</v>
      </c>
      <c r="F392" s="14"/>
      <c r="G392" s="15"/>
    </row>
    <row r="393" ht="22.5" customHeight="1">
      <c r="A393" s="10">
        <v>14.0</v>
      </c>
      <c r="B393" s="11" t="s">
        <v>719</v>
      </c>
      <c r="C393" s="11">
        <v>2.52610161E8</v>
      </c>
      <c r="D393" s="11" t="s">
        <v>720</v>
      </c>
      <c r="E393" s="11" t="s">
        <v>22</v>
      </c>
      <c r="F393" s="14"/>
      <c r="G393" s="15"/>
    </row>
    <row r="394" ht="22.5" customHeight="1">
      <c r="A394" s="10">
        <v>15.0</v>
      </c>
      <c r="B394" s="11" t="s">
        <v>721</v>
      </c>
      <c r="C394" s="11">
        <v>2.5261017E8</v>
      </c>
      <c r="D394" s="11" t="s">
        <v>722</v>
      </c>
      <c r="E394" s="11" t="s">
        <v>22</v>
      </c>
      <c r="F394" s="14"/>
      <c r="G394" s="15"/>
    </row>
    <row r="395" ht="22.5" customHeight="1">
      <c r="A395" s="10">
        <v>16.0</v>
      </c>
      <c r="B395" s="11" t="s">
        <v>723</v>
      </c>
      <c r="C395" s="11">
        <v>2.52610174E8</v>
      </c>
      <c r="D395" s="11" t="s">
        <v>724</v>
      </c>
      <c r="E395" s="11" t="s">
        <v>19</v>
      </c>
      <c r="F395" s="14"/>
      <c r="G395" s="15"/>
    </row>
    <row r="396" ht="22.5" customHeight="1">
      <c r="A396" s="10">
        <v>17.0</v>
      </c>
      <c r="B396" s="11" t="s">
        <v>725</v>
      </c>
      <c r="C396" s="11">
        <v>2.52610199E8</v>
      </c>
      <c r="D396" s="11" t="s">
        <v>726</v>
      </c>
      <c r="E396" s="11" t="s">
        <v>19</v>
      </c>
      <c r="F396" s="14"/>
      <c r="G396" s="15"/>
    </row>
    <row r="397" ht="22.5" customHeight="1">
      <c r="A397" s="10">
        <v>18.0</v>
      </c>
      <c r="B397" s="11" t="s">
        <v>727</v>
      </c>
      <c r="C397" s="11">
        <v>2.52610203E8</v>
      </c>
      <c r="D397" s="17" t="s">
        <v>728</v>
      </c>
      <c r="E397" s="11" t="s">
        <v>22</v>
      </c>
      <c r="F397" s="14"/>
      <c r="G397" s="15"/>
    </row>
    <row r="398" ht="22.5" customHeight="1">
      <c r="A398" s="10">
        <v>19.0</v>
      </c>
      <c r="B398" s="11" t="s">
        <v>729</v>
      </c>
      <c r="C398" s="11">
        <v>2.52610223E8</v>
      </c>
      <c r="D398" s="11" t="s">
        <v>730</v>
      </c>
      <c r="E398" s="11" t="s">
        <v>22</v>
      </c>
      <c r="F398" s="14"/>
      <c r="G398" s="15"/>
    </row>
    <row r="399" ht="22.5" customHeight="1">
      <c r="A399" s="10">
        <v>20.0</v>
      </c>
      <c r="B399" s="11" t="s">
        <v>731</v>
      </c>
      <c r="C399" s="11">
        <v>2.52610255E8</v>
      </c>
      <c r="D399" s="11" t="s">
        <v>732</v>
      </c>
      <c r="E399" s="11" t="s">
        <v>22</v>
      </c>
      <c r="F399" s="14"/>
      <c r="G399" s="15"/>
    </row>
    <row r="400" ht="22.5" customHeight="1">
      <c r="A400" s="10">
        <v>21.0</v>
      </c>
      <c r="B400" s="11" t="s">
        <v>733</v>
      </c>
      <c r="C400" s="11">
        <v>2.52610265E8</v>
      </c>
      <c r="D400" s="11" t="s">
        <v>734</v>
      </c>
      <c r="E400" s="11" t="s">
        <v>19</v>
      </c>
      <c r="F400" s="14"/>
      <c r="G400" s="15"/>
    </row>
    <row r="401" ht="22.5" customHeight="1">
      <c r="A401" s="10">
        <v>22.0</v>
      </c>
      <c r="B401" s="11" t="s">
        <v>735</v>
      </c>
      <c r="C401" s="11">
        <v>2.52610293E8</v>
      </c>
      <c r="D401" s="17" t="s">
        <v>736</v>
      </c>
      <c r="E401" s="11" t="s">
        <v>19</v>
      </c>
      <c r="F401" s="14"/>
      <c r="G401" s="15"/>
    </row>
    <row r="402" ht="22.5" customHeight="1">
      <c r="A402" s="10">
        <v>23.0</v>
      </c>
      <c r="B402" s="11" t="s">
        <v>737</v>
      </c>
      <c r="C402" s="11">
        <v>2.52610314E8</v>
      </c>
      <c r="D402" s="11" t="s">
        <v>738</v>
      </c>
      <c r="E402" s="11" t="s">
        <v>19</v>
      </c>
      <c r="F402" s="14"/>
      <c r="G402" s="15"/>
    </row>
    <row r="403" ht="22.5" customHeight="1">
      <c r="A403" s="10">
        <v>24.0</v>
      </c>
      <c r="B403" s="11" t="s">
        <v>739</v>
      </c>
      <c r="C403" s="11">
        <v>2.52610317E8</v>
      </c>
      <c r="D403" s="11" t="s">
        <v>740</v>
      </c>
      <c r="E403" s="11" t="s">
        <v>19</v>
      </c>
      <c r="F403" s="14"/>
      <c r="G403" s="15"/>
    </row>
    <row r="404" ht="22.5" customHeight="1">
      <c r="A404" s="10">
        <v>25.0</v>
      </c>
      <c r="B404" s="11" t="s">
        <v>741</v>
      </c>
      <c r="C404" s="11">
        <v>2.52610321E8</v>
      </c>
      <c r="D404" s="11" t="s">
        <v>742</v>
      </c>
      <c r="E404" s="11" t="s">
        <v>22</v>
      </c>
      <c r="F404" s="14"/>
      <c r="G404" s="15"/>
    </row>
    <row r="405" ht="22.5" customHeight="1">
      <c r="A405" s="10">
        <v>26.0</v>
      </c>
      <c r="B405" s="11" t="s">
        <v>743</v>
      </c>
      <c r="C405" s="11">
        <v>2.52610324E8</v>
      </c>
      <c r="D405" s="11" t="s">
        <v>744</v>
      </c>
      <c r="E405" s="11" t="s">
        <v>19</v>
      </c>
      <c r="F405" s="14"/>
      <c r="G405" s="15"/>
    </row>
    <row r="406" ht="22.5" customHeight="1">
      <c r="A406" s="10">
        <v>27.0</v>
      </c>
      <c r="B406" s="11" t="s">
        <v>745</v>
      </c>
      <c r="C406" s="11">
        <v>2.52610326E8</v>
      </c>
      <c r="D406" s="11" t="s">
        <v>746</v>
      </c>
      <c r="E406" s="11" t="s">
        <v>19</v>
      </c>
      <c r="F406" s="14"/>
      <c r="G406" s="15"/>
    </row>
    <row r="407" ht="22.5" customHeight="1">
      <c r="A407" s="10">
        <v>28.0</v>
      </c>
      <c r="B407" s="11" t="s">
        <v>747</v>
      </c>
      <c r="C407" s="11">
        <v>2.52610349E8</v>
      </c>
      <c r="D407" s="11" t="s">
        <v>748</v>
      </c>
      <c r="E407" s="11" t="s">
        <v>19</v>
      </c>
      <c r="F407" s="14"/>
      <c r="G407" s="15"/>
    </row>
    <row r="408" ht="22.5" customHeight="1">
      <c r="A408" s="10">
        <v>29.0</v>
      </c>
      <c r="B408" s="11" t="s">
        <v>749</v>
      </c>
      <c r="C408" s="11">
        <v>2.5261035E8</v>
      </c>
      <c r="D408" s="11" t="s">
        <v>750</v>
      </c>
      <c r="E408" s="11" t="s">
        <v>19</v>
      </c>
      <c r="F408" s="14"/>
      <c r="G408" s="15"/>
    </row>
    <row r="409" ht="22.5" customHeight="1">
      <c r="A409" s="10">
        <v>30.0</v>
      </c>
      <c r="B409" s="11" t="s">
        <v>751</v>
      </c>
      <c r="C409" s="11">
        <v>2.52610353E8</v>
      </c>
      <c r="D409" s="17" t="s">
        <v>752</v>
      </c>
      <c r="E409" s="11" t="s">
        <v>19</v>
      </c>
      <c r="F409" s="14"/>
      <c r="G409" s="15"/>
    </row>
    <row r="410" ht="22.5" customHeight="1">
      <c r="A410" s="10">
        <v>31.0</v>
      </c>
      <c r="B410" s="11" t="s">
        <v>753</v>
      </c>
      <c r="C410" s="11">
        <v>2.52610364E8</v>
      </c>
      <c r="D410" s="11" t="s">
        <v>754</v>
      </c>
      <c r="E410" s="11" t="s">
        <v>19</v>
      </c>
      <c r="F410" s="14"/>
      <c r="G410" s="15"/>
    </row>
    <row r="411" ht="22.5" customHeight="1">
      <c r="A411" s="10">
        <v>32.0</v>
      </c>
      <c r="B411" s="11" t="s">
        <v>755</v>
      </c>
      <c r="C411" s="11">
        <v>2.52610376E8</v>
      </c>
      <c r="D411" s="11" t="s">
        <v>756</v>
      </c>
      <c r="E411" s="11" t="s">
        <v>19</v>
      </c>
      <c r="F411" s="14"/>
      <c r="G411" s="15"/>
    </row>
    <row r="412" ht="22.5" customHeight="1">
      <c r="A412" s="10">
        <v>33.0</v>
      </c>
      <c r="B412" s="11" t="s">
        <v>757</v>
      </c>
      <c r="C412" s="11">
        <v>2.52610392E8</v>
      </c>
      <c r="D412" s="11" t="s">
        <v>758</v>
      </c>
      <c r="E412" s="11" t="s">
        <v>22</v>
      </c>
      <c r="F412" s="14"/>
      <c r="G412" s="15"/>
    </row>
    <row r="413" ht="22.5" customHeight="1">
      <c r="A413" s="10">
        <v>34.0</v>
      </c>
      <c r="B413" s="11" t="s">
        <v>759</v>
      </c>
      <c r="C413" s="11">
        <v>2.52610395E8</v>
      </c>
      <c r="D413" s="11" t="s">
        <v>760</v>
      </c>
      <c r="E413" s="11" t="s">
        <v>22</v>
      </c>
      <c r="F413" s="14"/>
      <c r="G413" s="15"/>
    </row>
    <row r="414" ht="22.5" customHeight="1">
      <c r="A414" s="10">
        <v>35.0</v>
      </c>
      <c r="B414" s="11" t="s">
        <v>761</v>
      </c>
      <c r="C414" s="11">
        <v>2.52610399E8</v>
      </c>
      <c r="D414" s="11" t="s">
        <v>762</v>
      </c>
      <c r="E414" s="11" t="s">
        <v>22</v>
      </c>
      <c r="F414" s="14"/>
      <c r="G414" s="15"/>
    </row>
    <row r="415" ht="22.5" customHeight="1">
      <c r="A415" s="10">
        <v>36.0</v>
      </c>
      <c r="B415" s="11" t="s">
        <v>763</v>
      </c>
      <c r="C415" s="11">
        <v>2.52610408E8</v>
      </c>
      <c r="D415" s="17" t="s">
        <v>764</v>
      </c>
      <c r="E415" s="11" t="s">
        <v>22</v>
      </c>
      <c r="F415" s="14"/>
      <c r="G415" s="15"/>
    </row>
    <row r="416" ht="22.5" customHeight="1">
      <c r="A416" s="10">
        <v>37.0</v>
      </c>
      <c r="B416" s="11" t="s">
        <v>765</v>
      </c>
      <c r="C416" s="11">
        <v>2.52610413E8</v>
      </c>
      <c r="D416" s="11" t="s">
        <v>766</v>
      </c>
      <c r="E416" s="11" t="s">
        <v>22</v>
      </c>
      <c r="F416" s="14"/>
      <c r="G416" s="15"/>
    </row>
    <row r="417" ht="22.5" customHeight="1">
      <c r="A417" s="10">
        <v>38.0</v>
      </c>
      <c r="B417" s="11" t="s">
        <v>767</v>
      </c>
      <c r="C417" s="11">
        <v>2.5261042E8</v>
      </c>
      <c r="D417" s="11" t="s">
        <v>768</v>
      </c>
      <c r="E417" s="11" t="s">
        <v>22</v>
      </c>
      <c r="F417" s="14"/>
      <c r="G417" s="15"/>
    </row>
    <row r="418" ht="22.5" customHeight="1">
      <c r="A418" s="10">
        <v>39.0</v>
      </c>
      <c r="B418" s="11" t="s">
        <v>769</v>
      </c>
      <c r="C418" s="11">
        <v>2.52610421E8</v>
      </c>
      <c r="D418" s="11" t="s">
        <v>770</v>
      </c>
      <c r="E418" s="11" t="s">
        <v>22</v>
      </c>
      <c r="F418" s="14"/>
      <c r="G418" s="15"/>
    </row>
    <row r="419" ht="22.5" customHeight="1">
      <c r="A419" s="10">
        <v>40.0</v>
      </c>
      <c r="B419" s="11" t="s">
        <v>771</v>
      </c>
      <c r="C419" s="11">
        <v>2.52610444E8</v>
      </c>
      <c r="D419" s="11" t="s">
        <v>772</v>
      </c>
      <c r="E419" s="11" t="s">
        <v>22</v>
      </c>
      <c r="F419" s="14"/>
      <c r="G419" s="15"/>
    </row>
    <row r="420" ht="22.5" customHeight="1">
      <c r="A420" s="10">
        <v>41.0</v>
      </c>
      <c r="B420" s="11" t="s">
        <v>773</v>
      </c>
      <c r="C420" s="11">
        <v>2.52610445E8</v>
      </c>
      <c r="D420" s="11" t="s">
        <v>774</v>
      </c>
      <c r="E420" s="11" t="s">
        <v>22</v>
      </c>
      <c r="F420" s="14"/>
      <c r="G420" s="15"/>
    </row>
    <row r="421" ht="22.5" customHeight="1">
      <c r="A421" s="10">
        <v>42.0</v>
      </c>
      <c r="B421" s="11" t="s">
        <v>775</v>
      </c>
      <c r="C421" s="11">
        <v>2.52610463E8</v>
      </c>
      <c r="D421" s="11" t="s">
        <v>776</v>
      </c>
      <c r="E421" s="11" t="s">
        <v>19</v>
      </c>
      <c r="F421" s="14"/>
      <c r="G421" s="15"/>
    </row>
    <row r="422" ht="22.5" customHeight="1">
      <c r="A422" s="10">
        <v>43.0</v>
      </c>
      <c r="B422" s="11" t="s">
        <v>777</v>
      </c>
      <c r="C422" s="11">
        <v>2.5261047E8</v>
      </c>
      <c r="D422" s="17" t="s">
        <v>778</v>
      </c>
      <c r="E422" s="11" t="s">
        <v>19</v>
      </c>
      <c r="F422" s="14"/>
      <c r="G422" s="15"/>
    </row>
    <row r="423" ht="22.5" customHeight="1">
      <c r="A423" s="10">
        <v>44.0</v>
      </c>
      <c r="B423" s="11" t="s">
        <v>779</v>
      </c>
      <c r="C423" s="11">
        <v>2.526105E8</v>
      </c>
      <c r="D423" s="11" t="s">
        <v>780</v>
      </c>
      <c r="E423" s="11" t="s">
        <v>19</v>
      </c>
      <c r="F423" s="14"/>
      <c r="G423" s="15"/>
    </row>
    <row r="424" ht="22.5" customHeight="1">
      <c r="A424" s="10">
        <v>45.0</v>
      </c>
      <c r="B424" s="11" t="s">
        <v>781</v>
      </c>
      <c r="C424" s="11">
        <v>2.52610522E8</v>
      </c>
      <c r="D424" s="11" t="s">
        <v>782</v>
      </c>
      <c r="E424" s="11" t="s">
        <v>22</v>
      </c>
      <c r="F424" s="14"/>
      <c r="G424" s="15"/>
    </row>
    <row r="425" ht="22.5" customHeight="1">
      <c r="A425" s="10">
        <v>46.0</v>
      </c>
      <c r="B425" s="11" t="s">
        <v>783</v>
      </c>
      <c r="C425" s="11">
        <v>2.52610536E8</v>
      </c>
      <c r="D425" s="11" t="s">
        <v>784</v>
      </c>
      <c r="E425" s="11" t="s">
        <v>22</v>
      </c>
      <c r="F425" s="14"/>
      <c r="G425" s="15"/>
    </row>
    <row r="426" ht="22.5" customHeight="1">
      <c r="A426" s="10">
        <v>47.0</v>
      </c>
      <c r="B426" s="11" t="s">
        <v>785</v>
      </c>
      <c r="C426" s="11">
        <v>2.52610548E8</v>
      </c>
      <c r="D426" s="11" t="s">
        <v>786</v>
      </c>
      <c r="E426" s="11" t="s">
        <v>22</v>
      </c>
      <c r="F426" s="14"/>
      <c r="G426" s="15"/>
    </row>
    <row r="427" ht="22.5" customHeight="1">
      <c r="A427" s="10">
        <v>48.0</v>
      </c>
      <c r="B427" s="11" t="s">
        <v>787</v>
      </c>
      <c r="C427" s="11">
        <v>2.52610558E8</v>
      </c>
      <c r="D427" s="11" t="s">
        <v>788</v>
      </c>
      <c r="E427" s="11" t="s">
        <v>19</v>
      </c>
      <c r="F427" s="14"/>
      <c r="G427" s="15"/>
    </row>
    <row r="428" ht="22.5" customHeight="1">
      <c r="A428" s="15"/>
      <c r="B428" s="15"/>
      <c r="C428" s="15"/>
      <c r="D428" s="8"/>
      <c r="E428" s="8"/>
      <c r="F428" s="14"/>
      <c r="G428" s="15"/>
    </row>
    <row r="429" ht="22.5" customHeight="1">
      <c r="A429" s="15"/>
      <c r="B429" s="15"/>
      <c r="C429" s="16"/>
      <c r="D429" s="11" t="s">
        <v>115</v>
      </c>
      <c r="E429" s="11" t="str">
        <f>COUNTIF(R[-49]C[0]:R[-2]C[0],"P")</f>
        <v>#ERROR!</v>
      </c>
      <c r="F429" s="14"/>
      <c r="G429" s="15"/>
    </row>
    <row r="430" ht="22.5" customHeight="1">
      <c r="A430" s="15"/>
      <c r="B430" s="15"/>
      <c r="C430" s="16"/>
      <c r="D430" s="11" t="s">
        <v>116</v>
      </c>
      <c r="E430" s="11" t="str">
        <f>COUNTIF(R[-50]C[0]:R[-3]C[0],"L")</f>
        <v>#ERROR!</v>
      </c>
      <c r="F430" s="14"/>
      <c r="G430" s="15"/>
    </row>
    <row r="431" ht="22.5" customHeight="1">
      <c r="A431" s="15"/>
      <c r="B431" s="15"/>
      <c r="C431" s="15"/>
      <c r="D431" s="15"/>
      <c r="E431" s="15"/>
      <c r="F431" s="14"/>
      <c r="G431" s="15"/>
    </row>
    <row r="432" ht="22.5" customHeight="1">
      <c r="A432" s="8" t="s">
        <v>789</v>
      </c>
      <c r="B432" s="8"/>
      <c r="C432" s="8"/>
      <c r="D432" s="8"/>
      <c r="E432" s="8" t="s">
        <v>790</v>
      </c>
      <c r="F432" s="14"/>
      <c r="G432" s="15"/>
    </row>
    <row r="433" ht="22.5" customHeight="1">
      <c r="A433" s="10" t="s">
        <v>10</v>
      </c>
      <c r="B433" s="11" t="s">
        <v>11</v>
      </c>
      <c r="C433" s="11" t="s">
        <v>12</v>
      </c>
      <c r="D433" s="11" t="s">
        <v>13</v>
      </c>
      <c r="E433" s="11" t="s">
        <v>14</v>
      </c>
      <c r="F433" s="12" t="s">
        <v>119</v>
      </c>
      <c r="G433" s="13" t="s">
        <v>120</v>
      </c>
    </row>
    <row r="434" ht="22.5" customHeight="1">
      <c r="A434" s="10">
        <v>1.0</v>
      </c>
      <c r="B434" s="11" t="s">
        <v>791</v>
      </c>
      <c r="C434" s="11">
        <v>2.52610003E8</v>
      </c>
      <c r="D434" s="11" t="s">
        <v>792</v>
      </c>
      <c r="E434" s="11" t="s">
        <v>19</v>
      </c>
      <c r="F434" s="14"/>
      <c r="G434" s="15"/>
    </row>
    <row r="435" ht="22.5" customHeight="1">
      <c r="A435" s="10">
        <v>2.0</v>
      </c>
      <c r="B435" s="11" t="s">
        <v>793</v>
      </c>
      <c r="C435" s="11">
        <v>2.52610019E8</v>
      </c>
      <c r="D435" s="11" t="s">
        <v>794</v>
      </c>
      <c r="E435" s="11" t="s">
        <v>19</v>
      </c>
      <c r="F435" s="14"/>
      <c r="G435" s="15"/>
    </row>
    <row r="436" ht="22.5" customHeight="1">
      <c r="A436" s="10">
        <v>3.0</v>
      </c>
      <c r="B436" s="11" t="s">
        <v>795</v>
      </c>
      <c r="C436" s="11">
        <v>2.52610027E8</v>
      </c>
      <c r="D436" s="11" t="s">
        <v>796</v>
      </c>
      <c r="E436" s="11" t="s">
        <v>22</v>
      </c>
      <c r="F436" s="14"/>
      <c r="G436" s="15"/>
    </row>
    <row r="437" ht="22.5" customHeight="1">
      <c r="A437" s="10">
        <v>4.0</v>
      </c>
      <c r="B437" s="11" t="s">
        <v>797</v>
      </c>
      <c r="C437" s="11">
        <v>2.52610071E8</v>
      </c>
      <c r="D437" s="11" t="s">
        <v>798</v>
      </c>
      <c r="E437" s="11" t="s">
        <v>22</v>
      </c>
      <c r="F437" s="14"/>
      <c r="G437" s="15"/>
    </row>
    <row r="438" ht="22.5" customHeight="1">
      <c r="A438" s="10">
        <v>5.0</v>
      </c>
      <c r="B438" s="11" t="s">
        <v>799</v>
      </c>
      <c r="C438" s="11">
        <v>2.52610073E8</v>
      </c>
      <c r="D438" s="11" t="s">
        <v>800</v>
      </c>
      <c r="E438" s="11" t="s">
        <v>22</v>
      </c>
      <c r="F438" s="14"/>
      <c r="G438" s="15"/>
    </row>
    <row r="439" ht="22.5" customHeight="1">
      <c r="A439" s="10">
        <v>6.0</v>
      </c>
      <c r="B439" s="11" t="s">
        <v>801</v>
      </c>
      <c r="C439" s="11">
        <v>2.52610078E8</v>
      </c>
      <c r="D439" s="11" t="s">
        <v>802</v>
      </c>
      <c r="E439" s="11" t="s">
        <v>19</v>
      </c>
      <c r="F439" s="14"/>
      <c r="G439" s="15"/>
    </row>
    <row r="440" ht="22.5" customHeight="1">
      <c r="A440" s="10">
        <v>7.0</v>
      </c>
      <c r="B440" s="11" t="s">
        <v>803</v>
      </c>
      <c r="C440" s="11">
        <v>2.52610086E8</v>
      </c>
      <c r="D440" s="11" t="s">
        <v>804</v>
      </c>
      <c r="E440" s="11" t="s">
        <v>22</v>
      </c>
      <c r="F440" s="14"/>
      <c r="G440" s="15"/>
    </row>
    <row r="441" ht="22.5" customHeight="1">
      <c r="A441" s="10">
        <v>8.0</v>
      </c>
      <c r="B441" s="11" t="s">
        <v>805</v>
      </c>
      <c r="C441" s="11">
        <v>2.52610092E8</v>
      </c>
      <c r="D441" s="11" t="s">
        <v>806</v>
      </c>
      <c r="E441" s="11" t="s">
        <v>19</v>
      </c>
      <c r="F441" s="14"/>
      <c r="G441" s="15"/>
    </row>
    <row r="442" ht="22.5" customHeight="1">
      <c r="A442" s="10">
        <v>9.0</v>
      </c>
      <c r="B442" s="11" t="s">
        <v>807</v>
      </c>
      <c r="C442" s="11">
        <v>2.52610095E8</v>
      </c>
      <c r="D442" s="11" t="s">
        <v>808</v>
      </c>
      <c r="E442" s="11" t="s">
        <v>22</v>
      </c>
      <c r="F442" s="14"/>
      <c r="G442" s="15"/>
    </row>
    <row r="443" ht="22.5" customHeight="1">
      <c r="A443" s="10">
        <v>10.0</v>
      </c>
      <c r="B443" s="11" t="s">
        <v>809</v>
      </c>
      <c r="C443" s="11">
        <v>2.52610117E8</v>
      </c>
      <c r="D443" s="11" t="s">
        <v>810</v>
      </c>
      <c r="E443" s="11" t="s">
        <v>22</v>
      </c>
      <c r="F443" s="14"/>
      <c r="G443" s="15"/>
    </row>
    <row r="444" ht="22.5" customHeight="1">
      <c r="A444" s="10">
        <v>11.0</v>
      </c>
      <c r="B444" s="11" t="s">
        <v>811</v>
      </c>
      <c r="C444" s="11">
        <v>2.52610133E8</v>
      </c>
      <c r="D444" s="11" t="s">
        <v>812</v>
      </c>
      <c r="E444" s="11" t="s">
        <v>22</v>
      </c>
      <c r="F444" s="14"/>
      <c r="G444" s="15"/>
    </row>
    <row r="445" ht="22.5" customHeight="1">
      <c r="A445" s="10">
        <v>12.0</v>
      </c>
      <c r="B445" s="11" t="s">
        <v>813</v>
      </c>
      <c r="C445" s="11">
        <v>2.52610135E8</v>
      </c>
      <c r="D445" s="11" t="s">
        <v>814</v>
      </c>
      <c r="E445" s="11" t="s">
        <v>19</v>
      </c>
      <c r="F445" s="14"/>
      <c r="G445" s="15"/>
    </row>
    <row r="446" ht="22.5" customHeight="1">
      <c r="A446" s="10">
        <v>13.0</v>
      </c>
      <c r="B446" s="11" t="s">
        <v>815</v>
      </c>
      <c r="C446" s="11">
        <v>2.52610146E8</v>
      </c>
      <c r="D446" s="11" t="s">
        <v>816</v>
      </c>
      <c r="E446" s="11" t="s">
        <v>22</v>
      </c>
      <c r="F446" s="14"/>
      <c r="G446" s="15"/>
    </row>
    <row r="447" ht="22.5" customHeight="1">
      <c r="A447" s="10">
        <v>14.0</v>
      </c>
      <c r="B447" s="11" t="s">
        <v>817</v>
      </c>
      <c r="C447" s="11">
        <v>2.52610178E8</v>
      </c>
      <c r="D447" s="11" t="s">
        <v>818</v>
      </c>
      <c r="E447" s="11" t="s">
        <v>22</v>
      </c>
      <c r="F447" s="14"/>
      <c r="G447" s="15"/>
    </row>
    <row r="448" ht="22.5" customHeight="1">
      <c r="A448" s="10">
        <v>15.0</v>
      </c>
      <c r="B448" s="11" t="s">
        <v>819</v>
      </c>
      <c r="C448" s="11">
        <v>2.52610211E8</v>
      </c>
      <c r="D448" s="11" t="s">
        <v>820</v>
      </c>
      <c r="E448" s="11" t="s">
        <v>19</v>
      </c>
      <c r="F448" s="14"/>
      <c r="G448" s="15"/>
    </row>
    <row r="449" ht="22.5" customHeight="1">
      <c r="A449" s="10">
        <v>16.0</v>
      </c>
      <c r="B449" s="11" t="s">
        <v>821</v>
      </c>
      <c r="C449" s="11">
        <v>2.52610212E8</v>
      </c>
      <c r="D449" s="11" t="s">
        <v>822</v>
      </c>
      <c r="E449" s="11" t="s">
        <v>22</v>
      </c>
      <c r="F449" s="14"/>
      <c r="G449" s="15"/>
    </row>
    <row r="450" ht="22.5" customHeight="1">
      <c r="A450" s="10">
        <v>17.0</v>
      </c>
      <c r="B450" s="11" t="s">
        <v>823</v>
      </c>
      <c r="C450" s="11">
        <v>2.5261022E8</v>
      </c>
      <c r="D450" s="11" t="s">
        <v>824</v>
      </c>
      <c r="E450" s="11" t="s">
        <v>22</v>
      </c>
      <c r="F450" s="14"/>
      <c r="G450" s="15"/>
    </row>
    <row r="451" ht="22.5" customHeight="1">
      <c r="A451" s="10">
        <v>18.0</v>
      </c>
      <c r="B451" s="11" t="s">
        <v>825</v>
      </c>
      <c r="C451" s="11">
        <v>2.52610231E8</v>
      </c>
      <c r="D451" s="11" t="s">
        <v>826</v>
      </c>
      <c r="E451" s="11" t="s">
        <v>19</v>
      </c>
      <c r="F451" s="14"/>
      <c r="G451" s="15"/>
    </row>
    <row r="452" ht="22.5" customHeight="1">
      <c r="A452" s="10">
        <v>19.0</v>
      </c>
      <c r="B452" s="11" t="s">
        <v>827</v>
      </c>
      <c r="C452" s="11">
        <v>2.52610232E8</v>
      </c>
      <c r="D452" s="11" t="s">
        <v>828</v>
      </c>
      <c r="E452" s="11" t="s">
        <v>19</v>
      </c>
      <c r="F452" s="14"/>
      <c r="G452" s="15"/>
    </row>
    <row r="453" ht="22.5" customHeight="1">
      <c r="A453" s="10">
        <v>20.0</v>
      </c>
      <c r="B453" s="11" t="s">
        <v>829</v>
      </c>
      <c r="C453" s="11">
        <v>2.52610236E8</v>
      </c>
      <c r="D453" s="11" t="s">
        <v>830</v>
      </c>
      <c r="E453" s="11" t="s">
        <v>22</v>
      </c>
      <c r="F453" s="14"/>
      <c r="G453" s="15"/>
    </row>
    <row r="454" ht="22.5" customHeight="1">
      <c r="A454" s="10">
        <v>21.0</v>
      </c>
      <c r="B454" s="11" t="s">
        <v>831</v>
      </c>
      <c r="C454" s="11">
        <v>2.5261024E8</v>
      </c>
      <c r="D454" s="11" t="s">
        <v>832</v>
      </c>
      <c r="E454" s="11" t="s">
        <v>19</v>
      </c>
      <c r="F454" s="14"/>
      <c r="G454" s="15"/>
    </row>
    <row r="455" ht="22.5" customHeight="1">
      <c r="A455" s="10">
        <v>22.0</v>
      </c>
      <c r="B455" s="11" t="s">
        <v>833</v>
      </c>
      <c r="C455" s="11">
        <v>2.52610248E8</v>
      </c>
      <c r="D455" s="11" t="s">
        <v>834</v>
      </c>
      <c r="E455" s="11" t="s">
        <v>22</v>
      </c>
      <c r="F455" s="14"/>
      <c r="G455" s="15"/>
    </row>
    <row r="456" ht="22.5" customHeight="1">
      <c r="A456" s="10">
        <v>23.0</v>
      </c>
      <c r="B456" s="11" t="s">
        <v>835</v>
      </c>
      <c r="C456" s="11">
        <v>2.52610256E8</v>
      </c>
      <c r="D456" s="11" t="s">
        <v>836</v>
      </c>
      <c r="E456" s="11" t="s">
        <v>22</v>
      </c>
      <c r="F456" s="14"/>
      <c r="G456" s="15"/>
    </row>
    <row r="457" ht="22.5" customHeight="1">
      <c r="A457" s="10">
        <v>24.0</v>
      </c>
      <c r="B457" s="11" t="s">
        <v>837</v>
      </c>
      <c r="C457" s="11">
        <v>2.52610263E8</v>
      </c>
      <c r="D457" s="11" t="s">
        <v>838</v>
      </c>
      <c r="E457" s="11" t="s">
        <v>22</v>
      </c>
      <c r="F457" s="14"/>
      <c r="G457" s="15"/>
    </row>
    <row r="458" ht="22.5" customHeight="1">
      <c r="A458" s="10">
        <v>25.0</v>
      </c>
      <c r="B458" s="11" t="s">
        <v>839</v>
      </c>
      <c r="C458" s="11">
        <v>2.52610297E8</v>
      </c>
      <c r="D458" s="11" t="s">
        <v>840</v>
      </c>
      <c r="E458" s="11" t="s">
        <v>22</v>
      </c>
      <c r="F458" s="14"/>
      <c r="G458" s="15"/>
    </row>
    <row r="459" ht="22.5" customHeight="1">
      <c r="A459" s="10">
        <v>26.0</v>
      </c>
      <c r="B459" s="11" t="s">
        <v>841</v>
      </c>
      <c r="C459" s="11">
        <v>2.52610325E8</v>
      </c>
      <c r="D459" s="11" t="s">
        <v>842</v>
      </c>
      <c r="E459" s="11" t="s">
        <v>19</v>
      </c>
      <c r="F459" s="14"/>
      <c r="G459" s="15"/>
    </row>
    <row r="460" ht="22.5" customHeight="1">
      <c r="A460" s="10">
        <v>27.0</v>
      </c>
      <c r="B460" s="11" t="s">
        <v>843</v>
      </c>
      <c r="C460" s="11">
        <v>2.52610337E8</v>
      </c>
      <c r="D460" s="11" t="s">
        <v>844</v>
      </c>
      <c r="E460" s="11" t="s">
        <v>19</v>
      </c>
      <c r="F460" s="14"/>
      <c r="G460" s="15"/>
    </row>
    <row r="461" ht="22.5" customHeight="1">
      <c r="A461" s="10">
        <v>28.0</v>
      </c>
      <c r="B461" s="11" t="s">
        <v>845</v>
      </c>
      <c r="C461" s="11">
        <v>2.52610341E8</v>
      </c>
      <c r="D461" s="11" t="s">
        <v>846</v>
      </c>
      <c r="E461" s="11" t="s">
        <v>19</v>
      </c>
      <c r="F461" s="14"/>
      <c r="G461" s="15"/>
    </row>
    <row r="462" ht="22.5" customHeight="1">
      <c r="A462" s="10">
        <v>29.0</v>
      </c>
      <c r="B462" s="11" t="s">
        <v>847</v>
      </c>
      <c r="C462" s="11">
        <v>2.52610344E8</v>
      </c>
      <c r="D462" s="11" t="s">
        <v>848</v>
      </c>
      <c r="E462" s="11" t="s">
        <v>19</v>
      </c>
      <c r="F462" s="14"/>
      <c r="G462" s="15"/>
    </row>
    <row r="463" ht="22.5" customHeight="1">
      <c r="A463" s="10">
        <v>30.0</v>
      </c>
      <c r="B463" s="11" t="s">
        <v>849</v>
      </c>
      <c r="C463" s="11">
        <v>2.52610347E8</v>
      </c>
      <c r="D463" s="11" t="s">
        <v>850</v>
      </c>
      <c r="E463" s="11" t="s">
        <v>19</v>
      </c>
      <c r="F463" s="14"/>
      <c r="G463" s="15"/>
    </row>
    <row r="464" ht="22.5" customHeight="1">
      <c r="A464" s="10">
        <v>31.0</v>
      </c>
      <c r="B464" s="11" t="s">
        <v>851</v>
      </c>
      <c r="C464" s="11">
        <v>2.52610358E8</v>
      </c>
      <c r="D464" s="11" t="s">
        <v>852</v>
      </c>
      <c r="E464" s="11" t="s">
        <v>19</v>
      </c>
      <c r="F464" s="14"/>
      <c r="G464" s="15"/>
    </row>
    <row r="465" ht="22.5" customHeight="1">
      <c r="A465" s="10">
        <v>32.0</v>
      </c>
      <c r="B465" s="11" t="s">
        <v>853</v>
      </c>
      <c r="C465" s="11">
        <v>2.52610368E8</v>
      </c>
      <c r="D465" s="11" t="s">
        <v>854</v>
      </c>
      <c r="E465" s="11" t="s">
        <v>19</v>
      </c>
      <c r="F465" s="14"/>
      <c r="G465" s="15"/>
    </row>
    <row r="466" ht="22.5" customHeight="1">
      <c r="A466" s="10">
        <v>33.0</v>
      </c>
      <c r="B466" s="11" t="s">
        <v>855</v>
      </c>
      <c r="C466" s="11">
        <v>2.52610372E8</v>
      </c>
      <c r="D466" s="11" t="s">
        <v>856</v>
      </c>
      <c r="E466" s="11" t="s">
        <v>19</v>
      </c>
      <c r="F466" s="14"/>
      <c r="G466" s="15"/>
    </row>
    <row r="467" ht="22.5" customHeight="1">
      <c r="A467" s="10">
        <v>34.0</v>
      </c>
      <c r="B467" s="11" t="s">
        <v>857</v>
      </c>
      <c r="C467" s="11">
        <v>2.52610397E8</v>
      </c>
      <c r="D467" s="11" t="s">
        <v>858</v>
      </c>
      <c r="E467" s="11" t="s">
        <v>19</v>
      </c>
      <c r="F467" s="14"/>
      <c r="G467" s="15"/>
    </row>
    <row r="468" ht="22.5" customHeight="1">
      <c r="A468" s="10">
        <v>35.0</v>
      </c>
      <c r="B468" s="11" t="s">
        <v>859</v>
      </c>
      <c r="C468" s="11">
        <v>2.52610398E8</v>
      </c>
      <c r="D468" s="11" t="s">
        <v>860</v>
      </c>
      <c r="E468" s="11" t="s">
        <v>22</v>
      </c>
      <c r="F468" s="14"/>
      <c r="G468" s="15"/>
    </row>
    <row r="469" ht="22.5" customHeight="1">
      <c r="A469" s="10">
        <v>36.0</v>
      </c>
      <c r="B469" s="11" t="s">
        <v>861</v>
      </c>
      <c r="C469" s="11">
        <v>2.52610425E8</v>
      </c>
      <c r="D469" s="11" t="s">
        <v>862</v>
      </c>
      <c r="E469" s="11" t="s">
        <v>22</v>
      </c>
      <c r="F469" s="14"/>
      <c r="G469" s="15"/>
    </row>
    <row r="470" ht="22.5" customHeight="1">
      <c r="A470" s="10">
        <v>37.0</v>
      </c>
      <c r="B470" s="11" t="s">
        <v>863</v>
      </c>
      <c r="C470" s="11">
        <v>2.52610441E8</v>
      </c>
      <c r="D470" s="11" t="s">
        <v>864</v>
      </c>
      <c r="E470" s="11" t="s">
        <v>22</v>
      </c>
      <c r="F470" s="14"/>
      <c r="G470" s="15"/>
    </row>
    <row r="471" ht="22.5" customHeight="1">
      <c r="A471" s="10">
        <v>38.0</v>
      </c>
      <c r="B471" s="11" t="s">
        <v>865</v>
      </c>
      <c r="C471" s="11">
        <v>2.52610457E8</v>
      </c>
      <c r="D471" s="11" t="s">
        <v>866</v>
      </c>
      <c r="E471" s="11" t="s">
        <v>22</v>
      </c>
      <c r="F471" s="14"/>
      <c r="G471" s="15"/>
    </row>
    <row r="472" ht="22.5" customHeight="1">
      <c r="A472" s="10">
        <v>39.0</v>
      </c>
      <c r="B472" s="11" t="s">
        <v>867</v>
      </c>
      <c r="C472" s="11">
        <v>2.5261046E8</v>
      </c>
      <c r="D472" s="11" t="s">
        <v>868</v>
      </c>
      <c r="E472" s="11" t="s">
        <v>19</v>
      </c>
      <c r="F472" s="14"/>
      <c r="G472" s="15"/>
    </row>
    <row r="473" ht="22.5" customHeight="1">
      <c r="A473" s="10">
        <v>40.0</v>
      </c>
      <c r="B473" s="11" t="s">
        <v>869</v>
      </c>
      <c r="C473" s="11">
        <v>2.52610465E8</v>
      </c>
      <c r="D473" s="11" t="s">
        <v>870</v>
      </c>
      <c r="E473" s="11" t="s">
        <v>22</v>
      </c>
      <c r="F473" s="14"/>
      <c r="G473" s="15"/>
    </row>
    <row r="474" ht="22.5" customHeight="1">
      <c r="A474" s="10">
        <v>41.0</v>
      </c>
      <c r="B474" s="11" t="s">
        <v>871</v>
      </c>
      <c r="C474" s="11">
        <v>2.52610473E8</v>
      </c>
      <c r="D474" s="11" t="s">
        <v>872</v>
      </c>
      <c r="E474" s="11" t="s">
        <v>19</v>
      </c>
      <c r="F474" s="14"/>
      <c r="G474" s="15"/>
    </row>
    <row r="475" ht="22.5" customHeight="1">
      <c r="A475" s="10">
        <v>42.0</v>
      </c>
      <c r="B475" s="11" t="s">
        <v>873</v>
      </c>
      <c r="C475" s="11">
        <v>2.52610487E8</v>
      </c>
      <c r="D475" s="11" t="s">
        <v>874</v>
      </c>
      <c r="E475" s="11" t="s">
        <v>19</v>
      </c>
      <c r="F475" s="14"/>
      <c r="G475" s="15"/>
    </row>
    <row r="476" ht="22.5" customHeight="1">
      <c r="A476" s="10">
        <v>43.0</v>
      </c>
      <c r="B476" s="11" t="s">
        <v>875</v>
      </c>
      <c r="C476" s="11">
        <v>2.52610511E8</v>
      </c>
      <c r="D476" s="11" t="s">
        <v>876</v>
      </c>
      <c r="E476" s="11" t="s">
        <v>22</v>
      </c>
      <c r="F476" s="14"/>
      <c r="G476" s="15"/>
    </row>
    <row r="477" ht="22.5" customHeight="1">
      <c r="A477" s="10">
        <v>44.0</v>
      </c>
      <c r="B477" s="11" t="s">
        <v>877</v>
      </c>
      <c r="C477" s="11">
        <v>2.5261053E8</v>
      </c>
      <c r="D477" s="11" t="s">
        <v>878</v>
      </c>
      <c r="E477" s="11" t="s">
        <v>22</v>
      </c>
      <c r="F477" s="14"/>
      <c r="G477" s="15"/>
    </row>
    <row r="478" ht="22.5" customHeight="1">
      <c r="A478" s="10">
        <v>45.0</v>
      </c>
      <c r="B478" s="11" t="s">
        <v>879</v>
      </c>
      <c r="C478" s="11">
        <v>2.52610537E8</v>
      </c>
      <c r="D478" s="11" t="s">
        <v>880</v>
      </c>
      <c r="E478" s="11" t="s">
        <v>22</v>
      </c>
      <c r="F478" s="14"/>
      <c r="G478" s="15"/>
    </row>
    <row r="479" ht="22.5" customHeight="1">
      <c r="A479" s="10">
        <v>46.0</v>
      </c>
      <c r="B479" s="11" t="s">
        <v>881</v>
      </c>
      <c r="C479" s="11">
        <v>2.52610542E8</v>
      </c>
      <c r="D479" s="11" t="s">
        <v>882</v>
      </c>
      <c r="E479" s="11" t="s">
        <v>22</v>
      </c>
      <c r="F479" s="14"/>
      <c r="G479" s="15"/>
    </row>
    <row r="480" ht="22.5" customHeight="1">
      <c r="A480" s="15"/>
      <c r="B480" s="15"/>
      <c r="C480" s="15"/>
      <c r="D480" s="8"/>
      <c r="E480" s="8"/>
      <c r="F480" s="14"/>
      <c r="G480" s="15"/>
    </row>
    <row r="481" ht="22.5" customHeight="1">
      <c r="A481" s="15"/>
      <c r="B481" s="15"/>
      <c r="C481" s="16"/>
      <c r="D481" s="11" t="s">
        <v>115</v>
      </c>
      <c r="E481" s="11" t="str">
        <f>COUNTIF(R[-47]C[0]:R[-2]C[0],"P")</f>
        <v>#ERROR!</v>
      </c>
      <c r="F481" s="14"/>
      <c r="G481" s="15"/>
    </row>
    <row r="482" ht="22.5" customHeight="1">
      <c r="A482" s="15"/>
      <c r="B482" s="15"/>
      <c r="C482" s="16"/>
      <c r="D482" s="11" t="s">
        <v>116</v>
      </c>
      <c r="E482" s="11" t="str">
        <f>COUNTIF(R[-48]C[0]:R[-3]C[0],"L")</f>
        <v>#ERROR!</v>
      </c>
      <c r="F482" s="14"/>
      <c r="G482" s="15"/>
    </row>
    <row r="483" ht="22.5" customHeight="1">
      <c r="A483" s="15"/>
      <c r="B483" s="15"/>
      <c r="C483" s="15"/>
      <c r="D483" s="15"/>
      <c r="E483" s="15"/>
      <c r="F483" s="14"/>
      <c r="G483" s="15"/>
    </row>
    <row r="484" ht="22.5" customHeight="1">
      <c r="A484" s="15"/>
      <c r="B484" s="15"/>
      <c r="C484" s="15"/>
      <c r="D484" s="15"/>
      <c r="E484" s="15"/>
      <c r="F484" s="14"/>
      <c r="G484" s="15"/>
    </row>
    <row r="485" ht="22.5" customHeight="1">
      <c r="A485" s="8" t="s">
        <v>883</v>
      </c>
      <c r="B485" s="8"/>
      <c r="C485" s="8"/>
      <c r="D485" s="8"/>
      <c r="E485" s="8" t="s">
        <v>884</v>
      </c>
      <c r="F485" s="14"/>
      <c r="G485" s="15"/>
    </row>
    <row r="486" ht="22.5" customHeight="1">
      <c r="A486" s="10" t="s">
        <v>10</v>
      </c>
      <c r="B486" s="11" t="s">
        <v>11</v>
      </c>
      <c r="C486" s="11" t="s">
        <v>12</v>
      </c>
      <c r="D486" s="11" t="s">
        <v>13</v>
      </c>
      <c r="E486" s="11" t="s">
        <v>14</v>
      </c>
      <c r="F486" s="12" t="s">
        <v>119</v>
      </c>
      <c r="G486" s="13" t="s">
        <v>120</v>
      </c>
    </row>
    <row r="487" ht="22.5" customHeight="1">
      <c r="A487" s="10">
        <v>1.0</v>
      </c>
      <c r="B487" s="11" t="s">
        <v>885</v>
      </c>
      <c r="C487" s="11">
        <v>2.52610001E8</v>
      </c>
      <c r="D487" s="11" t="s">
        <v>886</v>
      </c>
      <c r="E487" s="11" t="s">
        <v>19</v>
      </c>
      <c r="F487" s="14"/>
      <c r="G487" s="15"/>
    </row>
    <row r="488" ht="22.5" customHeight="1">
      <c r="A488" s="10">
        <v>2.0</v>
      </c>
      <c r="B488" s="11" t="s">
        <v>887</v>
      </c>
      <c r="C488" s="11">
        <v>2.52610012E8</v>
      </c>
      <c r="D488" s="11" t="s">
        <v>888</v>
      </c>
      <c r="E488" s="11" t="s">
        <v>19</v>
      </c>
      <c r="F488" s="14"/>
      <c r="G488" s="15"/>
    </row>
    <row r="489" ht="22.5" customHeight="1">
      <c r="A489" s="10">
        <v>3.0</v>
      </c>
      <c r="B489" s="11" t="s">
        <v>889</v>
      </c>
      <c r="C489" s="11">
        <v>2.52610014E8</v>
      </c>
      <c r="D489" s="17" t="s">
        <v>890</v>
      </c>
      <c r="E489" s="11" t="s">
        <v>19</v>
      </c>
      <c r="F489" s="14"/>
      <c r="G489" s="15"/>
    </row>
    <row r="490" ht="22.5" customHeight="1">
      <c r="A490" s="10">
        <v>4.0</v>
      </c>
      <c r="B490" s="11" t="s">
        <v>891</v>
      </c>
      <c r="C490" s="11">
        <v>2.5261002E8</v>
      </c>
      <c r="D490" s="11" t="s">
        <v>892</v>
      </c>
      <c r="E490" s="11" t="s">
        <v>19</v>
      </c>
      <c r="F490" s="14"/>
      <c r="G490" s="15"/>
    </row>
    <row r="491" ht="22.5" customHeight="1">
      <c r="A491" s="10">
        <v>5.0</v>
      </c>
      <c r="B491" s="11" t="s">
        <v>893</v>
      </c>
      <c r="C491" s="11">
        <v>2.52610032E8</v>
      </c>
      <c r="D491" s="11" t="s">
        <v>894</v>
      </c>
      <c r="E491" s="11" t="s">
        <v>19</v>
      </c>
      <c r="F491" s="14"/>
      <c r="G491" s="15"/>
    </row>
    <row r="492" ht="22.5" customHeight="1">
      <c r="A492" s="10">
        <v>6.0</v>
      </c>
      <c r="B492" s="11" t="s">
        <v>895</v>
      </c>
      <c r="C492" s="11">
        <v>2.52610037E8</v>
      </c>
      <c r="D492" s="11" t="s">
        <v>896</v>
      </c>
      <c r="E492" s="11" t="s">
        <v>22</v>
      </c>
      <c r="F492" s="14"/>
      <c r="G492" s="15"/>
    </row>
    <row r="493" ht="22.5" customHeight="1">
      <c r="A493" s="10">
        <v>7.0</v>
      </c>
      <c r="B493" s="11" t="s">
        <v>897</v>
      </c>
      <c r="C493" s="11">
        <v>2.52610054E8</v>
      </c>
      <c r="D493" s="11" t="s">
        <v>898</v>
      </c>
      <c r="E493" s="11" t="s">
        <v>22</v>
      </c>
      <c r="F493" s="14"/>
      <c r="G493" s="15"/>
    </row>
    <row r="494" ht="22.5" customHeight="1">
      <c r="A494" s="10">
        <v>8.0</v>
      </c>
      <c r="B494" s="11" t="s">
        <v>899</v>
      </c>
      <c r="C494" s="11">
        <v>2.52610059E8</v>
      </c>
      <c r="D494" s="11" t="s">
        <v>900</v>
      </c>
      <c r="E494" s="11" t="s">
        <v>19</v>
      </c>
      <c r="F494" s="14"/>
      <c r="G494" s="15"/>
    </row>
    <row r="495" ht="22.5" customHeight="1">
      <c r="A495" s="10">
        <v>9.0</v>
      </c>
      <c r="B495" s="11" t="s">
        <v>901</v>
      </c>
      <c r="C495" s="11">
        <v>2.52610089E8</v>
      </c>
      <c r="D495" s="11" t="s">
        <v>902</v>
      </c>
      <c r="E495" s="11" t="s">
        <v>22</v>
      </c>
      <c r="F495" s="14"/>
      <c r="G495" s="15"/>
    </row>
    <row r="496" ht="22.5" customHeight="1">
      <c r="A496" s="10">
        <v>10.0</v>
      </c>
      <c r="B496" s="11" t="s">
        <v>903</v>
      </c>
      <c r="C496" s="11">
        <v>2.52610091E8</v>
      </c>
      <c r="D496" s="11" t="s">
        <v>904</v>
      </c>
      <c r="E496" s="11" t="s">
        <v>22</v>
      </c>
      <c r="F496" s="14"/>
      <c r="G496" s="15"/>
    </row>
    <row r="497" ht="22.5" customHeight="1">
      <c r="A497" s="10">
        <v>11.0</v>
      </c>
      <c r="B497" s="11" t="s">
        <v>905</v>
      </c>
      <c r="C497" s="11">
        <v>2.52610099E8</v>
      </c>
      <c r="D497" s="11" t="s">
        <v>906</v>
      </c>
      <c r="E497" s="11" t="s">
        <v>22</v>
      </c>
      <c r="F497" s="14"/>
      <c r="G497" s="15"/>
    </row>
    <row r="498" ht="22.5" customHeight="1">
      <c r="A498" s="10">
        <v>12.0</v>
      </c>
      <c r="B498" s="11" t="s">
        <v>907</v>
      </c>
      <c r="C498" s="11">
        <v>2.52610103E8</v>
      </c>
      <c r="D498" s="11" t="s">
        <v>908</v>
      </c>
      <c r="E498" s="11" t="s">
        <v>22</v>
      </c>
      <c r="F498" s="14"/>
      <c r="G498" s="15"/>
    </row>
    <row r="499" ht="22.5" customHeight="1">
      <c r="A499" s="10">
        <v>13.0</v>
      </c>
      <c r="B499" s="11" t="s">
        <v>909</v>
      </c>
      <c r="C499" s="11">
        <v>2.52610119E8</v>
      </c>
      <c r="D499" s="11" t="s">
        <v>910</v>
      </c>
      <c r="E499" s="11" t="s">
        <v>22</v>
      </c>
      <c r="F499" s="14"/>
      <c r="G499" s="15"/>
    </row>
    <row r="500" ht="22.5" customHeight="1">
      <c r="A500" s="10">
        <v>14.0</v>
      </c>
      <c r="B500" s="11" t="s">
        <v>911</v>
      </c>
      <c r="C500" s="11">
        <v>2.52610128E8</v>
      </c>
      <c r="D500" s="11" t="s">
        <v>912</v>
      </c>
      <c r="E500" s="11" t="s">
        <v>19</v>
      </c>
      <c r="F500" s="14"/>
      <c r="G500" s="15"/>
    </row>
    <row r="501" ht="22.5" customHeight="1">
      <c r="A501" s="10">
        <v>15.0</v>
      </c>
      <c r="B501" s="11" t="s">
        <v>913</v>
      </c>
      <c r="C501" s="11">
        <v>2.52610142E8</v>
      </c>
      <c r="D501" s="11" t="s">
        <v>914</v>
      </c>
      <c r="E501" s="11" t="s">
        <v>22</v>
      </c>
      <c r="F501" s="14"/>
      <c r="G501" s="15"/>
    </row>
    <row r="502" ht="22.5" customHeight="1">
      <c r="A502" s="10">
        <v>16.0</v>
      </c>
      <c r="B502" s="11" t="s">
        <v>915</v>
      </c>
      <c r="C502" s="11">
        <v>2.52610165E8</v>
      </c>
      <c r="D502" s="11" t="s">
        <v>916</v>
      </c>
      <c r="E502" s="11" t="s">
        <v>22</v>
      </c>
      <c r="F502" s="14"/>
      <c r="G502" s="15"/>
    </row>
    <row r="503" ht="22.5" customHeight="1">
      <c r="A503" s="10">
        <v>17.0</v>
      </c>
      <c r="B503" s="11" t="s">
        <v>917</v>
      </c>
      <c r="C503" s="11">
        <v>2.52610168E8</v>
      </c>
      <c r="D503" s="11" t="s">
        <v>918</v>
      </c>
      <c r="E503" s="11" t="s">
        <v>22</v>
      </c>
      <c r="F503" s="14"/>
      <c r="G503" s="15"/>
    </row>
    <row r="504" ht="22.5" customHeight="1">
      <c r="A504" s="10">
        <v>18.0</v>
      </c>
      <c r="B504" s="11" t="s">
        <v>919</v>
      </c>
      <c r="C504" s="11">
        <v>2.52610169E8</v>
      </c>
      <c r="D504" s="11" t="s">
        <v>920</v>
      </c>
      <c r="E504" s="11" t="s">
        <v>19</v>
      </c>
      <c r="F504" s="14"/>
      <c r="G504" s="15"/>
    </row>
    <row r="505" ht="22.5" customHeight="1">
      <c r="A505" s="10">
        <v>19.0</v>
      </c>
      <c r="B505" s="11" t="s">
        <v>921</v>
      </c>
      <c r="C505" s="11">
        <v>2.52610222E8</v>
      </c>
      <c r="D505" s="11" t="s">
        <v>922</v>
      </c>
      <c r="E505" s="11" t="s">
        <v>22</v>
      </c>
      <c r="F505" s="14"/>
      <c r="G505" s="15"/>
    </row>
    <row r="506" ht="22.5" customHeight="1">
      <c r="A506" s="10">
        <v>20.0</v>
      </c>
      <c r="B506" s="11" t="s">
        <v>923</v>
      </c>
      <c r="C506" s="11">
        <v>2.52610226E8</v>
      </c>
      <c r="D506" s="11" t="s">
        <v>924</v>
      </c>
      <c r="E506" s="11" t="s">
        <v>22</v>
      </c>
      <c r="F506" s="14"/>
      <c r="G506" s="15"/>
    </row>
    <row r="507" ht="22.5" customHeight="1">
      <c r="A507" s="10">
        <v>21.0</v>
      </c>
      <c r="B507" s="11" t="s">
        <v>925</v>
      </c>
      <c r="C507" s="11">
        <v>2.52610234E8</v>
      </c>
      <c r="D507" s="11" t="s">
        <v>926</v>
      </c>
      <c r="E507" s="11" t="s">
        <v>22</v>
      </c>
      <c r="F507" s="14"/>
      <c r="G507" s="15"/>
    </row>
    <row r="508" ht="22.5" customHeight="1">
      <c r="A508" s="10">
        <v>22.0</v>
      </c>
      <c r="B508" s="11" t="s">
        <v>927</v>
      </c>
      <c r="C508" s="11">
        <v>2.52610235E8</v>
      </c>
      <c r="D508" s="11" t="s">
        <v>928</v>
      </c>
      <c r="E508" s="11" t="s">
        <v>22</v>
      </c>
      <c r="F508" s="14"/>
      <c r="G508" s="15"/>
    </row>
    <row r="509" ht="22.5" customHeight="1">
      <c r="A509" s="10">
        <v>23.0</v>
      </c>
      <c r="B509" s="11" t="s">
        <v>929</v>
      </c>
      <c r="C509" s="11">
        <v>2.52610242E8</v>
      </c>
      <c r="D509" s="11" t="s">
        <v>930</v>
      </c>
      <c r="E509" s="11" t="s">
        <v>19</v>
      </c>
      <c r="F509" s="14"/>
      <c r="G509" s="15"/>
    </row>
    <row r="510" ht="22.5" customHeight="1">
      <c r="A510" s="10">
        <v>24.0</v>
      </c>
      <c r="B510" s="11" t="s">
        <v>931</v>
      </c>
      <c r="C510" s="11">
        <v>2.52610243E8</v>
      </c>
      <c r="D510" s="11" t="s">
        <v>932</v>
      </c>
      <c r="E510" s="11" t="s">
        <v>19</v>
      </c>
      <c r="F510" s="14"/>
      <c r="G510" s="15"/>
    </row>
    <row r="511" ht="22.5" customHeight="1">
      <c r="A511" s="10">
        <v>25.0</v>
      </c>
      <c r="B511" s="11" t="s">
        <v>933</v>
      </c>
      <c r="C511" s="11">
        <v>2.52610251E8</v>
      </c>
      <c r="D511" s="11" t="s">
        <v>934</v>
      </c>
      <c r="E511" s="11" t="s">
        <v>19</v>
      </c>
      <c r="F511" s="14"/>
      <c r="G511" s="15"/>
    </row>
    <row r="512" ht="22.5" customHeight="1">
      <c r="A512" s="10">
        <v>26.0</v>
      </c>
      <c r="B512" s="11" t="s">
        <v>935</v>
      </c>
      <c r="C512" s="11">
        <v>2.52610262E8</v>
      </c>
      <c r="D512" s="11" t="s">
        <v>936</v>
      </c>
      <c r="E512" s="11" t="s">
        <v>22</v>
      </c>
      <c r="F512" s="14"/>
      <c r="G512" s="15"/>
    </row>
    <row r="513" ht="22.5" customHeight="1">
      <c r="A513" s="10">
        <v>27.0</v>
      </c>
      <c r="B513" s="11" t="s">
        <v>937</v>
      </c>
      <c r="C513" s="11">
        <v>2.52610272E8</v>
      </c>
      <c r="D513" s="11" t="s">
        <v>938</v>
      </c>
      <c r="E513" s="11" t="s">
        <v>22</v>
      </c>
      <c r="F513" s="14"/>
      <c r="G513" s="15"/>
    </row>
    <row r="514" ht="22.5" customHeight="1">
      <c r="A514" s="10">
        <v>28.0</v>
      </c>
      <c r="B514" s="11" t="s">
        <v>939</v>
      </c>
      <c r="C514" s="11">
        <v>2.52610283E8</v>
      </c>
      <c r="D514" s="11" t="s">
        <v>940</v>
      </c>
      <c r="E514" s="11" t="s">
        <v>22</v>
      </c>
      <c r="F514" s="14"/>
      <c r="G514" s="15"/>
    </row>
    <row r="515" ht="22.5" customHeight="1">
      <c r="A515" s="10">
        <v>29.0</v>
      </c>
      <c r="B515" s="11" t="s">
        <v>941</v>
      </c>
      <c r="C515" s="11">
        <v>2.52610305E8</v>
      </c>
      <c r="D515" s="11" t="s">
        <v>942</v>
      </c>
      <c r="E515" s="11" t="s">
        <v>19</v>
      </c>
      <c r="F515" s="14"/>
      <c r="G515" s="15"/>
    </row>
    <row r="516" ht="22.5" customHeight="1">
      <c r="A516" s="10">
        <v>30.0</v>
      </c>
      <c r="B516" s="11" t="s">
        <v>943</v>
      </c>
      <c r="C516" s="11">
        <v>2.52610327E8</v>
      </c>
      <c r="D516" s="11" t="s">
        <v>944</v>
      </c>
      <c r="E516" s="11" t="s">
        <v>19</v>
      </c>
      <c r="F516" s="14"/>
      <c r="G516" s="15"/>
    </row>
    <row r="517" ht="22.5" customHeight="1">
      <c r="A517" s="10">
        <v>31.0</v>
      </c>
      <c r="B517" s="11" t="s">
        <v>945</v>
      </c>
      <c r="C517" s="11">
        <v>2.52610335E8</v>
      </c>
      <c r="D517" s="11" t="s">
        <v>946</v>
      </c>
      <c r="E517" s="11" t="s">
        <v>19</v>
      </c>
      <c r="F517" s="14"/>
      <c r="G517" s="15"/>
    </row>
    <row r="518" ht="22.5" customHeight="1">
      <c r="A518" s="10">
        <v>32.0</v>
      </c>
      <c r="B518" s="11" t="s">
        <v>947</v>
      </c>
      <c r="C518" s="11">
        <v>2.52610375E8</v>
      </c>
      <c r="D518" s="11" t="s">
        <v>948</v>
      </c>
      <c r="E518" s="11" t="s">
        <v>19</v>
      </c>
      <c r="F518" s="14"/>
      <c r="G518" s="15"/>
    </row>
    <row r="519" ht="22.5" customHeight="1">
      <c r="A519" s="10">
        <v>33.0</v>
      </c>
      <c r="B519" s="11" t="s">
        <v>949</v>
      </c>
      <c r="C519" s="11">
        <v>2.52610396E8</v>
      </c>
      <c r="D519" s="11" t="s">
        <v>950</v>
      </c>
      <c r="E519" s="11" t="s">
        <v>22</v>
      </c>
      <c r="F519" s="14"/>
      <c r="G519" s="15"/>
    </row>
    <row r="520" ht="22.5" customHeight="1">
      <c r="A520" s="10">
        <v>34.0</v>
      </c>
      <c r="B520" s="11" t="s">
        <v>951</v>
      </c>
      <c r="C520" s="11">
        <v>2.52610402E8</v>
      </c>
      <c r="D520" s="11" t="s">
        <v>952</v>
      </c>
      <c r="E520" s="11" t="s">
        <v>19</v>
      </c>
      <c r="F520" s="14"/>
      <c r="G520" s="15"/>
    </row>
    <row r="521" ht="22.5" customHeight="1">
      <c r="A521" s="10">
        <v>35.0</v>
      </c>
      <c r="B521" s="11" t="s">
        <v>953</v>
      </c>
      <c r="C521" s="11">
        <v>2.52610403E8</v>
      </c>
      <c r="D521" s="11" t="s">
        <v>954</v>
      </c>
      <c r="E521" s="11" t="s">
        <v>22</v>
      </c>
      <c r="F521" s="14"/>
      <c r="G521" s="15"/>
    </row>
    <row r="522" ht="22.5" customHeight="1">
      <c r="A522" s="10">
        <v>36.0</v>
      </c>
      <c r="B522" s="11" t="s">
        <v>955</v>
      </c>
      <c r="C522" s="11">
        <v>2.52610406E8</v>
      </c>
      <c r="D522" s="11" t="s">
        <v>956</v>
      </c>
      <c r="E522" s="11" t="s">
        <v>22</v>
      </c>
      <c r="F522" s="14"/>
      <c r="G522" s="15"/>
    </row>
    <row r="523" ht="22.5" customHeight="1">
      <c r="A523" s="10">
        <v>37.0</v>
      </c>
      <c r="B523" s="11" t="s">
        <v>957</v>
      </c>
      <c r="C523" s="11">
        <v>2.52610443E8</v>
      </c>
      <c r="D523" s="11" t="s">
        <v>958</v>
      </c>
      <c r="E523" s="11" t="s">
        <v>22</v>
      </c>
      <c r="F523" s="14"/>
      <c r="G523" s="15"/>
    </row>
    <row r="524" ht="22.5" customHeight="1">
      <c r="A524" s="10">
        <v>38.0</v>
      </c>
      <c r="B524" s="11" t="s">
        <v>959</v>
      </c>
      <c r="C524" s="11">
        <v>2.52610459E8</v>
      </c>
      <c r="D524" s="11" t="s">
        <v>960</v>
      </c>
      <c r="E524" s="11" t="s">
        <v>19</v>
      </c>
      <c r="F524" s="14"/>
      <c r="G524" s="15"/>
    </row>
    <row r="525" ht="22.5" customHeight="1">
      <c r="A525" s="10">
        <v>39.0</v>
      </c>
      <c r="B525" s="11" t="s">
        <v>961</v>
      </c>
      <c r="C525" s="11">
        <v>2.52610462E8</v>
      </c>
      <c r="D525" s="11" t="s">
        <v>962</v>
      </c>
      <c r="E525" s="11" t="s">
        <v>22</v>
      </c>
      <c r="F525" s="14"/>
      <c r="G525" s="15"/>
    </row>
    <row r="526" ht="22.5" customHeight="1">
      <c r="A526" s="10">
        <v>40.0</v>
      </c>
      <c r="B526" s="11" t="s">
        <v>963</v>
      </c>
      <c r="C526" s="11">
        <v>2.52610469E8</v>
      </c>
      <c r="D526" s="11" t="s">
        <v>964</v>
      </c>
      <c r="E526" s="11" t="s">
        <v>19</v>
      </c>
      <c r="F526" s="14"/>
      <c r="G526" s="15"/>
    </row>
    <row r="527" ht="22.5" customHeight="1">
      <c r="A527" s="10">
        <v>41.0</v>
      </c>
      <c r="B527" s="11" t="s">
        <v>965</v>
      </c>
      <c r="C527" s="11">
        <v>2.52610493E8</v>
      </c>
      <c r="D527" s="11" t="s">
        <v>966</v>
      </c>
      <c r="E527" s="11" t="s">
        <v>22</v>
      </c>
      <c r="F527" s="14"/>
      <c r="G527" s="15"/>
    </row>
    <row r="528" ht="22.5" customHeight="1">
      <c r="A528" s="10">
        <v>42.0</v>
      </c>
      <c r="B528" s="11" t="s">
        <v>967</v>
      </c>
      <c r="C528" s="11">
        <v>2.52610509E8</v>
      </c>
      <c r="D528" s="11" t="s">
        <v>968</v>
      </c>
      <c r="E528" s="11" t="s">
        <v>22</v>
      </c>
      <c r="F528" s="14"/>
      <c r="G528" s="15"/>
    </row>
    <row r="529" ht="22.5" customHeight="1">
      <c r="A529" s="10">
        <v>43.0</v>
      </c>
      <c r="B529" s="11" t="s">
        <v>969</v>
      </c>
      <c r="C529" s="11">
        <v>2.5261051E8</v>
      </c>
      <c r="D529" s="11" t="s">
        <v>970</v>
      </c>
      <c r="E529" s="11" t="s">
        <v>22</v>
      </c>
      <c r="F529" s="14"/>
      <c r="G529" s="15"/>
    </row>
    <row r="530" ht="22.5" customHeight="1">
      <c r="A530" s="10">
        <v>44.0</v>
      </c>
      <c r="B530" s="11" t="s">
        <v>971</v>
      </c>
      <c r="C530" s="11">
        <v>2.52610521E8</v>
      </c>
      <c r="D530" s="11" t="s">
        <v>972</v>
      </c>
      <c r="E530" s="11" t="s">
        <v>22</v>
      </c>
      <c r="F530" s="14"/>
      <c r="G530" s="15"/>
    </row>
    <row r="531" ht="22.5" customHeight="1">
      <c r="A531" s="10">
        <v>45.0</v>
      </c>
      <c r="B531" s="11" t="s">
        <v>973</v>
      </c>
      <c r="C531" s="11">
        <v>2.52610526E8</v>
      </c>
      <c r="D531" s="11" t="s">
        <v>974</v>
      </c>
      <c r="E531" s="11" t="s">
        <v>22</v>
      </c>
      <c r="F531" s="14"/>
      <c r="G531" s="15"/>
    </row>
    <row r="532" ht="22.5" customHeight="1">
      <c r="A532" s="10">
        <v>46.0</v>
      </c>
      <c r="B532" s="11" t="s">
        <v>975</v>
      </c>
      <c r="C532" s="11">
        <v>2.52610552E8</v>
      </c>
      <c r="D532" s="11" t="s">
        <v>976</v>
      </c>
      <c r="E532" s="11" t="s">
        <v>19</v>
      </c>
      <c r="F532" s="14"/>
      <c r="G532" s="15"/>
    </row>
    <row r="533" ht="22.5" customHeight="1">
      <c r="A533" s="15"/>
      <c r="B533" s="15"/>
      <c r="C533" s="15"/>
      <c r="D533" s="8"/>
      <c r="E533" s="8"/>
      <c r="F533" s="14"/>
      <c r="G533" s="15"/>
    </row>
    <row r="534" ht="22.5" customHeight="1">
      <c r="A534" s="15"/>
      <c r="B534" s="15"/>
      <c r="C534" s="16"/>
      <c r="D534" s="11" t="s">
        <v>115</v>
      </c>
      <c r="E534" s="11" t="str">
        <f>COUNTIF(R[-47]C[0]:R[-2]C[0],"P")</f>
        <v>#ERROR!</v>
      </c>
      <c r="F534" s="14"/>
      <c r="G534" s="15"/>
    </row>
    <row r="535" ht="22.5" customHeight="1">
      <c r="A535" s="15"/>
      <c r="B535" s="15"/>
      <c r="C535" s="16"/>
      <c r="D535" s="11" t="s">
        <v>116</v>
      </c>
      <c r="E535" s="11" t="str">
        <f>COUNTIF(R[-48]C[0]:R[-3]C[0],"L")</f>
        <v>#ERROR!</v>
      </c>
      <c r="F535" s="14"/>
      <c r="G535" s="15"/>
    </row>
    <row r="536" ht="22.5" customHeight="1">
      <c r="A536" s="15"/>
      <c r="B536" s="15"/>
      <c r="C536" s="15"/>
      <c r="D536" s="15"/>
      <c r="E536" s="15"/>
      <c r="F536" s="14"/>
      <c r="G536" s="15"/>
    </row>
    <row r="537" ht="22.5" customHeight="1">
      <c r="A537" s="15"/>
      <c r="B537" s="15"/>
      <c r="C537" s="15"/>
      <c r="D537" s="15"/>
      <c r="E537" s="15"/>
      <c r="F537" s="14"/>
      <c r="G537" s="15"/>
    </row>
    <row r="538" ht="22.5" customHeight="1">
      <c r="A538" s="8" t="s">
        <v>977</v>
      </c>
      <c r="B538" s="8"/>
      <c r="C538" s="8"/>
      <c r="D538" s="8"/>
      <c r="E538" s="8" t="s">
        <v>978</v>
      </c>
      <c r="F538" s="14"/>
      <c r="G538" s="15"/>
    </row>
    <row r="539" ht="22.5" customHeight="1">
      <c r="A539" s="10" t="s">
        <v>10</v>
      </c>
      <c r="B539" s="11" t="s">
        <v>11</v>
      </c>
      <c r="C539" s="11" t="s">
        <v>12</v>
      </c>
      <c r="D539" s="11" t="s">
        <v>13</v>
      </c>
      <c r="E539" s="11" t="s">
        <v>14</v>
      </c>
      <c r="F539" s="12" t="s">
        <v>119</v>
      </c>
      <c r="G539" s="13" t="s">
        <v>120</v>
      </c>
    </row>
    <row r="540" ht="22.5" customHeight="1">
      <c r="A540" s="10">
        <v>1.0</v>
      </c>
      <c r="B540" s="11" t="s">
        <v>979</v>
      </c>
      <c r="C540" s="11">
        <v>2.5261001E8</v>
      </c>
      <c r="D540" s="11" t="s">
        <v>980</v>
      </c>
      <c r="E540" s="11" t="s">
        <v>22</v>
      </c>
      <c r="F540" s="14"/>
      <c r="G540" s="15"/>
    </row>
    <row r="541" ht="22.5" customHeight="1">
      <c r="A541" s="10">
        <v>2.0</v>
      </c>
      <c r="B541" s="11" t="s">
        <v>981</v>
      </c>
      <c r="C541" s="11">
        <v>2.52610031E8</v>
      </c>
      <c r="D541" s="11" t="s">
        <v>982</v>
      </c>
      <c r="E541" s="11" t="s">
        <v>22</v>
      </c>
      <c r="F541" s="14"/>
      <c r="G541" s="15"/>
    </row>
    <row r="542" ht="22.5" customHeight="1">
      <c r="A542" s="10">
        <v>3.0</v>
      </c>
      <c r="B542" s="11" t="s">
        <v>983</v>
      </c>
      <c r="C542" s="11">
        <v>2.52610033E8</v>
      </c>
      <c r="D542" s="11" t="s">
        <v>984</v>
      </c>
      <c r="E542" s="11" t="s">
        <v>19</v>
      </c>
      <c r="F542" s="14"/>
      <c r="G542" s="15"/>
    </row>
    <row r="543" ht="22.5" customHeight="1">
      <c r="A543" s="10">
        <v>4.0</v>
      </c>
      <c r="B543" s="11" t="s">
        <v>985</v>
      </c>
      <c r="C543" s="11">
        <v>2.52610047E8</v>
      </c>
      <c r="D543" s="11" t="s">
        <v>986</v>
      </c>
      <c r="E543" s="11" t="s">
        <v>22</v>
      </c>
      <c r="F543" s="14"/>
      <c r="G543" s="15"/>
    </row>
    <row r="544" ht="22.5" customHeight="1">
      <c r="A544" s="10">
        <v>5.0</v>
      </c>
      <c r="B544" s="11" t="s">
        <v>987</v>
      </c>
      <c r="C544" s="11">
        <v>2.52610066E8</v>
      </c>
      <c r="D544" s="11" t="s">
        <v>988</v>
      </c>
      <c r="E544" s="11" t="s">
        <v>22</v>
      </c>
      <c r="F544" s="14"/>
      <c r="G544" s="15"/>
    </row>
    <row r="545" ht="22.5" customHeight="1">
      <c r="A545" s="10">
        <v>6.0</v>
      </c>
      <c r="B545" s="11" t="s">
        <v>989</v>
      </c>
      <c r="C545" s="11">
        <v>2.52610085E8</v>
      </c>
      <c r="D545" s="11" t="s">
        <v>990</v>
      </c>
      <c r="E545" s="11" t="s">
        <v>22</v>
      </c>
      <c r="F545" s="14"/>
      <c r="G545" s="15"/>
    </row>
    <row r="546" ht="22.5" customHeight="1">
      <c r="A546" s="10">
        <v>7.0</v>
      </c>
      <c r="B546" s="11" t="s">
        <v>991</v>
      </c>
      <c r="C546" s="11">
        <v>2.52610098E8</v>
      </c>
      <c r="D546" s="11" t="s">
        <v>992</v>
      </c>
      <c r="E546" s="11" t="s">
        <v>22</v>
      </c>
      <c r="F546" s="14"/>
      <c r="G546" s="15"/>
    </row>
    <row r="547" ht="22.5" customHeight="1">
      <c r="A547" s="10">
        <v>8.0</v>
      </c>
      <c r="B547" s="11" t="s">
        <v>993</v>
      </c>
      <c r="C547" s="11">
        <v>2.52610105E8</v>
      </c>
      <c r="D547" s="11" t="s">
        <v>994</v>
      </c>
      <c r="E547" s="11" t="s">
        <v>19</v>
      </c>
      <c r="F547" s="14"/>
      <c r="G547" s="15"/>
    </row>
    <row r="548" ht="22.5" customHeight="1">
      <c r="A548" s="10">
        <v>9.0</v>
      </c>
      <c r="B548" s="11" t="s">
        <v>995</v>
      </c>
      <c r="C548" s="11">
        <v>2.5261011E8</v>
      </c>
      <c r="D548" s="11" t="s">
        <v>996</v>
      </c>
      <c r="E548" s="11" t="s">
        <v>19</v>
      </c>
      <c r="F548" s="14"/>
      <c r="G548" s="15"/>
    </row>
    <row r="549" ht="22.5" customHeight="1">
      <c r="A549" s="10">
        <v>10.0</v>
      </c>
      <c r="B549" s="11" t="s">
        <v>997</v>
      </c>
      <c r="C549" s="11">
        <v>2.52610111E8</v>
      </c>
      <c r="D549" s="11" t="s">
        <v>998</v>
      </c>
      <c r="E549" s="11" t="s">
        <v>22</v>
      </c>
      <c r="F549" s="14"/>
      <c r="G549" s="15"/>
    </row>
    <row r="550" ht="22.5" customHeight="1">
      <c r="A550" s="10">
        <v>11.0</v>
      </c>
      <c r="B550" s="11" t="s">
        <v>999</v>
      </c>
      <c r="C550" s="11">
        <v>2.52610112E8</v>
      </c>
      <c r="D550" s="11" t="s">
        <v>1000</v>
      </c>
      <c r="E550" s="11" t="s">
        <v>22</v>
      </c>
      <c r="F550" s="14"/>
      <c r="G550" s="15"/>
    </row>
    <row r="551" ht="22.5" customHeight="1">
      <c r="A551" s="10">
        <v>12.0</v>
      </c>
      <c r="B551" s="11" t="s">
        <v>1001</v>
      </c>
      <c r="C551" s="11">
        <v>2.52610114E8</v>
      </c>
      <c r="D551" s="11" t="s">
        <v>1002</v>
      </c>
      <c r="E551" s="11" t="s">
        <v>22</v>
      </c>
      <c r="F551" s="14"/>
      <c r="G551" s="15"/>
    </row>
    <row r="552" ht="22.5" customHeight="1">
      <c r="A552" s="10">
        <v>13.0</v>
      </c>
      <c r="B552" s="11" t="s">
        <v>1003</v>
      </c>
      <c r="C552" s="11">
        <v>2.52610116E8</v>
      </c>
      <c r="D552" s="11" t="s">
        <v>1004</v>
      </c>
      <c r="E552" s="11" t="s">
        <v>22</v>
      </c>
      <c r="F552" s="14"/>
      <c r="G552" s="15"/>
    </row>
    <row r="553" ht="22.5" customHeight="1">
      <c r="A553" s="10">
        <v>14.0</v>
      </c>
      <c r="B553" s="11" t="s">
        <v>1005</v>
      </c>
      <c r="C553" s="11">
        <v>2.52610131E8</v>
      </c>
      <c r="D553" s="11" t="s">
        <v>1006</v>
      </c>
      <c r="E553" s="11" t="s">
        <v>22</v>
      </c>
      <c r="F553" s="14"/>
      <c r="G553" s="15"/>
    </row>
    <row r="554" ht="22.5" customHeight="1">
      <c r="A554" s="10">
        <v>15.0</v>
      </c>
      <c r="B554" s="11" t="s">
        <v>1007</v>
      </c>
      <c r="C554" s="11">
        <v>2.52610137E8</v>
      </c>
      <c r="D554" s="11" t="s">
        <v>1008</v>
      </c>
      <c r="E554" s="11" t="s">
        <v>22</v>
      </c>
      <c r="F554" s="14"/>
      <c r="G554" s="15"/>
    </row>
    <row r="555" ht="22.5" customHeight="1">
      <c r="A555" s="10">
        <v>16.0</v>
      </c>
      <c r="B555" s="11" t="s">
        <v>1009</v>
      </c>
      <c r="C555" s="11">
        <v>2.52610184E8</v>
      </c>
      <c r="D555" s="11" t="s">
        <v>1010</v>
      </c>
      <c r="E555" s="11" t="s">
        <v>19</v>
      </c>
      <c r="F555" s="14"/>
      <c r="G555" s="15"/>
    </row>
    <row r="556" ht="22.5" customHeight="1">
      <c r="A556" s="10">
        <v>17.0</v>
      </c>
      <c r="B556" s="11" t="s">
        <v>1011</v>
      </c>
      <c r="C556" s="11">
        <v>2.52610196E8</v>
      </c>
      <c r="D556" s="11" t="s">
        <v>1012</v>
      </c>
      <c r="E556" s="11" t="s">
        <v>19</v>
      </c>
      <c r="F556" s="14"/>
      <c r="G556" s="15"/>
    </row>
    <row r="557" ht="22.5" customHeight="1">
      <c r="A557" s="10">
        <v>18.0</v>
      </c>
      <c r="B557" s="11" t="s">
        <v>1013</v>
      </c>
      <c r="C557" s="11">
        <v>2.52610217E8</v>
      </c>
      <c r="D557" s="11" t="s">
        <v>1014</v>
      </c>
      <c r="E557" s="11" t="s">
        <v>19</v>
      </c>
      <c r="F557" s="14"/>
      <c r="G557" s="15"/>
    </row>
    <row r="558" ht="22.5" customHeight="1">
      <c r="A558" s="10">
        <v>19.0</v>
      </c>
      <c r="B558" s="11" t="s">
        <v>1015</v>
      </c>
      <c r="C558" s="11">
        <v>2.52610228E8</v>
      </c>
      <c r="D558" s="11" t="s">
        <v>1016</v>
      </c>
      <c r="E558" s="11" t="s">
        <v>22</v>
      </c>
      <c r="F558" s="14"/>
      <c r="G558" s="15"/>
    </row>
    <row r="559" ht="22.5" customHeight="1">
      <c r="A559" s="10">
        <v>20.0</v>
      </c>
      <c r="B559" s="11" t="s">
        <v>1017</v>
      </c>
      <c r="C559" s="11">
        <v>2.52610241E8</v>
      </c>
      <c r="D559" s="11" t="s">
        <v>1018</v>
      </c>
      <c r="E559" s="11" t="s">
        <v>22</v>
      </c>
      <c r="F559" s="14"/>
      <c r="G559" s="15"/>
    </row>
    <row r="560" ht="22.5" customHeight="1">
      <c r="A560" s="10">
        <v>21.0</v>
      </c>
      <c r="B560" s="11" t="s">
        <v>1019</v>
      </c>
      <c r="C560" s="11">
        <v>2.52610253E8</v>
      </c>
      <c r="D560" s="11" t="s">
        <v>1020</v>
      </c>
      <c r="E560" s="11" t="s">
        <v>22</v>
      </c>
      <c r="F560" s="14"/>
      <c r="G560" s="15"/>
    </row>
    <row r="561" ht="22.5" customHeight="1">
      <c r="A561" s="10">
        <v>22.0</v>
      </c>
      <c r="B561" s="11" t="s">
        <v>1021</v>
      </c>
      <c r="C561" s="11">
        <v>2.52610289E8</v>
      </c>
      <c r="D561" s="11" t="s">
        <v>1022</v>
      </c>
      <c r="E561" s="11" t="s">
        <v>19</v>
      </c>
      <c r="F561" s="14"/>
      <c r="G561" s="15"/>
    </row>
    <row r="562" ht="22.5" customHeight="1">
      <c r="A562" s="10">
        <v>23.0</v>
      </c>
      <c r="B562" s="11" t="s">
        <v>1023</v>
      </c>
      <c r="C562" s="11">
        <v>2.52610292E8</v>
      </c>
      <c r="D562" s="11" t="s">
        <v>1024</v>
      </c>
      <c r="E562" s="11" t="s">
        <v>22</v>
      </c>
      <c r="F562" s="14"/>
      <c r="G562" s="15"/>
    </row>
    <row r="563" ht="22.5" customHeight="1">
      <c r="A563" s="10">
        <v>24.0</v>
      </c>
      <c r="B563" s="11" t="s">
        <v>1025</v>
      </c>
      <c r="C563" s="11">
        <v>2.52610295E8</v>
      </c>
      <c r="D563" s="11" t="s">
        <v>1026</v>
      </c>
      <c r="E563" s="11" t="s">
        <v>22</v>
      </c>
      <c r="F563" s="14"/>
      <c r="G563" s="15"/>
    </row>
    <row r="564" ht="22.5" customHeight="1">
      <c r="A564" s="10">
        <v>25.0</v>
      </c>
      <c r="B564" s="11" t="s">
        <v>1027</v>
      </c>
      <c r="C564" s="11">
        <v>2.5261031E8</v>
      </c>
      <c r="D564" s="11" t="s">
        <v>1028</v>
      </c>
      <c r="E564" s="11" t="s">
        <v>19</v>
      </c>
      <c r="F564" s="14"/>
      <c r="G564" s="15"/>
    </row>
    <row r="565" ht="22.5" customHeight="1">
      <c r="A565" s="10">
        <v>26.0</v>
      </c>
      <c r="B565" s="11" t="s">
        <v>1029</v>
      </c>
      <c r="C565" s="11">
        <v>2.52610315E8</v>
      </c>
      <c r="D565" s="11" t="s">
        <v>1030</v>
      </c>
      <c r="E565" s="11" t="s">
        <v>19</v>
      </c>
      <c r="F565" s="14"/>
      <c r="G565" s="15"/>
    </row>
    <row r="566" ht="22.5" customHeight="1">
      <c r="A566" s="10">
        <v>27.0</v>
      </c>
      <c r="B566" s="11" t="s">
        <v>1031</v>
      </c>
      <c r="C566" s="11">
        <v>2.52610328E8</v>
      </c>
      <c r="D566" s="11" t="s">
        <v>1032</v>
      </c>
      <c r="E566" s="11" t="s">
        <v>19</v>
      </c>
      <c r="F566" s="14"/>
      <c r="G566" s="15"/>
    </row>
    <row r="567" ht="22.5" customHeight="1">
      <c r="A567" s="10">
        <v>28.0</v>
      </c>
      <c r="B567" s="11" t="s">
        <v>1033</v>
      </c>
      <c r="C567" s="11">
        <v>2.52610346E8</v>
      </c>
      <c r="D567" s="11" t="s">
        <v>1034</v>
      </c>
      <c r="E567" s="11" t="s">
        <v>19</v>
      </c>
      <c r="F567" s="14"/>
      <c r="G567" s="15"/>
    </row>
    <row r="568" ht="22.5" customHeight="1">
      <c r="A568" s="10">
        <v>29.0</v>
      </c>
      <c r="B568" s="11" t="s">
        <v>1035</v>
      </c>
      <c r="C568" s="11">
        <v>2.52610348E8</v>
      </c>
      <c r="D568" s="11" t="s">
        <v>1036</v>
      </c>
      <c r="E568" s="11" t="s">
        <v>19</v>
      </c>
      <c r="F568" s="14"/>
      <c r="G568" s="15"/>
    </row>
    <row r="569" ht="22.5" customHeight="1">
      <c r="A569" s="10">
        <v>30.0</v>
      </c>
      <c r="B569" s="11" t="s">
        <v>1037</v>
      </c>
      <c r="C569" s="11">
        <v>2.52610356E8</v>
      </c>
      <c r="D569" s="11" t="s">
        <v>1038</v>
      </c>
      <c r="E569" s="11" t="s">
        <v>19</v>
      </c>
      <c r="F569" s="14"/>
      <c r="G569" s="15"/>
    </row>
    <row r="570" ht="22.5" customHeight="1">
      <c r="A570" s="10">
        <v>31.0</v>
      </c>
      <c r="B570" s="11" t="s">
        <v>1039</v>
      </c>
      <c r="C570" s="11">
        <v>2.52610367E8</v>
      </c>
      <c r="D570" s="11" t="s">
        <v>1040</v>
      </c>
      <c r="E570" s="11" t="s">
        <v>19</v>
      </c>
      <c r="F570" s="14"/>
      <c r="G570" s="15"/>
    </row>
    <row r="571" ht="22.5" customHeight="1">
      <c r="A571" s="10">
        <v>32.0</v>
      </c>
      <c r="B571" s="11" t="s">
        <v>1041</v>
      </c>
      <c r="C571" s="11">
        <v>2.5261038E8</v>
      </c>
      <c r="D571" s="11" t="s">
        <v>1042</v>
      </c>
      <c r="E571" s="11" t="s">
        <v>19</v>
      </c>
      <c r="F571" s="14"/>
      <c r="G571" s="15"/>
    </row>
    <row r="572" ht="22.5" customHeight="1">
      <c r="A572" s="10">
        <v>33.0</v>
      </c>
      <c r="B572" s="11" t="s">
        <v>1043</v>
      </c>
      <c r="C572" s="11">
        <v>2.52610385E8</v>
      </c>
      <c r="D572" s="11" t="s">
        <v>1044</v>
      </c>
      <c r="E572" s="11" t="s">
        <v>22</v>
      </c>
      <c r="F572" s="14"/>
      <c r="G572" s="15"/>
    </row>
    <row r="573" ht="22.5" customHeight="1">
      <c r="A573" s="10">
        <v>34.0</v>
      </c>
      <c r="B573" s="11" t="s">
        <v>1045</v>
      </c>
      <c r="C573" s="11">
        <v>2.52610388E8</v>
      </c>
      <c r="D573" s="11" t="s">
        <v>1046</v>
      </c>
      <c r="E573" s="11" t="s">
        <v>22</v>
      </c>
      <c r="F573" s="14"/>
      <c r="G573" s="15"/>
    </row>
    <row r="574" ht="22.5" customHeight="1">
      <c r="A574" s="10">
        <v>35.0</v>
      </c>
      <c r="B574" s="11" t="s">
        <v>1047</v>
      </c>
      <c r="C574" s="11">
        <v>2.52610417E8</v>
      </c>
      <c r="D574" s="11" t="s">
        <v>1048</v>
      </c>
      <c r="E574" s="11" t="s">
        <v>22</v>
      </c>
      <c r="F574" s="14"/>
      <c r="G574" s="15"/>
    </row>
    <row r="575" ht="22.5" customHeight="1">
      <c r="A575" s="10">
        <v>36.0</v>
      </c>
      <c r="B575" s="11" t="s">
        <v>1049</v>
      </c>
      <c r="C575" s="11">
        <v>2.52610458E8</v>
      </c>
      <c r="D575" s="11" t="s">
        <v>1050</v>
      </c>
      <c r="E575" s="11" t="s">
        <v>19</v>
      </c>
      <c r="F575" s="14"/>
      <c r="G575" s="15"/>
    </row>
    <row r="576" ht="22.5" customHeight="1">
      <c r="A576" s="10">
        <v>37.0</v>
      </c>
      <c r="B576" s="11" t="s">
        <v>1051</v>
      </c>
      <c r="C576" s="11">
        <v>2.52610482E8</v>
      </c>
      <c r="D576" s="11" t="s">
        <v>1052</v>
      </c>
      <c r="E576" s="11" t="s">
        <v>19</v>
      </c>
      <c r="F576" s="14"/>
      <c r="G576" s="15"/>
    </row>
    <row r="577" ht="22.5" customHeight="1">
      <c r="A577" s="10">
        <v>38.0</v>
      </c>
      <c r="B577" s="11" t="s">
        <v>1053</v>
      </c>
      <c r="C577" s="11">
        <v>2.52610499E8</v>
      </c>
      <c r="D577" s="11" t="s">
        <v>1054</v>
      </c>
      <c r="E577" s="11" t="s">
        <v>22</v>
      </c>
      <c r="F577" s="14"/>
      <c r="G577" s="15"/>
    </row>
    <row r="578" ht="22.5" customHeight="1">
      <c r="A578" s="10">
        <v>39.0</v>
      </c>
      <c r="B578" s="11" t="s">
        <v>1055</v>
      </c>
      <c r="C578" s="11">
        <v>2.52610503E8</v>
      </c>
      <c r="D578" s="11" t="s">
        <v>1056</v>
      </c>
      <c r="E578" s="11" t="s">
        <v>22</v>
      </c>
      <c r="F578" s="14"/>
      <c r="G578" s="15"/>
    </row>
    <row r="579" ht="22.5" customHeight="1">
      <c r="A579" s="10">
        <v>40.0</v>
      </c>
      <c r="B579" s="11" t="s">
        <v>1057</v>
      </c>
      <c r="C579" s="11">
        <v>2.52610506E8</v>
      </c>
      <c r="D579" s="11" t="s">
        <v>1058</v>
      </c>
      <c r="E579" s="11" t="s">
        <v>22</v>
      </c>
      <c r="F579" s="14"/>
      <c r="G579" s="15"/>
    </row>
    <row r="580" ht="22.5" customHeight="1">
      <c r="A580" s="10">
        <v>41.0</v>
      </c>
      <c r="B580" s="11" t="s">
        <v>1059</v>
      </c>
      <c r="C580" s="11">
        <v>2.52610518E8</v>
      </c>
      <c r="D580" s="11" t="s">
        <v>1060</v>
      </c>
      <c r="E580" s="11" t="s">
        <v>22</v>
      </c>
      <c r="F580" s="14"/>
      <c r="G580" s="15"/>
    </row>
    <row r="581" ht="22.5" customHeight="1">
      <c r="A581" s="10">
        <v>42.0</v>
      </c>
      <c r="B581" s="11" t="s">
        <v>1061</v>
      </c>
      <c r="C581" s="11">
        <v>2.52610524E8</v>
      </c>
      <c r="D581" s="11" t="s">
        <v>1062</v>
      </c>
      <c r="E581" s="11" t="s">
        <v>22</v>
      </c>
      <c r="F581" s="14"/>
      <c r="G581" s="15"/>
    </row>
    <row r="582" ht="22.5" customHeight="1">
      <c r="A582" s="10">
        <v>43.0</v>
      </c>
      <c r="B582" s="11" t="s">
        <v>1063</v>
      </c>
      <c r="C582" s="11">
        <v>2.52610545E8</v>
      </c>
      <c r="D582" s="11" t="s">
        <v>1064</v>
      </c>
      <c r="E582" s="11" t="s">
        <v>22</v>
      </c>
      <c r="F582" s="14"/>
      <c r="G582" s="15"/>
    </row>
    <row r="583" ht="22.5" customHeight="1">
      <c r="A583" s="10">
        <v>44.0</v>
      </c>
      <c r="B583" s="11" t="s">
        <v>1065</v>
      </c>
      <c r="C583" s="11">
        <v>2.52610551E8</v>
      </c>
      <c r="D583" s="11" t="s">
        <v>1066</v>
      </c>
      <c r="E583" s="11" t="s">
        <v>22</v>
      </c>
      <c r="F583" s="14"/>
      <c r="G583" s="15"/>
    </row>
    <row r="584" ht="22.5" customHeight="1">
      <c r="A584" s="10">
        <v>45.0</v>
      </c>
      <c r="B584" s="11" t="s">
        <v>1067</v>
      </c>
      <c r="C584" s="11">
        <v>2.52610553E8</v>
      </c>
      <c r="D584" s="11" t="s">
        <v>1068</v>
      </c>
      <c r="E584" s="11" t="s">
        <v>22</v>
      </c>
      <c r="F584" s="14"/>
      <c r="G584" s="15"/>
    </row>
    <row r="585" ht="22.5" customHeight="1">
      <c r="A585" s="10">
        <v>46.0</v>
      </c>
      <c r="B585" s="11" t="s">
        <v>1069</v>
      </c>
      <c r="C585" s="11">
        <v>2.52610557E8</v>
      </c>
      <c r="D585" s="11" t="s">
        <v>1070</v>
      </c>
      <c r="E585" s="11" t="s">
        <v>22</v>
      </c>
      <c r="F585" s="14"/>
      <c r="G585" s="15"/>
    </row>
    <row r="586" ht="22.5" customHeight="1">
      <c r="A586" s="10">
        <v>47.0</v>
      </c>
      <c r="B586" s="11" t="s">
        <v>1071</v>
      </c>
      <c r="C586" s="11">
        <v>2.52610561E8</v>
      </c>
      <c r="D586" s="11" t="s">
        <v>1072</v>
      </c>
      <c r="E586" s="11" t="s">
        <v>19</v>
      </c>
      <c r="F586" s="14"/>
      <c r="G586" s="15"/>
    </row>
    <row r="587" ht="22.5" customHeight="1">
      <c r="A587" s="10">
        <v>48.0</v>
      </c>
      <c r="B587" s="11" t="s">
        <v>1073</v>
      </c>
      <c r="C587" s="11">
        <v>2.52610565E8</v>
      </c>
      <c r="D587" s="11" t="s">
        <v>1074</v>
      </c>
      <c r="E587" s="11" t="s">
        <v>22</v>
      </c>
      <c r="F587" s="14"/>
      <c r="G587" s="15"/>
    </row>
    <row r="588" ht="22.5" customHeight="1">
      <c r="A588" s="15"/>
      <c r="B588" s="15"/>
      <c r="C588" s="15"/>
      <c r="D588" s="8"/>
      <c r="E588" s="8"/>
      <c r="F588" s="14"/>
      <c r="G588" s="15"/>
    </row>
    <row r="589" ht="22.5" customHeight="1">
      <c r="A589" s="15"/>
      <c r="B589" s="15"/>
      <c r="C589" s="16"/>
      <c r="D589" s="11" t="s">
        <v>115</v>
      </c>
      <c r="E589" s="11" t="str">
        <f>COUNTIF(R[-49]C[0]:R[-2]C[0],"P")</f>
        <v>#ERROR!</v>
      </c>
      <c r="F589" s="14"/>
      <c r="G589" s="15"/>
    </row>
    <row r="590" ht="22.5" customHeight="1">
      <c r="A590" s="15"/>
      <c r="B590" s="15"/>
      <c r="C590" s="16"/>
      <c r="D590" s="11" t="s">
        <v>116</v>
      </c>
      <c r="E590" s="11" t="str">
        <f>COUNTIF(R[-50]C[0]:R[-3]C[0],"L")</f>
        <v>#ERROR!</v>
      </c>
      <c r="F590" s="14"/>
      <c r="G590" s="15"/>
    </row>
    <row r="591" ht="22.5" customHeight="1">
      <c r="A591" s="15"/>
      <c r="B591" s="15"/>
      <c r="C591" s="15"/>
      <c r="D591" s="15"/>
      <c r="E591" s="15"/>
      <c r="F591" s="14"/>
      <c r="G591" s="15"/>
    </row>
    <row r="592" ht="22.5" customHeight="1">
      <c r="A592" s="15"/>
      <c r="B592" s="15"/>
      <c r="C592" s="15"/>
      <c r="D592" s="15"/>
      <c r="E592" s="15"/>
      <c r="F592" s="14"/>
      <c r="G592" s="15"/>
    </row>
    <row r="593" ht="22.5" customHeight="1">
      <c r="A593" s="8" t="s">
        <v>1075</v>
      </c>
      <c r="B593" s="8"/>
      <c r="C593" s="8"/>
      <c r="D593" s="8"/>
      <c r="E593" s="8" t="s">
        <v>1076</v>
      </c>
      <c r="F593" s="14"/>
      <c r="G593" s="15"/>
    </row>
    <row r="594" ht="22.5" customHeight="1">
      <c r="A594" s="10" t="s">
        <v>10</v>
      </c>
      <c r="B594" s="11" t="s">
        <v>11</v>
      </c>
      <c r="C594" s="11" t="s">
        <v>12</v>
      </c>
      <c r="D594" s="11" t="s">
        <v>13</v>
      </c>
      <c r="E594" s="11" t="s">
        <v>14</v>
      </c>
      <c r="F594" s="12" t="s">
        <v>119</v>
      </c>
      <c r="G594" s="13" t="s">
        <v>120</v>
      </c>
    </row>
    <row r="595" ht="22.5" customHeight="1">
      <c r="A595" s="10">
        <v>1.0</v>
      </c>
      <c r="B595" s="11" t="s">
        <v>1077</v>
      </c>
      <c r="C595" s="11">
        <v>2.52610015E8</v>
      </c>
      <c r="D595" s="11" t="s">
        <v>1078</v>
      </c>
      <c r="E595" s="11" t="s">
        <v>19</v>
      </c>
      <c r="F595" s="14"/>
      <c r="G595" s="15"/>
    </row>
    <row r="596" ht="22.5" customHeight="1">
      <c r="A596" s="10">
        <v>2.0</v>
      </c>
      <c r="B596" s="11" t="s">
        <v>1079</v>
      </c>
      <c r="C596" s="11">
        <v>2.52610021E8</v>
      </c>
      <c r="D596" s="11" t="s">
        <v>1080</v>
      </c>
      <c r="E596" s="11" t="s">
        <v>22</v>
      </c>
      <c r="F596" s="14"/>
      <c r="G596" s="15"/>
    </row>
    <row r="597" ht="22.5" customHeight="1">
      <c r="A597" s="10">
        <v>3.0</v>
      </c>
      <c r="B597" s="11" t="s">
        <v>1081</v>
      </c>
      <c r="C597" s="11">
        <v>2.52610029E8</v>
      </c>
      <c r="D597" s="11" t="s">
        <v>1082</v>
      </c>
      <c r="E597" s="11" t="s">
        <v>22</v>
      </c>
      <c r="F597" s="14"/>
      <c r="G597" s="15"/>
    </row>
    <row r="598" ht="22.5" customHeight="1">
      <c r="A598" s="10">
        <v>4.0</v>
      </c>
      <c r="B598" s="11" t="s">
        <v>1083</v>
      </c>
      <c r="C598" s="11">
        <v>2.5261003E8</v>
      </c>
      <c r="D598" s="11" t="s">
        <v>1084</v>
      </c>
      <c r="E598" s="11" t="s">
        <v>22</v>
      </c>
      <c r="F598" s="14"/>
      <c r="G598" s="15"/>
    </row>
    <row r="599" ht="22.5" customHeight="1">
      <c r="A599" s="10">
        <v>5.0</v>
      </c>
      <c r="B599" s="11" t="s">
        <v>1085</v>
      </c>
      <c r="C599" s="11">
        <v>2.52610046E8</v>
      </c>
      <c r="D599" s="11" t="s">
        <v>1086</v>
      </c>
      <c r="E599" s="11" t="s">
        <v>22</v>
      </c>
      <c r="F599" s="14"/>
      <c r="G599" s="15"/>
    </row>
    <row r="600" ht="22.5" customHeight="1">
      <c r="A600" s="10">
        <v>6.0</v>
      </c>
      <c r="B600" s="11" t="s">
        <v>1087</v>
      </c>
      <c r="C600" s="11">
        <v>2.52610068E8</v>
      </c>
      <c r="D600" s="11" t="s">
        <v>1088</v>
      </c>
      <c r="E600" s="11" t="s">
        <v>22</v>
      </c>
      <c r="F600" s="14"/>
      <c r="G600" s="15"/>
    </row>
    <row r="601" ht="22.5" customHeight="1">
      <c r="A601" s="10">
        <v>7.0</v>
      </c>
      <c r="B601" s="11" t="s">
        <v>1089</v>
      </c>
      <c r="C601" s="11">
        <v>2.5261008E8</v>
      </c>
      <c r="D601" s="11" t="s">
        <v>1090</v>
      </c>
      <c r="E601" s="11" t="s">
        <v>19</v>
      </c>
      <c r="F601" s="14"/>
      <c r="G601" s="15"/>
    </row>
    <row r="602" ht="22.5" customHeight="1">
      <c r="A602" s="10">
        <v>8.0</v>
      </c>
      <c r="B602" s="11" t="s">
        <v>1091</v>
      </c>
      <c r="C602" s="11">
        <v>2.52610081E8</v>
      </c>
      <c r="D602" s="11" t="s">
        <v>1092</v>
      </c>
      <c r="E602" s="11" t="s">
        <v>22</v>
      </c>
      <c r="F602" s="14"/>
      <c r="G602" s="15"/>
    </row>
    <row r="603" ht="22.5" customHeight="1">
      <c r="A603" s="10">
        <v>9.0</v>
      </c>
      <c r="B603" s="11" t="s">
        <v>1093</v>
      </c>
      <c r="C603" s="11">
        <v>2.52610104E8</v>
      </c>
      <c r="D603" s="11" t="s">
        <v>1094</v>
      </c>
      <c r="E603" s="11" t="s">
        <v>22</v>
      </c>
      <c r="F603" s="14"/>
      <c r="G603" s="15"/>
    </row>
    <row r="604" ht="22.5" customHeight="1">
      <c r="A604" s="10">
        <v>10.0</v>
      </c>
      <c r="B604" s="11" t="s">
        <v>1095</v>
      </c>
      <c r="C604" s="11">
        <v>2.52610106E8</v>
      </c>
      <c r="D604" s="11" t="s">
        <v>1096</v>
      </c>
      <c r="E604" s="11" t="s">
        <v>19</v>
      </c>
      <c r="F604" s="14"/>
      <c r="G604" s="15"/>
    </row>
    <row r="605" ht="22.5" customHeight="1">
      <c r="A605" s="10">
        <v>11.0</v>
      </c>
      <c r="B605" s="11" t="s">
        <v>1097</v>
      </c>
      <c r="C605" s="11">
        <v>2.52610107E8</v>
      </c>
      <c r="D605" s="11" t="s">
        <v>1098</v>
      </c>
      <c r="E605" s="11" t="s">
        <v>22</v>
      </c>
      <c r="F605" s="14"/>
      <c r="G605" s="15"/>
    </row>
    <row r="606" ht="22.5" customHeight="1">
      <c r="A606" s="10">
        <v>12.0</v>
      </c>
      <c r="B606" s="11" t="s">
        <v>1099</v>
      </c>
      <c r="C606" s="11">
        <v>2.52610127E8</v>
      </c>
      <c r="D606" s="11" t="s">
        <v>1100</v>
      </c>
      <c r="E606" s="11" t="s">
        <v>19</v>
      </c>
      <c r="F606" s="14"/>
      <c r="G606" s="15"/>
    </row>
    <row r="607" ht="22.5" customHeight="1">
      <c r="A607" s="10">
        <v>13.0</v>
      </c>
      <c r="B607" s="11" t="s">
        <v>1101</v>
      </c>
      <c r="C607" s="11">
        <v>2.52610143E8</v>
      </c>
      <c r="D607" s="11" t="s">
        <v>1102</v>
      </c>
      <c r="E607" s="11" t="s">
        <v>19</v>
      </c>
      <c r="F607" s="14"/>
      <c r="G607" s="15"/>
    </row>
    <row r="608" ht="22.5" customHeight="1">
      <c r="A608" s="10">
        <v>14.0</v>
      </c>
      <c r="B608" s="11" t="s">
        <v>1103</v>
      </c>
      <c r="C608" s="11">
        <v>2.52610147E8</v>
      </c>
      <c r="D608" s="11" t="s">
        <v>1104</v>
      </c>
      <c r="E608" s="11" t="s">
        <v>19</v>
      </c>
      <c r="F608" s="14"/>
      <c r="G608" s="15"/>
    </row>
    <row r="609" ht="22.5" customHeight="1">
      <c r="A609" s="10">
        <v>15.0</v>
      </c>
      <c r="B609" s="11" t="s">
        <v>1105</v>
      </c>
      <c r="C609" s="11">
        <v>2.52610149E8</v>
      </c>
      <c r="D609" s="11" t="s">
        <v>1106</v>
      </c>
      <c r="E609" s="11" t="s">
        <v>22</v>
      </c>
      <c r="F609" s="14"/>
      <c r="G609" s="15"/>
    </row>
    <row r="610" ht="22.5" customHeight="1">
      <c r="A610" s="10">
        <v>16.0</v>
      </c>
      <c r="B610" s="11" t="s">
        <v>1107</v>
      </c>
      <c r="C610" s="11">
        <v>2.52610152E8</v>
      </c>
      <c r="D610" s="11" t="s">
        <v>1108</v>
      </c>
      <c r="E610" s="11" t="s">
        <v>22</v>
      </c>
      <c r="F610" s="14"/>
      <c r="G610" s="15"/>
    </row>
    <row r="611" ht="22.5" customHeight="1">
      <c r="A611" s="10">
        <v>17.0</v>
      </c>
      <c r="B611" s="11" t="s">
        <v>1109</v>
      </c>
      <c r="C611" s="11">
        <v>2.52610208E8</v>
      </c>
      <c r="D611" s="11" t="s">
        <v>1110</v>
      </c>
      <c r="E611" s="11" t="s">
        <v>22</v>
      </c>
      <c r="F611" s="14"/>
      <c r="G611" s="15"/>
    </row>
    <row r="612" ht="22.5" customHeight="1">
      <c r="A612" s="10">
        <v>18.0</v>
      </c>
      <c r="B612" s="11" t="s">
        <v>1111</v>
      </c>
      <c r="C612" s="11">
        <v>2.52610218E8</v>
      </c>
      <c r="D612" s="11" t="s">
        <v>1112</v>
      </c>
      <c r="E612" s="11" t="s">
        <v>19</v>
      </c>
      <c r="F612" s="14"/>
      <c r="G612" s="15"/>
    </row>
    <row r="613" ht="22.5" customHeight="1">
      <c r="A613" s="10">
        <v>19.0</v>
      </c>
      <c r="B613" s="11" t="s">
        <v>1113</v>
      </c>
      <c r="C613" s="11">
        <v>2.52610267E8</v>
      </c>
      <c r="D613" s="11" t="s">
        <v>1114</v>
      </c>
      <c r="E613" s="11" t="s">
        <v>22</v>
      </c>
      <c r="F613" s="14"/>
      <c r="G613" s="15"/>
    </row>
    <row r="614" ht="22.5" customHeight="1">
      <c r="A614" s="10">
        <v>20.0</v>
      </c>
      <c r="B614" s="11" t="s">
        <v>1115</v>
      </c>
      <c r="C614" s="11">
        <v>2.52610269E8</v>
      </c>
      <c r="D614" s="11" t="s">
        <v>1116</v>
      </c>
      <c r="E614" s="11" t="s">
        <v>19</v>
      </c>
      <c r="F614" s="14"/>
      <c r="G614" s="15"/>
    </row>
    <row r="615" ht="22.5" customHeight="1">
      <c r="A615" s="10">
        <v>21.0</v>
      </c>
      <c r="B615" s="11" t="s">
        <v>1117</v>
      </c>
      <c r="C615" s="11">
        <v>2.5261027E8</v>
      </c>
      <c r="D615" s="11" t="s">
        <v>1118</v>
      </c>
      <c r="E615" s="11" t="s">
        <v>22</v>
      </c>
      <c r="F615" s="14"/>
      <c r="G615" s="15"/>
    </row>
    <row r="616" ht="22.5" customHeight="1">
      <c r="A616" s="10">
        <v>22.0</v>
      </c>
      <c r="B616" s="11" t="s">
        <v>1119</v>
      </c>
      <c r="C616" s="11">
        <v>2.52610271E8</v>
      </c>
      <c r="D616" s="11" t="s">
        <v>1120</v>
      </c>
      <c r="E616" s="11" t="s">
        <v>19</v>
      </c>
      <c r="F616" s="14"/>
      <c r="G616" s="15"/>
    </row>
    <row r="617" ht="22.5" customHeight="1">
      <c r="A617" s="10">
        <v>23.0</v>
      </c>
      <c r="B617" s="11" t="s">
        <v>1121</v>
      </c>
      <c r="C617" s="11">
        <v>2.52610296E8</v>
      </c>
      <c r="D617" s="11" t="s">
        <v>1122</v>
      </c>
      <c r="E617" s="11" t="s">
        <v>22</v>
      </c>
      <c r="F617" s="14"/>
      <c r="G617" s="15"/>
    </row>
    <row r="618" ht="22.5" customHeight="1">
      <c r="A618" s="10">
        <v>24.0</v>
      </c>
      <c r="B618" s="11" t="s">
        <v>1123</v>
      </c>
      <c r="C618" s="11">
        <v>2.52610298E8</v>
      </c>
      <c r="D618" s="11" t="s">
        <v>1124</v>
      </c>
      <c r="E618" s="11" t="s">
        <v>19</v>
      </c>
      <c r="F618" s="14"/>
      <c r="G618" s="15"/>
    </row>
    <row r="619" ht="22.5" customHeight="1">
      <c r="A619" s="10">
        <v>25.0</v>
      </c>
      <c r="B619" s="11" t="s">
        <v>1125</v>
      </c>
      <c r="C619" s="11">
        <v>2.52610303E8</v>
      </c>
      <c r="D619" s="11" t="s">
        <v>1126</v>
      </c>
      <c r="E619" s="11" t="s">
        <v>22</v>
      </c>
      <c r="F619" s="14"/>
      <c r="G619" s="15"/>
    </row>
    <row r="620" ht="22.5" customHeight="1">
      <c r="A620" s="10">
        <v>26.0</v>
      </c>
      <c r="B620" s="11" t="s">
        <v>1127</v>
      </c>
      <c r="C620" s="11">
        <v>2.52610307E8</v>
      </c>
      <c r="D620" s="11" t="s">
        <v>1128</v>
      </c>
      <c r="E620" s="11" t="s">
        <v>22</v>
      </c>
      <c r="F620" s="14"/>
      <c r="G620" s="15"/>
    </row>
    <row r="621" ht="22.5" customHeight="1">
      <c r="A621" s="10">
        <v>27.0</v>
      </c>
      <c r="B621" s="11" t="s">
        <v>1129</v>
      </c>
      <c r="C621" s="11">
        <v>2.52610331E8</v>
      </c>
      <c r="D621" s="11" t="s">
        <v>1130</v>
      </c>
      <c r="E621" s="11" t="s">
        <v>19</v>
      </c>
      <c r="F621" s="14"/>
      <c r="G621" s="15"/>
    </row>
    <row r="622" ht="22.5" customHeight="1">
      <c r="A622" s="10">
        <v>28.0</v>
      </c>
      <c r="B622" s="11" t="s">
        <v>1131</v>
      </c>
      <c r="C622" s="11">
        <v>2.52610339E8</v>
      </c>
      <c r="D622" s="11" t="s">
        <v>1132</v>
      </c>
      <c r="E622" s="11" t="s">
        <v>19</v>
      </c>
      <c r="F622" s="14"/>
      <c r="G622" s="15"/>
    </row>
    <row r="623" ht="22.5" customHeight="1">
      <c r="A623" s="10">
        <v>29.0</v>
      </c>
      <c r="B623" s="11" t="s">
        <v>1133</v>
      </c>
      <c r="C623" s="11">
        <v>2.52610359E8</v>
      </c>
      <c r="D623" s="11" t="s">
        <v>1134</v>
      </c>
      <c r="E623" s="11" t="s">
        <v>19</v>
      </c>
      <c r="F623" s="14"/>
      <c r="G623" s="15"/>
    </row>
    <row r="624" ht="22.5" customHeight="1">
      <c r="A624" s="10">
        <v>30.0</v>
      </c>
      <c r="B624" s="11" t="s">
        <v>1135</v>
      </c>
      <c r="C624" s="11">
        <v>2.52610377E8</v>
      </c>
      <c r="D624" s="11" t="s">
        <v>1136</v>
      </c>
      <c r="E624" s="11" t="s">
        <v>19</v>
      </c>
      <c r="F624" s="14"/>
      <c r="G624" s="15"/>
    </row>
    <row r="625" ht="22.5" customHeight="1">
      <c r="A625" s="10">
        <v>31.0</v>
      </c>
      <c r="B625" s="11" t="s">
        <v>1137</v>
      </c>
      <c r="C625" s="11">
        <v>2.52610387E8</v>
      </c>
      <c r="D625" s="11" t="s">
        <v>1138</v>
      </c>
      <c r="E625" s="11" t="s">
        <v>22</v>
      </c>
      <c r="F625" s="14"/>
      <c r="G625" s="15"/>
    </row>
    <row r="626" ht="22.5" customHeight="1">
      <c r="A626" s="10">
        <v>32.0</v>
      </c>
      <c r="B626" s="11" t="s">
        <v>1139</v>
      </c>
      <c r="C626" s="11">
        <v>2.52610391E8</v>
      </c>
      <c r="D626" s="11" t="s">
        <v>1140</v>
      </c>
      <c r="E626" s="11" t="s">
        <v>22</v>
      </c>
      <c r="F626" s="14"/>
      <c r="G626" s="15"/>
    </row>
    <row r="627" ht="22.5" customHeight="1">
      <c r="A627" s="10">
        <v>33.0</v>
      </c>
      <c r="B627" s="11" t="s">
        <v>1141</v>
      </c>
      <c r="C627" s="11">
        <v>2.526104E8</v>
      </c>
      <c r="D627" s="11" t="s">
        <v>1142</v>
      </c>
      <c r="E627" s="11" t="s">
        <v>19</v>
      </c>
      <c r="F627" s="14"/>
      <c r="G627" s="15"/>
    </row>
    <row r="628" ht="22.5" customHeight="1">
      <c r="A628" s="10">
        <v>34.0</v>
      </c>
      <c r="B628" s="11" t="s">
        <v>1143</v>
      </c>
      <c r="C628" s="11">
        <v>2.52610405E8</v>
      </c>
      <c r="D628" s="11" t="s">
        <v>1144</v>
      </c>
      <c r="E628" s="11" t="s">
        <v>22</v>
      </c>
      <c r="F628" s="14"/>
      <c r="G628" s="15"/>
    </row>
    <row r="629" ht="22.5" customHeight="1">
      <c r="A629" s="10">
        <v>35.0</v>
      </c>
      <c r="B629" s="11" t="s">
        <v>1145</v>
      </c>
      <c r="C629" s="11">
        <v>2.52610407E8</v>
      </c>
      <c r="D629" s="11" t="s">
        <v>1146</v>
      </c>
      <c r="E629" s="11" t="s">
        <v>22</v>
      </c>
      <c r="F629" s="14"/>
      <c r="G629" s="15"/>
    </row>
    <row r="630" ht="22.5" customHeight="1">
      <c r="A630" s="10">
        <v>36.0</v>
      </c>
      <c r="B630" s="11" t="s">
        <v>1147</v>
      </c>
      <c r="C630" s="11">
        <v>2.52610411E8</v>
      </c>
      <c r="D630" s="11" t="s">
        <v>1148</v>
      </c>
      <c r="E630" s="11" t="s">
        <v>22</v>
      </c>
      <c r="F630" s="14"/>
      <c r="G630" s="15"/>
    </row>
    <row r="631" ht="22.5" customHeight="1">
      <c r="A631" s="10">
        <v>37.0</v>
      </c>
      <c r="B631" s="11" t="s">
        <v>1149</v>
      </c>
      <c r="C631" s="11">
        <v>2.52610418E8</v>
      </c>
      <c r="D631" s="11" t="s">
        <v>1150</v>
      </c>
      <c r="E631" s="11" t="s">
        <v>22</v>
      </c>
      <c r="F631" s="14"/>
      <c r="G631" s="15"/>
    </row>
    <row r="632" ht="22.5" customHeight="1">
      <c r="A632" s="10">
        <v>38.0</v>
      </c>
      <c r="B632" s="11" t="s">
        <v>1151</v>
      </c>
      <c r="C632" s="11">
        <v>2.5261043E8</v>
      </c>
      <c r="D632" s="11" t="s">
        <v>1152</v>
      </c>
      <c r="E632" s="11" t="s">
        <v>22</v>
      </c>
      <c r="F632" s="14"/>
      <c r="G632" s="15"/>
    </row>
    <row r="633" ht="22.5" customHeight="1">
      <c r="A633" s="10">
        <v>39.0</v>
      </c>
      <c r="B633" s="11" t="s">
        <v>1153</v>
      </c>
      <c r="C633" s="11">
        <v>2.52610448E8</v>
      </c>
      <c r="D633" s="11" t="s">
        <v>1154</v>
      </c>
      <c r="E633" s="11" t="s">
        <v>19</v>
      </c>
      <c r="F633" s="14"/>
      <c r="G633" s="15"/>
    </row>
    <row r="634" ht="22.5" customHeight="1">
      <c r="A634" s="10">
        <v>40.0</v>
      </c>
      <c r="B634" s="11" t="s">
        <v>1155</v>
      </c>
      <c r="C634" s="11">
        <v>2.52610455E8</v>
      </c>
      <c r="D634" s="11" t="s">
        <v>1156</v>
      </c>
      <c r="E634" s="11" t="s">
        <v>19</v>
      </c>
      <c r="F634" s="14"/>
      <c r="G634" s="15"/>
    </row>
    <row r="635" ht="22.5" customHeight="1">
      <c r="A635" s="10">
        <v>41.0</v>
      </c>
      <c r="B635" s="11" t="s">
        <v>1157</v>
      </c>
      <c r="C635" s="11">
        <v>2.5261049E8</v>
      </c>
      <c r="D635" s="11" t="s">
        <v>1158</v>
      </c>
      <c r="E635" s="11" t="s">
        <v>22</v>
      </c>
      <c r="F635" s="14"/>
      <c r="G635" s="15"/>
    </row>
    <row r="636" ht="22.5" customHeight="1">
      <c r="A636" s="10">
        <v>42.0</v>
      </c>
      <c r="B636" s="11" t="s">
        <v>1159</v>
      </c>
      <c r="C636" s="11">
        <v>2.52610494E8</v>
      </c>
      <c r="D636" s="11" t="s">
        <v>1160</v>
      </c>
      <c r="E636" s="11" t="s">
        <v>19</v>
      </c>
      <c r="F636" s="14"/>
      <c r="G636" s="15"/>
    </row>
    <row r="637" ht="22.5" customHeight="1">
      <c r="A637" s="10">
        <v>43.0</v>
      </c>
      <c r="B637" s="11" t="s">
        <v>1161</v>
      </c>
      <c r="C637" s="11">
        <v>2.52610496E8</v>
      </c>
      <c r="D637" s="11" t="s">
        <v>1162</v>
      </c>
      <c r="E637" s="11" t="s">
        <v>22</v>
      </c>
      <c r="F637" s="14"/>
      <c r="G637" s="15"/>
    </row>
    <row r="638" ht="22.5" customHeight="1">
      <c r="A638" s="10">
        <v>44.0</v>
      </c>
      <c r="B638" s="11" t="s">
        <v>1163</v>
      </c>
      <c r="C638" s="11">
        <v>2.52610502E8</v>
      </c>
      <c r="D638" s="11" t="s">
        <v>1164</v>
      </c>
      <c r="E638" s="11" t="s">
        <v>22</v>
      </c>
      <c r="F638" s="14"/>
      <c r="G638" s="15"/>
    </row>
    <row r="639" ht="22.5" customHeight="1">
      <c r="A639" s="10">
        <v>45.0</v>
      </c>
      <c r="B639" s="11" t="s">
        <v>1165</v>
      </c>
      <c r="C639" s="11">
        <v>2.52610516E8</v>
      </c>
      <c r="D639" s="11" t="s">
        <v>1166</v>
      </c>
      <c r="E639" s="11" t="s">
        <v>22</v>
      </c>
      <c r="F639" s="14"/>
      <c r="G639" s="15"/>
    </row>
    <row r="640" ht="22.5" customHeight="1">
      <c r="A640" s="10">
        <v>46.0</v>
      </c>
      <c r="B640" s="11" t="s">
        <v>1167</v>
      </c>
      <c r="C640" s="11">
        <v>2.52610531E8</v>
      </c>
      <c r="D640" s="11" t="s">
        <v>1168</v>
      </c>
      <c r="E640" s="11" t="s">
        <v>22</v>
      </c>
      <c r="F640" s="14"/>
      <c r="G640" s="15"/>
    </row>
    <row r="641" ht="22.5" customHeight="1">
      <c r="A641" s="10">
        <v>47.0</v>
      </c>
      <c r="B641" s="11" t="s">
        <v>1169</v>
      </c>
      <c r="C641" s="11">
        <v>2.5261055E8</v>
      </c>
      <c r="D641" s="11" t="s">
        <v>1170</v>
      </c>
      <c r="E641" s="11" t="s">
        <v>22</v>
      </c>
      <c r="F641" s="14"/>
      <c r="G641" s="15"/>
    </row>
    <row r="642" ht="22.5" customHeight="1">
      <c r="A642" s="10">
        <v>48.0</v>
      </c>
      <c r="B642" s="11" t="s">
        <v>1171</v>
      </c>
      <c r="C642" s="11">
        <v>2.52610562E8</v>
      </c>
      <c r="D642" s="11" t="s">
        <v>1172</v>
      </c>
      <c r="E642" s="11" t="s">
        <v>22</v>
      </c>
      <c r="F642" s="14"/>
      <c r="G642" s="15"/>
    </row>
    <row r="643" ht="22.5" customHeight="1">
      <c r="A643" s="15"/>
      <c r="B643" s="15"/>
      <c r="C643" s="15"/>
      <c r="D643" s="8"/>
      <c r="E643" s="8"/>
      <c r="F643" s="14"/>
      <c r="G643" s="15"/>
    </row>
    <row r="644" ht="22.5" customHeight="1">
      <c r="A644" s="15"/>
      <c r="B644" s="15"/>
      <c r="C644" s="16"/>
      <c r="D644" s="11" t="s">
        <v>115</v>
      </c>
      <c r="E644" s="11" t="str">
        <f>COUNTIF(R[-49]C[0]:R[-2]C[0],"P")</f>
        <v>#ERROR!</v>
      </c>
      <c r="F644" s="14"/>
      <c r="G644" s="15"/>
    </row>
    <row r="645" ht="22.5" customHeight="1">
      <c r="A645" s="15"/>
      <c r="B645" s="15"/>
      <c r="C645" s="16"/>
      <c r="D645" s="11" t="s">
        <v>116</v>
      </c>
      <c r="E645" s="11" t="str">
        <f>COUNTIF(R[-50]C[0]:R[-3]C[0],"L")</f>
        <v>#ERROR!</v>
      </c>
      <c r="F645" s="14"/>
      <c r="G645" s="15"/>
    </row>
    <row r="646">
      <c r="A646" s="18"/>
      <c r="B646" s="18"/>
      <c r="C646" s="18"/>
      <c r="D646" s="18"/>
      <c r="E646" s="18"/>
      <c r="F646" s="19"/>
      <c r="G646" s="18"/>
    </row>
    <row r="647">
      <c r="A647" s="18"/>
      <c r="B647" s="18"/>
      <c r="C647" s="18"/>
      <c r="D647" s="18"/>
      <c r="E647" s="18"/>
      <c r="F647" s="19"/>
      <c r="G647" s="18"/>
    </row>
    <row r="648">
      <c r="A648" s="18"/>
      <c r="B648" s="18"/>
      <c r="C648" s="18"/>
      <c r="D648" s="18"/>
      <c r="E648" s="18"/>
      <c r="F648" s="19"/>
      <c r="G648" s="18"/>
    </row>
    <row r="649">
      <c r="A649" s="18"/>
      <c r="B649" s="18"/>
      <c r="C649" s="18"/>
      <c r="D649" s="18"/>
      <c r="E649" s="18"/>
      <c r="F649" s="19"/>
      <c r="G649" s="18"/>
    </row>
    <row r="650">
      <c r="A650" s="18"/>
      <c r="B650" s="18"/>
      <c r="C650" s="18"/>
      <c r="D650" s="18"/>
      <c r="E650" s="18"/>
      <c r="F650" s="19"/>
      <c r="G650" s="18"/>
    </row>
    <row r="651">
      <c r="A651" s="18"/>
      <c r="B651" s="18"/>
      <c r="C651" s="18"/>
      <c r="D651" s="18"/>
      <c r="E651" s="18"/>
      <c r="F651" s="19"/>
      <c r="G651" s="18"/>
    </row>
    <row r="652">
      <c r="A652" s="18"/>
      <c r="B652" s="18"/>
      <c r="C652" s="18"/>
      <c r="D652" s="18"/>
      <c r="E652" s="18"/>
      <c r="F652" s="19"/>
      <c r="G652" s="18"/>
    </row>
    <row r="653">
      <c r="A653" s="18"/>
      <c r="B653" s="18"/>
      <c r="C653" s="18"/>
      <c r="D653" s="18"/>
      <c r="E653" s="18"/>
      <c r="F653" s="19"/>
      <c r="G653" s="18"/>
    </row>
    <row r="654">
      <c r="A654" s="18"/>
      <c r="B654" s="18"/>
      <c r="C654" s="18"/>
      <c r="D654" s="18"/>
      <c r="E654" s="18"/>
      <c r="F654" s="19"/>
      <c r="G654" s="18"/>
    </row>
    <row r="655">
      <c r="A655" s="18"/>
      <c r="B655" s="18"/>
      <c r="C655" s="18"/>
      <c r="D655" s="18"/>
      <c r="E655" s="18"/>
      <c r="F655" s="19"/>
      <c r="G655" s="18"/>
    </row>
    <row r="656">
      <c r="A656" s="18"/>
      <c r="B656" s="18"/>
      <c r="C656" s="18"/>
      <c r="D656" s="18"/>
      <c r="E656" s="18"/>
      <c r="F656" s="19"/>
      <c r="G656" s="18"/>
    </row>
    <row r="657">
      <c r="A657" s="18"/>
      <c r="B657" s="18"/>
      <c r="C657" s="18"/>
      <c r="D657" s="18"/>
      <c r="E657" s="18"/>
      <c r="F657" s="19"/>
      <c r="G657" s="18"/>
    </row>
    <row r="658">
      <c r="A658" s="18"/>
      <c r="B658" s="18"/>
      <c r="C658" s="18"/>
      <c r="D658" s="18"/>
      <c r="E658" s="18"/>
      <c r="F658" s="19"/>
      <c r="G658" s="18"/>
    </row>
    <row r="659">
      <c r="A659" s="18"/>
      <c r="B659" s="18"/>
      <c r="C659" s="18"/>
      <c r="D659" s="18"/>
      <c r="E659" s="18"/>
      <c r="F659" s="19"/>
      <c r="G659" s="18"/>
    </row>
    <row r="660">
      <c r="A660" s="18"/>
      <c r="B660" s="18"/>
      <c r="C660" s="18"/>
      <c r="D660" s="18"/>
      <c r="E660" s="18"/>
      <c r="F660" s="19"/>
      <c r="G660" s="18"/>
    </row>
    <row r="661">
      <c r="A661" s="18"/>
      <c r="B661" s="18"/>
      <c r="C661" s="18"/>
      <c r="D661" s="18"/>
      <c r="E661" s="18"/>
      <c r="F661" s="19"/>
      <c r="G661" s="18"/>
    </row>
    <row r="662">
      <c r="A662" s="18"/>
      <c r="B662" s="18"/>
      <c r="C662" s="18"/>
      <c r="D662" s="18"/>
      <c r="E662" s="18"/>
      <c r="F662" s="19"/>
      <c r="G662" s="18"/>
    </row>
    <row r="663">
      <c r="A663" s="18"/>
      <c r="B663" s="18"/>
      <c r="C663" s="18"/>
      <c r="D663" s="18"/>
      <c r="E663" s="18"/>
      <c r="F663" s="19"/>
      <c r="G663" s="18"/>
    </row>
    <row r="664">
      <c r="A664" s="18"/>
      <c r="B664" s="18"/>
      <c r="C664" s="18"/>
      <c r="D664" s="18"/>
      <c r="E664" s="18"/>
      <c r="F664" s="19"/>
      <c r="G664" s="18"/>
    </row>
    <row r="665">
      <c r="A665" s="18"/>
      <c r="B665" s="18"/>
      <c r="C665" s="18"/>
      <c r="D665" s="18"/>
      <c r="E665" s="18"/>
      <c r="F665" s="19"/>
      <c r="G665" s="18"/>
    </row>
    <row r="666">
      <c r="A666" s="18"/>
      <c r="B666" s="18"/>
      <c r="C666" s="18"/>
      <c r="D666" s="18"/>
      <c r="E666" s="18"/>
      <c r="F666" s="19"/>
      <c r="G666" s="18"/>
    </row>
    <row r="667">
      <c r="A667" s="18"/>
      <c r="B667" s="18"/>
      <c r="C667" s="18"/>
      <c r="D667" s="18"/>
      <c r="E667" s="18"/>
      <c r="F667" s="19"/>
      <c r="G667" s="18"/>
    </row>
    <row r="668">
      <c r="A668" s="18"/>
      <c r="B668" s="18"/>
      <c r="C668" s="18"/>
      <c r="D668" s="18"/>
      <c r="E668" s="18"/>
      <c r="F668" s="19"/>
      <c r="G668" s="18"/>
    </row>
    <row r="669">
      <c r="A669" s="18"/>
      <c r="B669" s="18"/>
      <c r="C669" s="18"/>
      <c r="D669" s="18"/>
      <c r="E669" s="18"/>
      <c r="F669" s="19"/>
      <c r="G669" s="18"/>
    </row>
    <row r="670">
      <c r="A670" s="18"/>
      <c r="B670" s="18"/>
      <c r="C670" s="18"/>
      <c r="D670" s="18"/>
      <c r="E670" s="18"/>
      <c r="F670" s="19"/>
      <c r="G670" s="18"/>
    </row>
    <row r="671">
      <c r="A671" s="18"/>
      <c r="B671" s="18"/>
      <c r="C671" s="18"/>
      <c r="D671" s="18"/>
      <c r="E671" s="18"/>
      <c r="F671" s="19"/>
      <c r="G671" s="18"/>
    </row>
    <row r="672">
      <c r="A672" s="18"/>
      <c r="B672" s="18"/>
      <c r="C672" s="18"/>
      <c r="D672" s="18"/>
      <c r="E672" s="18"/>
      <c r="F672" s="19"/>
      <c r="G672" s="18"/>
    </row>
    <row r="673">
      <c r="A673" s="18"/>
      <c r="B673" s="18"/>
      <c r="C673" s="18"/>
      <c r="D673" s="18"/>
      <c r="E673" s="18"/>
      <c r="F673" s="19"/>
      <c r="G673" s="18"/>
    </row>
    <row r="674">
      <c r="A674" s="18"/>
      <c r="B674" s="18"/>
      <c r="C674" s="18"/>
      <c r="D674" s="18"/>
      <c r="E674" s="18"/>
      <c r="F674" s="19"/>
      <c r="G674" s="18"/>
    </row>
    <row r="675">
      <c r="A675" s="18"/>
      <c r="B675" s="18"/>
      <c r="C675" s="18"/>
      <c r="D675" s="18"/>
      <c r="E675" s="18"/>
      <c r="F675" s="19"/>
      <c r="G675" s="18"/>
    </row>
    <row r="676">
      <c r="A676" s="18"/>
      <c r="B676" s="18"/>
      <c r="C676" s="18"/>
      <c r="D676" s="18"/>
      <c r="E676" s="18"/>
      <c r="F676" s="19"/>
      <c r="G676" s="18"/>
    </row>
    <row r="677">
      <c r="A677" s="18"/>
      <c r="B677" s="18"/>
      <c r="C677" s="18"/>
      <c r="D677" s="18"/>
      <c r="E677" s="18"/>
      <c r="F677" s="19"/>
      <c r="G677" s="18"/>
    </row>
    <row r="678">
      <c r="A678" s="18"/>
      <c r="B678" s="18"/>
      <c r="C678" s="18"/>
      <c r="D678" s="18"/>
      <c r="E678" s="18"/>
      <c r="F678" s="19"/>
      <c r="G678" s="18"/>
    </row>
    <row r="679">
      <c r="A679" s="18"/>
      <c r="B679" s="18"/>
      <c r="C679" s="18"/>
      <c r="D679" s="18"/>
      <c r="E679" s="18"/>
      <c r="F679" s="19"/>
      <c r="G679" s="18"/>
    </row>
    <row r="680">
      <c r="A680" s="18"/>
      <c r="B680" s="18"/>
      <c r="C680" s="18"/>
      <c r="D680" s="18"/>
      <c r="E680" s="18"/>
      <c r="F680" s="19"/>
      <c r="G680" s="18"/>
    </row>
    <row r="681">
      <c r="A681" s="18"/>
      <c r="B681" s="18"/>
      <c r="C681" s="18"/>
      <c r="D681" s="18"/>
      <c r="E681" s="18"/>
      <c r="F681" s="19"/>
      <c r="G681" s="18"/>
    </row>
    <row r="682">
      <c r="A682" s="18"/>
      <c r="B682" s="18"/>
      <c r="C682" s="18"/>
      <c r="D682" s="18"/>
      <c r="E682" s="18"/>
      <c r="F682" s="19"/>
      <c r="G682" s="18"/>
    </row>
    <row r="683">
      <c r="A683" s="18"/>
      <c r="B683" s="18"/>
      <c r="C683" s="18"/>
      <c r="D683" s="18"/>
      <c r="E683" s="18"/>
      <c r="F683" s="19"/>
      <c r="G683" s="18"/>
    </row>
    <row r="684">
      <c r="A684" s="18"/>
      <c r="B684" s="18"/>
      <c r="C684" s="18"/>
      <c r="D684" s="18"/>
      <c r="E684" s="18"/>
      <c r="F684" s="19"/>
      <c r="G684" s="18"/>
    </row>
    <row r="685">
      <c r="A685" s="18"/>
      <c r="B685" s="18"/>
      <c r="C685" s="18"/>
      <c r="D685" s="18"/>
      <c r="E685" s="18"/>
      <c r="F685" s="19"/>
      <c r="G685" s="18"/>
    </row>
    <row r="686">
      <c r="A686" s="18"/>
      <c r="B686" s="18"/>
      <c r="C686" s="18"/>
      <c r="D686" s="18"/>
      <c r="E686" s="18"/>
      <c r="F686" s="19"/>
      <c r="G686" s="18"/>
    </row>
    <row r="687">
      <c r="A687" s="18"/>
      <c r="B687" s="18"/>
      <c r="C687" s="18"/>
      <c r="D687" s="18"/>
      <c r="E687" s="18"/>
      <c r="F687" s="19"/>
      <c r="G687" s="18"/>
    </row>
    <row r="688">
      <c r="A688" s="18"/>
      <c r="B688" s="18"/>
      <c r="C688" s="18"/>
      <c r="D688" s="18"/>
      <c r="E688" s="18"/>
      <c r="F688" s="19"/>
      <c r="G688" s="18"/>
    </row>
    <row r="689">
      <c r="A689" s="18"/>
      <c r="B689" s="18"/>
      <c r="C689" s="18"/>
      <c r="D689" s="18"/>
      <c r="E689" s="18"/>
      <c r="F689" s="19"/>
      <c r="G689" s="18"/>
    </row>
    <row r="690">
      <c r="A690" s="18"/>
      <c r="B690" s="18"/>
      <c r="C690" s="18"/>
      <c r="D690" s="18"/>
      <c r="E690" s="18"/>
      <c r="F690" s="19"/>
      <c r="G690" s="18"/>
    </row>
    <row r="691">
      <c r="A691" s="18"/>
      <c r="B691" s="18"/>
      <c r="C691" s="18"/>
      <c r="D691" s="18"/>
      <c r="E691" s="18"/>
      <c r="F691" s="19"/>
      <c r="G691" s="18"/>
    </row>
    <row r="692">
      <c r="A692" s="18"/>
      <c r="B692" s="18"/>
      <c r="C692" s="18"/>
      <c r="D692" s="18"/>
      <c r="E692" s="18"/>
      <c r="F692" s="19"/>
      <c r="G692" s="18"/>
    </row>
    <row r="693">
      <c r="A693" s="18"/>
      <c r="B693" s="18"/>
      <c r="C693" s="18"/>
      <c r="D693" s="18"/>
      <c r="E693" s="18"/>
      <c r="F693" s="19"/>
      <c r="G693" s="18"/>
    </row>
    <row r="694">
      <c r="A694" s="18"/>
      <c r="B694" s="18"/>
      <c r="C694" s="18"/>
      <c r="D694" s="18"/>
      <c r="E694" s="18"/>
      <c r="F694" s="19"/>
      <c r="G694" s="18"/>
    </row>
    <row r="695">
      <c r="A695" s="18"/>
      <c r="B695" s="18"/>
      <c r="C695" s="18"/>
      <c r="D695" s="18"/>
      <c r="E695" s="18"/>
      <c r="F695" s="19"/>
      <c r="G695" s="18"/>
    </row>
    <row r="696">
      <c r="A696" s="18"/>
      <c r="B696" s="18"/>
      <c r="C696" s="18"/>
      <c r="D696" s="18"/>
      <c r="E696" s="18"/>
      <c r="F696" s="19"/>
      <c r="G696" s="18"/>
    </row>
    <row r="697">
      <c r="A697" s="18"/>
      <c r="B697" s="18"/>
      <c r="C697" s="18"/>
      <c r="D697" s="18"/>
      <c r="E697" s="18"/>
      <c r="F697" s="19"/>
      <c r="G697" s="18"/>
    </row>
    <row r="698">
      <c r="A698" s="18"/>
      <c r="B698" s="18"/>
      <c r="C698" s="18"/>
      <c r="D698" s="18"/>
      <c r="E698" s="18"/>
      <c r="F698" s="19"/>
      <c r="G698" s="18"/>
    </row>
    <row r="699">
      <c r="A699" s="18"/>
      <c r="B699" s="18"/>
      <c r="C699" s="18"/>
      <c r="D699" s="18"/>
      <c r="E699" s="18"/>
      <c r="F699" s="19"/>
      <c r="G699" s="18"/>
    </row>
    <row r="700">
      <c r="A700" s="18"/>
      <c r="B700" s="18"/>
      <c r="C700" s="18"/>
      <c r="D700" s="18"/>
      <c r="E700" s="18"/>
      <c r="F700" s="19"/>
      <c r="G700" s="18"/>
    </row>
    <row r="701">
      <c r="A701" s="18"/>
      <c r="B701" s="18"/>
      <c r="C701" s="18"/>
      <c r="D701" s="18"/>
      <c r="E701" s="18"/>
      <c r="F701" s="19"/>
      <c r="G701" s="18"/>
    </row>
    <row r="702">
      <c r="A702" s="18"/>
      <c r="B702" s="18"/>
      <c r="C702" s="18"/>
      <c r="D702" s="18"/>
      <c r="E702" s="18"/>
      <c r="F702" s="19"/>
      <c r="G702" s="18"/>
    </row>
    <row r="703">
      <c r="A703" s="18"/>
      <c r="B703" s="18"/>
      <c r="C703" s="18"/>
      <c r="D703" s="18"/>
      <c r="E703" s="18"/>
      <c r="F703" s="19"/>
      <c r="G703" s="18"/>
    </row>
    <row r="704">
      <c r="A704" s="18"/>
      <c r="B704" s="18"/>
      <c r="C704" s="18"/>
      <c r="D704" s="18"/>
      <c r="E704" s="18"/>
      <c r="F704" s="19"/>
      <c r="G704" s="18"/>
    </row>
    <row r="705">
      <c r="A705" s="18"/>
      <c r="B705" s="18"/>
      <c r="C705" s="18"/>
      <c r="D705" s="18"/>
      <c r="E705" s="18"/>
      <c r="F705" s="19"/>
      <c r="G705" s="18"/>
    </row>
    <row r="706">
      <c r="A706" s="18"/>
      <c r="B706" s="18"/>
      <c r="C706" s="18"/>
      <c r="D706" s="18"/>
      <c r="E706" s="18"/>
      <c r="F706" s="19"/>
      <c r="G706" s="18"/>
    </row>
    <row r="707">
      <c r="A707" s="18"/>
      <c r="B707" s="18"/>
      <c r="C707" s="18"/>
      <c r="D707" s="18"/>
      <c r="E707" s="18"/>
      <c r="F707" s="19"/>
      <c r="G707" s="18"/>
    </row>
    <row r="708">
      <c r="A708" s="18"/>
      <c r="B708" s="18"/>
      <c r="C708" s="18"/>
      <c r="D708" s="18"/>
      <c r="E708" s="18"/>
      <c r="F708" s="19"/>
      <c r="G708" s="18"/>
    </row>
    <row r="709">
      <c r="A709" s="18"/>
      <c r="B709" s="18"/>
      <c r="C709" s="18"/>
      <c r="D709" s="18"/>
      <c r="E709" s="18"/>
      <c r="F709" s="19"/>
      <c r="G709" s="18"/>
    </row>
    <row r="710">
      <c r="A710" s="18"/>
      <c r="B710" s="18"/>
      <c r="C710" s="18"/>
      <c r="D710" s="18"/>
      <c r="E710" s="18"/>
      <c r="F710" s="19"/>
      <c r="G710" s="18"/>
    </row>
    <row r="711">
      <c r="A711" s="18"/>
      <c r="B711" s="18"/>
      <c r="C711" s="18"/>
      <c r="D711" s="18"/>
      <c r="E711" s="18"/>
      <c r="F711" s="19"/>
      <c r="G711" s="18"/>
    </row>
    <row r="712">
      <c r="A712" s="18"/>
      <c r="B712" s="18"/>
      <c r="C712" s="18"/>
      <c r="D712" s="18"/>
      <c r="E712" s="18"/>
      <c r="F712" s="19"/>
      <c r="G712" s="18"/>
    </row>
    <row r="713">
      <c r="A713" s="18"/>
      <c r="B713" s="18"/>
      <c r="C713" s="18"/>
      <c r="D713" s="18"/>
      <c r="E713" s="18"/>
      <c r="F713" s="19"/>
      <c r="G713" s="18"/>
    </row>
    <row r="714">
      <c r="A714" s="18"/>
      <c r="B714" s="18"/>
      <c r="C714" s="18"/>
      <c r="D714" s="18"/>
      <c r="E714" s="18"/>
      <c r="F714" s="19"/>
      <c r="G714" s="18"/>
    </row>
    <row r="715">
      <c r="A715" s="18"/>
      <c r="B715" s="18"/>
      <c r="C715" s="18"/>
      <c r="D715" s="18"/>
      <c r="E715" s="18"/>
      <c r="F715" s="19"/>
      <c r="G715" s="18"/>
    </row>
    <row r="716">
      <c r="A716" s="18"/>
      <c r="B716" s="18"/>
      <c r="C716" s="18"/>
      <c r="D716" s="18"/>
      <c r="E716" s="18"/>
      <c r="F716" s="19"/>
      <c r="G716" s="18"/>
    </row>
    <row r="717">
      <c r="A717" s="18"/>
      <c r="B717" s="18"/>
      <c r="C717" s="18"/>
      <c r="D717" s="18"/>
      <c r="E717" s="18"/>
      <c r="F717" s="19"/>
      <c r="G717" s="18"/>
    </row>
    <row r="718">
      <c r="A718" s="18"/>
      <c r="B718" s="18"/>
      <c r="C718" s="18"/>
      <c r="D718" s="18"/>
      <c r="E718" s="18"/>
      <c r="F718" s="19"/>
      <c r="G718" s="18"/>
    </row>
    <row r="719">
      <c r="A719" s="18"/>
      <c r="B719" s="18"/>
      <c r="C719" s="18"/>
      <c r="D719" s="18"/>
      <c r="E719" s="18"/>
      <c r="F719" s="19"/>
      <c r="G719" s="18"/>
    </row>
    <row r="720">
      <c r="A720" s="18"/>
      <c r="B720" s="18"/>
      <c r="C720" s="18"/>
      <c r="D720" s="18"/>
      <c r="E720" s="18"/>
      <c r="F720" s="19"/>
      <c r="G720" s="18"/>
    </row>
    <row r="721">
      <c r="A721" s="18"/>
      <c r="B721" s="18"/>
      <c r="C721" s="18"/>
      <c r="D721" s="18"/>
      <c r="E721" s="18"/>
      <c r="F721" s="19"/>
      <c r="G721" s="18"/>
    </row>
    <row r="722">
      <c r="A722" s="18"/>
      <c r="B722" s="18"/>
      <c r="C722" s="18"/>
      <c r="D722" s="18"/>
      <c r="E722" s="18"/>
      <c r="F722" s="19"/>
      <c r="G722" s="18"/>
    </row>
    <row r="723">
      <c r="A723" s="18"/>
      <c r="B723" s="18"/>
      <c r="C723" s="18"/>
      <c r="D723" s="18"/>
      <c r="E723" s="18"/>
      <c r="F723" s="19"/>
      <c r="G723" s="18"/>
    </row>
    <row r="724">
      <c r="A724" s="18"/>
      <c r="B724" s="18"/>
      <c r="C724" s="18"/>
      <c r="D724" s="18"/>
      <c r="E724" s="18"/>
      <c r="F724" s="19"/>
      <c r="G724" s="18"/>
    </row>
    <row r="725">
      <c r="A725" s="18"/>
      <c r="B725" s="18"/>
      <c r="C725" s="18"/>
      <c r="D725" s="18"/>
      <c r="E725" s="18"/>
      <c r="F725" s="19"/>
      <c r="G725" s="18"/>
    </row>
    <row r="726">
      <c r="A726" s="18"/>
      <c r="B726" s="18"/>
      <c r="C726" s="18"/>
      <c r="D726" s="18"/>
      <c r="E726" s="18"/>
      <c r="F726" s="19"/>
      <c r="G726" s="18"/>
    </row>
    <row r="727">
      <c r="A727" s="18"/>
      <c r="B727" s="18"/>
      <c r="C727" s="18"/>
      <c r="D727" s="18"/>
      <c r="E727" s="18"/>
      <c r="F727" s="19"/>
      <c r="G727" s="18"/>
    </row>
    <row r="728">
      <c r="A728" s="18"/>
      <c r="B728" s="18"/>
      <c r="C728" s="18"/>
      <c r="D728" s="18"/>
      <c r="E728" s="18"/>
      <c r="F728" s="19"/>
      <c r="G728" s="18"/>
    </row>
    <row r="729">
      <c r="A729" s="18"/>
      <c r="B729" s="18"/>
      <c r="C729" s="18"/>
      <c r="D729" s="18"/>
      <c r="E729" s="18"/>
      <c r="F729" s="19"/>
      <c r="G729" s="18"/>
    </row>
    <row r="730">
      <c r="A730" s="18"/>
      <c r="B730" s="18"/>
      <c r="C730" s="18"/>
      <c r="D730" s="18"/>
      <c r="E730" s="18"/>
      <c r="F730" s="19"/>
      <c r="G730" s="18"/>
    </row>
    <row r="731">
      <c r="A731" s="18"/>
      <c r="B731" s="18"/>
      <c r="C731" s="18"/>
      <c r="D731" s="18"/>
      <c r="E731" s="18"/>
      <c r="F731" s="19"/>
      <c r="G731" s="18"/>
    </row>
    <row r="732">
      <c r="A732" s="18"/>
      <c r="B732" s="18"/>
      <c r="C732" s="18"/>
      <c r="D732" s="18"/>
      <c r="E732" s="18"/>
      <c r="F732" s="19"/>
      <c r="G732" s="18"/>
    </row>
    <row r="733">
      <c r="A733" s="18"/>
      <c r="B733" s="18"/>
      <c r="C733" s="18"/>
      <c r="D733" s="18"/>
      <c r="E733" s="18"/>
      <c r="F733" s="19"/>
      <c r="G733" s="18"/>
    </row>
    <row r="734">
      <c r="A734" s="18"/>
      <c r="B734" s="18"/>
      <c r="C734" s="18"/>
      <c r="D734" s="18"/>
      <c r="E734" s="18"/>
      <c r="F734" s="19"/>
      <c r="G734" s="18"/>
    </row>
    <row r="735">
      <c r="A735" s="18"/>
      <c r="B735" s="18"/>
      <c r="C735" s="18"/>
      <c r="D735" s="18"/>
      <c r="E735" s="18"/>
      <c r="F735" s="19"/>
      <c r="G735" s="18"/>
    </row>
    <row r="736">
      <c r="A736" s="18"/>
      <c r="B736" s="18"/>
      <c r="C736" s="18"/>
      <c r="D736" s="18"/>
      <c r="E736" s="18"/>
      <c r="F736" s="19"/>
      <c r="G736" s="18"/>
    </row>
    <row r="737">
      <c r="A737" s="18"/>
      <c r="B737" s="18"/>
      <c r="C737" s="18"/>
      <c r="D737" s="18"/>
      <c r="E737" s="18"/>
      <c r="F737" s="19"/>
      <c r="G737" s="18"/>
    </row>
    <row r="738">
      <c r="A738" s="18"/>
      <c r="B738" s="18"/>
      <c r="C738" s="18"/>
      <c r="D738" s="18"/>
      <c r="E738" s="18"/>
      <c r="F738" s="19"/>
      <c r="G738" s="18"/>
    </row>
    <row r="739">
      <c r="A739" s="18"/>
      <c r="B739" s="18"/>
      <c r="C739" s="18"/>
      <c r="D739" s="18"/>
      <c r="E739" s="18"/>
      <c r="F739" s="19"/>
      <c r="G739" s="18"/>
    </row>
    <row r="740">
      <c r="A740" s="18"/>
      <c r="B740" s="18"/>
      <c r="C740" s="18"/>
      <c r="D740" s="18"/>
      <c r="E740" s="18"/>
      <c r="F740" s="19"/>
      <c r="G740" s="18"/>
    </row>
    <row r="741">
      <c r="A741" s="18"/>
      <c r="B741" s="18"/>
      <c r="C741" s="18"/>
      <c r="D741" s="18"/>
      <c r="E741" s="18"/>
      <c r="F741" s="19"/>
      <c r="G741" s="18"/>
    </row>
    <row r="742">
      <c r="A742" s="18"/>
      <c r="B742" s="18"/>
      <c r="C742" s="18"/>
      <c r="D742" s="18"/>
      <c r="E742" s="18"/>
      <c r="F742" s="19"/>
      <c r="G742" s="18"/>
    </row>
    <row r="743">
      <c r="A743" s="18"/>
      <c r="B743" s="18"/>
      <c r="C743" s="18"/>
      <c r="D743" s="18"/>
      <c r="E743" s="18"/>
      <c r="F743" s="19"/>
      <c r="G743" s="18"/>
    </row>
    <row r="744">
      <c r="A744" s="18"/>
      <c r="B744" s="18"/>
      <c r="C744" s="18"/>
      <c r="D744" s="18"/>
      <c r="E744" s="18"/>
      <c r="F744" s="19"/>
      <c r="G744" s="18"/>
    </row>
    <row r="745">
      <c r="A745" s="18"/>
      <c r="B745" s="18"/>
      <c r="C745" s="18"/>
      <c r="D745" s="18"/>
      <c r="E745" s="18"/>
      <c r="F745" s="19"/>
      <c r="G745" s="18"/>
    </row>
    <row r="746">
      <c r="A746" s="18"/>
      <c r="B746" s="18"/>
      <c r="C746" s="18"/>
      <c r="D746" s="18"/>
      <c r="E746" s="18"/>
      <c r="F746" s="19"/>
      <c r="G746" s="18"/>
    </row>
    <row r="747">
      <c r="A747" s="18"/>
      <c r="B747" s="18"/>
      <c r="C747" s="18"/>
      <c r="D747" s="18"/>
      <c r="E747" s="18"/>
      <c r="F747" s="19"/>
      <c r="G747" s="18"/>
    </row>
    <row r="748">
      <c r="A748" s="18"/>
      <c r="B748" s="18"/>
      <c r="C748" s="18"/>
      <c r="D748" s="18"/>
      <c r="E748" s="18"/>
      <c r="F748" s="19"/>
      <c r="G748" s="18"/>
    </row>
    <row r="749">
      <c r="A749" s="18"/>
      <c r="B749" s="18"/>
      <c r="C749" s="18"/>
      <c r="D749" s="18"/>
      <c r="E749" s="18"/>
      <c r="F749" s="19"/>
      <c r="G749" s="18"/>
    </row>
    <row r="750">
      <c r="A750" s="18"/>
      <c r="B750" s="18"/>
      <c r="C750" s="18"/>
      <c r="D750" s="18"/>
      <c r="E750" s="18"/>
      <c r="F750" s="19"/>
      <c r="G750" s="18"/>
    </row>
    <row r="751">
      <c r="A751" s="18"/>
      <c r="B751" s="18"/>
      <c r="C751" s="18"/>
      <c r="D751" s="18"/>
      <c r="E751" s="18"/>
      <c r="F751" s="19"/>
      <c r="G751" s="18"/>
    </row>
    <row r="752">
      <c r="A752" s="18"/>
      <c r="B752" s="18"/>
      <c r="C752" s="18"/>
      <c r="D752" s="18"/>
      <c r="E752" s="18"/>
      <c r="F752" s="19"/>
      <c r="G752" s="18"/>
    </row>
    <row r="753">
      <c r="A753" s="18"/>
      <c r="B753" s="18"/>
      <c r="C753" s="18"/>
      <c r="D753" s="18"/>
      <c r="E753" s="18"/>
      <c r="F753" s="19"/>
      <c r="G753" s="18"/>
    </row>
    <row r="754">
      <c r="A754" s="18"/>
      <c r="B754" s="18"/>
      <c r="C754" s="18"/>
      <c r="D754" s="18"/>
      <c r="E754" s="18"/>
      <c r="F754" s="19"/>
      <c r="G754" s="18"/>
    </row>
    <row r="755">
      <c r="A755" s="18"/>
      <c r="B755" s="18"/>
      <c r="C755" s="18"/>
      <c r="D755" s="18"/>
      <c r="E755" s="18"/>
      <c r="F755" s="19"/>
      <c r="G755" s="18"/>
    </row>
    <row r="756">
      <c r="A756" s="18"/>
      <c r="B756" s="18"/>
      <c r="C756" s="18"/>
      <c r="D756" s="18"/>
      <c r="E756" s="18"/>
      <c r="F756" s="19"/>
      <c r="G756" s="18"/>
    </row>
    <row r="757">
      <c r="A757" s="18"/>
      <c r="B757" s="18"/>
      <c r="C757" s="18"/>
      <c r="D757" s="18"/>
      <c r="E757" s="18"/>
      <c r="F757" s="19"/>
      <c r="G757" s="18"/>
    </row>
    <row r="758">
      <c r="A758" s="18"/>
      <c r="B758" s="18"/>
      <c r="C758" s="18"/>
      <c r="D758" s="18"/>
      <c r="E758" s="18"/>
      <c r="F758" s="19"/>
      <c r="G758" s="18"/>
    </row>
    <row r="759">
      <c r="A759" s="18"/>
      <c r="B759" s="18"/>
      <c r="C759" s="18"/>
      <c r="D759" s="18"/>
      <c r="E759" s="18"/>
      <c r="F759" s="19"/>
      <c r="G759" s="18"/>
    </row>
    <row r="760">
      <c r="A760" s="18"/>
      <c r="B760" s="18"/>
      <c r="C760" s="18"/>
      <c r="D760" s="18"/>
      <c r="E760" s="18"/>
      <c r="F760" s="19"/>
      <c r="G760" s="18"/>
    </row>
    <row r="761">
      <c r="A761" s="18"/>
      <c r="B761" s="18"/>
      <c r="C761" s="18"/>
      <c r="D761" s="18"/>
      <c r="E761" s="18"/>
      <c r="F761" s="19"/>
      <c r="G761" s="18"/>
    </row>
    <row r="762">
      <c r="A762" s="18"/>
      <c r="B762" s="18"/>
      <c r="C762" s="18"/>
      <c r="D762" s="18"/>
      <c r="E762" s="18"/>
      <c r="F762" s="19"/>
      <c r="G762" s="18"/>
    </row>
    <row r="763">
      <c r="A763" s="18"/>
      <c r="B763" s="18"/>
      <c r="C763" s="18"/>
      <c r="D763" s="18"/>
      <c r="E763" s="18"/>
      <c r="F763" s="19"/>
      <c r="G763" s="18"/>
    </row>
    <row r="764">
      <c r="A764" s="18"/>
      <c r="B764" s="18"/>
      <c r="C764" s="18"/>
      <c r="D764" s="18"/>
      <c r="E764" s="18"/>
      <c r="F764" s="19"/>
      <c r="G764" s="18"/>
    </row>
    <row r="765">
      <c r="A765" s="18"/>
      <c r="B765" s="18"/>
      <c r="C765" s="18"/>
      <c r="D765" s="18"/>
      <c r="E765" s="18"/>
      <c r="F765" s="19"/>
      <c r="G765" s="18"/>
    </row>
    <row r="766">
      <c r="A766" s="18"/>
      <c r="B766" s="18"/>
      <c r="C766" s="18"/>
      <c r="D766" s="18"/>
      <c r="E766" s="18"/>
      <c r="F766" s="19"/>
      <c r="G766" s="18"/>
    </row>
    <row r="767">
      <c r="A767" s="18"/>
      <c r="B767" s="18"/>
      <c r="C767" s="18"/>
      <c r="D767" s="18"/>
      <c r="E767" s="18"/>
      <c r="F767" s="19"/>
      <c r="G767" s="18"/>
    </row>
    <row r="768">
      <c r="A768" s="18"/>
      <c r="B768" s="18"/>
      <c r="C768" s="18"/>
      <c r="D768" s="18"/>
      <c r="E768" s="18"/>
      <c r="F768" s="19"/>
      <c r="G768" s="18"/>
    </row>
    <row r="769">
      <c r="A769" s="18"/>
      <c r="B769" s="18"/>
      <c r="C769" s="18"/>
      <c r="D769" s="18"/>
      <c r="E769" s="18"/>
      <c r="F769" s="19"/>
      <c r="G769" s="18"/>
    </row>
    <row r="770">
      <c r="A770" s="18"/>
      <c r="B770" s="18"/>
      <c r="C770" s="18"/>
      <c r="D770" s="18"/>
      <c r="E770" s="18"/>
      <c r="F770" s="19"/>
      <c r="G770" s="18"/>
    </row>
    <row r="771">
      <c r="A771" s="18"/>
      <c r="B771" s="18"/>
      <c r="C771" s="18"/>
      <c r="D771" s="18"/>
      <c r="E771" s="18"/>
      <c r="F771" s="19"/>
      <c r="G771" s="18"/>
    </row>
    <row r="772">
      <c r="A772" s="18"/>
      <c r="B772" s="18"/>
      <c r="C772" s="18"/>
      <c r="D772" s="18"/>
      <c r="E772" s="18"/>
      <c r="F772" s="19"/>
      <c r="G772" s="18"/>
    </row>
    <row r="773">
      <c r="A773" s="18"/>
      <c r="B773" s="18"/>
      <c r="C773" s="18"/>
      <c r="D773" s="18"/>
      <c r="E773" s="18"/>
      <c r="F773" s="19"/>
      <c r="G773" s="18"/>
    </row>
    <row r="774">
      <c r="A774" s="18"/>
      <c r="B774" s="18"/>
      <c r="C774" s="18"/>
      <c r="D774" s="18"/>
      <c r="E774" s="18"/>
      <c r="F774" s="19"/>
      <c r="G774" s="18"/>
    </row>
    <row r="775">
      <c r="A775" s="18"/>
      <c r="B775" s="18"/>
      <c r="C775" s="18"/>
      <c r="D775" s="18"/>
      <c r="E775" s="18"/>
      <c r="F775" s="19"/>
      <c r="G775" s="18"/>
    </row>
    <row r="776">
      <c r="A776" s="18"/>
      <c r="B776" s="18"/>
      <c r="C776" s="18"/>
      <c r="D776" s="18"/>
      <c r="E776" s="18"/>
      <c r="F776" s="19"/>
      <c r="G776" s="18"/>
    </row>
    <row r="777">
      <c r="A777" s="18"/>
      <c r="B777" s="18"/>
      <c r="C777" s="18"/>
      <c r="D777" s="18"/>
      <c r="E777" s="18"/>
      <c r="F777" s="19"/>
      <c r="G777" s="18"/>
    </row>
    <row r="778">
      <c r="A778" s="18"/>
      <c r="B778" s="18"/>
      <c r="C778" s="18"/>
      <c r="D778" s="18"/>
      <c r="E778" s="18"/>
      <c r="F778" s="19"/>
      <c r="G778" s="18"/>
    </row>
    <row r="779">
      <c r="A779" s="18"/>
      <c r="B779" s="18"/>
      <c r="C779" s="18"/>
      <c r="D779" s="18"/>
      <c r="E779" s="18"/>
      <c r="F779" s="19"/>
      <c r="G779" s="18"/>
    </row>
    <row r="780">
      <c r="A780" s="18"/>
      <c r="B780" s="18"/>
      <c r="C780" s="18"/>
      <c r="D780" s="18"/>
      <c r="E780" s="18"/>
      <c r="F780" s="19"/>
      <c r="G780" s="18"/>
    </row>
    <row r="781">
      <c r="A781" s="18"/>
      <c r="B781" s="18"/>
      <c r="C781" s="18"/>
      <c r="D781" s="18"/>
      <c r="E781" s="18"/>
      <c r="F781" s="19"/>
      <c r="G781" s="18"/>
    </row>
    <row r="782">
      <c r="A782" s="18"/>
      <c r="B782" s="18"/>
      <c r="C782" s="18"/>
      <c r="D782" s="18"/>
      <c r="E782" s="18"/>
      <c r="F782" s="19"/>
      <c r="G782" s="18"/>
    </row>
    <row r="783">
      <c r="A783" s="18"/>
      <c r="B783" s="18"/>
      <c r="C783" s="18"/>
      <c r="D783" s="18"/>
      <c r="E783" s="18"/>
      <c r="F783" s="19"/>
      <c r="G783" s="18"/>
    </row>
    <row r="784">
      <c r="A784" s="18"/>
      <c r="B784" s="18"/>
      <c r="C784" s="18"/>
      <c r="D784" s="18"/>
      <c r="E784" s="18"/>
      <c r="F784" s="19"/>
      <c r="G784" s="18"/>
    </row>
    <row r="785">
      <c r="A785" s="18"/>
      <c r="B785" s="18"/>
      <c r="C785" s="18"/>
      <c r="D785" s="18"/>
      <c r="E785" s="18"/>
      <c r="F785" s="19"/>
      <c r="G785" s="18"/>
    </row>
    <row r="786">
      <c r="A786" s="18"/>
      <c r="B786" s="18"/>
      <c r="C786" s="18"/>
      <c r="D786" s="18"/>
      <c r="E786" s="18"/>
      <c r="F786" s="19"/>
      <c r="G786" s="18"/>
    </row>
    <row r="787">
      <c r="A787" s="18"/>
      <c r="B787" s="18"/>
      <c r="C787" s="18"/>
      <c r="D787" s="18"/>
      <c r="E787" s="18"/>
      <c r="F787" s="19"/>
      <c r="G787" s="18"/>
    </row>
    <row r="788">
      <c r="A788" s="18"/>
      <c r="B788" s="18"/>
      <c r="C788" s="18"/>
      <c r="D788" s="18"/>
      <c r="E788" s="18"/>
      <c r="F788" s="19"/>
      <c r="G788" s="18"/>
    </row>
    <row r="789">
      <c r="A789" s="18"/>
      <c r="B789" s="18"/>
      <c r="C789" s="18"/>
      <c r="D789" s="18"/>
      <c r="E789" s="18"/>
      <c r="F789" s="19"/>
      <c r="G789" s="18"/>
    </row>
    <row r="790">
      <c r="A790" s="18"/>
      <c r="B790" s="18"/>
      <c r="C790" s="18"/>
      <c r="D790" s="18"/>
      <c r="E790" s="18"/>
      <c r="F790" s="19"/>
      <c r="G790" s="18"/>
    </row>
    <row r="791">
      <c r="A791" s="18"/>
      <c r="B791" s="18"/>
      <c r="C791" s="18"/>
      <c r="D791" s="18"/>
      <c r="E791" s="18"/>
      <c r="F791" s="19"/>
      <c r="G791" s="18"/>
    </row>
    <row r="792">
      <c r="A792" s="18"/>
      <c r="B792" s="18"/>
      <c r="C792" s="18"/>
      <c r="D792" s="18"/>
      <c r="E792" s="18"/>
      <c r="F792" s="19"/>
      <c r="G792" s="18"/>
    </row>
    <row r="793">
      <c r="A793" s="18"/>
      <c r="B793" s="18"/>
      <c r="C793" s="18"/>
      <c r="D793" s="18"/>
      <c r="E793" s="18"/>
      <c r="F793" s="19"/>
      <c r="G793" s="18"/>
    </row>
    <row r="794">
      <c r="A794" s="18"/>
      <c r="B794" s="18"/>
      <c r="C794" s="18"/>
      <c r="D794" s="18"/>
      <c r="E794" s="18"/>
      <c r="F794" s="19"/>
      <c r="G794" s="18"/>
    </row>
    <row r="795">
      <c r="A795" s="18"/>
      <c r="B795" s="18"/>
      <c r="C795" s="18"/>
      <c r="D795" s="18"/>
      <c r="E795" s="18"/>
      <c r="F795" s="19"/>
      <c r="G795" s="18"/>
    </row>
    <row r="796">
      <c r="A796" s="18"/>
      <c r="B796" s="18"/>
      <c r="C796" s="18"/>
      <c r="D796" s="18"/>
      <c r="E796" s="18"/>
      <c r="F796" s="19"/>
      <c r="G796" s="18"/>
    </row>
    <row r="797">
      <c r="A797" s="18"/>
      <c r="B797" s="18"/>
      <c r="C797" s="18"/>
      <c r="D797" s="18"/>
      <c r="E797" s="18"/>
      <c r="F797" s="19"/>
      <c r="G797" s="18"/>
    </row>
    <row r="798">
      <c r="A798" s="18"/>
      <c r="B798" s="18"/>
      <c r="C798" s="18"/>
      <c r="D798" s="18"/>
      <c r="E798" s="18"/>
      <c r="F798" s="19"/>
      <c r="G798" s="18"/>
    </row>
    <row r="799">
      <c r="A799" s="18"/>
      <c r="B799" s="18"/>
      <c r="C799" s="18"/>
      <c r="D799" s="18"/>
      <c r="E799" s="18"/>
      <c r="F799" s="19"/>
      <c r="G799" s="18"/>
    </row>
    <row r="800">
      <c r="A800" s="18"/>
      <c r="B800" s="18"/>
      <c r="C800" s="18"/>
      <c r="D800" s="18"/>
      <c r="E800" s="18"/>
      <c r="F800" s="19"/>
      <c r="G800" s="18"/>
    </row>
    <row r="801">
      <c r="A801" s="18"/>
      <c r="B801" s="18"/>
      <c r="C801" s="18"/>
      <c r="D801" s="18"/>
      <c r="E801" s="18"/>
      <c r="F801" s="19"/>
      <c r="G801" s="18"/>
    </row>
    <row r="802">
      <c r="A802" s="18"/>
      <c r="B802" s="18"/>
      <c r="C802" s="18"/>
      <c r="D802" s="18"/>
      <c r="E802" s="18"/>
      <c r="F802" s="19"/>
      <c r="G802" s="18"/>
    </row>
    <row r="803">
      <c r="A803" s="18"/>
      <c r="B803" s="18"/>
      <c r="C803" s="18"/>
      <c r="D803" s="18"/>
      <c r="E803" s="18"/>
      <c r="F803" s="19"/>
      <c r="G803" s="18"/>
    </row>
    <row r="804">
      <c r="A804" s="18"/>
      <c r="B804" s="18"/>
      <c r="C804" s="18"/>
      <c r="D804" s="18"/>
      <c r="E804" s="18"/>
      <c r="F804" s="19"/>
      <c r="G804" s="18"/>
    </row>
    <row r="805">
      <c r="A805" s="18"/>
      <c r="B805" s="18"/>
      <c r="C805" s="18"/>
      <c r="D805" s="18"/>
      <c r="E805" s="18"/>
      <c r="F805" s="19"/>
      <c r="G805" s="18"/>
    </row>
    <row r="806">
      <c r="A806" s="18"/>
      <c r="B806" s="18"/>
      <c r="C806" s="18"/>
      <c r="D806" s="18"/>
      <c r="E806" s="18"/>
      <c r="F806" s="19"/>
      <c r="G806" s="18"/>
    </row>
    <row r="807">
      <c r="A807" s="18"/>
      <c r="B807" s="18"/>
      <c r="C807" s="18"/>
      <c r="D807" s="18"/>
      <c r="E807" s="18"/>
      <c r="F807" s="19"/>
      <c r="G807" s="18"/>
    </row>
    <row r="808">
      <c r="A808" s="18"/>
      <c r="B808" s="18"/>
      <c r="C808" s="18"/>
      <c r="D808" s="18"/>
      <c r="E808" s="18"/>
      <c r="F808" s="19"/>
      <c r="G808" s="18"/>
    </row>
    <row r="809">
      <c r="A809" s="18"/>
      <c r="B809" s="18"/>
      <c r="C809" s="18"/>
      <c r="D809" s="18"/>
      <c r="E809" s="18"/>
      <c r="F809" s="19"/>
      <c r="G809" s="18"/>
    </row>
    <row r="810">
      <c r="A810" s="18"/>
      <c r="B810" s="18"/>
      <c r="C810" s="18"/>
      <c r="D810" s="18"/>
      <c r="E810" s="18"/>
      <c r="F810" s="19"/>
      <c r="G810" s="18"/>
    </row>
    <row r="811">
      <c r="A811" s="18"/>
      <c r="B811" s="18"/>
      <c r="C811" s="18"/>
      <c r="D811" s="18"/>
      <c r="E811" s="18"/>
      <c r="F811" s="19"/>
      <c r="G811" s="18"/>
    </row>
    <row r="812">
      <c r="A812" s="18"/>
      <c r="B812" s="18"/>
      <c r="C812" s="18"/>
      <c r="D812" s="18"/>
      <c r="E812" s="18"/>
      <c r="F812" s="19"/>
      <c r="G812" s="18"/>
    </row>
    <row r="813">
      <c r="A813" s="18"/>
      <c r="B813" s="18"/>
      <c r="C813" s="18"/>
      <c r="D813" s="18"/>
      <c r="E813" s="18"/>
      <c r="F813" s="19"/>
      <c r="G813" s="18"/>
    </row>
    <row r="814">
      <c r="A814" s="18"/>
      <c r="B814" s="18"/>
      <c r="C814" s="18"/>
      <c r="D814" s="18"/>
      <c r="E814" s="18"/>
      <c r="F814" s="19"/>
      <c r="G814" s="18"/>
    </row>
    <row r="815">
      <c r="A815" s="18"/>
      <c r="B815" s="18"/>
      <c r="C815" s="18"/>
      <c r="D815" s="18"/>
      <c r="E815" s="18"/>
      <c r="F815" s="19"/>
      <c r="G815" s="18"/>
    </row>
    <row r="816">
      <c r="A816" s="18"/>
      <c r="B816" s="18"/>
      <c r="C816" s="18"/>
      <c r="D816" s="18"/>
      <c r="E816" s="18"/>
      <c r="F816" s="19"/>
      <c r="G816" s="18"/>
    </row>
    <row r="817">
      <c r="A817" s="18"/>
      <c r="B817" s="18"/>
      <c r="C817" s="18"/>
      <c r="D817" s="18"/>
      <c r="E817" s="18"/>
      <c r="F817" s="19"/>
      <c r="G817" s="18"/>
    </row>
    <row r="818">
      <c r="A818" s="18"/>
      <c r="B818" s="18"/>
      <c r="C818" s="18"/>
      <c r="D818" s="18"/>
      <c r="E818" s="18"/>
      <c r="F818" s="19"/>
      <c r="G818" s="18"/>
    </row>
    <row r="819">
      <c r="A819" s="18"/>
      <c r="B819" s="18"/>
      <c r="C819" s="18"/>
      <c r="D819" s="18"/>
      <c r="E819" s="18"/>
      <c r="F819" s="19"/>
      <c r="G819" s="18"/>
    </row>
    <row r="820">
      <c r="A820" s="18"/>
      <c r="B820" s="18"/>
      <c r="C820" s="18"/>
      <c r="D820" s="18"/>
      <c r="E820" s="18"/>
      <c r="F820" s="19"/>
      <c r="G820" s="18"/>
    </row>
    <row r="821">
      <c r="A821" s="18"/>
      <c r="B821" s="18"/>
      <c r="C821" s="18"/>
      <c r="D821" s="18"/>
      <c r="E821" s="18"/>
      <c r="F821" s="19"/>
      <c r="G821" s="18"/>
    </row>
    <row r="822">
      <c r="A822" s="18"/>
      <c r="B822" s="18"/>
      <c r="C822" s="18"/>
      <c r="D822" s="18"/>
      <c r="E822" s="18"/>
      <c r="F822" s="19"/>
      <c r="G822" s="18"/>
    </row>
    <row r="823">
      <c r="A823" s="18"/>
      <c r="B823" s="18"/>
      <c r="C823" s="18"/>
      <c r="D823" s="18"/>
      <c r="E823" s="18"/>
      <c r="F823" s="19"/>
      <c r="G823" s="18"/>
    </row>
    <row r="824">
      <c r="A824" s="18"/>
      <c r="B824" s="18"/>
      <c r="C824" s="18"/>
      <c r="D824" s="18"/>
      <c r="E824" s="18"/>
      <c r="F824" s="19"/>
      <c r="G824" s="18"/>
    </row>
    <row r="825">
      <c r="A825" s="18"/>
      <c r="B825" s="18"/>
      <c r="C825" s="18"/>
      <c r="D825" s="18"/>
      <c r="E825" s="18"/>
      <c r="F825" s="19"/>
      <c r="G825" s="18"/>
    </row>
    <row r="826">
      <c r="A826" s="18"/>
      <c r="B826" s="18"/>
      <c r="C826" s="18"/>
      <c r="D826" s="18"/>
      <c r="E826" s="18"/>
      <c r="F826" s="19"/>
      <c r="G826" s="18"/>
    </row>
    <row r="827">
      <c r="A827" s="18"/>
      <c r="B827" s="18"/>
      <c r="C827" s="18"/>
      <c r="D827" s="18"/>
      <c r="E827" s="18"/>
      <c r="F827" s="19"/>
      <c r="G827" s="18"/>
    </row>
    <row r="828">
      <c r="A828" s="18"/>
      <c r="B828" s="18"/>
      <c r="C828" s="18"/>
      <c r="D828" s="18"/>
      <c r="E828" s="18"/>
      <c r="F828" s="19"/>
      <c r="G828" s="18"/>
    </row>
    <row r="829">
      <c r="A829" s="18"/>
      <c r="B829" s="18"/>
      <c r="C829" s="18"/>
      <c r="D829" s="18"/>
      <c r="E829" s="18"/>
      <c r="F829" s="19"/>
      <c r="G829" s="18"/>
    </row>
    <row r="830">
      <c r="A830" s="18"/>
      <c r="B830" s="18"/>
      <c r="C830" s="18"/>
      <c r="D830" s="18"/>
      <c r="E830" s="18"/>
      <c r="F830" s="19"/>
      <c r="G830" s="18"/>
    </row>
    <row r="831">
      <c r="A831" s="18"/>
      <c r="B831" s="18"/>
      <c r="C831" s="18"/>
      <c r="D831" s="18"/>
      <c r="E831" s="18"/>
      <c r="F831" s="19"/>
      <c r="G831" s="18"/>
    </row>
    <row r="832">
      <c r="A832" s="18"/>
      <c r="B832" s="18"/>
      <c r="C832" s="18"/>
      <c r="D832" s="18"/>
      <c r="E832" s="18"/>
      <c r="F832" s="19"/>
      <c r="G832" s="18"/>
    </row>
    <row r="833">
      <c r="A833" s="18"/>
      <c r="B833" s="18"/>
      <c r="C833" s="18"/>
      <c r="D833" s="18"/>
      <c r="E833" s="18"/>
      <c r="F833" s="19"/>
      <c r="G833" s="18"/>
    </row>
    <row r="834">
      <c r="A834" s="18"/>
      <c r="B834" s="18"/>
      <c r="C834" s="18"/>
      <c r="D834" s="18"/>
      <c r="E834" s="18"/>
      <c r="F834" s="19"/>
      <c r="G834" s="18"/>
    </row>
    <row r="835">
      <c r="A835" s="18"/>
      <c r="B835" s="18"/>
      <c r="C835" s="18"/>
      <c r="D835" s="18"/>
      <c r="E835" s="18"/>
      <c r="F835" s="19"/>
      <c r="G835" s="18"/>
    </row>
    <row r="836">
      <c r="A836" s="18"/>
      <c r="B836" s="18"/>
      <c r="C836" s="18"/>
      <c r="D836" s="18"/>
      <c r="E836" s="18"/>
      <c r="F836" s="19"/>
      <c r="G836" s="18"/>
    </row>
    <row r="837">
      <c r="A837" s="18"/>
      <c r="B837" s="18"/>
      <c r="C837" s="18"/>
      <c r="D837" s="18"/>
      <c r="E837" s="18"/>
      <c r="F837" s="19"/>
      <c r="G837" s="18"/>
    </row>
    <row r="838">
      <c r="A838" s="18"/>
      <c r="B838" s="18"/>
      <c r="C838" s="18"/>
      <c r="D838" s="18"/>
      <c r="E838" s="18"/>
      <c r="F838" s="19"/>
      <c r="G838" s="18"/>
    </row>
    <row r="839">
      <c r="A839" s="18"/>
      <c r="B839" s="18"/>
      <c r="C839" s="18"/>
      <c r="D839" s="18"/>
      <c r="E839" s="18"/>
      <c r="F839" s="19"/>
      <c r="G839" s="18"/>
    </row>
    <row r="840">
      <c r="A840" s="18"/>
      <c r="B840" s="18"/>
      <c r="C840" s="18"/>
      <c r="D840" s="18"/>
      <c r="E840" s="18"/>
      <c r="F840" s="19"/>
      <c r="G840" s="18"/>
    </row>
    <row r="841">
      <c r="A841" s="18"/>
      <c r="B841" s="18"/>
      <c r="C841" s="18"/>
      <c r="D841" s="18"/>
      <c r="E841" s="18"/>
      <c r="F841" s="19"/>
      <c r="G841" s="18"/>
    </row>
    <row r="842">
      <c r="A842" s="18"/>
      <c r="B842" s="18"/>
      <c r="C842" s="18"/>
      <c r="D842" s="18"/>
      <c r="E842" s="18"/>
      <c r="F842" s="19"/>
      <c r="G842" s="18"/>
    </row>
    <row r="843">
      <c r="A843" s="18"/>
      <c r="B843" s="18"/>
      <c r="C843" s="18"/>
      <c r="D843" s="18"/>
      <c r="E843" s="18"/>
      <c r="F843" s="19"/>
      <c r="G843" s="18"/>
    </row>
    <row r="844">
      <c r="A844" s="18"/>
      <c r="B844" s="18"/>
      <c r="C844" s="18"/>
      <c r="D844" s="18"/>
      <c r="E844" s="18"/>
      <c r="F844" s="19"/>
      <c r="G844" s="18"/>
    </row>
    <row r="845">
      <c r="A845" s="18"/>
      <c r="B845" s="18"/>
      <c r="C845" s="18"/>
      <c r="D845" s="18"/>
      <c r="E845" s="18"/>
      <c r="F845" s="19"/>
      <c r="G845" s="18"/>
    </row>
    <row r="846">
      <c r="A846" s="18"/>
      <c r="B846" s="18"/>
      <c r="C846" s="18"/>
      <c r="D846" s="18"/>
      <c r="E846" s="18"/>
      <c r="F846" s="19"/>
      <c r="G846" s="18"/>
    </row>
    <row r="847">
      <c r="A847" s="18"/>
      <c r="B847" s="18"/>
      <c r="C847" s="18"/>
      <c r="D847" s="18"/>
      <c r="E847" s="18"/>
      <c r="F847" s="19"/>
      <c r="G847" s="18"/>
    </row>
    <row r="848">
      <c r="A848" s="18"/>
      <c r="B848" s="18"/>
      <c r="C848" s="18"/>
      <c r="D848" s="18"/>
      <c r="E848" s="18"/>
      <c r="F848" s="19"/>
      <c r="G848" s="18"/>
    </row>
    <row r="849">
      <c r="A849" s="18"/>
      <c r="B849" s="18"/>
      <c r="C849" s="18"/>
      <c r="D849" s="18"/>
      <c r="E849" s="18"/>
      <c r="F849" s="19"/>
      <c r="G849" s="18"/>
    </row>
    <row r="850">
      <c r="A850" s="18"/>
      <c r="B850" s="18"/>
      <c r="C850" s="18"/>
      <c r="D850" s="18"/>
      <c r="E850" s="18"/>
      <c r="F850" s="19"/>
      <c r="G850" s="18"/>
    </row>
    <row r="851">
      <c r="A851" s="18"/>
      <c r="B851" s="18"/>
      <c r="C851" s="18"/>
      <c r="D851" s="18"/>
      <c r="E851" s="18"/>
      <c r="F851" s="19"/>
      <c r="G851" s="18"/>
    </row>
    <row r="852">
      <c r="A852" s="18"/>
      <c r="B852" s="18"/>
      <c r="C852" s="18"/>
      <c r="D852" s="18"/>
      <c r="E852" s="18"/>
      <c r="F852" s="19"/>
      <c r="G852" s="18"/>
    </row>
    <row r="853">
      <c r="A853" s="18"/>
      <c r="B853" s="18"/>
      <c r="C853" s="18"/>
      <c r="D853" s="18"/>
      <c r="E853" s="18"/>
      <c r="F853" s="19"/>
      <c r="G853" s="18"/>
    </row>
    <row r="854">
      <c r="A854" s="18"/>
      <c r="B854" s="18"/>
      <c r="C854" s="18"/>
      <c r="D854" s="18"/>
      <c r="E854" s="18"/>
      <c r="F854" s="19"/>
      <c r="G854" s="18"/>
    </row>
    <row r="855">
      <c r="A855" s="18"/>
      <c r="B855" s="18"/>
      <c r="C855" s="18"/>
      <c r="D855" s="18"/>
      <c r="E855" s="18"/>
      <c r="F855" s="19"/>
      <c r="G855" s="18"/>
    </row>
    <row r="856">
      <c r="A856" s="18"/>
      <c r="B856" s="18"/>
      <c r="C856" s="18"/>
      <c r="D856" s="18"/>
      <c r="E856" s="18"/>
      <c r="F856" s="19"/>
      <c r="G856" s="18"/>
    </row>
    <row r="857">
      <c r="A857" s="18"/>
      <c r="B857" s="18"/>
      <c r="C857" s="18"/>
      <c r="D857" s="18"/>
      <c r="E857" s="18"/>
      <c r="F857" s="19"/>
      <c r="G857" s="18"/>
    </row>
    <row r="858">
      <c r="A858" s="18"/>
      <c r="B858" s="18"/>
      <c r="C858" s="18"/>
      <c r="D858" s="18"/>
      <c r="E858" s="18"/>
      <c r="F858" s="19"/>
      <c r="G858" s="18"/>
    </row>
    <row r="859">
      <c r="A859" s="18"/>
      <c r="B859" s="18"/>
      <c r="C859" s="18"/>
      <c r="D859" s="18"/>
      <c r="E859" s="18"/>
      <c r="F859" s="19"/>
      <c r="G859" s="18"/>
    </row>
    <row r="860">
      <c r="A860" s="18"/>
      <c r="B860" s="18"/>
      <c r="C860" s="18"/>
      <c r="D860" s="18"/>
      <c r="E860" s="18"/>
      <c r="F860" s="19"/>
      <c r="G860" s="18"/>
    </row>
    <row r="861">
      <c r="A861" s="18"/>
      <c r="B861" s="18"/>
      <c r="C861" s="18"/>
      <c r="D861" s="18"/>
      <c r="E861" s="18"/>
      <c r="F861" s="19"/>
      <c r="G861" s="18"/>
    </row>
    <row r="862">
      <c r="A862" s="18"/>
      <c r="B862" s="18"/>
      <c r="C862" s="18"/>
      <c r="D862" s="18"/>
      <c r="E862" s="18"/>
      <c r="F862" s="19"/>
      <c r="G862" s="18"/>
    </row>
    <row r="863">
      <c r="A863" s="18"/>
      <c r="B863" s="18"/>
      <c r="C863" s="18"/>
      <c r="D863" s="18"/>
      <c r="E863" s="18"/>
      <c r="F863" s="19"/>
      <c r="G863" s="18"/>
    </row>
    <row r="864">
      <c r="A864" s="18"/>
      <c r="B864" s="18"/>
      <c r="C864" s="18"/>
      <c r="D864" s="18"/>
      <c r="E864" s="18"/>
      <c r="F864" s="19"/>
      <c r="G864" s="18"/>
    </row>
    <row r="865">
      <c r="A865" s="18"/>
      <c r="B865" s="18"/>
      <c r="C865" s="18"/>
      <c r="D865" s="18"/>
      <c r="E865" s="18"/>
      <c r="F865" s="19"/>
      <c r="G865" s="18"/>
    </row>
    <row r="866">
      <c r="A866" s="18"/>
      <c r="B866" s="18"/>
      <c r="C866" s="18"/>
      <c r="D866" s="18"/>
      <c r="E866" s="18"/>
      <c r="F866" s="19"/>
      <c r="G866" s="18"/>
    </row>
    <row r="867">
      <c r="A867" s="18"/>
      <c r="B867" s="18"/>
      <c r="C867" s="18"/>
      <c r="D867" s="18"/>
      <c r="E867" s="18"/>
      <c r="F867" s="19"/>
      <c r="G867" s="18"/>
    </row>
    <row r="868">
      <c r="A868" s="18"/>
      <c r="B868" s="18"/>
      <c r="C868" s="18"/>
      <c r="D868" s="18"/>
      <c r="E868" s="18"/>
      <c r="F868" s="19"/>
      <c r="G868" s="18"/>
    </row>
    <row r="869">
      <c r="A869" s="18"/>
      <c r="B869" s="18"/>
      <c r="C869" s="18"/>
      <c r="D869" s="18"/>
      <c r="E869" s="18"/>
      <c r="F869" s="19"/>
      <c r="G869" s="18"/>
    </row>
    <row r="870">
      <c r="A870" s="18"/>
      <c r="B870" s="18"/>
      <c r="C870" s="18"/>
      <c r="D870" s="18"/>
      <c r="E870" s="18"/>
      <c r="F870" s="19"/>
      <c r="G870" s="18"/>
    </row>
    <row r="871">
      <c r="A871" s="18"/>
      <c r="B871" s="18"/>
      <c r="C871" s="18"/>
      <c r="D871" s="18"/>
      <c r="E871" s="18"/>
      <c r="F871" s="19"/>
      <c r="G871" s="18"/>
    </row>
    <row r="872">
      <c r="A872" s="18"/>
      <c r="B872" s="18"/>
      <c r="C872" s="18"/>
      <c r="D872" s="18"/>
      <c r="E872" s="18"/>
      <c r="F872" s="19"/>
      <c r="G872" s="18"/>
    </row>
    <row r="873">
      <c r="A873" s="18"/>
      <c r="B873" s="18"/>
      <c r="C873" s="18"/>
      <c r="D873" s="18"/>
      <c r="E873" s="18"/>
      <c r="F873" s="19"/>
      <c r="G873" s="18"/>
    </row>
    <row r="874">
      <c r="A874" s="18"/>
      <c r="B874" s="18"/>
      <c r="C874" s="18"/>
      <c r="D874" s="18"/>
      <c r="E874" s="18"/>
      <c r="F874" s="19"/>
      <c r="G874" s="18"/>
    </row>
    <row r="875">
      <c r="A875" s="18"/>
      <c r="B875" s="18"/>
      <c r="C875" s="18"/>
      <c r="D875" s="18"/>
      <c r="E875" s="18"/>
      <c r="F875" s="19"/>
      <c r="G875" s="18"/>
    </row>
    <row r="876">
      <c r="A876" s="18"/>
      <c r="B876" s="18"/>
      <c r="C876" s="18"/>
      <c r="D876" s="18"/>
      <c r="E876" s="18"/>
      <c r="F876" s="19"/>
      <c r="G876" s="18"/>
    </row>
    <row r="877">
      <c r="A877" s="18"/>
      <c r="B877" s="18"/>
      <c r="C877" s="18"/>
      <c r="D877" s="18"/>
      <c r="E877" s="18"/>
      <c r="F877" s="19"/>
      <c r="G877" s="18"/>
    </row>
    <row r="878">
      <c r="A878" s="18"/>
      <c r="B878" s="18"/>
      <c r="C878" s="18"/>
      <c r="D878" s="18"/>
      <c r="E878" s="18"/>
      <c r="F878" s="19"/>
      <c r="G878" s="18"/>
    </row>
    <row r="879">
      <c r="A879" s="18"/>
      <c r="B879" s="18"/>
      <c r="C879" s="18"/>
      <c r="D879" s="18"/>
      <c r="E879" s="18"/>
      <c r="F879" s="19"/>
      <c r="G879" s="18"/>
    </row>
    <row r="880">
      <c r="A880" s="18"/>
      <c r="B880" s="18"/>
      <c r="C880" s="18"/>
      <c r="D880" s="18"/>
      <c r="E880" s="18"/>
      <c r="F880" s="19"/>
      <c r="G880" s="18"/>
    </row>
    <row r="881">
      <c r="A881" s="18"/>
      <c r="B881" s="18"/>
      <c r="C881" s="18"/>
      <c r="D881" s="18"/>
      <c r="E881" s="18"/>
      <c r="F881" s="19"/>
      <c r="G881" s="18"/>
    </row>
    <row r="882">
      <c r="A882" s="18"/>
      <c r="B882" s="18"/>
      <c r="C882" s="18"/>
      <c r="D882" s="18"/>
      <c r="E882" s="18"/>
      <c r="F882" s="19"/>
      <c r="G882" s="18"/>
    </row>
    <row r="883">
      <c r="A883" s="18"/>
      <c r="B883" s="18"/>
      <c r="C883" s="18"/>
      <c r="D883" s="18"/>
      <c r="E883" s="18"/>
      <c r="F883" s="19"/>
      <c r="G883" s="18"/>
    </row>
    <row r="884">
      <c r="A884" s="18"/>
      <c r="B884" s="18"/>
      <c r="C884" s="18"/>
      <c r="D884" s="18"/>
      <c r="E884" s="18"/>
      <c r="F884" s="19"/>
      <c r="G884" s="18"/>
    </row>
    <row r="885">
      <c r="A885" s="18"/>
      <c r="B885" s="18"/>
      <c r="C885" s="18"/>
      <c r="D885" s="18"/>
      <c r="E885" s="18"/>
      <c r="F885" s="19"/>
      <c r="G885" s="18"/>
    </row>
    <row r="886">
      <c r="A886" s="18"/>
      <c r="B886" s="18"/>
      <c r="C886" s="18"/>
      <c r="D886" s="18"/>
      <c r="E886" s="18"/>
      <c r="F886" s="19"/>
      <c r="G886" s="18"/>
    </row>
    <row r="887">
      <c r="A887" s="18"/>
      <c r="B887" s="18"/>
      <c r="C887" s="18"/>
      <c r="D887" s="18"/>
      <c r="E887" s="18"/>
      <c r="F887" s="19"/>
      <c r="G887" s="18"/>
    </row>
    <row r="888">
      <c r="A888" s="18"/>
      <c r="B888" s="18"/>
      <c r="C888" s="18"/>
      <c r="D888" s="18"/>
      <c r="E888" s="18"/>
      <c r="F888" s="19"/>
      <c r="G888" s="18"/>
    </row>
    <row r="889">
      <c r="A889" s="18"/>
      <c r="B889" s="18"/>
      <c r="C889" s="18"/>
      <c r="D889" s="18"/>
      <c r="E889" s="18"/>
      <c r="F889" s="19"/>
      <c r="G889" s="18"/>
    </row>
    <row r="890">
      <c r="A890" s="18"/>
      <c r="B890" s="18"/>
      <c r="C890" s="18"/>
      <c r="D890" s="18"/>
      <c r="E890" s="18"/>
      <c r="F890" s="19"/>
      <c r="G890" s="18"/>
    </row>
    <row r="891">
      <c r="A891" s="18"/>
      <c r="B891" s="18"/>
      <c r="C891" s="18"/>
      <c r="D891" s="18"/>
      <c r="E891" s="18"/>
      <c r="F891" s="19"/>
      <c r="G891" s="18"/>
    </row>
    <row r="892">
      <c r="A892" s="18"/>
      <c r="B892" s="18"/>
      <c r="C892" s="18"/>
      <c r="D892" s="18"/>
      <c r="E892" s="18"/>
      <c r="F892" s="19"/>
      <c r="G892" s="18"/>
    </row>
    <row r="893">
      <c r="A893" s="18"/>
      <c r="B893" s="18"/>
      <c r="C893" s="18"/>
      <c r="D893" s="18"/>
      <c r="E893" s="18"/>
      <c r="F893" s="19"/>
      <c r="G893" s="18"/>
    </row>
    <row r="894">
      <c r="A894" s="18"/>
      <c r="B894" s="18"/>
      <c r="C894" s="18"/>
      <c r="D894" s="18"/>
      <c r="E894" s="18"/>
      <c r="F894" s="19"/>
      <c r="G894" s="18"/>
    </row>
    <row r="895">
      <c r="A895" s="18"/>
      <c r="B895" s="18"/>
      <c r="C895" s="18"/>
      <c r="D895" s="18"/>
      <c r="E895" s="18"/>
      <c r="F895" s="19"/>
      <c r="G895" s="18"/>
    </row>
    <row r="896">
      <c r="A896" s="18"/>
      <c r="B896" s="18"/>
      <c r="C896" s="18"/>
      <c r="D896" s="18"/>
      <c r="E896" s="18"/>
      <c r="F896" s="19"/>
      <c r="G896" s="18"/>
    </row>
    <row r="897">
      <c r="A897" s="18"/>
      <c r="B897" s="18"/>
      <c r="C897" s="18"/>
      <c r="D897" s="18"/>
      <c r="E897" s="18"/>
      <c r="F897" s="19"/>
      <c r="G897" s="18"/>
    </row>
    <row r="898">
      <c r="A898" s="18"/>
      <c r="B898" s="18"/>
      <c r="C898" s="18"/>
      <c r="D898" s="18"/>
      <c r="E898" s="18"/>
      <c r="F898" s="19"/>
      <c r="G898" s="18"/>
    </row>
    <row r="899">
      <c r="A899" s="18"/>
      <c r="B899" s="18"/>
      <c r="C899" s="18"/>
      <c r="D899" s="18"/>
      <c r="E899" s="18"/>
      <c r="F899" s="19"/>
      <c r="G899" s="18"/>
    </row>
    <row r="900">
      <c r="A900" s="18"/>
      <c r="B900" s="18"/>
      <c r="C900" s="18"/>
      <c r="D900" s="18"/>
      <c r="E900" s="18"/>
      <c r="F900" s="19"/>
      <c r="G900" s="18"/>
    </row>
    <row r="901">
      <c r="A901" s="18"/>
      <c r="B901" s="18"/>
      <c r="C901" s="18"/>
      <c r="D901" s="18"/>
      <c r="E901" s="18"/>
      <c r="F901" s="19"/>
      <c r="G901" s="18"/>
    </row>
    <row r="902">
      <c r="A902" s="18"/>
      <c r="B902" s="18"/>
      <c r="C902" s="18"/>
      <c r="D902" s="18"/>
      <c r="E902" s="18"/>
      <c r="F902" s="19"/>
      <c r="G902" s="18"/>
    </row>
    <row r="903">
      <c r="A903" s="18"/>
      <c r="B903" s="18"/>
      <c r="C903" s="18"/>
      <c r="D903" s="18"/>
      <c r="E903" s="18"/>
      <c r="F903" s="19"/>
      <c r="G903" s="18"/>
    </row>
    <row r="904">
      <c r="A904" s="18"/>
      <c r="B904" s="18"/>
      <c r="C904" s="18"/>
      <c r="D904" s="18"/>
      <c r="E904" s="18"/>
      <c r="F904" s="19"/>
      <c r="G904" s="18"/>
    </row>
    <row r="905">
      <c r="A905" s="18"/>
      <c r="B905" s="18"/>
      <c r="C905" s="18"/>
      <c r="D905" s="18"/>
      <c r="E905" s="18"/>
      <c r="F905" s="19"/>
      <c r="G905" s="18"/>
    </row>
    <row r="906">
      <c r="A906" s="18"/>
      <c r="B906" s="18"/>
      <c r="C906" s="18"/>
      <c r="D906" s="18"/>
      <c r="E906" s="18"/>
      <c r="F906" s="19"/>
      <c r="G906" s="18"/>
    </row>
    <row r="907">
      <c r="A907" s="18"/>
      <c r="B907" s="18"/>
      <c r="C907" s="18"/>
      <c r="D907" s="18"/>
      <c r="E907" s="18"/>
      <c r="F907" s="19"/>
      <c r="G907" s="18"/>
    </row>
    <row r="908">
      <c r="A908" s="18"/>
      <c r="B908" s="18"/>
      <c r="C908" s="18"/>
      <c r="D908" s="18"/>
      <c r="E908" s="18"/>
      <c r="F908" s="19"/>
      <c r="G908" s="18"/>
    </row>
    <row r="909">
      <c r="A909" s="18"/>
      <c r="B909" s="18"/>
      <c r="C909" s="18"/>
      <c r="D909" s="18"/>
      <c r="E909" s="18"/>
      <c r="F909" s="19"/>
      <c r="G909" s="18"/>
    </row>
    <row r="910">
      <c r="A910" s="18"/>
      <c r="B910" s="18"/>
      <c r="C910" s="18"/>
      <c r="D910" s="18"/>
      <c r="E910" s="18"/>
      <c r="F910" s="19"/>
      <c r="G910" s="18"/>
    </row>
    <row r="911">
      <c r="A911" s="18"/>
      <c r="B911" s="18"/>
      <c r="C911" s="18"/>
      <c r="D911" s="18"/>
      <c r="E911" s="18"/>
      <c r="F911" s="19"/>
      <c r="G911" s="18"/>
    </row>
    <row r="912">
      <c r="A912" s="18"/>
      <c r="B912" s="18"/>
      <c r="C912" s="18"/>
      <c r="D912" s="18"/>
      <c r="E912" s="18"/>
      <c r="F912" s="19"/>
      <c r="G912" s="18"/>
    </row>
    <row r="913">
      <c r="A913" s="18"/>
      <c r="B913" s="18"/>
      <c r="C913" s="18"/>
      <c r="D913" s="18"/>
      <c r="E913" s="18"/>
      <c r="F913" s="19"/>
      <c r="G913" s="18"/>
    </row>
    <row r="914">
      <c r="A914" s="18"/>
      <c r="B914" s="18"/>
      <c r="C914" s="18"/>
      <c r="D914" s="18"/>
      <c r="E914" s="18"/>
      <c r="F914" s="19"/>
      <c r="G914" s="18"/>
    </row>
    <row r="915">
      <c r="A915" s="18"/>
      <c r="B915" s="18"/>
      <c r="C915" s="18"/>
      <c r="D915" s="18"/>
      <c r="E915" s="18"/>
      <c r="F915" s="19"/>
      <c r="G915" s="18"/>
    </row>
    <row r="916">
      <c r="A916" s="18"/>
      <c r="B916" s="18"/>
      <c r="C916" s="18"/>
      <c r="D916" s="18"/>
      <c r="E916" s="18"/>
      <c r="F916" s="19"/>
      <c r="G916" s="18"/>
    </row>
    <row r="917">
      <c r="A917" s="18"/>
      <c r="B917" s="18"/>
      <c r="C917" s="18"/>
      <c r="D917" s="18"/>
      <c r="E917" s="18"/>
      <c r="F917" s="19"/>
      <c r="G917" s="18"/>
    </row>
    <row r="918">
      <c r="A918" s="18"/>
      <c r="B918" s="18"/>
      <c r="C918" s="18"/>
      <c r="D918" s="18"/>
      <c r="E918" s="18"/>
      <c r="F918" s="19"/>
      <c r="G918" s="18"/>
    </row>
    <row r="919">
      <c r="A919" s="18"/>
      <c r="B919" s="18"/>
      <c r="C919" s="18"/>
      <c r="D919" s="18"/>
      <c r="E919" s="18"/>
      <c r="F919" s="19"/>
      <c r="G919" s="18"/>
    </row>
    <row r="920">
      <c r="A920" s="18"/>
      <c r="B920" s="18"/>
      <c r="C920" s="18"/>
      <c r="D920" s="18"/>
      <c r="E920" s="18"/>
      <c r="F920" s="19"/>
      <c r="G920" s="18"/>
    </row>
    <row r="921">
      <c r="A921" s="18"/>
      <c r="B921" s="18"/>
      <c r="C921" s="18"/>
      <c r="D921" s="18"/>
      <c r="E921" s="18"/>
      <c r="F921" s="19"/>
      <c r="G921" s="18"/>
    </row>
    <row r="922">
      <c r="A922" s="18"/>
      <c r="B922" s="18"/>
      <c r="C922" s="18"/>
      <c r="D922" s="18"/>
      <c r="E922" s="18"/>
      <c r="F922" s="19"/>
      <c r="G922" s="18"/>
    </row>
    <row r="923">
      <c r="A923" s="18"/>
      <c r="B923" s="18"/>
      <c r="C923" s="18"/>
      <c r="D923" s="18"/>
      <c r="E923" s="18"/>
      <c r="F923" s="19"/>
      <c r="G923" s="18"/>
    </row>
    <row r="924">
      <c r="A924" s="18"/>
      <c r="B924" s="18"/>
      <c r="C924" s="18"/>
      <c r="D924" s="18"/>
      <c r="E924" s="18"/>
      <c r="F924" s="19"/>
      <c r="G924" s="18"/>
    </row>
    <row r="925">
      <c r="A925" s="18"/>
      <c r="B925" s="18"/>
      <c r="C925" s="18"/>
      <c r="D925" s="18"/>
      <c r="E925" s="18"/>
      <c r="F925" s="19"/>
      <c r="G925" s="18"/>
    </row>
    <row r="926">
      <c r="A926" s="18"/>
      <c r="B926" s="18"/>
      <c r="C926" s="18"/>
      <c r="D926" s="18"/>
      <c r="E926" s="18"/>
      <c r="F926" s="19"/>
      <c r="G926" s="18"/>
    </row>
    <row r="927">
      <c r="A927" s="18"/>
      <c r="B927" s="18"/>
      <c r="C927" s="18"/>
      <c r="D927" s="18"/>
      <c r="E927" s="18"/>
      <c r="F927" s="19"/>
      <c r="G927" s="18"/>
    </row>
    <row r="928">
      <c r="A928" s="18"/>
      <c r="B928" s="18"/>
      <c r="C928" s="18"/>
      <c r="D928" s="18"/>
      <c r="E928" s="18"/>
      <c r="F928" s="19"/>
      <c r="G928" s="18"/>
    </row>
    <row r="929">
      <c r="A929" s="18"/>
      <c r="B929" s="18"/>
      <c r="C929" s="18"/>
      <c r="D929" s="18"/>
      <c r="E929" s="18"/>
      <c r="F929" s="19"/>
      <c r="G929" s="18"/>
    </row>
    <row r="930">
      <c r="A930" s="18"/>
      <c r="B930" s="18"/>
      <c r="C930" s="18"/>
      <c r="D930" s="18"/>
      <c r="E930" s="18"/>
      <c r="F930" s="19"/>
      <c r="G930" s="18"/>
    </row>
    <row r="931">
      <c r="A931" s="18"/>
      <c r="B931" s="18"/>
      <c r="C931" s="18"/>
      <c r="D931" s="18"/>
      <c r="E931" s="18"/>
      <c r="F931" s="19"/>
      <c r="G931" s="18"/>
    </row>
    <row r="932">
      <c r="A932" s="18"/>
      <c r="B932" s="18"/>
      <c r="C932" s="18"/>
      <c r="D932" s="18"/>
      <c r="E932" s="18"/>
      <c r="F932" s="19"/>
      <c r="G932" s="18"/>
    </row>
    <row r="933">
      <c r="A933" s="18"/>
      <c r="B933" s="18"/>
      <c r="C933" s="18"/>
      <c r="D933" s="18"/>
      <c r="E933" s="18"/>
      <c r="F933" s="19"/>
      <c r="G933" s="18"/>
    </row>
    <row r="934">
      <c r="A934" s="18"/>
      <c r="B934" s="18"/>
      <c r="C934" s="18"/>
      <c r="D934" s="18"/>
      <c r="E934" s="18"/>
      <c r="F934" s="19"/>
      <c r="G934" s="18"/>
    </row>
    <row r="935">
      <c r="A935" s="18"/>
      <c r="B935" s="18"/>
      <c r="C935" s="18"/>
      <c r="D935" s="18"/>
      <c r="E935" s="18"/>
      <c r="F935" s="19"/>
      <c r="G935" s="18"/>
    </row>
    <row r="936">
      <c r="A936" s="18"/>
      <c r="B936" s="18"/>
      <c r="C936" s="18"/>
      <c r="D936" s="18"/>
      <c r="E936" s="18"/>
      <c r="F936" s="19"/>
      <c r="G936" s="18"/>
    </row>
    <row r="937">
      <c r="A937" s="18"/>
      <c r="B937" s="18"/>
      <c r="C937" s="18"/>
      <c r="D937" s="18"/>
      <c r="E937" s="18"/>
      <c r="F937" s="19"/>
      <c r="G937" s="18"/>
    </row>
    <row r="938">
      <c r="A938" s="18"/>
      <c r="B938" s="18"/>
      <c r="C938" s="18"/>
      <c r="D938" s="18"/>
      <c r="E938" s="18"/>
      <c r="F938" s="19"/>
      <c r="G938" s="18"/>
    </row>
    <row r="939">
      <c r="A939" s="18"/>
      <c r="B939" s="18"/>
      <c r="C939" s="18"/>
      <c r="D939" s="18"/>
      <c r="E939" s="18"/>
      <c r="F939" s="19"/>
      <c r="G939" s="18"/>
    </row>
    <row r="940">
      <c r="A940" s="18"/>
      <c r="B940" s="18"/>
      <c r="C940" s="18"/>
      <c r="D940" s="18"/>
      <c r="E940" s="18"/>
      <c r="F940" s="19"/>
      <c r="G940" s="18"/>
    </row>
    <row r="941">
      <c r="A941" s="18"/>
      <c r="B941" s="18"/>
      <c r="C941" s="18"/>
      <c r="D941" s="18"/>
      <c r="E941" s="18"/>
      <c r="F941" s="19"/>
      <c r="G941" s="18"/>
    </row>
    <row r="942">
      <c r="A942" s="18"/>
      <c r="B942" s="18"/>
      <c r="C942" s="18"/>
      <c r="D942" s="18"/>
      <c r="E942" s="18"/>
      <c r="F942" s="19"/>
      <c r="G942" s="18"/>
    </row>
    <row r="943">
      <c r="A943" s="18"/>
      <c r="B943" s="18"/>
      <c r="C943" s="18"/>
      <c r="D943" s="18"/>
      <c r="E943" s="18"/>
      <c r="F943" s="19"/>
      <c r="G943" s="18"/>
    </row>
    <row r="944">
      <c r="A944" s="18"/>
      <c r="B944" s="18"/>
      <c r="C944" s="18"/>
      <c r="D944" s="18"/>
      <c r="E944" s="18"/>
      <c r="F944" s="19"/>
      <c r="G944" s="18"/>
    </row>
    <row r="945">
      <c r="A945" s="18"/>
      <c r="B945" s="18"/>
      <c r="C945" s="18"/>
      <c r="D945" s="18"/>
      <c r="E945" s="18"/>
      <c r="F945" s="19"/>
      <c r="G945" s="18"/>
    </row>
    <row r="946">
      <c r="A946" s="18"/>
      <c r="B946" s="18"/>
      <c r="C946" s="18"/>
      <c r="D946" s="18"/>
      <c r="E946" s="18"/>
      <c r="F946" s="19"/>
      <c r="G946" s="18"/>
    </row>
    <row r="947">
      <c r="A947" s="18"/>
      <c r="B947" s="18"/>
      <c r="C947" s="18"/>
      <c r="D947" s="18"/>
      <c r="E947" s="18"/>
      <c r="F947" s="19"/>
      <c r="G947" s="18"/>
    </row>
    <row r="948">
      <c r="A948" s="18"/>
      <c r="B948" s="18"/>
      <c r="C948" s="18"/>
      <c r="D948" s="18"/>
      <c r="E948" s="18"/>
      <c r="F948" s="19"/>
      <c r="G948" s="18"/>
    </row>
    <row r="949">
      <c r="A949" s="18"/>
      <c r="B949" s="18"/>
      <c r="C949" s="18"/>
      <c r="D949" s="18"/>
      <c r="E949" s="18"/>
      <c r="F949" s="19"/>
      <c r="G949" s="18"/>
    </row>
    <row r="950">
      <c r="A950" s="18"/>
      <c r="B950" s="18"/>
      <c r="C950" s="18"/>
      <c r="D950" s="18"/>
      <c r="E950" s="18"/>
      <c r="F950" s="19"/>
      <c r="G950" s="18"/>
    </row>
    <row r="951">
      <c r="A951" s="18"/>
      <c r="B951" s="18"/>
      <c r="C951" s="18"/>
      <c r="D951" s="18"/>
      <c r="E951" s="18"/>
      <c r="F951" s="19"/>
      <c r="G951" s="18"/>
    </row>
    <row r="952">
      <c r="A952" s="18"/>
      <c r="B952" s="18"/>
      <c r="C952" s="18"/>
      <c r="D952" s="18"/>
      <c r="E952" s="18"/>
      <c r="F952" s="19"/>
      <c r="G952" s="18"/>
    </row>
    <row r="953">
      <c r="A953" s="18"/>
      <c r="B953" s="18"/>
      <c r="C953" s="18"/>
      <c r="D953" s="18"/>
      <c r="E953" s="18"/>
      <c r="F953" s="19"/>
      <c r="G953" s="18"/>
    </row>
    <row r="954">
      <c r="A954" s="18"/>
      <c r="B954" s="18"/>
      <c r="C954" s="18"/>
      <c r="D954" s="18"/>
      <c r="E954" s="18"/>
      <c r="F954" s="19"/>
      <c r="G954" s="18"/>
    </row>
    <row r="955">
      <c r="A955" s="18"/>
      <c r="B955" s="18"/>
      <c r="C955" s="18"/>
      <c r="D955" s="18"/>
      <c r="E955" s="18"/>
      <c r="F955" s="19"/>
      <c r="G955" s="18"/>
    </row>
    <row r="956">
      <c r="A956" s="18"/>
      <c r="B956" s="18"/>
      <c r="C956" s="18"/>
      <c r="D956" s="18"/>
      <c r="E956" s="18"/>
      <c r="F956" s="19"/>
      <c r="G956" s="18"/>
    </row>
    <row r="957">
      <c r="A957" s="18"/>
      <c r="B957" s="18"/>
      <c r="C957" s="18"/>
      <c r="D957" s="18"/>
      <c r="E957" s="18"/>
      <c r="F957" s="19"/>
      <c r="G957" s="18"/>
    </row>
    <row r="958">
      <c r="A958" s="18"/>
      <c r="B958" s="18"/>
      <c r="C958" s="18"/>
      <c r="D958" s="18"/>
      <c r="E958" s="18"/>
      <c r="F958" s="19"/>
      <c r="G958" s="18"/>
    </row>
    <row r="959">
      <c r="A959" s="18"/>
      <c r="B959" s="18"/>
      <c r="C959" s="18"/>
      <c r="D959" s="18"/>
      <c r="E959" s="18"/>
      <c r="F959" s="19"/>
      <c r="G959" s="18"/>
    </row>
    <row r="960">
      <c r="A960" s="18"/>
      <c r="B960" s="18"/>
      <c r="C960" s="18"/>
      <c r="D960" s="18"/>
      <c r="E960" s="18"/>
      <c r="F960" s="19"/>
      <c r="G960" s="18"/>
    </row>
    <row r="961">
      <c r="A961" s="18"/>
      <c r="B961" s="18"/>
      <c r="C961" s="18"/>
      <c r="D961" s="18"/>
      <c r="E961" s="18"/>
      <c r="F961" s="19"/>
      <c r="G961" s="18"/>
    </row>
    <row r="962">
      <c r="A962" s="18"/>
      <c r="B962" s="18"/>
      <c r="C962" s="18"/>
      <c r="D962" s="18"/>
      <c r="E962" s="18"/>
      <c r="F962" s="19"/>
      <c r="G962" s="18"/>
    </row>
    <row r="963">
      <c r="A963" s="18"/>
      <c r="B963" s="18"/>
      <c r="C963" s="18"/>
      <c r="D963" s="18"/>
      <c r="E963" s="18"/>
      <c r="F963" s="19"/>
      <c r="G963" s="18"/>
    </row>
    <row r="964">
      <c r="A964" s="18"/>
      <c r="B964" s="18"/>
      <c r="C964" s="18"/>
      <c r="D964" s="18"/>
      <c r="E964" s="18"/>
      <c r="F964" s="19"/>
      <c r="G964" s="18"/>
    </row>
    <row r="965">
      <c r="A965" s="18"/>
      <c r="B965" s="18"/>
      <c r="C965" s="18"/>
      <c r="D965" s="18"/>
      <c r="E965" s="18"/>
      <c r="F965" s="19"/>
      <c r="G965" s="18"/>
    </row>
    <row r="966">
      <c r="A966" s="18"/>
      <c r="B966" s="18"/>
      <c r="C966" s="18"/>
      <c r="D966" s="18"/>
      <c r="E966" s="18"/>
      <c r="F966" s="19"/>
      <c r="G966" s="18"/>
    </row>
    <row r="967">
      <c r="A967" s="18"/>
      <c r="B967" s="18"/>
      <c r="C967" s="18"/>
      <c r="D967" s="18"/>
      <c r="E967" s="18"/>
      <c r="F967" s="19"/>
      <c r="G967" s="18"/>
    </row>
    <row r="968">
      <c r="A968" s="18"/>
      <c r="B968" s="18"/>
      <c r="C968" s="18"/>
      <c r="D968" s="18"/>
      <c r="E968" s="18"/>
      <c r="F968" s="19"/>
      <c r="G968" s="18"/>
    </row>
    <row r="969">
      <c r="A969" s="18"/>
      <c r="B969" s="18"/>
      <c r="C969" s="18"/>
      <c r="D969" s="18"/>
      <c r="E969" s="18"/>
      <c r="F969" s="19"/>
      <c r="G969" s="18"/>
    </row>
    <row r="970">
      <c r="A970" s="18"/>
      <c r="B970" s="18"/>
      <c r="C970" s="18"/>
      <c r="D970" s="18"/>
      <c r="E970" s="18"/>
      <c r="F970" s="19"/>
      <c r="G970" s="18"/>
    </row>
    <row r="971">
      <c r="A971" s="18"/>
      <c r="B971" s="18"/>
      <c r="C971" s="18"/>
      <c r="D971" s="18"/>
      <c r="E971" s="18"/>
      <c r="F971" s="19"/>
      <c r="G971" s="18"/>
    </row>
    <row r="972">
      <c r="A972" s="18"/>
      <c r="B972" s="18"/>
      <c r="C972" s="18"/>
      <c r="D972" s="18"/>
      <c r="E972" s="18"/>
      <c r="F972" s="19"/>
      <c r="G972" s="18"/>
    </row>
    <row r="973">
      <c r="A973" s="18"/>
      <c r="B973" s="18"/>
      <c r="C973" s="18"/>
      <c r="D973" s="18"/>
      <c r="E973" s="18"/>
      <c r="F973" s="19"/>
      <c r="G973" s="18"/>
    </row>
    <row r="974">
      <c r="A974" s="18"/>
      <c r="B974" s="18"/>
      <c r="C974" s="18"/>
      <c r="D974" s="18"/>
      <c r="E974" s="18"/>
      <c r="F974" s="19"/>
      <c r="G974" s="18"/>
    </row>
    <row r="975">
      <c r="A975" s="18"/>
      <c r="B975" s="18"/>
      <c r="C975" s="18"/>
      <c r="D975" s="18"/>
      <c r="E975" s="18"/>
      <c r="F975" s="19"/>
      <c r="G975" s="18"/>
    </row>
    <row r="976">
      <c r="A976" s="18"/>
      <c r="B976" s="18"/>
      <c r="C976" s="18"/>
      <c r="D976" s="18"/>
      <c r="E976" s="18"/>
      <c r="F976" s="19"/>
      <c r="G976" s="18"/>
    </row>
    <row r="977">
      <c r="A977" s="18"/>
      <c r="B977" s="18"/>
      <c r="C977" s="18"/>
      <c r="D977" s="18"/>
      <c r="E977" s="18"/>
      <c r="F977" s="19"/>
      <c r="G977" s="18"/>
    </row>
    <row r="978">
      <c r="A978" s="18"/>
      <c r="B978" s="18"/>
      <c r="C978" s="18"/>
      <c r="D978" s="18"/>
      <c r="E978" s="18"/>
      <c r="F978" s="19"/>
      <c r="G978" s="18"/>
    </row>
    <row r="979">
      <c r="A979" s="18"/>
      <c r="B979" s="18"/>
      <c r="C979" s="18"/>
      <c r="D979" s="18"/>
      <c r="E979" s="18"/>
      <c r="F979" s="19"/>
      <c r="G979" s="18"/>
    </row>
    <row r="980">
      <c r="A980" s="18"/>
      <c r="B980" s="18"/>
      <c r="C980" s="18"/>
      <c r="D980" s="18"/>
      <c r="E980" s="18"/>
      <c r="F980" s="19"/>
      <c r="G980" s="18"/>
    </row>
    <row r="981">
      <c r="A981" s="18"/>
      <c r="B981" s="18"/>
      <c r="C981" s="18"/>
      <c r="D981" s="18"/>
      <c r="E981" s="18"/>
      <c r="F981" s="19"/>
      <c r="G981" s="18"/>
    </row>
    <row r="982">
      <c r="A982" s="18"/>
      <c r="B982" s="18"/>
      <c r="C982" s="18"/>
      <c r="D982" s="18"/>
      <c r="E982" s="18"/>
      <c r="F982" s="19"/>
      <c r="G982" s="18"/>
    </row>
    <row r="983">
      <c r="A983" s="18"/>
      <c r="B983" s="18"/>
      <c r="C983" s="18"/>
      <c r="D983" s="18"/>
      <c r="E983" s="18"/>
      <c r="F983" s="19"/>
      <c r="G983" s="18"/>
    </row>
    <row r="984">
      <c r="A984" s="18"/>
      <c r="B984" s="18"/>
      <c r="C984" s="18"/>
      <c r="D984" s="18"/>
      <c r="E984" s="18"/>
      <c r="F984" s="19"/>
      <c r="G984" s="18"/>
    </row>
    <row r="985">
      <c r="A985" s="18"/>
      <c r="B985" s="18"/>
      <c r="C985" s="18"/>
      <c r="D985" s="18"/>
      <c r="E985" s="18"/>
      <c r="F985" s="19"/>
      <c r="G985" s="18"/>
    </row>
    <row r="986">
      <c r="A986" s="18"/>
      <c r="B986" s="18"/>
      <c r="C986" s="18"/>
      <c r="D986" s="18"/>
      <c r="E986" s="18"/>
      <c r="F986" s="19"/>
      <c r="G986" s="18"/>
    </row>
    <row r="987">
      <c r="A987" s="18"/>
      <c r="B987" s="18"/>
      <c r="C987" s="18"/>
      <c r="D987" s="18"/>
      <c r="E987" s="18"/>
      <c r="F987" s="19"/>
      <c r="G987" s="18"/>
    </row>
    <row r="988">
      <c r="A988" s="18"/>
      <c r="B988" s="18"/>
      <c r="C988" s="18"/>
      <c r="D988" s="18"/>
      <c r="E988" s="18"/>
      <c r="F988" s="19"/>
      <c r="G988" s="18"/>
    </row>
    <row r="989">
      <c r="A989" s="18"/>
      <c r="B989" s="18"/>
      <c r="C989" s="18"/>
      <c r="D989" s="18"/>
      <c r="E989" s="18"/>
      <c r="F989" s="19"/>
      <c r="G989" s="18"/>
    </row>
    <row r="990">
      <c r="A990" s="18"/>
      <c r="B990" s="18"/>
      <c r="C990" s="18"/>
      <c r="D990" s="18"/>
      <c r="E990" s="18"/>
      <c r="F990" s="19"/>
      <c r="G990" s="18"/>
    </row>
    <row r="991">
      <c r="A991" s="18"/>
      <c r="B991" s="18"/>
      <c r="C991" s="18"/>
      <c r="D991" s="18"/>
      <c r="E991" s="18"/>
      <c r="F991" s="19"/>
      <c r="G991" s="18"/>
    </row>
    <row r="992">
      <c r="A992" s="18"/>
      <c r="B992" s="18"/>
      <c r="C992" s="18"/>
      <c r="D992" s="18"/>
      <c r="E992" s="18"/>
      <c r="F992" s="19"/>
      <c r="G992" s="18"/>
    </row>
    <row r="993">
      <c r="A993" s="18"/>
      <c r="B993" s="18"/>
      <c r="C993" s="18"/>
      <c r="D993" s="18"/>
      <c r="E993" s="18"/>
      <c r="F993" s="19"/>
      <c r="G993" s="18"/>
    </row>
    <row r="994">
      <c r="A994" s="18"/>
      <c r="B994" s="18"/>
      <c r="C994" s="18"/>
      <c r="D994" s="18"/>
      <c r="E994" s="18"/>
      <c r="F994" s="19"/>
      <c r="G994" s="18"/>
    </row>
    <row r="995">
      <c r="A995" s="18"/>
      <c r="B995" s="18"/>
      <c r="C995" s="18"/>
      <c r="D995" s="18"/>
      <c r="E995" s="18"/>
      <c r="F995" s="19"/>
      <c r="G995" s="18"/>
    </row>
    <row r="996">
      <c r="A996" s="18"/>
      <c r="B996" s="18"/>
      <c r="C996" s="18"/>
      <c r="D996" s="18"/>
      <c r="E996" s="18"/>
      <c r="F996" s="19"/>
      <c r="G996" s="18"/>
    </row>
    <row r="997">
      <c r="A997" s="18"/>
      <c r="B997" s="18"/>
      <c r="C997" s="18"/>
      <c r="D997" s="18"/>
      <c r="E997" s="18"/>
      <c r="F997" s="19"/>
      <c r="G997" s="18"/>
    </row>
    <row r="998">
      <c r="A998" s="18"/>
      <c r="B998" s="18"/>
      <c r="C998" s="18"/>
      <c r="D998" s="18"/>
      <c r="E998" s="18"/>
      <c r="F998" s="19"/>
      <c r="G998" s="18"/>
    </row>
    <row r="999">
      <c r="A999" s="18"/>
      <c r="B999" s="18"/>
      <c r="C999" s="18"/>
      <c r="D999" s="18"/>
      <c r="E999" s="18"/>
      <c r="F999" s="19"/>
      <c r="G999" s="18"/>
    </row>
    <row r="1000">
      <c r="A1000" s="18"/>
      <c r="B1000" s="18"/>
      <c r="C1000" s="18"/>
      <c r="D1000" s="18"/>
      <c r="E1000" s="18"/>
      <c r="F1000" s="19"/>
      <c r="G1000" s="18"/>
    </row>
    <row r="1001">
      <c r="A1001" s="18"/>
      <c r="B1001" s="18"/>
      <c r="C1001" s="18"/>
      <c r="D1001" s="18"/>
      <c r="E1001" s="18"/>
      <c r="F1001" s="19"/>
      <c r="G1001" s="1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